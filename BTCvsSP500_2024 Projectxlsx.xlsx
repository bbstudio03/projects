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tus/Documents/Education/Business Analytics/W12/"/>
    </mc:Choice>
  </mc:AlternateContent>
  <xr:revisionPtr revIDLastSave="0" documentId="13_ncr:1_{6F925D22-DD04-0A48-9A95-7FA617249A68}" xr6:coauthVersionLast="47" xr6:coauthVersionMax="47" xr10:uidLastSave="{00000000-0000-0000-0000-000000000000}"/>
  <bookViews>
    <workbookView xWindow="38520" yWindow="540" windowWidth="38400" windowHeight="21100" activeTab="11" xr2:uid="{BF4D9371-CE69-9C40-A54C-9B93DFA31D78}"/>
  </bookViews>
  <sheets>
    <sheet name="Bitcoin 2024 Incomplete" sheetId="2" state="hidden" r:id="rId1"/>
    <sheet name="Bitcoin_10 28 24-01 13 25" sheetId="5" state="hidden" r:id="rId2"/>
    <sheet name="SP500" sheetId="3" state="hidden" r:id="rId3"/>
    <sheet name="BTC 2024" sheetId="4" state="hidden" r:id="rId4"/>
    <sheet name="BTC 2014_Close" sheetId="6" state="hidden" r:id="rId5"/>
    <sheet name="SP500 2024" sheetId="1" state="hidden" r:id="rId6"/>
    <sheet name="2024_ClosesQ1" sheetId="10" r:id="rId7"/>
    <sheet name="2024_ClosesQ2" sheetId="11" r:id="rId8"/>
    <sheet name="2024_ClosesQ3" sheetId="12" r:id="rId9"/>
    <sheet name="2024_ClosesQ4" sheetId="13" r:id="rId10"/>
    <sheet name="2024_Coses" sheetId="9" r:id="rId11"/>
    <sheet name="DATA" sheetId="14" r:id="rId12"/>
    <sheet name="Query Elements" sheetId="15" r:id="rId13"/>
  </sheets>
  <definedNames>
    <definedName name="ExternalData_1" localSheetId="10" hidden="1">'2024_Coses'!$A$1:$C$263</definedName>
    <definedName name="ExternalData_1" localSheetId="0" hidden="1">'Bitcoin 2024 Incomplete'!$A$1:$G$331</definedName>
    <definedName name="ExternalData_1" localSheetId="1" hidden="1">'Bitcoin_10 28 24-01 13 25'!$A$1:$G$79</definedName>
    <definedName name="ExternalData_1" localSheetId="2" hidden="1">'SP500'!$A$1:$B$263</definedName>
    <definedName name="ExternalData_2" localSheetId="6" hidden="1">'2024_ClosesQ1'!$A$1:$C$66</definedName>
    <definedName name="ExternalData_3" localSheetId="7" hidden="1">'2024_ClosesQ2'!$A$1:$C$66</definedName>
    <definedName name="ExternalData_4" localSheetId="8" hidden="1">'2024_ClosesQ3'!$A$1:$C$67</definedName>
    <definedName name="ExternalData_5" localSheetId="9" hidden="1">'2024_ClosesQ4'!$A$1:$C$67</definedName>
  </definedNames>
  <calcPr calcId="191029"/>
  <pivotCaches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0" l="1"/>
  <c r="D6" i="14" s="1"/>
  <c r="B6" i="14"/>
  <c r="E66" i="13"/>
  <c r="E17" i="11"/>
  <c r="E3" i="13"/>
  <c r="F3" i="13"/>
  <c r="E4" i="13"/>
  <c r="F4" i="13"/>
  <c r="E5" i="13"/>
  <c r="F5" i="13"/>
  <c r="E6" i="13"/>
  <c r="F6" i="13"/>
  <c r="E7" i="13"/>
  <c r="F7" i="13"/>
  <c r="E8" i="13"/>
  <c r="F8" i="13"/>
  <c r="E9" i="13"/>
  <c r="F9" i="13"/>
  <c r="E10" i="13"/>
  <c r="F10" i="13"/>
  <c r="E11" i="13"/>
  <c r="F11" i="13"/>
  <c r="E12" i="13"/>
  <c r="F12" i="13"/>
  <c r="E13" i="13"/>
  <c r="F13" i="13"/>
  <c r="E14" i="13"/>
  <c r="F14" i="13"/>
  <c r="E15" i="13"/>
  <c r="F15" i="13"/>
  <c r="E16" i="13"/>
  <c r="F16" i="13"/>
  <c r="E17" i="13"/>
  <c r="F17" i="13"/>
  <c r="E18" i="13"/>
  <c r="F18" i="13"/>
  <c r="E19" i="13"/>
  <c r="F19" i="13"/>
  <c r="E20" i="13"/>
  <c r="F20" i="13"/>
  <c r="E21" i="13"/>
  <c r="F21" i="13"/>
  <c r="E22" i="13"/>
  <c r="F22" i="13"/>
  <c r="E23" i="13"/>
  <c r="F23" i="13"/>
  <c r="E24" i="13"/>
  <c r="F24" i="13"/>
  <c r="E25" i="13"/>
  <c r="F25" i="13"/>
  <c r="E26" i="13"/>
  <c r="F26" i="13"/>
  <c r="E27" i="13"/>
  <c r="F27" i="13"/>
  <c r="E28" i="13"/>
  <c r="F28" i="13"/>
  <c r="E29" i="13"/>
  <c r="F29" i="13"/>
  <c r="E30" i="13"/>
  <c r="F30" i="13"/>
  <c r="E31" i="13"/>
  <c r="F31" i="13"/>
  <c r="E32" i="13"/>
  <c r="F32" i="13"/>
  <c r="E33" i="13"/>
  <c r="F33" i="13"/>
  <c r="E34" i="13"/>
  <c r="F34" i="13"/>
  <c r="E35" i="13"/>
  <c r="F35" i="13"/>
  <c r="E36" i="13"/>
  <c r="F36" i="13"/>
  <c r="E37" i="13"/>
  <c r="F37" i="13"/>
  <c r="E38" i="13"/>
  <c r="F38" i="13"/>
  <c r="E39" i="13"/>
  <c r="F39" i="13"/>
  <c r="E40" i="13"/>
  <c r="F40" i="13"/>
  <c r="E41" i="13"/>
  <c r="F41" i="13"/>
  <c r="E42" i="13"/>
  <c r="F42" i="13"/>
  <c r="E43" i="13"/>
  <c r="F43" i="13"/>
  <c r="E44" i="13"/>
  <c r="F44" i="13"/>
  <c r="E45" i="13"/>
  <c r="F45" i="13"/>
  <c r="E46" i="13"/>
  <c r="F46" i="13"/>
  <c r="E47" i="13"/>
  <c r="F47" i="13"/>
  <c r="E48" i="13"/>
  <c r="F48" i="13"/>
  <c r="E49" i="13"/>
  <c r="F49" i="13"/>
  <c r="E50" i="13"/>
  <c r="F50" i="13"/>
  <c r="E51" i="13"/>
  <c r="F51" i="13"/>
  <c r="E52" i="13"/>
  <c r="F52" i="13"/>
  <c r="E53" i="13"/>
  <c r="F53" i="13"/>
  <c r="E54" i="13"/>
  <c r="F54" i="13"/>
  <c r="E55" i="13"/>
  <c r="F55" i="13"/>
  <c r="E56" i="13"/>
  <c r="F56" i="13"/>
  <c r="E57" i="13"/>
  <c r="F57" i="13"/>
  <c r="E58" i="13"/>
  <c r="F58" i="13"/>
  <c r="E59" i="13"/>
  <c r="F59" i="13"/>
  <c r="E60" i="13"/>
  <c r="F60" i="13"/>
  <c r="E61" i="13"/>
  <c r="F61" i="13"/>
  <c r="E62" i="13"/>
  <c r="F62" i="13"/>
  <c r="E63" i="13"/>
  <c r="F63" i="13"/>
  <c r="E64" i="13"/>
  <c r="F64" i="13"/>
  <c r="E65" i="13"/>
  <c r="F65" i="13"/>
  <c r="F66" i="13"/>
  <c r="F2" i="13"/>
  <c r="E2" i="13"/>
  <c r="E3" i="12"/>
  <c r="F3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E22" i="12"/>
  <c r="F22" i="12"/>
  <c r="E23" i="12"/>
  <c r="F23" i="12"/>
  <c r="E24" i="12"/>
  <c r="F24" i="12"/>
  <c r="E25" i="12"/>
  <c r="F25" i="12"/>
  <c r="E26" i="12"/>
  <c r="F26" i="12"/>
  <c r="E27" i="12"/>
  <c r="F27" i="12"/>
  <c r="E28" i="12"/>
  <c r="F28" i="12"/>
  <c r="E29" i="12"/>
  <c r="F29" i="12"/>
  <c r="E30" i="12"/>
  <c r="F30" i="12"/>
  <c r="E31" i="12"/>
  <c r="F31" i="12"/>
  <c r="E32" i="12"/>
  <c r="F32" i="12"/>
  <c r="E33" i="12"/>
  <c r="F33" i="12"/>
  <c r="E34" i="12"/>
  <c r="F34" i="12"/>
  <c r="E35" i="12"/>
  <c r="F35" i="12"/>
  <c r="E36" i="12"/>
  <c r="F36" i="12"/>
  <c r="E37" i="12"/>
  <c r="F37" i="12"/>
  <c r="E38" i="12"/>
  <c r="F38" i="12"/>
  <c r="E39" i="12"/>
  <c r="F39" i="12"/>
  <c r="E40" i="12"/>
  <c r="F40" i="12"/>
  <c r="E41" i="12"/>
  <c r="F41" i="12"/>
  <c r="E42" i="12"/>
  <c r="F42" i="12"/>
  <c r="E43" i="12"/>
  <c r="F43" i="12"/>
  <c r="E44" i="12"/>
  <c r="F44" i="12"/>
  <c r="E45" i="12"/>
  <c r="F45" i="12"/>
  <c r="E46" i="12"/>
  <c r="F46" i="12"/>
  <c r="E47" i="12"/>
  <c r="F47" i="12"/>
  <c r="E48" i="12"/>
  <c r="F48" i="12"/>
  <c r="E49" i="12"/>
  <c r="F49" i="12"/>
  <c r="E50" i="12"/>
  <c r="F50" i="12"/>
  <c r="E51" i="12"/>
  <c r="F51" i="12"/>
  <c r="E52" i="12"/>
  <c r="F52" i="12"/>
  <c r="E53" i="12"/>
  <c r="F53" i="12"/>
  <c r="E54" i="12"/>
  <c r="F54" i="12"/>
  <c r="E55" i="12"/>
  <c r="F55" i="12"/>
  <c r="E56" i="12"/>
  <c r="F56" i="12"/>
  <c r="E57" i="12"/>
  <c r="F57" i="12"/>
  <c r="E58" i="12"/>
  <c r="F58" i="12"/>
  <c r="E59" i="12"/>
  <c r="F59" i="12"/>
  <c r="E60" i="12"/>
  <c r="F60" i="12"/>
  <c r="E61" i="12"/>
  <c r="F61" i="12"/>
  <c r="E62" i="12"/>
  <c r="F62" i="12"/>
  <c r="E63" i="12"/>
  <c r="F63" i="12"/>
  <c r="E64" i="12"/>
  <c r="F64" i="12"/>
  <c r="E65" i="12"/>
  <c r="F65" i="12"/>
  <c r="E66" i="12"/>
  <c r="F66" i="12"/>
  <c r="F2" i="12"/>
  <c r="E2" i="12"/>
  <c r="E3" i="11"/>
  <c r="F3" i="11"/>
  <c r="E4" i="11"/>
  <c r="F4" i="11"/>
  <c r="E5" i="11"/>
  <c r="F5" i="11"/>
  <c r="E6" i="11"/>
  <c r="F6" i="11"/>
  <c r="E7" i="11"/>
  <c r="F7" i="11"/>
  <c r="E8" i="11"/>
  <c r="F8" i="11"/>
  <c r="E9" i="11"/>
  <c r="F9" i="11"/>
  <c r="E10" i="11"/>
  <c r="F10" i="11"/>
  <c r="E11" i="11"/>
  <c r="F11" i="11"/>
  <c r="E12" i="11"/>
  <c r="F12" i="11"/>
  <c r="E13" i="11"/>
  <c r="F13" i="11"/>
  <c r="E14" i="11"/>
  <c r="F14" i="11"/>
  <c r="E15" i="11"/>
  <c r="F15" i="11"/>
  <c r="E16" i="11"/>
  <c r="F16" i="11"/>
  <c r="F17" i="11"/>
  <c r="E18" i="11"/>
  <c r="F18" i="11"/>
  <c r="E19" i="11"/>
  <c r="F19" i="11"/>
  <c r="E20" i="11"/>
  <c r="F20" i="11"/>
  <c r="E21" i="11"/>
  <c r="F21" i="11"/>
  <c r="E22" i="11"/>
  <c r="F22" i="11"/>
  <c r="E23" i="11"/>
  <c r="F23" i="11"/>
  <c r="E24" i="11"/>
  <c r="F24" i="11"/>
  <c r="E25" i="11"/>
  <c r="F25" i="11"/>
  <c r="E26" i="11"/>
  <c r="F26" i="11"/>
  <c r="E27" i="11"/>
  <c r="F27" i="11"/>
  <c r="E28" i="11"/>
  <c r="F28" i="11"/>
  <c r="E29" i="11"/>
  <c r="F29" i="11"/>
  <c r="E30" i="11"/>
  <c r="F30" i="11"/>
  <c r="E31" i="11"/>
  <c r="F31" i="11"/>
  <c r="E32" i="11"/>
  <c r="F32" i="11"/>
  <c r="E33" i="11"/>
  <c r="F33" i="11"/>
  <c r="E34" i="11"/>
  <c r="F34" i="11"/>
  <c r="E35" i="11"/>
  <c r="F35" i="11"/>
  <c r="E36" i="11"/>
  <c r="F36" i="11"/>
  <c r="E37" i="11"/>
  <c r="F37" i="11"/>
  <c r="E38" i="11"/>
  <c r="F38" i="11"/>
  <c r="E39" i="11"/>
  <c r="F39" i="11"/>
  <c r="E40" i="11"/>
  <c r="F40" i="11"/>
  <c r="E41" i="11"/>
  <c r="F41" i="11"/>
  <c r="E42" i="11"/>
  <c r="F42" i="11"/>
  <c r="E43" i="11"/>
  <c r="F43" i="11"/>
  <c r="E44" i="11"/>
  <c r="F44" i="11"/>
  <c r="E45" i="11"/>
  <c r="F45" i="11"/>
  <c r="E46" i="11"/>
  <c r="F46" i="11"/>
  <c r="E47" i="11"/>
  <c r="F47" i="11"/>
  <c r="E48" i="11"/>
  <c r="F48" i="11"/>
  <c r="E49" i="11"/>
  <c r="F49" i="11"/>
  <c r="E50" i="11"/>
  <c r="F50" i="11"/>
  <c r="E51" i="11"/>
  <c r="F51" i="11"/>
  <c r="E52" i="11"/>
  <c r="F52" i="11"/>
  <c r="E53" i="11"/>
  <c r="F53" i="11"/>
  <c r="E54" i="11"/>
  <c r="F54" i="11"/>
  <c r="E55" i="11"/>
  <c r="F55" i="11"/>
  <c r="E56" i="11"/>
  <c r="F56" i="11"/>
  <c r="E57" i="11"/>
  <c r="F57" i="11"/>
  <c r="E58" i="11"/>
  <c r="F5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F2" i="11"/>
  <c r="E2" i="11"/>
  <c r="E2" i="10"/>
  <c r="E3" i="10"/>
  <c r="F3" i="10"/>
  <c r="E4" i="10"/>
  <c r="F4" i="10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E47" i="10"/>
  <c r="F47" i="10"/>
  <c r="E48" i="10"/>
  <c r="F48" i="10"/>
  <c r="E49" i="10"/>
  <c r="F49" i="10"/>
  <c r="E50" i="10"/>
  <c r="F50" i="10"/>
  <c r="E51" i="10"/>
  <c r="F51" i="10"/>
  <c r="E52" i="10"/>
  <c r="F52" i="10"/>
  <c r="E53" i="10"/>
  <c r="F53" i="10"/>
  <c r="E54" i="10"/>
  <c r="F5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E61" i="10"/>
  <c r="F61" i="10"/>
  <c r="E62" i="10"/>
  <c r="F62" i="10"/>
  <c r="E63" i="10"/>
  <c r="F63" i="10"/>
  <c r="E64" i="10"/>
  <c r="F64" i="10"/>
  <c r="E65" i="10"/>
  <c r="F65" i="10"/>
  <c r="F2" i="10"/>
  <c r="I2" i="10" s="1"/>
  <c r="E6" i="14" s="1"/>
  <c r="F2" i="9"/>
  <c r="J2" i="9" s="1"/>
  <c r="K3" i="14"/>
  <c r="J3" i="14"/>
  <c r="I3" i="14"/>
  <c r="H3" i="14"/>
  <c r="G3" i="14"/>
  <c r="F3" i="14"/>
  <c r="E3" i="14"/>
  <c r="D3" i="14"/>
  <c r="C3" i="14"/>
  <c r="B3" i="14"/>
  <c r="K4" i="14"/>
  <c r="K5" i="14"/>
  <c r="J5" i="14"/>
  <c r="J4" i="14"/>
  <c r="I4" i="14"/>
  <c r="I5" i="14"/>
  <c r="H5" i="14"/>
  <c r="H4" i="14"/>
  <c r="G4" i="14"/>
  <c r="G5" i="14"/>
  <c r="F5" i="14"/>
  <c r="F4" i="14"/>
  <c r="E5" i="14"/>
  <c r="D5" i="14"/>
  <c r="D4" i="14"/>
  <c r="E4" i="14"/>
  <c r="G2" i="9"/>
  <c r="K2" i="9" s="1"/>
  <c r="F3" i="9"/>
  <c r="J3" i="9" s="1"/>
  <c r="G3" i="9"/>
  <c r="K3" i="9" s="1"/>
  <c r="F4" i="9"/>
  <c r="J4" i="9" s="1"/>
  <c r="G4" i="9"/>
  <c r="K4" i="9" s="1"/>
  <c r="F5" i="9"/>
  <c r="J5" i="9" s="1"/>
  <c r="G5" i="9"/>
  <c r="K5" i="9" s="1"/>
  <c r="F6" i="9"/>
  <c r="J6" i="9" s="1"/>
  <c r="G6" i="9"/>
  <c r="K6" i="9" s="1"/>
  <c r="F7" i="9"/>
  <c r="J7" i="9" s="1"/>
  <c r="G7" i="9"/>
  <c r="K7" i="9" s="1"/>
  <c r="F8" i="9"/>
  <c r="J8" i="9" s="1"/>
  <c r="G8" i="9"/>
  <c r="K8" i="9" s="1"/>
  <c r="F9" i="9"/>
  <c r="J9" i="9" s="1"/>
  <c r="G9" i="9"/>
  <c r="K9" i="9" s="1"/>
  <c r="F10" i="9"/>
  <c r="J10" i="9" s="1"/>
  <c r="G10" i="9"/>
  <c r="K10" i="9" s="1"/>
  <c r="F11" i="9"/>
  <c r="J11" i="9" s="1"/>
  <c r="G11" i="9"/>
  <c r="K11" i="9" s="1"/>
  <c r="F12" i="9"/>
  <c r="J12" i="9" s="1"/>
  <c r="G12" i="9"/>
  <c r="K12" i="9" s="1"/>
  <c r="F13" i="9"/>
  <c r="J13" i="9" s="1"/>
  <c r="G13" i="9"/>
  <c r="K13" i="9" s="1"/>
  <c r="F14" i="9"/>
  <c r="J14" i="9" s="1"/>
  <c r="G14" i="9"/>
  <c r="K14" i="9" s="1"/>
  <c r="F15" i="9"/>
  <c r="J15" i="9" s="1"/>
  <c r="G15" i="9"/>
  <c r="K15" i="9" s="1"/>
  <c r="F16" i="9"/>
  <c r="J16" i="9" s="1"/>
  <c r="G16" i="9"/>
  <c r="K16" i="9" s="1"/>
  <c r="F17" i="9"/>
  <c r="J17" i="9" s="1"/>
  <c r="G17" i="9"/>
  <c r="K17" i="9" s="1"/>
  <c r="F18" i="9"/>
  <c r="J18" i="9" s="1"/>
  <c r="G18" i="9"/>
  <c r="K18" i="9" s="1"/>
  <c r="F19" i="9"/>
  <c r="J19" i="9" s="1"/>
  <c r="G19" i="9"/>
  <c r="K19" i="9" s="1"/>
  <c r="F20" i="9"/>
  <c r="J20" i="9" s="1"/>
  <c r="G20" i="9"/>
  <c r="K20" i="9" s="1"/>
  <c r="F21" i="9"/>
  <c r="J21" i="9" s="1"/>
  <c r="G21" i="9"/>
  <c r="K21" i="9" s="1"/>
  <c r="F22" i="9"/>
  <c r="J22" i="9" s="1"/>
  <c r="G22" i="9"/>
  <c r="K22" i="9" s="1"/>
  <c r="F23" i="9"/>
  <c r="J23" i="9" s="1"/>
  <c r="G23" i="9"/>
  <c r="K23" i="9" s="1"/>
  <c r="F24" i="9"/>
  <c r="J24" i="9" s="1"/>
  <c r="G24" i="9"/>
  <c r="K24" i="9" s="1"/>
  <c r="F25" i="9"/>
  <c r="J25" i="9" s="1"/>
  <c r="G25" i="9"/>
  <c r="K25" i="9" s="1"/>
  <c r="F26" i="9"/>
  <c r="J26" i="9" s="1"/>
  <c r="G26" i="9"/>
  <c r="K26" i="9" s="1"/>
  <c r="F27" i="9"/>
  <c r="J27" i="9" s="1"/>
  <c r="G27" i="9"/>
  <c r="K27" i="9" s="1"/>
  <c r="F28" i="9"/>
  <c r="J28" i="9" s="1"/>
  <c r="G28" i="9"/>
  <c r="K28" i="9" s="1"/>
  <c r="F29" i="9"/>
  <c r="J29" i="9" s="1"/>
  <c r="G29" i="9"/>
  <c r="K29" i="9" s="1"/>
  <c r="F30" i="9"/>
  <c r="J30" i="9" s="1"/>
  <c r="G30" i="9"/>
  <c r="K30" i="9" s="1"/>
  <c r="F31" i="9"/>
  <c r="J31" i="9" s="1"/>
  <c r="G31" i="9"/>
  <c r="K31" i="9" s="1"/>
  <c r="F32" i="9"/>
  <c r="J32" i="9" s="1"/>
  <c r="G32" i="9"/>
  <c r="K32" i="9" s="1"/>
  <c r="F33" i="9"/>
  <c r="J33" i="9" s="1"/>
  <c r="G33" i="9"/>
  <c r="K33" i="9" s="1"/>
  <c r="F34" i="9"/>
  <c r="J34" i="9" s="1"/>
  <c r="G34" i="9"/>
  <c r="K34" i="9" s="1"/>
  <c r="F35" i="9"/>
  <c r="J35" i="9" s="1"/>
  <c r="G35" i="9"/>
  <c r="K35" i="9" s="1"/>
  <c r="F36" i="9"/>
  <c r="J36" i="9" s="1"/>
  <c r="G36" i="9"/>
  <c r="K36" i="9" s="1"/>
  <c r="F37" i="9"/>
  <c r="J37" i="9" s="1"/>
  <c r="G37" i="9"/>
  <c r="K37" i="9" s="1"/>
  <c r="F38" i="9"/>
  <c r="J38" i="9" s="1"/>
  <c r="G38" i="9"/>
  <c r="K38" i="9" s="1"/>
  <c r="F39" i="9"/>
  <c r="J39" i="9" s="1"/>
  <c r="G39" i="9"/>
  <c r="K39" i="9" s="1"/>
  <c r="F40" i="9"/>
  <c r="J40" i="9" s="1"/>
  <c r="G40" i="9"/>
  <c r="K40" i="9" s="1"/>
  <c r="F41" i="9"/>
  <c r="J41" i="9" s="1"/>
  <c r="G41" i="9"/>
  <c r="K41" i="9" s="1"/>
  <c r="F42" i="9"/>
  <c r="J42" i="9" s="1"/>
  <c r="G42" i="9"/>
  <c r="K42" i="9" s="1"/>
  <c r="F43" i="9"/>
  <c r="J43" i="9" s="1"/>
  <c r="G43" i="9"/>
  <c r="K43" i="9" s="1"/>
  <c r="F44" i="9"/>
  <c r="J44" i="9" s="1"/>
  <c r="G44" i="9"/>
  <c r="K44" i="9" s="1"/>
  <c r="F45" i="9"/>
  <c r="J45" i="9" s="1"/>
  <c r="G45" i="9"/>
  <c r="K45" i="9" s="1"/>
  <c r="F46" i="9"/>
  <c r="J46" i="9" s="1"/>
  <c r="G46" i="9"/>
  <c r="K46" i="9" s="1"/>
  <c r="F47" i="9"/>
  <c r="J47" i="9" s="1"/>
  <c r="G47" i="9"/>
  <c r="K47" i="9" s="1"/>
  <c r="F48" i="9"/>
  <c r="J48" i="9" s="1"/>
  <c r="G48" i="9"/>
  <c r="K48" i="9" s="1"/>
  <c r="F49" i="9"/>
  <c r="J49" i="9" s="1"/>
  <c r="G49" i="9"/>
  <c r="K49" i="9" s="1"/>
  <c r="F50" i="9"/>
  <c r="J50" i="9" s="1"/>
  <c r="G50" i="9"/>
  <c r="K50" i="9" s="1"/>
  <c r="F51" i="9"/>
  <c r="J51" i="9" s="1"/>
  <c r="G51" i="9"/>
  <c r="K51" i="9" s="1"/>
  <c r="F52" i="9"/>
  <c r="J52" i="9" s="1"/>
  <c r="G52" i="9"/>
  <c r="K52" i="9" s="1"/>
  <c r="F53" i="9"/>
  <c r="J53" i="9" s="1"/>
  <c r="G53" i="9"/>
  <c r="K53" i="9" s="1"/>
  <c r="F54" i="9"/>
  <c r="J54" i="9" s="1"/>
  <c r="G54" i="9"/>
  <c r="K54" i="9" s="1"/>
  <c r="F55" i="9"/>
  <c r="J55" i="9" s="1"/>
  <c r="G55" i="9"/>
  <c r="K55" i="9" s="1"/>
  <c r="F188" i="9"/>
  <c r="J188" i="9" s="1"/>
  <c r="G188" i="9"/>
  <c r="K188" i="9" s="1"/>
  <c r="F56" i="9"/>
  <c r="J56" i="9" s="1"/>
  <c r="G56" i="9"/>
  <c r="K56" i="9" s="1"/>
  <c r="F187" i="9"/>
  <c r="J187" i="9" s="1"/>
  <c r="G187" i="9"/>
  <c r="K187" i="9" s="1"/>
  <c r="F57" i="9"/>
  <c r="J57" i="9" s="1"/>
  <c r="G57" i="9"/>
  <c r="K57" i="9" s="1"/>
  <c r="F186" i="9"/>
  <c r="J186" i="9" s="1"/>
  <c r="G186" i="9"/>
  <c r="K186" i="9" s="1"/>
  <c r="F58" i="9"/>
  <c r="J58" i="9" s="1"/>
  <c r="G58" i="9"/>
  <c r="K58" i="9" s="1"/>
  <c r="F185" i="9"/>
  <c r="J185" i="9" s="1"/>
  <c r="G185" i="9"/>
  <c r="K185" i="9" s="1"/>
  <c r="F184" i="9"/>
  <c r="J184" i="9" s="1"/>
  <c r="G184" i="9"/>
  <c r="K184" i="9" s="1"/>
  <c r="F183" i="9"/>
  <c r="J183" i="9" s="1"/>
  <c r="G183" i="9"/>
  <c r="K183" i="9" s="1"/>
  <c r="F59" i="9"/>
  <c r="J59" i="9" s="1"/>
  <c r="G59" i="9"/>
  <c r="K59" i="9" s="1"/>
  <c r="F182" i="9"/>
  <c r="J182" i="9" s="1"/>
  <c r="G182" i="9"/>
  <c r="K182" i="9" s="1"/>
  <c r="F60" i="9"/>
  <c r="J60" i="9" s="1"/>
  <c r="G60" i="9"/>
  <c r="K60" i="9" s="1"/>
  <c r="F181" i="9"/>
  <c r="J181" i="9" s="1"/>
  <c r="G181" i="9"/>
  <c r="K181" i="9" s="1"/>
  <c r="F61" i="9"/>
  <c r="J61" i="9" s="1"/>
  <c r="G61" i="9"/>
  <c r="K61" i="9" s="1"/>
  <c r="F180" i="9"/>
  <c r="J180" i="9" s="1"/>
  <c r="G180" i="9"/>
  <c r="K180" i="9" s="1"/>
  <c r="F62" i="9"/>
  <c r="J62" i="9" s="1"/>
  <c r="G62" i="9"/>
  <c r="K62" i="9" s="1"/>
  <c r="F179" i="9"/>
  <c r="J179" i="9" s="1"/>
  <c r="G179" i="9"/>
  <c r="K179" i="9" s="1"/>
  <c r="F63" i="9"/>
  <c r="J63" i="9" s="1"/>
  <c r="G63" i="9"/>
  <c r="K63" i="9" s="1"/>
  <c r="F178" i="9"/>
  <c r="J178" i="9" s="1"/>
  <c r="G178" i="9"/>
  <c r="K178" i="9" s="1"/>
  <c r="F177" i="9"/>
  <c r="J177" i="9" s="1"/>
  <c r="G177" i="9"/>
  <c r="K177" i="9" s="1"/>
  <c r="F176" i="9"/>
  <c r="J176" i="9" s="1"/>
  <c r="G176" i="9"/>
  <c r="K176" i="9" s="1"/>
  <c r="F64" i="9"/>
  <c r="J64" i="9" s="1"/>
  <c r="G64" i="9"/>
  <c r="K64" i="9" s="1"/>
  <c r="F175" i="9"/>
  <c r="J175" i="9" s="1"/>
  <c r="G175" i="9"/>
  <c r="K175" i="9" s="1"/>
  <c r="F65" i="9"/>
  <c r="J65" i="9" s="1"/>
  <c r="G65" i="9"/>
  <c r="K65" i="9" s="1"/>
  <c r="F174" i="9"/>
  <c r="J174" i="9" s="1"/>
  <c r="G174" i="9"/>
  <c r="K174" i="9" s="1"/>
  <c r="F66" i="9"/>
  <c r="J66" i="9" s="1"/>
  <c r="G66" i="9"/>
  <c r="K66" i="9" s="1"/>
  <c r="F173" i="9"/>
  <c r="J173" i="9" s="1"/>
  <c r="G173" i="9"/>
  <c r="K173" i="9" s="1"/>
  <c r="F67" i="9"/>
  <c r="J67" i="9" s="1"/>
  <c r="G67" i="9"/>
  <c r="K67" i="9" s="1"/>
  <c r="F172" i="9"/>
  <c r="J172" i="9" s="1"/>
  <c r="G172" i="9"/>
  <c r="K172" i="9" s="1"/>
  <c r="F68" i="9"/>
  <c r="J68" i="9" s="1"/>
  <c r="G68" i="9"/>
  <c r="K68" i="9" s="1"/>
  <c r="F171" i="9"/>
  <c r="J171" i="9" s="1"/>
  <c r="G171" i="9"/>
  <c r="K171" i="9" s="1"/>
  <c r="F170" i="9"/>
  <c r="J170" i="9" s="1"/>
  <c r="G170" i="9"/>
  <c r="K170" i="9" s="1"/>
  <c r="F169" i="9"/>
  <c r="J169" i="9" s="1"/>
  <c r="G169" i="9"/>
  <c r="K169" i="9" s="1"/>
  <c r="F69" i="9"/>
  <c r="J69" i="9" s="1"/>
  <c r="G69" i="9"/>
  <c r="K69" i="9" s="1"/>
  <c r="F168" i="9"/>
  <c r="J168" i="9" s="1"/>
  <c r="G168" i="9"/>
  <c r="K168" i="9" s="1"/>
  <c r="F70" i="9"/>
  <c r="J70" i="9" s="1"/>
  <c r="G70" i="9"/>
  <c r="K70" i="9" s="1"/>
  <c r="F167" i="9"/>
  <c r="J167" i="9" s="1"/>
  <c r="G167" i="9"/>
  <c r="K167" i="9" s="1"/>
  <c r="F71" i="9"/>
  <c r="J71" i="9" s="1"/>
  <c r="G71" i="9"/>
  <c r="K71" i="9" s="1"/>
  <c r="F166" i="9"/>
  <c r="J166" i="9" s="1"/>
  <c r="G166" i="9"/>
  <c r="K166" i="9" s="1"/>
  <c r="F72" i="9"/>
  <c r="J72" i="9" s="1"/>
  <c r="G72" i="9"/>
  <c r="K72" i="9" s="1"/>
  <c r="F165" i="9"/>
  <c r="J165" i="9" s="1"/>
  <c r="G165" i="9"/>
  <c r="K165" i="9" s="1"/>
  <c r="F73" i="9"/>
  <c r="J73" i="9" s="1"/>
  <c r="G73" i="9"/>
  <c r="K73" i="9" s="1"/>
  <c r="F164" i="9"/>
  <c r="J164" i="9" s="1"/>
  <c r="G164" i="9"/>
  <c r="K164" i="9" s="1"/>
  <c r="F163" i="9"/>
  <c r="J163" i="9" s="1"/>
  <c r="G163" i="9"/>
  <c r="K163" i="9" s="1"/>
  <c r="F162" i="9"/>
  <c r="J162" i="9" s="1"/>
  <c r="G162" i="9"/>
  <c r="K162" i="9" s="1"/>
  <c r="F74" i="9"/>
  <c r="J74" i="9" s="1"/>
  <c r="G74" i="9"/>
  <c r="K74" i="9" s="1"/>
  <c r="F161" i="9"/>
  <c r="J161" i="9" s="1"/>
  <c r="G161" i="9"/>
  <c r="K161" i="9" s="1"/>
  <c r="F75" i="9"/>
  <c r="J75" i="9" s="1"/>
  <c r="G75" i="9"/>
  <c r="K75" i="9" s="1"/>
  <c r="F160" i="9"/>
  <c r="J160" i="9" s="1"/>
  <c r="G160" i="9"/>
  <c r="K160" i="9" s="1"/>
  <c r="F76" i="9"/>
  <c r="J76" i="9" s="1"/>
  <c r="G76" i="9"/>
  <c r="K76" i="9" s="1"/>
  <c r="F159" i="9"/>
  <c r="J159" i="9" s="1"/>
  <c r="G159" i="9"/>
  <c r="K159" i="9" s="1"/>
  <c r="F77" i="9"/>
  <c r="J77" i="9" s="1"/>
  <c r="G77" i="9"/>
  <c r="K77" i="9" s="1"/>
  <c r="F158" i="9"/>
  <c r="J158" i="9" s="1"/>
  <c r="G158" i="9"/>
  <c r="K158" i="9" s="1"/>
  <c r="F78" i="9"/>
  <c r="J78" i="9" s="1"/>
  <c r="G78" i="9"/>
  <c r="K78" i="9" s="1"/>
  <c r="F157" i="9"/>
  <c r="J157" i="9" s="1"/>
  <c r="G157" i="9"/>
  <c r="K157" i="9" s="1"/>
  <c r="F156" i="9"/>
  <c r="J156" i="9" s="1"/>
  <c r="G156" i="9"/>
  <c r="K156" i="9" s="1"/>
  <c r="F155" i="9"/>
  <c r="J155" i="9" s="1"/>
  <c r="G155" i="9"/>
  <c r="K155" i="9" s="1"/>
  <c r="F79" i="9"/>
  <c r="J79" i="9" s="1"/>
  <c r="G79" i="9"/>
  <c r="K79" i="9" s="1"/>
  <c r="F154" i="9"/>
  <c r="J154" i="9" s="1"/>
  <c r="G154" i="9"/>
  <c r="K154" i="9" s="1"/>
  <c r="F80" i="9"/>
  <c r="J80" i="9" s="1"/>
  <c r="G80" i="9"/>
  <c r="K80" i="9" s="1"/>
  <c r="F153" i="9"/>
  <c r="J153" i="9" s="1"/>
  <c r="G153" i="9"/>
  <c r="K153" i="9" s="1"/>
  <c r="F81" i="9"/>
  <c r="J81" i="9" s="1"/>
  <c r="G81" i="9"/>
  <c r="K81" i="9" s="1"/>
  <c r="F152" i="9"/>
  <c r="J152" i="9" s="1"/>
  <c r="G152" i="9"/>
  <c r="K152" i="9" s="1"/>
  <c r="F82" i="9"/>
  <c r="J82" i="9" s="1"/>
  <c r="G82" i="9"/>
  <c r="K82" i="9" s="1"/>
  <c r="F151" i="9"/>
  <c r="J151" i="9" s="1"/>
  <c r="G151" i="9"/>
  <c r="K151" i="9" s="1"/>
  <c r="F83" i="9"/>
  <c r="J83" i="9" s="1"/>
  <c r="G83" i="9"/>
  <c r="K83" i="9" s="1"/>
  <c r="F150" i="9"/>
  <c r="J150" i="9" s="1"/>
  <c r="G150" i="9"/>
  <c r="K150" i="9" s="1"/>
  <c r="F149" i="9"/>
  <c r="J149" i="9" s="1"/>
  <c r="G149" i="9"/>
  <c r="K149" i="9" s="1"/>
  <c r="F148" i="9"/>
  <c r="J148" i="9" s="1"/>
  <c r="G148" i="9"/>
  <c r="K148" i="9" s="1"/>
  <c r="F84" i="9"/>
  <c r="J84" i="9" s="1"/>
  <c r="G84" i="9"/>
  <c r="K84" i="9" s="1"/>
  <c r="F147" i="9"/>
  <c r="J147" i="9" s="1"/>
  <c r="G147" i="9"/>
  <c r="K147" i="9" s="1"/>
  <c r="F85" i="9"/>
  <c r="J85" i="9" s="1"/>
  <c r="G85" i="9"/>
  <c r="K85" i="9" s="1"/>
  <c r="F146" i="9"/>
  <c r="J146" i="9" s="1"/>
  <c r="G146" i="9"/>
  <c r="K146" i="9" s="1"/>
  <c r="F86" i="9"/>
  <c r="J86" i="9" s="1"/>
  <c r="G86" i="9"/>
  <c r="K86" i="9" s="1"/>
  <c r="F145" i="9"/>
  <c r="J145" i="9" s="1"/>
  <c r="G145" i="9"/>
  <c r="K145" i="9" s="1"/>
  <c r="F87" i="9"/>
  <c r="J87" i="9" s="1"/>
  <c r="G87" i="9"/>
  <c r="K87" i="9" s="1"/>
  <c r="F144" i="9"/>
  <c r="J144" i="9" s="1"/>
  <c r="G144" i="9"/>
  <c r="K144" i="9" s="1"/>
  <c r="F88" i="9"/>
  <c r="J88" i="9" s="1"/>
  <c r="G88" i="9"/>
  <c r="K88" i="9" s="1"/>
  <c r="F143" i="9"/>
  <c r="J143" i="9" s="1"/>
  <c r="G143" i="9"/>
  <c r="K143" i="9" s="1"/>
  <c r="F142" i="9"/>
  <c r="J142" i="9" s="1"/>
  <c r="G142" i="9"/>
  <c r="K142" i="9" s="1"/>
  <c r="F141" i="9"/>
  <c r="J141" i="9" s="1"/>
  <c r="G141" i="9"/>
  <c r="K141" i="9" s="1"/>
  <c r="F89" i="9"/>
  <c r="J89" i="9" s="1"/>
  <c r="G89" i="9"/>
  <c r="K89" i="9" s="1"/>
  <c r="F140" i="9"/>
  <c r="J140" i="9" s="1"/>
  <c r="G140" i="9"/>
  <c r="K140" i="9" s="1"/>
  <c r="F90" i="9"/>
  <c r="J90" i="9" s="1"/>
  <c r="G90" i="9"/>
  <c r="K90" i="9" s="1"/>
  <c r="F139" i="9"/>
  <c r="J139" i="9" s="1"/>
  <c r="G139" i="9"/>
  <c r="K139" i="9" s="1"/>
  <c r="F91" i="9"/>
  <c r="J91" i="9" s="1"/>
  <c r="G91" i="9"/>
  <c r="K91" i="9" s="1"/>
  <c r="F138" i="9"/>
  <c r="J138" i="9" s="1"/>
  <c r="G138" i="9"/>
  <c r="K138" i="9" s="1"/>
  <c r="F92" i="9"/>
  <c r="J92" i="9" s="1"/>
  <c r="G92" i="9"/>
  <c r="K92" i="9" s="1"/>
  <c r="F137" i="9"/>
  <c r="J137" i="9" s="1"/>
  <c r="G137" i="9"/>
  <c r="K137" i="9" s="1"/>
  <c r="F93" i="9"/>
  <c r="J93" i="9" s="1"/>
  <c r="G93" i="9"/>
  <c r="K93" i="9" s="1"/>
  <c r="F136" i="9"/>
  <c r="J136" i="9" s="1"/>
  <c r="G136" i="9"/>
  <c r="K136" i="9" s="1"/>
  <c r="F135" i="9"/>
  <c r="J135" i="9" s="1"/>
  <c r="G135" i="9"/>
  <c r="K135" i="9" s="1"/>
  <c r="F134" i="9"/>
  <c r="J134" i="9" s="1"/>
  <c r="G134" i="9"/>
  <c r="K134" i="9" s="1"/>
  <c r="F94" i="9"/>
  <c r="J94" i="9" s="1"/>
  <c r="G94" i="9"/>
  <c r="K94" i="9" s="1"/>
  <c r="F133" i="9"/>
  <c r="J133" i="9" s="1"/>
  <c r="G133" i="9"/>
  <c r="K133" i="9" s="1"/>
  <c r="F95" i="9"/>
  <c r="J95" i="9" s="1"/>
  <c r="G95" i="9"/>
  <c r="K95" i="9" s="1"/>
  <c r="F132" i="9"/>
  <c r="J132" i="9" s="1"/>
  <c r="G132" i="9"/>
  <c r="K132" i="9" s="1"/>
  <c r="F96" i="9"/>
  <c r="J96" i="9" s="1"/>
  <c r="G96" i="9"/>
  <c r="K96" i="9" s="1"/>
  <c r="F131" i="9"/>
  <c r="J131" i="9" s="1"/>
  <c r="G131" i="9"/>
  <c r="K131" i="9" s="1"/>
  <c r="F97" i="9"/>
  <c r="J97" i="9" s="1"/>
  <c r="G97" i="9"/>
  <c r="K97" i="9" s="1"/>
  <c r="F130" i="9"/>
  <c r="J130" i="9" s="1"/>
  <c r="G130" i="9"/>
  <c r="K130" i="9" s="1"/>
  <c r="F98" i="9"/>
  <c r="J98" i="9" s="1"/>
  <c r="G98" i="9"/>
  <c r="K98" i="9" s="1"/>
  <c r="F129" i="9"/>
  <c r="J129" i="9" s="1"/>
  <c r="G129" i="9"/>
  <c r="K129" i="9" s="1"/>
  <c r="F128" i="9"/>
  <c r="J128" i="9" s="1"/>
  <c r="G128" i="9"/>
  <c r="K128" i="9" s="1"/>
  <c r="F127" i="9"/>
  <c r="J127" i="9" s="1"/>
  <c r="G127" i="9"/>
  <c r="K127" i="9" s="1"/>
  <c r="F99" i="9"/>
  <c r="J99" i="9" s="1"/>
  <c r="G99" i="9"/>
  <c r="K99" i="9" s="1"/>
  <c r="F126" i="9"/>
  <c r="J126" i="9" s="1"/>
  <c r="G126" i="9"/>
  <c r="K126" i="9" s="1"/>
  <c r="F100" i="9"/>
  <c r="J100" i="9" s="1"/>
  <c r="G100" i="9"/>
  <c r="K100" i="9" s="1"/>
  <c r="F125" i="9"/>
  <c r="J125" i="9" s="1"/>
  <c r="G125" i="9"/>
  <c r="K125" i="9" s="1"/>
  <c r="F101" i="9"/>
  <c r="J101" i="9" s="1"/>
  <c r="G101" i="9"/>
  <c r="K101" i="9" s="1"/>
  <c r="F124" i="9"/>
  <c r="J124" i="9" s="1"/>
  <c r="G124" i="9"/>
  <c r="K124" i="9" s="1"/>
  <c r="F102" i="9"/>
  <c r="J102" i="9" s="1"/>
  <c r="G102" i="9"/>
  <c r="K102" i="9" s="1"/>
  <c r="F123" i="9"/>
  <c r="J123" i="9" s="1"/>
  <c r="G123" i="9"/>
  <c r="K123" i="9" s="1"/>
  <c r="F103" i="9"/>
  <c r="J103" i="9" s="1"/>
  <c r="G103" i="9"/>
  <c r="K103" i="9" s="1"/>
  <c r="F122" i="9"/>
  <c r="J122" i="9" s="1"/>
  <c r="G122" i="9"/>
  <c r="K122" i="9" s="1"/>
  <c r="F121" i="9"/>
  <c r="J121" i="9" s="1"/>
  <c r="G121" i="9"/>
  <c r="K121" i="9" s="1"/>
  <c r="F120" i="9"/>
  <c r="J120" i="9" s="1"/>
  <c r="G120" i="9"/>
  <c r="K120" i="9" s="1"/>
  <c r="F104" i="9"/>
  <c r="J104" i="9" s="1"/>
  <c r="G104" i="9"/>
  <c r="K104" i="9" s="1"/>
  <c r="F119" i="9"/>
  <c r="J119" i="9" s="1"/>
  <c r="G119" i="9"/>
  <c r="K119" i="9" s="1"/>
  <c r="F105" i="9"/>
  <c r="J105" i="9" s="1"/>
  <c r="G105" i="9"/>
  <c r="K105" i="9" s="1"/>
  <c r="F118" i="9"/>
  <c r="J118" i="9" s="1"/>
  <c r="G118" i="9"/>
  <c r="K118" i="9" s="1"/>
  <c r="F106" i="9"/>
  <c r="J106" i="9" s="1"/>
  <c r="G106" i="9"/>
  <c r="K106" i="9" s="1"/>
  <c r="F117" i="9"/>
  <c r="J117" i="9" s="1"/>
  <c r="G117" i="9"/>
  <c r="K117" i="9" s="1"/>
  <c r="F107" i="9"/>
  <c r="J107" i="9" s="1"/>
  <c r="G107" i="9"/>
  <c r="K107" i="9" s="1"/>
  <c r="F116" i="9"/>
  <c r="J116" i="9" s="1"/>
  <c r="G116" i="9"/>
  <c r="K116" i="9" s="1"/>
  <c r="F108" i="9"/>
  <c r="J108" i="9" s="1"/>
  <c r="G108" i="9"/>
  <c r="K108" i="9" s="1"/>
  <c r="F115" i="9"/>
  <c r="J115" i="9" s="1"/>
  <c r="G115" i="9"/>
  <c r="K115" i="9" s="1"/>
  <c r="F114" i="9"/>
  <c r="J114" i="9" s="1"/>
  <c r="G114" i="9"/>
  <c r="K114" i="9" s="1"/>
  <c r="F113" i="9"/>
  <c r="J113" i="9" s="1"/>
  <c r="G113" i="9"/>
  <c r="K113" i="9" s="1"/>
  <c r="F109" i="9"/>
  <c r="J109" i="9" s="1"/>
  <c r="G109" i="9"/>
  <c r="K109" i="9" s="1"/>
  <c r="F112" i="9"/>
  <c r="J112" i="9" s="1"/>
  <c r="G112" i="9"/>
  <c r="K112" i="9" s="1"/>
  <c r="F110" i="9"/>
  <c r="J110" i="9" s="1"/>
  <c r="G110" i="9"/>
  <c r="K110" i="9" s="1"/>
  <c r="F111" i="9"/>
  <c r="J111" i="9" s="1"/>
  <c r="G111" i="9"/>
  <c r="K111" i="9" s="1"/>
  <c r="F189" i="9"/>
  <c r="J189" i="9" s="1"/>
  <c r="G189" i="9"/>
  <c r="K189" i="9" s="1"/>
  <c r="F190" i="9"/>
  <c r="J190" i="9" s="1"/>
  <c r="G190" i="9"/>
  <c r="K190" i="9" s="1"/>
  <c r="F191" i="9"/>
  <c r="J191" i="9" s="1"/>
  <c r="G191" i="9"/>
  <c r="K191" i="9" s="1"/>
  <c r="F192" i="9"/>
  <c r="J192" i="9" s="1"/>
  <c r="G192" i="9"/>
  <c r="K192" i="9" s="1"/>
  <c r="F193" i="9"/>
  <c r="J193" i="9" s="1"/>
  <c r="G193" i="9"/>
  <c r="K193" i="9" s="1"/>
  <c r="F194" i="9"/>
  <c r="J194" i="9" s="1"/>
  <c r="G194" i="9"/>
  <c r="K194" i="9" s="1"/>
  <c r="F195" i="9"/>
  <c r="J195" i="9" s="1"/>
  <c r="G195" i="9"/>
  <c r="K195" i="9" s="1"/>
  <c r="F196" i="9"/>
  <c r="J196" i="9" s="1"/>
  <c r="G196" i="9"/>
  <c r="K196" i="9" s="1"/>
  <c r="F197" i="9"/>
  <c r="J197" i="9" s="1"/>
  <c r="G197" i="9"/>
  <c r="K197" i="9" s="1"/>
  <c r="F198" i="9"/>
  <c r="J198" i="9" s="1"/>
  <c r="G198" i="9"/>
  <c r="K198" i="9" s="1"/>
  <c r="F199" i="9"/>
  <c r="J199" i="9" s="1"/>
  <c r="G199" i="9"/>
  <c r="K199" i="9" s="1"/>
  <c r="F200" i="9"/>
  <c r="J200" i="9" s="1"/>
  <c r="G200" i="9"/>
  <c r="K200" i="9" s="1"/>
  <c r="F201" i="9"/>
  <c r="J201" i="9" s="1"/>
  <c r="G201" i="9"/>
  <c r="K201" i="9" s="1"/>
  <c r="F202" i="9"/>
  <c r="J202" i="9" s="1"/>
  <c r="G202" i="9"/>
  <c r="K202" i="9" s="1"/>
  <c r="F203" i="9"/>
  <c r="J203" i="9" s="1"/>
  <c r="G203" i="9"/>
  <c r="K203" i="9" s="1"/>
  <c r="F204" i="9"/>
  <c r="J204" i="9" s="1"/>
  <c r="G204" i="9"/>
  <c r="K204" i="9" s="1"/>
  <c r="F205" i="9"/>
  <c r="J205" i="9" s="1"/>
  <c r="G205" i="9"/>
  <c r="K205" i="9" s="1"/>
  <c r="F206" i="9"/>
  <c r="J206" i="9" s="1"/>
  <c r="G206" i="9"/>
  <c r="K206" i="9" s="1"/>
  <c r="F207" i="9"/>
  <c r="J207" i="9" s="1"/>
  <c r="G207" i="9"/>
  <c r="K207" i="9" s="1"/>
  <c r="F208" i="9"/>
  <c r="J208" i="9" s="1"/>
  <c r="G208" i="9"/>
  <c r="K208" i="9" s="1"/>
  <c r="F209" i="9"/>
  <c r="J209" i="9" s="1"/>
  <c r="G209" i="9"/>
  <c r="K209" i="9" s="1"/>
  <c r="F210" i="9"/>
  <c r="J210" i="9" s="1"/>
  <c r="G210" i="9"/>
  <c r="K210" i="9" s="1"/>
  <c r="F211" i="9"/>
  <c r="J211" i="9" s="1"/>
  <c r="G211" i="9"/>
  <c r="K211" i="9" s="1"/>
  <c r="F212" i="9"/>
  <c r="J212" i="9" s="1"/>
  <c r="G212" i="9"/>
  <c r="K212" i="9" s="1"/>
  <c r="F213" i="9"/>
  <c r="J213" i="9" s="1"/>
  <c r="G213" i="9"/>
  <c r="K213" i="9" s="1"/>
  <c r="F214" i="9"/>
  <c r="J214" i="9" s="1"/>
  <c r="G214" i="9"/>
  <c r="K214" i="9" s="1"/>
  <c r="F215" i="9"/>
  <c r="J215" i="9" s="1"/>
  <c r="G215" i="9"/>
  <c r="K215" i="9" s="1"/>
  <c r="F216" i="9"/>
  <c r="J216" i="9" s="1"/>
  <c r="G216" i="9"/>
  <c r="K216" i="9" s="1"/>
  <c r="F217" i="9"/>
  <c r="J217" i="9" s="1"/>
  <c r="G217" i="9"/>
  <c r="K217" i="9" s="1"/>
  <c r="F218" i="9"/>
  <c r="J218" i="9" s="1"/>
  <c r="G218" i="9"/>
  <c r="K218" i="9" s="1"/>
  <c r="F219" i="9"/>
  <c r="J219" i="9" s="1"/>
  <c r="G219" i="9"/>
  <c r="K219" i="9" s="1"/>
  <c r="F220" i="9"/>
  <c r="J220" i="9" s="1"/>
  <c r="G220" i="9"/>
  <c r="K220" i="9" s="1"/>
  <c r="F221" i="9"/>
  <c r="J221" i="9" s="1"/>
  <c r="G221" i="9"/>
  <c r="K221" i="9" s="1"/>
  <c r="F222" i="9"/>
  <c r="J222" i="9" s="1"/>
  <c r="G222" i="9"/>
  <c r="K222" i="9" s="1"/>
  <c r="F223" i="9"/>
  <c r="J223" i="9" s="1"/>
  <c r="G223" i="9"/>
  <c r="K223" i="9" s="1"/>
  <c r="F224" i="9"/>
  <c r="J224" i="9" s="1"/>
  <c r="G224" i="9"/>
  <c r="K224" i="9" s="1"/>
  <c r="F225" i="9"/>
  <c r="J225" i="9" s="1"/>
  <c r="G225" i="9"/>
  <c r="K225" i="9" s="1"/>
  <c r="F226" i="9"/>
  <c r="J226" i="9" s="1"/>
  <c r="G226" i="9"/>
  <c r="K226" i="9" s="1"/>
  <c r="F227" i="9"/>
  <c r="J227" i="9" s="1"/>
  <c r="G227" i="9"/>
  <c r="K227" i="9" s="1"/>
  <c r="F228" i="9"/>
  <c r="J228" i="9" s="1"/>
  <c r="G228" i="9"/>
  <c r="K228" i="9" s="1"/>
  <c r="F229" i="9"/>
  <c r="J229" i="9" s="1"/>
  <c r="G229" i="9"/>
  <c r="K229" i="9" s="1"/>
  <c r="F230" i="9"/>
  <c r="J230" i="9" s="1"/>
  <c r="G230" i="9"/>
  <c r="K230" i="9" s="1"/>
  <c r="F231" i="9"/>
  <c r="J231" i="9" s="1"/>
  <c r="G231" i="9"/>
  <c r="K231" i="9" s="1"/>
  <c r="F232" i="9"/>
  <c r="J232" i="9" s="1"/>
  <c r="G232" i="9"/>
  <c r="K232" i="9" s="1"/>
  <c r="F233" i="9"/>
  <c r="J233" i="9" s="1"/>
  <c r="G233" i="9"/>
  <c r="K233" i="9" s="1"/>
  <c r="F234" i="9"/>
  <c r="J234" i="9" s="1"/>
  <c r="G234" i="9"/>
  <c r="K234" i="9" s="1"/>
  <c r="F235" i="9"/>
  <c r="J235" i="9" s="1"/>
  <c r="G235" i="9"/>
  <c r="K235" i="9" s="1"/>
  <c r="F236" i="9"/>
  <c r="J236" i="9" s="1"/>
  <c r="G236" i="9"/>
  <c r="K236" i="9" s="1"/>
  <c r="F237" i="9"/>
  <c r="J237" i="9" s="1"/>
  <c r="G237" i="9"/>
  <c r="K237" i="9" s="1"/>
  <c r="F238" i="9"/>
  <c r="J238" i="9" s="1"/>
  <c r="G238" i="9"/>
  <c r="K238" i="9" s="1"/>
  <c r="F239" i="9"/>
  <c r="J239" i="9" s="1"/>
  <c r="G239" i="9"/>
  <c r="K239" i="9" s="1"/>
  <c r="F240" i="9"/>
  <c r="J240" i="9" s="1"/>
  <c r="G240" i="9"/>
  <c r="K240" i="9" s="1"/>
  <c r="F241" i="9"/>
  <c r="J241" i="9" s="1"/>
  <c r="G241" i="9"/>
  <c r="K241" i="9" s="1"/>
  <c r="F242" i="9"/>
  <c r="J242" i="9" s="1"/>
  <c r="G242" i="9"/>
  <c r="K242" i="9" s="1"/>
  <c r="F243" i="9"/>
  <c r="J243" i="9" s="1"/>
  <c r="G243" i="9"/>
  <c r="K243" i="9" s="1"/>
  <c r="F244" i="9"/>
  <c r="J244" i="9" s="1"/>
  <c r="G244" i="9"/>
  <c r="K244" i="9" s="1"/>
  <c r="F245" i="9"/>
  <c r="J245" i="9" s="1"/>
  <c r="G245" i="9"/>
  <c r="K245" i="9" s="1"/>
  <c r="F246" i="9"/>
  <c r="J246" i="9" s="1"/>
  <c r="G246" i="9"/>
  <c r="K246" i="9" s="1"/>
  <c r="F247" i="9"/>
  <c r="J247" i="9" s="1"/>
  <c r="G247" i="9"/>
  <c r="K247" i="9" s="1"/>
  <c r="F248" i="9"/>
  <c r="J248" i="9" s="1"/>
  <c r="G248" i="9"/>
  <c r="K248" i="9" s="1"/>
  <c r="F249" i="9"/>
  <c r="J249" i="9" s="1"/>
  <c r="G249" i="9"/>
  <c r="K249" i="9" s="1"/>
  <c r="F250" i="9"/>
  <c r="J250" i="9" s="1"/>
  <c r="G250" i="9"/>
  <c r="K250" i="9" s="1"/>
  <c r="F251" i="9"/>
  <c r="J251" i="9" s="1"/>
  <c r="G251" i="9"/>
  <c r="K251" i="9" s="1"/>
  <c r="F252" i="9"/>
  <c r="J252" i="9" s="1"/>
  <c r="G252" i="9"/>
  <c r="K252" i="9" s="1"/>
  <c r="F253" i="9"/>
  <c r="J253" i="9" s="1"/>
  <c r="G253" i="9"/>
  <c r="K253" i="9" s="1"/>
  <c r="F254" i="9"/>
  <c r="J254" i="9" s="1"/>
  <c r="G254" i="9"/>
  <c r="K254" i="9" s="1"/>
  <c r="F255" i="9"/>
  <c r="J255" i="9" s="1"/>
  <c r="G255" i="9"/>
  <c r="K255" i="9" s="1"/>
  <c r="F256" i="9"/>
  <c r="J256" i="9" s="1"/>
  <c r="G256" i="9"/>
  <c r="K256" i="9" s="1"/>
  <c r="F257" i="9"/>
  <c r="J257" i="9" s="1"/>
  <c r="G257" i="9"/>
  <c r="K257" i="9" s="1"/>
  <c r="F258" i="9"/>
  <c r="J258" i="9" s="1"/>
  <c r="G258" i="9"/>
  <c r="K258" i="9" s="1"/>
  <c r="F259" i="9"/>
  <c r="J259" i="9" s="1"/>
  <c r="G259" i="9"/>
  <c r="K259" i="9" s="1"/>
  <c r="F260" i="9"/>
  <c r="J260" i="9" s="1"/>
  <c r="G260" i="9"/>
  <c r="K260" i="9" s="1"/>
  <c r="F261" i="9"/>
  <c r="J261" i="9" s="1"/>
  <c r="G261" i="9"/>
  <c r="K261" i="9" s="1"/>
  <c r="G262" i="9"/>
  <c r="K262" i="9" s="1"/>
  <c r="F262" i="9"/>
  <c r="J262" i="9" s="1"/>
  <c r="C5" i="14"/>
  <c r="B5" i="14"/>
  <c r="C4" i="14"/>
  <c r="B4" i="14"/>
  <c r="H2" i="11" l="1"/>
  <c r="F6" i="14" s="1"/>
  <c r="H2" i="12"/>
  <c r="H6" i="14" s="1"/>
  <c r="I2" i="12"/>
  <c r="I6" i="14" s="1"/>
  <c r="C6" i="14"/>
  <c r="L2" i="9"/>
  <c r="H2" i="13"/>
  <c r="J6" i="14" s="1"/>
  <c r="I2" i="13"/>
  <c r="K6" i="14" s="1"/>
  <c r="I2" i="11"/>
  <c r="G6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6B58A-7426-BF4A-88B8-2D14BE7FFF67}" keepAlive="1" name="Query - 2024_Closes" description="Connection to the '2024_Closes' query in the workbook." type="5" refreshedVersion="8" background="1" saveData="1">
    <dbPr connection="Provider=Microsoft.Mashup.OleDb.1;Data Source=$Workbook$;Location=2024_Closes;Extended Properties=&quot;&quot;" command="SELECT * FROM [2024_Closes]"/>
  </connection>
  <connection id="2" xr16:uid="{060AE859-B906-A548-BBEE-8C76F9B0C9DA}" keepAlive="1" name="Query - 2024_ClosesQ1" description="Connection to the '2024_ClosesQ1' query in the workbook." type="5" refreshedVersion="8" background="1" saveData="1">
    <dbPr connection="Provider=Microsoft.Mashup.OleDb.1;Data Source=$Workbook$;Location=2024_ClosesQ1;Extended Properties=&quot;&quot;" command="SELECT * FROM [2024_ClosesQ1]"/>
  </connection>
  <connection id="3" xr16:uid="{C0004034-7250-D74B-9609-913C41D1CAF2}" keepAlive="1" name="Query - 2024_ClosesQ2" description="Connection to the '2024_ClosesQ2' query in the workbook." type="5" refreshedVersion="8" background="1" saveData="1">
    <dbPr connection="Provider=Microsoft.Mashup.OleDb.1;Data Source=$Workbook$;Location=2024_ClosesQ2;Extended Properties=&quot;&quot;" command="SELECT * FROM [2024_ClosesQ2]"/>
  </connection>
  <connection id="4" xr16:uid="{2ECCEB73-7490-6643-95A1-28C35A3F5A7A}" keepAlive="1" name="Query - 2024_ClosesQ3" description="Connection to the '2024_ClosesQ3' query in the workbook." type="5" refreshedVersion="8" background="1" saveData="1">
    <dbPr connection="Provider=Microsoft.Mashup.OleDb.1;Data Source=$Workbook$;Location=2024_ClosesQ3;Extended Properties=&quot;&quot;" command="SELECT * FROM [2024_ClosesQ3]"/>
  </connection>
  <connection id="5" xr16:uid="{62EB3E16-C607-B848-9585-F7720D4724CD}" keepAlive="1" name="Query - 2024_ClosesQ4" description="Connection to the '2024_ClosesQ4' query in the workbook." type="5" refreshedVersion="8" background="1" saveData="1">
    <dbPr connection="Provider=Microsoft.Mashup.OleDb.1;Data Source=$Workbook$;Location=2024_ClosesQ4;Extended Properties=&quot;&quot;" command="SELECT * FROM [2024_ClosesQ4]"/>
  </connection>
  <connection id="6" xr16:uid="{3AEB7F9B-0D47-4148-B44F-3E74F6532C00}" keepAlive="1" name="Query - Bitcoin 2024" description="Connection to the 'Bitcoin 2024' query in the workbook." type="5" refreshedVersion="8" background="1" saveData="1">
    <dbPr connection="Provider=Microsoft.Mashup.OleDb.1;Data Source=$Workbook$;Location=&quot;Bitcoin 2024&quot;;Extended Properties=&quot;&quot;" command="SELECT * FROM [Bitcoin 2024]"/>
  </connection>
  <connection id="7" xr16:uid="{E22FC9E4-7BA0-4248-902B-1DCCBE2EA4D5}" keepAlive="1" name="Query - Bitcoin_10 28 24-01 13 25" description="Connection to the 'Bitcoin_10 28 24-01 13 25' query in the workbook." type="5" refreshedVersion="8" background="1" saveData="1">
    <dbPr connection="Provider=Microsoft.Mashup.OleDb.1;Data Source=$Workbook$;Location=&quot;Bitcoin_10 28 24-01 13 25&quot;;Extended Properties=&quot;&quot;" command="SELECT * FROM [Bitcoin_10 28 24-01 13 25]"/>
  </connection>
  <connection id="8" xr16:uid="{59B0256B-3BD3-8D4C-92E1-90AA3E62C752}" keepAlive="1" name="Query - SP500" description="Connection to the 'SP500' query in the workbook." type="5" refreshedVersion="8" background="1" saveData="1">
    <dbPr connection="Provider=Microsoft.Mashup.OleDb.1;Data Source=$Workbook$;Location=SP500;Extended Properties=&quot;&quot;" command="SELECT * FROM [SP500]"/>
  </connection>
</connections>
</file>

<file path=xl/sharedStrings.xml><?xml version="1.0" encoding="utf-8"?>
<sst xmlns="http://schemas.openxmlformats.org/spreadsheetml/2006/main" count="856" uniqueCount="417">
  <si>
    <t>Date</t>
  </si>
  <si>
    <t>Price</t>
  </si>
  <si>
    <t>Open</t>
  </si>
  <si>
    <t>High</t>
  </si>
  <si>
    <t>Low</t>
  </si>
  <si>
    <t>Vol.</t>
  </si>
  <si>
    <t>Change %</t>
  </si>
  <si>
    <t>81.30K</t>
  </si>
  <si>
    <t>77.04K</t>
  </si>
  <si>
    <t>72.17K</t>
  </si>
  <si>
    <t>132.23K</t>
  </si>
  <si>
    <t>179.07K</t>
  </si>
  <si>
    <t>121.46K</t>
  </si>
  <si>
    <t>146.04K</t>
  </si>
  <si>
    <t>150.47K</t>
  </si>
  <si>
    <t>81.24K</t>
  </si>
  <si>
    <t>79.82K</t>
  </si>
  <si>
    <t>158.19K</t>
  </si>
  <si>
    <t>153.34K</t>
  </si>
  <si>
    <t>257.57K</t>
  </si>
  <si>
    <t>288.68K</t>
  </si>
  <si>
    <t>254.04K</t>
  </si>
  <si>
    <t>193.83K</t>
  </si>
  <si>
    <t>72.97K</t>
  </si>
  <si>
    <t>155.17K</t>
  </si>
  <si>
    <t>184.16K</t>
  </si>
  <si>
    <t>357.28K</t>
  </si>
  <si>
    <t>108.95K</t>
  </si>
  <si>
    <t>101.31K</t>
  </si>
  <si>
    <t>83.16K</t>
  </si>
  <si>
    <t>38.72K</t>
  </si>
  <si>
    <t>130.46K</t>
  </si>
  <si>
    <t>111.29K</t>
  </si>
  <si>
    <t>99.05K</t>
  </si>
  <si>
    <t>168.60K</t>
  </si>
  <si>
    <t>103.97K</t>
  </si>
  <si>
    <t>33.58K</t>
  </si>
  <si>
    <t>42.05K</t>
  </si>
  <si>
    <t>110.51K</t>
  </si>
  <si>
    <t>82.78K</t>
  </si>
  <si>
    <t>84.99K</t>
  </si>
  <si>
    <t>86.76K</t>
  </si>
  <si>
    <t>109.28K</t>
  </si>
  <si>
    <t>44.92K</t>
  </si>
  <si>
    <t>33.29K</t>
  </si>
  <si>
    <t>99.20K</t>
  </si>
  <si>
    <t>84.68K</t>
  </si>
  <si>
    <t>98.30K</t>
  </si>
  <si>
    <t>136.72K</t>
  </si>
  <si>
    <t>122.09K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</si>
  <si>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</si>
  <si>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</si>
  <si>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</si>
  <si>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</si>
  <si>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</si>
  <si>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</si>
  <si>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</si>
  <si>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</si>
  <si>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</si>
  <si>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</si>
  <si>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</si>
  <si>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</si>
  <si>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</si>
  <si>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101.70K</t>
  </si>
  <si>
    <t>32.60K</t>
  </si>
  <si>
    <t>35.00K</t>
  </si>
  <si>
    <t>80.55K</t>
  </si>
  <si>
    <t>96.06K</t>
  </si>
  <si>
    <t>62.72K</t>
  </si>
  <si>
    <t>76.71K</t>
  </si>
  <si>
    <t>75.66K</t>
  </si>
  <si>
    <t>48.86K</t>
  </si>
  <si>
    <t>33.20K</t>
  </si>
  <si>
    <t>90.65K</t>
  </si>
  <si>
    <t>120.17K</t>
  </si>
  <si>
    <t>105.57K</t>
  </si>
  <si>
    <t>106.30K</t>
  </si>
  <si>
    <t>87.60K</t>
  </si>
  <si>
    <t>47.01K</t>
  </si>
  <si>
    <t>44.47K</t>
  </si>
  <si>
    <t>102.12K</t>
  </si>
  <si>
    <t>98.42K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</si>
  <si>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</si>
  <si>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</si>
  <si>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</si>
  <si>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</si>
  <si>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</si>
  <si>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</si>
  <si>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</si>
  <si>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</si>
  <si>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</si>
  <si>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</si>
  <si>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63.95K</t>
  </si>
  <si>
    <t>30.86K</t>
  </si>
  <si>
    <t>87.31K</t>
  </si>
  <si>
    <t>87.19K</t>
  </si>
  <si>
    <t>109.47K</t>
  </si>
  <si>
    <t>108.53K</t>
  </si>
  <si>
    <t>68.89K</t>
  </si>
  <si>
    <t>41.61K</t>
  </si>
  <si>
    <t>54.14K</t>
  </si>
  <si>
    <t>125.50K</t>
  </si>
  <si>
    <t>74.39K</t>
  </si>
  <si>
    <t>91.31K</t>
  </si>
  <si>
    <t>69.77K</t>
  </si>
  <si>
    <t>49.19K</t>
  </si>
  <si>
    <t>30.82K</t>
  </si>
  <si>
    <t>18.51K</t>
  </si>
  <si>
    <t>64.01K</t>
  </si>
  <si>
    <t>81.47K</t>
  </si>
  <si>
    <t>64.79K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</si>
  <si>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</si>
  <si>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</si>
  <si>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</si>
  <si>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</si>
  <si>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</si>
  <si>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</si>
  <si>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</si>
  <si>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</si>
  <si>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</si>
  <si>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</si>
  <si>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</si>
  <si>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</si>
  <si>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51.52K</t>
  </si>
  <si>
    <t>54.43K</t>
  </si>
  <si>
    <t>85.67K</t>
  </si>
  <si>
    <t>26.17K</t>
  </si>
  <si>
    <t>67.99K</t>
  </si>
  <si>
    <t>59.13K</t>
  </si>
  <si>
    <t>77.46K</t>
  </si>
  <si>
    <t>52.47K</t>
  </si>
  <si>
    <t>69.58K</t>
  </si>
  <si>
    <t>54.88K</t>
  </si>
  <si>
    <t>47.19K</t>
  </si>
  <si>
    <t>32.94K</t>
  </si>
  <si>
    <t>82.87K</t>
  </si>
  <si>
    <t>51.27K</t>
  </si>
  <si>
    <t>66.11K</t>
  </si>
  <si>
    <t>93.63K</t>
  </si>
  <si>
    <t>96.02K</t>
  </si>
  <si>
    <t>47.48K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</si>
  <si>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</si>
  <si>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</si>
  <si>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</si>
  <si>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</si>
  <si>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</si>
  <si>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</si>
  <si>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</si>
  <si>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</si>
  <si>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</si>
  <si>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</si>
  <si>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</si>
  <si>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</si>
  <si>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</si>
  <si>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37.21K</t>
  </si>
  <si>
    <t>26.56K</t>
  </si>
  <si>
    <t>58.95K</t>
  </si>
  <si>
    <t>48.79K</t>
  </si>
  <si>
    <t>54.95K</t>
  </si>
  <si>
    <t>77.28K</t>
  </si>
  <si>
    <t>120.60K</t>
  </si>
  <si>
    <t>19.94K</t>
  </si>
  <si>
    <t>17.55K</t>
  </si>
  <si>
    <t>60.86K</t>
  </si>
  <si>
    <t>56.24K</t>
  </si>
  <si>
    <t>42.96K</t>
  </si>
  <si>
    <t>93.72K</t>
  </si>
  <si>
    <t>66.09K</t>
  </si>
  <si>
    <t>20.74K</t>
  </si>
  <si>
    <t>24.05K</t>
  </si>
  <si>
    <t>65.18K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</si>
  <si>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</si>
  <si>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</si>
  <si>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</si>
  <si>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</si>
  <si>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</si>
  <si>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</si>
  <si>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</si>
  <si>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</si>
  <si>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</si>
  <si>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</si>
  <si>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</si>
  <si>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</si>
  <si>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</si>
  <si>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61.51K</t>
  </si>
  <si>
    <t>66.84K</t>
  </si>
  <si>
    <t>52.13K</t>
  </si>
  <si>
    <t>71.39K</t>
  </si>
  <si>
    <t>49.07K</t>
  </si>
  <si>
    <t>24.58K</t>
  </si>
  <si>
    <t>25.17K</t>
  </si>
  <si>
    <t>63.28K</t>
  </si>
  <si>
    <t>89.45K</t>
  </si>
  <si>
    <t>65.08K</t>
  </si>
  <si>
    <t>108.56K</t>
  </si>
  <si>
    <t>112.66K</t>
  </si>
  <si>
    <t>36.19K</t>
  </si>
  <si>
    <t>29.68K</t>
  </si>
  <si>
    <t>63.09K</t>
  </si>
  <si>
    <t>72.55K</t>
  </si>
  <si>
    <t>106.05K</t>
  </si>
  <si>
    <t>68.84K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</si>
  <si>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</si>
  <si>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</si>
  <si>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</si>
  <si>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</si>
  <si>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</si>
  <si>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</si>
  <si>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</si>
  <si>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</si>
  <si>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</si>
  <si>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</si>
  <si>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</si>
  <si>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</si>
  <si>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</si>
  <si>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121.04K</t>
  </si>
  <si>
    <t>67.26K</t>
  </si>
  <si>
    <t>36.65K</t>
  </si>
  <si>
    <t>45.34K</t>
  </si>
  <si>
    <t>61.60K</t>
  </si>
  <si>
    <t>80.77K</t>
  </si>
  <si>
    <t>77.83K</t>
  </si>
  <si>
    <t>52.42K</t>
  </si>
  <si>
    <t>72.30K</t>
  </si>
  <si>
    <t>42.02K</t>
  </si>
  <si>
    <t>49.33K</t>
  </si>
  <si>
    <t>150.34K</t>
  </si>
  <si>
    <t>97.38K</t>
  </si>
  <si>
    <t>118.92K</t>
  </si>
  <si>
    <t>114.96K</t>
  </si>
  <si>
    <t>118.79K</t>
  </si>
  <si>
    <t>134.40K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</si>
  <si>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</si>
  <si>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</si>
  <si>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</si>
  <si>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</si>
  <si>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</si>
  <si>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</si>
  <si>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</si>
  <si>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</si>
  <si>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</si>
  <si>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</si>
  <si>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</si>
  <si>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</si>
  <si>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</si>
  <si>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42.45K</t>
  </si>
  <si>
    <t>29.87K</t>
  </si>
  <si>
    <t>58.99K</t>
  </si>
  <si>
    <t>72.49K</t>
  </si>
  <si>
    <t>112.88K</t>
  </si>
  <si>
    <t>90.98K</t>
  </si>
  <si>
    <t>124.72K</t>
  </si>
  <si>
    <t>65.59K</t>
  </si>
  <si>
    <t>35.11K</t>
  </si>
  <si>
    <t>72.43K</t>
  </si>
  <si>
    <t>75.26K</t>
  </si>
  <si>
    <t>133.53K</t>
  </si>
  <si>
    <t>148.08K</t>
  </si>
  <si>
    <t>78.07K</t>
  </si>
  <si>
    <t>66.07K</t>
  </si>
  <si>
    <t>75.82K</t>
  </si>
  <si>
    <t>148.59K</t>
  </si>
  <si>
    <t>109.43K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</si>
  <si>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</si>
  <si>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</si>
  <si>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</si>
  <si>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</si>
  <si>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</si>
  <si>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</si>
  <si>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</si>
  <si>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</si>
  <si>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</si>
  <si>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</si>
  <si>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</si>
  <si>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33.80K</t>
  </si>
  <si>
    <t>74.96K</t>
  </si>
  <si>
    <t>119.29K</t>
  </si>
  <si>
    <t>173.64K</t>
  </si>
  <si>
    <t>100.48K</t>
  </si>
  <si>
    <t>78.05K</t>
  </si>
  <si>
    <t>23.61K</t>
  </si>
  <si>
    <t>43.27K</t>
  </si>
  <si>
    <t>50.27K</t>
  </si>
  <si>
    <t>59.02K</t>
  </si>
  <si>
    <t>68.10K</t>
  </si>
  <si>
    <t>36.73K</t>
  </si>
  <si>
    <t>26.89K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</si>
  <si>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</si>
  <si>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</si>
  <si>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</si>
  <si>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</si>
  <si>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</si>
  <si>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</si>
  <si>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</si>
  <si>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</si>
  <si>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</si>
  <si>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</si>
  <si>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</si>
  <si>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</si>
  <si>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</si>
  <si>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</si>
  <si>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</si>
  <si>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</si>
  <si>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</si>
  <si>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56.48K</t>
  </si>
  <si>
    <t>55.13K</t>
  </si>
  <si>
    <t>45.23K</t>
  </si>
  <si>
    <t>32.53K</t>
  </si>
  <si>
    <t>20.46K</t>
  </si>
  <si>
    <t>69.47K</t>
  </si>
  <si>
    <t>46.30K</t>
  </si>
  <si>
    <t>58.64K</t>
  </si>
  <si>
    <t>82.67K</t>
  </si>
  <si>
    <t>85.10K</t>
  </si>
  <si>
    <t>16.11K</t>
  </si>
  <si>
    <t>22.27K</t>
  </si>
  <si>
    <t>72.64K</t>
  </si>
  <si>
    <t>70.35K</t>
  </si>
  <si>
    <t>50.44K</t>
  </si>
  <si>
    <t>63.93K</t>
  </si>
  <si>
    <t>52.08K</t>
  </si>
  <si>
    <t>37.14K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</si>
  <si>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</si>
  <si>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</si>
  <si>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</si>
  <si>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</si>
  <si>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</si>
  <si>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</si>
  <si>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</si>
  <si>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</si>
  <si>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</si>
  <si>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</si>
  <si>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</si>
  <si>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</si>
  <si>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</si>
  <si>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observation_date</t>
  </si>
  <si>
    <t>SP500</t>
  </si>
  <si>
    <t>Column1</t>
  </si>
  <si>
    <t>Column2</t>
  </si>
  <si>
    <t>45.81K</t>
  </si>
  <si>
    <t>31.61K</t>
  </si>
  <si>
    <t>29.16K</t>
  </si>
  <si>
    <t>125.42K</t>
  </si>
  <si>
    <t>132.78K</t>
  </si>
  <si>
    <t>100.36K</t>
  </si>
  <si>
    <t>99.77K</t>
  </si>
  <si>
    <t>86.73K</t>
  </si>
  <si>
    <t>31.34K</t>
  </si>
  <si>
    <t>36.56K</t>
  </si>
  <si>
    <t>61.62K</t>
  </si>
  <si>
    <t>76.13K</t>
  </si>
  <si>
    <t>43.34K</t>
  </si>
  <si>
    <t>74.85K</t>
  </si>
  <si>
    <t>112.43K</t>
  </si>
  <si>
    <t>47.71K</t>
  </si>
  <si>
    <t>32.97K</t>
  </si>
  <si>
    <t>85.12K</t>
  </si>
  <si>
    <t>74.60K</t>
  </si>
  <si>
    <t>39.80K</t>
  </si>
  <si>
    <t>69.86K</t>
  </si>
  <si>
    <t>133.24K</t>
  </si>
  <si>
    <t>100.64K</t>
  </si>
  <si>
    <t>123.36K</t>
  </si>
  <si>
    <t>221.18K</t>
  </si>
  <si>
    <t>200.57K</t>
  </si>
  <si>
    <t>187.49K</t>
  </si>
  <si>
    <t>149.37K</t>
  </si>
  <si>
    <t>232.66K</t>
  </si>
  <si>
    <t>133.99K</t>
  </si>
  <si>
    <t>105.31K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</si>
  <si>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</si>
  <si>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</si>
  <si>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</si>
  <si>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</si>
  <si>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</si>
  <si>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</si>
  <si>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</si>
  <si>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</si>
  <si>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</si>
  <si>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</si>
  <si>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</si>
  <si>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</si>
  <si>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</si>
  <si>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36.92K</t>
  </si>
  <si>
    <t>76.54K</t>
  </si>
  <si>
    <t>68.17K</t>
  </si>
  <si>
    <t>106.39K</t>
  </si>
  <si>
    <t>131.88K</t>
  </si>
  <si>
    <t>124.98K</t>
  </si>
  <si>
    <t>SP500.1</t>
  </si>
  <si>
    <t>BTC</t>
  </si>
  <si>
    <t>Price Change</t>
  </si>
  <si>
    <t>Volitility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</si>
  <si>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</si>
  <si>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</si>
  <si>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</si>
  <si>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</si>
  <si>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</si>
  <si>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</si>
  <si>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</si>
  <si>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</si>
  <si>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</si>
  <si>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</si>
  <si>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</si>
  <si>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</si>
  <si>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</si>
  <si>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</si>
  <si>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BTC</t>
  </si>
  <si>
    <t>Average of SP500.1</t>
  </si>
  <si>
    <t>Q1</t>
  </si>
  <si>
    <t>Q2</t>
  </si>
  <si>
    <t>Q3</t>
  </si>
  <si>
    <t>Q4</t>
  </si>
  <si>
    <t>BTC %</t>
  </si>
  <si>
    <t>SP500 %</t>
  </si>
  <si>
    <t>BTC ABS</t>
  </si>
  <si>
    <t>SP500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</si>
</sst>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/>
      <right style="thin">
        <color indexed="64"/>
      </right>
      <top style="thick">
        <color theme="4"/>
      </top>
      <bottom style="thick">
        <color theme="4" tint="0.49998474074526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3" borderId="3" xfId="0" applyFill="1" applyBorder="1"/>
    <xf numFmtId="0" fontId="0" fillId="0" borderId="3" xfId="0" applyBorder="1"/>
    <xf numFmtId="14" fontId="0" fillId="3" borderId="3" xfId="0" applyNumberFormat="1" applyFill="1" applyBorder="1"/>
    <xf numFmtId="14" fontId="0" fillId="0" borderId="3" xfId="0" applyNumberFormat="1" applyBorder="1"/>
    <xf numFmtId="14" fontId="0" fillId="3" borderId="4" xfId="0" applyNumberFormat="1" applyFill="1" applyBorder="1"/>
    <xf numFmtId="0" fontId="0" fillId="3" borderId="4" xfId="0" applyFill="1" applyBorder="1"/>
    <xf numFmtId="14" fontId="0" fillId="0" borderId="5" xfId="0" applyNumberFormat="1" applyBorder="1"/>
    <xf numFmtId="0" fontId="0" fillId="0" borderId="5" xfId="0" applyBorder="1"/>
    <xf numFmtId="0" fontId="5" fillId="2" borderId="4" xfId="0" applyFont="1" applyFill="1" applyBorder="1"/>
    <xf numFmtId="0" fontId="2" fillId="0" borderId="1" xfId="4" applyAlignment="1">
      <alignment horizontal="centerContinuous"/>
    </xf>
    <xf numFmtId="0" fontId="4" fillId="0" borderId="0" xfId="6"/>
    <xf numFmtId="9" fontId="0" fillId="0" borderId="0" xfId="3" applyFont="1"/>
    <xf numFmtId="43" fontId="0" fillId="0" borderId="0" xfId="1" applyFont="1"/>
    <xf numFmtId="166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4" borderId="2" xfId="5" applyFill="1"/>
    <xf numFmtId="165" fontId="0" fillId="4" borderId="0" xfId="3" applyNumberFormat="1" applyFont="1" applyFill="1"/>
    <xf numFmtId="164" fontId="0" fillId="4" borderId="0" xfId="2" applyNumberFormat="1" applyFont="1" applyFill="1"/>
    <xf numFmtId="0" fontId="3" fillId="5" borderId="8" xfId="5" applyFill="1" applyBorder="1"/>
    <xf numFmtId="165" fontId="0" fillId="5" borderId="9" xfId="3" applyNumberFormat="1" applyFont="1" applyFill="1" applyBorder="1"/>
    <xf numFmtId="164" fontId="0" fillId="5" borderId="6" xfId="2" applyNumberFormat="1" applyFont="1" applyFill="1" applyBorder="1"/>
    <xf numFmtId="165" fontId="0" fillId="5" borderId="6" xfId="3" applyNumberFormat="1" applyFont="1" applyFill="1" applyBorder="1"/>
    <xf numFmtId="0" fontId="3" fillId="5" borderId="7" xfId="5" applyFill="1" applyBorder="1"/>
    <xf numFmtId="0" fontId="3" fillId="5" borderId="2" xfId="5" applyFill="1"/>
    <xf numFmtId="165" fontId="0" fillId="5" borderId="0" xfId="3" applyNumberFormat="1" applyFont="1" applyFill="1"/>
    <xf numFmtId="164" fontId="0" fillId="5" borderId="0" xfId="2" applyNumberFormat="1" applyFont="1" applyFill="1"/>
    <xf numFmtId="0" fontId="3" fillId="0" borderId="2" xfId="5" applyAlignment="1">
      <alignment horizontal="center"/>
    </xf>
  </cellXfs>
  <cellStyles count="7">
    <cellStyle name="Comma" xfId="1" builtinId="3"/>
    <cellStyle name="Currency" xfId="2" builtinId="4"/>
    <cellStyle name="Heading 1" xfId="4" builtinId="16"/>
    <cellStyle name="Heading 2" xfId="5" builtinId="17"/>
    <cellStyle name="Heading 4" xfId="6" builtinId="19"/>
    <cellStyle name="Normal" xfId="0" builtinId="0"/>
    <cellStyle name="Percent" xfId="3" builtinId="5"/>
  </cellStyles>
  <dxfs count="40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00%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00%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Relative Price</a:t>
            </a:r>
            <a:r>
              <a:rPr lang="en-US" baseline="0"/>
              <a:t> Movement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'2024_Coses'!$B$1</c:f>
              <c:strCache>
                <c:ptCount val="1"/>
                <c:pt idx="0">
                  <c:v>BTC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'2024_Coses'!$A$2:$A$263</c:f>
              <c:numCache>
                <c:formatCode>m/d/yy</c:formatCode>
                <c:ptCount val="262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45397</c:v>
                </c:pt>
                <c:pt idx="55">
                  <c:v>45581</c:v>
                </c:pt>
                <c:pt idx="56">
                  <c:v>45398</c:v>
                </c:pt>
                <c:pt idx="57">
                  <c:v>45580</c:v>
                </c:pt>
                <c:pt idx="58">
                  <c:v>45399</c:v>
                </c:pt>
                <c:pt idx="59">
                  <c:v>45579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45576</c:v>
                </c:pt>
                <c:pt idx="64">
                  <c:v>45405</c:v>
                </c:pt>
                <c:pt idx="65">
                  <c:v>45575</c:v>
                </c:pt>
                <c:pt idx="66">
                  <c:v>45406</c:v>
                </c:pt>
                <c:pt idx="67">
                  <c:v>45574</c:v>
                </c:pt>
                <c:pt idx="68">
                  <c:v>45407</c:v>
                </c:pt>
                <c:pt idx="69">
                  <c:v>45573</c:v>
                </c:pt>
                <c:pt idx="70">
                  <c:v>45408</c:v>
                </c:pt>
                <c:pt idx="71">
                  <c:v>45572</c:v>
                </c:pt>
                <c:pt idx="72">
                  <c:v>45411</c:v>
                </c:pt>
                <c:pt idx="73">
                  <c:v>45412</c:v>
                </c:pt>
                <c:pt idx="74">
                  <c:v>45413</c:v>
                </c:pt>
                <c:pt idx="75">
                  <c:v>45569</c:v>
                </c:pt>
                <c:pt idx="76">
                  <c:v>45414</c:v>
                </c:pt>
                <c:pt idx="77">
                  <c:v>45568</c:v>
                </c:pt>
                <c:pt idx="78">
                  <c:v>45415</c:v>
                </c:pt>
                <c:pt idx="79">
                  <c:v>45567</c:v>
                </c:pt>
                <c:pt idx="80">
                  <c:v>45418</c:v>
                </c:pt>
                <c:pt idx="81">
                  <c:v>45566</c:v>
                </c:pt>
                <c:pt idx="82">
                  <c:v>45419</c:v>
                </c:pt>
                <c:pt idx="83">
                  <c:v>45565</c:v>
                </c:pt>
                <c:pt idx="84">
                  <c:v>45420</c:v>
                </c:pt>
                <c:pt idx="85">
                  <c:v>45421</c:v>
                </c:pt>
                <c:pt idx="86">
                  <c:v>45422</c:v>
                </c:pt>
                <c:pt idx="87">
                  <c:v>45562</c:v>
                </c:pt>
                <c:pt idx="88">
                  <c:v>45425</c:v>
                </c:pt>
                <c:pt idx="89">
                  <c:v>45561</c:v>
                </c:pt>
                <c:pt idx="90">
                  <c:v>45426</c:v>
                </c:pt>
                <c:pt idx="91">
                  <c:v>45560</c:v>
                </c:pt>
                <c:pt idx="92">
                  <c:v>45427</c:v>
                </c:pt>
                <c:pt idx="93">
                  <c:v>45559</c:v>
                </c:pt>
                <c:pt idx="94">
                  <c:v>45428</c:v>
                </c:pt>
                <c:pt idx="95">
                  <c:v>45558</c:v>
                </c:pt>
                <c:pt idx="96">
                  <c:v>45429</c:v>
                </c:pt>
                <c:pt idx="97">
                  <c:v>45432</c:v>
                </c:pt>
                <c:pt idx="98">
                  <c:v>45433</c:v>
                </c:pt>
                <c:pt idx="99">
                  <c:v>45555</c:v>
                </c:pt>
                <c:pt idx="100">
                  <c:v>45434</c:v>
                </c:pt>
                <c:pt idx="101">
                  <c:v>45554</c:v>
                </c:pt>
                <c:pt idx="102">
                  <c:v>45435</c:v>
                </c:pt>
                <c:pt idx="103">
                  <c:v>45553</c:v>
                </c:pt>
                <c:pt idx="104">
                  <c:v>45436</c:v>
                </c:pt>
                <c:pt idx="105">
                  <c:v>45552</c:v>
                </c:pt>
                <c:pt idx="106">
                  <c:v>45439</c:v>
                </c:pt>
                <c:pt idx="107">
                  <c:v>45551</c:v>
                </c:pt>
                <c:pt idx="108">
                  <c:v>45440</c:v>
                </c:pt>
                <c:pt idx="109">
                  <c:v>45441</c:v>
                </c:pt>
                <c:pt idx="110">
                  <c:v>45442</c:v>
                </c:pt>
                <c:pt idx="111">
                  <c:v>45548</c:v>
                </c:pt>
                <c:pt idx="112">
                  <c:v>45443</c:v>
                </c:pt>
                <c:pt idx="113">
                  <c:v>45547</c:v>
                </c:pt>
                <c:pt idx="114">
                  <c:v>45446</c:v>
                </c:pt>
                <c:pt idx="115">
                  <c:v>45546</c:v>
                </c:pt>
                <c:pt idx="116">
                  <c:v>45447</c:v>
                </c:pt>
                <c:pt idx="117">
                  <c:v>45545</c:v>
                </c:pt>
                <c:pt idx="118">
                  <c:v>45448</c:v>
                </c:pt>
                <c:pt idx="119">
                  <c:v>45544</c:v>
                </c:pt>
                <c:pt idx="120">
                  <c:v>45449</c:v>
                </c:pt>
                <c:pt idx="121">
                  <c:v>45450</c:v>
                </c:pt>
                <c:pt idx="122">
                  <c:v>45453</c:v>
                </c:pt>
                <c:pt idx="123">
                  <c:v>45541</c:v>
                </c:pt>
                <c:pt idx="124">
                  <c:v>45454</c:v>
                </c:pt>
                <c:pt idx="125">
                  <c:v>45540</c:v>
                </c:pt>
                <c:pt idx="126">
                  <c:v>45455</c:v>
                </c:pt>
                <c:pt idx="127">
                  <c:v>45539</c:v>
                </c:pt>
                <c:pt idx="128">
                  <c:v>45456</c:v>
                </c:pt>
                <c:pt idx="129">
                  <c:v>45538</c:v>
                </c:pt>
                <c:pt idx="130">
                  <c:v>45457</c:v>
                </c:pt>
                <c:pt idx="131">
                  <c:v>45537</c:v>
                </c:pt>
                <c:pt idx="132">
                  <c:v>45460</c:v>
                </c:pt>
                <c:pt idx="133">
                  <c:v>45461</c:v>
                </c:pt>
                <c:pt idx="134">
                  <c:v>45462</c:v>
                </c:pt>
                <c:pt idx="135">
                  <c:v>45534</c:v>
                </c:pt>
                <c:pt idx="136">
                  <c:v>45463</c:v>
                </c:pt>
                <c:pt idx="137">
                  <c:v>45533</c:v>
                </c:pt>
                <c:pt idx="138">
                  <c:v>45464</c:v>
                </c:pt>
                <c:pt idx="139">
                  <c:v>45532</c:v>
                </c:pt>
                <c:pt idx="140">
                  <c:v>45467</c:v>
                </c:pt>
                <c:pt idx="141">
                  <c:v>45531</c:v>
                </c:pt>
                <c:pt idx="142">
                  <c:v>45468</c:v>
                </c:pt>
                <c:pt idx="143">
                  <c:v>45530</c:v>
                </c:pt>
                <c:pt idx="144">
                  <c:v>45469</c:v>
                </c:pt>
                <c:pt idx="145">
                  <c:v>45470</c:v>
                </c:pt>
                <c:pt idx="146">
                  <c:v>45471</c:v>
                </c:pt>
                <c:pt idx="147">
                  <c:v>45527</c:v>
                </c:pt>
                <c:pt idx="148">
                  <c:v>45474</c:v>
                </c:pt>
                <c:pt idx="149">
                  <c:v>45526</c:v>
                </c:pt>
                <c:pt idx="150">
                  <c:v>45475</c:v>
                </c:pt>
                <c:pt idx="151">
                  <c:v>45525</c:v>
                </c:pt>
                <c:pt idx="152">
                  <c:v>45476</c:v>
                </c:pt>
                <c:pt idx="153">
                  <c:v>45524</c:v>
                </c:pt>
                <c:pt idx="154">
                  <c:v>45477</c:v>
                </c:pt>
                <c:pt idx="155">
                  <c:v>45523</c:v>
                </c:pt>
                <c:pt idx="156">
                  <c:v>45478</c:v>
                </c:pt>
                <c:pt idx="157">
                  <c:v>45481</c:v>
                </c:pt>
                <c:pt idx="158">
                  <c:v>45482</c:v>
                </c:pt>
                <c:pt idx="159">
                  <c:v>45520</c:v>
                </c:pt>
                <c:pt idx="160">
                  <c:v>45483</c:v>
                </c:pt>
                <c:pt idx="161">
                  <c:v>45519</c:v>
                </c:pt>
                <c:pt idx="162">
                  <c:v>45484</c:v>
                </c:pt>
                <c:pt idx="163">
                  <c:v>45518</c:v>
                </c:pt>
                <c:pt idx="164">
                  <c:v>45485</c:v>
                </c:pt>
                <c:pt idx="165">
                  <c:v>45517</c:v>
                </c:pt>
                <c:pt idx="166">
                  <c:v>45488</c:v>
                </c:pt>
                <c:pt idx="167">
                  <c:v>45516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45513</c:v>
                </c:pt>
                <c:pt idx="172">
                  <c:v>45492</c:v>
                </c:pt>
                <c:pt idx="173">
                  <c:v>45512</c:v>
                </c:pt>
                <c:pt idx="174">
                  <c:v>45495</c:v>
                </c:pt>
                <c:pt idx="175">
                  <c:v>45511</c:v>
                </c:pt>
                <c:pt idx="176">
                  <c:v>45496</c:v>
                </c:pt>
                <c:pt idx="177">
                  <c:v>45510</c:v>
                </c:pt>
                <c:pt idx="178">
                  <c:v>45497</c:v>
                </c:pt>
                <c:pt idx="179">
                  <c:v>45509</c:v>
                </c:pt>
                <c:pt idx="180">
                  <c:v>45498</c:v>
                </c:pt>
                <c:pt idx="181">
                  <c:v>45499</c:v>
                </c:pt>
                <c:pt idx="182">
                  <c:v>45502</c:v>
                </c:pt>
                <c:pt idx="183">
                  <c:v>45506</c:v>
                </c:pt>
                <c:pt idx="184">
                  <c:v>45503</c:v>
                </c:pt>
                <c:pt idx="185">
                  <c:v>45505</c:v>
                </c:pt>
                <c:pt idx="186">
                  <c:v>45504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  <c:pt idx="261">
                  <c:v>45292</c:v>
                </c:pt>
              </c:numCache>
            </c:numRef>
          </c:cat>
          <c:val>
            <c:numRef>
              <c:f>'2024_Coses'!$B$2:$B$263</c:f>
              <c:numCache>
                <c:formatCode>General</c:formatCode>
                <c:ptCount val="262"/>
                <c:pt idx="0">
                  <c:v>93557.2</c:v>
                </c:pt>
                <c:pt idx="1">
                  <c:v>92779.8</c:v>
                </c:pt>
                <c:pt idx="2">
                  <c:v>94275.9</c:v>
                </c:pt>
                <c:pt idx="3">
                  <c:v>95777.7</c:v>
                </c:pt>
                <c:pt idx="4">
                  <c:v>99391.3</c:v>
                </c:pt>
                <c:pt idx="5">
                  <c:v>98668.1</c:v>
                </c:pt>
                <c:pt idx="6">
                  <c:v>94852.1</c:v>
                </c:pt>
                <c:pt idx="7">
                  <c:v>97795.7</c:v>
                </c:pt>
                <c:pt idx="8">
                  <c:v>97466.1</c:v>
                </c:pt>
                <c:pt idx="9">
                  <c:v>100197.8</c:v>
                </c:pt>
                <c:pt idx="10">
                  <c:v>106138.9</c:v>
                </c:pt>
                <c:pt idx="11">
                  <c:v>106057.60000000001</c:v>
                </c:pt>
                <c:pt idx="12">
                  <c:v>101426.2</c:v>
                </c:pt>
                <c:pt idx="13">
                  <c:v>100009.9</c:v>
                </c:pt>
                <c:pt idx="14">
                  <c:v>101126.2</c:v>
                </c:pt>
                <c:pt idx="15">
                  <c:v>96600.3</c:v>
                </c:pt>
                <c:pt idx="16">
                  <c:v>97359.4</c:v>
                </c:pt>
                <c:pt idx="17">
                  <c:v>99760.7</c:v>
                </c:pt>
                <c:pt idx="18">
                  <c:v>96970.8</c:v>
                </c:pt>
                <c:pt idx="19">
                  <c:v>98635.8</c:v>
                </c:pt>
                <c:pt idx="20">
                  <c:v>95898.7</c:v>
                </c:pt>
                <c:pt idx="21">
                  <c:v>95846.6</c:v>
                </c:pt>
                <c:pt idx="22">
                  <c:v>97438</c:v>
                </c:pt>
                <c:pt idx="23">
                  <c:v>95645.5</c:v>
                </c:pt>
                <c:pt idx="24">
                  <c:v>95886.6</c:v>
                </c:pt>
                <c:pt idx="25">
                  <c:v>91977.600000000006</c:v>
                </c:pt>
                <c:pt idx="26">
                  <c:v>93064.4</c:v>
                </c:pt>
                <c:pt idx="27">
                  <c:v>98929.7</c:v>
                </c:pt>
                <c:pt idx="28">
                  <c:v>98374.5</c:v>
                </c:pt>
                <c:pt idx="29">
                  <c:v>94303.9</c:v>
                </c:pt>
                <c:pt idx="30">
                  <c:v>92239.2</c:v>
                </c:pt>
                <c:pt idx="31">
                  <c:v>90478.7</c:v>
                </c:pt>
                <c:pt idx="32">
                  <c:v>91046.5</c:v>
                </c:pt>
                <c:pt idx="33">
                  <c:v>87294</c:v>
                </c:pt>
                <c:pt idx="34">
                  <c:v>90422.2</c:v>
                </c:pt>
                <c:pt idx="35">
                  <c:v>87941.3</c:v>
                </c:pt>
                <c:pt idx="36">
                  <c:v>88664.1</c:v>
                </c:pt>
                <c:pt idx="37">
                  <c:v>76517.3</c:v>
                </c:pt>
                <c:pt idx="38">
                  <c:v>75868.600000000006</c:v>
                </c:pt>
                <c:pt idx="39">
                  <c:v>75586.3</c:v>
                </c:pt>
                <c:pt idx="40">
                  <c:v>69373.7</c:v>
                </c:pt>
                <c:pt idx="41">
                  <c:v>67848.800000000003</c:v>
                </c:pt>
                <c:pt idx="42">
                  <c:v>69507.199999999997</c:v>
                </c:pt>
                <c:pt idx="43">
                  <c:v>70281.8</c:v>
                </c:pt>
                <c:pt idx="44">
                  <c:v>72347.8</c:v>
                </c:pt>
                <c:pt idx="45">
                  <c:v>72730.399999999994</c:v>
                </c:pt>
                <c:pt idx="46">
                  <c:v>69954.100000000006</c:v>
                </c:pt>
                <c:pt idx="47">
                  <c:v>66696.800000000003</c:v>
                </c:pt>
                <c:pt idx="48">
                  <c:v>68191.5</c:v>
                </c:pt>
                <c:pt idx="49">
                  <c:v>66663.7</c:v>
                </c:pt>
                <c:pt idx="50">
                  <c:v>67427.3</c:v>
                </c:pt>
                <c:pt idx="51">
                  <c:v>67371.3</c:v>
                </c:pt>
                <c:pt idx="52">
                  <c:v>68423.100000000006</c:v>
                </c:pt>
                <c:pt idx="53">
                  <c:v>67418.399999999994</c:v>
                </c:pt>
                <c:pt idx="54">
                  <c:v>63411.9</c:v>
                </c:pt>
                <c:pt idx="55">
                  <c:v>67617.899999999994</c:v>
                </c:pt>
                <c:pt idx="56">
                  <c:v>63805.3</c:v>
                </c:pt>
                <c:pt idx="57">
                  <c:v>67077.5</c:v>
                </c:pt>
                <c:pt idx="58">
                  <c:v>61278.9</c:v>
                </c:pt>
                <c:pt idx="59">
                  <c:v>66081.7</c:v>
                </c:pt>
                <c:pt idx="60">
                  <c:v>63481.4</c:v>
                </c:pt>
                <c:pt idx="61">
                  <c:v>63799.1</c:v>
                </c:pt>
                <c:pt idx="62">
                  <c:v>66829.3</c:v>
                </c:pt>
                <c:pt idx="63">
                  <c:v>62499.4</c:v>
                </c:pt>
                <c:pt idx="64">
                  <c:v>66415</c:v>
                </c:pt>
                <c:pt idx="65">
                  <c:v>60316.2</c:v>
                </c:pt>
                <c:pt idx="66">
                  <c:v>64285.7</c:v>
                </c:pt>
                <c:pt idx="67">
                  <c:v>60628.800000000003</c:v>
                </c:pt>
                <c:pt idx="68">
                  <c:v>64497.1</c:v>
                </c:pt>
                <c:pt idx="69">
                  <c:v>62157</c:v>
                </c:pt>
                <c:pt idx="70">
                  <c:v>63766.400000000001</c:v>
                </c:pt>
                <c:pt idx="71">
                  <c:v>62245.599999999999</c:v>
                </c:pt>
                <c:pt idx="72">
                  <c:v>63860.1</c:v>
                </c:pt>
                <c:pt idx="73">
                  <c:v>60666.6</c:v>
                </c:pt>
                <c:pt idx="74">
                  <c:v>58331.199999999997</c:v>
                </c:pt>
                <c:pt idx="75">
                  <c:v>62081</c:v>
                </c:pt>
                <c:pt idx="76">
                  <c:v>59121.3</c:v>
                </c:pt>
                <c:pt idx="77">
                  <c:v>60751.199999999997</c:v>
                </c:pt>
                <c:pt idx="78">
                  <c:v>62877.5</c:v>
                </c:pt>
                <c:pt idx="79">
                  <c:v>60645.7</c:v>
                </c:pt>
                <c:pt idx="80">
                  <c:v>63163.1</c:v>
                </c:pt>
                <c:pt idx="81">
                  <c:v>60835.5</c:v>
                </c:pt>
                <c:pt idx="82">
                  <c:v>62317.7</c:v>
                </c:pt>
                <c:pt idx="83">
                  <c:v>63339.199999999997</c:v>
                </c:pt>
                <c:pt idx="84">
                  <c:v>61207.5</c:v>
                </c:pt>
                <c:pt idx="85">
                  <c:v>63075</c:v>
                </c:pt>
                <c:pt idx="86">
                  <c:v>60796.9</c:v>
                </c:pt>
                <c:pt idx="87">
                  <c:v>65776.3</c:v>
                </c:pt>
                <c:pt idx="88">
                  <c:v>62937.2</c:v>
                </c:pt>
                <c:pt idx="89">
                  <c:v>65175.7</c:v>
                </c:pt>
                <c:pt idx="90">
                  <c:v>61569.4</c:v>
                </c:pt>
                <c:pt idx="91">
                  <c:v>63156.5</c:v>
                </c:pt>
                <c:pt idx="92">
                  <c:v>66225.100000000006</c:v>
                </c:pt>
                <c:pt idx="93">
                  <c:v>64256.800000000003</c:v>
                </c:pt>
                <c:pt idx="94">
                  <c:v>65231</c:v>
                </c:pt>
                <c:pt idx="95">
                  <c:v>63331.8</c:v>
                </c:pt>
                <c:pt idx="96">
                  <c:v>67036.800000000003</c:v>
                </c:pt>
                <c:pt idx="97">
                  <c:v>71422.7</c:v>
                </c:pt>
                <c:pt idx="98">
                  <c:v>70139.899999999994</c:v>
                </c:pt>
                <c:pt idx="99">
                  <c:v>63201.2</c:v>
                </c:pt>
                <c:pt idx="100">
                  <c:v>69155.399999999994</c:v>
                </c:pt>
                <c:pt idx="101">
                  <c:v>62938.6</c:v>
                </c:pt>
                <c:pt idx="102">
                  <c:v>67975.7</c:v>
                </c:pt>
                <c:pt idx="103">
                  <c:v>61757.599999999999</c:v>
                </c:pt>
                <c:pt idx="104">
                  <c:v>68547.600000000006</c:v>
                </c:pt>
                <c:pt idx="105">
                  <c:v>60309.1</c:v>
                </c:pt>
                <c:pt idx="106">
                  <c:v>69428.7</c:v>
                </c:pt>
                <c:pt idx="107">
                  <c:v>58213.1</c:v>
                </c:pt>
                <c:pt idx="108">
                  <c:v>68366</c:v>
                </c:pt>
                <c:pt idx="109">
                  <c:v>67635.8</c:v>
                </c:pt>
                <c:pt idx="110">
                  <c:v>68354.7</c:v>
                </c:pt>
                <c:pt idx="111">
                  <c:v>60511.6</c:v>
                </c:pt>
                <c:pt idx="112">
                  <c:v>67530.100000000006</c:v>
                </c:pt>
                <c:pt idx="113">
                  <c:v>58134.5</c:v>
                </c:pt>
                <c:pt idx="114">
                  <c:v>68807.8</c:v>
                </c:pt>
                <c:pt idx="115">
                  <c:v>57338.7</c:v>
                </c:pt>
                <c:pt idx="116">
                  <c:v>70549.2</c:v>
                </c:pt>
                <c:pt idx="117">
                  <c:v>57635</c:v>
                </c:pt>
                <c:pt idx="118">
                  <c:v>71083.7</c:v>
                </c:pt>
                <c:pt idx="119">
                  <c:v>57049.599999999999</c:v>
                </c:pt>
                <c:pt idx="120">
                  <c:v>70791.5</c:v>
                </c:pt>
                <c:pt idx="121">
                  <c:v>69347.899999999994</c:v>
                </c:pt>
                <c:pt idx="122">
                  <c:v>69538.2</c:v>
                </c:pt>
                <c:pt idx="123">
                  <c:v>53966.8</c:v>
                </c:pt>
                <c:pt idx="124">
                  <c:v>67319.8</c:v>
                </c:pt>
                <c:pt idx="125">
                  <c:v>56183.199999999997</c:v>
                </c:pt>
                <c:pt idx="126">
                  <c:v>68260.100000000006</c:v>
                </c:pt>
                <c:pt idx="127">
                  <c:v>57973.4</c:v>
                </c:pt>
                <c:pt idx="128">
                  <c:v>66773.100000000006</c:v>
                </c:pt>
                <c:pt idx="129">
                  <c:v>57479.8</c:v>
                </c:pt>
                <c:pt idx="130">
                  <c:v>66034.8</c:v>
                </c:pt>
                <c:pt idx="131">
                  <c:v>59134</c:v>
                </c:pt>
                <c:pt idx="132">
                  <c:v>66498.8</c:v>
                </c:pt>
                <c:pt idx="133">
                  <c:v>65159.9</c:v>
                </c:pt>
                <c:pt idx="134">
                  <c:v>64980.9</c:v>
                </c:pt>
                <c:pt idx="135">
                  <c:v>59119.7</c:v>
                </c:pt>
                <c:pt idx="136">
                  <c:v>64854.3</c:v>
                </c:pt>
                <c:pt idx="137">
                  <c:v>59373.5</c:v>
                </c:pt>
                <c:pt idx="138">
                  <c:v>64128.5</c:v>
                </c:pt>
                <c:pt idx="139">
                  <c:v>59016</c:v>
                </c:pt>
                <c:pt idx="140">
                  <c:v>60292.7</c:v>
                </c:pt>
                <c:pt idx="141">
                  <c:v>59450.9</c:v>
                </c:pt>
                <c:pt idx="142">
                  <c:v>61809.4</c:v>
                </c:pt>
                <c:pt idx="143">
                  <c:v>62846.2</c:v>
                </c:pt>
                <c:pt idx="144">
                  <c:v>60849.4</c:v>
                </c:pt>
                <c:pt idx="145">
                  <c:v>61685.3</c:v>
                </c:pt>
                <c:pt idx="146">
                  <c:v>60403.3</c:v>
                </c:pt>
                <c:pt idx="147">
                  <c:v>64053.1</c:v>
                </c:pt>
                <c:pt idx="148">
                  <c:v>62890.1</c:v>
                </c:pt>
                <c:pt idx="149">
                  <c:v>60372.2</c:v>
                </c:pt>
                <c:pt idx="150">
                  <c:v>62103.3</c:v>
                </c:pt>
                <c:pt idx="151">
                  <c:v>61158.1</c:v>
                </c:pt>
                <c:pt idx="152">
                  <c:v>60199.3</c:v>
                </c:pt>
                <c:pt idx="153">
                  <c:v>59005.8</c:v>
                </c:pt>
                <c:pt idx="154">
                  <c:v>57026.3</c:v>
                </c:pt>
                <c:pt idx="155">
                  <c:v>59470.9</c:v>
                </c:pt>
                <c:pt idx="156">
                  <c:v>56641.8</c:v>
                </c:pt>
                <c:pt idx="157">
                  <c:v>56724.7</c:v>
                </c:pt>
                <c:pt idx="158">
                  <c:v>58039.4</c:v>
                </c:pt>
                <c:pt idx="159">
                  <c:v>58877.2</c:v>
                </c:pt>
                <c:pt idx="160">
                  <c:v>57746.7</c:v>
                </c:pt>
                <c:pt idx="161">
                  <c:v>57534.6</c:v>
                </c:pt>
                <c:pt idx="162">
                  <c:v>57337.3</c:v>
                </c:pt>
                <c:pt idx="163">
                  <c:v>58707.8</c:v>
                </c:pt>
                <c:pt idx="164">
                  <c:v>57885.1</c:v>
                </c:pt>
                <c:pt idx="165">
                  <c:v>60595.199999999997</c:v>
                </c:pt>
                <c:pt idx="166">
                  <c:v>64782.400000000001</c:v>
                </c:pt>
                <c:pt idx="167">
                  <c:v>59350</c:v>
                </c:pt>
                <c:pt idx="168">
                  <c:v>65049.7</c:v>
                </c:pt>
                <c:pt idx="169">
                  <c:v>64089.2</c:v>
                </c:pt>
                <c:pt idx="170">
                  <c:v>63980.5</c:v>
                </c:pt>
                <c:pt idx="171">
                  <c:v>60850.6</c:v>
                </c:pt>
                <c:pt idx="172">
                  <c:v>66677.399999999994</c:v>
                </c:pt>
                <c:pt idx="173">
                  <c:v>61699.7</c:v>
                </c:pt>
                <c:pt idx="174">
                  <c:v>67553.600000000006</c:v>
                </c:pt>
                <c:pt idx="175">
                  <c:v>55120.9</c:v>
                </c:pt>
                <c:pt idx="176">
                  <c:v>65937.8</c:v>
                </c:pt>
                <c:pt idx="177">
                  <c:v>56057.8</c:v>
                </c:pt>
                <c:pt idx="178">
                  <c:v>65370.5</c:v>
                </c:pt>
                <c:pt idx="179">
                  <c:v>53979</c:v>
                </c:pt>
                <c:pt idx="180">
                  <c:v>65799.3</c:v>
                </c:pt>
                <c:pt idx="181">
                  <c:v>67908.600000000006</c:v>
                </c:pt>
                <c:pt idx="182">
                  <c:v>66798.7</c:v>
                </c:pt>
                <c:pt idx="183">
                  <c:v>61478.7</c:v>
                </c:pt>
                <c:pt idx="184">
                  <c:v>66184.899999999994</c:v>
                </c:pt>
                <c:pt idx="185">
                  <c:v>65372.9</c:v>
                </c:pt>
                <c:pt idx="186">
                  <c:v>64626</c:v>
                </c:pt>
                <c:pt idx="187">
                  <c:v>67151.899999999994</c:v>
                </c:pt>
                <c:pt idx="188">
                  <c:v>70011.600000000006</c:v>
                </c:pt>
                <c:pt idx="189">
                  <c:v>70622.100000000006</c:v>
                </c:pt>
                <c:pt idx="190">
                  <c:v>69148</c:v>
                </c:pt>
                <c:pt idx="191">
                  <c:v>71630.100000000006</c:v>
                </c:pt>
                <c:pt idx="192">
                  <c:v>67830.600000000006</c:v>
                </c:pt>
                <c:pt idx="193">
                  <c:v>68496.5</c:v>
                </c:pt>
                <c:pt idx="194">
                  <c:v>65963</c:v>
                </c:pt>
                <c:pt idx="195">
                  <c:v>65439.199999999997</c:v>
                </c:pt>
                <c:pt idx="196">
                  <c:v>69664.399999999994</c:v>
                </c:pt>
                <c:pt idx="197">
                  <c:v>69871.7</c:v>
                </c:pt>
                <c:pt idx="198">
                  <c:v>70762.100000000006</c:v>
                </c:pt>
                <c:pt idx="199">
                  <c:v>69442.399999999994</c:v>
                </c:pt>
                <c:pt idx="200">
                  <c:v>69999.3</c:v>
                </c:pt>
                <c:pt idx="201">
                  <c:v>69892</c:v>
                </c:pt>
                <c:pt idx="202">
                  <c:v>63785.5</c:v>
                </c:pt>
                <c:pt idx="203">
                  <c:v>65503.8</c:v>
                </c:pt>
                <c:pt idx="204">
                  <c:v>67854</c:v>
                </c:pt>
                <c:pt idx="205">
                  <c:v>62050</c:v>
                </c:pt>
                <c:pt idx="206">
                  <c:v>67594.100000000006</c:v>
                </c:pt>
                <c:pt idx="207">
                  <c:v>69463.7</c:v>
                </c:pt>
                <c:pt idx="208">
                  <c:v>71387.5</c:v>
                </c:pt>
                <c:pt idx="209">
                  <c:v>73066.3</c:v>
                </c:pt>
                <c:pt idx="210">
                  <c:v>71470.2</c:v>
                </c:pt>
                <c:pt idx="211">
                  <c:v>72099.100000000006</c:v>
                </c:pt>
                <c:pt idx="212">
                  <c:v>68172</c:v>
                </c:pt>
                <c:pt idx="213">
                  <c:v>66855.3</c:v>
                </c:pt>
                <c:pt idx="214">
                  <c:v>66080.399999999994</c:v>
                </c:pt>
                <c:pt idx="215">
                  <c:v>63792.6</c:v>
                </c:pt>
                <c:pt idx="216">
                  <c:v>68270.100000000006</c:v>
                </c:pt>
                <c:pt idx="217">
                  <c:v>62397.7</c:v>
                </c:pt>
                <c:pt idx="218">
                  <c:v>61169.3</c:v>
                </c:pt>
                <c:pt idx="219">
                  <c:v>62467.6</c:v>
                </c:pt>
                <c:pt idx="220">
                  <c:v>57056.2</c:v>
                </c:pt>
                <c:pt idx="221">
                  <c:v>54495.1</c:v>
                </c:pt>
                <c:pt idx="222">
                  <c:v>50740.5</c:v>
                </c:pt>
                <c:pt idx="223">
                  <c:v>51320.4</c:v>
                </c:pt>
                <c:pt idx="224">
                  <c:v>51858.2</c:v>
                </c:pt>
                <c:pt idx="225">
                  <c:v>52263.5</c:v>
                </c:pt>
                <c:pt idx="226">
                  <c:v>51783.6</c:v>
                </c:pt>
                <c:pt idx="227">
                  <c:v>52134.2</c:v>
                </c:pt>
                <c:pt idx="228">
                  <c:v>51901.3</c:v>
                </c:pt>
                <c:pt idx="229">
                  <c:v>51782.400000000001</c:v>
                </c:pt>
                <c:pt idx="230">
                  <c:v>49716</c:v>
                </c:pt>
                <c:pt idx="231">
                  <c:v>49941.3</c:v>
                </c:pt>
                <c:pt idx="232">
                  <c:v>47127.5</c:v>
                </c:pt>
                <c:pt idx="233">
                  <c:v>45293.3</c:v>
                </c:pt>
                <c:pt idx="234">
                  <c:v>44339.8</c:v>
                </c:pt>
                <c:pt idx="235">
                  <c:v>43087.7</c:v>
                </c:pt>
                <c:pt idx="236">
                  <c:v>42697.2</c:v>
                </c:pt>
                <c:pt idx="237">
                  <c:v>43194.7</c:v>
                </c:pt>
                <c:pt idx="238">
                  <c:v>43081.4</c:v>
                </c:pt>
                <c:pt idx="239">
                  <c:v>42580.5</c:v>
                </c:pt>
                <c:pt idx="240">
                  <c:v>42946.2</c:v>
                </c:pt>
                <c:pt idx="241">
                  <c:v>43299.8</c:v>
                </c:pt>
                <c:pt idx="242">
                  <c:v>41811.300000000003</c:v>
                </c:pt>
                <c:pt idx="243">
                  <c:v>39935.699999999997</c:v>
                </c:pt>
                <c:pt idx="244">
                  <c:v>40086</c:v>
                </c:pt>
                <c:pt idx="245">
                  <c:v>39888.800000000003</c:v>
                </c:pt>
                <c:pt idx="246">
                  <c:v>39556.400000000001</c:v>
                </c:pt>
                <c:pt idx="247">
                  <c:v>41648</c:v>
                </c:pt>
                <c:pt idx="248">
                  <c:v>41292.699999999997</c:v>
                </c:pt>
                <c:pt idx="249">
                  <c:v>42768.7</c:v>
                </c:pt>
                <c:pt idx="250">
                  <c:v>43145.5</c:v>
                </c:pt>
                <c:pt idx="251">
                  <c:v>42510.7</c:v>
                </c:pt>
                <c:pt idx="252">
                  <c:v>42835.9</c:v>
                </c:pt>
                <c:pt idx="253">
                  <c:v>46348.2</c:v>
                </c:pt>
                <c:pt idx="254">
                  <c:v>46629.3</c:v>
                </c:pt>
                <c:pt idx="255">
                  <c:v>46129</c:v>
                </c:pt>
                <c:pt idx="256">
                  <c:v>46962.2</c:v>
                </c:pt>
                <c:pt idx="257">
                  <c:v>44156.9</c:v>
                </c:pt>
                <c:pt idx="258">
                  <c:v>44157</c:v>
                </c:pt>
                <c:pt idx="259">
                  <c:v>42836.1</c:v>
                </c:pt>
                <c:pt idx="260">
                  <c:v>44943.7</c:v>
                </c:pt>
                <c:pt idx="261">
                  <c:v>44183.4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6-0445-B0E6-F0ED0A353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547584"/>
        <c:axId val="1335549296"/>
      </c:lineChart>
      <c:lineChart>
        <c:grouping val="standard"/>
        <c:varyColors val="0"/>
        <c:ser>
          <c:idx val="1"/>
          <c:order val="1"/>
          <c:tx>
            <c:strRef>
              <c:f>'2024_Coses'!$C$1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'2024_Coses'!$A$2:$A$263</c:f>
              <c:numCache>
                <c:formatCode>m/d/yy</c:formatCode>
                <c:ptCount val="262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45397</c:v>
                </c:pt>
                <c:pt idx="55">
                  <c:v>45581</c:v>
                </c:pt>
                <c:pt idx="56">
                  <c:v>45398</c:v>
                </c:pt>
                <c:pt idx="57">
                  <c:v>45580</c:v>
                </c:pt>
                <c:pt idx="58">
                  <c:v>45399</c:v>
                </c:pt>
                <c:pt idx="59">
                  <c:v>45579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45576</c:v>
                </c:pt>
                <c:pt idx="64">
                  <c:v>45405</c:v>
                </c:pt>
                <c:pt idx="65">
                  <c:v>45575</c:v>
                </c:pt>
                <c:pt idx="66">
                  <c:v>45406</c:v>
                </c:pt>
                <c:pt idx="67">
                  <c:v>45574</c:v>
                </c:pt>
                <c:pt idx="68">
                  <c:v>45407</c:v>
                </c:pt>
                <c:pt idx="69">
                  <c:v>45573</c:v>
                </c:pt>
                <c:pt idx="70">
                  <c:v>45408</c:v>
                </c:pt>
                <c:pt idx="71">
                  <c:v>45572</c:v>
                </c:pt>
                <c:pt idx="72">
                  <c:v>45411</c:v>
                </c:pt>
                <c:pt idx="73">
                  <c:v>45412</c:v>
                </c:pt>
                <c:pt idx="74">
                  <c:v>45413</c:v>
                </c:pt>
                <c:pt idx="75">
                  <c:v>45569</c:v>
                </c:pt>
                <c:pt idx="76">
                  <c:v>45414</c:v>
                </c:pt>
                <c:pt idx="77">
                  <c:v>45568</c:v>
                </c:pt>
                <c:pt idx="78">
                  <c:v>45415</c:v>
                </c:pt>
                <c:pt idx="79">
                  <c:v>45567</c:v>
                </c:pt>
                <c:pt idx="80">
                  <c:v>45418</c:v>
                </c:pt>
                <c:pt idx="81">
                  <c:v>45566</c:v>
                </c:pt>
                <c:pt idx="82">
                  <c:v>45419</c:v>
                </c:pt>
                <c:pt idx="83">
                  <c:v>45565</c:v>
                </c:pt>
                <c:pt idx="84">
                  <c:v>45420</c:v>
                </c:pt>
                <c:pt idx="85">
                  <c:v>45421</c:v>
                </c:pt>
                <c:pt idx="86">
                  <c:v>45422</c:v>
                </c:pt>
                <c:pt idx="87">
                  <c:v>45562</c:v>
                </c:pt>
                <c:pt idx="88">
                  <c:v>45425</c:v>
                </c:pt>
                <c:pt idx="89">
                  <c:v>45561</c:v>
                </c:pt>
                <c:pt idx="90">
                  <c:v>45426</c:v>
                </c:pt>
                <c:pt idx="91">
                  <c:v>45560</c:v>
                </c:pt>
                <c:pt idx="92">
                  <c:v>45427</c:v>
                </c:pt>
                <c:pt idx="93">
                  <c:v>45559</c:v>
                </c:pt>
                <c:pt idx="94">
                  <c:v>45428</c:v>
                </c:pt>
                <c:pt idx="95">
                  <c:v>45558</c:v>
                </c:pt>
                <c:pt idx="96">
                  <c:v>45429</c:v>
                </c:pt>
                <c:pt idx="97">
                  <c:v>45432</c:v>
                </c:pt>
                <c:pt idx="98">
                  <c:v>45433</c:v>
                </c:pt>
                <c:pt idx="99">
                  <c:v>45555</c:v>
                </c:pt>
                <c:pt idx="100">
                  <c:v>45434</c:v>
                </c:pt>
                <c:pt idx="101">
                  <c:v>45554</c:v>
                </c:pt>
                <c:pt idx="102">
                  <c:v>45435</c:v>
                </c:pt>
                <c:pt idx="103">
                  <c:v>45553</c:v>
                </c:pt>
                <c:pt idx="104">
                  <c:v>45436</c:v>
                </c:pt>
                <c:pt idx="105">
                  <c:v>45552</c:v>
                </c:pt>
                <c:pt idx="106">
                  <c:v>45439</c:v>
                </c:pt>
                <c:pt idx="107">
                  <c:v>45551</c:v>
                </c:pt>
                <c:pt idx="108">
                  <c:v>45440</c:v>
                </c:pt>
                <c:pt idx="109">
                  <c:v>45441</c:v>
                </c:pt>
                <c:pt idx="110">
                  <c:v>45442</c:v>
                </c:pt>
                <c:pt idx="111">
                  <c:v>45548</c:v>
                </c:pt>
                <c:pt idx="112">
                  <c:v>45443</c:v>
                </c:pt>
                <c:pt idx="113">
                  <c:v>45547</c:v>
                </c:pt>
                <c:pt idx="114">
                  <c:v>45446</c:v>
                </c:pt>
                <c:pt idx="115">
                  <c:v>45546</c:v>
                </c:pt>
                <c:pt idx="116">
                  <c:v>45447</c:v>
                </c:pt>
                <c:pt idx="117">
                  <c:v>45545</c:v>
                </c:pt>
                <c:pt idx="118">
                  <c:v>45448</c:v>
                </c:pt>
                <c:pt idx="119">
                  <c:v>45544</c:v>
                </c:pt>
                <c:pt idx="120">
                  <c:v>45449</c:v>
                </c:pt>
                <c:pt idx="121">
                  <c:v>45450</c:v>
                </c:pt>
                <c:pt idx="122">
                  <c:v>45453</c:v>
                </c:pt>
                <c:pt idx="123">
                  <c:v>45541</c:v>
                </c:pt>
                <c:pt idx="124">
                  <c:v>45454</c:v>
                </c:pt>
                <c:pt idx="125">
                  <c:v>45540</c:v>
                </c:pt>
                <c:pt idx="126">
                  <c:v>45455</c:v>
                </c:pt>
                <c:pt idx="127">
                  <c:v>45539</c:v>
                </c:pt>
                <c:pt idx="128">
                  <c:v>45456</c:v>
                </c:pt>
                <c:pt idx="129">
                  <c:v>45538</c:v>
                </c:pt>
                <c:pt idx="130">
                  <c:v>45457</c:v>
                </c:pt>
                <c:pt idx="131">
                  <c:v>45537</c:v>
                </c:pt>
                <c:pt idx="132">
                  <c:v>45460</c:v>
                </c:pt>
                <c:pt idx="133">
                  <c:v>45461</c:v>
                </c:pt>
                <c:pt idx="134">
                  <c:v>45462</c:v>
                </c:pt>
                <c:pt idx="135">
                  <c:v>45534</c:v>
                </c:pt>
                <c:pt idx="136">
                  <c:v>45463</c:v>
                </c:pt>
                <c:pt idx="137">
                  <c:v>45533</c:v>
                </c:pt>
                <c:pt idx="138">
                  <c:v>45464</c:v>
                </c:pt>
                <c:pt idx="139">
                  <c:v>45532</c:v>
                </c:pt>
                <c:pt idx="140">
                  <c:v>45467</c:v>
                </c:pt>
                <c:pt idx="141">
                  <c:v>45531</c:v>
                </c:pt>
                <c:pt idx="142">
                  <c:v>45468</c:v>
                </c:pt>
                <c:pt idx="143">
                  <c:v>45530</c:v>
                </c:pt>
                <c:pt idx="144">
                  <c:v>45469</c:v>
                </c:pt>
                <c:pt idx="145">
                  <c:v>45470</c:v>
                </c:pt>
                <c:pt idx="146">
                  <c:v>45471</c:v>
                </c:pt>
                <c:pt idx="147">
                  <c:v>45527</c:v>
                </c:pt>
                <c:pt idx="148">
                  <c:v>45474</c:v>
                </c:pt>
                <c:pt idx="149">
                  <c:v>45526</c:v>
                </c:pt>
                <c:pt idx="150">
                  <c:v>45475</c:v>
                </c:pt>
                <c:pt idx="151">
                  <c:v>45525</c:v>
                </c:pt>
                <c:pt idx="152">
                  <c:v>45476</c:v>
                </c:pt>
                <c:pt idx="153">
                  <c:v>45524</c:v>
                </c:pt>
                <c:pt idx="154">
                  <c:v>45477</c:v>
                </c:pt>
                <c:pt idx="155">
                  <c:v>45523</c:v>
                </c:pt>
                <c:pt idx="156">
                  <c:v>45478</c:v>
                </c:pt>
                <c:pt idx="157">
                  <c:v>45481</c:v>
                </c:pt>
                <c:pt idx="158">
                  <c:v>45482</c:v>
                </c:pt>
                <c:pt idx="159">
                  <c:v>45520</c:v>
                </c:pt>
                <c:pt idx="160">
                  <c:v>45483</c:v>
                </c:pt>
                <c:pt idx="161">
                  <c:v>45519</c:v>
                </c:pt>
                <c:pt idx="162">
                  <c:v>45484</c:v>
                </c:pt>
                <c:pt idx="163">
                  <c:v>45518</c:v>
                </c:pt>
                <c:pt idx="164">
                  <c:v>45485</c:v>
                </c:pt>
                <c:pt idx="165">
                  <c:v>45517</c:v>
                </c:pt>
                <c:pt idx="166">
                  <c:v>45488</c:v>
                </c:pt>
                <c:pt idx="167">
                  <c:v>45516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45513</c:v>
                </c:pt>
                <c:pt idx="172">
                  <c:v>45492</c:v>
                </c:pt>
                <c:pt idx="173">
                  <c:v>45512</c:v>
                </c:pt>
                <c:pt idx="174">
                  <c:v>45495</c:v>
                </c:pt>
                <c:pt idx="175">
                  <c:v>45511</c:v>
                </c:pt>
                <c:pt idx="176">
                  <c:v>45496</c:v>
                </c:pt>
                <c:pt idx="177">
                  <c:v>45510</c:v>
                </c:pt>
                <c:pt idx="178">
                  <c:v>45497</c:v>
                </c:pt>
                <c:pt idx="179">
                  <c:v>45509</c:v>
                </c:pt>
                <c:pt idx="180">
                  <c:v>45498</c:v>
                </c:pt>
                <c:pt idx="181">
                  <c:v>45499</c:v>
                </c:pt>
                <c:pt idx="182">
                  <c:v>45502</c:v>
                </c:pt>
                <c:pt idx="183">
                  <c:v>45506</c:v>
                </c:pt>
                <c:pt idx="184">
                  <c:v>45503</c:v>
                </c:pt>
                <c:pt idx="185">
                  <c:v>45505</c:v>
                </c:pt>
                <c:pt idx="186">
                  <c:v>45504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  <c:pt idx="261">
                  <c:v>45292</c:v>
                </c:pt>
              </c:numCache>
            </c:numRef>
          </c:cat>
          <c:val>
            <c:numRef>
              <c:f>'2024_Coses'!$C$2:$C$263</c:f>
              <c:numCache>
                <c:formatCode>General</c:formatCode>
                <c:ptCount val="262"/>
                <c:pt idx="0">
                  <c:v>5881.63</c:v>
                </c:pt>
                <c:pt idx="1">
                  <c:v>5906.94</c:v>
                </c:pt>
                <c:pt idx="2">
                  <c:v>5970.84</c:v>
                </c:pt>
                <c:pt idx="3">
                  <c:v>6037.59</c:v>
                </c:pt>
                <c:pt idx="4">
                  <c:v>6040.04</c:v>
                </c:pt>
                <c:pt idx="5">
                  <c:v>6040.04</c:v>
                </c:pt>
                <c:pt idx="6">
                  <c:v>5974.07</c:v>
                </c:pt>
                <c:pt idx="7">
                  <c:v>5930.85</c:v>
                </c:pt>
                <c:pt idx="8">
                  <c:v>5867.08</c:v>
                </c:pt>
                <c:pt idx="9">
                  <c:v>5872.16</c:v>
                </c:pt>
                <c:pt idx="10">
                  <c:v>6050.61</c:v>
                </c:pt>
                <c:pt idx="11">
                  <c:v>6074.08</c:v>
                </c:pt>
                <c:pt idx="12">
                  <c:v>6051.09</c:v>
                </c:pt>
                <c:pt idx="13">
                  <c:v>6051.25</c:v>
                </c:pt>
                <c:pt idx="14">
                  <c:v>6084.19</c:v>
                </c:pt>
                <c:pt idx="15">
                  <c:v>6034.91</c:v>
                </c:pt>
                <c:pt idx="16">
                  <c:v>6052.85</c:v>
                </c:pt>
                <c:pt idx="17">
                  <c:v>6090.27</c:v>
                </c:pt>
                <c:pt idx="18">
                  <c:v>6075.11</c:v>
                </c:pt>
                <c:pt idx="19">
                  <c:v>6086.49</c:v>
                </c:pt>
                <c:pt idx="20">
                  <c:v>6049.88</c:v>
                </c:pt>
                <c:pt idx="21">
                  <c:v>6047.15</c:v>
                </c:pt>
                <c:pt idx="22">
                  <c:v>6032.38</c:v>
                </c:pt>
                <c:pt idx="23">
                  <c:v>5998.74</c:v>
                </c:pt>
                <c:pt idx="24">
                  <c:v>5998.74</c:v>
                </c:pt>
                <c:pt idx="25">
                  <c:v>6021.63</c:v>
                </c:pt>
                <c:pt idx="26">
                  <c:v>5987.37</c:v>
                </c:pt>
                <c:pt idx="27">
                  <c:v>5969.34</c:v>
                </c:pt>
                <c:pt idx="28">
                  <c:v>5948.71</c:v>
                </c:pt>
                <c:pt idx="29">
                  <c:v>5917.11</c:v>
                </c:pt>
                <c:pt idx="30">
                  <c:v>5916.98</c:v>
                </c:pt>
                <c:pt idx="31">
                  <c:v>5893.62</c:v>
                </c:pt>
                <c:pt idx="32">
                  <c:v>5870.62</c:v>
                </c:pt>
                <c:pt idx="33">
                  <c:v>5949.17</c:v>
                </c:pt>
                <c:pt idx="34">
                  <c:v>5985.38</c:v>
                </c:pt>
                <c:pt idx="35">
                  <c:v>5983.99</c:v>
                </c:pt>
                <c:pt idx="36">
                  <c:v>6001.35</c:v>
                </c:pt>
                <c:pt idx="37">
                  <c:v>5995.54</c:v>
                </c:pt>
                <c:pt idx="38">
                  <c:v>5973.1</c:v>
                </c:pt>
                <c:pt idx="39">
                  <c:v>5929.04</c:v>
                </c:pt>
                <c:pt idx="40">
                  <c:v>5782.76</c:v>
                </c:pt>
                <c:pt idx="41">
                  <c:v>5712.69</c:v>
                </c:pt>
                <c:pt idx="42">
                  <c:v>5728.8</c:v>
                </c:pt>
                <c:pt idx="43">
                  <c:v>5705.45</c:v>
                </c:pt>
                <c:pt idx="44">
                  <c:v>5813.67</c:v>
                </c:pt>
                <c:pt idx="45">
                  <c:v>5832.92</c:v>
                </c:pt>
                <c:pt idx="46">
                  <c:v>5823.52</c:v>
                </c:pt>
                <c:pt idx="47">
                  <c:v>5808.12</c:v>
                </c:pt>
                <c:pt idx="48">
                  <c:v>5809.86</c:v>
                </c:pt>
                <c:pt idx="49">
                  <c:v>5797.42</c:v>
                </c:pt>
                <c:pt idx="50">
                  <c:v>5851.2</c:v>
                </c:pt>
                <c:pt idx="51">
                  <c:v>5853.98</c:v>
                </c:pt>
                <c:pt idx="52">
                  <c:v>5864.67</c:v>
                </c:pt>
                <c:pt idx="53">
                  <c:v>5841.47</c:v>
                </c:pt>
                <c:pt idx="54">
                  <c:v>5061.82</c:v>
                </c:pt>
                <c:pt idx="55">
                  <c:v>5842.47</c:v>
                </c:pt>
                <c:pt idx="56">
                  <c:v>5051.41</c:v>
                </c:pt>
                <c:pt idx="57">
                  <c:v>5815.26</c:v>
                </c:pt>
                <c:pt idx="58">
                  <c:v>5022.21</c:v>
                </c:pt>
                <c:pt idx="59">
                  <c:v>5859.85</c:v>
                </c:pt>
                <c:pt idx="60">
                  <c:v>5011.12</c:v>
                </c:pt>
                <c:pt idx="61">
                  <c:v>4967.2299999999996</c:v>
                </c:pt>
                <c:pt idx="62">
                  <c:v>5010.6000000000004</c:v>
                </c:pt>
                <c:pt idx="63">
                  <c:v>5815.03</c:v>
                </c:pt>
                <c:pt idx="64">
                  <c:v>5070.55</c:v>
                </c:pt>
                <c:pt idx="65">
                  <c:v>5780.05</c:v>
                </c:pt>
                <c:pt idx="66">
                  <c:v>5071.63</c:v>
                </c:pt>
                <c:pt idx="67">
                  <c:v>5792.04</c:v>
                </c:pt>
                <c:pt idx="68">
                  <c:v>5048.42</c:v>
                </c:pt>
                <c:pt idx="69">
                  <c:v>5751.13</c:v>
                </c:pt>
                <c:pt idx="70">
                  <c:v>5099.96</c:v>
                </c:pt>
                <c:pt idx="71">
                  <c:v>5695.94</c:v>
                </c:pt>
                <c:pt idx="72">
                  <c:v>5116.17</c:v>
                </c:pt>
                <c:pt idx="73">
                  <c:v>5035.6899999999996</c:v>
                </c:pt>
                <c:pt idx="74">
                  <c:v>5018.3900000000003</c:v>
                </c:pt>
                <c:pt idx="75">
                  <c:v>5751.07</c:v>
                </c:pt>
                <c:pt idx="76">
                  <c:v>5064.2</c:v>
                </c:pt>
                <c:pt idx="77">
                  <c:v>5699.94</c:v>
                </c:pt>
                <c:pt idx="78">
                  <c:v>5127.79</c:v>
                </c:pt>
                <c:pt idx="79">
                  <c:v>5709.54</c:v>
                </c:pt>
                <c:pt idx="80">
                  <c:v>5180.74</c:v>
                </c:pt>
                <c:pt idx="81">
                  <c:v>5708.75</c:v>
                </c:pt>
                <c:pt idx="82">
                  <c:v>5187.7</c:v>
                </c:pt>
                <c:pt idx="83">
                  <c:v>5762.48</c:v>
                </c:pt>
                <c:pt idx="84">
                  <c:v>5187.67</c:v>
                </c:pt>
                <c:pt idx="85">
                  <c:v>5214.08</c:v>
                </c:pt>
                <c:pt idx="86">
                  <c:v>5222.68</c:v>
                </c:pt>
                <c:pt idx="87">
                  <c:v>5738.17</c:v>
                </c:pt>
                <c:pt idx="88">
                  <c:v>5221.42</c:v>
                </c:pt>
                <c:pt idx="89">
                  <c:v>5745.37</c:v>
                </c:pt>
                <c:pt idx="90">
                  <c:v>5246.68</c:v>
                </c:pt>
                <c:pt idx="91">
                  <c:v>5722.26</c:v>
                </c:pt>
                <c:pt idx="92">
                  <c:v>5308.15</c:v>
                </c:pt>
                <c:pt idx="93">
                  <c:v>5732.93</c:v>
                </c:pt>
                <c:pt idx="94">
                  <c:v>5297.1</c:v>
                </c:pt>
                <c:pt idx="95">
                  <c:v>5718.57</c:v>
                </c:pt>
                <c:pt idx="96">
                  <c:v>5303.27</c:v>
                </c:pt>
                <c:pt idx="97">
                  <c:v>5308.13</c:v>
                </c:pt>
                <c:pt idx="98">
                  <c:v>5321.41</c:v>
                </c:pt>
                <c:pt idx="99">
                  <c:v>5702.55</c:v>
                </c:pt>
                <c:pt idx="100">
                  <c:v>5307.01</c:v>
                </c:pt>
                <c:pt idx="101">
                  <c:v>5713.64</c:v>
                </c:pt>
                <c:pt idx="102">
                  <c:v>5267.84</c:v>
                </c:pt>
                <c:pt idx="103">
                  <c:v>5618.26</c:v>
                </c:pt>
                <c:pt idx="104">
                  <c:v>5304.72</c:v>
                </c:pt>
                <c:pt idx="105">
                  <c:v>5634.58</c:v>
                </c:pt>
                <c:pt idx="106">
                  <c:v>5633.09</c:v>
                </c:pt>
                <c:pt idx="107">
                  <c:v>5633.09</c:v>
                </c:pt>
                <c:pt idx="108">
                  <c:v>5306.04</c:v>
                </c:pt>
                <c:pt idx="109">
                  <c:v>5266.95</c:v>
                </c:pt>
                <c:pt idx="110">
                  <c:v>5235.4799999999996</c:v>
                </c:pt>
                <c:pt idx="111">
                  <c:v>5626.02</c:v>
                </c:pt>
                <c:pt idx="112">
                  <c:v>5277.51</c:v>
                </c:pt>
                <c:pt idx="113">
                  <c:v>5595.76</c:v>
                </c:pt>
                <c:pt idx="114">
                  <c:v>5283.4</c:v>
                </c:pt>
                <c:pt idx="115">
                  <c:v>5554.13</c:v>
                </c:pt>
                <c:pt idx="116">
                  <c:v>5291.34</c:v>
                </c:pt>
                <c:pt idx="117">
                  <c:v>5495.52</c:v>
                </c:pt>
                <c:pt idx="118">
                  <c:v>5354.03</c:v>
                </c:pt>
                <c:pt idx="119">
                  <c:v>5471.05</c:v>
                </c:pt>
                <c:pt idx="120">
                  <c:v>5352.96</c:v>
                </c:pt>
                <c:pt idx="121">
                  <c:v>5346.99</c:v>
                </c:pt>
                <c:pt idx="122">
                  <c:v>5360.79</c:v>
                </c:pt>
                <c:pt idx="123">
                  <c:v>5408.42</c:v>
                </c:pt>
                <c:pt idx="124">
                  <c:v>5375.32</c:v>
                </c:pt>
                <c:pt idx="125">
                  <c:v>5503.41</c:v>
                </c:pt>
                <c:pt idx="126">
                  <c:v>5421.03</c:v>
                </c:pt>
                <c:pt idx="127">
                  <c:v>5520.07</c:v>
                </c:pt>
                <c:pt idx="128">
                  <c:v>5433.74</c:v>
                </c:pt>
                <c:pt idx="129">
                  <c:v>5528.93</c:v>
                </c:pt>
                <c:pt idx="130">
                  <c:v>5431.6</c:v>
                </c:pt>
                <c:pt idx="131">
                  <c:v>5473.23</c:v>
                </c:pt>
                <c:pt idx="132">
                  <c:v>5473.23</c:v>
                </c:pt>
                <c:pt idx="133">
                  <c:v>5487.03</c:v>
                </c:pt>
                <c:pt idx="134">
                  <c:v>5648.4</c:v>
                </c:pt>
                <c:pt idx="135">
                  <c:v>5648.4</c:v>
                </c:pt>
                <c:pt idx="136">
                  <c:v>5473.17</c:v>
                </c:pt>
                <c:pt idx="137">
                  <c:v>5591.96</c:v>
                </c:pt>
                <c:pt idx="138">
                  <c:v>5464.62</c:v>
                </c:pt>
                <c:pt idx="139">
                  <c:v>5592.18</c:v>
                </c:pt>
                <c:pt idx="140">
                  <c:v>5447.87</c:v>
                </c:pt>
                <c:pt idx="141">
                  <c:v>5625.8</c:v>
                </c:pt>
                <c:pt idx="142">
                  <c:v>5469.3</c:v>
                </c:pt>
                <c:pt idx="143">
                  <c:v>5616.84</c:v>
                </c:pt>
                <c:pt idx="144">
                  <c:v>5477.9</c:v>
                </c:pt>
                <c:pt idx="145">
                  <c:v>5482.87</c:v>
                </c:pt>
                <c:pt idx="146">
                  <c:v>5460.48</c:v>
                </c:pt>
                <c:pt idx="147">
                  <c:v>5634.61</c:v>
                </c:pt>
                <c:pt idx="148">
                  <c:v>5475.09</c:v>
                </c:pt>
                <c:pt idx="149">
                  <c:v>5570.64</c:v>
                </c:pt>
                <c:pt idx="150">
                  <c:v>5509.01</c:v>
                </c:pt>
                <c:pt idx="151">
                  <c:v>5620.85</c:v>
                </c:pt>
                <c:pt idx="152">
                  <c:v>5537.02</c:v>
                </c:pt>
                <c:pt idx="153">
                  <c:v>5597.12</c:v>
                </c:pt>
                <c:pt idx="154">
                  <c:v>5608.25</c:v>
                </c:pt>
                <c:pt idx="155">
                  <c:v>5608.25</c:v>
                </c:pt>
                <c:pt idx="156">
                  <c:v>5567.19</c:v>
                </c:pt>
                <c:pt idx="157">
                  <c:v>5572.85</c:v>
                </c:pt>
                <c:pt idx="158">
                  <c:v>5576.98</c:v>
                </c:pt>
                <c:pt idx="159">
                  <c:v>5554.25</c:v>
                </c:pt>
                <c:pt idx="160">
                  <c:v>5633.91</c:v>
                </c:pt>
                <c:pt idx="161">
                  <c:v>5543.22</c:v>
                </c:pt>
                <c:pt idx="162">
                  <c:v>5584.54</c:v>
                </c:pt>
                <c:pt idx="163">
                  <c:v>5455.21</c:v>
                </c:pt>
                <c:pt idx="164">
                  <c:v>5615.35</c:v>
                </c:pt>
                <c:pt idx="165">
                  <c:v>5434.43</c:v>
                </c:pt>
                <c:pt idx="166">
                  <c:v>5631.22</c:v>
                </c:pt>
                <c:pt idx="167">
                  <c:v>5344.39</c:v>
                </c:pt>
                <c:pt idx="168">
                  <c:v>5667.2</c:v>
                </c:pt>
                <c:pt idx="169">
                  <c:v>5588.27</c:v>
                </c:pt>
                <c:pt idx="170">
                  <c:v>5544.59</c:v>
                </c:pt>
                <c:pt idx="171">
                  <c:v>5344.16</c:v>
                </c:pt>
                <c:pt idx="172">
                  <c:v>5505</c:v>
                </c:pt>
                <c:pt idx="173">
                  <c:v>5319.31</c:v>
                </c:pt>
                <c:pt idx="174">
                  <c:v>5564.41</c:v>
                </c:pt>
                <c:pt idx="175">
                  <c:v>5199.5</c:v>
                </c:pt>
                <c:pt idx="176">
                  <c:v>5555.74</c:v>
                </c:pt>
                <c:pt idx="177">
                  <c:v>5240.03</c:v>
                </c:pt>
                <c:pt idx="178">
                  <c:v>5427.13</c:v>
                </c:pt>
                <c:pt idx="179">
                  <c:v>5186.33</c:v>
                </c:pt>
                <c:pt idx="180">
                  <c:v>5399.22</c:v>
                </c:pt>
                <c:pt idx="181">
                  <c:v>5459.1</c:v>
                </c:pt>
                <c:pt idx="182">
                  <c:v>5463.54</c:v>
                </c:pt>
                <c:pt idx="183">
                  <c:v>5346.56</c:v>
                </c:pt>
                <c:pt idx="184">
                  <c:v>5436.44</c:v>
                </c:pt>
                <c:pt idx="185">
                  <c:v>5446.68</c:v>
                </c:pt>
                <c:pt idx="186">
                  <c:v>5522.3</c:v>
                </c:pt>
                <c:pt idx="187">
                  <c:v>5123.41</c:v>
                </c:pt>
                <c:pt idx="188">
                  <c:v>5199.0600000000004</c:v>
                </c:pt>
                <c:pt idx="189">
                  <c:v>5160.6400000000003</c:v>
                </c:pt>
                <c:pt idx="190">
                  <c:v>5209.91</c:v>
                </c:pt>
                <c:pt idx="191">
                  <c:v>5202.3900000000003</c:v>
                </c:pt>
                <c:pt idx="192">
                  <c:v>5204.34</c:v>
                </c:pt>
                <c:pt idx="193">
                  <c:v>5147.21</c:v>
                </c:pt>
                <c:pt idx="194">
                  <c:v>5211.49</c:v>
                </c:pt>
                <c:pt idx="195">
                  <c:v>5205.8100000000004</c:v>
                </c:pt>
                <c:pt idx="196">
                  <c:v>5243.77</c:v>
                </c:pt>
                <c:pt idx="197">
                  <c:v>5254.35</c:v>
                </c:pt>
                <c:pt idx="198">
                  <c:v>5254.35</c:v>
                </c:pt>
                <c:pt idx="199">
                  <c:v>5248.49</c:v>
                </c:pt>
                <c:pt idx="200">
                  <c:v>5203.58</c:v>
                </c:pt>
                <c:pt idx="201">
                  <c:v>5218.1899999999996</c:v>
                </c:pt>
                <c:pt idx="202">
                  <c:v>5234.18</c:v>
                </c:pt>
                <c:pt idx="203">
                  <c:v>5241.53</c:v>
                </c:pt>
                <c:pt idx="204">
                  <c:v>5224.62</c:v>
                </c:pt>
                <c:pt idx="205">
                  <c:v>5178.51</c:v>
                </c:pt>
                <c:pt idx="206">
                  <c:v>5149.42</c:v>
                </c:pt>
                <c:pt idx="207">
                  <c:v>5117.09</c:v>
                </c:pt>
                <c:pt idx="208">
                  <c:v>5150.4799999999996</c:v>
                </c:pt>
                <c:pt idx="209">
                  <c:v>5165.3100000000004</c:v>
                </c:pt>
                <c:pt idx="210">
                  <c:v>5175.2700000000004</c:v>
                </c:pt>
                <c:pt idx="211">
                  <c:v>5117.9399999999996</c:v>
                </c:pt>
                <c:pt idx="212">
                  <c:v>5123.6899999999996</c:v>
                </c:pt>
                <c:pt idx="213">
                  <c:v>5157.3599999999997</c:v>
                </c:pt>
                <c:pt idx="214">
                  <c:v>5104.76</c:v>
                </c:pt>
                <c:pt idx="215">
                  <c:v>5078.6499999999996</c:v>
                </c:pt>
                <c:pt idx="216">
                  <c:v>5130.95</c:v>
                </c:pt>
                <c:pt idx="217">
                  <c:v>5137.08</c:v>
                </c:pt>
                <c:pt idx="218">
                  <c:v>5096.2700000000004</c:v>
                </c:pt>
                <c:pt idx="219">
                  <c:v>5069.76</c:v>
                </c:pt>
                <c:pt idx="220">
                  <c:v>5078.18</c:v>
                </c:pt>
                <c:pt idx="221">
                  <c:v>5069.53</c:v>
                </c:pt>
                <c:pt idx="222">
                  <c:v>5088.8</c:v>
                </c:pt>
                <c:pt idx="223">
                  <c:v>5087.03</c:v>
                </c:pt>
                <c:pt idx="224">
                  <c:v>4981.8</c:v>
                </c:pt>
                <c:pt idx="225">
                  <c:v>4975.51</c:v>
                </c:pt>
                <c:pt idx="226">
                  <c:v>5005.57</c:v>
                </c:pt>
                <c:pt idx="227">
                  <c:v>5005.57</c:v>
                </c:pt>
                <c:pt idx="228">
                  <c:v>5029.7299999999996</c:v>
                </c:pt>
                <c:pt idx="229">
                  <c:v>5000.62</c:v>
                </c:pt>
                <c:pt idx="230">
                  <c:v>4953.17</c:v>
                </c:pt>
                <c:pt idx="231">
                  <c:v>5021.84</c:v>
                </c:pt>
                <c:pt idx="232">
                  <c:v>5026.6099999999997</c:v>
                </c:pt>
                <c:pt idx="233">
                  <c:v>4997.91</c:v>
                </c:pt>
                <c:pt idx="234">
                  <c:v>4995.0600000000004</c:v>
                </c:pt>
                <c:pt idx="235">
                  <c:v>4954.2299999999996</c:v>
                </c:pt>
                <c:pt idx="236">
                  <c:v>4942.8100000000004</c:v>
                </c:pt>
                <c:pt idx="237">
                  <c:v>4958.6099999999997</c:v>
                </c:pt>
                <c:pt idx="238">
                  <c:v>4906.1899999999996</c:v>
                </c:pt>
                <c:pt idx="239">
                  <c:v>4845.6499999999996</c:v>
                </c:pt>
                <c:pt idx="240">
                  <c:v>4924.97</c:v>
                </c:pt>
                <c:pt idx="241">
                  <c:v>4927.93</c:v>
                </c:pt>
                <c:pt idx="242">
                  <c:v>4890.97</c:v>
                </c:pt>
                <c:pt idx="243">
                  <c:v>4894.16</c:v>
                </c:pt>
                <c:pt idx="244">
                  <c:v>4868.55</c:v>
                </c:pt>
                <c:pt idx="245">
                  <c:v>4864.6000000000004</c:v>
                </c:pt>
                <c:pt idx="246">
                  <c:v>4850.43</c:v>
                </c:pt>
                <c:pt idx="247">
                  <c:v>4839.8100000000004</c:v>
                </c:pt>
                <c:pt idx="248">
                  <c:v>4780.9399999999996</c:v>
                </c:pt>
                <c:pt idx="249">
                  <c:v>4739.21</c:v>
                </c:pt>
                <c:pt idx="250">
                  <c:v>4765.9799999999996</c:v>
                </c:pt>
                <c:pt idx="251">
                  <c:v>4783.83</c:v>
                </c:pt>
                <c:pt idx="252">
                  <c:v>4783.83</c:v>
                </c:pt>
                <c:pt idx="253">
                  <c:v>4780.24</c:v>
                </c:pt>
                <c:pt idx="254">
                  <c:v>4783.45</c:v>
                </c:pt>
                <c:pt idx="255">
                  <c:v>4756.5</c:v>
                </c:pt>
                <c:pt idx="256">
                  <c:v>4763.54</c:v>
                </c:pt>
                <c:pt idx="257">
                  <c:v>4697.24</c:v>
                </c:pt>
                <c:pt idx="258">
                  <c:v>4688.68</c:v>
                </c:pt>
                <c:pt idx="259">
                  <c:v>4704.8100000000004</c:v>
                </c:pt>
                <c:pt idx="260">
                  <c:v>4742.83</c:v>
                </c:pt>
                <c:pt idx="261">
                  <c:v>4769.82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6-0445-B0E6-F0ED0A353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191552"/>
        <c:axId val="1987236160"/>
      </c:lineChart>
      <c:dateAx>
        <c:axId val="133554758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49296"/>
        <c:crosses val="autoZero"/>
        <c:auto val="1"/>
        <c:lblOffset val="100"/>
        <c:baseTimeUnit val="days"/>
      </c:dateAx>
      <c:valAx>
        <c:axId val="1335549296"/>
        <c:scaling>
          <c:orientation val="minMax"/>
          <c:max val="106139"/>
          <c:min val="3955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47584"/>
        <c:crosses val="autoZero"/>
        <c:crossBetween val="between"/>
      </c:valAx>
      <c:valAx>
        <c:axId val="1987236160"/>
        <c:scaling>
          <c:orientation val="minMax"/>
          <c:max val="6090"/>
          <c:min val="4689"/>
        </c:scaling>
        <c:delete val="0"/>
        <c:axPos val="r"/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91552"/>
        <c:crosses val="max"/>
        <c:crossBetween val="between"/>
      </c:valAx>
      <c:dateAx>
        <c:axId val="181819155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9872361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Absolute</a:t>
            </a:r>
            <a:r>
              <a:rPr lang="en-US" baseline="0"/>
              <a:t> Volitility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'2024_Coses'!$J$1</c:f>
              <c:strCache>
                <c:ptCount val="1"/>
                <c:pt idx="0">
                  <c:v>BTC ABS</c:v>
                </c:pt>
              </c:strCache>
            </c:strRef>
          </c:tx>
          <c:spPr>
            <a:ln w="28575" cap="rnd" cmpd="sng">
              <a:solidFill>
                <a:schemeClr val="accent1">
                  <a:alpha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tx2"/>
                </a:solidFill>
                <a:prstDash val="solid"/>
              </a:ln>
              <a:effectLst/>
            </c:spPr>
            <c:trendlineType val="movingAvg"/>
            <c:period val="21"/>
            <c:dispRSqr val="0"/>
            <c:dispEq val="0"/>
          </c:trendline>
          <c:cat>
            <c:numRef>
              <c:f>'2024_Coses'!$I$2:$I$262</c:f>
              <c:numCache>
                <c:formatCode>m/d/yy</c:formatCode>
                <c:ptCount val="261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45581</c:v>
                </c:pt>
                <c:pt idx="55">
                  <c:v>45580</c:v>
                </c:pt>
                <c:pt idx="56">
                  <c:v>45579</c:v>
                </c:pt>
                <c:pt idx="57">
                  <c:v>45576</c:v>
                </c:pt>
                <c:pt idx="58">
                  <c:v>45575</c:v>
                </c:pt>
                <c:pt idx="59">
                  <c:v>45574</c:v>
                </c:pt>
                <c:pt idx="60">
                  <c:v>45573</c:v>
                </c:pt>
                <c:pt idx="61">
                  <c:v>45572</c:v>
                </c:pt>
                <c:pt idx="62">
                  <c:v>45569</c:v>
                </c:pt>
                <c:pt idx="63">
                  <c:v>45568</c:v>
                </c:pt>
                <c:pt idx="64">
                  <c:v>45567</c:v>
                </c:pt>
                <c:pt idx="65">
                  <c:v>45566</c:v>
                </c:pt>
                <c:pt idx="66">
                  <c:v>45565</c:v>
                </c:pt>
                <c:pt idx="67">
                  <c:v>45562</c:v>
                </c:pt>
                <c:pt idx="68">
                  <c:v>45561</c:v>
                </c:pt>
                <c:pt idx="69">
                  <c:v>45560</c:v>
                </c:pt>
                <c:pt idx="70">
                  <c:v>45559</c:v>
                </c:pt>
                <c:pt idx="71">
                  <c:v>45558</c:v>
                </c:pt>
                <c:pt idx="72">
                  <c:v>45555</c:v>
                </c:pt>
                <c:pt idx="73">
                  <c:v>45554</c:v>
                </c:pt>
                <c:pt idx="74">
                  <c:v>45553</c:v>
                </c:pt>
                <c:pt idx="75">
                  <c:v>45552</c:v>
                </c:pt>
                <c:pt idx="76">
                  <c:v>45551</c:v>
                </c:pt>
                <c:pt idx="77">
                  <c:v>45548</c:v>
                </c:pt>
                <c:pt idx="78">
                  <c:v>45547</c:v>
                </c:pt>
                <c:pt idx="79">
                  <c:v>45546</c:v>
                </c:pt>
                <c:pt idx="80">
                  <c:v>45545</c:v>
                </c:pt>
                <c:pt idx="81">
                  <c:v>45544</c:v>
                </c:pt>
                <c:pt idx="82">
                  <c:v>45541</c:v>
                </c:pt>
                <c:pt idx="83">
                  <c:v>45540</c:v>
                </c:pt>
                <c:pt idx="84">
                  <c:v>45539</c:v>
                </c:pt>
                <c:pt idx="85">
                  <c:v>45538</c:v>
                </c:pt>
                <c:pt idx="86">
                  <c:v>45537</c:v>
                </c:pt>
                <c:pt idx="87">
                  <c:v>45534</c:v>
                </c:pt>
                <c:pt idx="88">
                  <c:v>45533</c:v>
                </c:pt>
                <c:pt idx="89">
                  <c:v>45532</c:v>
                </c:pt>
                <c:pt idx="90">
                  <c:v>45531</c:v>
                </c:pt>
                <c:pt idx="91">
                  <c:v>45530</c:v>
                </c:pt>
                <c:pt idx="92">
                  <c:v>45527</c:v>
                </c:pt>
                <c:pt idx="93">
                  <c:v>45526</c:v>
                </c:pt>
                <c:pt idx="94">
                  <c:v>45525</c:v>
                </c:pt>
                <c:pt idx="95">
                  <c:v>45524</c:v>
                </c:pt>
                <c:pt idx="96">
                  <c:v>45523</c:v>
                </c:pt>
                <c:pt idx="97">
                  <c:v>45520</c:v>
                </c:pt>
                <c:pt idx="98">
                  <c:v>45519</c:v>
                </c:pt>
                <c:pt idx="99">
                  <c:v>45518</c:v>
                </c:pt>
                <c:pt idx="100">
                  <c:v>45517</c:v>
                </c:pt>
                <c:pt idx="101">
                  <c:v>45516</c:v>
                </c:pt>
                <c:pt idx="102">
                  <c:v>45513</c:v>
                </c:pt>
                <c:pt idx="103">
                  <c:v>45512</c:v>
                </c:pt>
                <c:pt idx="104">
                  <c:v>45511</c:v>
                </c:pt>
                <c:pt idx="105">
                  <c:v>45510</c:v>
                </c:pt>
                <c:pt idx="106">
                  <c:v>45509</c:v>
                </c:pt>
                <c:pt idx="107">
                  <c:v>45506</c:v>
                </c:pt>
                <c:pt idx="108">
                  <c:v>45505</c:v>
                </c:pt>
                <c:pt idx="109">
                  <c:v>45504</c:v>
                </c:pt>
                <c:pt idx="110">
                  <c:v>45503</c:v>
                </c:pt>
                <c:pt idx="111">
                  <c:v>45502</c:v>
                </c:pt>
                <c:pt idx="112">
                  <c:v>45499</c:v>
                </c:pt>
                <c:pt idx="113">
                  <c:v>45498</c:v>
                </c:pt>
                <c:pt idx="114">
                  <c:v>45497</c:v>
                </c:pt>
                <c:pt idx="115">
                  <c:v>45496</c:v>
                </c:pt>
                <c:pt idx="116">
                  <c:v>45495</c:v>
                </c:pt>
                <c:pt idx="117">
                  <c:v>45492</c:v>
                </c:pt>
                <c:pt idx="118">
                  <c:v>45491</c:v>
                </c:pt>
                <c:pt idx="119">
                  <c:v>45490</c:v>
                </c:pt>
                <c:pt idx="120">
                  <c:v>45489</c:v>
                </c:pt>
                <c:pt idx="121">
                  <c:v>45488</c:v>
                </c:pt>
                <c:pt idx="122">
                  <c:v>45485</c:v>
                </c:pt>
                <c:pt idx="123">
                  <c:v>45484</c:v>
                </c:pt>
                <c:pt idx="124">
                  <c:v>45483</c:v>
                </c:pt>
                <c:pt idx="125">
                  <c:v>45482</c:v>
                </c:pt>
                <c:pt idx="126">
                  <c:v>45481</c:v>
                </c:pt>
                <c:pt idx="127">
                  <c:v>45478</c:v>
                </c:pt>
                <c:pt idx="128">
                  <c:v>45477</c:v>
                </c:pt>
                <c:pt idx="129">
                  <c:v>45476</c:v>
                </c:pt>
                <c:pt idx="130">
                  <c:v>45475</c:v>
                </c:pt>
                <c:pt idx="131">
                  <c:v>45474</c:v>
                </c:pt>
                <c:pt idx="132">
                  <c:v>45471</c:v>
                </c:pt>
                <c:pt idx="133">
                  <c:v>45470</c:v>
                </c:pt>
                <c:pt idx="134">
                  <c:v>45469</c:v>
                </c:pt>
                <c:pt idx="135">
                  <c:v>45468</c:v>
                </c:pt>
                <c:pt idx="136">
                  <c:v>45467</c:v>
                </c:pt>
                <c:pt idx="137">
                  <c:v>45464</c:v>
                </c:pt>
                <c:pt idx="138">
                  <c:v>45463</c:v>
                </c:pt>
                <c:pt idx="139">
                  <c:v>45462</c:v>
                </c:pt>
                <c:pt idx="140">
                  <c:v>45461</c:v>
                </c:pt>
                <c:pt idx="141">
                  <c:v>45460</c:v>
                </c:pt>
                <c:pt idx="142">
                  <c:v>45457</c:v>
                </c:pt>
                <c:pt idx="143">
                  <c:v>45456</c:v>
                </c:pt>
                <c:pt idx="144">
                  <c:v>45455</c:v>
                </c:pt>
                <c:pt idx="145">
                  <c:v>45454</c:v>
                </c:pt>
                <c:pt idx="146">
                  <c:v>45453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45415</c:v>
                </c:pt>
                <c:pt idx="173">
                  <c:v>45414</c:v>
                </c:pt>
                <c:pt idx="174">
                  <c:v>45413</c:v>
                </c:pt>
                <c:pt idx="175">
                  <c:v>45412</c:v>
                </c:pt>
                <c:pt idx="176">
                  <c:v>45411</c:v>
                </c:pt>
                <c:pt idx="177">
                  <c:v>45408</c:v>
                </c:pt>
                <c:pt idx="178">
                  <c:v>45407</c:v>
                </c:pt>
                <c:pt idx="179">
                  <c:v>45406</c:v>
                </c:pt>
                <c:pt idx="180">
                  <c:v>45405</c:v>
                </c:pt>
                <c:pt idx="181">
                  <c:v>45404</c:v>
                </c:pt>
                <c:pt idx="182">
                  <c:v>45401</c:v>
                </c:pt>
                <c:pt idx="183">
                  <c:v>45400</c:v>
                </c:pt>
                <c:pt idx="184">
                  <c:v>45399</c:v>
                </c:pt>
                <c:pt idx="185">
                  <c:v>45398</c:v>
                </c:pt>
                <c:pt idx="186">
                  <c:v>45397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</c:numCache>
            </c:numRef>
          </c:cat>
          <c:val>
            <c:numRef>
              <c:f>'2024_Coses'!$J$2:$J$262</c:f>
              <c:numCache>
                <c:formatCode>0.000%</c:formatCode>
                <c:ptCount val="261"/>
                <c:pt idx="0" formatCode="General">
                  <c:v>8.3440702644962377E-3</c:v>
                </c:pt>
                <c:pt idx="1">
                  <c:v>1.5996645953948806E-2</c:v>
                </c:pt>
                <c:pt idx="2">
                  <c:v>1.580429162394649E-2</c:v>
                </c:pt>
                <c:pt idx="3">
                  <c:v>3.7034703418894678E-2</c:v>
                </c:pt>
                <c:pt idx="4">
                  <c:v>7.3028921036117824E-3</c:v>
                </c:pt>
                <c:pt idx="5">
                  <c:v>3.9442856220127137E-2</c:v>
                </c:pt>
                <c:pt idx="6">
                  <c:v>3.0561772436684464E-2</c:v>
                </c:pt>
                <c:pt idx="7">
                  <c:v>3.3759835568944242E-3</c:v>
                </c:pt>
                <c:pt idx="8">
                  <c:v>2.7641607084777378E-2</c:v>
                </c:pt>
                <c:pt idx="9">
                  <c:v>5.7602381353520256E-2</c:v>
                </c:pt>
                <c:pt idx="10">
                  <c:v>7.6627092320639544E-4</c:v>
                </c:pt>
                <c:pt idx="11">
                  <c:v>4.465090232718108E-2</c:v>
                </c:pt>
                <c:pt idx="12">
                  <c:v>1.4062259337119961E-2</c:v>
                </c:pt>
                <c:pt idx="13">
                  <c:v>1.1100060722188816E-2</c:v>
                </c:pt>
                <c:pt idx="14">
                  <c:v>4.5787395006391347E-2</c:v>
                </c:pt>
                <c:pt idx="15">
                  <c:v>7.8274391614181118E-3</c:v>
                </c:pt>
                <c:pt idx="16">
                  <c:v>2.4365032222449928E-2</c:v>
                </c:pt>
                <c:pt idx="17">
                  <c:v>2.8364415930937144E-2</c:v>
                </c:pt>
                <c:pt idx="18">
                  <c:v>1.7024376617505634E-2</c:v>
                </c:pt>
                <c:pt idx="19">
                  <c:v>2.8141852863914921E-2</c:v>
                </c:pt>
                <c:pt idx="20">
                  <c:v>5.434292395396841E-4</c:v>
                </c:pt>
                <c:pt idx="21">
                  <c:v>1.6467281528683063E-2</c:v>
                </c:pt>
                <c:pt idx="22">
                  <c:v>1.8567630043622191E-2</c:v>
                </c:pt>
                <c:pt idx="23">
                  <c:v>2.5175949863932802E-3</c:v>
                </c:pt>
                <c:pt idx="24">
                  <c:v>4.1621174099621155E-2</c:v>
                </c:pt>
                <c:pt idx="25">
                  <c:v>1.1746657480125941E-2</c:v>
                </c:pt>
                <c:pt idx="26">
                  <c:v>6.1117770260695536E-2</c:v>
                </c:pt>
                <c:pt idx="27">
                  <c:v>5.6278727508195028E-3</c:v>
                </c:pt>
                <c:pt idx="28">
                  <c:v>4.2259077978214113E-2</c:v>
                </c:pt>
                <c:pt idx="29">
                  <c:v>2.21373432580084E-2</c:v>
                </c:pt>
                <c:pt idx="30">
                  <c:v>1.927073900775135E-2</c:v>
                </c:pt>
                <c:pt idx="31">
                  <c:v>6.2559011288570651E-3</c:v>
                </c:pt>
                <c:pt idx="32">
                  <c:v>4.2088633056105544E-2</c:v>
                </c:pt>
                <c:pt idx="33">
                  <c:v>3.5208080509404237E-2</c:v>
                </c:pt>
                <c:pt idx="34">
                  <c:v>2.7820266020852337E-2</c:v>
                </c:pt>
                <c:pt idx="35">
                  <c:v>8.1855258763267776E-3</c:v>
                </c:pt>
                <c:pt idx="36">
                  <c:v>0.14733821326949795</c:v>
                </c:pt>
                <c:pt idx="37">
                  <c:v>8.5139624932727559E-3</c:v>
                </c:pt>
                <c:pt idx="38">
                  <c:v>3.7278467309161279E-3</c:v>
                </c:pt>
                <c:pt idx="39">
                  <c:v>8.5767216680210881E-2</c:v>
                </c:pt>
                <c:pt idx="40">
                  <c:v>2.2226133100027808E-2</c:v>
                </c:pt>
                <c:pt idx="41">
                  <c:v>2.4148644274977687E-2</c:v>
                </c:pt>
                <c:pt idx="42">
                  <c:v>1.1082530502042531E-2</c:v>
                </c:pt>
                <c:pt idx="43">
                  <c:v>2.8972170045736403E-2</c:v>
                </c:pt>
                <c:pt idx="44">
                  <c:v>5.2744090700669643E-3</c:v>
                </c:pt>
                <c:pt idx="45">
                  <c:v>3.8920141256074202E-2</c:v>
                </c:pt>
                <c:pt idx="46">
                  <c:v>4.7682336930310661E-2</c:v>
                </c:pt>
                <c:pt idx="47">
                  <c:v>2.2162947892241533E-2</c:v>
                </c:pt>
                <c:pt idx="48">
                  <c:v>2.2659346761167352E-2</c:v>
                </c:pt>
                <c:pt idx="49">
                  <c:v>1.1389403530490855E-2</c:v>
                </c:pt>
                <c:pt idx="50">
                  <c:v>8.308692111283014E-4</c:v>
                </c:pt>
                <c:pt idx="51">
                  <c:v>1.5491375703289385E-2</c:v>
                </c:pt>
                <c:pt idx="52">
                  <c:v>1.4792509218431563E-2</c:v>
                </c:pt>
                <c:pt idx="53">
                  <c:v>6.1266436702837421E-2</c:v>
                </c:pt>
                <c:pt idx="54">
                  <c:v>6.4221199905718923E-2</c:v>
                </c:pt>
                <c:pt idx="55">
                  <c:v>5.8036481896112373E-2</c:v>
                </c:pt>
                <c:pt idx="56">
                  <c:v>5.0012408327124572E-2</c:v>
                </c:pt>
                <c:pt idx="57">
                  <c:v>9.0413092448305588E-2</c:v>
                </c:pt>
                <c:pt idx="58">
                  <c:v>7.5456280394475647E-2</c:v>
                </c:pt>
                <c:pt idx="59">
                  <c:v>4.0144905668742077E-2</c:v>
                </c:pt>
                <c:pt idx="60">
                  <c:v>4.9921340628588922E-3</c:v>
                </c:pt>
                <c:pt idx="61">
                  <c:v>4.6402523462077037E-2</c:v>
                </c:pt>
                <c:pt idx="62">
                  <c:v>6.6984650433974724E-2</c:v>
                </c:pt>
                <c:pt idx="63">
                  <c:v>6.0765977888191061E-2</c:v>
                </c:pt>
                <c:pt idx="64">
                  <c:v>9.6322210216662374E-2</c:v>
                </c:pt>
                <c:pt idx="65">
                  <c:v>6.3736487119000984E-2</c:v>
                </c:pt>
                <c:pt idx="66">
                  <c:v>5.8567183781121752E-2</c:v>
                </c:pt>
                <c:pt idx="67">
                  <c:v>6.1850233844946416E-2</c:v>
                </c:pt>
                <c:pt idx="68">
                  <c:v>3.6956819204174665E-2</c:v>
                </c:pt>
                <c:pt idx="69">
                  <c:v>2.5562963509672826E-2</c:v>
                </c:pt>
                <c:pt idx="70">
                  <c:v>2.4138555740376665E-2</c:v>
                </c:pt>
                <c:pt idx="71">
                  <c:v>2.560690309512054E-2</c:v>
                </c:pt>
                <c:pt idx="72">
                  <c:v>5.1301453703888902E-2</c:v>
                </c:pt>
                <c:pt idx="73">
                  <c:v>3.9256186348901004E-2</c:v>
                </c:pt>
                <c:pt idx="74">
                  <c:v>6.2302870834567675E-2</c:v>
                </c:pt>
                <c:pt idx="75">
                  <c:v>4.8848718419901363E-2</c:v>
                </c:pt>
                <c:pt idx="76">
                  <c:v>2.7195569539239624E-2</c:v>
                </c:pt>
                <c:pt idx="77">
                  <c:v>3.4401553948862171E-2</c:v>
                </c:pt>
                <c:pt idx="78">
                  <c:v>3.613965478273138E-2</c:v>
                </c:pt>
                <c:pt idx="79">
                  <c:v>4.0671535602132415E-2</c:v>
                </c:pt>
                <c:pt idx="80">
                  <c:v>3.7546769721708652E-2</c:v>
                </c:pt>
                <c:pt idx="81">
                  <c:v>2.4071994432781026E-2</c:v>
                </c:pt>
                <c:pt idx="82">
                  <c:v>1.625891618996058E-2</c:v>
                </c:pt>
                <c:pt idx="83">
                  <c:v>3.4234679751913494E-2</c:v>
                </c:pt>
                <c:pt idx="84">
                  <c:v>3.0054763497750884E-2</c:v>
                </c:pt>
                <c:pt idx="85">
                  <c:v>3.6785693696978525E-2</c:v>
                </c:pt>
                <c:pt idx="86">
                  <c:v>7.8720790249058023E-2</c:v>
                </c:pt>
                <c:pt idx="87">
                  <c:v>4.4122187245345439E-2</c:v>
                </c:pt>
                <c:pt idx="88">
                  <c:v>3.4949296242570912E-2</c:v>
                </c:pt>
                <c:pt idx="89">
                  <c:v>5.6921706206474992E-2</c:v>
                </c:pt>
                <c:pt idx="90">
                  <c:v>2.5450779162526162E-2</c:v>
                </c:pt>
                <c:pt idx="91">
                  <c:v>4.7443772128290936E-2</c:v>
                </c:pt>
                <c:pt idx="92">
                  <c:v>3.0171990409859052E-2</c:v>
                </c:pt>
                <c:pt idx="93">
                  <c:v>1.5047261309048144E-2</c:v>
                </c:pt>
                <c:pt idx="94">
                  <c:v>2.9547243386976438E-2</c:v>
                </c:pt>
                <c:pt idx="95">
                  <c:v>5.6854149664707629E-2</c:v>
                </c:pt>
                <c:pt idx="96">
                  <c:v>6.3374023650584435E-2</c:v>
                </c:pt>
                <c:pt idx="97">
                  <c:v>1.812392699724626E-2</c:v>
                </c:pt>
                <c:pt idx="98">
                  <c:v>0.10416853067670048</c:v>
                </c:pt>
                <c:pt idx="99">
                  <c:v>9.0032857853779555E-2</c:v>
                </c:pt>
                <c:pt idx="100">
                  <c:v>9.4196498185652372E-2</c:v>
                </c:pt>
                <c:pt idx="101">
                  <c:v>7.6990640386698575E-2</c:v>
                </c:pt>
                <c:pt idx="102">
                  <c:v>9.5933243511331992E-2</c:v>
                </c:pt>
                <c:pt idx="103">
                  <c:v>0.10431134959668675</c:v>
                </c:pt>
                <c:pt idx="104">
                  <c:v>0.12804539000131776</c:v>
                </c:pt>
                <c:pt idx="105">
                  <c:v>0.14081732224212831</c:v>
                </c:pt>
                <c:pt idx="106">
                  <c:v>0.17618991137530551</c:v>
                </c:pt>
                <c:pt idx="107">
                  <c:v>0.16076520970185926</c:v>
                </c:pt>
                <c:pt idx="108">
                  <c:v>1.0738196355205704E-2</c:v>
                </c:pt>
                <c:pt idx="109">
                  <c:v>1.0572895855343777E-2</c:v>
                </c:pt>
                <c:pt idx="110">
                  <c:v>0.12187524232693232</c:v>
                </c:pt>
                <c:pt idx="111">
                  <c:v>0.10973834221391504</c:v>
                </c:pt>
                <c:pt idx="112">
                  <c:v>0.14981413299625884</c:v>
                </c:pt>
                <c:pt idx="113">
                  <c:v>0.16855781919345797</c:v>
                </c:pt>
                <c:pt idx="114">
                  <c:v>0.18234132219032714</c:v>
                </c:pt>
                <c:pt idx="115">
                  <c:v>0.20733455034311726</c:v>
                </c:pt>
                <c:pt idx="116">
                  <c:v>0.20218031670600545</c:v>
                </c:pt>
                <c:pt idx="117">
                  <c:v>0.20972803390234626</c:v>
                </c:pt>
                <c:pt idx="118">
                  <c:v>0.2199369910653319</c:v>
                </c:pt>
                <c:pt idx="119">
                  <c:v>0.21581787210515063</c:v>
                </c:pt>
                <c:pt idx="120">
                  <c:v>2.0603071875192672E-2</c:v>
                </c:pt>
                <c:pt idx="121">
                  <c:v>2.7403767416718313E-3</c:v>
                </c:pt>
                <c:pt idx="122">
                  <c:v>0.25350719918829057</c:v>
                </c:pt>
                <c:pt idx="123">
                  <c:v>0.22108535575953892</c:v>
                </c:pt>
                <c:pt idx="124">
                  <c:v>0.18083661860675618</c:v>
                </c:pt>
                <c:pt idx="125">
                  <c:v>0.19470762863819088</c:v>
                </c:pt>
                <c:pt idx="126">
                  <c:v>0.1633411238061728</c:v>
                </c:pt>
                <c:pt idx="127">
                  <c:v>0.1413160201704427</c:v>
                </c:pt>
                <c:pt idx="128">
                  <c:v>0.14986672309492247</c:v>
                </c:pt>
                <c:pt idx="129">
                  <c:v>0.13874829406062761</c:v>
                </c:pt>
                <c:pt idx="130">
                  <c:v>0.11037582069330018</c:v>
                </c:pt>
                <c:pt idx="131">
                  <c:v>0.11737784728523375</c:v>
                </c:pt>
                <c:pt idx="132">
                  <c:v>2.0339653337399882E-2</c:v>
                </c:pt>
                <c:pt idx="133">
                  <c:v>2.7508684882609539E-3</c:v>
                </c:pt>
                <c:pt idx="134">
                  <c:v>9.452917835837768E-2</c:v>
                </c:pt>
                <c:pt idx="135">
                  <c:v>9.2579013224066448E-2</c:v>
                </c:pt>
                <c:pt idx="136">
                  <c:v>8.8295216548447755E-2</c:v>
                </c:pt>
                <c:pt idx="137">
                  <c:v>7.7040884020345174E-2</c:v>
                </c:pt>
                <c:pt idx="138">
                  <c:v>8.308028931613573E-2</c:v>
                </c:pt>
                <c:pt idx="139">
                  <c:v>2.1402441462753392E-2</c:v>
                </c:pt>
                <c:pt idx="140">
                  <c:v>1.4060273250476259E-2</c:v>
                </c:pt>
                <c:pt idx="141">
                  <c:v>3.8904694662663906E-2</c:v>
                </c:pt>
                <c:pt idx="142">
                  <c:v>1.6635015335379224E-2</c:v>
                </c:pt>
                <c:pt idx="143">
                  <c:v>3.2288512719641435E-2</c:v>
                </c:pt>
                <c:pt idx="144">
                  <c:v>1.3643693857905332E-2</c:v>
                </c:pt>
                <c:pt idx="145">
                  <c:v>2.1001913720705329E-2</c:v>
                </c:pt>
                <c:pt idx="146">
                  <c:v>5.8668687649380227E-2</c:v>
                </c:pt>
                <c:pt idx="147">
                  <c:v>1.8323668227198373E-2</c:v>
                </c:pt>
                <c:pt idx="148">
                  <c:v>4.0860024546356677E-2</c:v>
                </c:pt>
                <c:pt idx="149">
                  <c:v>2.8270393538461624E-2</c:v>
                </c:pt>
                <c:pt idx="150">
                  <c:v>1.5336813102110925E-2</c:v>
                </c:pt>
                <c:pt idx="151">
                  <c:v>1.580159018186171E-2</c:v>
                </c:pt>
                <c:pt idx="152">
                  <c:v>2.002498018135691E-2</c:v>
                </c:pt>
                <c:pt idx="153">
                  <c:v>3.4123179229382024E-2</c:v>
                </c:pt>
                <c:pt idx="154">
                  <c:v>4.1974552355381702E-2</c:v>
                </c:pt>
                <c:pt idx="155">
                  <c:v>4.8739888743318333E-2</c:v>
                </c:pt>
                <c:pt idx="156">
                  <c:v>1.4625134369772416E-3</c:v>
                </c:pt>
                <c:pt idx="157">
                  <c:v>2.2912348285917709E-2</c:v>
                </c:pt>
                <c:pt idx="158">
                  <c:v>1.4331828677637321E-2</c:v>
                </c:pt>
                <c:pt idx="159">
                  <c:v>1.9387714030006008E-2</c:v>
                </c:pt>
                <c:pt idx="160">
                  <c:v>3.6796989507006527E-3</c:v>
                </c:pt>
                <c:pt idx="161">
                  <c:v>3.4351341627331432E-3</c:v>
                </c:pt>
                <c:pt idx="162">
                  <c:v>2.3621225253798016E-2</c:v>
                </c:pt>
                <c:pt idx="163">
                  <c:v>1.4112585832937487E-2</c:v>
                </c:pt>
                <c:pt idx="164">
                  <c:v>4.5755670797892063E-2</c:v>
                </c:pt>
                <c:pt idx="165">
                  <c:v>6.6818279511292447E-2</c:v>
                </c:pt>
                <c:pt idx="166">
                  <c:v>8.7581840472979136E-2</c:v>
                </c:pt>
                <c:pt idx="167">
                  <c:v>9.1699472055154163E-2</c:v>
                </c:pt>
                <c:pt idx="168">
                  <c:v>1.4875730119161792E-2</c:v>
                </c:pt>
                <c:pt idx="169">
                  <c:v>1.6975135586647253E-3</c:v>
                </c:pt>
                <c:pt idx="170">
                  <c:v>5.0156669735838121E-2</c:v>
                </c:pt>
                <c:pt idx="171">
                  <c:v>9.1444385223651017E-2</c:v>
                </c:pt>
                <c:pt idx="172">
                  <c:v>7.7586996257925242E-2</c:v>
                </c:pt>
                <c:pt idx="173">
                  <c:v>9.0642288179651004E-2</c:v>
                </c:pt>
                <c:pt idx="174">
                  <c:v>0.20339240225882985</c:v>
                </c:pt>
                <c:pt idx="175">
                  <c:v>0.17918291883935508</c:v>
                </c:pt>
                <c:pt idx="176">
                  <c:v>0.1623285721239785</c:v>
                </c:pt>
                <c:pt idx="177">
                  <c:v>0.15368778506484454</c:v>
                </c:pt>
                <c:pt idx="178">
                  <c:v>0.19147600432544337</c:v>
                </c:pt>
                <c:pt idx="179">
                  <c:v>0.1980141179383208</c:v>
                </c:pt>
                <c:pt idx="180">
                  <c:v>3.1553483415843332E-2</c:v>
                </c:pt>
                <c:pt idx="181">
                  <c:v>1.6479064117269047E-2</c:v>
                </c:pt>
                <c:pt idx="182">
                  <c:v>8.2992845916385283E-2</c:v>
                </c:pt>
                <c:pt idx="183">
                  <c:v>7.3761566889220698E-2</c:v>
                </c:pt>
                <c:pt idx="184">
                  <c:v>1.2344540750006221E-2</c:v>
                </c:pt>
                <c:pt idx="185">
                  <c:v>1.1490992901527485E-2</c:v>
                </c:pt>
                <c:pt idx="186">
                  <c:v>3.8340410834514942E-2</c:v>
                </c:pt>
                <c:pt idx="187">
                  <c:v>4.1703725174774754E-2</c:v>
                </c:pt>
                <c:pt idx="188">
                  <c:v>8.6821840706597497E-3</c:v>
                </c:pt>
                <c:pt idx="189">
                  <c:v>2.1093991616097197E-2</c:v>
                </c:pt>
                <c:pt idx="190">
                  <c:v>3.526624162794717E-2</c:v>
                </c:pt>
                <c:pt idx="191">
                  <c:v>5.4501956126101106E-2</c:v>
                </c:pt>
                <c:pt idx="192">
                  <c:v>9.7692285098938906E-3</c:v>
                </c:pt>
                <c:pt idx="193">
                  <c:v>3.7688670304792095E-2</c:v>
                </c:pt>
                <c:pt idx="194">
                  <c:v>7.972511486597212E-3</c:v>
                </c:pt>
                <c:pt idx="195">
                  <c:v>6.256795960133929E-2</c:v>
                </c:pt>
                <c:pt idx="196">
                  <c:v>2.971276286380645E-3</c:v>
                </c:pt>
                <c:pt idx="197">
                  <c:v>1.2662843466655615E-2</c:v>
                </c:pt>
                <c:pt idx="198">
                  <c:v>1.882591466845002E-2</c:v>
                </c:pt>
                <c:pt idx="199">
                  <c:v>7.9876100325419839E-3</c:v>
                </c:pt>
                <c:pt idx="200">
                  <c:v>1.5340485225667469E-3</c:v>
                </c:pt>
                <c:pt idx="201">
                  <c:v>9.142530168368064E-2</c:v>
                </c:pt>
                <c:pt idx="202">
                  <c:v>2.6582264432449865E-2</c:v>
                </c:pt>
                <c:pt idx="203">
                  <c:v>3.5250181891683642E-2</c:v>
                </c:pt>
                <c:pt idx="204">
                  <c:v>8.9417826466628783E-2</c:v>
                </c:pt>
                <c:pt idx="205">
                  <c:v>8.5580189482837826E-2</c:v>
                </c:pt>
                <c:pt idx="206">
                  <c:v>2.7283612831733497E-2</c:v>
                </c:pt>
                <c:pt idx="207">
                  <c:v>2.7318470025793792E-2</c:v>
                </c:pt>
                <c:pt idx="208">
                  <c:v>2.3244464154002838E-2</c:v>
                </c:pt>
                <c:pt idx="209">
                  <c:v>2.2086668540070756E-2</c:v>
                </c:pt>
                <c:pt idx="210">
                  <c:v>8.7609819451129455E-3</c:v>
                </c:pt>
                <c:pt idx="211">
                  <c:v>5.6007638187036198E-2</c:v>
                </c:pt>
                <c:pt idx="212">
                  <c:v>1.9503340983117692E-2</c:v>
                </c:pt>
                <c:pt idx="213">
                  <c:v>1.1658399916705796E-2</c:v>
                </c:pt>
                <c:pt idx="214">
                  <c:v>3.5234986300303375E-2</c:v>
                </c:pt>
                <c:pt idx="215">
                  <c:v>6.783470003848073E-2</c:v>
                </c:pt>
                <c:pt idx="216">
                  <c:v>8.994348047962987E-2</c:v>
                </c:pt>
                <c:pt idx="217">
                  <c:v>1.9882986050782751E-2</c:v>
                </c:pt>
                <c:pt idx="218">
                  <c:v>2.100259265568815E-2</c:v>
                </c:pt>
                <c:pt idx="219">
                  <c:v>9.061127532393469E-2</c:v>
                </c:pt>
                <c:pt idx="220">
                  <c:v>4.5925957632356948E-2</c:v>
                </c:pt>
                <c:pt idx="221">
                  <c:v>7.1386381089289311E-2</c:v>
                </c:pt>
                <c:pt idx="222">
                  <c:v>1.1363925668290158E-2</c:v>
                </c:pt>
                <c:pt idx="223">
                  <c:v>1.0424736727354559E-2</c:v>
                </c:pt>
                <c:pt idx="224">
                  <c:v>7.7851600013700327E-3</c:v>
                </c:pt>
                <c:pt idx="225">
                  <c:v>9.2247338583129352E-3</c:v>
                </c:pt>
                <c:pt idx="226">
                  <c:v>6.7476665261031674E-3</c:v>
                </c:pt>
                <c:pt idx="227">
                  <c:v>4.4773253181442253E-3</c:v>
                </c:pt>
                <c:pt idx="228">
                  <c:v>2.2935148363709152E-3</c:v>
                </c:pt>
                <c:pt idx="229">
                  <c:v>4.0723510308063808E-2</c:v>
                </c:pt>
                <c:pt idx="230">
                  <c:v>4.521502867040385E-3</c:v>
                </c:pt>
                <c:pt idx="231">
                  <c:v>5.7991620991375094E-2</c:v>
                </c:pt>
                <c:pt idx="232">
                  <c:v>3.9697576078406988E-2</c:v>
                </c:pt>
                <c:pt idx="233">
                  <c:v>2.1276425102440391E-2</c:v>
                </c:pt>
                <c:pt idx="234">
                  <c:v>2.8645120028436517E-2</c:v>
                </c:pt>
                <c:pt idx="235">
                  <c:v>9.104229235613142E-3</c:v>
                </c:pt>
                <c:pt idx="236">
                  <c:v>1.1584458224403125E-2</c:v>
                </c:pt>
                <c:pt idx="237">
                  <c:v>2.6264530995495326E-3</c:v>
                </c:pt>
                <c:pt idx="238">
                  <c:v>1.1694947440336827E-2</c:v>
                </c:pt>
                <c:pt idx="239">
                  <c:v>8.5517675466765322E-3</c:v>
                </c:pt>
                <c:pt idx="240">
                  <c:v>8.1998465149057363E-3</c:v>
                </c:pt>
                <c:pt idx="241">
                  <c:v>3.4981378135094901E-2</c:v>
                </c:pt>
                <c:pt idx="242">
                  <c:v>4.589597722552153E-2</c:v>
                </c:pt>
                <c:pt idx="243">
                  <c:v>3.7564854718789612E-3</c:v>
                </c:pt>
                <c:pt idx="244">
                  <c:v>4.9315634340747977E-3</c:v>
                </c:pt>
                <c:pt idx="245">
                  <c:v>8.3680811347745208E-3</c:v>
                </c:pt>
                <c:pt idx="246">
                  <c:v>5.152584664966376E-2</c:v>
                </c:pt>
                <c:pt idx="247">
                  <c:v>8.5676193562497002E-3</c:v>
                </c:pt>
                <c:pt idx="248">
                  <c:v>3.5120797744137677E-2</c:v>
                </c:pt>
                <c:pt idx="249">
                  <c:v>8.771598081392773E-3</c:v>
                </c:pt>
                <c:pt idx="250">
                  <c:v>1.4822315772652099E-2</c:v>
                </c:pt>
                <c:pt idx="251">
                  <c:v>7.620727102052853E-3</c:v>
                </c:pt>
                <c:pt idx="252">
                  <c:v>7.8805920255420464E-2</c:v>
                </c:pt>
                <c:pt idx="253">
                  <c:v>6.0466426062581492E-3</c:v>
                </c:pt>
                <c:pt idx="254">
                  <c:v>1.0787279444706657E-2</c:v>
                </c:pt>
                <c:pt idx="255">
                  <c:v>1.790120333622822E-2</c:v>
                </c:pt>
                <c:pt idx="256">
                  <c:v>6.1593822574698011E-2</c:v>
                </c:pt>
                <c:pt idx="257">
                  <c:v>2.2646491662287105E-6</c:v>
                </c:pt>
                <c:pt idx="258">
                  <c:v>3.0370259857643137E-2</c:v>
                </c:pt>
                <c:pt idx="259">
                  <c:v>4.8029390345393677E-2</c:v>
                </c:pt>
                <c:pt idx="260">
                  <c:v>1.7061442435943906E-2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A-404A-B243-BDE9B0F390E3}"/>
            </c:ext>
          </c:extLst>
        </c:ser>
        <c:ser>
          <c:idx val="1"/>
          <c:order val="1"/>
          <c:tx>
            <c:strRef>
              <c:f>'2024_Coses'!$K$1</c:f>
              <c:strCache>
                <c:ptCount val="1"/>
                <c:pt idx="0">
                  <c:v>SP500 ABS</c:v>
                </c:pt>
              </c:strCache>
            </c:strRef>
          </c:tx>
          <c:spPr>
            <a:ln w="19050" cap="rnd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21"/>
            <c:dispRSqr val="0"/>
            <c:dispEq val="0"/>
          </c:trendline>
          <c:cat>
            <c:numRef>
              <c:f>'2024_Coses'!$I$2:$I$262</c:f>
              <c:numCache>
                <c:formatCode>m/d/yy</c:formatCode>
                <c:ptCount val="261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45581</c:v>
                </c:pt>
                <c:pt idx="55">
                  <c:v>45580</c:v>
                </c:pt>
                <c:pt idx="56">
                  <c:v>45579</c:v>
                </c:pt>
                <c:pt idx="57">
                  <c:v>45576</c:v>
                </c:pt>
                <c:pt idx="58">
                  <c:v>45575</c:v>
                </c:pt>
                <c:pt idx="59">
                  <c:v>45574</c:v>
                </c:pt>
                <c:pt idx="60">
                  <c:v>45573</c:v>
                </c:pt>
                <c:pt idx="61">
                  <c:v>45572</c:v>
                </c:pt>
                <c:pt idx="62">
                  <c:v>45569</c:v>
                </c:pt>
                <c:pt idx="63">
                  <c:v>45568</c:v>
                </c:pt>
                <c:pt idx="64">
                  <c:v>45567</c:v>
                </c:pt>
                <c:pt idx="65">
                  <c:v>45566</c:v>
                </c:pt>
                <c:pt idx="66">
                  <c:v>45565</c:v>
                </c:pt>
                <c:pt idx="67">
                  <c:v>45562</c:v>
                </c:pt>
                <c:pt idx="68">
                  <c:v>45561</c:v>
                </c:pt>
                <c:pt idx="69">
                  <c:v>45560</c:v>
                </c:pt>
                <c:pt idx="70">
                  <c:v>45559</c:v>
                </c:pt>
                <c:pt idx="71">
                  <c:v>45558</c:v>
                </c:pt>
                <c:pt idx="72">
                  <c:v>45555</c:v>
                </c:pt>
                <c:pt idx="73">
                  <c:v>45554</c:v>
                </c:pt>
                <c:pt idx="74">
                  <c:v>45553</c:v>
                </c:pt>
                <c:pt idx="75">
                  <c:v>45552</c:v>
                </c:pt>
                <c:pt idx="76">
                  <c:v>45551</c:v>
                </c:pt>
                <c:pt idx="77">
                  <c:v>45548</c:v>
                </c:pt>
                <c:pt idx="78">
                  <c:v>45547</c:v>
                </c:pt>
                <c:pt idx="79">
                  <c:v>45546</c:v>
                </c:pt>
                <c:pt idx="80">
                  <c:v>45545</c:v>
                </c:pt>
                <c:pt idx="81">
                  <c:v>45544</c:v>
                </c:pt>
                <c:pt idx="82">
                  <c:v>45541</c:v>
                </c:pt>
                <c:pt idx="83">
                  <c:v>45540</c:v>
                </c:pt>
                <c:pt idx="84">
                  <c:v>45539</c:v>
                </c:pt>
                <c:pt idx="85">
                  <c:v>45538</c:v>
                </c:pt>
                <c:pt idx="86">
                  <c:v>45537</c:v>
                </c:pt>
                <c:pt idx="87">
                  <c:v>45534</c:v>
                </c:pt>
                <c:pt idx="88">
                  <c:v>45533</c:v>
                </c:pt>
                <c:pt idx="89">
                  <c:v>45532</c:v>
                </c:pt>
                <c:pt idx="90">
                  <c:v>45531</c:v>
                </c:pt>
                <c:pt idx="91">
                  <c:v>45530</c:v>
                </c:pt>
                <c:pt idx="92">
                  <c:v>45527</c:v>
                </c:pt>
                <c:pt idx="93">
                  <c:v>45526</c:v>
                </c:pt>
                <c:pt idx="94">
                  <c:v>45525</c:v>
                </c:pt>
                <c:pt idx="95">
                  <c:v>45524</c:v>
                </c:pt>
                <c:pt idx="96">
                  <c:v>45523</c:v>
                </c:pt>
                <c:pt idx="97">
                  <c:v>45520</c:v>
                </c:pt>
                <c:pt idx="98">
                  <c:v>45519</c:v>
                </c:pt>
                <c:pt idx="99">
                  <c:v>45518</c:v>
                </c:pt>
                <c:pt idx="100">
                  <c:v>45517</c:v>
                </c:pt>
                <c:pt idx="101">
                  <c:v>45516</c:v>
                </c:pt>
                <c:pt idx="102">
                  <c:v>45513</c:v>
                </c:pt>
                <c:pt idx="103">
                  <c:v>45512</c:v>
                </c:pt>
                <c:pt idx="104">
                  <c:v>45511</c:v>
                </c:pt>
                <c:pt idx="105">
                  <c:v>45510</c:v>
                </c:pt>
                <c:pt idx="106">
                  <c:v>45509</c:v>
                </c:pt>
                <c:pt idx="107">
                  <c:v>45506</c:v>
                </c:pt>
                <c:pt idx="108">
                  <c:v>45505</c:v>
                </c:pt>
                <c:pt idx="109">
                  <c:v>45504</c:v>
                </c:pt>
                <c:pt idx="110">
                  <c:v>45503</c:v>
                </c:pt>
                <c:pt idx="111">
                  <c:v>45502</c:v>
                </c:pt>
                <c:pt idx="112">
                  <c:v>45499</c:v>
                </c:pt>
                <c:pt idx="113">
                  <c:v>45498</c:v>
                </c:pt>
                <c:pt idx="114">
                  <c:v>45497</c:v>
                </c:pt>
                <c:pt idx="115">
                  <c:v>45496</c:v>
                </c:pt>
                <c:pt idx="116">
                  <c:v>45495</c:v>
                </c:pt>
                <c:pt idx="117">
                  <c:v>45492</c:v>
                </c:pt>
                <c:pt idx="118">
                  <c:v>45491</c:v>
                </c:pt>
                <c:pt idx="119">
                  <c:v>45490</c:v>
                </c:pt>
                <c:pt idx="120">
                  <c:v>45489</c:v>
                </c:pt>
                <c:pt idx="121">
                  <c:v>45488</c:v>
                </c:pt>
                <c:pt idx="122">
                  <c:v>45485</c:v>
                </c:pt>
                <c:pt idx="123">
                  <c:v>45484</c:v>
                </c:pt>
                <c:pt idx="124">
                  <c:v>45483</c:v>
                </c:pt>
                <c:pt idx="125">
                  <c:v>45482</c:v>
                </c:pt>
                <c:pt idx="126">
                  <c:v>45481</c:v>
                </c:pt>
                <c:pt idx="127">
                  <c:v>45478</c:v>
                </c:pt>
                <c:pt idx="128">
                  <c:v>45477</c:v>
                </c:pt>
                <c:pt idx="129">
                  <c:v>45476</c:v>
                </c:pt>
                <c:pt idx="130">
                  <c:v>45475</c:v>
                </c:pt>
                <c:pt idx="131">
                  <c:v>45474</c:v>
                </c:pt>
                <c:pt idx="132">
                  <c:v>45471</c:v>
                </c:pt>
                <c:pt idx="133">
                  <c:v>45470</c:v>
                </c:pt>
                <c:pt idx="134">
                  <c:v>45469</c:v>
                </c:pt>
                <c:pt idx="135">
                  <c:v>45468</c:v>
                </c:pt>
                <c:pt idx="136">
                  <c:v>45467</c:v>
                </c:pt>
                <c:pt idx="137">
                  <c:v>45464</c:v>
                </c:pt>
                <c:pt idx="138">
                  <c:v>45463</c:v>
                </c:pt>
                <c:pt idx="139">
                  <c:v>45462</c:v>
                </c:pt>
                <c:pt idx="140">
                  <c:v>45461</c:v>
                </c:pt>
                <c:pt idx="141">
                  <c:v>45460</c:v>
                </c:pt>
                <c:pt idx="142">
                  <c:v>45457</c:v>
                </c:pt>
                <c:pt idx="143">
                  <c:v>45456</c:v>
                </c:pt>
                <c:pt idx="144">
                  <c:v>45455</c:v>
                </c:pt>
                <c:pt idx="145">
                  <c:v>45454</c:v>
                </c:pt>
                <c:pt idx="146">
                  <c:v>45453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45415</c:v>
                </c:pt>
                <c:pt idx="173">
                  <c:v>45414</c:v>
                </c:pt>
                <c:pt idx="174">
                  <c:v>45413</c:v>
                </c:pt>
                <c:pt idx="175">
                  <c:v>45412</c:v>
                </c:pt>
                <c:pt idx="176">
                  <c:v>45411</c:v>
                </c:pt>
                <c:pt idx="177">
                  <c:v>45408</c:v>
                </c:pt>
                <c:pt idx="178">
                  <c:v>45407</c:v>
                </c:pt>
                <c:pt idx="179">
                  <c:v>45406</c:v>
                </c:pt>
                <c:pt idx="180">
                  <c:v>45405</c:v>
                </c:pt>
                <c:pt idx="181">
                  <c:v>45404</c:v>
                </c:pt>
                <c:pt idx="182">
                  <c:v>45401</c:v>
                </c:pt>
                <c:pt idx="183">
                  <c:v>45400</c:v>
                </c:pt>
                <c:pt idx="184">
                  <c:v>45399</c:v>
                </c:pt>
                <c:pt idx="185">
                  <c:v>45398</c:v>
                </c:pt>
                <c:pt idx="186">
                  <c:v>45397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</c:numCache>
            </c:numRef>
          </c:cat>
          <c:val>
            <c:numRef>
              <c:f>'2024_Coses'!$K$2:$K$262</c:f>
              <c:numCache>
                <c:formatCode>0.000%</c:formatCode>
                <c:ptCount val="261"/>
                <c:pt idx="0" formatCode="General">
                  <c:v>4.2939964541344501E-3</c:v>
                </c:pt>
                <c:pt idx="1">
                  <c:v>1.0759690191101295E-2</c:v>
                </c:pt>
                <c:pt idx="2">
                  <c:v>1.111730467559637E-2</c:v>
                </c:pt>
                <c:pt idx="3">
                  <c:v>4.0570874146761795E-4</c:v>
                </c:pt>
                <c:pt idx="4">
                  <c:v>0</c:v>
                </c:pt>
                <c:pt idx="5">
                  <c:v>1.0982197273831982E-2</c:v>
                </c:pt>
                <c:pt idx="6">
                  <c:v>7.2608954754625398E-3</c:v>
                </c:pt>
                <c:pt idx="7">
                  <c:v>1.0810476252410672E-2</c:v>
                </c:pt>
                <c:pt idx="8">
                  <c:v>8.6547345775283581E-4</c:v>
                </c:pt>
                <c:pt idx="9">
                  <c:v>2.9936554508987644E-2</c:v>
                </c:pt>
                <c:pt idx="10">
                  <c:v>3.8714440227630084E-3</c:v>
                </c:pt>
                <c:pt idx="11">
                  <c:v>3.7921163249597686E-3</c:v>
                </c:pt>
                <c:pt idx="12">
                  <c:v>2.6441167577320025E-5</c:v>
                </c:pt>
                <c:pt idx="13">
                  <c:v>5.4287410919564485E-3</c:v>
                </c:pt>
                <c:pt idx="14">
                  <c:v>8.1326619328850828E-3</c:v>
                </c:pt>
                <c:pt idx="15">
                  <c:v>2.9682940713745675E-3</c:v>
                </c:pt>
                <c:pt idx="16">
                  <c:v>6.1631802121963038E-3</c:v>
                </c:pt>
                <c:pt idx="17">
                  <c:v>2.4923196558419955E-3</c:v>
                </c:pt>
                <c:pt idx="18">
                  <c:v>1.8714648272306858E-3</c:v>
                </c:pt>
                <c:pt idx="19">
                  <c:v>6.0331237505021089E-3</c:v>
                </c:pt>
                <c:pt idx="20">
                  <c:v>4.5135046310470323E-4</c:v>
                </c:pt>
                <c:pt idx="21">
                  <c:v>2.4454606033056034E-3</c:v>
                </c:pt>
                <c:pt idx="22">
                  <c:v>5.5921788939180331E-3</c:v>
                </c:pt>
                <c:pt idx="23">
                  <c:v>0</c:v>
                </c:pt>
                <c:pt idx="24">
                  <c:v>3.8085396153748753E-3</c:v>
                </c:pt>
                <c:pt idx="25">
                  <c:v>5.7057361888066833E-3</c:v>
                </c:pt>
                <c:pt idx="26">
                  <c:v>3.015882072251307E-3</c:v>
                </c:pt>
                <c:pt idx="27">
                  <c:v>3.4619792004100735E-3</c:v>
                </c:pt>
                <c:pt idx="28">
                  <c:v>5.3262353051749837E-3</c:v>
                </c:pt>
                <c:pt idx="29">
                  <c:v>2.1970426117316337E-5</c:v>
                </c:pt>
                <c:pt idx="30">
                  <c:v>3.9557737052673715E-3</c:v>
                </c:pt>
                <c:pt idx="31">
                  <c:v>3.9101598241076656E-3</c:v>
                </c:pt>
                <c:pt idx="32">
                  <c:v>1.3291463960568205E-2</c:v>
                </c:pt>
                <c:pt idx="33">
                  <c:v>6.0681150291174617E-3</c:v>
                </c:pt>
                <c:pt idx="34">
                  <c:v>2.322595101076364E-4</c:v>
                </c:pt>
                <c:pt idx="35">
                  <c:v>2.8968743715661891E-3</c:v>
                </c:pt>
                <c:pt idx="36">
                  <c:v>9.6858443383637458E-4</c:v>
                </c:pt>
                <c:pt idx="37">
                  <c:v>3.7498038697994338E-3</c:v>
                </c:pt>
                <c:pt idx="38">
                  <c:v>7.4037444129894632E-3</c:v>
                </c:pt>
                <c:pt idx="39">
                  <c:v>2.4981233838896531E-2</c:v>
                </c:pt>
                <c:pt idx="40">
                  <c:v>1.219106130274809E-2</c:v>
                </c:pt>
                <c:pt idx="41">
                  <c:v>2.8160686495115016E-3</c:v>
                </c:pt>
                <c:pt idx="42">
                  <c:v>4.0842263302362366E-3</c:v>
                </c:pt>
                <c:pt idx="43">
                  <c:v>1.8790182599519829E-2</c:v>
                </c:pt>
                <c:pt idx="44">
                  <c:v>3.3056916281390038E-3</c:v>
                </c:pt>
                <c:pt idx="45">
                  <c:v>1.6128426925638532E-3</c:v>
                </c:pt>
                <c:pt idx="46">
                  <c:v>2.6479514493707988E-3</c:v>
                </c:pt>
                <c:pt idx="47">
                  <c:v>2.9953572187414154E-4</c:v>
                </c:pt>
                <c:pt idx="48">
                  <c:v>2.1434831869283494E-3</c:v>
                </c:pt>
                <c:pt idx="49">
                  <c:v>9.2337774119530536E-3</c:v>
                </c:pt>
                <c:pt idx="50">
                  <c:v>4.7500338350551163E-4</c:v>
                </c:pt>
                <c:pt idx="51">
                  <c:v>1.8244427413090425E-3</c:v>
                </c:pt>
                <c:pt idx="52">
                  <c:v>3.9637370431245362E-3</c:v>
                </c:pt>
                <c:pt idx="53">
                  <c:v>0.14325637507153838</c:v>
                </c:pt>
                <c:pt idx="54">
                  <c:v>0.14342755020637163</c:v>
                </c:pt>
                <c:pt idx="55">
                  <c:v>0.14548624039272015</c:v>
                </c:pt>
                <c:pt idx="56">
                  <c:v>0.14081808468614407</c:v>
                </c:pt>
                <c:pt idx="57">
                  <c:v>0.14661542105224062</c:v>
                </c:pt>
                <c:pt idx="58">
                  <c:v>0.15425393012099473</c:v>
                </c:pt>
                <c:pt idx="59">
                  <c:v>0.15646456298492079</c:v>
                </c:pt>
                <c:pt idx="60">
                  <c:v>8.7971023365460317E-3</c:v>
                </c:pt>
                <c:pt idx="61">
                  <c:v>8.6933277348876462E-3</c:v>
                </c:pt>
                <c:pt idx="62">
                  <c:v>0.14889027662358509</c:v>
                </c:pt>
                <c:pt idx="63">
                  <c:v>0.13699665204693437</c:v>
                </c:pt>
                <c:pt idx="64">
                  <c:v>0.13096304018414917</c:v>
                </c:pt>
                <c:pt idx="65">
                  <c:v>0.13075006821873697</c:v>
                </c:pt>
                <c:pt idx="66">
                  <c:v>0.13282229618975172</c:v>
                </c:pt>
                <c:pt idx="67">
                  <c:v>0.13740923809120906</c:v>
                </c:pt>
                <c:pt idx="68">
                  <c:v>0.13032103419481472</c:v>
                </c:pt>
                <c:pt idx="69">
                  <c:v>0.12016366067825453</c:v>
                </c:pt>
                <c:pt idx="70">
                  <c:v>0.11052094378406184</c:v>
                </c:pt>
                <c:pt idx="71">
                  <c:v>0.10734752809658427</c:v>
                </c:pt>
                <c:pt idx="72">
                  <c:v>1.5855554753445786E-2</c:v>
                </c:pt>
                <c:pt idx="73">
                  <c:v>3.441392364873821E-3</c:v>
                </c:pt>
                <c:pt idx="74">
                  <c:v>0.13627675932232511</c:v>
                </c:pt>
                <c:pt idx="75">
                  <c:v>0.12718974592098775</c:v>
                </c:pt>
                <c:pt idx="76">
                  <c:v>0.11825946993654983</c:v>
                </c:pt>
                <c:pt idx="77">
                  <c:v>0.10578088132755077</c:v>
                </c:pt>
                <c:pt idx="78">
                  <c:v>0.1074636928606765</c:v>
                </c:pt>
                <c:pt idx="79">
                  <c:v>9.7190556791299718E-2</c:v>
                </c:pt>
                <c:pt idx="80">
                  <c:v>9.7052182305932821E-2</c:v>
                </c:pt>
                <c:pt idx="81">
                  <c:v>9.5709646486582173E-2</c:v>
                </c:pt>
                <c:pt idx="82">
                  <c:v>0.10507749857041938</c:v>
                </c:pt>
                <c:pt idx="83">
                  <c:v>0.10508328149671496</c:v>
                </c:pt>
                <c:pt idx="84">
                  <c:v>5.0780025958913656E-3</c:v>
                </c:pt>
                <c:pt idx="85">
                  <c:v>1.6480214063461112E-3</c:v>
                </c:pt>
                <c:pt idx="86">
                  <c:v>9.4129664061621265E-2</c:v>
                </c:pt>
                <c:pt idx="87">
                  <c:v>9.4370948615793052E-2</c:v>
                </c:pt>
                <c:pt idx="88">
                  <c:v>9.5624917504038828E-2</c:v>
                </c:pt>
                <c:pt idx="89">
                  <c:v>9.0798817442318769E-2</c:v>
                </c:pt>
                <c:pt idx="90">
                  <c:v>8.6768336639446511E-2</c:v>
                </c:pt>
                <c:pt idx="91">
                  <c:v>7.5120456951400683E-2</c:v>
                </c:pt>
                <c:pt idx="92">
                  <c:v>7.6983368537467539E-2</c:v>
                </c:pt>
                <c:pt idx="93">
                  <c:v>7.9067242844767682E-2</c:v>
                </c:pt>
                <c:pt idx="94">
                  <c:v>7.655927314177198E-2</c:v>
                </c:pt>
                <c:pt idx="95">
                  <c:v>7.5395162700952478E-2</c:v>
                </c:pt>
                <c:pt idx="96">
                  <c:v>9.1599606834429331E-4</c:v>
                </c:pt>
                <c:pt idx="97">
                  <c:v>2.498698327390512E-3</c:v>
                </c:pt>
                <c:pt idx="98">
                  <c:v>6.9175137390860758E-2</c:v>
                </c:pt>
                <c:pt idx="99">
                  <c:v>7.1884855074407797E-2</c:v>
                </c:pt>
                <c:pt idx="100">
                  <c:v>7.3827710525909612E-2</c:v>
                </c:pt>
                <c:pt idx="101">
                  <c:v>8.123588731155458E-2</c:v>
                </c:pt>
                <c:pt idx="102">
                  <c:v>6.4401596063967712E-2</c:v>
                </c:pt>
                <c:pt idx="103">
                  <c:v>5.7425017148895662E-2</c:v>
                </c:pt>
                <c:pt idx="104">
                  <c:v>6.0325620275280864E-2</c:v>
                </c:pt>
                <c:pt idx="105">
                  <c:v>2.6447349073670164E-4</c:v>
                </c:pt>
                <c:pt idx="106">
                  <c:v>0</c:v>
                </c:pt>
                <c:pt idx="107">
                  <c:v>5.9812342739064092E-2</c:v>
                </c:pt>
                <c:pt idx="108">
                  <c:v>7.394346936505692E-3</c:v>
                </c:pt>
                <c:pt idx="109">
                  <c:v>5.9929167225421685E-3</c:v>
                </c:pt>
                <c:pt idx="110">
                  <c:v>7.1943734321323921E-2</c:v>
                </c:pt>
                <c:pt idx="111">
                  <c:v>6.3947869409801725E-2</c:v>
                </c:pt>
                <c:pt idx="112">
                  <c:v>5.8554772531430439E-2</c:v>
                </c:pt>
                <c:pt idx="113">
                  <c:v>5.7439338234444359E-2</c:v>
                </c:pt>
                <c:pt idx="114">
                  <c:v>4.997196529241394E-2</c:v>
                </c:pt>
                <c:pt idx="115">
                  <c:v>4.8470273242848437E-2</c:v>
                </c:pt>
                <c:pt idx="116">
                  <c:v>3.7861692939809684E-2</c:v>
                </c:pt>
                <c:pt idx="117">
                  <c:v>2.6083666491750784E-2</c:v>
                </c:pt>
                <c:pt idx="118">
                  <c:v>2.1621005767260604E-2</c:v>
                </c:pt>
                <c:pt idx="119">
                  <c:v>2.1820875199017081E-2</c:v>
                </c:pt>
                <c:pt idx="120">
                  <c:v>1.1158931807149423E-3</c:v>
                </c:pt>
                <c:pt idx="121">
                  <c:v>2.577566524606569E-3</c:v>
                </c:pt>
                <c:pt idx="122">
                  <c:v>8.8456461651042952E-3</c:v>
                </c:pt>
                <c:pt idx="123">
                  <c:v>6.1388913216469786E-3</c:v>
                </c:pt>
                <c:pt idx="124">
                  <c:v>2.3549792992514487E-2</c:v>
                </c:pt>
                <c:pt idx="125">
                  <c:v>1.5082065820631606E-2</c:v>
                </c:pt>
                <c:pt idx="126">
                  <c:v>1.8104707070819518E-2</c:v>
                </c:pt>
                <c:pt idx="127">
                  <c:v>1.5762878398514212E-2</c:v>
                </c:pt>
                <c:pt idx="128">
                  <c:v>1.7366643788873589E-2</c:v>
                </c:pt>
                <c:pt idx="129">
                  <c:v>1.7760556915875719E-2</c:v>
                </c:pt>
                <c:pt idx="130">
                  <c:v>7.6351859201041362E-3</c:v>
                </c:pt>
                <c:pt idx="131">
                  <c:v>0</c:v>
                </c:pt>
                <c:pt idx="132">
                  <c:v>2.5181897678469142E-3</c:v>
                </c:pt>
                <c:pt idx="133">
                  <c:v>2.898519368250603E-2</c:v>
                </c:pt>
                <c:pt idx="134">
                  <c:v>0</c:v>
                </c:pt>
                <c:pt idx="135">
                  <c:v>3.1514345958574753E-2</c:v>
                </c:pt>
                <c:pt idx="136">
                  <c:v>2.1471878575718178E-2</c:v>
                </c:pt>
                <c:pt idx="137">
                  <c:v>2.3035266013487463E-2</c:v>
                </c:pt>
                <c:pt idx="138">
                  <c:v>2.3074607438045503E-2</c:v>
                </c:pt>
                <c:pt idx="139">
                  <c:v>2.6144486659845968E-2</c:v>
                </c:pt>
                <c:pt idx="140">
                  <c:v>3.213845360526929E-2</c:v>
                </c:pt>
                <c:pt idx="141">
                  <c:v>2.8212522704692645E-2</c:v>
                </c:pt>
                <c:pt idx="142">
                  <c:v>2.6618590692817343E-2</c:v>
                </c:pt>
                <c:pt idx="143">
                  <c:v>2.5047412351476311E-2</c:v>
                </c:pt>
                <c:pt idx="144">
                  <c:v>9.0687065609751719E-4</c:v>
                </c:pt>
                <c:pt idx="145">
                  <c:v>4.0919885121457472E-3</c:v>
                </c:pt>
                <c:pt idx="146">
                  <c:v>3.1391236823099425E-2</c:v>
                </c:pt>
                <c:pt idx="147">
                  <c:v>2.8719220880163383E-2</c:v>
                </c:pt>
                <c:pt idx="148">
                  <c:v>1.7301234671660785E-2</c:v>
                </c:pt>
                <c:pt idx="149">
                  <c:v>1.1125014894877302E-2</c:v>
                </c:pt>
                <c:pt idx="150">
                  <c:v>2.0097964320341718E-2</c:v>
                </c:pt>
                <c:pt idx="151">
                  <c:v>1.5026448122144424E-2</c:v>
                </c:pt>
                <c:pt idx="152">
                  <c:v>1.0795729837959787E-2</c:v>
                </c:pt>
                <c:pt idx="153">
                  <c:v>1.9865481747165059E-3</c:v>
                </c:pt>
                <c:pt idx="154">
                  <c:v>0</c:v>
                </c:pt>
                <c:pt idx="155">
                  <c:v>7.3482895994791391E-3</c:v>
                </c:pt>
                <c:pt idx="156">
                  <c:v>1.0161544279966303E-3</c:v>
                </c:pt>
                <c:pt idx="157">
                  <c:v>7.4081850375869965E-4</c:v>
                </c:pt>
                <c:pt idx="158">
                  <c:v>4.084010768454039E-3</c:v>
                </c:pt>
                <c:pt idx="159">
                  <c:v>1.4240294410593582E-2</c:v>
                </c:pt>
                <c:pt idx="160">
                  <c:v>1.6228135536922032E-2</c:v>
                </c:pt>
                <c:pt idx="161">
                  <c:v>7.4265063067453447E-3</c:v>
                </c:pt>
                <c:pt idx="162">
                  <c:v>2.3430950319531272E-2</c:v>
                </c:pt>
                <c:pt idx="163">
                  <c:v>2.893280394830728E-2</c:v>
                </c:pt>
                <c:pt idx="164">
                  <c:v>3.2749280015939734E-2</c:v>
                </c:pt>
                <c:pt idx="165">
                  <c:v>3.5571475677982606E-2</c:v>
                </c:pt>
                <c:pt idx="166">
                  <c:v>5.2278702332915747E-2</c:v>
                </c:pt>
                <c:pt idx="167">
                  <c:v>5.8647755992957247E-2</c:v>
                </c:pt>
                <c:pt idx="168">
                  <c:v>1.4025410555022039E-2</c:v>
                </c:pt>
                <c:pt idx="169">
                  <c:v>7.8470804696827642E-3</c:v>
                </c:pt>
                <c:pt idx="170">
                  <c:v>3.6818301675764005E-2</c:v>
                </c:pt>
                <c:pt idx="171">
                  <c:v>2.965239426873463E-2</c:v>
                </c:pt>
                <c:pt idx="172">
                  <c:v>3.4313174480885389E-2</c:v>
                </c:pt>
                <c:pt idx="173">
                  <c:v>4.504736364686035E-2</c:v>
                </c:pt>
                <c:pt idx="174">
                  <c:v>6.7828492222467909E-2</c:v>
                </c:pt>
                <c:pt idx="175">
                  <c:v>6.6269160422668408E-2</c:v>
                </c:pt>
                <c:pt idx="176">
                  <c:v>5.850440403341732E-2</c:v>
                </c:pt>
                <c:pt idx="177">
                  <c:v>3.5083225589527769E-2</c:v>
                </c:pt>
                <c:pt idx="178">
                  <c:v>4.5384131147247306E-2</c:v>
                </c:pt>
                <c:pt idx="179">
                  <c:v>4.022818074299888E-2</c:v>
                </c:pt>
                <c:pt idx="180">
                  <c:v>1.102944231248886E-2</c:v>
                </c:pt>
                <c:pt idx="181">
                  <c:v>8.129903108685376E-4</c:v>
                </c:pt>
                <c:pt idx="182">
                  <c:v>2.1643567869473957E-2</c:v>
                </c:pt>
                <c:pt idx="183">
                  <c:v>1.6671071435738049E-2</c:v>
                </c:pt>
                <c:pt idx="184">
                  <c:v>1.8818138588648614E-3</c:v>
                </c:pt>
                <c:pt idx="185">
                  <c:v>1.3788191433053192E-2</c:v>
                </c:pt>
                <c:pt idx="186">
                  <c:v>7.4974207187782929E-2</c:v>
                </c:pt>
                <c:pt idx="187">
                  <c:v>1.4657607029448559E-2</c:v>
                </c:pt>
                <c:pt idx="188">
                  <c:v>7.4172372058720279E-3</c:v>
                </c:pt>
                <c:pt idx="189">
                  <c:v>9.5019783338873547E-3</c:v>
                </c:pt>
                <c:pt idx="190">
                  <c:v>1.4444457627020377E-3</c:v>
                </c:pt>
                <c:pt idx="191">
                  <c:v>3.747574930495873E-4</c:v>
                </c:pt>
                <c:pt idx="192">
                  <c:v>1.1038072569656417E-2</c:v>
                </c:pt>
                <c:pt idx="193">
                  <c:v>1.2410983057457463E-2</c:v>
                </c:pt>
                <c:pt idx="194">
                  <c:v>1.0904938060488179E-3</c:v>
                </c:pt>
                <c:pt idx="195">
                  <c:v>7.2653957344673645E-3</c:v>
                </c:pt>
                <c:pt idx="196">
                  <c:v>2.0155996658250933E-3</c:v>
                </c:pt>
                <c:pt idx="197">
                  <c:v>0</c:v>
                </c:pt>
                <c:pt idx="198">
                  <c:v>1.1158887706710923E-3</c:v>
                </c:pt>
                <c:pt idx="199">
                  <c:v>8.5935659407079552E-3</c:v>
                </c:pt>
                <c:pt idx="200">
                  <c:v>2.8037482252575453E-3</c:v>
                </c:pt>
                <c:pt idx="201">
                  <c:v>3.0595955699421543E-3</c:v>
                </c:pt>
                <c:pt idx="202">
                  <c:v>1.4032464064151588E-3</c:v>
                </c:pt>
                <c:pt idx="203">
                  <c:v>3.2313725131378058E-3</c:v>
                </c:pt>
                <c:pt idx="204">
                  <c:v>8.8646978273410684E-3</c:v>
                </c:pt>
                <c:pt idx="205">
                  <c:v>5.6332831318901015E-3</c:v>
                </c:pt>
                <c:pt idx="206">
                  <c:v>6.2981688751588584E-3</c:v>
                </c:pt>
                <c:pt idx="207">
                  <c:v>6.5039961169264899E-3</c:v>
                </c:pt>
                <c:pt idx="208">
                  <c:v>2.8752059156686048E-3</c:v>
                </c:pt>
                <c:pt idx="209">
                  <c:v>1.926391571868686E-3</c:v>
                </c:pt>
                <c:pt idx="210">
                  <c:v>1.1139497364012345E-2</c:v>
                </c:pt>
                <c:pt idx="211">
                  <c:v>1.1228682551799477E-3</c:v>
                </c:pt>
                <c:pt idx="212">
                  <c:v>6.5499380656454595E-3</c:v>
                </c:pt>
                <c:pt idx="213">
                  <c:v>1.0251382881397443E-2</c:v>
                </c:pt>
                <c:pt idx="214">
                  <c:v>5.1279595372516517E-3</c:v>
                </c:pt>
                <c:pt idx="215">
                  <c:v>1.0245348981574391E-2</c:v>
                </c:pt>
                <c:pt idx="216">
                  <c:v>1.1939974324694175E-3</c:v>
                </c:pt>
                <c:pt idx="217">
                  <c:v>7.9759250577916968E-3</c:v>
                </c:pt>
                <c:pt idx="218">
                  <c:v>5.2154203933401618E-3</c:v>
                </c:pt>
                <c:pt idx="219">
                  <c:v>1.659450476103029E-3</c:v>
                </c:pt>
                <c:pt idx="220">
                  <c:v>1.7048185442892359E-3</c:v>
                </c:pt>
                <c:pt idx="221">
                  <c:v>3.7939352461026604E-3</c:v>
                </c:pt>
                <c:pt idx="222">
                  <c:v>3.4788317372660206E-4</c:v>
                </c:pt>
                <c:pt idx="223">
                  <c:v>2.0902891694828028E-2</c:v>
                </c:pt>
                <c:pt idx="224">
                  <c:v>1.2633935945864823E-3</c:v>
                </c:pt>
                <c:pt idx="225">
                  <c:v>6.0234144772223523E-3</c:v>
                </c:pt>
                <c:pt idx="226">
                  <c:v>0</c:v>
                </c:pt>
                <c:pt idx="227">
                  <c:v>4.8150123419915631E-3</c:v>
                </c:pt>
                <c:pt idx="228">
                  <c:v>5.8043999917945753E-3</c:v>
                </c:pt>
                <c:pt idx="229">
                  <c:v>9.5341290968955009E-3</c:v>
                </c:pt>
                <c:pt idx="230">
                  <c:v>1.3768624761212093E-2</c:v>
                </c:pt>
                <c:pt idx="231">
                  <c:v>9.4940022755554091E-4</c:v>
                </c:pt>
                <c:pt idx="232">
                  <c:v>5.7259755908601927E-3</c:v>
                </c:pt>
                <c:pt idx="233">
                  <c:v>5.7040100736248747E-4</c:v>
                </c:pt>
                <c:pt idx="234">
                  <c:v>8.2076669213310503E-3</c:v>
                </c:pt>
                <c:pt idx="235">
                  <c:v>2.3077617284261594E-3</c:v>
                </c:pt>
                <c:pt idx="236">
                  <c:v>3.191464135615035E-3</c:v>
                </c:pt>
                <c:pt idx="237">
                  <c:v>1.0627786351803241E-2</c:v>
                </c:pt>
                <c:pt idx="238">
                  <c:v>1.2416277903485802E-2</c:v>
                </c:pt>
                <c:pt idx="239">
                  <c:v>1.6236787963987382E-2</c:v>
                </c:pt>
                <c:pt idx="240">
                  <c:v>6.0083834993726029E-4</c:v>
                </c:pt>
                <c:pt idx="241">
                  <c:v>7.5283737614565433E-3</c:v>
                </c:pt>
                <c:pt idx="242">
                  <c:v>6.52009756234213E-4</c:v>
                </c:pt>
                <c:pt idx="243">
                  <c:v>5.2465060919916033E-3</c:v>
                </c:pt>
                <c:pt idx="244">
                  <c:v>8.1165916827587409E-4</c:v>
                </c:pt>
                <c:pt idx="245">
                  <c:v>2.917131506229948E-3</c:v>
                </c:pt>
                <c:pt idx="246">
                  <c:v>2.1918970535104105E-3</c:v>
                </c:pt>
                <c:pt idx="247">
                  <c:v>1.2238283870230153E-2</c:v>
                </c:pt>
                <c:pt idx="248">
                  <c:v>8.7667247395320728E-3</c:v>
                </c:pt>
                <c:pt idx="249">
                  <c:v>5.6327271267556144E-3</c:v>
                </c:pt>
                <c:pt idx="250">
                  <c:v>3.7382986232446964E-3</c:v>
                </c:pt>
                <c:pt idx="251">
                  <c:v>0</c:v>
                </c:pt>
                <c:pt idx="252">
                  <c:v>7.5072645194105983E-4</c:v>
                </c:pt>
                <c:pt idx="253">
                  <c:v>6.7128903604016395E-4</c:v>
                </c:pt>
                <c:pt idx="254">
                  <c:v>5.6499398196109933E-3</c:v>
                </c:pt>
                <c:pt idx="255">
                  <c:v>1.4789856520085827E-3</c:v>
                </c:pt>
                <c:pt idx="256">
                  <c:v>1.4015987132365047E-2</c:v>
                </c:pt>
                <c:pt idx="257">
                  <c:v>1.8240092336748459E-3</c:v>
                </c:pt>
                <c:pt idx="258">
                  <c:v>3.434296699869414E-3</c:v>
                </c:pt>
                <c:pt idx="259">
                  <c:v>8.0486143089745707E-3</c:v>
                </c:pt>
                <c:pt idx="260">
                  <c:v>5.6745643799906032E-3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A-404A-B243-BDE9B0F39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308880"/>
        <c:axId val="1745627328"/>
      </c:lineChart>
      <c:dateAx>
        <c:axId val="174530888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27328"/>
        <c:crosses val="autoZero"/>
        <c:auto val="1"/>
        <c:lblOffset val="100"/>
        <c:baseTimeUnit val="days"/>
      </c:dateAx>
      <c:valAx>
        <c:axId val="1745627328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3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</a:t>
            </a:r>
            <a:r>
              <a:rPr lang="en-US" baseline="0"/>
              <a:t> </a:t>
            </a:r>
            <a:r>
              <a:rPr lang="en-US"/>
              <a:t>Average Price Movement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'2024_Coses'!$F$1</c:f>
              <c:strCache>
                <c:ptCount val="1"/>
                <c:pt idx="0">
                  <c:v>BTC %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cat>
            <c:numRef>
              <c:f>'2024_Coses'!$E$2:$E$262</c:f>
              <c:numCache>
                <c:formatCode>m/d/yy</c:formatCode>
                <c:ptCount val="261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45581</c:v>
                </c:pt>
                <c:pt idx="55">
                  <c:v>45580</c:v>
                </c:pt>
                <c:pt idx="56">
                  <c:v>45579</c:v>
                </c:pt>
                <c:pt idx="57">
                  <c:v>45576</c:v>
                </c:pt>
                <c:pt idx="58">
                  <c:v>45575</c:v>
                </c:pt>
                <c:pt idx="59">
                  <c:v>45574</c:v>
                </c:pt>
                <c:pt idx="60">
                  <c:v>45573</c:v>
                </c:pt>
                <c:pt idx="61">
                  <c:v>45572</c:v>
                </c:pt>
                <c:pt idx="62">
                  <c:v>45569</c:v>
                </c:pt>
                <c:pt idx="63">
                  <c:v>45568</c:v>
                </c:pt>
                <c:pt idx="64">
                  <c:v>45567</c:v>
                </c:pt>
                <c:pt idx="65">
                  <c:v>45566</c:v>
                </c:pt>
                <c:pt idx="66">
                  <c:v>45565</c:v>
                </c:pt>
                <c:pt idx="67">
                  <c:v>45562</c:v>
                </c:pt>
                <c:pt idx="68">
                  <c:v>45561</c:v>
                </c:pt>
                <c:pt idx="69">
                  <c:v>45560</c:v>
                </c:pt>
                <c:pt idx="70">
                  <c:v>45559</c:v>
                </c:pt>
                <c:pt idx="71">
                  <c:v>45558</c:v>
                </c:pt>
                <c:pt idx="72">
                  <c:v>45555</c:v>
                </c:pt>
                <c:pt idx="73">
                  <c:v>45554</c:v>
                </c:pt>
                <c:pt idx="74">
                  <c:v>45553</c:v>
                </c:pt>
                <c:pt idx="75">
                  <c:v>45552</c:v>
                </c:pt>
                <c:pt idx="76">
                  <c:v>45551</c:v>
                </c:pt>
                <c:pt idx="77">
                  <c:v>45548</c:v>
                </c:pt>
                <c:pt idx="78">
                  <c:v>45547</c:v>
                </c:pt>
                <c:pt idx="79">
                  <c:v>45546</c:v>
                </c:pt>
                <c:pt idx="80">
                  <c:v>45545</c:v>
                </c:pt>
                <c:pt idx="81">
                  <c:v>45544</c:v>
                </c:pt>
                <c:pt idx="82">
                  <c:v>45541</c:v>
                </c:pt>
                <c:pt idx="83">
                  <c:v>45540</c:v>
                </c:pt>
                <c:pt idx="84">
                  <c:v>45539</c:v>
                </c:pt>
                <c:pt idx="85">
                  <c:v>45538</c:v>
                </c:pt>
                <c:pt idx="86">
                  <c:v>45537</c:v>
                </c:pt>
                <c:pt idx="87">
                  <c:v>45534</c:v>
                </c:pt>
                <c:pt idx="88">
                  <c:v>45533</c:v>
                </c:pt>
                <c:pt idx="89">
                  <c:v>45532</c:v>
                </c:pt>
                <c:pt idx="90">
                  <c:v>45531</c:v>
                </c:pt>
                <c:pt idx="91">
                  <c:v>45530</c:v>
                </c:pt>
                <c:pt idx="92">
                  <c:v>45527</c:v>
                </c:pt>
                <c:pt idx="93">
                  <c:v>45526</c:v>
                </c:pt>
                <c:pt idx="94">
                  <c:v>45525</c:v>
                </c:pt>
                <c:pt idx="95">
                  <c:v>45524</c:v>
                </c:pt>
                <c:pt idx="96">
                  <c:v>45523</c:v>
                </c:pt>
                <c:pt idx="97">
                  <c:v>45520</c:v>
                </c:pt>
                <c:pt idx="98">
                  <c:v>45519</c:v>
                </c:pt>
                <c:pt idx="99">
                  <c:v>45518</c:v>
                </c:pt>
                <c:pt idx="100">
                  <c:v>45517</c:v>
                </c:pt>
                <c:pt idx="101">
                  <c:v>45516</c:v>
                </c:pt>
                <c:pt idx="102">
                  <c:v>45513</c:v>
                </c:pt>
                <c:pt idx="103">
                  <c:v>45512</c:v>
                </c:pt>
                <c:pt idx="104">
                  <c:v>45511</c:v>
                </c:pt>
                <c:pt idx="105">
                  <c:v>45510</c:v>
                </c:pt>
                <c:pt idx="106">
                  <c:v>45509</c:v>
                </c:pt>
                <c:pt idx="107">
                  <c:v>45506</c:v>
                </c:pt>
                <c:pt idx="108">
                  <c:v>45505</c:v>
                </c:pt>
                <c:pt idx="109">
                  <c:v>45504</c:v>
                </c:pt>
                <c:pt idx="110">
                  <c:v>45503</c:v>
                </c:pt>
                <c:pt idx="111">
                  <c:v>45502</c:v>
                </c:pt>
                <c:pt idx="112">
                  <c:v>45499</c:v>
                </c:pt>
                <c:pt idx="113">
                  <c:v>45498</c:v>
                </c:pt>
                <c:pt idx="114">
                  <c:v>45497</c:v>
                </c:pt>
                <c:pt idx="115">
                  <c:v>45496</c:v>
                </c:pt>
                <c:pt idx="116">
                  <c:v>45495</c:v>
                </c:pt>
                <c:pt idx="117">
                  <c:v>45492</c:v>
                </c:pt>
                <c:pt idx="118">
                  <c:v>45491</c:v>
                </c:pt>
                <c:pt idx="119">
                  <c:v>45490</c:v>
                </c:pt>
                <c:pt idx="120">
                  <c:v>45489</c:v>
                </c:pt>
                <c:pt idx="121">
                  <c:v>45488</c:v>
                </c:pt>
                <c:pt idx="122">
                  <c:v>45485</c:v>
                </c:pt>
                <c:pt idx="123">
                  <c:v>45484</c:v>
                </c:pt>
                <c:pt idx="124">
                  <c:v>45483</c:v>
                </c:pt>
                <c:pt idx="125">
                  <c:v>45482</c:v>
                </c:pt>
                <c:pt idx="126">
                  <c:v>45481</c:v>
                </c:pt>
                <c:pt idx="127">
                  <c:v>45478</c:v>
                </c:pt>
                <c:pt idx="128">
                  <c:v>45477</c:v>
                </c:pt>
                <c:pt idx="129">
                  <c:v>45476</c:v>
                </c:pt>
                <c:pt idx="130">
                  <c:v>45475</c:v>
                </c:pt>
                <c:pt idx="131">
                  <c:v>45474</c:v>
                </c:pt>
                <c:pt idx="132">
                  <c:v>45471</c:v>
                </c:pt>
                <c:pt idx="133">
                  <c:v>45470</c:v>
                </c:pt>
                <c:pt idx="134">
                  <c:v>45469</c:v>
                </c:pt>
                <c:pt idx="135">
                  <c:v>45468</c:v>
                </c:pt>
                <c:pt idx="136">
                  <c:v>45467</c:v>
                </c:pt>
                <c:pt idx="137">
                  <c:v>45464</c:v>
                </c:pt>
                <c:pt idx="138">
                  <c:v>45463</c:v>
                </c:pt>
                <c:pt idx="139">
                  <c:v>45462</c:v>
                </c:pt>
                <c:pt idx="140">
                  <c:v>45461</c:v>
                </c:pt>
                <c:pt idx="141">
                  <c:v>45460</c:v>
                </c:pt>
                <c:pt idx="142">
                  <c:v>45457</c:v>
                </c:pt>
                <c:pt idx="143">
                  <c:v>45456</c:v>
                </c:pt>
                <c:pt idx="144">
                  <c:v>45455</c:v>
                </c:pt>
                <c:pt idx="145">
                  <c:v>45454</c:v>
                </c:pt>
                <c:pt idx="146">
                  <c:v>45453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45415</c:v>
                </c:pt>
                <c:pt idx="173">
                  <c:v>45414</c:v>
                </c:pt>
                <c:pt idx="174">
                  <c:v>45413</c:v>
                </c:pt>
                <c:pt idx="175">
                  <c:v>45412</c:v>
                </c:pt>
                <c:pt idx="176">
                  <c:v>45411</c:v>
                </c:pt>
                <c:pt idx="177">
                  <c:v>45408</c:v>
                </c:pt>
                <c:pt idx="178">
                  <c:v>45407</c:v>
                </c:pt>
                <c:pt idx="179">
                  <c:v>45406</c:v>
                </c:pt>
                <c:pt idx="180">
                  <c:v>45405</c:v>
                </c:pt>
                <c:pt idx="181">
                  <c:v>45404</c:v>
                </c:pt>
                <c:pt idx="182">
                  <c:v>45401</c:v>
                </c:pt>
                <c:pt idx="183">
                  <c:v>45400</c:v>
                </c:pt>
                <c:pt idx="184">
                  <c:v>45399</c:v>
                </c:pt>
                <c:pt idx="185">
                  <c:v>45398</c:v>
                </c:pt>
                <c:pt idx="186">
                  <c:v>45397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</c:numCache>
            </c:numRef>
          </c:cat>
          <c:val>
            <c:numRef>
              <c:f>'2024_Coses'!$F$2:$F$262</c:f>
              <c:numCache>
                <c:formatCode>0.000%</c:formatCode>
                <c:ptCount val="261"/>
                <c:pt idx="0">
                  <c:v>8.3440702644962377E-3</c:v>
                </c:pt>
                <c:pt idx="1">
                  <c:v>-1.5996645953948806E-2</c:v>
                </c:pt>
                <c:pt idx="2">
                  <c:v>-1.580429162394649E-2</c:v>
                </c:pt>
                <c:pt idx="3">
                  <c:v>-3.7034703418894678E-2</c:v>
                </c:pt>
                <c:pt idx="4">
                  <c:v>7.3028921036117824E-3</c:v>
                </c:pt>
                <c:pt idx="5">
                  <c:v>3.9442856220127137E-2</c:v>
                </c:pt>
                <c:pt idx="6">
                  <c:v>-3.0561772436684464E-2</c:v>
                </c:pt>
                <c:pt idx="7">
                  <c:v>3.3759835568944242E-3</c:v>
                </c:pt>
                <c:pt idx="8">
                  <c:v>-2.7641607084777378E-2</c:v>
                </c:pt>
                <c:pt idx="9">
                  <c:v>-5.7602381353520256E-2</c:v>
                </c:pt>
                <c:pt idx="10">
                  <c:v>7.6627092320639544E-4</c:v>
                </c:pt>
                <c:pt idx="11">
                  <c:v>4.465090232718108E-2</c:v>
                </c:pt>
                <c:pt idx="12">
                  <c:v>1.4062259337119961E-2</c:v>
                </c:pt>
                <c:pt idx="13">
                  <c:v>-1.1100060722188816E-2</c:v>
                </c:pt>
                <c:pt idx="14">
                  <c:v>4.5787395006391347E-2</c:v>
                </c:pt>
                <c:pt idx="15">
                  <c:v>-7.8274391614181118E-3</c:v>
                </c:pt>
                <c:pt idx="16">
                  <c:v>-2.4365032222449928E-2</c:v>
                </c:pt>
                <c:pt idx="17">
                  <c:v>2.8364415930937144E-2</c:v>
                </c:pt>
                <c:pt idx="18">
                  <c:v>-1.7024376617505634E-2</c:v>
                </c:pt>
                <c:pt idx="19">
                  <c:v>2.8141852863914921E-2</c:v>
                </c:pt>
                <c:pt idx="20">
                  <c:v>5.434292395396841E-4</c:v>
                </c:pt>
                <c:pt idx="21">
                  <c:v>-1.6467281528683063E-2</c:v>
                </c:pt>
                <c:pt idx="22">
                  <c:v>1.8567630043622191E-2</c:v>
                </c:pt>
                <c:pt idx="23">
                  <c:v>-2.5175949863932802E-3</c:v>
                </c:pt>
                <c:pt idx="24">
                  <c:v>4.1621174099621155E-2</c:v>
                </c:pt>
                <c:pt idx="25">
                  <c:v>-1.1746657480125941E-2</c:v>
                </c:pt>
                <c:pt idx="26">
                  <c:v>-6.1117770260695536E-2</c:v>
                </c:pt>
                <c:pt idx="27">
                  <c:v>5.6278727508195028E-3</c:v>
                </c:pt>
                <c:pt idx="28">
                  <c:v>4.2259077978214113E-2</c:v>
                </c:pt>
                <c:pt idx="29">
                  <c:v>2.21373432580084E-2</c:v>
                </c:pt>
                <c:pt idx="30">
                  <c:v>1.927073900775135E-2</c:v>
                </c:pt>
                <c:pt idx="31">
                  <c:v>-6.2559011288570651E-3</c:v>
                </c:pt>
                <c:pt idx="32">
                  <c:v>4.2088633056105544E-2</c:v>
                </c:pt>
                <c:pt idx="33">
                  <c:v>-3.5208080509404237E-2</c:v>
                </c:pt>
                <c:pt idx="34">
                  <c:v>2.7820266020852337E-2</c:v>
                </c:pt>
                <c:pt idx="35">
                  <c:v>-8.1855258763267776E-3</c:v>
                </c:pt>
                <c:pt idx="36">
                  <c:v>0.14733821326949795</c:v>
                </c:pt>
                <c:pt idx="37">
                  <c:v>8.5139624932727559E-3</c:v>
                </c:pt>
                <c:pt idx="38">
                  <c:v>3.7278467309161279E-3</c:v>
                </c:pt>
                <c:pt idx="39">
                  <c:v>8.5767216680210881E-2</c:v>
                </c:pt>
                <c:pt idx="40">
                  <c:v>2.2226133100027808E-2</c:v>
                </c:pt>
                <c:pt idx="41">
                  <c:v>-2.4148644274977687E-2</c:v>
                </c:pt>
                <c:pt idx="42">
                  <c:v>-1.1082530502042531E-2</c:v>
                </c:pt>
                <c:pt idx="43">
                  <c:v>-2.8972170045736403E-2</c:v>
                </c:pt>
                <c:pt idx="44">
                  <c:v>-5.2744090700669643E-3</c:v>
                </c:pt>
                <c:pt idx="45">
                  <c:v>3.8920141256074202E-2</c:v>
                </c:pt>
                <c:pt idx="46">
                  <c:v>4.7682336930310661E-2</c:v>
                </c:pt>
                <c:pt idx="47">
                  <c:v>-2.2162947892241533E-2</c:v>
                </c:pt>
                <c:pt idx="48">
                  <c:v>2.2659346761167352E-2</c:v>
                </c:pt>
                <c:pt idx="49">
                  <c:v>-1.1389403530490855E-2</c:v>
                </c:pt>
                <c:pt idx="50">
                  <c:v>8.308692111283014E-4</c:v>
                </c:pt>
                <c:pt idx="51">
                  <c:v>-1.5491375703289385E-2</c:v>
                </c:pt>
                <c:pt idx="52">
                  <c:v>1.4792509218431563E-2</c:v>
                </c:pt>
                <c:pt idx="53">
                  <c:v>6.1266436702837421E-2</c:v>
                </c:pt>
                <c:pt idx="54">
                  <c:v>-6.4221199905718923E-2</c:v>
                </c:pt>
                <c:pt idx="55">
                  <c:v>5.8036481896112373E-2</c:v>
                </c:pt>
                <c:pt idx="56">
                  <c:v>-5.0012408327124572E-2</c:v>
                </c:pt>
                <c:pt idx="57">
                  <c:v>9.0413092448305588E-2</c:v>
                </c:pt>
                <c:pt idx="58">
                  <c:v>-7.5456280394475647E-2</c:v>
                </c:pt>
                <c:pt idx="59">
                  <c:v>4.0144905668742077E-2</c:v>
                </c:pt>
                <c:pt idx="60">
                  <c:v>-4.9921340628588922E-3</c:v>
                </c:pt>
                <c:pt idx="61">
                  <c:v>-4.6402523462077037E-2</c:v>
                </c:pt>
                <c:pt idx="62">
                  <c:v>6.6984650433974724E-2</c:v>
                </c:pt>
                <c:pt idx="63">
                  <c:v>-6.0765977888191061E-2</c:v>
                </c:pt>
                <c:pt idx="64">
                  <c:v>9.6322210216662374E-2</c:v>
                </c:pt>
                <c:pt idx="65">
                  <c:v>-6.3736487119000984E-2</c:v>
                </c:pt>
                <c:pt idx="66">
                  <c:v>5.8567183781121752E-2</c:v>
                </c:pt>
                <c:pt idx="67">
                  <c:v>-6.1850233844946416E-2</c:v>
                </c:pt>
                <c:pt idx="68">
                  <c:v>3.6956819204174665E-2</c:v>
                </c:pt>
                <c:pt idx="69">
                  <c:v>-2.5562963509672826E-2</c:v>
                </c:pt>
                <c:pt idx="70">
                  <c:v>2.4138555740376665E-2</c:v>
                </c:pt>
                <c:pt idx="71">
                  <c:v>-2.560690309512054E-2</c:v>
                </c:pt>
                <c:pt idx="72">
                  <c:v>5.1301453703888902E-2</c:v>
                </c:pt>
                <c:pt idx="73">
                  <c:v>3.9256186348901004E-2</c:v>
                </c:pt>
                <c:pt idx="74">
                  <c:v>-6.2302870834567675E-2</c:v>
                </c:pt>
                <c:pt idx="75">
                  <c:v>4.8848718419901363E-2</c:v>
                </c:pt>
                <c:pt idx="76">
                  <c:v>-2.7195569539239624E-2</c:v>
                </c:pt>
                <c:pt idx="77">
                  <c:v>-3.4401553948862171E-2</c:v>
                </c:pt>
                <c:pt idx="78">
                  <c:v>3.613965478273138E-2</c:v>
                </c:pt>
                <c:pt idx="79">
                  <c:v>-4.0671535602132415E-2</c:v>
                </c:pt>
                <c:pt idx="80">
                  <c:v>3.7546769721708652E-2</c:v>
                </c:pt>
                <c:pt idx="81">
                  <c:v>-2.4071994432781026E-2</c:v>
                </c:pt>
                <c:pt idx="82">
                  <c:v>-1.625891618996058E-2</c:v>
                </c:pt>
                <c:pt idx="83">
                  <c:v>3.4234679751913494E-2</c:v>
                </c:pt>
                <c:pt idx="84">
                  <c:v>-3.0054763497750884E-2</c:v>
                </c:pt>
                <c:pt idx="85">
                  <c:v>3.6785693696978525E-2</c:v>
                </c:pt>
                <c:pt idx="86">
                  <c:v>-7.8720790249058023E-2</c:v>
                </c:pt>
                <c:pt idx="87">
                  <c:v>4.4122187245345439E-2</c:v>
                </c:pt>
                <c:pt idx="88">
                  <c:v>-3.4949296242570912E-2</c:v>
                </c:pt>
                <c:pt idx="89">
                  <c:v>5.6921706206474992E-2</c:v>
                </c:pt>
                <c:pt idx="90">
                  <c:v>-2.5450779162526162E-2</c:v>
                </c:pt>
                <c:pt idx="91">
                  <c:v>-4.7443772128290936E-2</c:v>
                </c:pt>
                <c:pt idx="92">
                  <c:v>3.0171990409859052E-2</c:v>
                </c:pt>
                <c:pt idx="93">
                  <c:v>-1.5047261309048144E-2</c:v>
                </c:pt>
                <c:pt idx="94">
                  <c:v>2.9547243386976438E-2</c:v>
                </c:pt>
                <c:pt idx="95">
                  <c:v>-5.6854149664707629E-2</c:v>
                </c:pt>
                <c:pt idx="96">
                  <c:v>-6.3374023650584435E-2</c:v>
                </c:pt>
                <c:pt idx="97">
                  <c:v>1.812392699724626E-2</c:v>
                </c:pt>
                <c:pt idx="98">
                  <c:v>0.10416853067670048</c:v>
                </c:pt>
                <c:pt idx="99">
                  <c:v>-9.0032857853779555E-2</c:v>
                </c:pt>
                <c:pt idx="100">
                  <c:v>9.4196498185652372E-2</c:v>
                </c:pt>
                <c:pt idx="101">
                  <c:v>-7.6990640386698575E-2</c:v>
                </c:pt>
                <c:pt idx="102">
                  <c:v>9.5933243511331992E-2</c:v>
                </c:pt>
                <c:pt idx="103">
                  <c:v>-0.10431134959668675</c:v>
                </c:pt>
                <c:pt idx="104">
                  <c:v>0.12804539000131776</c:v>
                </c:pt>
                <c:pt idx="105">
                  <c:v>-0.14081732224212831</c:v>
                </c:pt>
                <c:pt idx="106">
                  <c:v>0.17618991137530551</c:v>
                </c:pt>
                <c:pt idx="107">
                  <c:v>-0.16076520970185926</c:v>
                </c:pt>
                <c:pt idx="108">
                  <c:v>1.0738196355205704E-2</c:v>
                </c:pt>
                <c:pt idx="109">
                  <c:v>-1.0572895855343777E-2</c:v>
                </c:pt>
                <c:pt idx="110">
                  <c:v>0.12187524232693232</c:v>
                </c:pt>
                <c:pt idx="111">
                  <c:v>-0.10973834221391504</c:v>
                </c:pt>
                <c:pt idx="112">
                  <c:v>0.14981413299625884</c:v>
                </c:pt>
                <c:pt idx="113">
                  <c:v>-0.16855781919345797</c:v>
                </c:pt>
                <c:pt idx="114">
                  <c:v>0.18234132219032714</c:v>
                </c:pt>
                <c:pt idx="115">
                  <c:v>-0.20733455034311726</c:v>
                </c:pt>
                <c:pt idx="116">
                  <c:v>0.20218031670600545</c:v>
                </c:pt>
                <c:pt idx="117">
                  <c:v>-0.20972803390234626</c:v>
                </c:pt>
                <c:pt idx="118">
                  <c:v>0.2199369910653319</c:v>
                </c:pt>
                <c:pt idx="119">
                  <c:v>-0.21581787210515063</c:v>
                </c:pt>
                <c:pt idx="120">
                  <c:v>2.0603071875192672E-2</c:v>
                </c:pt>
                <c:pt idx="121">
                  <c:v>-2.7403767416718313E-3</c:v>
                </c:pt>
                <c:pt idx="122">
                  <c:v>0.25350719918829057</c:v>
                </c:pt>
                <c:pt idx="123">
                  <c:v>-0.22108535575953892</c:v>
                </c:pt>
                <c:pt idx="124">
                  <c:v>0.18083661860675618</c:v>
                </c:pt>
                <c:pt idx="125">
                  <c:v>-0.19470762863819088</c:v>
                </c:pt>
                <c:pt idx="126">
                  <c:v>0.1633411238061728</c:v>
                </c:pt>
                <c:pt idx="127">
                  <c:v>-0.1413160201704427</c:v>
                </c:pt>
                <c:pt idx="128">
                  <c:v>0.14986672309492247</c:v>
                </c:pt>
                <c:pt idx="129">
                  <c:v>-0.13874829406062761</c:v>
                </c:pt>
                <c:pt idx="130">
                  <c:v>0.11037582069330018</c:v>
                </c:pt>
                <c:pt idx="131">
                  <c:v>-0.11737784728523375</c:v>
                </c:pt>
                <c:pt idx="132">
                  <c:v>2.0339653337399882E-2</c:v>
                </c:pt>
                <c:pt idx="133">
                  <c:v>2.7508684882609539E-3</c:v>
                </c:pt>
                <c:pt idx="134">
                  <c:v>9.452917835837768E-2</c:v>
                </c:pt>
                <c:pt idx="135">
                  <c:v>-9.2579013224066448E-2</c:v>
                </c:pt>
                <c:pt idx="136">
                  <c:v>8.8295216548447755E-2</c:v>
                </c:pt>
                <c:pt idx="137">
                  <c:v>-7.7040884020345174E-2</c:v>
                </c:pt>
                <c:pt idx="138">
                  <c:v>8.308028931613573E-2</c:v>
                </c:pt>
                <c:pt idx="139">
                  <c:v>-2.1402441462753392E-2</c:v>
                </c:pt>
                <c:pt idx="140">
                  <c:v>1.4060273250476259E-2</c:v>
                </c:pt>
                <c:pt idx="141">
                  <c:v>-3.8904694662663906E-2</c:v>
                </c:pt>
                <c:pt idx="142">
                  <c:v>-1.6635015335379224E-2</c:v>
                </c:pt>
                <c:pt idx="143">
                  <c:v>3.2288512719641435E-2</c:v>
                </c:pt>
                <c:pt idx="144">
                  <c:v>-1.3643693857905332E-2</c:v>
                </c:pt>
                <c:pt idx="145">
                  <c:v>2.1001913720705329E-2</c:v>
                </c:pt>
                <c:pt idx="146">
                  <c:v>-5.8668687649380227E-2</c:v>
                </c:pt>
                <c:pt idx="147">
                  <c:v>1.8323668227198373E-2</c:v>
                </c:pt>
                <c:pt idx="148">
                  <c:v>4.0860024546356677E-2</c:v>
                </c:pt>
                <c:pt idx="149">
                  <c:v>-2.8270393538461624E-2</c:v>
                </c:pt>
                <c:pt idx="150">
                  <c:v>1.5336813102110925E-2</c:v>
                </c:pt>
                <c:pt idx="151">
                  <c:v>1.580159018186171E-2</c:v>
                </c:pt>
                <c:pt idx="152">
                  <c:v>2.002498018135691E-2</c:v>
                </c:pt>
                <c:pt idx="153">
                  <c:v>3.4123179229382024E-2</c:v>
                </c:pt>
                <c:pt idx="154">
                  <c:v>-4.1974552355381702E-2</c:v>
                </c:pt>
                <c:pt idx="155">
                  <c:v>4.8739888743318333E-2</c:v>
                </c:pt>
                <c:pt idx="156">
                  <c:v>-1.4625134369772416E-3</c:v>
                </c:pt>
                <c:pt idx="157">
                  <c:v>-2.2912348285917709E-2</c:v>
                </c:pt>
                <c:pt idx="158">
                  <c:v>-1.4331828677637321E-2</c:v>
                </c:pt>
                <c:pt idx="159">
                  <c:v>1.9387714030006008E-2</c:v>
                </c:pt>
                <c:pt idx="160">
                  <c:v>3.6796989507006527E-3</c:v>
                </c:pt>
                <c:pt idx="161">
                  <c:v>3.4351341627331432E-3</c:v>
                </c:pt>
                <c:pt idx="162">
                  <c:v>-2.3621225253798016E-2</c:v>
                </c:pt>
                <c:pt idx="163">
                  <c:v>1.4112585832937487E-2</c:v>
                </c:pt>
                <c:pt idx="164">
                  <c:v>-4.5755670797892063E-2</c:v>
                </c:pt>
                <c:pt idx="165">
                  <c:v>-6.6818279511292447E-2</c:v>
                </c:pt>
                <c:pt idx="166">
                  <c:v>8.7581840472979136E-2</c:v>
                </c:pt>
                <c:pt idx="167">
                  <c:v>-9.1699472055154163E-2</c:v>
                </c:pt>
                <c:pt idx="168">
                  <c:v>1.4875730119161792E-2</c:v>
                </c:pt>
                <c:pt idx="169">
                  <c:v>1.6975135586647253E-3</c:v>
                </c:pt>
                <c:pt idx="170">
                  <c:v>5.0156669735838121E-2</c:v>
                </c:pt>
                <c:pt idx="171">
                  <c:v>-9.1444385223651017E-2</c:v>
                </c:pt>
                <c:pt idx="172">
                  <c:v>7.7586996257925242E-2</c:v>
                </c:pt>
                <c:pt idx="173">
                  <c:v>-9.0642288179651004E-2</c:v>
                </c:pt>
                <c:pt idx="174">
                  <c:v>0.20339240225882985</c:v>
                </c:pt>
                <c:pt idx="175">
                  <c:v>-0.17918291883935508</c:v>
                </c:pt>
                <c:pt idx="176">
                  <c:v>0.1623285721239785</c:v>
                </c:pt>
                <c:pt idx="177">
                  <c:v>-0.15368778506484454</c:v>
                </c:pt>
                <c:pt idx="178">
                  <c:v>0.19147600432544337</c:v>
                </c:pt>
                <c:pt idx="179">
                  <c:v>-0.1980141179383208</c:v>
                </c:pt>
                <c:pt idx="180">
                  <c:v>-3.1553483415843332E-2</c:v>
                </c:pt>
                <c:pt idx="181">
                  <c:v>1.6479064117269047E-2</c:v>
                </c:pt>
                <c:pt idx="182">
                  <c:v>8.2992845916385283E-2</c:v>
                </c:pt>
                <c:pt idx="183">
                  <c:v>-7.3761566889220698E-2</c:v>
                </c:pt>
                <c:pt idx="184">
                  <c:v>1.2344540750006221E-2</c:v>
                </c:pt>
                <c:pt idx="185">
                  <c:v>1.1490992901527485E-2</c:v>
                </c:pt>
                <c:pt idx="186">
                  <c:v>-3.8340410834514942E-2</c:v>
                </c:pt>
                <c:pt idx="187">
                  <c:v>-4.1703725174774754E-2</c:v>
                </c:pt>
                <c:pt idx="188">
                  <c:v>-8.6821840706597497E-3</c:v>
                </c:pt>
                <c:pt idx="189">
                  <c:v>2.1093991616097197E-2</c:v>
                </c:pt>
                <c:pt idx="190">
                  <c:v>-3.526624162794717E-2</c:v>
                </c:pt>
                <c:pt idx="191">
                  <c:v>5.4501956126101106E-2</c:v>
                </c:pt>
                <c:pt idx="192">
                  <c:v>-9.7692285098938906E-3</c:v>
                </c:pt>
                <c:pt idx="193">
                  <c:v>3.7688670304792095E-2</c:v>
                </c:pt>
                <c:pt idx="194">
                  <c:v>7.972511486597212E-3</c:v>
                </c:pt>
                <c:pt idx="195">
                  <c:v>-6.256795960133929E-2</c:v>
                </c:pt>
                <c:pt idx="196">
                  <c:v>-2.971276286380645E-3</c:v>
                </c:pt>
                <c:pt idx="197">
                  <c:v>-1.2662843466655615E-2</c:v>
                </c:pt>
                <c:pt idx="198">
                  <c:v>1.882591466845002E-2</c:v>
                </c:pt>
                <c:pt idx="199">
                  <c:v>-7.9876100325419839E-3</c:v>
                </c:pt>
                <c:pt idx="200">
                  <c:v>1.5340485225667469E-3</c:v>
                </c:pt>
                <c:pt idx="201">
                  <c:v>9.142530168368064E-2</c:v>
                </c:pt>
                <c:pt idx="202">
                  <c:v>-2.6582264432449865E-2</c:v>
                </c:pt>
                <c:pt idx="203">
                  <c:v>-3.5250181891683642E-2</c:v>
                </c:pt>
                <c:pt idx="204">
                  <c:v>8.9417826466628783E-2</c:v>
                </c:pt>
                <c:pt idx="205">
                  <c:v>-8.5580189482837826E-2</c:v>
                </c:pt>
                <c:pt idx="206">
                  <c:v>-2.7283612831733497E-2</c:v>
                </c:pt>
                <c:pt idx="207">
                  <c:v>-2.7318470025793792E-2</c:v>
                </c:pt>
                <c:pt idx="208">
                  <c:v>-2.3244464154002838E-2</c:v>
                </c:pt>
                <c:pt idx="209">
                  <c:v>2.2086668540070756E-2</c:v>
                </c:pt>
                <c:pt idx="210">
                  <c:v>-8.7609819451129455E-3</c:v>
                </c:pt>
                <c:pt idx="211">
                  <c:v>5.6007638187036198E-2</c:v>
                </c:pt>
                <c:pt idx="212">
                  <c:v>1.9503340983117692E-2</c:v>
                </c:pt>
                <c:pt idx="213">
                  <c:v>1.1658399916705796E-2</c:v>
                </c:pt>
                <c:pt idx="214">
                  <c:v>3.5234986300303375E-2</c:v>
                </c:pt>
                <c:pt idx="215">
                  <c:v>-6.783470003848073E-2</c:v>
                </c:pt>
                <c:pt idx="216">
                  <c:v>8.994348047962987E-2</c:v>
                </c:pt>
                <c:pt idx="217">
                  <c:v>1.9882986050782751E-2</c:v>
                </c:pt>
                <c:pt idx="218">
                  <c:v>-2.100259265568815E-2</c:v>
                </c:pt>
                <c:pt idx="219">
                  <c:v>9.061127532393469E-2</c:v>
                </c:pt>
                <c:pt idx="220">
                  <c:v>4.5925957632356948E-2</c:v>
                </c:pt>
                <c:pt idx="221">
                  <c:v>7.1386381089289311E-2</c:v>
                </c:pt>
                <c:pt idx="222">
                  <c:v>-1.1363925668290158E-2</c:v>
                </c:pt>
                <c:pt idx="223">
                  <c:v>-1.0424736727354559E-2</c:v>
                </c:pt>
                <c:pt idx="224">
                  <c:v>-7.7851600013700327E-3</c:v>
                </c:pt>
                <c:pt idx="225">
                  <c:v>9.2247338583129352E-3</c:v>
                </c:pt>
                <c:pt idx="226">
                  <c:v>-6.7476665261031674E-3</c:v>
                </c:pt>
                <c:pt idx="227">
                  <c:v>4.4773253181442253E-3</c:v>
                </c:pt>
                <c:pt idx="228">
                  <c:v>2.2935148363709152E-3</c:v>
                </c:pt>
                <c:pt idx="229">
                  <c:v>4.0723510308063808E-2</c:v>
                </c:pt>
                <c:pt idx="230">
                  <c:v>-4.521502867040385E-3</c:v>
                </c:pt>
                <c:pt idx="231">
                  <c:v>5.7991620991375094E-2</c:v>
                </c:pt>
                <c:pt idx="232">
                  <c:v>3.9697576078406988E-2</c:v>
                </c:pt>
                <c:pt idx="233">
                  <c:v>2.1276425102440391E-2</c:v>
                </c:pt>
                <c:pt idx="234">
                  <c:v>2.8645120028436517E-2</c:v>
                </c:pt>
                <c:pt idx="235">
                  <c:v>9.104229235613142E-3</c:v>
                </c:pt>
                <c:pt idx="236">
                  <c:v>-1.1584458224403125E-2</c:v>
                </c:pt>
                <c:pt idx="237">
                  <c:v>2.6264530995495326E-3</c:v>
                </c:pt>
                <c:pt idx="238">
                  <c:v>1.1694947440336827E-2</c:v>
                </c:pt>
                <c:pt idx="239">
                  <c:v>-8.5517675466765322E-3</c:v>
                </c:pt>
                <c:pt idx="240">
                  <c:v>-8.1998465149057363E-3</c:v>
                </c:pt>
                <c:pt idx="241">
                  <c:v>3.4981378135094901E-2</c:v>
                </c:pt>
                <c:pt idx="242">
                  <c:v>4.589597722552153E-2</c:v>
                </c:pt>
                <c:pt idx="243">
                  <c:v>-3.7564854718789612E-3</c:v>
                </c:pt>
                <c:pt idx="244">
                  <c:v>4.9315634340747977E-3</c:v>
                </c:pt>
                <c:pt idx="245">
                  <c:v>8.3680811347745208E-3</c:v>
                </c:pt>
                <c:pt idx="246">
                  <c:v>-5.152584664966376E-2</c:v>
                </c:pt>
                <c:pt idx="247">
                  <c:v>8.5676193562497002E-3</c:v>
                </c:pt>
                <c:pt idx="248">
                  <c:v>-3.5120797744137677E-2</c:v>
                </c:pt>
                <c:pt idx="249">
                  <c:v>-8.771598081392773E-3</c:v>
                </c:pt>
                <c:pt idx="250">
                  <c:v>1.4822315772652099E-2</c:v>
                </c:pt>
                <c:pt idx="251">
                  <c:v>-7.620727102052853E-3</c:v>
                </c:pt>
                <c:pt idx="252">
                  <c:v>-7.8805920255420464E-2</c:v>
                </c:pt>
                <c:pt idx="253">
                  <c:v>-6.0466426062581492E-3</c:v>
                </c:pt>
                <c:pt idx="254">
                  <c:v>1.0787279444706657E-2</c:v>
                </c:pt>
                <c:pt idx="255">
                  <c:v>-1.790120333622822E-2</c:v>
                </c:pt>
                <c:pt idx="256">
                  <c:v>6.1593822574698011E-2</c:v>
                </c:pt>
                <c:pt idx="257">
                  <c:v>-2.2646491662287105E-6</c:v>
                </c:pt>
                <c:pt idx="258">
                  <c:v>3.0370259857643137E-2</c:v>
                </c:pt>
                <c:pt idx="259">
                  <c:v>-4.8029390345393677E-2</c:v>
                </c:pt>
                <c:pt idx="260">
                  <c:v>1.7061442435943906E-2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0-6948-9AE7-7FFA8E5D2D2A}"/>
            </c:ext>
          </c:extLst>
        </c:ser>
        <c:ser>
          <c:idx val="1"/>
          <c:order val="1"/>
          <c:tx>
            <c:strRef>
              <c:f>'2024_Coses'!$G$1</c:f>
              <c:strCache>
                <c:ptCount val="1"/>
                <c:pt idx="0">
                  <c:v>SP500 %</c:v>
                </c:pt>
              </c:strCache>
            </c:strRef>
          </c:tx>
          <c:spPr>
            <a:ln w="28575" cap="rnd">
              <a:solidFill>
                <a:schemeClr val="accent2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cat>
            <c:numRef>
              <c:f>'2024_Coses'!$E$2:$E$262</c:f>
              <c:numCache>
                <c:formatCode>m/d/yy</c:formatCode>
                <c:ptCount val="261"/>
                <c:pt idx="0">
                  <c:v>45657</c:v>
                </c:pt>
                <c:pt idx="1">
                  <c:v>45656</c:v>
                </c:pt>
                <c:pt idx="2">
                  <c:v>45653</c:v>
                </c:pt>
                <c:pt idx="3">
                  <c:v>45652</c:v>
                </c:pt>
                <c:pt idx="4">
                  <c:v>45651</c:v>
                </c:pt>
                <c:pt idx="5">
                  <c:v>45650</c:v>
                </c:pt>
                <c:pt idx="6">
                  <c:v>45649</c:v>
                </c:pt>
                <c:pt idx="7">
                  <c:v>45646</c:v>
                </c:pt>
                <c:pt idx="8">
                  <c:v>45645</c:v>
                </c:pt>
                <c:pt idx="9">
                  <c:v>45644</c:v>
                </c:pt>
                <c:pt idx="10">
                  <c:v>45643</c:v>
                </c:pt>
                <c:pt idx="11">
                  <c:v>45642</c:v>
                </c:pt>
                <c:pt idx="12">
                  <c:v>45639</c:v>
                </c:pt>
                <c:pt idx="13">
                  <c:v>45638</c:v>
                </c:pt>
                <c:pt idx="14">
                  <c:v>45637</c:v>
                </c:pt>
                <c:pt idx="15">
                  <c:v>45636</c:v>
                </c:pt>
                <c:pt idx="16">
                  <c:v>45635</c:v>
                </c:pt>
                <c:pt idx="17">
                  <c:v>45632</c:v>
                </c:pt>
                <c:pt idx="18">
                  <c:v>45631</c:v>
                </c:pt>
                <c:pt idx="19">
                  <c:v>45630</c:v>
                </c:pt>
                <c:pt idx="20">
                  <c:v>45629</c:v>
                </c:pt>
                <c:pt idx="21">
                  <c:v>45628</c:v>
                </c:pt>
                <c:pt idx="22">
                  <c:v>45625</c:v>
                </c:pt>
                <c:pt idx="23">
                  <c:v>45624</c:v>
                </c:pt>
                <c:pt idx="24">
                  <c:v>45623</c:v>
                </c:pt>
                <c:pt idx="25">
                  <c:v>45622</c:v>
                </c:pt>
                <c:pt idx="26">
                  <c:v>45621</c:v>
                </c:pt>
                <c:pt idx="27">
                  <c:v>45618</c:v>
                </c:pt>
                <c:pt idx="28">
                  <c:v>45617</c:v>
                </c:pt>
                <c:pt idx="29">
                  <c:v>45616</c:v>
                </c:pt>
                <c:pt idx="30">
                  <c:v>45615</c:v>
                </c:pt>
                <c:pt idx="31">
                  <c:v>45614</c:v>
                </c:pt>
                <c:pt idx="32">
                  <c:v>45611</c:v>
                </c:pt>
                <c:pt idx="33">
                  <c:v>45610</c:v>
                </c:pt>
                <c:pt idx="34">
                  <c:v>45609</c:v>
                </c:pt>
                <c:pt idx="35">
                  <c:v>45608</c:v>
                </c:pt>
                <c:pt idx="36">
                  <c:v>45607</c:v>
                </c:pt>
                <c:pt idx="37">
                  <c:v>45604</c:v>
                </c:pt>
                <c:pt idx="38">
                  <c:v>45603</c:v>
                </c:pt>
                <c:pt idx="39">
                  <c:v>45602</c:v>
                </c:pt>
                <c:pt idx="40">
                  <c:v>45601</c:v>
                </c:pt>
                <c:pt idx="41">
                  <c:v>45600</c:v>
                </c:pt>
                <c:pt idx="42">
                  <c:v>45597</c:v>
                </c:pt>
                <c:pt idx="43">
                  <c:v>45596</c:v>
                </c:pt>
                <c:pt idx="44">
                  <c:v>45595</c:v>
                </c:pt>
                <c:pt idx="45">
                  <c:v>45594</c:v>
                </c:pt>
                <c:pt idx="46">
                  <c:v>45593</c:v>
                </c:pt>
                <c:pt idx="47">
                  <c:v>45590</c:v>
                </c:pt>
                <c:pt idx="48">
                  <c:v>45589</c:v>
                </c:pt>
                <c:pt idx="49">
                  <c:v>45588</c:v>
                </c:pt>
                <c:pt idx="50">
                  <c:v>45587</c:v>
                </c:pt>
                <c:pt idx="51">
                  <c:v>45586</c:v>
                </c:pt>
                <c:pt idx="52">
                  <c:v>45583</c:v>
                </c:pt>
                <c:pt idx="53">
                  <c:v>45582</c:v>
                </c:pt>
                <c:pt idx="54">
                  <c:v>45581</c:v>
                </c:pt>
                <c:pt idx="55">
                  <c:v>45580</c:v>
                </c:pt>
                <c:pt idx="56">
                  <c:v>45579</c:v>
                </c:pt>
                <c:pt idx="57">
                  <c:v>45576</c:v>
                </c:pt>
                <c:pt idx="58">
                  <c:v>45575</c:v>
                </c:pt>
                <c:pt idx="59">
                  <c:v>45574</c:v>
                </c:pt>
                <c:pt idx="60">
                  <c:v>45573</c:v>
                </c:pt>
                <c:pt idx="61">
                  <c:v>45572</c:v>
                </c:pt>
                <c:pt idx="62">
                  <c:v>45569</c:v>
                </c:pt>
                <c:pt idx="63">
                  <c:v>45568</c:v>
                </c:pt>
                <c:pt idx="64">
                  <c:v>45567</c:v>
                </c:pt>
                <c:pt idx="65">
                  <c:v>45566</c:v>
                </c:pt>
                <c:pt idx="66">
                  <c:v>45565</c:v>
                </c:pt>
                <c:pt idx="67">
                  <c:v>45562</c:v>
                </c:pt>
                <c:pt idx="68">
                  <c:v>45561</c:v>
                </c:pt>
                <c:pt idx="69">
                  <c:v>45560</c:v>
                </c:pt>
                <c:pt idx="70">
                  <c:v>45559</c:v>
                </c:pt>
                <c:pt idx="71">
                  <c:v>45558</c:v>
                </c:pt>
                <c:pt idx="72">
                  <c:v>45555</c:v>
                </c:pt>
                <c:pt idx="73">
                  <c:v>45554</c:v>
                </c:pt>
                <c:pt idx="74">
                  <c:v>45553</c:v>
                </c:pt>
                <c:pt idx="75">
                  <c:v>45552</c:v>
                </c:pt>
                <c:pt idx="76">
                  <c:v>45551</c:v>
                </c:pt>
                <c:pt idx="77">
                  <c:v>45548</c:v>
                </c:pt>
                <c:pt idx="78">
                  <c:v>45547</c:v>
                </c:pt>
                <c:pt idx="79">
                  <c:v>45546</c:v>
                </c:pt>
                <c:pt idx="80">
                  <c:v>45545</c:v>
                </c:pt>
                <c:pt idx="81">
                  <c:v>45544</c:v>
                </c:pt>
                <c:pt idx="82">
                  <c:v>45541</c:v>
                </c:pt>
                <c:pt idx="83">
                  <c:v>45540</c:v>
                </c:pt>
                <c:pt idx="84">
                  <c:v>45539</c:v>
                </c:pt>
                <c:pt idx="85">
                  <c:v>45538</c:v>
                </c:pt>
                <c:pt idx="86">
                  <c:v>45537</c:v>
                </c:pt>
                <c:pt idx="87">
                  <c:v>45534</c:v>
                </c:pt>
                <c:pt idx="88">
                  <c:v>45533</c:v>
                </c:pt>
                <c:pt idx="89">
                  <c:v>45532</c:v>
                </c:pt>
                <c:pt idx="90">
                  <c:v>45531</c:v>
                </c:pt>
                <c:pt idx="91">
                  <c:v>45530</c:v>
                </c:pt>
                <c:pt idx="92">
                  <c:v>45527</c:v>
                </c:pt>
                <c:pt idx="93">
                  <c:v>45526</c:v>
                </c:pt>
                <c:pt idx="94">
                  <c:v>45525</c:v>
                </c:pt>
                <c:pt idx="95">
                  <c:v>45524</c:v>
                </c:pt>
                <c:pt idx="96">
                  <c:v>45523</c:v>
                </c:pt>
                <c:pt idx="97">
                  <c:v>45520</c:v>
                </c:pt>
                <c:pt idx="98">
                  <c:v>45519</c:v>
                </c:pt>
                <c:pt idx="99">
                  <c:v>45518</c:v>
                </c:pt>
                <c:pt idx="100">
                  <c:v>45517</c:v>
                </c:pt>
                <c:pt idx="101">
                  <c:v>45516</c:v>
                </c:pt>
                <c:pt idx="102">
                  <c:v>45513</c:v>
                </c:pt>
                <c:pt idx="103">
                  <c:v>45512</c:v>
                </c:pt>
                <c:pt idx="104">
                  <c:v>45511</c:v>
                </c:pt>
                <c:pt idx="105">
                  <c:v>45510</c:v>
                </c:pt>
                <c:pt idx="106">
                  <c:v>45509</c:v>
                </c:pt>
                <c:pt idx="107">
                  <c:v>45506</c:v>
                </c:pt>
                <c:pt idx="108">
                  <c:v>45505</c:v>
                </c:pt>
                <c:pt idx="109">
                  <c:v>45504</c:v>
                </c:pt>
                <c:pt idx="110">
                  <c:v>45503</c:v>
                </c:pt>
                <c:pt idx="111">
                  <c:v>45502</c:v>
                </c:pt>
                <c:pt idx="112">
                  <c:v>45499</c:v>
                </c:pt>
                <c:pt idx="113">
                  <c:v>45498</c:v>
                </c:pt>
                <c:pt idx="114">
                  <c:v>45497</c:v>
                </c:pt>
                <c:pt idx="115">
                  <c:v>45496</c:v>
                </c:pt>
                <c:pt idx="116">
                  <c:v>45495</c:v>
                </c:pt>
                <c:pt idx="117">
                  <c:v>45492</c:v>
                </c:pt>
                <c:pt idx="118">
                  <c:v>45491</c:v>
                </c:pt>
                <c:pt idx="119">
                  <c:v>45490</c:v>
                </c:pt>
                <c:pt idx="120">
                  <c:v>45489</c:v>
                </c:pt>
                <c:pt idx="121">
                  <c:v>45488</c:v>
                </c:pt>
                <c:pt idx="122">
                  <c:v>45485</c:v>
                </c:pt>
                <c:pt idx="123">
                  <c:v>45484</c:v>
                </c:pt>
                <c:pt idx="124">
                  <c:v>45483</c:v>
                </c:pt>
                <c:pt idx="125">
                  <c:v>45482</c:v>
                </c:pt>
                <c:pt idx="126">
                  <c:v>45481</c:v>
                </c:pt>
                <c:pt idx="127">
                  <c:v>45478</c:v>
                </c:pt>
                <c:pt idx="128">
                  <c:v>45477</c:v>
                </c:pt>
                <c:pt idx="129">
                  <c:v>45476</c:v>
                </c:pt>
                <c:pt idx="130">
                  <c:v>45475</c:v>
                </c:pt>
                <c:pt idx="131">
                  <c:v>45474</c:v>
                </c:pt>
                <c:pt idx="132">
                  <c:v>45471</c:v>
                </c:pt>
                <c:pt idx="133">
                  <c:v>45470</c:v>
                </c:pt>
                <c:pt idx="134">
                  <c:v>45469</c:v>
                </c:pt>
                <c:pt idx="135">
                  <c:v>45468</c:v>
                </c:pt>
                <c:pt idx="136">
                  <c:v>45467</c:v>
                </c:pt>
                <c:pt idx="137">
                  <c:v>45464</c:v>
                </c:pt>
                <c:pt idx="138">
                  <c:v>45463</c:v>
                </c:pt>
                <c:pt idx="139">
                  <c:v>45462</c:v>
                </c:pt>
                <c:pt idx="140">
                  <c:v>45461</c:v>
                </c:pt>
                <c:pt idx="141">
                  <c:v>45460</c:v>
                </c:pt>
                <c:pt idx="142">
                  <c:v>45457</c:v>
                </c:pt>
                <c:pt idx="143">
                  <c:v>45456</c:v>
                </c:pt>
                <c:pt idx="144">
                  <c:v>45455</c:v>
                </c:pt>
                <c:pt idx="145">
                  <c:v>45454</c:v>
                </c:pt>
                <c:pt idx="146">
                  <c:v>45453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45415</c:v>
                </c:pt>
                <c:pt idx="173">
                  <c:v>45414</c:v>
                </c:pt>
                <c:pt idx="174">
                  <c:v>45413</c:v>
                </c:pt>
                <c:pt idx="175">
                  <c:v>45412</c:v>
                </c:pt>
                <c:pt idx="176">
                  <c:v>45411</c:v>
                </c:pt>
                <c:pt idx="177">
                  <c:v>45408</c:v>
                </c:pt>
                <c:pt idx="178">
                  <c:v>45407</c:v>
                </c:pt>
                <c:pt idx="179">
                  <c:v>45406</c:v>
                </c:pt>
                <c:pt idx="180">
                  <c:v>45405</c:v>
                </c:pt>
                <c:pt idx="181">
                  <c:v>45404</c:v>
                </c:pt>
                <c:pt idx="182">
                  <c:v>45401</c:v>
                </c:pt>
                <c:pt idx="183">
                  <c:v>45400</c:v>
                </c:pt>
                <c:pt idx="184">
                  <c:v>45399</c:v>
                </c:pt>
                <c:pt idx="185">
                  <c:v>45398</c:v>
                </c:pt>
                <c:pt idx="186">
                  <c:v>45397</c:v>
                </c:pt>
                <c:pt idx="187">
                  <c:v>45394</c:v>
                </c:pt>
                <c:pt idx="188">
                  <c:v>45393</c:v>
                </c:pt>
                <c:pt idx="189">
                  <c:v>45392</c:v>
                </c:pt>
                <c:pt idx="190">
                  <c:v>45391</c:v>
                </c:pt>
                <c:pt idx="191">
                  <c:v>45390</c:v>
                </c:pt>
                <c:pt idx="192">
                  <c:v>45387</c:v>
                </c:pt>
                <c:pt idx="193">
                  <c:v>45386</c:v>
                </c:pt>
                <c:pt idx="194">
                  <c:v>45385</c:v>
                </c:pt>
                <c:pt idx="195">
                  <c:v>45384</c:v>
                </c:pt>
                <c:pt idx="196">
                  <c:v>45383</c:v>
                </c:pt>
                <c:pt idx="197">
                  <c:v>45380</c:v>
                </c:pt>
                <c:pt idx="198">
                  <c:v>45379</c:v>
                </c:pt>
                <c:pt idx="199">
                  <c:v>45378</c:v>
                </c:pt>
                <c:pt idx="200">
                  <c:v>45377</c:v>
                </c:pt>
                <c:pt idx="201">
                  <c:v>45376</c:v>
                </c:pt>
                <c:pt idx="202">
                  <c:v>45373</c:v>
                </c:pt>
                <c:pt idx="203">
                  <c:v>45372</c:v>
                </c:pt>
                <c:pt idx="204">
                  <c:v>45371</c:v>
                </c:pt>
                <c:pt idx="205">
                  <c:v>45370</c:v>
                </c:pt>
                <c:pt idx="206">
                  <c:v>45369</c:v>
                </c:pt>
                <c:pt idx="207">
                  <c:v>45366</c:v>
                </c:pt>
                <c:pt idx="208">
                  <c:v>45365</c:v>
                </c:pt>
                <c:pt idx="209">
                  <c:v>45364</c:v>
                </c:pt>
                <c:pt idx="210">
                  <c:v>45363</c:v>
                </c:pt>
                <c:pt idx="211">
                  <c:v>45362</c:v>
                </c:pt>
                <c:pt idx="212">
                  <c:v>45359</c:v>
                </c:pt>
                <c:pt idx="213">
                  <c:v>45358</c:v>
                </c:pt>
                <c:pt idx="214">
                  <c:v>45357</c:v>
                </c:pt>
                <c:pt idx="215">
                  <c:v>45356</c:v>
                </c:pt>
                <c:pt idx="216">
                  <c:v>45355</c:v>
                </c:pt>
                <c:pt idx="217">
                  <c:v>45352</c:v>
                </c:pt>
                <c:pt idx="218">
                  <c:v>45351</c:v>
                </c:pt>
                <c:pt idx="219">
                  <c:v>45350</c:v>
                </c:pt>
                <c:pt idx="220">
                  <c:v>45349</c:v>
                </c:pt>
                <c:pt idx="221">
                  <c:v>45348</c:v>
                </c:pt>
                <c:pt idx="222">
                  <c:v>45345</c:v>
                </c:pt>
                <c:pt idx="223">
                  <c:v>45344</c:v>
                </c:pt>
                <c:pt idx="224">
                  <c:v>45343</c:v>
                </c:pt>
                <c:pt idx="225">
                  <c:v>45342</c:v>
                </c:pt>
                <c:pt idx="226">
                  <c:v>45341</c:v>
                </c:pt>
                <c:pt idx="227">
                  <c:v>45338</c:v>
                </c:pt>
                <c:pt idx="228">
                  <c:v>45337</c:v>
                </c:pt>
                <c:pt idx="229">
                  <c:v>45336</c:v>
                </c:pt>
                <c:pt idx="230">
                  <c:v>45335</c:v>
                </c:pt>
                <c:pt idx="231">
                  <c:v>45334</c:v>
                </c:pt>
                <c:pt idx="232">
                  <c:v>45331</c:v>
                </c:pt>
                <c:pt idx="233">
                  <c:v>45330</c:v>
                </c:pt>
                <c:pt idx="234">
                  <c:v>45329</c:v>
                </c:pt>
                <c:pt idx="235">
                  <c:v>45328</c:v>
                </c:pt>
                <c:pt idx="236">
                  <c:v>45327</c:v>
                </c:pt>
                <c:pt idx="237">
                  <c:v>45324</c:v>
                </c:pt>
                <c:pt idx="238">
                  <c:v>45323</c:v>
                </c:pt>
                <c:pt idx="239">
                  <c:v>45322</c:v>
                </c:pt>
                <c:pt idx="240">
                  <c:v>45321</c:v>
                </c:pt>
                <c:pt idx="241">
                  <c:v>45320</c:v>
                </c:pt>
                <c:pt idx="242">
                  <c:v>45317</c:v>
                </c:pt>
                <c:pt idx="243">
                  <c:v>45316</c:v>
                </c:pt>
                <c:pt idx="244">
                  <c:v>45315</c:v>
                </c:pt>
                <c:pt idx="245">
                  <c:v>45314</c:v>
                </c:pt>
                <c:pt idx="246">
                  <c:v>45313</c:v>
                </c:pt>
                <c:pt idx="247">
                  <c:v>45310</c:v>
                </c:pt>
                <c:pt idx="248">
                  <c:v>45309</c:v>
                </c:pt>
                <c:pt idx="249">
                  <c:v>45308</c:v>
                </c:pt>
                <c:pt idx="250">
                  <c:v>45307</c:v>
                </c:pt>
                <c:pt idx="251">
                  <c:v>45306</c:v>
                </c:pt>
                <c:pt idx="252">
                  <c:v>45303</c:v>
                </c:pt>
                <c:pt idx="253">
                  <c:v>45302</c:v>
                </c:pt>
                <c:pt idx="254">
                  <c:v>45301</c:v>
                </c:pt>
                <c:pt idx="255">
                  <c:v>45300</c:v>
                </c:pt>
                <c:pt idx="256">
                  <c:v>45299</c:v>
                </c:pt>
                <c:pt idx="257">
                  <c:v>45296</c:v>
                </c:pt>
                <c:pt idx="258">
                  <c:v>45295</c:v>
                </c:pt>
                <c:pt idx="259">
                  <c:v>45294</c:v>
                </c:pt>
                <c:pt idx="260">
                  <c:v>45293</c:v>
                </c:pt>
              </c:numCache>
            </c:numRef>
          </c:cat>
          <c:val>
            <c:numRef>
              <c:f>'2024_Coses'!$G$2:$G$262</c:f>
              <c:numCache>
                <c:formatCode>0.000%</c:formatCode>
                <c:ptCount val="261"/>
                <c:pt idx="0">
                  <c:v>-4.2939964541344501E-3</c:v>
                </c:pt>
                <c:pt idx="1">
                  <c:v>-1.0759690191101295E-2</c:v>
                </c:pt>
                <c:pt idx="2">
                  <c:v>-1.111730467559637E-2</c:v>
                </c:pt>
                <c:pt idx="3">
                  <c:v>-4.0570874146761795E-4</c:v>
                </c:pt>
                <c:pt idx="4">
                  <c:v>0</c:v>
                </c:pt>
                <c:pt idx="5">
                  <c:v>1.0982197273831982E-2</c:v>
                </c:pt>
                <c:pt idx="6">
                  <c:v>7.2608954754625398E-3</c:v>
                </c:pt>
                <c:pt idx="7">
                  <c:v>1.0810476252410672E-2</c:v>
                </c:pt>
                <c:pt idx="8">
                  <c:v>-8.6547345775283581E-4</c:v>
                </c:pt>
                <c:pt idx="9">
                  <c:v>-2.9936554508987644E-2</c:v>
                </c:pt>
                <c:pt idx="10">
                  <c:v>-3.8714440227630084E-3</c:v>
                </c:pt>
                <c:pt idx="11">
                  <c:v>3.7921163249597686E-3</c:v>
                </c:pt>
                <c:pt idx="12">
                  <c:v>-2.6441167577320025E-5</c:v>
                </c:pt>
                <c:pt idx="13">
                  <c:v>-5.4287410919564485E-3</c:v>
                </c:pt>
                <c:pt idx="14">
                  <c:v>8.1326619328850828E-3</c:v>
                </c:pt>
                <c:pt idx="15">
                  <c:v>-2.9682940713745675E-3</c:v>
                </c:pt>
                <c:pt idx="16">
                  <c:v>-6.1631802121963038E-3</c:v>
                </c:pt>
                <c:pt idx="17">
                  <c:v>2.4923196558419955E-3</c:v>
                </c:pt>
                <c:pt idx="18">
                  <c:v>-1.8714648272306858E-3</c:v>
                </c:pt>
                <c:pt idx="19">
                  <c:v>6.0331237505021089E-3</c:v>
                </c:pt>
                <c:pt idx="20">
                  <c:v>4.5135046310470323E-4</c:v>
                </c:pt>
                <c:pt idx="21">
                  <c:v>2.4454606033056034E-3</c:v>
                </c:pt>
                <c:pt idx="22">
                  <c:v>5.5921788939180331E-3</c:v>
                </c:pt>
                <c:pt idx="23">
                  <c:v>0</c:v>
                </c:pt>
                <c:pt idx="24">
                  <c:v>-3.8085396153748753E-3</c:v>
                </c:pt>
                <c:pt idx="25">
                  <c:v>5.7057361888066833E-3</c:v>
                </c:pt>
                <c:pt idx="26">
                  <c:v>3.015882072251307E-3</c:v>
                </c:pt>
                <c:pt idx="27">
                  <c:v>3.4619792004100735E-3</c:v>
                </c:pt>
                <c:pt idx="28">
                  <c:v>5.3262353051749837E-3</c:v>
                </c:pt>
                <c:pt idx="29">
                  <c:v>2.1970426117316337E-5</c:v>
                </c:pt>
                <c:pt idx="30">
                  <c:v>3.9557737052673715E-3</c:v>
                </c:pt>
                <c:pt idx="31">
                  <c:v>3.9101598241076656E-3</c:v>
                </c:pt>
                <c:pt idx="32">
                  <c:v>-1.3291463960568205E-2</c:v>
                </c:pt>
                <c:pt idx="33">
                  <c:v>-6.0681150291174617E-3</c:v>
                </c:pt>
                <c:pt idx="34">
                  <c:v>2.322595101076364E-4</c:v>
                </c:pt>
                <c:pt idx="35">
                  <c:v>-2.8968743715661891E-3</c:v>
                </c:pt>
                <c:pt idx="36">
                  <c:v>9.6858443383637458E-4</c:v>
                </c:pt>
                <c:pt idx="37">
                  <c:v>3.7498038697994338E-3</c:v>
                </c:pt>
                <c:pt idx="38">
                  <c:v>7.4037444129894632E-3</c:v>
                </c:pt>
                <c:pt idx="39">
                  <c:v>2.4981233838896531E-2</c:v>
                </c:pt>
                <c:pt idx="40">
                  <c:v>1.219106130274809E-2</c:v>
                </c:pt>
                <c:pt idx="41">
                  <c:v>-2.8160686495115016E-3</c:v>
                </c:pt>
                <c:pt idx="42">
                  <c:v>4.0842263302362366E-3</c:v>
                </c:pt>
                <c:pt idx="43">
                  <c:v>-1.8790182599519829E-2</c:v>
                </c:pt>
                <c:pt idx="44">
                  <c:v>-3.3056916281390038E-3</c:v>
                </c:pt>
                <c:pt idx="45">
                  <c:v>1.6128426925638532E-3</c:v>
                </c:pt>
                <c:pt idx="46">
                  <c:v>2.6479514493707988E-3</c:v>
                </c:pt>
                <c:pt idx="47">
                  <c:v>-2.9953572187414154E-4</c:v>
                </c:pt>
                <c:pt idx="48">
                  <c:v>2.1434831869283494E-3</c:v>
                </c:pt>
                <c:pt idx="49">
                  <c:v>-9.2337774119530536E-3</c:v>
                </c:pt>
                <c:pt idx="50">
                  <c:v>-4.7500338350551163E-4</c:v>
                </c:pt>
                <c:pt idx="51">
                  <c:v>-1.8244427413090425E-3</c:v>
                </c:pt>
                <c:pt idx="52">
                  <c:v>3.9637370431245362E-3</c:v>
                </c:pt>
                <c:pt idx="53">
                  <c:v>0.14325637507153838</c:v>
                </c:pt>
                <c:pt idx="54">
                  <c:v>-0.14342755020637163</c:v>
                </c:pt>
                <c:pt idx="55">
                  <c:v>0.14548624039272015</c:v>
                </c:pt>
                <c:pt idx="56">
                  <c:v>-0.14081808468614407</c:v>
                </c:pt>
                <c:pt idx="57">
                  <c:v>0.14661542105224062</c:v>
                </c:pt>
                <c:pt idx="58">
                  <c:v>-0.15425393012099473</c:v>
                </c:pt>
                <c:pt idx="59">
                  <c:v>0.15646456298492079</c:v>
                </c:pt>
                <c:pt idx="60">
                  <c:v>8.7971023365460317E-3</c:v>
                </c:pt>
                <c:pt idx="61">
                  <c:v>-8.6933277348876462E-3</c:v>
                </c:pt>
                <c:pt idx="62">
                  <c:v>-0.14889027662358509</c:v>
                </c:pt>
                <c:pt idx="63">
                  <c:v>0.13699665204693437</c:v>
                </c:pt>
                <c:pt idx="64">
                  <c:v>-0.13096304018414917</c:v>
                </c:pt>
                <c:pt idx="65">
                  <c:v>0.13075006821873697</c:v>
                </c:pt>
                <c:pt idx="66">
                  <c:v>-0.13282229618975172</c:v>
                </c:pt>
                <c:pt idx="67">
                  <c:v>0.13740923809120906</c:v>
                </c:pt>
                <c:pt idx="68">
                  <c:v>-0.13032103419481472</c:v>
                </c:pt>
                <c:pt idx="69">
                  <c:v>0.12016366067825453</c:v>
                </c:pt>
                <c:pt idx="70">
                  <c:v>-0.11052094378406184</c:v>
                </c:pt>
                <c:pt idx="71">
                  <c:v>0.10734752809658427</c:v>
                </c:pt>
                <c:pt idx="72">
                  <c:v>1.5855554753445786E-2</c:v>
                </c:pt>
                <c:pt idx="73">
                  <c:v>3.441392364873821E-3</c:v>
                </c:pt>
                <c:pt idx="74">
                  <c:v>-0.13627675932232511</c:v>
                </c:pt>
                <c:pt idx="75">
                  <c:v>0.12718974592098775</c:v>
                </c:pt>
                <c:pt idx="76">
                  <c:v>-0.11825946993654983</c:v>
                </c:pt>
                <c:pt idx="77">
                  <c:v>0.10578088132755077</c:v>
                </c:pt>
                <c:pt idx="78">
                  <c:v>-0.1074636928606765</c:v>
                </c:pt>
                <c:pt idx="79">
                  <c:v>9.7190556791299718E-2</c:v>
                </c:pt>
                <c:pt idx="80">
                  <c:v>-9.7052182305932821E-2</c:v>
                </c:pt>
                <c:pt idx="81">
                  <c:v>9.5709646486582173E-2</c:v>
                </c:pt>
                <c:pt idx="82">
                  <c:v>-0.10507749857041938</c:v>
                </c:pt>
                <c:pt idx="83">
                  <c:v>0.10508328149671496</c:v>
                </c:pt>
                <c:pt idx="84">
                  <c:v>-5.0780025958913656E-3</c:v>
                </c:pt>
                <c:pt idx="85">
                  <c:v>-1.6480214063461112E-3</c:v>
                </c:pt>
                <c:pt idx="86">
                  <c:v>-9.4129664061621265E-2</c:v>
                </c:pt>
                <c:pt idx="87">
                  <c:v>9.4370948615793052E-2</c:v>
                </c:pt>
                <c:pt idx="88">
                  <c:v>-9.5624917504038828E-2</c:v>
                </c:pt>
                <c:pt idx="89">
                  <c:v>9.0798817442318769E-2</c:v>
                </c:pt>
                <c:pt idx="90">
                  <c:v>-8.6768336639446511E-2</c:v>
                </c:pt>
                <c:pt idx="91">
                  <c:v>7.5120456951400683E-2</c:v>
                </c:pt>
                <c:pt idx="92">
                  <c:v>-7.6983368537467539E-2</c:v>
                </c:pt>
                <c:pt idx="93">
                  <c:v>7.9067242844767682E-2</c:v>
                </c:pt>
                <c:pt idx="94">
                  <c:v>-7.655927314177198E-2</c:v>
                </c:pt>
                <c:pt idx="95">
                  <c:v>7.5395162700952478E-2</c:v>
                </c:pt>
                <c:pt idx="96">
                  <c:v>-9.1599606834429331E-4</c:v>
                </c:pt>
                <c:pt idx="97">
                  <c:v>-2.498698327390512E-3</c:v>
                </c:pt>
                <c:pt idx="98">
                  <c:v>-6.9175137390860758E-2</c:v>
                </c:pt>
                <c:pt idx="99">
                  <c:v>7.1884855074407797E-2</c:v>
                </c:pt>
                <c:pt idx="100">
                  <c:v>-7.3827710525909612E-2</c:v>
                </c:pt>
                <c:pt idx="101">
                  <c:v>8.123588731155458E-2</c:v>
                </c:pt>
                <c:pt idx="102">
                  <c:v>-6.4401596063967712E-2</c:v>
                </c:pt>
                <c:pt idx="103">
                  <c:v>5.7425017148895662E-2</c:v>
                </c:pt>
                <c:pt idx="104">
                  <c:v>-6.0325620275280864E-2</c:v>
                </c:pt>
                <c:pt idx="105">
                  <c:v>2.6447349073670164E-4</c:v>
                </c:pt>
                <c:pt idx="106">
                  <c:v>0</c:v>
                </c:pt>
                <c:pt idx="107">
                  <c:v>5.9812342739064092E-2</c:v>
                </c:pt>
                <c:pt idx="108">
                  <c:v>7.394346936505692E-3</c:v>
                </c:pt>
                <c:pt idx="109">
                  <c:v>5.9929167225421685E-3</c:v>
                </c:pt>
                <c:pt idx="110">
                  <c:v>-7.1943734321323921E-2</c:v>
                </c:pt>
                <c:pt idx="111">
                  <c:v>6.3947869409801725E-2</c:v>
                </c:pt>
                <c:pt idx="112">
                  <c:v>-5.8554772531430439E-2</c:v>
                </c:pt>
                <c:pt idx="113">
                  <c:v>5.7439338234444359E-2</c:v>
                </c:pt>
                <c:pt idx="114">
                  <c:v>-4.997196529241394E-2</c:v>
                </c:pt>
                <c:pt idx="115">
                  <c:v>4.8470273242848437E-2</c:v>
                </c:pt>
                <c:pt idx="116">
                  <c:v>-3.7861692939809684E-2</c:v>
                </c:pt>
                <c:pt idx="117">
                  <c:v>2.6083666491750784E-2</c:v>
                </c:pt>
                <c:pt idx="118">
                  <c:v>-2.1621005767260604E-2</c:v>
                </c:pt>
                <c:pt idx="119">
                  <c:v>2.1820875199017081E-2</c:v>
                </c:pt>
                <c:pt idx="120">
                  <c:v>1.1158931807149423E-3</c:v>
                </c:pt>
                <c:pt idx="121">
                  <c:v>-2.577566524606569E-3</c:v>
                </c:pt>
                <c:pt idx="122">
                  <c:v>-8.8456461651042952E-3</c:v>
                </c:pt>
                <c:pt idx="123">
                  <c:v>6.1388913216469786E-3</c:v>
                </c:pt>
                <c:pt idx="124">
                  <c:v>-2.3549792992514487E-2</c:v>
                </c:pt>
                <c:pt idx="125">
                  <c:v>1.5082065820631606E-2</c:v>
                </c:pt>
                <c:pt idx="126">
                  <c:v>-1.8104707070819518E-2</c:v>
                </c:pt>
                <c:pt idx="127">
                  <c:v>1.5762878398514212E-2</c:v>
                </c:pt>
                <c:pt idx="128">
                  <c:v>-1.7366643788873589E-2</c:v>
                </c:pt>
                <c:pt idx="129">
                  <c:v>1.7760556915875719E-2</c:v>
                </c:pt>
                <c:pt idx="130">
                  <c:v>-7.6351859201041362E-3</c:v>
                </c:pt>
                <c:pt idx="131">
                  <c:v>0</c:v>
                </c:pt>
                <c:pt idx="132">
                  <c:v>-2.5181897678469142E-3</c:v>
                </c:pt>
                <c:pt idx="133">
                  <c:v>-2.898519368250603E-2</c:v>
                </c:pt>
                <c:pt idx="134">
                  <c:v>0</c:v>
                </c:pt>
                <c:pt idx="135">
                  <c:v>3.1514345958574753E-2</c:v>
                </c:pt>
                <c:pt idx="136">
                  <c:v>-2.1471878575718178E-2</c:v>
                </c:pt>
                <c:pt idx="137">
                  <c:v>2.3035266013487463E-2</c:v>
                </c:pt>
                <c:pt idx="138">
                  <c:v>-2.3074607438045503E-2</c:v>
                </c:pt>
                <c:pt idx="139">
                  <c:v>2.6144486659845968E-2</c:v>
                </c:pt>
                <c:pt idx="140">
                  <c:v>-3.213845360526929E-2</c:v>
                </c:pt>
                <c:pt idx="141">
                  <c:v>2.8212522704692645E-2</c:v>
                </c:pt>
                <c:pt idx="142">
                  <c:v>-2.6618590692817343E-2</c:v>
                </c:pt>
                <c:pt idx="143">
                  <c:v>2.5047412351476311E-2</c:v>
                </c:pt>
                <c:pt idx="144">
                  <c:v>-9.0687065609751719E-4</c:v>
                </c:pt>
                <c:pt idx="145">
                  <c:v>4.0919885121457472E-3</c:v>
                </c:pt>
                <c:pt idx="146">
                  <c:v>-3.1391236823099425E-2</c:v>
                </c:pt>
                <c:pt idx="147">
                  <c:v>2.8719220880163383E-2</c:v>
                </c:pt>
                <c:pt idx="148">
                  <c:v>-1.7301234671660785E-2</c:v>
                </c:pt>
                <c:pt idx="149">
                  <c:v>1.1125014894877302E-2</c:v>
                </c:pt>
                <c:pt idx="150">
                  <c:v>-2.0097964320341718E-2</c:v>
                </c:pt>
                <c:pt idx="151">
                  <c:v>1.5026448122144424E-2</c:v>
                </c:pt>
                <c:pt idx="152">
                  <c:v>-1.0795729837959787E-2</c:v>
                </c:pt>
                <c:pt idx="153">
                  <c:v>-1.9865481747165059E-3</c:v>
                </c:pt>
                <c:pt idx="154">
                  <c:v>0</c:v>
                </c:pt>
                <c:pt idx="155">
                  <c:v>7.3482895994791391E-3</c:v>
                </c:pt>
                <c:pt idx="156">
                  <c:v>-1.0161544279966303E-3</c:v>
                </c:pt>
                <c:pt idx="157">
                  <c:v>-7.4081850375869965E-4</c:v>
                </c:pt>
                <c:pt idx="158">
                  <c:v>4.084010768454039E-3</c:v>
                </c:pt>
                <c:pt idx="159">
                  <c:v>-1.4240294410593582E-2</c:v>
                </c:pt>
                <c:pt idx="160">
                  <c:v>1.6228135536922032E-2</c:v>
                </c:pt>
                <c:pt idx="161">
                  <c:v>-7.4265063067453447E-3</c:v>
                </c:pt>
                <c:pt idx="162">
                  <c:v>2.3430950319531272E-2</c:v>
                </c:pt>
                <c:pt idx="163">
                  <c:v>-2.893280394830728E-2</c:v>
                </c:pt>
                <c:pt idx="164">
                  <c:v>3.2749280015939734E-2</c:v>
                </c:pt>
                <c:pt idx="165">
                  <c:v>-3.5571475677982606E-2</c:v>
                </c:pt>
                <c:pt idx="166">
                  <c:v>5.2278702332915747E-2</c:v>
                </c:pt>
                <c:pt idx="167">
                  <c:v>-5.8647755992957247E-2</c:v>
                </c:pt>
                <c:pt idx="168">
                  <c:v>1.4025410555022039E-2</c:v>
                </c:pt>
                <c:pt idx="169">
                  <c:v>7.8470804696827642E-3</c:v>
                </c:pt>
                <c:pt idx="170">
                  <c:v>3.6818301675764005E-2</c:v>
                </c:pt>
                <c:pt idx="171">
                  <c:v>-2.965239426873463E-2</c:v>
                </c:pt>
                <c:pt idx="172">
                  <c:v>3.4313174480885389E-2</c:v>
                </c:pt>
                <c:pt idx="173">
                  <c:v>-4.504736364686035E-2</c:v>
                </c:pt>
                <c:pt idx="174">
                  <c:v>6.7828492222467909E-2</c:v>
                </c:pt>
                <c:pt idx="175">
                  <c:v>-6.6269160422668408E-2</c:v>
                </c:pt>
                <c:pt idx="176">
                  <c:v>5.850440403341732E-2</c:v>
                </c:pt>
                <c:pt idx="177">
                  <c:v>-3.5083225589527769E-2</c:v>
                </c:pt>
                <c:pt idx="178">
                  <c:v>4.5384131147247306E-2</c:v>
                </c:pt>
                <c:pt idx="179">
                  <c:v>-4.022818074299888E-2</c:v>
                </c:pt>
                <c:pt idx="180">
                  <c:v>-1.102944231248886E-2</c:v>
                </c:pt>
                <c:pt idx="181">
                  <c:v>-8.129903108685376E-4</c:v>
                </c:pt>
                <c:pt idx="182">
                  <c:v>2.1643567869473957E-2</c:v>
                </c:pt>
                <c:pt idx="183">
                  <c:v>-1.6671071435738049E-2</c:v>
                </c:pt>
                <c:pt idx="184">
                  <c:v>-1.8818138588648614E-3</c:v>
                </c:pt>
                <c:pt idx="185">
                  <c:v>-1.3788191433053192E-2</c:v>
                </c:pt>
                <c:pt idx="186">
                  <c:v>7.4974207187782929E-2</c:v>
                </c:pt>
                <c:pt idx="187">
                  <c:v>-1.4657607029448559E-2</c:v>
                </c:pt>
                <c:pt idx="188">
                  <c:v>7.4172372058720279E-3</c:v>
                </c:pt>
                <c:pt idx="189">
                  <c:v>-9.5019783338873547E-3</c:v>
                </c:pt>
                <c:pt idx="190">
                  <c:v>1.4444457627020377E-3</c:v>
                </c:pt>
                <c:pt idx="191">
                  <c:v>-3.747574930495873E-4</c:v>
                </c:pt>
                <c:pt idx="192">
                  <c:v>1.1038072569656417E-2</c:v>
                </c:pt>
                <c:pt idx="193">
                  <c:v>-1.2410983057457463E-2</c:v>
                </c:pt>
                <c:pt idx="194">
                  <c:v>1.0904938060488179E-3</c:v>
                </c:pt>
                <c:pt idx="195">
                  <c:v>-7.2653957344673645E-3</c:v>
                </c:pt>
                <c:pt idx="196">
                  <c:v>-2.0155996658250933E-3</c:v>
                </c:pt>
                <c:pt idx="197">
                  <c:v>0</c:v>
                </c:pt>
                <c:pt idx="198">
                  <c:v>1.1158887706710923E-3</c:v>
                </c:pt>
                <c:pt idx="199">
                  <c:v>8.5935659407079552E-3</c:v>
                </c:pt>
                <c:pt idx="200">
                  <c:v>-2.8037482252575453E-3</c:v>
                </c:pt>
                <c:pt idx="201">
                  <c:v>-3.0595955699421543E-3</c:v>
                </c:pt>
                <c:pt idx="202">
                  <c:v>-1.4032464064151588E-3</c:v>
                </c:pt>
                <c:pt idx="203">
                  <c:v>3.2313725131378058E-3</c:v>
                </c:pt>
                <c:pt idx="204">
                  <c:v>8.8646978273410684E-3</c:v>
                </c:pt>
                <c:pt idx="205">
                  <c:v>5.6332831318901015E-3</c:v>
                </c:pt>
                <c:pt idx="206">
                  <c:v>6.2981688751588584E-3</c:v>
                </c:pt>
                <c:pt idx="207">
                  <c:v>-6.5039961169264899E-3</c:v>
                </c:pt>
                <c:pt idx="208">
                  <c:v>-2.8752059156686048E-3</c:v>
                </c:pt>
                <c:pt idx="209">
                  <c:v>-1.926391571868686E-3</c:v>
                </c:pt>
                <c:pt idx="210">
                  <c:v>1.1139497364012345E-2</c:v>
                </c:pt>
                <c:pt idx="211">
                  <c:v>-1.1228682551799477E-3</c:v>
                </c:pt>
                <c:pt idx="212">
                  <c:v>-6.5499380656454595E-3</c:v>
                </c:pt>
                <c:pt idx="213">
                  <c:v>1.0251382881397443E-2</c:v>
                </c:pt>
                <c:pt idx="214">
                  <c:v>5.1279595372516517E-3</c:v>
                </c:pt>
                <c:pt idx="215">
                  <c:v>-1.0245348981574391E-2</c:v>
                </c:pt>
                <c:pt idx="216">
                  <c:v>-1.1939974324694175E-3</c:v>
                </c:pt>
                <c:pt idx="217">
                  <c:v>7.9759250577916968E-3</c:v>
                </c:pt>
                <c:pt idx="218">
                  <c:v>5.2154203933401618E-3</c:v>
                </c:pt>
                <c:pt idx="219">
                  <c:v>-1.659450476103029E-3</c:v>
                </c:pt>
                <c:pt idx="220">
                  <c:v>1.7048185442892359E-3</c:v>
                </c:pt>
                <c:pt idx="221">
                  <c:v>-3.7939352461026604E-3</c:v>
                </c:pt>
                <c:pt idx="222">
                  <c:v>3.4788317372660206E-4</c:v>
                </c:pt>
                <c:pt idx="223">
                  <c:v>2.0902891694828028E-2</c:v>
                </c:pt>
                <c:pt idx="224">
                  <c:v>1.2633935945864823E-3</c:v>
                </c:pt>
                <c:pt idx="225">
                  <c:v>-6.0234144772223523E-3</c:v>
                </c:pt>
                <c:pt idx="226">
                  <c:v>0</c:v>
                </c:pt>
                <c:pt idx="227">
                  <c:v>-4.8150123419915631E-3</c:v>
                </c:pt>
                <c:pt idx="228">
                  <c:v>5.8043999917945753E-3</c:v>
                </c:pt>
                <c:pt idx="229">
                  <c:v>9.5341290968955009E-3</c:v>
                </c:pt>
                <c:pt idx="230">
                  <c:v>-1.3768624761212093E-2</c:v>
                </c:pt>
                <c:pt idx="231">
                  <c:v>-9.4940022755554091E-4</c:v>
                </c:pt>
                <c:pt idx="232">
                  <c:v>5.7259755908601927E-3</c:v>
                </c:pt>
                <c:pt idx="233">
                  <c:v>5.7040100736248747E-4</c:v>
                </c:pt>
                <c:pt idx="234">
                  <c:v>8.2076669213310503E-3</c:v>
                </c:pt>
                <c:pt idx="235">
                  <c:v>2.3077617284261594E-3</c:v>
                </c:pt>
                <c:pt idx="236">
                  <c:v>-3.191464135615035E-3</c:v>
                </c:pt>
                <c:pt idx="237">
                  <c:v>1.0627786351803241E-2</c:v>
                </c:pt>
                <c:pt idx="238">
                  <c:v>1.2416277903485802E-2</c:v>
                </c:pt>
                <c:pt idx="239">
                  <c:v>-1.6236787963987382E-2</c:v>
                </c:pt>
                <c:pt idx="240">
                  <c:v>-6.0083834993726029E-4</c:v>
                </c:pt>
                <c:pt idx="241">
                  <c:v>7.5283737614565433E-3</c:v>
                </c:pt>
                <c:pt idx="242">
                  <c:v>-6.52009756234213E-4</c:v>
                </c:pt>
                <c:pt idx="243">
                  <c:v>5.2465060919916033E-3</c:v>
                </c:pt>
                <c:pt idx="244">
                  <c:v>8.1165916827587409E-4</c:v>
                </c:pt>
                <c:pt idx="245">
                  <c:v>2.917131506229948E-3</c:v>
                </c:pt>
                <c:pt idx="246">
                  <c:v>2.1918970535104105E-3</c:v>
                </c:pt>
                <c:pt idx="247">
                  <c:v>1.2238283870230153E-2</c:v>
                </c:pt>
                <c:pt idx="248">
                  <c:v>8.7667247395320728E-3</c:v>
                </c:pt>
                <c:pt idx="249">
                  <c:v>-5.6327271267556144E-3</c:v>
                </c:pt>
                <c:pt idx="250">
                  <c:v>-3.7382986232446964E-3</c:v>
                </c:pt>
                <c:pt idx="251">
                  <c:v>0</c:v>
                </c:pt>
                <c:pt idx="252">
                  <c:v>7.5072645194105983E-4</c:v>
                </c:pt>
                <c:pt idx="253">
                  <c:v>-6.7128903604016395E-4</c:v>
                </c:pt>
                <c:pt idx="254">
                  <c:v>5.6499398196109933E-3</c:v>
                </c:pt>
                <c:pt idx="255">
                  <c:v>-1.4789856520085827E-3</c:v>
                </c:pt>
                <c:pt idx="256">
                  <c:v>1.4015987132365047E-2</c:v>
                </c:pt>
                <c:pt idx="257">
                  <c:v>1.8240092336748459E-3</c:v>
                </c:pt>
                <c:pt idx="258">
                  <c:v>-3.434296699869414E-3</c:v>
                </c:pt>
                <c:pt idx="259">
                  <c:v>-8.0486143089745707E-3</c:v>
                </c:pt>
                <c:pt idx="260">
                  <c:v>-5.6745643799906032E-3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0-6948-9AE7-7FFA8E5D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426944"/>
        <c:axId val="1997852720"/>
      </c:lineChart>
      <c:dateAx>
        <c:axId val="19984269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2720"/>
        <c:crosses val="autoZero"/>
        <c:auto val="1"/>
        <c:lblOffset val="100"/>
        <c:baseTimeUnit val="days"/>
      </c:dateAx>
      <c:valAx>
        <c:axId val="1997852720"/>
        <c:scaling>
          <c:orientation val="minMax"/>
          <c:max val="1.2E-2"/>
          <c:min val="-5.0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865909</xdr:colOff>
      <xdr:row>37</xdr:row>
      <xdr:rowOff>19624</xdr:rowOff>
    </xdr:from>
    <xdr:to>
      <xdr:col>15</xdr:col>
      <xdr:colOff>808182</xdr:colOff>
      <xdr:row>62</xdr:row>
      <xdr:rowOff>184726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12F481-38E1-5E8B-810D-58DE99485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19538</xdr:colOff>
      <xdr:row>7</xdr:row>
      <xdr:rowOff>123090</xdr:rowOff>
    </xdr:from>
    <xdr:to>
      <xdr:col>15</xdr:col>
      <xdr:colOff>785090</xdr:colOff>
      <xdr:row>35</xdr:row>
      <xdr:rowOff>196273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2A43A8-25E7-AB11-A94B-0C173D397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5772</xdr:colOff>
      <xdr:row>64</xdr:row>
      <xdr:rowOff>19627</xdr:rowOff>
    </xdr:from>
    <xdr:to>
      <xdr:col>16</xdr:col>
      <xdr:colOff>92364</xdr:colOff>
      <xdr:row>88</xdr:row>
      <xdr:rowOff>11545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86C818-63FF-2DC3-9CD8-75DCDC6F0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0</xdr:row>
      <xdr:rowOff>139699</xdr:rowOff>
    </xdr:from>
    <xdr:to>
      <xdr:col>12</xdr:col>
      <xdr:colOff>660400</xdr:colOff>
      <xdr:row>23</xdr:row>
      <xdr:rowOff>84666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4C0D09-512E-99AE-6BA6-2A46F18C556A}"/>
            </a:ext>
          </a:extLst>
        </xdr:cNvPr>
        <xdr:cNvSpPr txBox="1"/>
      </xdr:nvSpPr>
      <xdr:spPr>
        <a:xfrm>
          <a:off x="660400" y="139699"/>
          <a:ext cx="9956800" cy="46185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A. Deleted</a:t>
          </a:r>
          <a:r>
            <a:rPr lang="en-US" sz="1800" baseline="0"/>
            <a:t> non-S&amp;P 500 Trading Days on BTC data</a:t>
          </a:r>
        </a:p>
        <a:p>
          <a:r>
            <a:rPr lang="en-US" sz="1800" baseline="0"/>
            <a:t>	Deleted non 2024 data from SP500 data</a:t>
          </a:r>
        </a:p>
        <a:p>
          <a:r>
            <a:rPr lang="en-US" sz="1800" baseline="0"/>
            <a:t>B. Created a Daily Change of Price Table in 2024_Closes Sheet</a:t>
          </a:r>
        </a:p>
        <a:p>
          <a:r>
            <a:rPr lang="en-US" sz="1800" baseline="0"/>
            <a:t>C. Removed dublicate rows from BTC data</a:t>
          </a:r>
        </a:p>
        <a:p>
          <a:r>
            <a:rPr lang="en-US" sz="1800" baseline="0"/>
            <a:t>D. Sorted Dates in acending order</a:t>
          </a:r>
        </a:p>
        <a:p>
          <a:r>
            <a:rPr lang="en-US" sz="1800" baseline="0"/>
            <a:t>E. Merged SP500 closes with BTC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aseline="0"/>
            <a:t>F.Created 4 power queires for each quater</a:t>
          </a:r>
        </a:p>
        <a:p>
          <a:endParaRPr lang="en-US" sz="1800" baseline="0"/>
        </a:p>
        <a:p>
          <a:r>
            <a:rPr lang="en-US" sz="1800"/>
            <a:t>2024_Closes</a:t>
          </a:r>
          <a:r>
            <a:rPr lang="en-US" sz="1800" baseline="0"/>
            <a:t> sheet is the main Query</a:t>
          </a:r>
        </a:p>
        <a:p>
          <a:r>
            <a:rPr lang="en-US" sz="1800" baseline="0"/>
            <a:t>Data sheet is outputs from 2024_Closes</a:t>
          </a:r>
        </a:p>
        <a:p>
          <a:r>
            <a:rPr lang="en-US" sz="1800" baseline="0"/>
            <a:t>*Several Hidden Sheets with Raw data</a:t>
          </a:r>
          <a:endParaRPr lang="en-US" sz="1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5.64699050926" createdVersion="8" refreshedVersion="8" minRefreshableVersion="3" recordCount="262" xr:uid="{32DA1A03-7E3C-004C-93BF-BC7B91F0001D}">
  <cacheSource type="worksheet">
    <worksheetSource name="Closes"/>
  </cacheSource>
  <cacheFields count="5">
    <cacheField name="Date" numFmtId="14">
      <sharedItems containsSemiMixedTypes="0" containsNonDate="0" containsDate="1" containsString="0" minDate="2024-01-01T00:00:00" maxDate="2025-01-01T00:00:00" count="262">
        <d v="2024-12-31T00:00:00"/>
        <d v="2024-12-30T00:00:00"/>
        <d v="2024-12-27T00:00:00"/>
        <d v="2024-12-26T00:00:00"/>
        <d v="2024-12-25T00:00:00"/>
        <d v="2024-12-24T00:00:00"/>
        <d v="2024-12-23T00:00:00"/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8T00:00:00"/>
        <d v="2024-11-27T00:00:00"/>
        <d v="2024-11-26T00:00:00"/>
        <d v="2024-11-25T00:00:00"/>
        <d v="2024-11-22T00:00:00"/>
        <d v="2024-11-21T00:00:00"/>
        <d v="2024-11-20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4T00:00:00"/>
        <d v="2024-11-01T00:00:00"/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04-15T00:00:00"/>
        <d v="2024-10-16T00:00:00"/>
        <d v="2024-04-16T00:00:00"/>
        <d v="2024-10-15T00:00:00"/>
        <d v="2024-04-17T00:00:00"/>
        <d v="2024-10-14T00:00:00"/>
        <d v="2024-04-18T00:00:00"/>
        <d v="2024-04-19T00:00:00"/>
        <d v="2024-04-22T00:00:00"/>
        <d v="2024-10-11T00:00:00"/>
        <d v="2024-04-23T00:00:00"/>
        <d v="2024-10-10T00:00:00"/>
        <d v="2024-04-24T00:00:00"/>
        <d v="2024-10-09T00:00:00"/>
        <d v="2024-04-25T00:00:00"/>
        <d v="2024-10-08T00:00:00"/>
        <d v="2024-04-26T00:00:00"/>
        <d v="2024-10-07T00:00:00"/>
        <d v="2024-04-29T00:00:00"/>
        <d v="2024-04-30T00:00:00"/>
        <d v="2024-05-01T00:00:00"/>
        <d v="2024-10-04T00:00:00"/>
        <d v="2024-05-02T00:00:00"/>
        <d v="2024-10-03T00:00:00"/>
        <d v="2024-05-03T00:00:00"/>
        <d v="2024-10-02T00:00:00"/>
        <d v="2024-05-06T00:00:00"/>
        <d v="2024-10-01T00:00:00"/>
        <d v="2024-05-07T00:00:00"/>
        <d v="2024-09-30T00:00:00"/>
        <d v="2024-05-08T00:00:00"/>
        <d v="2024-05-09T00:00:00"/>
        <d v="2024-05-10T00:00:00"/>
        <d v="2024-09-27T00:00:00"/>
        <d v="2024-05-13T00:00:00"/>
        <d v="2024-09-26T00:00:00"/>
        <d v="2024-05-14T00:00:00"/>
        <d v="2024-09-25T00:00:00"/>
        <d v="2024-05-15T00:00:00"/>
        <d v="2024-09-24T00:00:00"/>
        <d v="2024-05-16T00:00:00"/>
        <d v="2024-09-23T00:00:00"/>
        <d v="2024-05-17T00:00:00"/>
        <d v="2024-05-20T00:00:00"/>
        <d v="2024-05-21T00:00:00"/>
        <d v="2024-09-20T00:00:00"/>
        <d v="2024-05-22T00:00:00"/>
        <d v="2024-09-19T00:00:00"/>
        <d v="2024-05-23T00:00:00"/>
        <d v="2024-09-18T00:00:00"/>
        <d v="2024-05-24T00:00:00"/>
        <d v="2024-09-17T00:00:00"/>
        <d v="2024-05-27T00:00:00"/>
        <d v="2024-09-16T00:00:00"/>
        <d v="2024-05-28T00:00:00"/>
        <d v="2024-05-29T00:00:00"/>
        <d v="2024-05-30T00:00:00"/>
        <d v="2024-09-13T00:00:00"/>
        <d v="2024-05-31T00:00:00"/>
        <d v="2024-09-12T00:00:00"/>
        <d v="2024-06-03T00:00:00"/>
        <d v="2024-09-11T00:00:00"/>
        <d v="2024-06-04T00:00:00"/>
        <d v="2024-09-10T00:00:00"/>
        <d v="2024-06-05T00:00:00"/>
        <d v="2024-09-09T00:00:00"/>
        <d v="2024-06-06T00:00:00"/>
        <d v="2024-06-07T00:00:00"/>
        <d v="2024-06-10T00:00:00"/>
        <d v="2024-09-06T00:00:00"/>
        <d v="2024-06-11T00:00:00"/>
        <d v="2024-09-05T00:00:00"/>
        <d v="2024-06-12T00:00:00"/>
        <d v="2024-09-04T00:00:00"/>
        <d v="2024-06-13T00:00:00"/>
        <d v="2024-09-03T00:00:00"/>
        <d v="2024-06-14T00:00:00"/>
        <d v="2024-09-02T00:00:00"/>
        <d v="2024-06-17T00:00:00"/>
        <d v="2024-06-18T00:00:00"/>
        <d v="2024-06-19T00:00:00"/>
        <d v="2024-08-30T00:00:00"/>
        <d v="2024-06-20T00:00:00"/>
        <d v="2024-08-29T00:00:00"/>
        <d v="2024-06-21T00:00:00"/>
        <d v="2024-08-28T00:00:00"/>
        <d v="2024-06-24T00:00:00"/>
        <d v="2024-08-27T00:00:00"/>
        <d v="2024-06-25T00:00:00"/>
        <d v="2024-08-26T00:00:00"/>
        <d v="2024-06-26T00:00:00"/>
        <d v="2024-06-27T00:00:00"/>
        <d v="2024-06-28T00:00:00"/>
        <d v="2024-08-23T00:00:00"/>
        <d v="2024-07-01T00:00:00"/>
        <d v="2024-08-22T00:00:00"/>
        <d v="2024-07-02T00:00:00"/>
        <d v="2024-08-21T00:00:00"/>
        <d v="2024-07-03T00:00:00"/>
        <d v="2024-08-20T00:00:00"/>
        <d v="2024-07-04T00:00:00"/>
        <d v="2024-08-19T00:00:00"/>
        <d v="2024-07-05T00:00:00"/>
        <d v="2024-07-08T00:00:00"/>
        <d v="2024-07-09T00:00:00"/>
        <d v="2024-08-16T00:00:00"/>
        <d v="2024-07-10T00:00:00"/>
        <d v="2024-08-15T00:00:00"/>
        <d v="2024-07-11T00:00:00"/>
        <d v="2024-08-14T00:00:00"/>
        <d v="2024-07-12T00:00:00"/>
        <d v="2024-08-13T00:00:00"/>
        <d v="2024-07-15T00:00:00"/>
        <d v="2024-08-12T00:00:00"/>
        <d v="2024-07-16T00:00:00"/>
        <d v="2024-07-17T00:00:00"/>
        <d v="2024-07-18T00:00:00"/>
        <d v="2024-08-09T00:00:00"/>
        <d v="2024-07-19T00:00:00"/>
        <d v="2024-08-08T00:00:00"/>
        <d v="2024-07-22T00:00:00"/>
        <d v="2024-08-07T00:00:00"/>
        <d v="2024-07-23T00:00:00"/>
        <d v="2024-08-06T00:00:00"/>
        <d v="2024-07-24T00:00:00"/>
        <d v="2024-08-05T00:00:00"/>
        <d v="2024-07-25T00:00:00"/>
        <d v="2024-07-26T00:00:00"/>
        <d v="2024-07-29T00:00:00"/>
        <d v="2024-08-02T00:00:00"/>
        <d v="2024-07-30T00:00:00"/>
        <d v="2024-08-01T00:00:00"/>
        <d v="2024-07-31T00:00:00"/>
        <d v="2024-04-12T00:00:00"/>
        <d v="2024-04-11T00:00:00"/>
        <d v="2024-04-10T00:00:00"/>
        <d v="2024-04-09T00:00:00"/>
        <d v="2024-04-08T00:00:00"/>
        <d v="2024-04-05T00:00:00"/>
        <d v="2024-04-04T00:00:00"/>
        <d v="2024-04-03T00:00:00"/>
        <d v="2024-04-02T00:00:00"/>
        <d v="2024-04-01T00:00:00"/>
        <d v="2024-03-29T00:00:00"/>
        <d v="2024-03-28T00:00:00"/>
        <d v="2024-03-27T00:00:00"/>
        <d v="2024-03-26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12T00:00:00"/>
        <d v="2024-03-11T00:00:00"/>
        <d v="2024-03-08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3T00:00:00"/>
        <d v="2024-02-22T00:00:00"/>
        <d v="2024-02-21T00:00:00"/>
        <d v="2024-02-20T00:00:00"/>
        <d v="2024-02-19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2T00:00:00"/>
        <d v="2024-01-11T00:00:00"/>
        <d v="2024-01-10T00:00:00"/>
        <d v="2024-01-09T00:00:00"/>
        <d v="2024-01-08T00:00:00"/>
        <d v="2024-01-05T00:00:00"/>
        <d v="2024-01-04T00:00:00"/>
        <d v="2024-01-03T00:00:00"/>
        <d v="2024-01-02T00:00:00"/>
        <d v="2024-01-01T00:00:00"/>
      </sharedItems>
      <fieldGroup par="4"/>
    </cacheField>
    <cacheField name="BTC" numFmtId="0">
      <sharedItems containsSemiMixedTypes="0" containsString="0" containsNumber="1" minValue="39556.400000000001" maxValue="106138.9"/>
    </cacheField>
    <cacheField name="SP500.1" numFmtId="0">
      <sharedItems containsSemiMixedTypes="0" containsString="0" containsNumber="1" minValue="4688.68" maxValue="6090.27"/>
    </cacheField>
    <cacheField name="Days (Date)" numFmtId="0" databaseField="0">
      <fieldGroup base="0">
        <rangePr groupBy="days" startDate="2024-01-01T00:00:00" endDate="2025-01-01T00:00:00"/>
        <groupItems count="368">
          <s v="&lt;1/1/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5"/>
        </groupItems>
      </fieldGroup>
    </cacheField>
    <cacheField name="Months (Date)" numFmtId="0" databaseField="0">
      <fieldGroup base="0">
        <rangePr groupBy="months" startDate="2024-01-01T00:00:00" endDate="2025-01-01T00:00:00"/>
        <groupItems count="14">
          <s v="&lt;1/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n v="93557.2"/>
    <n v="5881.63"/>
  </r>
  <r>
    <x v="1"/>
    <n v="92779.8"/>
    <n v="5906.94"/>
  </r>
  <r>
    <x v="2"/>
    <n v="94275.9"/>
    <n v="5970.84"/>
  </r>
  <r>
    <x v="3"/>
    <n v="95777.7"/>
    <n v="6037.59"/>
  </r>
  <r>
    <x v="4"/>
    <n v="99391.3"/>
    <n v="6040.04"/>
  </r>
  <r>
    <x v="5"/>
    <n v="98668.1"/>
    <n v="6040.04"/>
  </r>
  <r>
    <x v="6"/>
    <n v="94852.1"/>
    <n v="5974.07"/>
  </r>
  <r>
    <x v="7"/>
    <n v="97795.7"/>
    <n v="5930.85"/>
  </r>
  <r>
    <x v="8"/>
    <n v="97466.1"/>
    <n v="5867.08"/>
  </r>
  <r>
    <x v="9"/>
    <n v="100197.8"/>
    <n v="5872.16"/>
  </r>
  <r>
    <x v="10"/>
    <n v="106138.9"/>
    <n v="6050.61"/>
  </r>
  <r>
    <x v="11"/>
    <n v="106057.60000000001"/>
    <n v="6074.08"/>
  </r>
  <r>
    <x v="12"/>
    <n v="101426.2"/>
    <n v="6051.09"/>
  </r>
  <r>
    <x v="13"/>
    <n v="100009.9"/>
    <n v="6051.25"/>
  </r>
  <r>
    <x v="14"/>
    <n v="101126.2"/>
    <n v="6084.19"/>
  </r>
  <r>
    <x v="15"/>
    <n v="96600.3"/>
    <n v="6034.91"/>
  </r>
  <r>
    <x v="16"/>
    <n v="97359.4"/>
    <n v="6052.85"/>
  </r>
  <r>
    <x v="17"/>
    <n v="99760.7"/>
    <n v="6090.27"/>
  </r>
  <r>
    <x v="18"/>
    <n v="96970.8"/>
    <n v="6075.11"/>
  </r>
  <r>
    <x v="19"/>
    <n v="98635.8"/>
    <n v="6086.49"/>
  </r>
  <r>
    <x v="20"/>
    <n v="95898.7"/>
    <n v="6049.88"/>
  </r>
  <r>
    <x v="21"/>
    <n v="95846.6"/>
    <n v="6047.15"/>
  </r>
  <r>
    <x v="22"/>
    <n v="97438"/>
    <n v="6032.38"/>
  </r>
  <r>
    <x v="23"/>
    <n v="95645.5"/>
    <n v="5998.74"/>
  </r>
  <r>
    <x v="24"/>
    <n v="95886.6"/>
    <n v="5998.74"/>
  </r>
  <r>
    <x v="25"/>
    <n v="91977.600000000006"/>
    <n v="6021.63"/>
  </r>
  <r>
    <x v="26"/>
    <n v="93064.4"/>
    <n v="5987.37"/>
  </r>
  <r>
    <x v="27"/>
    <n v="98929.7"/>
    <n v="5969.34"/>
  </r>
  <r>
    <x v="28"/>
    <n v="98374.5"/>
    <n v="5948.71"/>
  </r>
  <r>
    <x v="29"/>
    <n v="94303.9"/>
    <n v="5917.11"/>
  </r>
  <r>
    <x v="30"/>
    <n v="92239.2"/>
    <n v="5916.98"/>
  </r>
  <r>
    <x v="31"/>
    <n v="90478.7"/>
    <n v="5893.62"/>
  </r>
  <r>
    <x v="32"/>
    <n v="91046.5"/>
    <n v="5870.62"/>
  </r>
  <r>
    <x v="33"/>
    <n v="87294"/>
    <n v="5949.17"/>
  </r>
  <r>
    <x v="34"/>
    <n v="90422.2"/>
    <n v="5985.38"/>
  </r>
  <r>
    <x v="35"/>
    <n v="87941.3"/>
    <n v="5983.99"/>
  </r>
  <r>
    <x v="36"/>
    <n v="88664.1"/>
    <n v="6001.35"/>
  </r>
  <r>
    <x v="37"/>
    <n v="76517.3"/>
    <n v="5995.54"/>
  </r>
  <r>
    <x v="38"/>
    <n v="75868.600000000006"/>
    <n v="5973.1"/>
  </r>
  <r>
    <x v="39"/>
    <n v="75586.3"/>
    <n v="5929.04"/>
  </r>
  <r>
    <x v="40"/>
    <n v="69373.7"/>
    <n v="5782.76"/>
  </r>
  <r>
    <x v="41"/>
    <n v="67848.800000000003"/>
    <n v="5712.69"/>
  </r>
  <r>
    <x v="42"/>
    <n v="69507.199999999997"/>
    <n v="5728.8"/>
  </r>
  <r>
    <x v="43"/>
    <n v="70281.8"/>
    <n v="5705.45"/>
  </r>
  <r>
    <x v="44"/>
    <n v="72347.8"/>
    <n v="5813.67"/>
  </r>
  <r>
    <x v="45"/>
    <n v="72730.399999999994"/>
    <n v="5832.92"/>
  </r>
  <r>
    <x v="46"/>
    <n v="69954.100000000006"/>
    <n v="5823.52"/>
  </r>
  <r>
    <x v="47"/>
    <n v="66696.800000000003"/>
    <n v="5808.12"/>
  </r>
  <r>
    <x v="48"/>
    <n v="68191.5"/>
    <n v="5809.86"/>
  </r>
  <r>
    <x v="49"/>
    <n v="66663.7"/>
    <n v="5797.42"/>
  </r>
  <r>
    <x v="50"/>
    <n v="67427.3"/>
    <n v="5851.2"/>
  </r>
  <r>
    <x v="51"/>
    <n v="67371.3"/>
    <n v="5853.98"/>
  </r>
  <r>
    <x v="52"/>
    <n v="68423.100000000006"/>
    <n v="5864.67"/>
  </r>
  <r>
    <x v="53"/>
    <n v="67418.399999999994"/>
    <n v="5841.47"/>
  </r>
  <r>
    <x v="54"/>
    <n v="63411.9"/>
    <n v="5061.82"/>
  </r>
  <r>
    <x v="55"/>
    <n v="67617.899999999994"/>
    <n v="5842.47"/>
  </r>
  <r>
    <x v="56"/>
    <n v="63805.3"/>
    <n v="5051.41"/>
  </r>
  <r>
    <x v="57"/>
    <n v="67077.5"/>
    <n v="5815.26"/>
  </r>
  <r>
    <x v="58"/>
    <n v="61278.9"/>
    <n v="5022.21"/>
  </r>
  <r>
    <x v="59"/>
    <n v="66081.7"/>
    <n v="5859.85"/>
  </r>
  <r>
    <x v="60"/>
    <n v="63481.4"/>
    <n v="5011.12"/>
  </r>
  <r>
    <x v="61"/>
    <n v="63799.1"/>
    <n v="4967.2299999999996"/>
  </r>
  <r>
    <x v="62"/>
    <n v="66829.3"/>
    <n v="5010.6000000000004"/>
  </r>
  <r>
    <x v="63"/>
    <n v="62499.4"/>
    <n v="5815.03"/>
  </r>
  <r>
    <x v="64"/>
    <n v="66415"/>
    <n v="5070.55"/>
  </r>
  <r>
    <x v="65"/>
    <n v="60316.2"/>
    <n v="5780.05"/>
  </r>
  <r>
    <x v="66"/>
    <n v="64285.7"/>
    <n v="5071.63"/>
  </r>
  <r>
    <x v="67"/>
    <n v="60628.800000000003"/>
    <n v="5792.04"/>
  </r>
  <r>
    <x v="68"/>
    <n v="64497.1"/>
    <n v="5048.42"/>
  </r>
  <r>
    <x v="69"/>
    <n v="62157"/>
    <n v="5751.13"/>
  </r>
  <r>
    <x v="70"/>
    <n v="63766.400000000001"/>
    <n v="5099.96"/>
  </r>
  <r>
    <x v="71"/>
    <n v="62245.599999999999"/>
    <n v="5695.94"/>
  </r>
  <r>
    <x v="72"/>
    <n v="63860.1"/>
    <n v="5116.17"/>
  </r>
  <r>
    <x v="73"/>
    <n v="60666.6"/>
    <n v="5035.6899999999996"/>
  </r>
  <r>
    <x v="74"/>
    <n v="58331.199999999997"/>
    <n v="5018.3900000000003"/>
  </r>
  <r>
    <x v="75"/>
    <n v="62081"/>
    <n v="5751.07"/>
  </r>
  <r>
    <x v="76"/>
    <n v="59121.3"/>
    <n v="5064.2"/>
  </r>
  <r>
    <x v="77"/>
    <n v="60751.199999999997"/>
    <n v="5699.94"/>
  </r>
  <r>
    <x v="78"/>
    <n v="62877.5"/>
    <n v="5127.79"/>
  </r>
  <r>
    <x v="79"/>
    <n v="60645.7"/>
    <n v="5709.54"/>
  </r>
  <r>
    <x v="80"/>
    <n v="63163.1"/>
    <n v="5180.74"/>
  </r>
  <r>
    <x v="81"/>
    <n v="60835.5"/>
    <n v="5708.75"/>
  </r>
  <r>
    <x v="82"/>
    <n v="62317.7"/>
    <n v="5187.7"/>
  </r>
  <r>
    <x v="83"/>
    <n v="63339.199999999997"/>
    <n v="5762.48"/>
  </r>
  <r>
    <x v="84"/>
    <n v="61207.5"/>
    <n v="5187.67"/>
  </r>
  <r>
    <x v="85"/>
    <n v="63075"/>
    <n v="5214.08"/>
  </r>
  <r>
    <x v="86"/>
    <n v="60796.9"/>
    <n v="5222.68"/>
  </r>
  <r>
    <x v="87"/>
    <n v="65776.3"/>
    <n v="5738.17"/>
  </r>
  <r>
    <x v="88"/>
    <n v="62937.2"/>
    <n v="5221.42"/>
  </r>
  <r>
    <x v="89"/>
    <n v="65175.7"/>
    <n v="5745.37"/>
  </r>
  <r>
    <x v="90"/>
    <n v="61569.4"/>
    <n v="5246.68"/>
  </r>
  <r>
    <x v="91"/>
    <n v="63156.5"/>
    <n v="5722.26"/>
  </r>
  <r>
    <x v="92"/>
    <n v="66225.100000000006"/>
    <n v="5308.15"/>
  </r>
  <r>
    <x v="93"/>
    <n v="64256.800000000003"/>
    <n v="5732.93"/>
  </r>
  <r>
    <x v="94"/>
    <n v="65231"/>
    <n v="5297.1"/>
  </r>
  <r>
    <x v="95"/>
    <n v="63331.8"/>
    <n v="5718.57"/>
  </r>
  <r>
    <x v="96"/>
    <n v="67036.800000000003"/>
    <n v="5303.27"/>
  </r>
  <r>
    <x v="97"/>
    <n v="71422.7"/>
    <n v="5308.13"/>
  </r>
  <r>
    <x v="98"/>
    <n v="70139.899999999994"/>
    <n v="5321.41"/>
  </r>
  <r>
    <x v="99"/>
    <n v="63201.2"/>
    <n v="5702.55"/>
  </r>
  <r>
    <x v="100"/>
    <n v="69155.399999999994"/>
    <n v="5307.01"/>
  </r>
  <r>
    <x v="101"/>
    <n v="62938.6"/>
    <n v="5713.64"/>
  </r>
  <r>
    <x v="102"/>
    <n v="67975.7"/>
    <n v="5267.84"/>
  </r>
  <r>
    <x v="103"/>
    <n v="61757.599999999999"/>
    <n v="5618.26"/>
  </r>
  <r>
    <x v="104"/>
    <n v="68547.600000000006"/>
    <n v="5304.72"/>
  </r>
  <r>
    <x v="105"/>
    <n v="60309.1"/>
    <n v="5634.58"/>
  </r>
  <r>
    <x v="106"/>
    <n v="69428.7"/>
    <n v="5633.09"/>
  </r>
  <r>
    <x v="107"/>
    <n v="58213.1"/>
    <n v="5633.09"/>
  </r>
  <r>
    <x v="108"/>
    <n v="68366"/>
    <n v="5306.04"/>
  </r>
  <r>
    <x v="109"/>
    <n v="67635.8"/>
    <n v="5266.95"/>
  </r>
  <r>
    <x v="110"/>
    <n v="68354.7"/>
    <n v="5235.4799999999996"/>
  </r>
  <r>
    <x v="111"/>
    <n v="60511.6"/>
    <n v="5626.02"/>
  </r>
  <r>
    <x v="112"/>
    <n v="67530.100000000006"/>
    <n v="5277.51"/>
  </r>
  <r>
    <x v="113"/>
    <n v="58134.5"/>
    <n v="5595.76"/>
  </r>
  <r>
    <x v="114"/>
    <n v="68807.8"/>
    <n v="5283.4"/>
  </r>
  <r>
    <x v="115"/>
    <n v="57338.7"/>
    <n v="5554.13"/>
  </r>
  <r>
    <x v="116"/>
    <n v="70549.2"/>
    <n v="5291.34"/>
  </r>
  <r>
    <x v="117"/>
    <n v="57635"/>
    <n v="5495.52"/>
  </r>
  <r>
    <x v="118"/>
    <n v="71083.7"/>
    <n v="5354.03"/>
  </r>
  <r>
    <x v="119"/>
    <n v="57049.599999999999"/>
    <n v="5471.05"/>
  </r>
  <r>
    <x v="120"/>
    <n v="70791.5"/>
    <n v="5352.96"/>
  </r>
  <r>
    <x v="121"/>
    <n v="69347.899999999994"/>
    <n v="5346.99"/>
  </r>
  <r>
    <x v="122"/>
    <n v="69538.2"/>
    <n v="5360.79"/>
  </r>
  <r>
    <x v="123"/>
    <n v="53966.8"/>
    <n v="5408.42"/>
  </r>
  <r>
    <x v="124"/>
    <n v="67319.8"/>
    <n v="5375.32"/>
  </r>
  <r>
    <x v="125"/>
    <n v="56183.199999999997"/>
    <n v="5503.41"/>
  </r>
  <r>
    <x v="126"/>
    <n v="68260.100000000006"/>
    <n v="5421.03"/>
  </r>
  <r>
    <x v="127"/>
    <n v="57973.4"/>
    <n v="5520.07"/>
  </r>
  <r>
    <x v="128"/>
    <n v="66773.100000000006"/>
    <n v="5433.74"/>
  </r>
  <r>
    <x v="129"/>
    <n v="57479.8"/>
    <n v="5528.93"/>
  </r>
  <r>
    <x v="130"/>
    <n v="66034.8"/>
    <n v="5431.6"/>
  </r>
  <r>
    <x v="131"/>
    <n v="59134"/>
    <n v="5473.23"/>
  </r>
  <r>
    <x v="132"/>
    <n v="66498.8"/>
    <n v="5473.23"/>
  </r>
  <r>
    <x v="133"/>
    <n v="65159.9"/>
    <n v="5487.03"/>
  </r>
  <r>
    <x v="134"/>
    <n v="64980.9"/>
    <n v="5648.4"/>
  </r>
  <r>
    <x v="135"/>
    <n v="59119.7"/>
    <n v="5648.4"/>
  </r>
  <r>
    <x v="136"/>
    <n v="64854.3"/>
    <n v="5473.17"/>
  </r>
  <r>
    <x v="137"/>
    <n v="59373.5"/>
    <n v="5591.96"/>
  </r>
  <r>
    <x v="138"/>
    <n v="64128.5"/>
    <n v="5464.62"/>
  </r>
  <r>
    <x v="139"/>
    <n v="59016"/>
    <n v="5592.18"/>
  </r>
  <r>
    <x v="140"/>
    <n v="60292.7"/>
    <n v="5447.87"/>
  </r>
  <r>
    <x v="141"/>
    <n v="59450.9"/>
    <n v="5625.8"/>
  </r>
  <r>
    <x v="142"/>
    <n v="61809.4"/>
    <n v="5469.3"/>
  </r>
  <r>
    <x v="143"/>
    <n v="62846.2"/>
    <n v="5616.84"/>
  </r>
  <r>
    <x v="144"/>
    <n v="60849.4"/>
    <n v="5477.9"/>
  </r>
  <r>
    <x v="145"/>
    <n v="61685.3"/>
    <n v="5482.87"/>
  </r>
  <r>
    <x v="146"/>
    <n v="60403.3"/>
    <n v="5460.48"/>
  </r>
  <r>
    <x v="147"/>
    <n v="64053.1"/>
    <n v="5634.61"/>
  </r>
  <r>
    <x v="148"/>
    <n v="62890.1"/>
    <n v="5475.09"/>
  </r>
  <r>
    <x v="149"/>
    <n v="60372.2"/>
    <n v="5570.64"/>
  </r>
  <r>
    <x v="150"/>
    <n v="62103.3"/>
    <n v="5509.01"/>
  </r>
  <r>
    <x v="151"/>
    <n v="61158.1"/>
    <n v="5620.85"/>
  </r>
  <r>
    <x v="152"/>
    <n v="60199.3"/>
    <n v="5537.02"/>
  </r>
  <r>
    <x v="153"/>
    <n v="59005.8"/>
    <n v="5597.12"/>
  </r>
  <r>
    <x v="154"/>
    <n v="57026.3"/>
    <n v="5608.25"/>
  </r>
  <r>
    <x v="155"/>
    <n v="59470.9"/>
    <n v="5608.25"/>
  </r>
  <r>
    <x v="156"/>
    <n v="56641.8"/>
    <n v="5567.19"/>
  </r>
  <r>
    <x v="157"/>
    <n v="56724.7"/>
    <n v="5572.85"/>
  </r>
  <r>
    <x v="158"/>
    <n v="58039.4"/>
    <n v="5576.98"/>
  </r>
  <r>
    <x v="159"/>
    <n v="58877.2"/>
    <n v="5554.25"/>
  </r>
  <r>
    <x v="160"/>
    <n v="57746.7"/>
    <n v="5633.91"/>
  </r>
  <r>
    <x v="161"/>
    <n v="57534.6"/>
    <n v="5543.22"/>
  </r>
  <r>
    <x v="162"/>
    <n v="57337.3"/>
    <n v="5584.54"/>
  </r>
  <r>
    <x v="163"/>
    <n v="58707.8"/>
    <n v="5455.21"/>
  </r>
  <r>
    <x v="164"/>
    <n v="57885.1"/>
    <n v="5615.35"/>
  </r>
  <r>
    <x v="165"/>
    <n v="60595.199999999997"/>
    <n v="5434.43"/>
  </r>
  <r>
    <x v="166"/>
    <n v="64782.400000000001"/>
    <n v="5631.22"/>
  </r>
  <r>
    <x v="167"/>
    <n v="59350"/>
    <n v="5344.39"/>
  </r>
  <r>
    <x v="168"/>
    <n v="65049.7"/>
    <n v="5667.2"/>
  </r>
  <r>
    <x v="169"/>
    <n v="64089.2"/>
    <n v="5588.27"/>
  </r>
  <r>
    <x v="170"/>
    <n v="63980.5"/>
    <n v="5544.59"/>
  </r>
  <r>
    <x v="171"/>
    <n v="60850.6"/>
    <n v="5344.16"/>
  </r>
  <r>
    <x v="172"/>
    <n v="66677.399999999994"/>
    <n v="5505"/>
  </r>
  <r>
    <x v="173"/>
    <n v="61699.7"/>
    <n v="5319.31"/>
  </r>
  <r>
    <x v="174"/>
    <n v="67553.600000000006"/>
    <n v="5564.41"/>
  </r>
  <r>
    <x v="175"/>
    <n v="55120.9"/>
    <n v="5199.5"/>
  </r>
  <r>
    <x v="176"/>
    <n v="65937.8"/>
    <n v="5555.74"/>
  </r>
  <r>
    <x v="177"/>
    <n v="56057.8"/>
    <n v="5240.03"/>
  </r>
  <r>
    <x v="178"/>
    <n v="65370.5"/>
    <n v="5427.13"/>
  </r>
  <r>
    <x v="179"/>
    <n v="53979"/>
    <n v="5186.33"/>
  </r>
  <r>
    <x v="180"/>
    <n v="65799.3"/>
    <n v="5399.22"/>
  </r>
  <r>
    <x v="181"/>
    <n v="67908.600000000006"/>
    <n v="5459.1"/>
  </r>
  <r>
    <x v="182"/>
    <n v="66798.7"/>
    <n v="5463.54"/>
  </r>
  <r>
    <x v="183"/>
    <n v="61478.7"/>
    <n v="5346.56"/>
  </r>
  <r>
    <x v="184"/>
    <n v="66184.899999999994"/>
    <n v="5436.44"/>
  </r>
  <r>
    <x v="185"/>
    <n v="65372.9"/>
    <n v="5446.68"/>
  </r>
  <r>
    <x v="186"/>
    <n v="64626"/>
    <n v="5522.3"/>
  </r>
  <r>
    <x v="187"/>
    <n v="67151.899999999994"/>
    <n v="5123.41"/>
  </r>
  <r>
    <x v="188"/>
    <n v="70011.600000000006"/>
    <n v="5199.0600000000004"/>
  </r>
  <r>
    <x v="189"/>
    <n v="70622.100000000006"/>
    <n v="5160.6400000000003"/>
  </r>
  <r>
    <x v="190"/>
    <n v="69148"/>
    <n v="5209.91"/>
  </r>
  <r>
    <x v="191"/>
    <n v="71630.100000000006"/>
    <n v="5202.3900000000003"/>
  </r>
  <r>
    <x v="192"/>
    <n v="67830.600000000006"/>
    <n v="5204.34"/>
  </r>
  <r>
    <x v="193"/>
    <n v="68496.5"/>
    <n v="5147.21"/>
  </r>
  <r>
    <x v="194"/>
    <n v="65963"/>
    <n v="5211.49"/>
  </r>
  <r>
    <x v="195"/>
    <n v="65439.199999999997"/>
    <n v="5205.8100000000004"/>
  </r>
  <r>
    <x v="196"/>
    <n v="69664.399999999994"/>
    <n v="5243.77"/>
  </r>
  <r>
    <x v="197"/>
    <n v="69871.7"/>
    <n v="5254.35"/>
  </r>
  <r>
    <x v="198"/>
    <n v="70762.100000000006"/>
    <n v="5254.35"/>
  </r>
  <r>
    <x v="199"/>
    <n v="69442.399999999994"/>
    <n v="5248.49"/>
  </r>
  <r>
    <x v="200"/>
    <n v="69999.3"/>
    <n v="5203.58"/>
  </r>
  <r>
    <x v="201"/>
    <n v="69892"/>
    <n v="5218.1899999999996"/>
  </r>
  <r>
    <x v="202"/>
    <n v="63785.5"/>
    <n v="5234.18"/>
  </r>
  <r>
    <x v="203"/>
    <n v="65503.8"/>
    <n v="5241.53"/>
  </r>
  <r>
    <x v="204"/>
    <n v="67854"/>
    <n v="5224.62"/>
  </r>
  <r>
    <x v="205"/>
    <n v="62050"/>
    <n v="5178.51"/>
  </r>
  <r>
    <x v="206"/>
    <n v="67594.100000000006"/>
    <n v="5149.42"/>
  </r>
  <r>
    <x v="207"/>
    <n v="69463.7"/>
    <n v="5117.09"/>
  </r>
  <r>
    <x v="208"/>
    <n v="71387.5"/>
    <n v="5150.4799999999996"/>
  </r>
  <r>
    <x v="209"/>
    <n v="73066.3"/>
    <n v="5165.3100000000004"/>
  </r>
  <r>
    <x v="210"/>
    <n v="71470.2"/>
    <n v="5175.2700000000004"/>
  </r>
  <r>
    <x v="211"/>
    <n v="72099.100000000006"/>
    <n v="5117.9399999999996"/>
  </r>
  <r>
    <x v="212"/>
    <n v="68172"/>
    <n v="5123.6899999999996"/>
  </r>
  <r>
    <x v="213"/>
    <n v="66855.3"/>
    <n v="5157.3599999999997"/>
  </r>
  <r>
    <x v="214"/>
    <n v="66080.399999999994"/>
    <n v="5104.76"/>
  </r>
  <r>
    <x v="215"/>
    <n v="63792.6"/>
    <n v="5078.6499999999996"/>
  </r>
  <r>
    <x v="216"/>
    <n v="68270.100000000006"/>
    <n v="5130.95"/>
  </r>
  <r>
    <x v="217"/>
    <n v="62397.7"/>
    <n v="5137.08"/>
  </r>
  <r>
    <x v="218"/>
    <n v="61169.3"/>
    <n v="5096.2700000000004"/>
  </r>
  <r>
    <x v="219"/>
    <n v="62467.6"/>
    <n v="5069.76"/>
  </r>
  <r>
    <x v="220"/>
    <n v="57056.2"/>
    <n v="5078.18"/>
  </r>
  <r>
    <x v="221"/>
    <n v="54495.1"/>
    <n v="5069.53"/>
  </r>
  <r>
    <x v="222"/>
    <n v="50740.5"/>
    <n v="5088.8"/>
  </r>
  <r>
    <x v="223"/>
    <n v="51320.4"/>
    <n v="5087.03"/>
  </r>
  <r>
    <x v="224"/>
    <n v="51858.2"/>
    <n v="4981.8"/>
  </r>
  <r>
    <x v="225"/>
    <n v="52263.5"/>
    <n v="4975.51"/>
  </r>
  <r>
    <x v="226"/>
    <n v="51783.6"/>
    <n v="5005.57"/>
  </r>
  <r>
    <x v="227"/>
    <n v="52134.2"/>
    <n v="5005.57"/>
  </r>
  <r>
    <x v="228"/>
    <n v="51901.3"/>
    <n v="5029.7299999999996"/>
  </r>
  <r>
    <x v="229"/>
    <n v="51782.400000000001"/>
    <n v="5000.62"/>
  </r>
  <r>
    <x v="230"/>
    <n v="49716"/>
    <n v="4953.17"/>
  </r>
  <r>
    <x v="231"/>
    <n v="49941.3"/>
    <n v="5021.84"/>
  </r>
  <r>
    <x v="232"/>
    <n v="47127.5"/>
    <n v="5026.6099999999997"/>
  </r>
  <r>
    <x v="233"/>
    <n v="45293.3"/>
    <n v="4997.91"/>
  </r>
  <r>
    <x v="234"/>
    <n v="44339.8"/>
    <n v="4995.0600000000004"/>
  </r>
  <r>
    <x v="235"/>
    <n v="43087.7"/>
    <n v="4954.2299999999996"/>
  </r>
  <r>
    <x v="236"/>
    <n v="42697.2"/>
    <n v="4942.8100000000004"/>
  </r>
  <r>
    <x v="237"/>
    <n v="43194.7"/>
    <n v="4958.6099999999997"/>
  </r>
  <r>
    <x v="238"/>
    <n v="43081.4"/>
    <n v="4906.1899999999996"/>
  </r>
  <r>
    <x v="239"/>
    <n v="42580.5"/>
    <n v="4845.6499999999996"/>
  </r>
  <r>
    <x v="240"/>
    <n v="42946.2"/>
    <n v="4924.97"/>
  </r>
  <r>
    <x v="241"/>
    <n v="43299.8"/>
    <n v="4927.93"/>
  </r>
  <r>
    <x v="242"/>
    <n v="41811.300000000003"/>
    <n v="4890.97"/>
  </r>
  <r>
    <x v="243"/>
    <n v="39935.699999999997"/>
    <n v="4894.16"/>
  </r>
  <r>
    <x v="244"/>
    <n v="40086"/>
    <n v="4868.55"/>
  </r>
  <r>
    <x v="245"/>
    <n v="39888.800000000003"/>
    <n v="4864.6000000000004"/>
  </r>
  <r>
    <x v="246"/>
    <n v="39556.400000000001"/>
    <n v="4850.43"/>
  </r>
  <r>
    <x v="247"/>
    <n v="41648"/>
    <n v="4839.8100000000004"/>
  </r>
  <r>
    <x v="248"/>
    <n v="41292.699999999997"/>
    <n v="4780.9399999999996"/>
  </r>
  <r>
    <x v="249"/>
    <n v="42768.7"/>
    <n v="4739.21"/>
  </r>
  <r>
    <x v="250"/>
    <n v="43145.5"/>
    <n v="4765.9799999999996"/>
  </r>
  <r>
    <x v="251"/>
    <n v="42510.7"/>
    <n v="4783.83"/>
  </r>
  <r>
    <x v="252"/>
    <n v="42835.9"/>
    <n v="4783.83"/>
  </r>
  <r>
    <x v="253"/>
    <n v="46348.2"/>
    <n v="4780.24"/>
  </r>
  <r>
    <x v="254"/>
    <n v="46629.3"/>
    <n v="4783.45"/>
  </r>
  <r>
    <x v="255"/>
    <n v="46129"/>
    <n v="4756.5"/>
  </r>
  <r>
    <x v="256"/>
    <n v="46962.2"/>
    <n v="4763.54"/>
  </r>
  <r>
    <x v="257"/>
    <n v="44156.9"/>
    <n v="4697.24"/>
  </r>
  <r>
    <x v="258"/>
    <n v="44157"/>
    <n v="4688.68"/>
  </r>
  <r>
    <x v="259"/>
    <n v="42836.1"/>
    <n v="4704.8100000000004"/>
  </r>
  <r>
    <x v="260"/>
    <n v="44943.7"/>
    <n v="4742.83"/>
  </r>
  <r>
    <x v="261"/>
    <n v="44183.4"/>
    <n v="4769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12B4A-0D75-5543-BE4B-59EEB4765F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9:C22" firstHeaderRow="0" firstDataRow="1" firstDataCol="1"/>
  <pivotFields count="5">
    <pivotField axis="axisRow" numFmtId="14" showAll="0">
      <items count="263"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54"/>
        <item x="56"/>
        <item x="58"/>
        <item x="60"/>
        <item x="61"/>
        <item x="62"/>
        <item x="64"/>
        <item x="66"/>
        <item x="68"/>
        <item x="70"/>
        <item x="72"/>
        <item x="73"/>
        <item x="74"/>
        <item x="76"/>
        <item x="78"/>
        <item x="80"/>
        <item x="82"/>
        <item x="84"/>
        <item x="85"/>
        <item x="86"/>
        <item x="88"/>
        <item x="90"/>
        <item x="92"/>
        <item x="94"/>
        <item x="96"/>
        <item x="97"/>
        <item x="98"/>
        <item x="100"/>
        <item x="102"/>
        <item x="104"/>
        <item x="106"/>
        <item x="108"/>
        <item x="109"/>
        <item x="110"/>
        <item x="112"/>
        <item x="114"/>
        <item x="116"/>
        <item x="118"/>
        <item x="120"/>
        <item x="121"/>
        <item x="122"/>
        <item x="124"/>
        <item x="126"/>
        <item x="128"/>
        <item x="130"/>
        <item x="132"/>
        <item x="133"/>
        <item x="134"/>
        <item x="136"/>
        <item x="138"/>
        <item x="140"/>
        <item x="142"/>
        <item x="144"/>
        <item x="145"/>
        <item x="146"/>
        <item x="148"/>
        <item x="150"/>
        <item x="152"/>
        <item x="154"/>
        <item x="156"/>
        <item x="157"/>
        <item x="158"/>
        <item x="160"/>
        <item x="162"/>
        <item x="164"/>
        <item x="166"/>
        <item x="168"/>
        <item x="169"/>
        <item x="170"/>
        <item x="172"/>
        <item x="174"/>
        <item x="176"/>
        <item x="178"/>
        <item x="180"/>
        <item x="181"/>
        <item x="182"/>
        <item x="184"/>
        <item x="186"/>
        <item x="185"/>
        <item x="183"/>
        <item x="179"/>
        <item x="177"/>
        <item x="175"/>
        <item x="173"/>
        <item x="171"/>
        <item x="167"/>
        <item x="165"/>
        <item x="163"/>
        <item x="161"/>
        <item x="159"/>
        <item x="155"/>
        <item x="153"/>
        <item x="151"/>
        <item x="149"/>
        <item x="147"/>
        <item x="143"/>
        <item x="141"/>
        <item x="139"/>
        <item x="137"/>
        <item x="135"/>
        <item x="131"/>
        <item x="129"/>
        <item x="127"/>
        <item x="125"/>
        <item x="123"/>
        <item x="119"/>
        <item x="117"/>
        <item x="115"/>
        <item x="113"/>
        <item x="111"/>
        <item x="107"/>
        <item x="105"/>
        <item x="103"/>
        <item x="101"/>
        <item x="99"/>
        <item x="95"/>
        <item x="93"/>
        <item x="91"/>
        <item x="89"/>
        <item x="87"/>
        <item x="83"/>
        <item x="81"/>
        <item x="79"/>
        <item x="77"/>
        <item x="75"/>
        <item x="71"/>
        <item x="69"/>
        <item x="67"/>
        <item x="65"/>
        <item x="63"/>
        <item x="59"/>
        <item x="57"/>
        <item x="55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TC" fld="1" subtotal="average" baseField="0" baseItem="0"/>
    <dataField name="Average of SP500.1" fld="2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87AD615-5A26-3A4D-ADCF-A90D87BB36A4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DA335C0-6A6D-3F44-BD6C-6FBBE958B861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074F3E8-A3C6-AB4C-B41F-C0A586F5EFB9}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" tableColumnId="1"/>
      <queryTableField id="2" name="SP50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43BA976-DD09-2849-8571-C0E2E5693EC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SP500.1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27BD0FD-F9E4-044C-85B0-4C8D87DD2BF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SP500.1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2A8E871-713C-A74B-929D-5655DA74CEED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SP500.1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E7E2728-C67E-0B4D-883E-185A2D03079E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SP500.1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5E1021-5B0C-CD42-A387-3947FC6715C1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SP500.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C4F84-464C-0144-BFEA-50BDF3F8022B}" name="Bitcoin_2024" displayName="Bitcoin_2024" ref="A1:G331" tableType="queryTable" totalsRowShown="0">
  <autoFilter ref="A1:G331" xr:uid="{39EC4F84-464C-0144-BFEA-50BDF3F8022B}"/>
  <tableColumns count="7">
    <tableColumn id="1" xr3:uid="{33837E33-BB0D-1641-9996-DDD9A4C45DE9}" uniqueName="1" name="Date" queryTableFieldId="1" dataDxfId="39"/>
    <tableColumn id="2" xr3:uid="{537F1699-579E-9F4B-BEAD-8E23E5394124}" uniqueName="2" name="Price" queryTableFieldId="2"/>
    <tableColumn id="3" xr3:uid="{11694428-54A5-A841-A429-403FCB1C315B}" uniqueName="3" name="Open" queryTableFieldId="3"/>
    <tableColumn id="4" xr3:uid="{4DB401E2-FFC8-9145-A9A9-66CAE934A1CB}" uniqueName="4" name="High" queryTableFieldId="4"/>
    <tableColumn id="5" xr3:uid="{C2A8E30A-3127-CC48-9994-9DDC882B2345}" uniqueName="5" name="Low" queryTableFieldId="5"/>
    <tableColumn id="6" xr3:uid="{695801C1-E9B0-5B4D-9FA5-92581ECFA837}" uniqueName="6" name="Vol." queryTableFieldId="6" dataDxfId="38"/>
    <tableColumn id="7" xr3:uid="{55AD92BB-6FD9-E34D-A2D1-25FC7446195E}" uniqueName="7" name="Change %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09D0BD-C5F0-E045-B4F9-A65C3388F95C}" name="Bitcoin_10_28_24_01_13_25" displayName="Bitcoin_10_28_24_01_13_25" ref="A1:G79" tableType="queryTable" totalsRowShown="0">
  <autoFilter ref="A1:G79" xr:uid="{BA09D0BD-C5F0-E045-B4F9-A65C3388F95C}"/>
  <tableColumns count="7">
    <tableColumn id="1" xr3:uid="{C98D0B0A-CF76-6F45-8C1C-3C90571576F3}" uniqueName="1" name="Date" queryTableFieldId="1" dataDxfId="37"/>
    <tableColumn id="2" xr3:uid="{D93BC6FC-BCD5-D14F-BD96-ABC947629B17}" uniqueName="2" name="Price" queryTableFieldId="2"/>
    <tableColumn id="3" xr3:uid="{E1A383BC-27B1-3E44-9D3E-6652316B4F64}" uniqueName="3" name="Open" queryTableFieldId="3"/>
    <tableColumn id="4" xr3:uid="{05DAFB13-9B02-BE4B-8B04-9BDDE17A0D3E}" uniqueName="4" name="High" queryTableFieldId="4"/>
    <tableColumn id="5" xr3:uid="{F19FAE35-90D0-F34A-80DD-1A67194A11D7}" uniqueName="5" name="Low" queryTableFieldId="5"/>
    <tableColumn id="6" xr3:uid="{0E032788-5F05-BB43-B81A-DF89C75B18B4}" uniqueName="6" name="Vol." queryTableFieldId="6" dataDxfId="36"/>
    <tableColumn id="7" xr3:uid="{C515CB44-71A9-9A4A-A17E-704FCC5D284B}" uniqueName="7" name="Change %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30396-3F19-FF43-8224-6B09A281F93B}" name="SP500_" displayName="SP500_" ref="A1:B263" tableType="queryTable" totalsRowShown="0">
  <autoFilter ref="A1:B263" xr:uid="{82230396-3F19-FF43-8224-6B09A281F93B}"/>
  <tableColumns count="2">
    <tableColumn id="1" xr3:uid="{A793EA16-AAF2-2442-AA22-37918B53C900}" uniqueName="1" name="observation_date" queryTableFieldId="1" dataDxfId="35"/>
    <tableColumn id="2" xr3:uid="{99C71273-2A1B-2741-AA6E-53671A97841D}" uniqueName="2" name="SP500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CDB010-4A9E-704C-BFC0-DE9AC6B2D24B}" name="Table5" displayName="Table5" ref="A1:G367" totalsRowShown="0" headerRowDxfId="34" dataDxfId="32" headerRowBorderDxfId="33" tableBorderDxfId="31" totalsRowBorderDxfId="30">
  <autoFilter ref="A1:G367" xr:uid="{EFCDB010-4A9E-704C-BFC0-DE9AC6B2D24B}"/>
  <tableColumns count="7">
    <tableColumn id="1" xr3:uid="{1E7DC20B-46F9-AF45-803C-4EAF246396BD}" name="Date" dataDxfId="29"/>
    <tableColumn id="2" xr3:uid="{7F63018E-2723-E340-B967-6501377F7E0B}" name="Price" dataDxfId="28"/>
    <tableColumn id="3" xr3:uid="{5E86600F-4C8E-6347-A4DA-24F8E3BA04BC}" name="Open" dataDxfId="27"/>
    <tableColumn id="4" xr3:uid="{4D40AB61-E2A9-2643-8936-3C2CCFBC7B83}" name="High" dataDxfId="26"/>
    <tableColumn id="5" xr3:uid="{C27DAD45-BDDB-1547-B0A6-B3090E5CBDC9}" name="Low" dataDxfId="25"/>
    <tableColumn id="6" xr3:uid="{9C20899E-C1EA-D84E-95A5-B9B10DB18E41}" name="Vol." dataDxfId="24"/>
    <tableColumn id="7" xr3:uid="{31D096C7-5E76-DC4A-BED3-E2BCEA74089D}" name="Change %" dataDxfId="2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37AFD1-0C4F-E046-9251-0E0579465613}" name="Table6" displayName="Table6" ref="A1:B367" totalsRowShown="0" headerRowDxfId="22" headerRowBorderDxfId="21" tableBorderDxfId="20" totalsRowBorderDxfId="19">
  <autoFilter ref="A1:B367" xr:uid="{5A37AFD1-0C4F-E046-9251-0E0579465613}"/>
  <tableColumns count="2">
    <tableColumn id="1" xr3:uid="{615F246E-DA3D-3D4D-ADCA-8C49527F7553}" name="Date" dataDxfId="18"/>
    <tableColumn id="2" xr3:uid="{2C04AEAA-86A5-C349-8FB6-87B78C644A05}" name="Price" dataDxfId="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D7891-FB7B-C141-86FF-44AF3B707BEB}" name="Table3" displayName="Table3" ref="A1:B263" totalsRowShown="0" headerRowBorderDxfId="16" tableBorderDxfId="15" totalsRowBorderDxfId="14">
  <autoFilter ref="A1:B263" xr:uid="{EDFD7891-FB7B-C141-86FF-44AF3B707BEB}"/>
  <tableColumns count="2">
    <tableColumn id="1" xr3:uid="{F2A4830E-533E-704B-8FD0-F6EBD3BDF14E}" name="Column1" dataDxfId="13"/>
    <tableColumn id="2" xr3:uid="{28F225B4-AF66-A046-AAE9-6E17D0244C89}" name="Column2" dataDxfId="12"/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018FA0-54FB-634F-9379-21C2BBBFC2DD}" name="_2024_ClosesQ1" displayName="_2024_ClosesQ1" ref="A1:C66" tableType="queryTable" totalsRowShown="0">
  <autoFilter ref="A1:C66" xr:uid="{F1018FA0-54FB-634F-9379-21C2BBBFC2DD}"/>
  <tableColumns count="3">
    <tableColumn id="1" xr3:uid="{38CC46FE-3BED-5248-ABAA-889B79182343}" uniqueName="1" name="Date" queryTableFieldId="1" dataDxfId="11"/>
    <tableColumn id="2" xr3:uid="{58E3B8FC-A0B3-AC4D-B254-A2A06FDE0AA6}" uniqueName="2" name="Price" queryTableFieldId="2"/>
    <tableColumn id="3" xr3:uid="{0071DB13-EA2B-0743-B6DF-88D6F5E08965}" uniqueName="3" name="SP500.1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87D410-0F6D-B947-A818-CE9658154586}" name="_2024_ClosesQ2" displayName="_2024_ClosesQ2" ref="A1:C66" tableType="queryTable" totalsRowShown="0">
  <autoFilter ref="A1:C66" xr:uid="{2887D410-0F6D-B947-A818-CE9658154586}"/>
  <sortState xmlns:xlrd2="http://schemas.microsoft.com/office/spreadsheetml/2017/richdata2" ref="A2:C66">
    <sortCondition descending="1" ref="A1:A66"/>
  </sortState>
  <tableColumns count="3">
    <tableColumn id="1" xr3:uid="{0ACC0699-ACA0-DD44-9815-4D63B1F3AF47}" uniqueName="1" name="Date" queryTableFieldId="1" dataDxfId="10"/>
    <tableColumn id="2" xr3:uid="{75A64583-6302-384C-92A2-E485520C9E49}" uniqueName="2" name="Price" queryTableFieldId="2"/>
    <tableColumn id="3" xr3:uid="{E6F6D12F-640D-9345-AAEE-B2C6589A519B}" uniqueName="3" name="SP500.1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F38EC7-9535-134A-B1D2-4DD1F33504B2}" name="_2024_ClosesQ3" displayName="_2024_ClosesQ3" ref="A1:C67" tableType="queryTable" totalsRowShown="0">
  <autoFilter ref="A1:C67" xr:uid="{A3F38EC7-9535-134A-B1D2-4DD1F33504B2}"/>
  <sortState xmlns:xlrd2="http://schemas.microsoft.com/office/spreadsheetml/2017/richdata2" ref="A2:C67">
    <sortCondition descending="1" ref="A1:A67"/>
  </sortState>
  <tableColumns count="3">
    <tableColumn id="1" xr3:uid="{81087091-7371-0843-91DA-2BDE4216A18C}" uniqueName="1" name="Date" queryTableFieldId="1" dataDxfId="9"/>
    <tableColumn id="2" xr3:uid="{2C1705FB-6A44-9541-8AF1-3B03EC7AAF82}" uniqueName="2" name="Price" queryTableFieldId="2"/>
    <tableColumn id="3" xr3:uid="{57AEE377-A05E-964C-B00D-2B59FEB0AE3C}" uniqueName="3" name="SP500.1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86286C-DD70-D64A-A197-3983539D6231}" name="_2024_ClosesQ4" displayName="_2024_ClosesQ4" ref="A1:C67" tableType="queryTable" totalsRowShown="0">
  <autoFilter ref="A1:C67" xr:uid="{1F86286C-DD70-D64A-A197-3983539D6231}"/>
  <sortState xmlns:xlrd2="http://schemas.microsoft.com/office/spreadsheetml/2017/richdata2" ref="A2:C67">
    <sortCondition descending="1" ref="A1:A67"/>
  </sortState>
  <tableColumns count="3">
    <tableColumn id="1" xr3:uid="{39BECE8C-2D1B-764D-B06C-6AC42685ABB3}" uniqueName="1" name="Date" queryTableFieldId="1" dataDxfId="8"/>
    <tableColumn id="2" xr3:uid="{4293E59F-712F-A942-9293-8CDFD5C549D7}" uniqueName="2" name="Price" queryTableFieldId="2"/>
    <tableColumn id="3" xr3:uid="{1982D190-D452-1647-9D02-7E80D5AF12AF}" uniqueName="3" name="SP500.1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E002FF-78CA-A349-A126-E6681E3E67F1}" name="Closes" displayName="Closes" ref="A1:C263" tableType="queryTable" totalsRowShown="0">
  <autoFilter ref="A1:C263" xr:uid="{37E002FF-78CA-A349-A126-E6681E3E67F1}"/>
  <tableColumns count="3">
    <tableColumn id="1" xr3:uid="{7962D85C-1277-BF4B-B55A-9918EB98AC32}" uniqueName="1" name="Date" queryTableFieldId="1" dataDxfId="7"/>
    <tableColumn id="2" xr3:uid="{4FA4ABF4-B8F0-CE46-968B-97349D38A275}" uniqueName="2" name="BTC" queryTableFieldId="2"/>
    <tableColumn id="3" xr3:uid="{B4B056A2-0FD1-F944-8AEF-78C5ACFF8BB7}" uniqueName="3" name="SP500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D90015-E5CC-AE4B-AE12-CADF300C1A4C}" name="Percentages" displayName="Percentages" ref="E1:G262" totalsRowShown="0">
  <autoFilter ref="E1:G262" xr:uid="{17D90015-E5CC-AE4B-AE12-CADF300C1A4C}"/>
  <sortState xmlns:xlrd2="http://schemas.microsoft.com/office/spreadsheetml/2017/richdata2" ref="E2:G262">
    <sortCondition descending="1" ref="E1:E262"/>
  </sortState>
  <tableColumns count="3">
    <tableColumn id="1" xr3:uid="{1CDDFB77-698C-1E4B-AE71-3525E77FBB84}" name="Date" dataDxfId="6"/>
    <tableColumn id="2" xr3:uid="{292BF186-5753-9B49-88BC-0169337AF18D}" name="BTC %" dataDxfId="5" dataCellStyle="Percent">
      <calculatedColumnFormula>LN(Closes[[#This Row],[BTC]]/B3)</calculatedColumnFormula>
    </tableColumn>
    <tableColumn id="3" xr3:uid="{9E756AC1-567C-8843-9168-BF2E16C922A7}" name="SP500 %" dataDxfId="4" dataCellStyle="Percent">
      <calculatedColumnFormula>LN(Closes[[#This Row],[SP500]]/C3)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789B00-5030-5B48-B286-D74773976A58}" name="Table14" displayName="Table14" ref="I1:K262" totalsRowShown="0">
  <autoFilter ref="I1:K262" xr:uid="{50789B00-5030-5B48-B286-D74773976A58}"/>
  <tableColumns count="3">
    <tableColumn id="1" xr3:uid="{9E4C31DC-AEFA-C94C-8CB7-59077185602E}" name="Date" dataDxfId="3"/>
    <tableColumn id="2" xr3:uid="{6A733188-2702-9A4C-9F32-0373707544F5}" name="BTC ABS" dataDxfId="2" dataCellStyle="Percent">
      <calculatedColumnFormula>ABS(Percentages[[#This Row],[BTC %]])</calculatedColumnFormula>
    </tableColumn>
    <tableColumn id="3" xr3:uid="{D2B1DC33-4EDD-BC4F-8F36-A8623D1BA7AD}" name="SP500 ABS" dataDxfId="1" dataCellStyle="Percent">
      <calculatedColumnFormula>ABS(Percentages[[#This Row],[SP500 %]])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AF12-42CD-3B4D-AEF2-F46565CBCC2A}">
  <dimension ref="A1:G331"/>
  <sheetViews>
    <sheetView zoomScale="190" zoomScaleNormal="190" workbookViewId="0">
      <selection sqref="A1:G1"/>
    </sheetView>
  </sheetViews>
  <sheetFormatPr baseColWidth="10" defaultRowHeight="16" x14ac:dyDescent="0.2"/>
  <cols>
    <col min="1" max="1" width="8.5" bestFit="1" customWidth="1"/>
    <col min="2" max="5" width="8.1640625" bestFit="1" customWidth="1"/>
    <col min="6" max="6" width="7.6640625" bestFit="1" customWidth="1"/>
    <col min="7" max="7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45621</v>
      </c>
      <c r="B2">
        <v>98600.6</v>
      </c>
      <c r="C2">
        <v>97948.800000000003</v>
      </c>
      <c r="D2">
        <v>98872.4</v>
      </c>
      <c r="E2">
        <v>96953.4</v>
      </c>
      <c r="F2" t="s">
        <v>7</v>
      </c>
      <c r="G2">
        <v>6.7999999999999996E-3</v>
      </c>
    </row>
    <row r="3" spans="1:7" x14ac:dyDescent="0.2">
      <c r="A3" s="1">
        <v>45620</v>
      </c>
      <c r="B3">
        <v>97935.2</v>
      </c>
      <c r="C3">
        <v>97696.4</v>
      </c>
      <c r="D3">
        <v>98552.6</v>
      </c>
      <c r="E3">
        <v>95765.4</v>
      </c>
      <c r="F3" t="s">
        <v>8</v>
      </c>
      <c r="G3">
        <v>2.3999999999999998E-3</v>
      </c>
    </row>
    <row r="4" spans="1:7" x14ac:dyDescent="0.2">
      <c r="A4" s="1">
        <v>45619</v>
      </c>
      <c r="B4">
        <v>97699</v>
      </c>
      <c r="C4">
        <v>98927.2</v>
      </c>
      <c r="D4">
        <v>98927.2</v>
      </c>
      <c r="E4">
        <v>97180.9</v>
      </c>
      <c r="F4" t="s">
        <v>9</v>
      </c>
      <c r="G4">
        <v>-1.24E-2</v>
      </c>
    </row>
    <row r="5" spans="1:7" x14ac:dyDescent="0.2">
      <c r="A5" s="1">
        <v>45618</v>
      </c>
      <c r="B5">
        <v>98929.7</v>
      </c>
      <c r="C5">
        <v>98381.2</v>
      </c>
      <c r="D5">
        <v>99617.4</v>
      </c>
      <c r="E5">
        <v>97182.2</v>
      </c>
      <c r="F5" t="s">
        <v>10</v>
      </c>
      <c r="G5">
        <v>5.5999999999999999E-3</v>
      </c>
    </row>
    <row r="6" spans="1:7" x14ac:dyDescent="0.2">
      <c r="A6" s="1">
        <v>45617</v>
      </c>
      <c r="B6">
        <v>98374.5</v>
      </c>
      <c r="C6">
        <v>94308.7</v>
      </c>
      <c r="D6">
        <v>98937.2</v>
      </c>
      <c r="E6">
        <v>94063.8</v>
      </c>
      <c r="F6" t="s">
        <v>11</v>
      </c>
      <c r="G6">
        <v>4.3200000000000002E-2</v>
      </c>
    </row>
    <row r="7" spans="1:7" x14ac:dyDescent="0.2">
      <c r="A7" s="1">
        <v>45616</v>
      </c>
      <c r="B7">
        <v>94303.9</v>
      </c>
      <c r="C7">
        <v>92252.6</v>
      </c>
      <c r="D7">
        <v>94836.1</v>
      </c>
      <c r="E7">
        <v>91517.4</v>
      </c>
      <c r="F7" t="s">
        <v>12</v>
      </c>
      <c r="G7">
        <v>2.24E-2</v>
      </c>
    </row>
    <row r="8" spans="1:7" x14ac:dyDescent="0.2">
      <c r="A8" s="1">
        <v>45615</v>
      </c>
      <c r="B8">
        <v>92239.2</v>
      </c>
      <c r="C8">
        <v>90482.1</v>
      </c>
      <c r="D8">
        <v>93918.5</v>
      </c>
      <c r="E8">
        <v>90378.7</v>
      </c>
      <c r="F8" t="s">
        <v>13</v>
      </c>
      <c r="G8">
        <v>1.95E-2</v>
      </c>
    </row>
    <row r="9" spans="1:7" x14ac:dyDescent="0.2">
      <c r="A9" s="1">
        <v>45614</v>
      </c>
      <c r="B9">
        <v>90478.7</v>
      </c>
      <c r="C9">
        <v>89843.3</v>
      </c>
      <c r="D9">
        <v>92567.1</v>
      </c>
      <c r="E9">
        <v>89410.4</v>
      </c>
      <c r="F9" t="s">
        <v>14</v>
      </c>
      <c r="G9">
        <v>7.1999999999999998E-3</v>
      </c>
    </row>
    <row r="10" spans="1:7" x14ac:dyDescent="0.2">
      <c r="A10" s="1">
        <v>45613</v>
      </c>
      <c r="B10">
        <v>89833.7</v>
      </c>
      <c r="C10">
        <v>90569.4</v>
      </c>
      <c r="D10">
        <v>91441.600000000006</v>
      </c>
      <c r="E10">
        <v>88736.1</v>
      </c>
      <c r="F10" t="s">
        <v>15</v>
      </c>
      <c r="G10">
        <v>-7.7999999999999996E-3</v>
      </c>
    </row>
    <row r="11" spans="1:7" x14ac:dyDescent="0.2">
      <c r="A11" s="1">
        <v>45612</v>
      </c>
      <c r="B11">
        <v>90539.1</v>
      </c>
      <c r="C11">
        <v>91035.3</v>
      </c>
      <c r="D11">
        <v>91748.9</v>
      </c>
      <c r="E11">
        <v>90079</v>
      </c>
      <c r="F11" t="s">
        <v>16</v>
      </c>
      <c r="G11">
        <v>-5.5999999999999999E-3</v>
      </c>
    </row>
    <row r="12" spans="1:7" x14ac:dyDescent="0.2">
      <c r="A12" s="1">
        <v>45611</v>
      </c>
      <c r="B12">
        <v>91046.5</v>
      </c>
      <c r="C12">
        <v>87297.2</v>
      </c>
      <c r="D12">
        <v>91833.1</v>
      </c>
      <c r="E12">
        <v>87118.8</v>
      </c>
      <c r="F12" t="s">
        <v>17</v>
      </c>
      <c r="G12">
        <v>4.2999999999999997E-2</v>
      </c>
    </row>
    <row r="13" spans="1:7" x14ac:dyDescent="0.2">
      <c r="A13" s="1">
        <v>45610</v>
      </c>
      <c r="B13">
        <v>87294</v>
      </c>
      <c r="C13">
        <v>90424.8</v>
      </c>
      <c r="D13">
        <v>91726.7</v>
      </c>
      <c r="E13">
        <v>86740.2</v>
      </c>
      <c r="F13" t="s">
        <v>18</v>
      </c>
      <c r="G13">
        <v>-3.4599999999999999E-2</v>
      </c>
    </row>
    <row r="14" spans="1:7" x14ac:dyDescent="0.2">
      <c r="A14" s="1">
        <v>45609</v>
      </c>
      <c r="B14">
        <v>90422.2</v>
      </c>
      <c r="C14">
        <v>87971.199999999997</v>
      </c>
      <c r="D14">
        <v>93226.6</v>
      </c>
      <c r="E14">
        <v>86168.4</v>
      </c>
      <c r="F14" t="s">
        <v>19</v>
      </c>
      <c r="G14">
        <v>2.8199999999999999E-2</v>
      </c>
    </row>
    <row r="15" spans="1:7" x14ac:dyDescent="0.2">
      <c r="A15" s="1">
        <v>45608</v>
      </c>
      <c r="B15">
        <v>87941.3</v>
      </c>
      <c r="C15">
        <v>88665</v>
      </c>
      <c r="D15">
        <v>89929.600000000006</v>
      </c>
      <c r="E15">
        <v>85122.2</v>
      </c>
      <c r="F15" t="s">
        <v>20</v>
      </c>
      <c r="G15">
        <v>-8.2000000000000007E-3</v>
      </c>
    </row>
    <row r="16" spans="1:7" x14ac:dyDescent="0.2">
      <c r="A16" s="1">
        <v>45607</v>
      </c>
      <c r="B16">
        <v>88664.1</v>
      </c>
      <c r="C16">
        <v>80389</v>
      </c>
      <c r="D16">
        <v>89519</v>
      </c>
      <c r="E16">
        <v>80231.8</v>
      </c>
      <c r="F16" t="s">
        <v>21</v>
      </c>
      <c r="G16">
        <v>0.10290000000000001</v>
      </c>
    </row>
    <row r="17" spans="1:7" x14ac:dyDescent="0.2">
      <c r="A17" s="1">
        <v>45606</v>
      </c>
      <c r="B17">
        <v>80388.5</v>
      </c>
      <c r="C17">
        <v>76681.399999999994</v>
      </c>
      <c r="D17">
        <v>81373.5</v>
      </c>
      <c r="E17">
        <v>76520.5</v>
      </c>
      <c r="F17" t="s">
        <v>22</v>
      </c>
      <c r="G17">
        <v>4.8099999999999997E-2</v>
      </c>
    </row>
    <row r="18" spans="1:7" x14ac:dyDescent="0.2">
      <c r="A18" s="1">
        <v>45605</v>
      </c>
      <c r="B18">
        <v>76700.3</v>
      </c>
      <c r="C18">
        <v>76506.100000000006</v>
      </c>
      <c r="D18">
        <v>76904</v>
      </c>
      <c r="E18">
        <v>75732.5</v>
      </c>
      <c r="F18" t="s">
        <v>23</v>
      </c>
      <c r="G18">
        <v>2.3999999999999998E-3</v>
      </c>
    </row>
    <row r="19" spans="1:7" x14ac:dyDescent="0.2">
      <c r="A19" s="1">
        <v>45604</v>
      </c>
      <c r="B19">
        <v>76517.3</v>
      </c>
      <c r="C19">
        <v>75869.8</v>
      </c>
      <c r="D19">
        <v>77188.5</v>
      </c>
      <c r="E19">
        <v>75599</v>
      </c>
      <c r="F19" t="s">
        <v>24</v>
      </c>
      <c r="G19">
        <v>8.5000000000000006E-3</v>
      </c>
    </row>
    <row r="20" spans="1:7" x14ac:dyDescent="0.2">
      <c r="A20" s="1">
        <v>45603</v>
      </c>
      <c r="B20">
        <v>75868.600000000006</v>
      </c>
      <c r="C20">
        <v>75585.5</v>
      </c>
      <c r="D20">
        <v>76837.8</v>
      </c>
      <c r="E20">
        <v>74448.2</v>
      </c>
      <c r="F20" t="s">
        <v>25</v>
      </c>
      <c r="G20">
        <v>3.7000000000000002E-3</v>
      </c>
    </row>
    <row r="21" spans="1:7" x14ac:dyDescent="0.2">
      <c r="A21" s="1">
        <v>45602</v>
      </c>
      <c r="B21">
        <v>75586.3</v>
      </c>
      <c r="C21">
        <v>69374.100000000006</v>
      </c>
      <c r="D21">
        <v>76401.399999999994</v>
      </c>
      <c r="E21">
        <v>69323</v>
      </c>
      <c r="F21" t="s">
        <v>26</v>
      </c>
      <c r="G21">
        <v>8.9599999999999999E-2</v>
      </c>
    </row>
    <row r="22" spans="1:7" x14ac:dyDescent="0.2">
      <c r="A22" s="1">
        <v>45601</v>
      </c>
      <c r="B22">
        <v>69373.7</v>
      </c>
      <c r="C22">
        <v>67848.3</v>
      </c>
      <c r="D22">
        <v>70495.600000000006</v>
      </c>
      <c r="E22">
        <v>67473.600000000006</v>
      </c>
      <c r="F22" t="s">
        <v>27</v>
      </c>
      <c r="G22">
        <v>2.2499999999999999E-2</v>
      </c>
    </row>
    <row r="23" spans="1:7" x14ac:dyDescent="0.2">
      <c r="A23" s="1">
        <v>45600</v>
      </c>
      <c r="B23">
        <v>67848.800000000003</v>
      </c>
      <c r="C23">
        <v>68770.3</v>
      </c>
      <c r="D23">
        <v>69483.399999999994</v>
      </c>
      <c r="E23">
        <v>66834</v>
      </c>
      <c r="F23" t="s">
        <v>28</v>
      </c>
      <c r="G23">
        <v>-1.34E-2</v>
      </c>
    </row>
    <row r="24" spans="1:7" x14ac:dyDescent="0.2">
      <c r="A24" s="1">
        <v>45599</v>
      </c>
      <c r="B24">
        <v>68769.600000000006</v>
      </c>
      <c r="C24">
        <v>69334.8</v>
      </c>
      <c r="D24">
        <v>69383.600000000006</v>
      </c>
      <c r="E24">
        <v>67514.2</v>
      </c>
      <c r="F24" t="s">
        <v>29</v>
      </c>
      <c r="G24">
        <v>-8.0000000000000002E-3</v>
      </c>
    </row>
    <row r="25" spans="1:7" x14ac:dyDescent="0.2">
      <c r="A25" s="1">
        <v>45598</v>
      </c>
      <c r="B25">
        <v>69325.8</v>
      </c>
      <c r="C25">
        <v>69499.3</v>
      </c>
      <c r="D25">
        <v>69896.899999999994</v>
      </c>
      <c r="E25">
        <v>69029</v>
      </c>
      <c r="F25" t="s">
        <v>30</v>
      </c>
      <c r="G25">
        <v>-2.5999999999999999E-3</v>
      </c>
    </row>
    <row r="26" spans="1:7" x14ac:dyDescent="0.2">
      <c r="A26" s="1">
        <v>45597</v>
      </c>
      <c r="B26">
        <v>69507.199999999997</v>
      </c>
      <c r="C26">
        <v>70278.7</v>
      </c>
      <c r="D26">
        <v>71598.399999999994</v>
      </c>
      <c r="E26">
        <v>68846</v>
      </c>
      <c r="F26" t="s">
        <v>31</v>
      </c>
      <c r="G26">
        <v>-1.0999999999999999E-2</v>
      </c>
    </row>
    <row r="27" spans="1:7" x14ac:dyDescent="0.2">
      <c r="A27" s="1">
        <v>45596</v>
      </c>
      <c r="B27">
        <v>70281.8</v>
      </c>
      <c r="C27">
        <v>72343.7</v>
      </c>
      <c r="D27">
        <v>72685.7</v>
      </c>
      <c r="E27">
        <v>69674.5</v>
      </c>
      <c r="F27" t="s">
        <v>32</v>
      </c>
      <c r="G27">
        <v>-2.86E-2</v>
      </c>
    </row>
    <row r="28" spans="1:7" x14ac:dyDescent="0.2">
      <c r="A28" s="1">
        <v>45595</v>
      </c>
      <c r="B28">
        <v>72347.8</v>
      </c>
      <c r="C28">
        <v>72732.5</v>
      </c>
      <c r="D28">
        <v>72907.399999999994</v>
      </c>
      <c r="E28">
        <v>71460</v>
      </c>
      <c r="F28" t="s">
        <v>33</v>
      </c>
      <c r="G28">
        <v>-5.3E-3</v>
      </c>
    </row>
    <row r="29" spans="1:7" x14ac:dyDescent="0.2">
      <c r="A29" s="1">
        <v>45594</v>
      </c>
      <c r="B29">
        <v>72730.399999999994</v>
      </c>
      <c r="C29">
        <v>69957.2</v>
      </c>
      <c r="D29">
        <v>73569.399999999994</v>
      </c>
      <c r="E29">
        <v>69753.2</v>
      </c>
      <c r="F29" t="s">
        <v>34</v>
      </c>
      <c r="G29">
        <v>3.9699999999999999E-2</v>
      </c>
    </row>
    <row r="30" spans="1:7" x14ac:dyDescent="0.2">
      <c r="A30" s="1">
        <v>45593</v>
      </c>
      <c r="B30">
        <v>69954.100000000006</v>
      </c>
      <c r="C30">
        <v>68011.899999999994</v>
      </c>
      <c r="D30">
        <v>70203.399999999994</v>
      </c>
      <c r="E30">
        <v>67610</v>
      </c>
      <c r="F30" t="s">
        <v>35</v>
      </c>
      <c r="G30">
        <v>2.87E-2</v>
      </c>
    </row>
    <row r="31" spans="1:7" x14ac:dyDescent="0.2">
      <c r="A31" s="1">
        <v>45592</v>
      </c>
      <c r="B31">
        <v>68004.600000000006</v>
      </c>
      <c r="C31">
        <v>67084.7</v>
      </c>
      <c r="D31">
        <v>68308</v>
      </c>
      <c r="E31">
        <v>66924.600000000006</v>
      </c>
      <c r="F31" t="s">
        <v>36</v>
      </c>
      <c r="G31">
        <v>1.37E-2</v>
      </c>
    </row>
    <row r="32" spans="1:7" x14ac:dyDescent="0.2">
      <c r="A32" s="1">
        <v>45591</v>
      </c>
      <c r="B32">
        <v>67086.8</v>
      </c>
      <c r="C32">
        <v>66694.5</v>
      </c>
      <c r="D32">
        <v>67408.399999999994</v>
      </c>
      <c r="E32">
        <v>66443.8</v>
      </c>
      <c r="F32" t="s">
        <v>37</v>
      </c>
      <c r="G32">
        <v>5.7999999999999996E-3</v>
      </c>
    </row>
    <row r="33" spans="1:7" x14ac:dyDescent="0.2">
      <c r="A33" s="1">
        <v>45590</v>
      </c>
      <c r="B33">
        <v>66696.800000000003</v>
      </c>
      <c r="C33">
        <v>68191.899999999994</v>
      </c>
      <c r="D33">
        <v>68756.800000000003</v>
      </c>
      <c r="E33">
        <v>65644.2</v>
      </c>
      <c r="F33" t="s">
        <v>38</v>
      </c>
      <c r="G33">
        <v>-2.1899999999999999E-2</v>
      </c>
    </row>
    <row r="34" spans="1:7" x14ac:dyDescent="0.2">
      <c r="A34" s="1">
        <v>45589</v>
      </c>
      <c r="B34">
        <v>68191.5</v>
      </c>
      <c r="C34">
        <v>66659.199999999997</v>
      </c>
      <c r="D34">
        <v>68831.8</v>
      </c>
      <c r="E34">
        <v>66510.600000000006</v>
      </c>
      <c r="F34" t="s">
        <v>39</v>
      </c>
      <c r="G34">
        <v>2.29E-2</v>
      </c>
    </row>
    <row r="35" spans="1:7" x14ac:dyDescent="0.2">
      <c r="A35" s="1">
        <v>45588</v>
      </c>
      <c r="B35">
        <v>66663.7</v>
      </c>
      <c r="C35">
        <v>67428.600000000006</v>
      </c>
      <c r="D35">
        <v>67441.100000000006</v>
      </c>
      <c r="E35">
        <v>65246.7</v>
      </c>
      <c r="F35" t="s">
        <v>40</v>
      </c>
      <c r="G35">
        <v>-1.1299999999999999E-2</v>
      </c>
    </row>
    <row r="36" spans="1:7" x14ac:dyDescent="0.2">
      <c r="A36" s="1">
        <v>45587</v>
      </c>
      <c r="B36">
        <v>67427.3</v>
      </c>
      <c r="C36">
        <v>67370.8</v>
      </c>
      <c r="D36">
        <v>67815.3</v>
      </c>
      <c r="E36">
        <v>66609.399999999994</v>
      </c>
      <c r="F36" t="s">
        <v>41</v>
      </c>
      <c r="G36">
        <v>8.0000000000000004E-4</v>
      </c>
    </row>
    <row r="37" spans="1:7" x14ac:dyDescent="0.2">
      <c r="A37" s="1">
        <v>45586</v>
      </c>
      <c r="B37">
        <v>67371.3</v>
      </c>
      <c r="C37">
        <v>69030.5</v>
      </c>
      <c r="D37">
        <v>69490.8</v>
      </c>
      <c r="E37">
        <v>66845.5</v>
      </c>
      <c r="F37" t="s">
        <v>42</v>
      </c>
      <c r="G37">
        <v>-2.4E-2</v>
      </c>
    </row>
    <row r="38" spans="1:7" x14ac:dyDescent="0.2">
      <c r="A38" s="1">
        <v>45585</v>
      </c>
      <c r="B38">
        <v>69030.5</v>
      </c>
      <c r="C38">
        <v>68373.3</v>
      </c>
      <c r="D38">
        <v>69386.399999999994</v>
      </c>
      <c r="E38">
        <v>67443.899999999994</v>
      </c>
      <c r="F38" t="s">
        <v>43</v>
      </c>
      <c r="G38">
        <v>9.5999999999999992E-3</v>
      </c>
    </row>
    <row r="39" spans="1:7" x14ac:dyDescent="0.2">
      <c r="A39" s="1">
        <v>45584</v>
      </c>
      <c r="B39">
        <v>68372</v>
      </c>
      <c r="C39">
        <v>68426.399999999994</v>
      </c>
      <c r="D39">
        <v>68688.800000000003</v>
      </c>
      <c r="E39">
        <v>68025.5</v>
      </c>
      <c r="F39" t="s">
        <v>44</v>
      </c>
      <c r="G39">
        <v>-6.9999999999999999E-4</v>
      </c>
    </row>
    <row r="40" spans="1:7" x14ac:dyDescent="0.2">
      <c r="A40" s="1">
        <v>45583</v>
      </c>
      <c r="B40">
        <v>68423.100000000006</v>
      </c>
      <c r="C40">
        <v>67416.5</v>
      </c>
      <c r="D40">
        <v>68990.3</v>
      </c>
      <c r="E40">
        <v>67190.899999999994</v>
      </c>
      <c r="F40" t="s">
        <v>45</v>
      </c>
      <c r="G40">
        <v>1.49E-2</v>
      </c>
    </row>
    <row r="41" spans="1:7" x14ac:dyDescent="0.2">
      <c r="A41" s="1">
        <v>45582</v>
      </c>
      <c r="B41">
        <v>67418.399999999994</v>
      </c>
      <c r="C41">
        <v>67618.100000000006</v>
      </c>
      <c r="D41">
        <v>67933.5</v>
      </c>
      <c r="E41">
        <v>66677.3</v>
      </c>
      <c r="F41" t="s">
        <v>46</v>
      </c>
      <c r="G41">
        <v>-3.0000000000000001E-3</v>
      </c>
    </row>
    <row r="42" spans="1:7" x14ac:dyDescent="0.2">
      <c r="A42" s="1">
        <v>45581</v>
      </c>
      <c r="B42">
        <v>67617.899999999994</v>
      </c>
      <c r="C42">
        <v>67075.100000000006</v>
      </c>
      <c r="D42">
        <v>68389.399999999994</v>
      </c>
      <c r="E42">
        <v>66766.600000000006</v>
      </c>
      <c r="F42" t="s">
        <v>47</v>
      </c>
      <c r="G42">
        <v>8.0999999999999996E-3</v>
      </c>
    </row>
    <row r="43" spans="1:7" x14ac:dyDescent="0.2">
      <c r="A43" s="1">
        <v>45580</v>
      </c>
      <c r="B43">
        <v>67077.5</v>
      </c>
      <c r="C43">
        <v>66084.100000000006</v>
      </c>
      <c r="D43">
        <v>67821.899999999994</v>
      </c>
      <c r="E43">
        <v>64850.6</v>
      </c>
      <c r="F43" t="s">
        <v>48</v>
      </c>
      <c r="G43">
        <v>1.5100000000000001E-2</v>
      </c>
    </row>
    <row r="44" spans="1:7" x14ac:dyDescent="0.2">
      <c r="A44" s="1">
        <v>45579</v>
      </c>
      <c r="B44">
        <v>66081.7</v>
      </c>
      <c r="C44">
        <v>62870.7</v>
      </c>
      <c r="D44">
        <v>66476.600000000006</v>
      </c>
      <c r="E44">
        <v>62463.7</v>
      </c>
      <c r="F44" t="s">
        <v>49</v>
      </c>
      <c r="G44">
        <v>5.11E-2</v>
      </c>
    </row>
    <row r="45" spans="1:7" x14ac:dyDescent="0.2">
      <c r="A45" s="1">
        <v>45578</v>
      </c>
      <c r="B45">
        <v>62870.9</v>
      </c>
      <c r="C45">
        <v>63205.4</v>
      </c>
      <c r="D45">
        <v>63284.6</v>
      </c>
      <c r="E45">
        <v>62054.2</v>
      </c>
      <c r="F45" t="s">
        <v>50</v>
      </c>
      <c r="G45">
        <v>-5.3E-3</v>
      </c>
    </row>
    <row r="46" spans="1:7" x14ac:dyDescent="0.2">
      <c r="A46" s="1">
        <v>45577</v>
      </c>
      <c r="B46">
        <v>63205.1</v>
      </c>
      <c r="C46">
        <v>62506.6</v>
      </c>
      <c r="D46">
        <v>63463.1</v>
      </c>
      <c r="E46">
        <v>62486.1</v>
      </c>
      <c r="F46" t="s">
        <v>51</v>
      </c>
      <c r="G46">
        <v>1.1299999999999999E-2</v>
      </c>
    </row>
    <row r="47" spans="1:7" x14ac:dyDescent="0.2">
      <c r="A47" s="1">
        <v>45576</v>
      </c>
      <c r="B47">
        <v>62499.4</v>
      </c>
      <c r="C47">
        <v>60317.5</v>
      </c>
      <c r="D47">
        <v>63385.1</v>
      </c>
      <c r="E47">
        <v>60080.6</v>
      </c>
      <c r="F47" t="s">
        <v>52</v>
      </c>
      <c r="G47">
        <v>3.6200000000000003E-2</v>
      </c>
    </row>
    <row r="48" spans="1:7" x14ac:dyDescent="0.2">
      <c r="A48" s="1">
        <v>45575</v>
      </c>
      <c r="B48">
        <v>60316.2</v>
      </c>
      <c r="C48">
        <v>60628.9</v>
      </c>
      <c r="D48">
        <v>61304.6</v>
      </c>
      <c r="E48">
        <v>59075.7</v>
      </c>
      <c r="F48" t="s">
        <v>53</v>
      </c>
      <c r="G48">
        <v>-5.1999999999999998E-3</v>
      </c>
    </row>
    <row r="49" spans="1:7" x14ac:dyDescent="0.2">
      <c r="A49" s="1">
        <v>45574</v>
      </c>
      <c r="B49">
        <v>60628.800000000003</v>
      </c>
      <c r="C49">
        <v>62157</v>
      </c>
      <c r="D49">
        <v>62537</v>
      </c>
      <c r="E49">
        <v>60355.5</v>
      </c>
      <c r="F49" t="s">
        <v>54</v>
      </c>
      <c r="G49">
        <v>-2.46E-2</v>
      </c>
    </row>
    <row r="50" spans="1:7" x14ac:dyDescent="0.2">
      <c r="A50" s="1">
        <v>45573</v>
      </c>
      <c r="B50">
        <v>62157</v>
      </c>
      <c r="C50">
        <v>62226.9</v>
      </c>
      <c r="D50">
        <v>63196.6</v>
      </c>
      <c r="E50">
        <v>61883.199999999997</v>
      </c>
      <c r="F50" t="s">
        <v>55</v>
      </c>
      <c r="G50">
        <v>-1.4E-3</v>
      </c>
    </row>
    <row r="51" spans="1:7" x14ac:dyDescent="0.2">
      <c r="A51" s="1">
        <v>45572</v>
      </c>
      <c r="B51">
        <v>62245.599999999999</v>
      </c>
      <c r="C51">
        <v>62819.8</v>
      </c>
      <c r="D51">
        <v>64449.3</v>
      </c>
      <c r="E51">
        <v>62175.8</v>
      </c>
      <c r="F51" t="s">
        <v>56</v>
      </c>
      <c r="G51">
        <v>-9.1000000000000004E-3</v>
      </c>
    </row>
    <row r="52" spans="1:7" x14ac:dyDescent="0.2">
      <c r="A52" s="1">
        <v>45571</v>
      </c>
      <c r="B52">
        <v>62819.4</v>
      </c>
      <c r="C52">
        <v>62062</v>
      </c>
      <c r="D52">
        <v>62934.5</v>
      </c>
      <c r="E52">
        <v>61495.4</v>
      </c>
      <c r="F52" t="s">
        <v>57</v>
      </c>
      <c r="G52">
        <v>1.2200000000000001E-2</v>
      </c>
    </row>
    <row r="53" spans="1:7" x14ac:dyDescent="0.2">
      <c r="A53" s="1">
        <v>45570</v>
      </c>
      <c r="B53">
        <v>62061.4</v>
      </c>
      <c r="C53">
        <v>62085.5</v>
      </c>
      <c r="D53">
        <v>62366.8</v>
      </c>
      <c r="E53">
        <v>61705.7</v>
      </c>
      <c r="F53" t="s">
        <v>58</v>
      </c>
      <c r="G53">
        <v>-2.9999999999999997E-4</v>
      </c>
    </row>
    <row r="54" spans="1:7" x14ac:dyDescent="0.2">
      <c r="A54" s="1">
        <v>45569</v>
      </c>
      <c r="B54">
        <v>62081</v>
      </c>
      <c r="C54">
        <v>60751.4</v>
      </c>
      <c r="D54">
        <v>62471.7</v>
      </c>
      <c r="E54">
        <v>60469.3</v>
      </c>
      <c r="F54" t="s">
        <v>59</v>
      </c>
      <c r="G54">
        <v>2.1899999999999999E-2</v>
      </c>
    </row>
    <row r="55" spans="1:7" x14ac:dyDescent="0.2">
      <c r="A55" s="1">
        <v>45568</v>
      </c>
      <c r="B55">
        <v>60751.199999999997</v>
      </c>
      <c r="C55">
        <v>60642</v>
      </c>
      <c r="D55">
        <v>61468.9</v>
      </c>
      <c r="E55">
        <v>59904.4</v>
      </c>
      <c r="F55" t="s">
        <v>60</v>
      </c>
      <c r="G55">
        <v>1.6999999999999999E-3</v>
      </c>
    </row>
    <row r="56" spans="1:7" x14ac:dyDescent="0.2">
      <c r="A56" s="1">
        <v>45567</v>
      </c>
      <c r="B56">
        <v>60645.7</v>
      </c>
      <c r="C56">
        <v>60834.2</v>
      </c>
      <c r="D56">
        <v>62339.8</v>
      </c>
      <c r="E56">
        <v>60002.7</v>
      </c>
      <c r="F56" t="s">
        <v>61</v>
      </c>
      <c r="G56">
        <v>-3.0999999999999999E-3</v>
      </c>
    </row>
    <row r="57" spans="1:7" x14ac:dyDescent="0.2">
      <c r="A57" s="1">
        <v>45566</v>
      </c>
      <c r="B57">
        <v>60835.5</v>
      </c>
      <c r="C57">
        <v>63329.9</v>
      </c>
      <c r="D57">
        <v>64125.3</v>
      </c>
      <c r="E57">
        <v>60195.9</v>
      </c>
      <c r="F57" t="s">
        <v>62</v>
      </c>
      <c r="G57">
        <v>-3.95E-2</v>
      </c>
    </row>
    <row r="58" spans="1:7" x14ac:dyDescent="0.2">
      <c r="A58" s="1">
        <v>45565</v>
      </c>
      <c r="B58">
        <v>63339.199999999997</v>
      </c>
      <c r="C58">
        <v>65607</v>
      </c>
      <c r="D58">
        <v>65607</v>
      </c>
      <c r="E58">
        <v>62901.1</v>
      </c>
      <c r="F58" t="s">
        <v>63</v>
      </c>
      <c r="G58">
        <v>-3.4599999999999999E-2</v>
      </c>
    </row>
    <row r="59" spans="1:7" x14ac:dyDescent="0.2">
      <c r="A59" s="1">
        <v>45564</v>
      </c>
      <c r="B59">
        <v>65607.100000000006</v>
      </c>
      <c r="C59">
        <v>65862.8</v>
      </c>
      <c r="D59">
        <v>66065.7</v>
      </c>
      <c r="E59">
        <v>65436.800000000003</v>
      </c>
      <c r="F59" t="s">
        <v>64</v>
      </c>
      <c r="G59">
        <v>-3.8999999999999998E-3</v>
      </c>
    </row>
    <row r="60" spans="1:7" x14ac:dyDescent="0.2">
      <c r="A60" s="1">
        <v>45563</v>
      </c>
      <c r="B60">
        <v>65866.5</v>
      </c>
      <c r="C60">
        <v>65775.600000000006</v>
      </c>
      <c r="D60">
        <v>66232.5</v>
      </c>
      <c r="E60">
        <v>65438.1</v>
      </c>
      <c r="F60" t="s">
        <v>65</v>
      </c>
      <c r="G60">
        <v>1.4E-3</v>
      </c>
    </row>
    <row r="61" spans="1:7" x14ac:dyDescent="0.2">
      <c r="A61" s="1">
        <v>45562</v>
      </c>
      <c r="B61">
        <v>65776.3</v>
      </c>
      <c r="C61">
        <v>65168.800000000003</v>
      </c>
      <c r="D61">
        <v>66440.7</v>
      </c>
      <c r="E61">
        <v>64839.199999999997</v>
      </c>
      <c r="F61" t="s">
        <v>66</v>
      </c>
      <c r="G61">
        <v>9.1999999999999998E-3</v>
      </c>
    </row>
    <row r="62" spans="1:7" x14ac:dyDescent="0.2">
      <c r="A62" s="1">
        <v>45561</v>
      </c>
      <c r="B62">
        <v>65175.7</v>
      </c>
      <c r="C62">
        <v>63157.2</v>
      </c>
      <c r="D62">
        <v>65770.899999999994</v>
      </c>
      <c r="E62">
        <v>62693.3</v>
      </c>
      <c r="F62" t="s">
        <v>67</v>
      </c>
      <c r="G62">
        <v>3.2000000000000001E-2</v>
      </c>
    </row>
    <row r="63" spans="1:7" x14ac:dyDescent="0.2">
      <c r="A63" s="1">
        <v>45560</v>
      </c>
      <c r="B63">
        <v>63156.5</v>
      </c>
      <c r="C63">
        <v>64262.9</v>
      </c>
      <c r="D63">
        <v>64788.4</v>
      </c>
      <c r="E63">
        <v>62952.800000000003</v>
      </c>
      <c r="F63" t="s">
        <v>68</v>
      </c>
      <c r="G63">
        <v>-1.7100000000000001E-2</v>
      </c>
    </row>
    <row r="64" spans="1:7" x14ac:dyDescent="0.2">
      <c r="A64" s="1">
        <v>45559</v>
      </c>
      <c r="B64">
        <v>64256.800000000003</v>
      </c>
      <c r="C64">
        <v>63335.9</v>
      </c>
      <c r="D64">
        <v>64664.1</v>
      </c>
      <c r="E64">
        <v>62740.800000000003</v>
      </c>
      <c r="F64" t="s">
        <v>69</v>
      </c>
      <c r="G64">
        <v>1.46E-2</v>
      </c>
    </row>
    <row r="65" spans="1:7" x14ac:dyDescent="0.2">
      <c r="A65" s="1">
        <v>45558</v>
      </c>
      <c r="B65">
        <v>63331.8</v>
      </c>
      <c r="C65">
        <v>63575.4</v>
      </c>
      <c r="D65">
        <v>64723.4</v>
      </c>
      <c r="E65">
        <v>62650</v>
      </c>
      <c r="F65" t="s">
        <v>70</v>
      </c>
      <c r="G65">
        <v>-3.8E-3</v>
      </c>
    </row>
    <row r="66" spans="1:7" x14ac:dyDescent="0.2">
      <c r="A66" s="1">
        <v>45557</v>
      </c>
      <c r="B66">
        <v>63572.7</v>
      </c>
      <c r="C66">
        <v>63351.199999999997</v>
      </c>
      <c r="D66">
        <v>63998.2</v>
      </c>
      <c r="E66">
        <v>62394.6</v>
      </c>
      <c r="F66" t="s">
        <v>71</v>
      </c>
      <c r="G66">
        <v>3.5000000000000001E-3</v>
      </c>
    </row>
    <row r="67" spans="1:7" x14ac:dyDescent="0.2">
      <c r="A67" s="1">
        <v>45556</v>
      </c>
      <c r="B67">
        <v>63348.1</v>
      </c>
      <c r="C67">
        <v>63201.2</v>
      </c>
      <c r="D67">
        <v>63526.3</v>
      </c>
      <c r="E67">
        <v>62778.6</v>
      </c>
      <c r="F67" t="s">
        <v>72</v>
      </c>
      <c r="G67">
        <v>2.3E-3</v>
      </c>
    </row>
    <row r="68" spans="1:7" x14ac:dyDescent="0.2">
      <c r="A68" s="1">
        <v>45555</v>
      </c>
      <c r="B68">
        <v>63201.2</v>
      </c>
      <c r="C68">
        <v>62942.400000000001</v>
      </c>
      <c r="D68">
        <v>64085.1</v>
      </c>
      <c r="E68">
        <v>62367.1</v>
      </c>
      <c r="F68" t="s">
        <v>73</v>
      </c>
      <c r="G68">
        <v>4.1999999999999997E-3</v>
      </c>
    </row>
    <row r="69" spans="1:7" x14ac:dyDescent="0.2">
      <c r="A69" s="1">
        <v>45554</v>
      </c>
      <c r="B69">
        <v>62938.6</v>
      </c>
      <c r="C69">
        <v>61754.8</v>
      </c>
      <c r="D69">
        <v>63849.599999999999</v>
      </c>
      <c r="E69">
        <v>61596.5</v>
      </c>
      <c r="F69" t="s">
        <v>74</v>
      </c>
      <c r="G69">
        <v>1.9099999999999999E-2</v>
      </c>
    </row>
    <row r="70" spans="1:7" x14ac:dyDescent="0.2">
      <c r="A70" s="1">
        <v>45553</v>
      </c>
      <c r="B70">
        <v>61757.599999999999</v>
      </c>
      <c r="C70">
        <v>60308.5</v>
      </c>
      <c r="D70">
        <v>61757.599999999999</v>
      </c>
      <c r="E70">
        <v>59210.7</v>
      </c>
      <c r="F70" t="s">
        <v>75</v>
      </c>
      <c r="G70">
        <v>2.4E-2</v>
      </c>
    </row>
    <row r="71" spans="1:7" x14ac:dyDescent="0.2">
      <c r="A71" s="1">
        <v>45552</v>
      </c>
      <c r="B71">
        <v>60309.1</v>
      </c>
      <c r="C71">
        <v>58213.1</v>
      </c>
      <c r="D71">
        <v>61309</v>
      </c>
      <c r="E71">
        <v>57630.2</v>
      </c>
      <c r="F71" t="s">
        <v>76</v>
      </c>
      <c r="G71">
        <v>3.5999999999999997E-2</v>
      </c>
    </row>
    <row r="72" spans="1:7" x14ac:dyDescent="0.2">
      <c r="A72" s="1">
        <v>45551</v>
      </c>
      <c r="B72">
        <v>58213.1</v>
      </c>
      <c r="C72">
        <v>59126.2</v>
      </c>
      <c r="D72">
        <v>59204.3</v>
      </c>
      <c r="E72">
        <v>57527.8</v>
      </c>
      <c r="F72" t="s">
        <v>77</v>
      </c>
      <c r="G72">
        <v>-1.5599999999999999E-2</v>
      </c>
    </row>
    <row r="73" spans="1:7" x14ac:dyDescent="0.2">
      <c r="A73" s="1">
        <v>45550</v>
      </c>
      <c r="B73">
        <v>59138.5</v>
      </c>
      <c r="C73">
        <v>59995.6</v>
      </c>
      <c r="D73">
        <v>60377.599999999999</v>
      </c>
      <c r="E73">
        <v>58717.9</v>
      </c>
      <c r="F73" t="s">
        <v>78</v>
      </c>
      <c r="G73">
        <v>-1.43E-2</v>
      </c>
    </row>
    <row r="74" spans="1:7" x14ac:dyDescent="0.2">
      <c r="A74" s="1">
        <v>45549</v>
      </c>
      <c r="B74">
        <v>59995.4</v>
      </c>
      <c r="C74">
        <v>60514.8</v>
      </c>
      <c r="D74">
        <v>60609.4</v>
      </c>
      <c r="E74">
        <v>59494.3</v>
      </c>
      <c r="F74" t="s">
        <v>79</v>
      </c>
      <c r="G74">
        <v>-8.5000000000000006E-3</v>
      </c>
    </row>
    <row r="75" spans="1:7" x14ac:dyDescent="0.2">
      <c r="A75" s="1">
        <v>45548</v>
      </c>
      <c r="B75">
        <v>60511.6</v>
      </c>
      <c r="C75">
        <v>58134.400000000001</v>
      </c>
      <c r="D75">
        <v>60625.4</v>
      </c>
      <c r="E75">
        <v>57656.800000000003</v>
      </c>
      <c r="F75" t="s">
        <v>80</v>
      </c>
      <c r="G75">
        <v>4.0899999999999999E-2</v>
      </c>
    </row>
    <row r="76" spans="1:7" x14ac:dyDescent="0.2">
      <c r="A76" s="1">
        <v>45547</v>
      </c>
      <c r="B76">
        <v>58134.5</v>
      </c>
      <c r="C76">
        <v>57335.5</v>
      </c>
      <c r="D76">
        <v>58484.1</v>
      </c>
      <c r="E76">
        <v>57329.599999999999</v>
      </c>
      <c r="F76" t="s">
        <v>81</v>
      </c>
      <c r="G76">
        <v>1.3899999999999999E-2</v>
      </c>
    </row>
    <row r="77" spans="1:7" x14ac:dyDescent="0.2">
      <c r="A77" s="1">
        <v>45546</v>
      </c>
      <c r="B77">
        <v>57338.7</v>
      </c>
      <c r="C77">
        <v>57638</v>
      </c>
      <c r="D77">
        <v>57975.9</v>
      </c>
      <c r="E77">
        <v>55576.6</v>
      </c>
      <c r="F77" t="s">
        <v>82</v>
      </c>
      <c r="G77">
        <v>-5.1000000000000004E-3</v>
      </c>
    </row>
    <row r="78" spans="1:7" x14ac:dyDescent="0.2">
      <c r="A78" s="1">
        <v>45545</v>
      </c>
      <c r="B78">
        <v>57635</v>
      </c>
      <c r="C78">
        <v>57045.599999999999</v>
      </c>
      <c r="D78">
        <v>58019.9</v>
      </c>
      <c r="E78">
        <v>56415.3</v>
      </c>
      <c r="F78" t="s">
        <v>83</v>
      </c>
      <c r="G78">
        <v>1.03E-2</v>
      </c>
    </row>
    <row r="79" spans="1:7" x14ac:dyDescent="0.2">
      <c r="A79" s="1">
        <v>45544</v>
      </c>
      <c r="B79">
        <v>57049.599999999999</v>
      </c>
      <c r="C79">
        <v>54868</v>
      </c>
      <c r="D79">
        <v>57956.7</v>
      </c>
      <c r="E79">
        <v>54595.4</v>
      </c>
      <c r="F79" t="s">
        <v>84</v>
      </c>
      <c r="G79">
        <v>3.9899999999999998E-2</v>
      </c>
    </row>
    <row r="80" spans="1:7" x14ac:dyDescent="0.2">
      <c r="A80" s="1">
        <v>45543</v>
      </c>
      <c r="B80">
        <v>54861.3</v>
      </c>
      <c r="C80">
        <v>54161.4</v>
      </c>
      <c r="D80">
        <v>55292.7</v>
      </c>
      <c r="E80">
        <v>53642.400000000001</v>
      </c>
      <c r="F80" t="s">
        <v>85</v>
      </c>
      <c r="G80">
        <v>1.2999999999999999E-2</v>
      </c>
    </row>
    <row r="81" spans="1:7" x14ac:dyDescent="0.2">
      <c r="A81" s="1">
        <v>45542</v>
      </c>
      <c r="B81">
        <v>54156.5</v>
      </c>
      <c r="C81">
        <v>53965</v>
      </c>
      <c r="D81">
        <v>54819.199999999997</v>
      </c>
      <c r="E81">
        <v>53754.3</v>
      </c>
      <c r="F81" t="s">
        <v>86</v>
      </c>
      <c r="G81">
        <v>3.5000000000000001E-3</v>
      </c>
    </row>
    <row r="82" spans="1:7" x14ac:dyDescent="0.2">
      <c r="A82" s="1">
        <v>45541</v>
      </c>
      <c r="B82">
        <v>53966.8</v>
      </c>
      <c r="C82">
        <v>56179.7</v>
      </c>
      <c r="D82">
        <v>56969.1</v>
      </c>
      <c r="E82">
        <v>52644.6</v>
      </c>
      <c r="F82" t="s">
        <v>87</v>
      </c>
      <c r="G82">
        <v>-3.9399999999999998E-2</v>
      </c>
    </row>
    <row r="83" spans="1:7" x14ac:dyDescent="0.2">
      <c r="A83" s="1">
        <v>45540</v>
      </c>
      <c r="B83">
        <v>56183.199999999997</v>
      </c>
      <c r="C83">
        <v>57970.7</v>
      </c>
      <c r="D83">
        <v>58318.9</v>
      </c>
      <c r="E83">
        <v>55744.6</v>
      </c>
      <c r="F83" t="s">
        <v>88</v>
      </c>
      <c r="G83">
        <v>-3.09E-2</v>
      </c>
    </row>
    <row r="84" spans="1:7" x14ac:dyDescent="0.2">
      <c r="A84" s="1">
        <v>45539</v>
      </c>
      <c r="B84">
        <v>57973.4</v>
      </c>
      <c r="C84">
        <v>57490.400000000001</v>
      </c>
      <c r="D84">
        <v>58508.800000000003</v>
      </c>
      <c r="E84">
        <v>55732.1</v>
      </c>
      <c r="F84" t="s">
        <v>89</v>
      </c>
      <c r="G84">
        <v>8.6E-3</v>
      </c>
    </row>
    <row r="85" spans="1:7" x14ac:dyDescent="0.2">
      <c r="A85" s="1">
        <v>45538</v>
      </c>
      <c r="B85">
        <v>57479.8</v>
      </c>
      <c r="C85">
        <v>59133.7</v>
      </c>
      <c r="D85">
        <v>59799.7</v>
      </c>
      <c r="E85">
        <v>57436.9</v>
      </c>
      <c r="F85" t="s">
        <v>90</v>
      </c>
      <c r="G85">
        <v>-2.8000000000000001E-2</v>
      </c>
    </row>
    <row r="86" spans="1:7" x14ac:dyDescent="0.2">
      <c r="A86" s="1">
        <v>45537</v>
      </c>
      <c r="B86">
        <v>59134</v>
      </c>
      <c r="C86">
        <v>57309</v>
      </c>
      <c r="D86">
        <v>59416.6</v>
      </c>
      <c r="E86">
        <v>57185.8</v>
      </c>
      <c r="F86" t="s">
        <v>91</v>
      </c>
      <c r="G86">
        <v>3.1699999999999999E-2</v>
      </c>
    </row>
    <row r="87" spans="1:7" x14ac:dyDescent="0.2">
      <c r="A87" s="1">
        <v>45536</v>
      </c>
      <c r="B87">
        <v>57315.7</v>
      </c>
      <c r="C87">
        <v>58975.7</v>
      </c>
      <c r="D87">
        <v>59058.7</v>
      </c>
      <c r="E87">
        <v>57232.4</v>
      </c>
      <c r="F87" t="s">
        <v>92</v>
      </c>
      <c r="G87">
        <v>-2.8199999999999999E-2</v>
      </c>
    </row>
    <row r="88" spans="1:7" x14ac:dyDescent="0.2">
      <c r="A88" s="1">
        <v>45535</v>
      </c>
      <c r="B88">
        <v>58978.6</v>
      </c>
      <c r="C88">
        <v>59120.4</v>
      </c>
      <c r="D88">
        <v>59447</v>
      </c>
      <c r="E88">
        <v>58761.1</v>
      </c>
      <c r="F88" t="s">
        <v>93</v>
      </c>
      <c r="G88">
        <v>-2.3999999999999998E-3</v>
      </c>
    </row>
    <row r="89" spans="1:7" x14ac:dyDescent="0.2">
      <c r="A89" s="1">
        <v>45534</v>
      </c>
      <c r="B89">
        <v>59119.7</v>
      </c>
      <c r="C89">
        <v>59371.7</v>
      </c>
      <c r="D89">
        <v>59817.599999999999</v>
      </c>
      <c r="E89">
        <v>57874.7</v>
      </c>
      <c r="F89" t="s">
        <v>94</v>
      </c>
      <c r="G89">
        <v>-4.3E-3</v>
      </c>
    </row>
    <row r="90" spans="1:7" x14ac:dyDescent="0.2">
      <c r="A90" s="1">
        <v>45533</v>
      </c>
      <c r="B90">
        <v>59373.5</v>
      </c>
      <c r="C90">
        <v>59027.3</v>
      </c>
      <c r="D90">
        <v>61150.6</v>
      </c>
      <c r="E90">
        <v>58807.1</v>
      </c>
      <c r="F90" t="s">
        <v>95</v>
      </c>
      <c r="G90">
        <v>6.1000000000000004E-3</v>
      </c>
    </row>
    <row r="91" spans="1:7" x14ac:dyDescent="0.2">
      <c r="A91" s="1">
        <v>45532</v>
      </c>
      <c r="B91">
        <v>59016</v>
      </c>
      <c r="C91">
        <v>59425.599999999999</v>
      </c>
      <c r="D91">
        <v>60198.400000000001</v>
      </c>
      <c r="E91">
        <v>57912.1</v>
      </c>
      <c r="F91" t="s">
        <v>96</v>
      </c>
      <c r="G91">
        <v>-7.3000000000000001E-3</v>
      </c>
    </row>
    <row r="92" spans="1:7" x14ac:dyDescent="0.2">
      <c r="A92" s="1">
        <v>45531</v>
      </c>
      <c r="B92">
        <v>59450.9</v>
      </c>
      <c r="C92">
        <v>62832.2</v>
      </c>
      <c r="D92">
        <v>63201.4</v>
      </c>
      <c r="E92">
        <v>58187.3</v>
      </c>
      <c r="F92" t="s">
        <v>97</v>
      </c>
      <c r="G92">
        <v>-5.3999999999999999E-2</v>
      </c>
    </row>
    <row r="93" spans="1:7" x14ac:dyDescent="0.2">
      <c r="A93" s="1">
        <v>45530</v>
      </c>
      <c r="B93">
        <v>62846.2</v>
      </c>
      <c r="C93">
        <v>64240.7</v>
      </c>
      <c r="D93">
        <v>64472.5</v>
      </c>
      <c r="E93">
        <v>62841.1</v>
      </c>
      <c r="F93" t="s">
        <v>98</v>
      </c>
      <c r="G93">
        <v>-2.2200000000000001E-2</v>
      </c>
    </row>
    <row r="94" spans="1:7" x14ac:dyDescent="0.2">
      <c r="A94" s="1">
        <v>45529</v>
      </c>
      <c r="B94">
        <v>64273.2</v>
      </c>
      <c r="C94">
        <v>64160.7</v>
      </c>
      <c r="D94">
        <v>64939.199999999997</v>
      </c>
      <c r="E94">
        <v>63796.6</v>
      </c>
      <c r="F94" t="s">
        <v>99</v>
      </c>
      <c r="G94">
        <v>1.8E-3</v>
      </c>
    </row>
    <row r="95" spans="1:7" x14ac:dyDescent="0.2">
      <c r="A95" s="1">
        <v>45528</v>
      </c>
      <c r="B95">
        <v>64159.3</v>
      </c>
      <c r="C95">
        <v>64061.7</v>
      </c>
      <c r="D95">
        <v>64458.9</v>
      </c>
      <c r="E95">
        <v>63579.5</v>
      </c>
      <c r="F95" t="s">
        <v>100</v>
      </c>
      <c r="G95">
        <v>1.6999999999999999E-3</v>
      </c>
    </row>
    <row r="96" spans="1:7" x14ac:dyDescent="0.2">
      <c r="A96" s="1">
        <v>45527</v>
      </c>
      <c r="B96">
        <v>64053.1</v>
      </c>
      <c r="C96">
        <v>60374.7</v>
      </c>
      <c r="D96">
        <v>64830.1</v>
      </c>
      <c r="E96">
        <v>60354.400000000001</v>
      </c>
      <c r="F96" t="s">
        <v>101</v>
      </c>
      <c r="G96">
        <v>6.0999999999999999E-2</v>
      </c>
    </row>
    <row r="97" spans="1:7" x14ac:dyDescent="0.2">
      <c r="A97" s="1">
        <v>45526</v>
      </c>
      <c r="B97">
        <v>60372.2</v>
      </c>
      <c r="C97">
        <v>61158.3</v>
      </c>
      <c r="D97">
        <v>61399.7</v>
      </c>
      <c r="E97">
        <v>59815.8</v>
      </c>
      <c r="F97" t="s">
        <v>102</v>
      </c>
      <c r="G97">
        <v>-1.29E-2</v>
      </c>
    </row>
    <row r="98" spans="1:7" x14ac:dyDescent="0.2">
      <c r="A98" s="1">
        <v>45525</v>
      </c>
      <c r="B98">
        <v>61158.1</v>
      </c>
      <c r="C98">
        <v>59010</v>
      </c>
      <c r="D98">
        <v>61812</v>
      </c>
      <c r="E98">
        <v>58831.1</v>
      </c>
      <c r="F98" t="s">
        <v>103</v>
      </c>
      <c r="G98">
        <v>3.6499999999999998E-2</v>
      </c>
    </row>
    <row r="99" spans="1:7" x14ac:dyDescent="0.2">
      <c r="A99" s="1">
        <v>45524</v>
      </c>
      <c r="B99">
        <v>59005.8</v>
      </c>
      <c r="C99">
        <v>59470.3</v>
      </c>
      <c r="D99">
        <v>61331.6</v>
      </c>
      <c r="E99">
        <v>58612</v>
      </c>
      <c r="F99" t="s">
        <v>104</v>
      </c>
      <c r="G99">
        <v>-7.7999999999999996E-3</v>
      </c>
    </row>
    <row r="100" spans="1:7" x14ac:dyDescent="0.2">
      <c r="A100" s="1">
        <v>45523</v>
      </c>
      <c r="B100">
        <v>59470.9</v>
      </c>
      <c r="C100">
        <v>58445.8</v>
      </c>
      <c r="D100">
        <v>59598.5</v>
      </c>
      <c r="E100">
        <v>57872</v>
      </c>
      <c r="F100" t="s">
        <v>105</v>
      </c>
      <c r="G100">
        <v>1.7500000000000002E-2</v>
      </c>
    </row>
    <row r="101" spans="1:7" x14ac:dyDescent="0.2">
      <c r="A101" s="1">
        <v>45522</v>
      </c>
      <c r="B101">
        <v>58446.3</v>
      </c>
      <c r="C101">
        <v>59485.4</v>
      </c>
      <c r="D101">
        <v>60216.3</v>
      </c>
      <c r="E101">
        <v>58436.1</v>
      </c>
      <c r="F101" t="s">
        <v>106</v>
      </c>
      <c r="G101">
        <v>-1.7399999999999999E-2</v>
      </c>
    </row>
    <row r="102" spans="1:7" x14ac:dyDescent="0.2">
      <c r="A102" s="1">
        <v>45521</v>
      </c>
      <c r="B102">
        <v>59483.1</v>
      </c>
      <c r="C102">
        <v>58877.8</v>
      </c>
      <c r="D102">
        <v>59659.5</v>
      </c>
      <c r="E102">
        <v>58825.5</v>
      </c>
      <c r="F102" t="s">
        <v>107</v>
      </c>
      <c r="G102">
        <v>1.03E-2</v>
      </c>
    </row>
    <row r="103" spans="1:7" x14ac:dyDescent="0.2">
      <c r="A103" s="1">
        <v>45520</v>
      </c>
      <c r="B103">
        <v>58877.2</v>
      </c>
      <c r="C103">
        <v>57545.1</v>
      </c>
      <c r="D103">
        <v>59817.3</v>
      </c>
      <c r="E103">
        <v>57129.1</v>
      </c>
      <c r="F103" t="s">
        <v>108</v>
      </c>
      <c r="G103">
        <v>2.3300000000000001E-2</v>
      </c>
    </row>
    <row r="104" spans="1:7" x14ac:dyDescent="0.2">
      <c r="A104" s="1">
        <v>45519</v>
      </c>
      <c r="B104">
        <v>57534.6</v>
      </c>
      <c r="C104">
        <v>58710.1</v>
      </c>
      <c r="D104">
        <v>59831.4</v>
      </c>
      <c r="E104">
        <v>56275.7</v>
      </c>
      <c r="F104" t="s">
        <v>109</v>
      </c>
      <c r="G104">
        <v>-0.02</v>
      </c>
    </row>
    <row r="105" spans="1:7" x14ac:dyDescent="0.2">
      <c r="A105" s="1">
        <v>45518</v>
      </c>
      <c r="B105">
        <v>58707.8</v>
      </c>
      <c r="C105">
        <v>60594.6</v>
      </c>
      <c r="D105">
        <v>61543</v>
      </c>
      <c r="E105">
        <v>58491.199999999997</v>
      </c>
      <c r="F105" t="s">
        <v>110</v>
      </c>
      <c r="G105">
        <v>-3.1099999999999999E-2</v>
      </c>
    </row>
    <row r="106" spans="1:7" x14ac:dyDescent="0.2">
      <c r="A106" s="1">
        <v>45517</v>
      </c>
      <c r="B106">
        <v>60595.199999999997</v>
      </c>
      <c r="C106">
        <v>59350.2</v>
      </c>
      <c r="D106">
        <v>61537</v>
      </c>
      <c r="E106">
        <v>58492.4</v>
      </c>
      <c r="F106" t="s">
        <v>111</v>
      </c>
      <c r="G106">
        <v>2.1000000000000001E-2</v>
      </c>
    </row>
    <row r="107" spans="1:7" x14ac:dyDescent="0.2">
      <c r="A107" s="1">
        <v>45516</v>
      </c>
      <c r="B107">
        <v>59350</v>
      </c>
      <c r="C107">
        <v>58711.7</v>
      </c>
      <c r="D107">
        <v>60606.2</v>
      </c>
      <c r="E107">
        <v>57689</v>
      </c>
      <c r="F107" t="s">
        <v>112</v>
      </c>
      <c r="G107">
        <v>1.0800000000000001E-2</v>
      </c>
    </row>
    <row r="108" spans="1:7" x14ac:dyDescent="0.2">
      <c r="A108" s="1">
        <v>45515</v>
      </c>
      <c r="B108">
        <v>58713.3</v>
      </c>
      <c r="C108">
        <v>60929.8</v>
      </c>
      <c r="D108">
        <v>61677.3</v>
      </c>
      <c r="E108">
        <v>58388.7</v>
      </c>
      <c r="F108" t="s">
        <v>113</v>
      </c>
      <c r="G108">
        <v>-3.6400000000000002E-2</v>
      </c>
    </row>
    <row r="109" spans="1:7" x14ac:dyDescent="0.2">
      <c r="A109" s="1">
        <v>45514</v>
      </c>
      <c r="B109">
        <v>60931.7</v>
      </c>
      <c r="C109">
        <v>60844.5</v>
      </c>
      <c r="D109">
        <v>61344.5</v>
      </c>
      <c r="E109">
        <v>60264.2</v>
      </c>
      <c r="F109" t="s">
        <v>114</v>
      </c>
      <c r="G109">
        <v>1.2999999999999999E-3</v>
      </c>
    </row>
    <row r="110" spans="1:7" x14ac:dyDescent="0.2">
      <c r="A110" s="1">
        <v>45513</v>
      </c>
      <c r="B110">
        <v>60850.6</v>
      </c>
      <c r="C110">
        <v>61697.8</v>
      </c>
      <c r="D110">
        <v>61712.3</v>
      </c>
      <c r="E110">
        <v>59570.2</v>
      </c>
      <c r="F110" t="s">
        <v>115</v>
      </c>
      <c r="G110">
        <v>-1.38E-2</v>
      </c>
    </row>
    <row r="111" spans="1:7" x14ac:dyDescent="0.2">
      <c r="A111" s="1">
        <v>45512</v>
      </c>
      <c r="B111">
        <v>61699.7</v>
      </c>
      <c r="C111">
        <v>55112.800000000003</v>
      </c>
      <c r="D111">
        <v>62563.5</v>
      </c>
      <c r="E111">
        <v>54786.9</v>
      </c>
      <c r="F111" t="s">
        <v>116</v>
      </c>
      <c r="G111">
        <v>0.11940000000000001</v>
      </c>
    </row>
    <row r="112" spans="1:7" x14ac:dyDescent="0.2">
      <c r="A112" s="1">
        <v>45511</v>
      </c>
      <c r="B112">
        <v>55120.9</v>
      </c>
      <c r="C112">
        <v>56049.9</v>
      </c>
      <c r="D112">
        <v>57669.599999999999</v>
      </c>
      <c r="E112">
        <v>54598.5</v>
      </c>
      <c r="F112" t="s">
        <v>117</v>
      </c>
      <c r="G112">
        <v>-1.67E-2</v>
      </c>
    </row>
    <row r="113" spans="1:7" x14ac:dyDescent="0.2">
      <c r="A113" s="1">
        <v>45510</v>
      </c>
      <c r="B113">
        <v>56057.8</v>
      </c>
      <c r="C113">
        <v>54010.8</v>
      </c>
      <c r="D113">
        <v>57025.599999999999</v>
      </c>
      <c r="E113">
        <v>53998.2</v>
      </c>
      <c r="F113" t="s">
        <v>118</v>
      </c>
      <c r="G113">
        <v>3.85E-2</v>
      </c>
    </row>
    <row r="114" spans="1:7" x14ac:dyDescent="0.2">
      <c r="A114" s="1">
        <v>45509</v>
      </c>
      <c r="B114">
        <v>53979</v>
      </c>
      <c r="C114">
        <v>58142.9</v>
      </c>
      <c r="D114">
        <v>58291.4</v>
      </c>
      <c r="E114">
        <v>49486.9</v>
      </c>
      <c r="F114" t="s">
        <v>119</v>
      </c>
      <c r="G114">
        <v>-7.1599999999999997E-2</v>
      </c>
    </row>
    <row r="115" spans="1:7" x14ac:dyDescent="0.2">
      <c r="A115" s="1">
        <v>45508</v>
      </c>
      <c r="B115">
        <v>58141.8</v>
      </c>
      <c r="C115">
        <v>60700.2</v>
      </c>
      <c r="D115">
        <v>61086.5</v>
      </c>
      <c r="E115">
        <v>57346.9</v>
      </c>
      <c r="F115" t="s">
        <v>59</v>
      </c>
      <c r="G115">
        <v>-4.2099999999999999E-2</v>
      </c>
    </row>
    <row r="116" spans="1:7" x14ac:dyDescent="0.2">
      <c r="A116" s="1">
        <v>45507</v>
      </c>
      <c r="B116">
        <v>60696.7</v>
      </c>
      <c r="C116">
        <v>61480.800000000003</v>
      </c>
      <c r="D116">
        <v>62184.2</v>
      </c>
      <c r="E116">
        <v>59914.6</v>
      </c>
      <c r="F116" t="s">
        <v>120</v>
      </c>
      <c r="G116">
        <v>-1.2699999999999999E-2</v>
      </c>
    </row>
    <row r="117" spans="1:7" x14ac:dyDescent="0.2">
      <c r="A117" s="1">
        <v>45506</v>
      </c>
      <c r="B117">
        <v>61478.7</v>
      </c>
      <c r="C117">
        <v>65351.8</v>
      </c>
      <c r="D117">
        <v>65567.100000000006</v>
      </c>
      <c r="E117">
        <v>61242.3</v>
      </c>
      <c r="F117" t="s">
        <v>121</v>
      </c>
      <c r="G117">
        <v>-5.96E-2</v>
      </c>
    </row>
    <row r="118" spans="1:7" x14ac:dyDescent="0.2">
      <c r="A118" s="1">
        <v>45505</v>
      </c>
      <c r="B118">
        <v>65372.9</v>
      </c>
      <c r="C118">
        <v>64625.7</v>
      </c>
      <c r="D118">
        <v>65587.899999999994</v>
      </c>
      <c r="E118">
        <v>62303.9</v>
      </c>
      <c r="F118" t="s">
        <v>122</v>
      </c>
      <c r="G118">
        <v>1.1599999999999999E-2</v>
      </c>
    </row>
    <row r="119" spans="1:7" x14ac:dyDescent="0.2">
      <c r="A119" s="1">
        <v>45504</v>
      </c>
      <c r="B119">
        <v>64626</v>
      </c>
      <c r="C119">
        <v>66185.399999999994</v>
      </c>
      <c r="D119">
        <v>66825.600000000006</v>
      </c>
      <c r="E119">
        <v>64538.3</v>
      </c>
      <c r="F119" t="s">
        <v>123</v>
      </c>
      <c r="G119">
        <v>-2.3599999999999999E-2</v>
      </c>
    </row>
    <row r="120" spans="1:7" x14ac:dyDescent="0.2">
      <c r="A120" s="1">
        <v>45503</v>
      </c>
      <c r="B120">
        <v>66184.899999999994</v>
      </c>
      <c r="C120">
        <v>66796.100000000006</v>
      </c>
      <c r="D120">
        <v>66998.3</v>
      </c>
      <c r="E120">
        <v>65328.7</v>
      </c>
      <c r="F120" t="s">
        <v>124</v>
      </c>
      <c r="G120">
        <v>-9.1999999999999998E-3</v>
      </c>
    </row>
    <row r="121" spans="1:7" x14ac:dyDescent="0.2">
      <c r="A121" s="1">
        <v>45502</v>
      </c>
      <c r="B121">
        <v>66798.7</v>
      </c>
      <c r="C121">
        <v>68256.3</v>
      </c>
      <c r="D121">
        <v>70000.2</v>
      </c>
      <c r="E121">
        <v>66544.5</v>
      </c>
      <c r="F121" t="s">
        <v>125</v>
      </c>
      <c r="G121">
        <v>-2.1399999999999999E-2</v>
      </c>
    </row>
    <row r="122" spans="1:7" x14ac:dyDescent="0.2">
      <c r="A122" s="1">
        <v>45501</v>
      </c>
      <c r="B122">
        <v>68256.3</v>
      </c>
      <c r="C122">
        <v>67888.899999999994</v>
      </c>
      <c r="D122">
        <v>68291.899999999994</v>
      </c>
      <c r="E122">
        <v>67067.8</v>
      </c>
      <c r="F122" t="s">
        <v>126</v>
      </c>
      <c r="G122">
        <v>6.1000000000000004E-3</v>
      </c>
    </row>
    <row r="123" spans="1:7" x14ac:dyDescent="0.2">
      <c r="A123" s="1">
        <v>45500</v>
      </c>
      <c r="B123">
        <v>67843.100000000006</v>
      </c>
      <c r="C123">
        <v>67910.8</v>
      </c>
      <c r="D123">
        <v>69387.600000000006</v>
      </c>
      <c r="E123">
        <v>66776.800000000003</v>
      </c>
      <c r="F123" t="s">
        <v>127</v>
      </c>
      <c r="G123">
        <v>-1E-3</v>
      </c>
    </row>
    <row r="124" spans="1:7" x14ac:dyDescent="0.2">
      <c r="A124" s="1">
        <v>45499</v>
      </c>
      <c r="B124">
        <v>67908.600000000006</v>
      </c>
      <c r="C124">
        <v>65799.7</v>
      </c>
      <c r="D124">
        <v>68205</v>
      </c>
      <c r="E124">
        <v>65764.3</v>
      </c>
      <c r="F124" t="s">
        <v>128</v>
      </c>
      <c r="G124">
        <v>3.2099999999999997E-2</v>
      </c>
    </row>
    <row r="125" spans="1:7" x14ac:dyDescent="0.2">
      <c r="A125" s="1">
        <v>45498</v>
      </c>
      <c r="B125">
        <v>65799.3</v>
      </c>
      <c r="C125">
        <v>65363.9</v>
      </c>
      <c r="D125">
        <v>66088.600000000006</v>
      </c>
      <c r="E125">
        <v>63500.9</v>
      </c>
      <c r="F125" t="s">
        <v>129</v>
      </c>
      <c r="G125">
        <v>6.6E-3</v>
      </c>
    </row>
    <row r="126" spans="1:7" x14ac:dyDescent="0.2">
      <c r="A126" s="1">
        <v>45497</v>
      </c>
      <c r="B126">
        <v>65370.5</v>
      </c>
      <c r="C126">
        <v>65936.800000000003</v>
      </c>
      <c r="D126">
        <v>67072.100000000006</v>
      </c>
      <c r="E126">
        <v>65155.199999999997</v>
      </c>
      <c r="F126" t="s">
        <v>130</v>
      </c>
      <c r="G126">
        <v>-8.6E-3</v>
      </c>
    </row>
    <row r="127" spans="1:7" x14ac:dyDescent="0.2">
      <c r="A127" s="1">
        <v>45496</v>
      </c>
      <c r="B127">
        <v>65937.8</v>
      </c>
      <c r="C127">
        <v>67550.399999999994</v>
      </c>
      <c r="D127">
        <v>67750.2</v>
      </c>
      <c r="E127">
        <v>65512.9</v>
      </c>
      <c r="F127" t="s">
        <v>131</v>
      </c>
      <c r="G127">
        <v>-2.3900000000000001E-2</v>
      </c>
    </row>
    <row r="128" spans="1:7" x14ac:dyDescent="0.2">
      <c r="A128" s="1">
        <v>45495</v>
      </c>
      <c r="B128">
        <v>67553.600000000006</v>
      </c>
      <c r="C128">
        <v>68158.399999999994</v>
      </c>
      <c r="D128">
        <v>68468.899999999994</v>
      </c>
      <c r="E128">
        <v>66601.8</v>
      </c>
      <c r="F128" t="s">
        <v>132</v>
      </c>
      <c r="G128">
        <v>-8.8999999999999999E-3</v>
      </c>
    </row>
    <row r="129" spans="1:7" x14ac:dyDescent="0.2">
      <c r="A129" s="1">
        <v>45494</v>
      </c>
      <c r="B129">
        <v>68158.7</v>
      </c>
      <c r="C129">
        <v>67147.8</v>
      </c>
      <c r="D129">
        <v>68352.899999999994</v>
      </c>
      <c r="E129">
        <v>65825.600000000006</v>
      </c>
      <c r="F129" t="s">
        <v>133</v>
      </c>
      <c r="G129">
        <v>1.4999999999999999E-2</v>
      </c>
    </row>
    <row r="130" spans="1:7" x14ac:dyDescent="0.2">
      <c r="A130" s="1">
        <v>45493</v>
      </c>
      <c r="B130">
        <v>67148.5</v>
      </c>
      <c r="C130">
        <v>66677</v>
      </c>
      <c r="D130">
        <v>67586.399999999994</v>
      </c>
      <c r="E130">
        <v>66257.399999999994</v>
      </c>
      <c r="F130" t="s">
        <v>134</v>
      </c>
      <c r="G130">
        <v>7.1000000000000004E-3</v>
      </c>
    </row>
    <row r="131" spans="1:7" x14ac:dyDescent="0.2">
      <c r="A131" s="1">
        <v>45492</v>
      </c>
      <c r="B131">
        <v>66677.399999999994</v>
      </c>
      <c r="C131">
        <v>63981.2</v>
      </c>
      <c r="D131">
        <v>67390.399999999994</v>
      </c>
      <c r="E131">
        <v>63326.1</v>
      </c>
      <c r="F131" t="s">
        <v>135</v>
      </c>
      <c r="G131">
        <v>4.2200000000000001E-2</v>
      </c>
    </row>
    <row r="132" spans="1:7" x14ac:dyDescent="0.2">
      <c r="A132" s="1">
        <v>45491</v>
      </c>
      <c r="B132">
        <v>63980.5</v>
      </c>
      <c r="C132">
        <v>64090.400000000001</v>
      </c>
      <c r="D132">
        <v>65102</v>
      </c>
      <c r="E132">
        <v>63253.5</v>
      </c>
      <c r="F132" t="s">
        <v>136</v>
      </c>
      <c r="G132">
        <v>-1.6999999999999999E-3</v>
      </c>
    </row>
    <row r="133" spans="1:7" x14ac:dyDescent="0.2">
      <c r="A133" s="1">
        <v>45490</v>
      </c>
      <c r="B133">
        <v>64089.2</v>
      </c>
      <c r="C133">
        <v>65052.800000000003</v>
      </c>
      <c r="D133">
        <v>66051.5</v>
      </c>
      <c r="E133">
        <v>63897.5</v>
      </c>
      <c r="F133" t="s">
        <v>137</v>
      </c>
      <c r="G133">
        <v>-1.4800000000000001E-2</v>
      </c>
    </row>
    <row r="134" spans="1:7" x14ac:dyDescent="0.2">
      <c r="A134" s="1">
        <v>45489</v>
      </c>
      <c r="B134">
        <v>65049.7</v>
      </c>
      <c r="C134">
        <v>64749.2</v>
      </c>
      <c r="D134">
        <v>65319.5</v>
      </c>
      <c r="E134">
        <v>62430.8</v>
      </c>
      <c r="F134" t="s">
        <v>138</v>
      </c>
      <c r="G134">
        <v>4.1000000000000003E-3</v>
      </c>
    </row>
    <row r="135" spans="1:7" x14ac:dyDescent="0.2">
      <c r="A135" s="1">
        <v>45488</v>
      </c>
      <c r="B135">
        <v>64782.400000000001</v>
      </c>
      <c r="C135">
        <v>60794.7</v>
      </c>
      <c r="D135">
        <v>64869.5</v>
      </c>
      <c r="E135">
        <v>60678.8</v>
      </c>
      <c r="F135" t="s">
        <v>139</v>
      </c>
      <c r="G135">
        <v>6.5600000000000006E-2</v>
      </c>
    </row>
    <row r="136" spans="1:7" x14ac:dyDescent="0.2">
      <c r="A136" s="1">
        <v>45487</v>
      </c>
      <c r="B136">
        <v>60794.9</v>
      </c>
      <c r="C136">
        <v>59207.9</v>
      </c>
      <c r="D136">
        <v>61326.9</v>
      </c>
      <c r="E136">
        <v>59207.9</v>
      </c>
      <c r="F136" t="s">
        <v>140</v>
      </c>
      <c r="G136">
        <v>2.6800000000000001E-2</v>
      </c>
    </row>
    <row r="137" spans="1:7" x14ac:dyDescent="0.2">
      <c r="A137" s="1">
        <v>45486</v>
      </c>
      <c r="B137">
        <v>59209.8</v>
      </c>
      <c r="C137">
        <v>57897.4</v>
      </c>
      <c r="D137">
        <v>59826.5</v>
      </c>
      <c r="E137">
        <v>57770.6</v>
      </c>
      <c r="F137" t="s">
        <v>141</v>
      </c>
      <c r="G137">
        <v>2.29E-2</v>
      </c>
    </row>
    <row r="138" spans="1:7" x14ac:dyDescent="0.2">
      <c r="A138" s="1">
        <v>45485</v>
      </c>
      <c r="B138">
        <v>57885.1</v>
      </c>
      <c r="C138">
        <v>57338.3</v>
      </c>
      <c r="D138">
        <v>58520.9</v>
      </c>
      <c r="E138">
        <v>56575.7</v>
      </c>
      <c r="F138" t="s">
        <v>142</v>
      </c>
      <c r="G138">
        <v>9.5999999999999992E-3</v>
      </c>
    </row>
    <row r="139" spans="1:7" x14ac:dyDescent="0.2">
      <c r="A139" s="1">
        <v>45484</v>
      </c>
      <c r="B139">
        <v>57337.3</v>
      </c>
      <c r="C139">
        <v>57745.9</v>
      </c>
      <c r="D139">
        <v>59404.4</v>
      </c>
      <c r="E139">
        <v>57095</v>
      </c>
      <c r="F139" t="s">
        <v>143</v>
      </c>
      <c r="G139">
        <v>-7.1000000000000004E-3</v>
      </c>
    </row>
    <row r="140" spans="1:7" x14ac:dyDescent="0.2">
      <c r="A140" s="1">
        <v>45483</v>
      </c>
      <c r="B140">
        <v>57746.7</v>
      </c>
      <c r="C140">
        <v>58040.2</v>
      </c>
      <c r="D140">
        <v>59393.8</v>
      </c>
      <c r="E140">
        <v>57185.3</v>
      </c>
      <c r="F140" t="s">
        <v>144</v>
      </c>
      <c r="G140">
        <v>-5.0000000000000001E-3</v>
      </c>
    </row>
    <row r="141" spans="1:7" x14ac:dyDescent="0.2">
      <c r="A141" s="1">
        <v>45482</v>
      </c>
      <c r="B141">
        <v>58039.4</v>
      </c>
      <c r="C141">
        <v>56721.3</v>
      </c>
      <c r="D141">
        <v>58234</v>
      </c>
      <c r="E141">
        <v>56306.3</v>
      </c>
      <c r="F141" t="s">
        <v>145</v>
      </c>
      <c r="G141">
        <v>2.3199999999999998E-2</v>
      </c>
    </row>
    <row r="142" spans="1:7" x14ac:dyDescent="0.2">
      <c r="A142" s="1">
        <v>45481</v>
      </c>
      <c r="B142">
        <v>56724.7</v>
      </c>
      <c r="C142">
        <v>55850.2</v>
      </c>
      <c r="D142">
        <v>58115.8</v>
      </c>
      <c r="E142">
        <v>54320</v>
      </c>
      <c r="F142" t="s">
        <v>146</v>
      </c>
      <c r="G142">
        <v>1.55E-2</v>
      </c>
    </row>
    <row r="143" spans="1:7" x14ac:dyDescent="0.2">
      <c r="A143" s="1">
        <v>45480</v>
      </c>
      <c r="B143">
        <v>55861.1</v>
      </c>
      <c r="C143">
        <v>58240.2</v>
      </c>
      <c r="D143">
        <v>58394.6</v>
      </c>
      <c r="E143">
        <v>55756.3</v>
      </c>
      <c r="F143" t="s">
        <v>147</v>
      </c>
      <c r="G143">
        <v>-4.1200000000000001E-2</v>
      </c>
    </row>
    <row r="144" spans="1:7" x14ac:dyDescent="0.2">
      <c r="A144" s="1">
        <v>45479</v>
      </c>
      <c r="B144">
        <v>58259.199999999997</v>
      </c>
      <c r="C144">
        <v>56640</v>
      </c>
      <c r="D144">
        <v>58462</v>
      </c>
      <c r="E144">
        <v>56026.8</v>
      </c>
      <c r="F144" t="s">
        <v>148</v>
      </c>
      <c r="G144">
        <v>2.86E-2</v>
      </c>
    </row>
    <row r="145" spans="1:7" x14ac:dyDescent="0.2">
      <c r="A145" s="1">
        <v>45478</v>
      </c>
      <c r="B145">
        <v>56641.8</v>
      </c>
      <c r="C145">
        <v>57025.7</v>
      </c>
      <c r="D145">
        <v>57471.1</v>
      </c>
      <c r="E145">
        <v>53883.4</v>
      </c>
      <c r="F145" t="s">
        <v>149</v>
      </c>
      <c r="G145">
        <v>-6.7000000000000002E-3</v>
      </c>
    </row>
    <row r="146" spans="1:7" x14ac:dyDescent="0.2">
      <c r="A146" s="1">
        <v>45477</v>
      </c>
      <c r="B146">
        <v>57026.3</v>
      </c>
      <c r="C146">
        <v>60201.4</v>
      </c>
      <c r="D146">
        <v>60463</v>
      </c>
      <c r="E146">
        <v>56812.7</v>
      </c>
      <c r="F146" t="s">
        <v>150</v>
      </c>
      <c r="G146">
        <v>-5.2699999999999997E-2</v>
      </c>
    </row>
    <row r="147" spans="1:7" x14ac:dyDescent="0.2">
      <c r="A147" s="1">
        <v>45476</v>
      </c>
      <c r="B147">
        <v>60199.3</v>
      </c>
      <c r="C147">
        <v>62104.9</v>
      </c>
      <c r="D147">
        <v>62263.6</v>
      </c>
      <c r="E147">
        <v>59466.6</v>
      </c>
      <c r="F147" t="s">
        <v>151</v>
      </c>
      <c r="G147">
        <v>-3.0700000000000002E-2</v>
      </c>
    </row>
    <row r="148" spans="1:7" x14ac:dyDescent="0.2">
      <c r="A148" s="1">
        <v>45475</v>
      </c>
      <c r="B148">
        <v>62103.3</v>
      </c>
      <c r="C148">
        <v>62888.3</v>
      </c>
      <c r="D148">
        <v>63257</v>
      </c>
      <c r="E148">
        <v>61797.599999999999</v>
      </c>
      <c r="F148" t="s">
        <v>152</v>
      </c>
      <c r="G148">
        <v>-1.2500000000000001E-2</v>
      </c>
    </row>
    <row r="149" spans="1:7" x14ac:dyDescent="0.2">
      <c r="A149" s="1">
        <v>45474</v>
      </c>
      <c r="B149">
        <v>62890.1</v>
      </c>
      <c r="C149">
        <v>62768.800000000003</v>
      </c>
      <c r="D149">
        <v>63842.1</v>
      </c>
      <c r="E149">
        <v>62558</v>
      </c>
      <c r="F149" t="s">
        <v>153</v>
      </c>
      <c r="G149">
        <v>2.2000000000000001E-3</v>
      </c>
    </row>
    <row r="150" spans="1:7" x14ac:dyDescent="0.2">
      <c r="A150" s="1">
        <v>45473</v>
      </c>
      <c r="B150">
        <v>62754.3</v>
      </c>
      <c r="C150">
        <v>60973.1</v>
      </c>
      <c r="D150">
        <v>63006.6</v>
      </c>
      <c r="E150">
        <v>60703.7</v>
      </c>
      <c r="F150" t="s">
        <v>154</v>
      </c>
      <c r="G150">
        <v>2.92E-2</v>
      </c>
    </row>
    <row r="151" spans="1:7" x14ac:dyDescent="0.2">
      <c r="A151" s="1">
        <v>45472</v>
      </c>
      <c r="B151">
        <v>60973.4</v>
      </c>
      <c r="C151">
        <v>60403.7</v>
      </c>
      <c r="D151">
        <v>61192.800000000003</v>
      </c>
      <c r="E151">
        <v>60382.8</v>
      </c>
      <c r="F151" t="s">
        <v>155</v>
      </c>
      <c r="G151">
        <v>9.4000000000000004E-3</v>
      </c>
    </row>
    <row r="152" spans="1:7" x14ac:dyDescent="0.2">
      <c r="A152" s="1">
        <v>45471</v>
      </c>
      <c r="B152">
        <v>60403.3</v>
      </c>
      <c r="C152">
        <v>61684.6</v>
      </c>
      <c r="D152">
        <v>62175.4</v>
      </c>
      <c r="E152">
        <v>60081.9</v>
      </c>
      <c r="F152" t="s">
        <v>156</v>
      </c>
      <c r="G152">
        <v>-2.0799999999999999E-2</v>
      </c>
    </row>
    <row r="153" spans="1:7" x14ac:dyDescent="0.2">
      <c r="A153" s="1">
        <v>45470</v>
      </c>
      <c r="B153">
        <v>61685.3</v>
      </c>
      <c r="C153">
        <v>60848.3</v>
      </c>
      <c r="D153">
        <v>62351.199999999997</v>
      </c>
      <c r="E153">
        <v>60629.4</v>
      </c>
      <c r="F153" t="s">
        <v>157</v>
      </c>
      <c r="G153">
        <v>1.37E-2</v>
      </c>
    </row>
    <row r="154" spans="1:7" x14ac:dyDescent="0.2">
      <c r="A154" s="1">
        <v>45469</v>
      </c>
      <c r="B154">
        <v>60849.4</v>
      </c>
      <c r="C154">
        <v>61809.9</v>
      </c>
      <c r="D154">
        <v>62469.4</v>
      </c>
      <c r="E154">
        <v>60715.1</v>
      </c>
      <c r="F154" t="s">
        <v>158</v>
      </c>
      <c r="G154">
        <v>-1.55E-2</v>
      </c>
    </row>
    <row r="155" spans="1:7" x14ac:dyDescent="0.2">
      <c r="A155" s="1">
        <v>45468</v>
      </c>
      <c r="B155">
        <v>61809.4</v>
      </c>
      <c r="C155">
        <v>60292</v>
      </c>
      <c r="D155">
        <v>62266</v>
      </c>
      <c r="E155">
        <v>60262.2</v>
      </c>
      <c r="F155" t="s">
        <v>159</v>
      </c>
      <c r="G155">
        <v>2.52E-2</v>
      </c>
    </row>
    <row r="156" spans="1:7" x14ac:dyDescent="0.2">
      <c r="A156" s="1">
        <v>45467</v>
      </c>
      <c r="B156">
        <v>60292.7</v>
      </c>
      <c r="C156">
        <v>63201.599999999999</v>
      </c>
      <c r="D156">
        <v>63357.1</v>
      </c>
      <c r="E156">
        <v>58589.9</v>
      </c>
      <c r="F156" t="s">
        <v>160</v>
      </c>
      <c r="G156">
        <v>-4.5900000000000003E-2</v>
      </c>
    </row>
    <row r="157" spans="1:7" x14ac:dyDescent="0.2">
      <c r="A157" s="1">
        <v>45466</v>
      </c>
      <c r="B157">
        <v>63196.2</v>
      </c>
      <c r="C157">
        <v>64261</v>
      </c>
      <c r="D157">
        <v>64518.9</v>
      </c>
      <c r="E157">
        <v>63195.3</v>
      </c>
      <c r="F157" t="s">
        <v>161</v>
      </c>
      <c r="G157">
        <v>-1.66E-2</v>
      </c>
    </row>
    <row r="158" spans="1:7" x14ac:dyDescent="0.2">
      <c r="A158" s="1">
        <v>45465</v>
      </c>
      <c r="B158">
        <v>64261</v>
      </c>
      <c r="C158">
        <v>64131.9</v>
      </c>
      <c r="D158">
        <v>64523.9</v>
      </c>
      <c r="E158">
        <v>63944</v>
      </c>
      <c r="F158" t="s">
        <v>162</v>
      </c>
      <c r="G158">
        <v>2.0999999999999999E-3</v>
      </c>
    </row>
    <row r="159" spans="1:7" x14ac:dyDescent="0.2">
      <c r="A159" s="1">
        <v>45464</v>
      </c>
      <c r="B159">
        <v>64128.5</v>
      </c>
      <c r="C159">
        <v>64854.3</v>
      </c>
      <c r="D159">
        <v>65054.9</v>
      </c>
      <c r="E159">
        <v>63427.9</v>
      </c>
      <c r="F159" t="s">
        <v>163</v>
      </c>
      <c r="G159">
        <v>-1.12E-2</v>
      </c>
    </row>
    <row r="160" spans="1:7" x14ac:dyDescent="0.2">
      <c r="A160" s="1">
        <v>45463</v>
      </c>
      <c r="B160">
        <v>64854.3</v>
      </c>
      <c r="C160">
        <v>64982.1</v>
      </c>
      <c r="D160">
        <v>66474.2</v>
      </c>
      <c r="E160">
        <v>64566.7</v>
      </c>
      <c r="F160" t="s">
        <v>164</v>
      </c>
      <c r="G160">
        <v>-1.9E-3</v>
      </c>
    </row>
    <row r="161" spans="1:7" x14ac:dyDescent="0.2">
      <c r="A161" s="1">
        <v>45462</v>
      </c>
      <c r="B161">
        <v>64980.9</v>
      </c>
      <c r="C161">
        <v>65159.8</v>
      </c>
      <c r="D161">
        <v>65706.399999999994</v>
      </c>
      <c r="E161">
        <v>64705.599999999999</v>
      </c>
      <c r="F161" t="s">
        <v>165</v>
      </c>
      <c r="G161">
        <v>-2.7000000000000001E-3</v>
      </c>
    </row>
    <row r="162" spans="1:7" x14ac:dyDescent="0.2">
      <c r="A162" s="1">
        <v>45461</v>
      </c>
      <c r="B162">
        <v>65159.9</v>
      </c>
      <c r="C162">
        <v>66495.7</v>
      </c>
      <c r="D162">
        <v>66571.199999999997</v>
      </c>
      <c r="E162">
        <v>64098.400000000001</v>
      </c>
      <c r="F162" t="s">
        <v>166</v>
      </c>
      <c r="G162">
        <v>-2.01E-2</v>
      </c>
    </row>
    <row r="163" spans="1:7" x14ac:dyDescent="0.2">
      <c r="A163" s="1">
        <v>45460</v>
      </c>
      <c r="B163">
        <v>66498.8</v>
      </c>
      <c r="C163">
        <v>66672.899999999994</v>
      </c>
      <c r="D163">
        <v>67253.8</v>
      </c>
      <c r="E163">
        <v>65115.4</v>
      </c>
      <c r="F163" t="s">
        <v>167</v>
      </c>
      <c r="G163">
        <v>-2.5999999999999999E-3</v>
      </c>
    </row>
    <row r="164" spans="1:7" x14ac:dyDescent="0.2">
      <c r="A164" s="1">
        <v>45459</v>
      </c>
      <c r="B164">
        <v>66674.7</v>
      </c>
      <c r="C164">
        <v>66223</v>
      </c>
      <c r="D164">
        <v>66951.399999999994</v>
      </c>
      <c r="E164">
        <v>66038.100000000006</v>
      </c>
      <c r="F164" t="s">
        <v>168</v>
      </c>
      <c r="G164">
        <v>6.7999999999999996E-3</v>
      </c>
    </row>
    <row r="165" spans="1:7" x14ac:dyDescent="0.2">
      <c r="A165" s="1">
        <v>45458</v>
      </c>
      <c r="B165">
        <v>66223</v>
      </c>
      <c r="C165">
        <v>66034.100000000006</v>
      </c>
      <c r="D165">
        <v>66446.399999999994</v>
      </c>
      <c r="E165">
        <v>65895.100000000006</v>
      </c>
      <c r="F165" t="s">
        <v>169</v>
      </c>
      <c r="G165">
        <v>2.8999999999999998E-3</v>
      </c>
    </row>
    <row r="166" spans="1:7" x14ac:dyDescent="0.2">
      <c r="A166" s="1">
        <v>45457</v>
      </c>
      <c r="B166">
        <v>66034.8</v>
      </c>
      <c r="C166">
        <v>66775.199999999997</v>
      </c>
      <c r="D166">
        <v>67347.7</v>
      </c>
      <c r="E166">
        <v>65076.5</v>
      </c>
      <c r="F166" t="s">
        <v>170</v>
      </c>
      <c r="G166">
        <v>-1.11E-2</v>
      </c>
    </row>
    <row r="167" spans="1:7" x14ac:dyDescent="0.2">
      <c r="A167" s="1">
        <v>45456</v>
      </c>
      <c r="B167">
        <v>66773.100000000006</v>
      </c>
      <c r="C167">
        <v>68260.600000000006</v>
      </c>
      <c r="D167">
        <v>68384.600000000006</v>
      </c>
      <c r="E167">
        <v>66324.3</v>
      </c>
      <c r="F167" t="s">
        <v>171</v>
      </c>
      <c r="G167">
        <v>-2.18E-2</v>
      </c>
    </row>
    <row r="168" spans="1:7" x14ac:dyDescent="0.2">
      <c r="A168" s="1">
        <v>45455</v>
      </c>
      <c r="B168">
        <v>68260.100000000006</v>
      </c>
      <c r="C168">
        <v>67320.899999999994</v>
      </c>
      <c r="D168">
        <v>69990.8</v>
      </c>
      <c r="E168">
        <v>66911.5</v>
      </c>
      <c r="F168" t="s">
        <v>172</v>
      </c>
      <c r="G168">
        <v>1.4E-2</v>
      </c>
    </row>
    <row r="169" spans="1:7" x14ac:dyDescent="0.2">
      <c r="A169" s="1">
        <v>45454</v>
      </c>
      <c r="B169">
        <v>67319.8</v>
      </c>
      <c r="C169">
        <v>69537.899999999994</v>
      </c>
      <c r="D169">
        <v>69573.3</v>
      </c>
      <c r="E169">
        <v>66197.8</v>
      </c>
      <c r="F169" t="s">
        <v>173</v>
      </c>
      <c r="G169">
        <v>-3.1899999999999998E-2</v>
      </c>
    </row>
    <row r="170" spans="1:7" x14ac:dyDescent="0.2">
      <c r="A170" s="1">
        <v>45453</v>
      </c>
      <c r="B170">
        <v>69538.2</v>
      </c>
      <c r="C170">
        <v>69650.2</v>
      </c>
      <c r="D170">
        <v>70152.5</v>
      </c>
      <c r="E170">
        <v>69259.899999999994</v>
      </c>
      <c r="F170" t="s">
        <v>174</v>
      </c>
      <c r="G170">
        <v>-1.6000000000000001E-3</v>
      </c>
    </row>
    <row r="171" spans="1:7" x14ac:dyDescent="0.2">
      <c r="A171" s="1">
        <v>45452</v>
      </c>
      <c r="B171">
        <v>69650.600000000006</v>
      </c>
      <c r="C171">
        <v>69310.5</v>
      </c>
      <c r="D171">
        <v>69847.8</v>
      </c>
      <c r="E171">
        <v>69136.7</v>
      </c>
      <c r="F171" t="s">
        <v>175</v>
      </c>
      <c r="G171">
        <v>4.8999999999999998E-3</v>
      </c>
    </row>
    <row r="172" spans="1:7" x14ac:dyDescent="0.2">
      <c r="A172" s="1">
        <v>45451</v>
      </c>
      <c r="B172">
        <v>69310.100000000006</v>
      </c>
      <c r="C172">
        <v>69347</v>
      </c>
      <c r="D172">
        <v>69572.100000000006</v>
      </c>
      <c r="E172">
        <v>69222.399999999994</v>
      </c>
      <c r="F172" t="s">
        <v>176</v>
      </c>
      <c r="G172">
        <v>-5.0000000000000001E-4</v>
      </c>
    </row>
    <row r="173" spans="1:7" x14ac:dyDescent="0.2">
      <c r="A173" s="1">
        <v>45450</v>
      </c>
      <c r="B173">
        <v>69347.899999999994</v>
      </c>
      <c r="C173">
        <v>70793.399999999994</v>
      </c>
      <c r="D173">
        <v>71956.5</v>
      </c>
      <c r="E173">
        <v>68620.7</v>
      </c>
      <c r="F173" t="s">
        <v>177</v>
      </c>
      <c r="G173">
        <v>-2.0400000000000001E-2</v>
      </c>
    </row>
    <row r="174" spans="1:7" x14ac:dyDescent="0.2">
      <c r="A174" s="1">
        <v>45449</v>
      </c>
      <c r="B174">
        <v>70791.5</v>
      </c>
      <c r="C174">
        <v>71083.600000000006</v>
      </c>
      <c r="D174">
        <v>71616.100000000006</v>
      </c>
      <c r="E174">
        <v>70178.7</v>
      </c>
      <c r="F174" t="s">
        <v>178</v>
      </c>
      <c r="G174">
        <v>-4.1000000000000003E-3</v>
      </c>
    </row>
    <row r="175" spans="1:7" x14ac:dyDescent="0.2">
      <c r="A175" s="1">
        <v>45448</v>
      </c>
      <c r="B175">
        <v>71083.7</v>
      </c>
      <c r="C175">
        <v>70550.899999999994</v>
      </c>
      <c r="D175">
        <v>71744.399999999994</v>
      </c>
      <c r="E175">
        <v>70397.100000000006</v>
      </c>
      <c r="F175" t="s">
        <v>179</v>
      </c>
      <c r="G175">
        <v>7.6E-3</v>
      </c>
    </row>
    <row r="176" spans="1:7" x14ac:dyDescent="0.2">
      <c r="A176" s="1">
        <v>45447</v>
      </c>
      <c r="B176">
        <v>70549.2</v>
      </c>
      <c r="C176">
        <v>68808</v>
      </c>
      <c r="D176">
        <v>71034.2</v>
      </c>
      <c r="E176">
        <v>68564.3</v>
      </c>
      <c r="F176" t="s">
        <v>180</v>
      </c>
      <c r="G176">
        <v>2.53E-2</v>
      </c>
    </row>
    <row r="177" spans="1:7" x14ac:dyDescent="0.2">
      <c r="A177" s="1">
        <v>45446</v>
      </c>
      <c r="B177">
        <v>68807.8</v>
      </c>
      <c r="C177">
        <v>67763.3</v>
      </c>
      <c r="D177">
        <v>70131</v>
      </c>
      <c r="E177">
        <v>67616.800000000003</v>
      </c>
      <c r="F177" t="s">
        <v>181</v>
      </c>
      <c r="G177">
        <v>1.5299999999999999E-2</v>
      </c>
    </row>
    <row r="178" spans="1:7" x14ac:dyDescent="0.2">
      <c r="A178" s="1">
        <v>45445</v>
      </c>
      <c r="B178">
        <v>67773.5</v>
      </c>
      <c r="C178">
        <v>67760.800000000003</v>
      </c>
      <c r="D178">
        <v>68447.5</v>
      </c>
      <c r="E178">
        <v>67330.600000000006</v>
      </c>
      <c r="F178" t="s">
        <v>182</v>
      </c>
      <c r="G178">
        <v>2.0000000000000001E-4</v>
      </c>
    </row>
    <row r="179" spans="1:7" x14ac:dyDescent="0.2">
      <c r="A179" s="1">
        <v>45444</v>
      </c>
      <c r="B179">
        <v>67760.800000000003</v>
      </c>
      <c r="C179">
        <v>67533.899999999994</v>
      </c>
      <c r="D179">
        <v>67861</v>
      </c>
      <c r="E179">
        <v>67449.600000000006</v>
      </c>
      <c r="F179" t="s">
        <v>183</v>
      </c>
      <c r="G179">
        <v>3.3999999999999998E-3</v>
      </c>
    </row>
    <row r="180" spans="1:7" x14ac:dyDescent="0.2">
      <c r="A180" s="1">
        <v>45443</v>
      </c>
      <c r="B180">
        <v>67530.100000000006</v>
      </c>
      <c r="C180">
        <v>68352.3</v>
      </c>
      <c r="D180">
        <v>69018.2</v>
      </c>
      <c r="E180">
        <v>66676.800000000003</v>
      </c>
      <c r="F180" t="s">
        <v>184</v>
      </c>
      <c r="G180">
        <v>-1.21E-2</v>
      </c>
    </row>
    <row r="181" spans="1:7" x14ac:dyDescent="0.2">
      <c r="A181" s="1">
        <v>45442</v>
      </c>
      <c r="B181">
        <v>68354.7</v>
      </c>
      <c r="C181">
        <v>67631.3</v>
      </c>
      <c r="D181">
        <v>69504.7</v>
      </c>
      <c r="E181">
        <v>67138.399999999994</v>
      </c>
      <c r="F181" t="s">
        <v>185</v>
      </c>
      <c r="G181">
        <v>1.06E-2</v>
      </c>
    </row>
    <row r="182" spans="1:7" x14ac:dyDescent="0.2">
      <c r="A182" s="1">
        <v>45441</v>
      </c>
      <c r="B182">
        <v>67635.8</v>
      </c>
      <c r="C182">
        <v>68366.2</v>
      </c>
      <c r="D182">
        <v>68897.600000000006</v>
      </c>
      <c r="E182">
        <v>67143.199999999997</v>
      </c>
      <c r="F182" t="s">
        <v>186</v>
      </c>
      <c r="G182">
        <v>-1.0699999999999999E-2</v>
      </c>
    </row>
    <row r="183" spans="1:7" x14ac:dyDescent="0.2">
      <c r="A183" s="1">
        <v>45440</v>
      </c>
      <c r="B183">
        <v>68366</v>
      </c>
      <c r="C183">
        <v>69428.3</v>
      </c>
      <c r="D183">
        <v>69560.7</v>
      </c>
      <c r="E183">
        <v>67299.899999999994</v>
      </c>
      <c r="F183" t="s">
        <v>187</v>
      </c>
      <c r="G183">
        <v>-1.5299999999999999E-2</v>
      </c>
    </row>
    <row r="184" spans="1:7" x14ac:dyDescent="0.2">
      <c r="A184" s="1">
        <v>45439</v>
      </c>
      <c r="B184">
        <v>69428.7</v>
      </c>
      <c r="C184">
        <v>68514.600000000006</v>
      </c>
      <c r="D184">
        <v>70638.3</v>
      </c>
      <c r="E184">
        <v>68275.199999999997</v>
      </c>
      <c r="F184" t="s">
        <v>188</v>
      </c>
      <c r="G184">
        <v>1.3299999999999999E-2</v>
      </c>
    </row>
    <row r="185" spans="1:7" x14ac:dyDescent="0.2">
      <c r="A185" s="1">
        <v>45438</v>
      </c>
      <c r="B185">
        <v>68514.8</v>
      </c>
      <c r="C185">
        <v>69287.199999999997</v>
      </c>
      <c r="D185">
        <v>69494</v>
      </c>
      <c r="E185">
        <v>68294.5</v>
      </c>
      <c r="F185" t="s">
        <v>189</v>
      </c>
      <c r="G185">
        <v>-1.11E-2</v>
      </c>
    </row>
    <row r="186" spans="1:7" x14ac:dyDescent="0.2">
      <c r="A186" s="1">
        <v>45437</v>
      </c>
      <c r="B186">
        <v>69284.399999999994</v>
      </c>
      <c r="C186">
        <v>68548.2</v>
      </c>
      <c r="D186">
        <v>69558.8</v>
      </c>
      <c r="E186">
        <v>68516.100000000006</v>
      </c>
      <c r="F186" t="s">
        <v>190</v>
      </c>
      <c r="G186">
        <v>1.0699999999999999E-2</v>
      </c>
    </row>
    <row r="187" spans="1:7" x14ac:dyDescent="0.2">
      <c r="A187" s="1">
        <v>45436</v>
      </c>
      <c r="B187">
        <v>68547.600000000006</v>
      </c>
      <c r="C187">
        <v>67971.100000000006</v>
      </c>
      <c r="D187">
        <v>69212</v>
      </c>
      <c r="E187">
        <v>66685.8</v>
      </c>
      <c r="F187" t="s">
        <v>191</v>
      </c>
      <c r="G187">
        <v>8.3999999999999995E-3</v>
      </c>
    </row>
    <row r="188" spans="1:7" x14ac:dyDescent="0.2">
      <c r="A188" s="1">
        <v>45435</v>
      </c>
      <c r="B188">
        <v>67975.7</v>
      </c>
      <c r="C188">
        <v>69166.3</v>
      </c>
      <c r="D188">
        <v>70041</v>
      </c>
      <c r="E188">
        <v>66578.100000000006</v>
      </c>
      <c r="F188" t="s">
        <v>192</v>
      </c>
      <c r="G188">
        <v>-1.7100000000000001E-2</v>
      </c>
    </row>
    <row r="189" spans="1:7" x14ac:dyDescent="0.2">
      <c r="A189" s="1">
        <v>45434</v>
      </c>
      <c r="B189">
        <v>69155.399999999994</v>
      </c>
      <c r="C189">
        <v>70141</v>
      </c>
      <c r="D189">
        <v>70593.399999999994</v>
      </c>
      <c r="E189">
        <v>69024.3</v>
      </c>
      <c r="F189" t="s">
        <v>193</v>
      </c>
      <c r="G189">
        <v>-1.4E-2</v>
      </c>
    </row>
    <row r="190" spans="1:7" x14ac:dyDescent="0.2">
      <c r="A190" s="1">
        <v>45433</v>
      </c>
      <c r="B190">
        <v>70139.899999999994</v>
      </c>
      <c r="C190">
        <v>71430.5</v>
      </c>
      <c r="D190">
        <v>71872</v>
      </c>
      <c r="E190">
        <v>69181.7</v>
      </c>
      <c r="F190" t="s">
        <v>194</v>
      </c>
      <c r="G190">
        <v>-1.7999999999999999E-2</v>
      </c>
    </row>
    <row r="191" spans="1:7" x14ac:dyDescent="0.2">
      <c r="A191" s="1">
        <v>45432</v>
      </c>
      <c r="B191">
        <v>71422.7</v>
      </c>
      <c r="C191">
        <v>66278.3</v>
      </c>
      <c r="D191">
        <v>71482.8</v>
      </c>
      <c r="E191">
        <v>66076.5</v>
      </c>
      <c r="F191" t="s">
        <v>195</v>
      </c>
      <c r="G191">
        <v>7.7600000000000002E-2</v>
      </c>
    </row>
    <row r="192" spans="1:7" x14ac:dyDescent="0.2">
      <c r="A192" s="1">
        <v>45431</v>
      </c>
      <c r="B192">
        <v>66279.100000000006</v>
      </c>
      <c r="C192">
        <v>66919</v>
      </c>
      <c r="D192">
        <v>67662.5</v>
      </c>
      <c r="E192">
        <v>65937.3</v>
      </c>
      <c r="F192" t="s">
        <v>196</v>
      </c>
      <c r="G192">
        <v>-9.4999999999999998E-3</v>
      </c>
    </row>
    <row r="193" spans="1:7" x14ac:dyDescent="0.2">
      <c r="A193" s="1">
        <v>45430</v>
      </c>
      <c r="B193">
        <v>66917.5</v>
      </c>
      <c r="C193">
        <v>67036.600000000006</v>
      </c>
      <c r="D193">
        <v>67361.399999999994</v>
      </c>
      <c r="E193">
        <v>66636.100000000006</v>
      </c>
      <c r="F193" t="s">
        <v>197</v>
      </c>
      <c r="G193">
        <v>-1.8E-3</v>
      </c>
    </row>
    <row r="194" spans="1:7" x14ac:dyDescent="0.2">
      <c r="A194" s="1">
        <v>45429</v>
      </c>
      <c r="B194">
        <v>67036.800000000003</v>
      </c>
      <c r="C194">
        <v>65231.1</v>
      </c>
      <c r="D194">
        <v>67420.7</v>
      </c>
      <c r="E194">
        <v>65121.7</v>
      </c>
      <c r="F194" t="s">
        <v>198</v>
      </c>
      <c r="G194">
        <v>2.7699999999999999E-2</v>
      </c>
    </row>
    <row r="195" spans="1:7" x14ac:dyDescent="0.2">
      <c r="A195" s="1">
        <v>45428</v>
      </c>
      <c r="B195">
        <v>65231</v>
      </c>
      <c r="C195">
        <v>66219.600000000006</v>
      </c>
      <c r="D195">
        <v>66643.899999999994</v>
      </c>
      <c r="E195">
        <v>64623.3</v>
      </c>
      <c r="F195" t="s">
        <v>199</v>
      </c>
      <c r="G195">
        <v>-1.4999999999999999E-2</v>
      </c>
    </row>
    <row r="196" spans="1:7" x14ac:dyDescent="0.2">
      <c r="A196" s="1">
        <v>45427</v>
      </c>
      <c r="B196">
        <v>66225.100000000006</v>
      </c>
      <c r="C196">
        <v>61569.4</v>
      </c>
      <c r="D196">
        <v>66417.100000000006</v>
      </c>
      <c r="E196">
        <v>61357.5</v>
      </c>
      <c r="F196" t="s">
        <v>200</v>
      </c>
      <c r="G196">
        <v>7.5600000000000001E-2</v>
      </c>
    </row>
    <row r="197" spans="1:7" x14ac:dyDescent="0.2">
      <c r="A197" s="1">
        <v>45426</v>
      </c>
      <c r="B197">
        <v>61569.4</v>
      </c>
      <c r="C197">
        <v>62936.800000000003</v>
      </c>
      <c r="D197">
        <v>63102.6</v>
      </c>
      <c r="E197">
        <v>61156.9</v>
      </c>
      <c r="F197" t="s">
        <v>201</v>
      </c>
      <c r="G197">
        <v>-2.1700000000000001E-2</v>
      </c>
    </row>
    <row r="198" spans="1:7" x14ac:dyDescent="0.2">
      <c r="A198" s="1">
        <v>45425</v>
      </c>
      <c r="B198">
        <v>62937.2</v>
      </c>
      <c r="C198">
        <v>61480.5</v>
      </c>
      <c r="D198">
        <v>63443.199999999997</v>
      </c>
      <c r="E198">
        <v>60779</v>
      </c>
      <c r="F198" t="s">
        <v>202</v>
      </c>
      <c r="G198">
        <v>2.3699999999999999E-2</v>
      </c>
    </row>
    <row r="199" spans="1:7" x14ac:dyDescent="0.2">
      <c r="A199" s="1">
        <v>45424</v>
      </c>
      <c r="B199">
        <v>61480</v>
      </c>
      <c r="C199">
        <v>60826.6</v>
      </c>
      <c r="D199">
        <v>61847.7</v>
      </c>
      <c r="E199">
        <v>60647.1</v>
      </c>
      <c r="F199" t="s">
        <v>203</v>
      </c>
      <c r="G199">
        <v>1.0699999999999999E-2</v>
      </c>
    </row>
    <row r="200" spans="1:7" x14ac:dyDescent="0.2">
      <c r="A200" s="1">
        <v>45423</v>
      </c>
      <c r="B200">
        <v>60826.6</v>
      </c>
      <c r="C200">
        <v>60796.800000000003</v>
      </c>
      <c r="D200">
        <v>61487.5</v>
      </c>
      <c r="E200">
        <v>60499.3</v>
      </c>
      <c r="F200" t="s">
        <v>204</v>
      </c>
      <c r="G200">
        <v>5.0000000000000001E-4</v>
      </c>
    </row>
    <row r="201" spans="1:7" x14ac:dyDescent="0.2">
      <c r="A201" s="1">
        <v>45422</v>
      </c>
      <c r="B201">
        <v>60796.9</v>
      </c>
      <c r="C201">
        <v>63074.3</v>
      </c>
      <c r="D201">
        <v>63454.3</v>
      </c>
      <c r="E201">
        <v>60251.8</v>
      </c>
      <c r="F201" t="s">
        <v>205</v>
      </c>
      <c r="G201">
        <v>-3.61E-2</v>
      </c>
    </row>
    <row r="202" spans="1:7" x14ac:dyDescent="0.2">
      <c r="A202" s="1">
        <v>45421</v>
      </c>
      <c r="B202">
        <v>63075</v>
      </c>
      <c r="C202">
        <v>61207.3</v>
      </c>
      <c r="D202">
        <v>63413.3</v>
      </c>
      <c r="E202">
        <v>60671.4</v>
      </c>
      <c r="F202" t="s">
        <v>206</v>
      </c>
      <c r="G202">
        <v>3.0499999999999999E-2</v>
      </c>
    </row>
    <row r="203" spans="1:7" x14ac:dyDescent="0.2">
      <c r="A203" s="1">
        <v>45420</v>
      </c>
      <c r="B203">
        <v>61207.5</v>
      </c>
      <c r="C203">
        <v>62304.9</v>
      </c>
      <c r="D203">
        <v>62997.4</v>
      </c>
      <c r="E203">
        <v>60894.2</v>
      </c>
      <c r="F203" t="s">
        <v>207</v>
      </c>
      <c r="G203">
        <v>-1.78E-2</v>
      </c>
    </row>
    <row r="204" spans="1:7" x14ac:dyDescent="0.2">
      <c r="A204" s="1">
        <v>45419</v>
      </c>
      <c r="B204">
        <v>62317.7</v>
      </c>
      <c r="C204">
        <v>63163.1</v>
      </c>
      <c r="D204">
        <v>64361</v>
      </c>
      <c r="E204">
        <v>62294.1</v>
      </c>
      <c r="F204" t="s">
        <v>208</v>
      </c>
      <c r="G204">
        <v>-1.34E-2</v>
      </c>
    </row>
    <row r="205" spans="1:7" x14ac:dyDescent="0.2">
      <c r="A205" s="1">
        <v>45418</v>
      </c>
      <c r="B205">
        <v>63163.1</v>
      </c>
      <c r="C205">
        <v>64005.8</v>
      </c>
      <c r="D205">
        <v>65448.800000000003</v>
      </c>
      <c r="E205">
        <v>62730.7</v>
      </c>
      <c r="F205" t="s">
        <v>209</v>
      </c>
      <c r="G205">
        <v>-1.32E-2</v>
      </c>
    </row>
    <row r="206" spans="1:7" x14ac:dyDescent="0.2">
      <c r="A206" s="1">
        <v>45417</v>
      </c>
      <c r="B206">
        <v>64006.400000000001</v>
      </c>
      <c r="C206">
        <v>63897.7</v>
      </c>
      <c r="D206">
        <v>64587.199999999997</v>
      </c>
      <c r="E206">
        <v>62923.9</v>
      </c>
      <c r="F206" t="s">
        <v>210</v>
      </c>
      <c r="G206">
        <v>1.8E-3</v>
      </c>
    </row>
    <row r="207" spans="1:7" x14ac:dyDescent="0.2">
      <c r="A207" s="1">
        <v>45416</v>
      </c>
      <c r="B207">
        <v>63888.3</v>
      </c>
      <c r="C207">
        <v>62887.1</v>
      </c>
      <c r="D207">
        <v>64466</v>
      </c>
      <c r="E207">
        <v>62599.1</v>
      </c>
      <c r="F207" t="s">
        <v>211</v>
      </c>
      <c r="G207">
        <v>1.61E-2</v>
      </c>
    </row>
    <row r="208" spans="1:7" x14ac:dyDescent="0.2">
      <c r="A208" s="1">
        <v>45415</v>
      </c>
      <c r="B208">
        <v>62877.5</v>
      </c>
      <c r="C208">
        <v>59104.3</v>
      </c>
      <c r="D208">
        <v>63298.400000000001</v>
      </c>
      <c r="E208">
        <v>58830.8</v>
      </c>
      <c r="F208" t="s">
        <v>212</v>
      </c>
      <c r="G208">
        <v>6.3500000000000001E-2</v>
      </c>
    </row>
    <row r="209" spans="1:7" x14ac:dyDescent="0.2">
      <c r="A209" s="1">
        <v>45414</v>
      </c>
      <c r="B209">
        <v>59121.3</v>
      </c>
      <c r="C209">
        <v>58334.9</v>
      </c>
      <c r="D209">
        <v>59548</v>
      </c>
      <c r="E209">
        <v>56989.8</v>
      </c>
      <c r="F209" t="s">
        <v>213</v>
      </c>
      <c r="G209">
        <v>1.35E-2</v>
      </c>
    </row>
    <row r="210" spans="1:7" x14ac:dyDescent="0.2">
      <c r="A210" s="1">
        <v>45413</v>
      </c>
      <c r="B210">
        <v>58331.199999999997</v>
      </c>
      <c r="C210">
        <v>60665</v>
      </c>
      <c r="D210">
        <v>60827.5</v>
      </c>
      <c r="E210">
        <v>56643.5</v>
      </c>
      <c r="F210" t="s">
        <v>214</v>
      </c>
      <c r="G210">
        <v>-3.85E-2</v>
      </c>
    </row>
    <row r="211" spans="1:7" x14ac:dyDescent="0.2">
      <c r="A211" s="1">
        <v>45412</v>
      </c>
      <c r="B211">
        <v>60666.6</v>
      </c>
      <c r="C211">
        <v>63852.4</v>
      </c>
      <c r="D211">
        <v>64700.2</v>
      </c>
      <c r="E211">
        <v>59228.7</v>
      </c>
      <c r="F211" t="s">
        <v>215</v>
      </c>
      <c r="G211">
        <v>-0.05</v>
      </c>
    </row>
    <row r="212" spans="1:7" x14ac:dyDescent="0.2">
      <c r="A212" s="1">
        <v>45411</v>
      </c>
      <c r="B212">
        <v>63860.1</v>
      </c>
      <c r="C212">
        <v>63113.7</v>
      </c>
      <c r="D212">
        <v>64193.1</v>
      </c>
      <c r="E212">
        <v>61837.2</v>
      </c>
      <c r="F212" t="s">
        <v>216</v>
      </c>
      <c r="G212">
        <v>1.1900000000000001E-2</v>
      </c>
    </row>
    <row r="213" spans="1:7" x14ac:dyDescent="0.2">
      <c r="A213" s="1">
        <v>45410</v>
      </c>
      <c r="B213">
        <v>63109.7</v>
      </c>
      <c r="C213">
        <v>63457.9</v>
      </c>
      <c r="D213">
        <v>64346.1</v>
      </c>
      <c r="E213">
        <v>62827.8</v>
      </c>
      <c r="F213" t="s">
        <v>217</v>
      </c>
      <c r="G213">
        <v>-5.4999999999999997E-3</v>
      </c>
    </row>
    <row r="214" spans="1:7" x14ac:dyDescent="0.2">
      <c r="A214" s="1">
        <v>45409</v>
      </c>
      <c r="B214">
        <v>63456.800000000003</v>
      </c>
      <c r="C214">
        <v>63765.8</v>
      </c>
      <c r="D214">
        <v>63916.7</v>
      </c>
      <c r="E214">
        <v>62507.7</v>
      </c>
      <c r="F214" t="s">
        <v>218</v>
      </c>
      <c r="G214">
        <v>-4.8999999999999998E-3</v>
      </c>
    </row>
    <row r="215" spans="1:7" x14ac:dyDescent="0.2">
      <c r="A215" s="1">
        <v>45408</v>
      </c>
      <c r="B215">
        <v>63766.400000000001</v>
      </c>
      <c r="C215">
        <v>64497.1</v>
      </c>
      <c r="D215">
        <v>64771.3</v>
      </c>
      <c r="E215">
        <v>63354.9</v>
      </c>
      <c r="F215" t="s">
        <v>219</v>
      </c>
      <c r="G215">
        <v>-1.1299999999999999E-2</v>
      </c>
    </row>
    <row r="216" spans="1:7" x14ac:dyDescent="0.2">
      <c r="A216" s="1">
        <v>45407</v>
      </c>
      <c r="B216">
        <v>64497.1</v>
      </c>
      <c r="C216">
        <v>64287.1</v>
      </c>
      <c r="D216">
        <v>65247.5</v>
      </c>
      <c r="E216">
        <v>62889.2</v>
      </c>
      <c r="F216" t="s">
        <v>220</v>
      </c>
      <c r="G216">
        <v>3.3E-3</v>
      </c>
    </row>
    <row r="217" spans="1:7" x14ac:dyDescent="0.2">
      <c r="A217" s="1">
        <v>45406</v>
      </c>
      <c r="B217">
        <v>64285.7</v>
      </c>
      <c r="C217">
        <v>66414.899999999994</v>
      </c>
      <c r="D217">
        <v>67060.5</v>
      </c>
      <c r="E217">
        <v>63606.9</v>
      </c>
      <c r="F217" t="s">
        <v>221</v>
      </c>
      <c r="G217">
        <v>-3.2099999999999997E-2</v>
      </c>
    </row>
    <row r="218" spans="1:7" x14ac:dyDescent="0.2">
      <c r="A218" s="1">
        <v>45405</v>
      </c>
      <c r="B218">
        <v>66415</v>
      </c>
      <c r="C218">
        <v>66829.5</v>
      </c>
      <c r="D218">
        <v>67180</v>
      </c>
      <c r="E218">
        <v>65848.3</v>
      </c>
      <c r="F218" t="s">
        <v>222</v>
      </c>
      <c r="G218">
        <v>-6.1999999999999998E-3</v>
      </c>
    </row>
    <row r="219" spans="1:7" x14ac:dyDescent="0.2">
      <c r="A219" s="1">
        <v>45404</v>
      </c>
      <c r="B219">
        <v>66829.3</v>
      </c>
      <c r="C219">
        <v>64940.1</v>
      </c>
      <c r="D219">
        <v>67208</v>
      </c>
      <c r="E219">
        <v>64527.5</v>
      </c>
      <c r="F219" t="s">
        <v>223</v>
      </c>
      <c r="G219">
        <v>2.9100000000000001E-2</v>
      </c>
    </row>
    <row r="220" spans="1:7" x14ac:dyDescent="0.2">
      <c r="A220" s="1">
        <v>45403</v>
      </c>
      <c r="B220">
        <v>64940.2</v>
      </c>
      <c r="C220">
        <v>64942.1</v>
      </c>
      <c r="D220">
        <v>65680.600000000006</v>
      </c>
      <c r="E220">
        <v>64267.5</v>
      </c>
      <c r="F220" t="s">
        <v>224</v>
      </c>
      <c r="G220">
        <v>-2.9999999999999997E-4</v>
      </c>
    </row>
    <row r="221" spans="1:7" x14ac:dyDescent="0.2">
      <c r="A221" s="1">
        <v>45402</v>
      </c>
      <c r="B221">
        <v>64961.1</v>
      </c>
      <c r="C221">
        <v>63817.599999999999</v>
      </c>
      <c r="D221">
        <v>65375.6</v>
      </c>
      <c r="E221">
        <v>63131.7</v>
      </c>
      <c r="F221" t="s">
        <v>225</v>
      </c>
      <c r="G221">
        <v>1.8200000000000001E-2</v>
      </c>
    </row>
    <row r="222" spans="1:7" x14ac:dyDescent="0.2">
      <c r="A222" s="1">
        <v>45401</v>
      </c>
      <c r="B222">
        <v>63799.1</v>
      </c>
      <c r="C222">
        <v>63480.5</v>
      </c>
      <c r="D222">
        <v>65441.2</v>
      </c>
      <c r="E222">
        <v>59693.3</v>
      </c>
      <c r="F222" t="s">
        <v>226</v>
      </c>
      <c r="G222">
        <v>5.0000000000000001E-3</v>
      </c>
    </row>
    <row r="223" spans="1:7" x14ac:dyDescent="0.2">
      <c r="A223" s="1">
        <v>45400</v>
      </c>
      <c r="B223">
        <v>63481.4</v>
      </c>
      <c r="C223">
        <v>61278.9</v>
      </c>
      <c r="D223">
        <v>64092.4</v>
      </c>
      <c r="E223">
        <v>60822.3</v>
      </c>
      <c r="F223" t="s">
        <v>227</v>
      </c>
      <c r="G223">
        <v>3.5900000000000001E-2</v>
      </c>
    </row>
    <row r="224" spans="1:7" x14ac:dyDescent="0.2">
      <c r="A224" s="1">
        <v>45399</v>
      </c>
      <c r="B224">
        <v>61278.9</v>
      </c>
      <c r="C224">
        <v>63802.3</v>
      </c>
      <c r="D224">
        <v>64451.5</v>
      </c>
      <c r="E224">
        <v>59820.800000000003</v>
      </c>
      <c r="F224" t="s">
        <v>228</v>
      </c>
      <c r="G224">
        <v>-3.9600000000000003E-2</v>
      </c>
    </row>
    <row r="225" spans="1:7" x14ac:dyDescent="0.2">
      <c r="A225" s="1">
        <v>45398</v>
      </c>
      <c r="B225">
        <v>63805.3</v>
      </c>
      <c r="C225">
        <v>63416.1</v>
      </c>
      <c r="D225">
        <v>64274.400000000001</v>
      </c>
      <c r="E225">
        <v>61715.6</v>
      </c>
      <c r="F225" t="s">
        <v>229</v>
      </c>
      <c r="G225">
        <v>6.1999999999999998E-3</v>
      </c>
    </row>
    <row r="226" spans="1:7" x14ac:dyDescent="0.2">
      <c r="A226" s="1">
        <v>45397</v>
      </c>
      <c r="B226">
        <v>63411.9</v>
      </c>
      <c r="C226">
        <v>65696.600000000006</v>
      </c>
      <c r="D226">
        <v>66805.100000000006</v>
      </c>
      <c r="E226">
        <v>62379.5</v>
      </c>
      <c r="F226" t="s">
        <v>230</v>
      </c>
      <c r="G226">
        <v>-3.4799999999999998E-2</v>
      </c>
    </row>
    <row r="227" spans="1:7" x14ac:dyDescent="0.2">
      <c r="A227" s="1">
        <v>45396</v>
      </c>
      <c r="B227">
        <v>65697.399999999994</v>
      </c>
      <c r="C227">
        <v>63909.5</v>
      </c>
      <c r="D227">
        <v>65758.2</v>
      </c>
      <c r="E227">
        <v>62174.7</v>
      </c>
      <c r="F227" t="s">
        <v>231</v>
      </c>
      <c r="G227">
        <v>2.8899999999999999E-2</v>
      </c>
    </row>
    <row r="228" spans="1:7" x14ac:dyDescent="0.2">
      <c r="A228" s="1">
        <v>45395</v>
      </c>
      <c r="B228">
        <v>63849.9</v>
      </c>
      <c r="C228">
        <v>67137.399999999994</v>
      </c>
      <c r="D228">
        <v>67921</v>
      </c>
      <c r="E228">
        <v>61065.5</v>
      </c>
      <c r="F228" t="s">
        <v>232</v>
      </c>
      <c r="G228">
        <v>-4.9200000000000001E-2</v>
      </c>
    </row>
    <row r="229" spans="1:7" x14ac:dyDescent="0.2">
      <c r="A229" s="1">
        <v>45394</v>
      </c>
      <c r="B229">
        <v>67151.899999999994</v>
      </c>
      <c r="C229">
        <v>70014.899999999994</v>
      </c>
      <c r="D229">
        <v>71226.899999999994</v>
      </c>
      <c r="E229">
        <v>65829.3</v>
      </c>
      <c r="F229" t="s">
        <v>233</v>
      </c>
      <c r="G229">
        <v>-4.0800000000000003E-2</v>
      </c>
    </row>
    <row r="230" spans="1:7" x14ac:dyDescent="0.2">
      <c r="A230" s="1">
        <v>45393</v>
      </c>
      <c r="B230">
        <v>70011.600000000006</v>
      </c>
      <c r="C230">
        <v>70620.399999999994</v>
      </c>
      <c r="D230">
        <v>71249.2</v>
      </c>
      <c r="E230">
        <v>69586.100000000006</v>
      </c>
      <c r="F230" t="s">
        <v>234</v>
      </c>
      <c r="G230">
        <v>-8.6E-3</v>
      </c>
    </row>
    <row r="231" spans="1:7" x14ac:dyDescent="0.2">
      <c r="A231" s="1">
        <v>45392</v>
      </c>
      <c r="B231">
        <v>70622.100000000006</v>
      </c>
      <c r="C231">
        <v>69147.8</v>
      </c>
      <c r="D231">
        <v>71086.899999999994</v>
      </c>
      <c r="E231">
        <v>67570</v>
      </c>
      <c r="F231" t="s">
        <v>235</v>
      </c>
      <c r="G231">
        <v>2.1299999999999999E-2</v>
      </c>
    </row>
    <row r="232" spans="1:7" x14ac:dyDescent="0.2">
      <c r="A232" s="1">
        <v>45391</v>
      </c>
      <c r="B232">
        <v>69148</v>
      </c>
      <c r="C232">
        <v>71627.3</v>
      </c>
      <c r="D232">
        <v>71737.2</v>
      </c>
      <c r="E232">
        <v>68264.600000000006</v>
      </c>
      <c r="F232" t="s">
        <v>236</v>
      </c>
      <c r="G232">
        <v>-3.4700000000000002E-2</v>
      </c>
    </row>
    <row r="233" spans="1:7" x14ac:dyDescent="0.2">
      <c r="A233" s="1">
        <v>45390</v>
      </c>
      <c r="B233">
        <v>71630.100000000006</v>
      </c>
      <c r="C233">
        <v>69358</v>
      </c>
      <c r="D233">
        <v>72710.8</v>
      </c>
      <c r="E233">
        <v>69110.5</v>
      </c>
      <c r="F233" t="s">
        <v>237</v>
      </c>
      <c r="G233">
        <v>3.27E-2</v>
      </c>
    </row>
    <row r="234" spans="1:7" x14ac:dyDescent="0.2">
      <c r="A234" s="1">
        <v>45389</v>
      </c>
      <c r="B234">
        <v>69360.399999999994</v>
      </c>
      <c r="C234">
        <v>68897.3</v>
      </c>
      <c r="D234">
        <v>70285.8</v>
      </c>
      <c r="E234">
        <v>68849.399999999994</v>
      </c>
      <c r="F234" t="s">
        <v>238</v>
      </c>
      <c r="G234">
        <v>6.7999999999999996E-3</v>
      </c>
    </row>
    <row r="235" spans="1:7" x14ac:dyDescent="0.2">
      <c r="A235" s="1">
        <v>45388</v>
      </c>
      <c r="B235">
        <v>68890.600000000006</v>
      </c>
      <c r="C235">
        <v>67830.5</v>
      </c>
      <c r="D235">
        <v>69632</v>
      </c>
      <c r="E235">
        <v>67467.199999999997</v>
      </c>
      <c r="F235" t="s">
        <v>239</v>
      </c>
      <c r="G235">
        <v>1.5599999999999999E-2</v>
      </c>
    </row>
    <row r="236" spans="1:7" x14ac:dyDescent="0.2">
      <c r="A236" s="1">
        <v>45387</v>
      </c>
      <c r="B236">
        <v>67830.600000000006</v>
      </c>
      <c r="C236">
        <v>68498.7</v>
      </c>
      <c r="D236">
        <v>68692.2</v>
      </c>
      <c r="E236">
        <v>66023.3</v>
      </c>
      <c r="F236" t="s">
        <v>240</v>
      </c>
      <c r="G236">
        <v>-9.7000000000000003E-3</v>
      </c>
    </row>
    <row r="237" spans="1:7" x14ac:dyDescent="0.2">
      <c r="A237" s="1">
        <v>45386</v>
      </c>
      <c r="B237">
        <v>68496.5</v>
      </c>
      <c r="C237">
        <v>65968.399999999994</v>
      </c>
      <c r="D237">
        <v>69238.8</v>
      </c>
      <c r="E237">
        <v>65096.3</v>
      </c>
      <c r="F237" t="s">
        <v>241</v>
      </c>
      <c r="G237">
        <v>3.8399999999999997E-2</v>
      </c>
    </row>
    <row r="238" spans="1:7" x14ac:dyDescent="0.2">
      <c r="A238" s="1">
        <v>45385</v>
      </c>
      <c r="B238">
        <v>65963</v>
      </c>
      <c r="C238">
        <v>65443.6</v>
      </c>
      <c r="D238">
        <v>66844.800000000003</v>
      </c>
      <c r="E238">
        <v>64559</v>
      </c>
      <c r="F238" t="s">
        <v>242</v>
      </c>
      <c r="G238">
        <v>8.0000000000000002E-3</v>
      </c>
    </row>
    <row r="239" spans="1:7" x14ac:dyDescent="0.2">
      <c r="A239" s="1">
        <v>45384</v>
      </c>
      <c r="B239">
        <v>65439.199999999997</v>
      </c>
      <c r="C239">
        <v>69662.7</v>
      </c>
      <c r="D239">
        <v>69673</v>
      </c>
      <c r="E239">
        <v>64628.4</v>
      </c>
      <c r="F239" t="s">
        <v>243</v>
      </c>
      <c r="G239">
        <v>-6.0699999999999997E-2</v>
      </c>
    </row>
    <row r="240" spans="1:7" x14ac:dyDescent="0.2">
      <c r="A240" s="1">
        <v>45383</v>
      </c>
      <c r="B240">
        <v>69664.399999999994</v>
      </c>
      <c r="C240">
        <v>71329.3</v>
      </c>
      <c r="D240">
        <v>71329.3</v>
      </c>
      <c r="E240">
        <v>68175.899999999994</v>
      </c>
      <c r="F240" t="s">
        <v>244</v>
      </c>
      <c r="G240">
        <v>-2.3400000000000001E-2</v>
      </c>
    </row>
    <row r="241" spans="1:7" x14ac:dyDescent="0.2">
      <c r="A241" s="1">
        <v>45382</v>
      </c>
      <c r="B241">
        <v>71332</v>
      </c>
      <c r="C241">
        <v>69608.5</v>
      </c>
      <c r="D241">
        <v>71367.5</v>
      </c>
      <c r="E241">
        <v>69576.600000000006</v>
      </c>
      <c r="F241" t="s">
        <v>245</v>
      </c>
      <c r="G241">
        <v>2.47E-2</v>
      </c>
    </row>
    <row r="242" spans="1:7" x14ac:dyDescent="0.2">
      <c r="A242" s="1">
        <v>45381</v>
      </c>
      <c r="B242">
        <v>69611.5</v>
      </c>
      <c r="C242">
        <v>69872.3</v>
      </c>
      <c r="D242">
        <v>70321.2</v>
      </c>
      <c r="E242">
        <v>69564.899999999994</v>
      </c>
      <c r="F242" t="s">
        <v>246</v>
      </c>
      <c r="G242">
        <v>-3.7000000000000002E-3</v>
      </c>
    </row>
    <row r="243" spans="1:7" x14ac:dyDescent="0.2">
      <c r="A243" s="1">
        <v>45380</v>
      </c>
      <c r="B243">
        <v>69871.7</v>
      </c>
      <c r="C243">
        <v>70766.7</v>
      </c>
      <c r="D243">
        <v>70907</v>
      </c>
      <c r="E243">
        <v>69090.899999999994</v>
      </c>
      <c r="F243" t="s">
        <v>247</v>
      </c>
      <c r="G243">
        <v>-1.26E-2</v>
      </c>
    </row>
    <row r="244" spans="1:7" x14ac:dyDescent="0.2">
      <c r="A244" s="1">
        <v>45379</v>
      </c>
      <c r="B244">
        <v>70762.100000000006</v>
      </c>
      <c r="C244">
        <v>69449.399999999994</v>
      </c>
      <c r="D244">
        <v>71542.5</v>
      </c>
      <c r="E244">
        <v>68956.899999999994</v>
      </c>
      <c r="F244" t="s">
        <v>248</v>
      </c>
      <c r="G244">
        <v>1.9E-2</v>
      </c>
    </row>
    <row r="245" spans="1:7" x14ac:dyDescent="0.2">
      <c r="A245" s="1">
        <v>45378</v>
      </c>
      <c r="B245">
        <v>69442.399999999994</v>
      </c>
      <c r="C245">
        <v>69999.199999999997</v>
      </c>
      <c r="D245">
        <v>71670.8</v>
      </c>
      <c r="E245">
        <v>68428.600000000006</v>
      </c>
      <c r="F245" t="s">
        <v>249</v>
      </c>
      <c r="G245">
        <v>-8.0000000000000002E-3</v>
      </c>
    </row>
    <row r="246" spans="1:7" x14ac:dyDescent="0.2">
      <c r="A246" s="1">
        <v>45377</v>
      </c>
      <c r="B246">
        <v>69999.3</v>
      </c>
      <c r="C246">
        <v>69896.3</v>
      </c>
      <c r="D246">
        <v>71490.7</v>
      </c>
      <c r="E246">
        <v>69366.399999999994</v>
      </c>
      <c r="F246" t="s">
        <v>250</v>
      </c>
      <c r="G246">
        <v>1.5E-3</v>
      </c>
    </row>
    <row r="247" spans="1:7" x14ac:dyDescent="0.2">
      <c r="A247" s="1">
        <v>45376</v>
      </c>
      <c r="B247">
        <v>69892</v>
      </c>
      <c r="C247">
        <v>67216.399999999994</v>
      </c>
      <c r="D247">
        <v>71118.8</v>
      </c>
      <c r="E247">
        <v>66395</v>
      </c>
      <c r="F247" t="s">
        <v>251</v>
      </c>
      <c r="G247">
        <v>3.9899999999999998E-2</v>
      </c>
    </row>
    <row r="248" spans="1:7" x14ac:dyDescent="0.2">
      <c r="A248" s="1">
        <v>45375</v>
      </c>
      <c r="B248">
        <v>67211.899999999994</v>
      </c>
      <c r="C248">
        <v>64036.5</v>
      </c>
      <c r="D248">
        <v>67587.8</v>
      </c>
      <c r="E248">
        <v>63812.9</v>
      </c>
      <c r="F248" t="s">
        <v>252</v>
      </c>
      <c r="G248">
        <v>4.9599999999999998E-2</v>
      </c>
    </row>
    <row r="249" spans="1:7" x14ac:dyDescent="0.2">
      <c r="A249" s="1">
        <v>45374</v>
      </c>
      <c r="B249">
        <v>64037.8</v>
      </c>
      <c r="C249">
        <v>63785.599999999999</v>
      </c>
      <c r="D249">
        <v>65972.399999999994</v>
      </c>
      <c r="E249">
        <v>63074.9</v>
      </c>
      <c r="F249" t="s">
        <v>253</v>
      </c>
      <c r="G249">
        <v>4.0000000000000001E-3</v>
      </c>
    </row>
    <row r="250" spans="1:7" x14ac:dyDescent="0.2">
      <c r="A250" s="1">
        <v>45373</v>
      </c>
      <c r="B250">
        <v>63785.5</v>
      </c>
      <c r="C250">
        <v>65501.5</v>
      </c>
      <c r="D250">
        <v>66633.3</v>
      </c>
      <c r="E250">
        <v>62328.3</v>
      </c>
      <c r="F250" t="s">
        <v>254</v>
      </c>
      <c r="G250">
        <v>-2.6200000000000001E-2</v>
      </c>
    </row>
    <row r="251" spans="1:7" x14ac:dyDescent="0.2">
      <c r="A251" s="1">
        <v>45372</v>
      </c>
      <c r="B251">
        <v>65503.8</v>
      </c>
      <c r="C251">
        <v>67860</v>
      </c>
      <c r="D251">
        <v>68161.7</v>
      </c>
      <c r="E251">
        <v>64616.1</v>
      </c>
      <c r="F251" t="s">
        <v>255</v>
      </c>
      <c r="G251">
        <v>-3.4599999999999999E-2</v>
      </c>
    </row>
    <row r="252" spans="1:7" x14ac:dyDescent="0.2">
      <c r="A252" s="1">
        <v>45371</v>
      </c>
      <c r="B252">
        <v>67854</v>
      </c>
      <c r="C252">
        <v>62046.8</v>
      </c>
      <c r="D252">
        <v>68029.5</v>
      </c>
      <c r="E252">
        <v>60850.9</v>
      </c>
      <c r="F252" t="s">
        <v>256</v>
      </c>
      <c r="G252">
        <v>9.35E-2</v>
      </c>
    </row>
    <row r="253" spans="1:7" x14ac:dyDescent="0.2">
      <c r="A253" s="1">
        <v>45370</v>
      </c>
      <c r="B253">
        <v>62050</v>
      </c>
      <c r="C253">
        <v>67594.100000000006</v>
      </c>
      <c r="D253">
        <v>68099.600000000006</v>
      </c>
      <c r="E253">
        <v>61560.6</v>
      </c>
      <c r="F253" t="s">
        <v>257</v>
      </c>
      <c r="G253">
        <v>-8.2000000000000003E-2</v>
      </c>
    </row>
    <row r="254" spans="1:7" x14ac:dyDescent="0.2">
      <c r="A254" s="1">
        <v>45369</v>
      </c>
      <c r="B254">
        <v>67594.100000000006</v>
      </c>
      <c r="C254">
        <v>68389.7</v>
      </c>
      <c r="D254">
        <v>68920.100000000006</v>
      </c>
      <c r="E254">
        <v>66601.399999999994</v>
      </c>
      <c r="F254" t="s">
        <v>258</v>
      </c>
      <c r="G254">
        <v>-1.17E-2</v>
      </c>
    </row>
    <row r="255" spans="1:7" x14ac:dyDescent="0.2">
      <c r="A255" s="1">
        <v>45368</v>
      </c>
      <c r="B255">
        <v>68391.199999999997</v>
      </c>
      <c r="C255">
        <v>65314.2</v>
      </c>
      <c r="D255">
        <v>68857.7</v>
      </c>
      <c r="E255">
        <v>64605.5</v>
      </c>
      <c r="F255" t="s">
        <v>259</v>
      </c>
      <c r="G255">
        <v>4.7100000000000003E-2</v>
      </c>
    </row>
    <row r="256" spans="1:7" x14ac:dyDescent="0.2">
      <c r="A256" s="1">
        <v>45367</v>
      </c>
      <c r="B256">
        <v>65314.2</v>
      </c>
      <c r="C256">
        <v>69456.5</v>
      </c>
      <c r="D256">
        <v>70037</v>
      </c>
      <c r="E256">
        <v>64971</v>
      </c>
      <c r="F256" t="s">
        <v>260</v>
      </c>
      <c r="G256">
        <v>-5.9700000000000003E-2</v>
      </c>
    </row>
    <row r="257" spans="1:7" x14ac:dyDescent="0.2">
      <c r="A257" s="1">
        <v>45366</v>
      </c>
      <c r="B257">
        <v>69463.7</v>
      </c>
      <c r="C257">
        <v>71387.100000000006</v>
      </c>
      <c r="D257">
        <v>72398.100000000006</v>
      </c>
      <c r="E257">
        <v>65765.600000000006</v>
      </c>
      <c r="F257" t="s">
        <v>261</v>
      </c>
      <c r="G257">
        <v>-2.69E-2</v>
      </c>
    </row>
    <row r="258" spans="1:7" x14ac:dyDescent="0.2">
      <c r="A258" s="1">
        <v>45365</v>
      </c>
      <c r="B258">
        <v>71387.5</v>
      </c>
      <c r="C258">
        <v>73066.7</v>
      </c>
      <c r="D258">
        <v>73740.899999999994</v>
      </c>
      <c r="E258">
        <v>68717.2</v>
      </c>
      <c r="F258" t="s">
        <v>262</v>
      </c>
      <c r="G258">
        <v>-2.3E-2</v>
      </c>
    </row>
    <row r="259" spans="1:7" x14ac:dyDescent="0.2">
      <c r="A259" s="1">
        <v>45364</v>
      </c>
      <c r="B259">
        <v>73066.3</v>
      </c>
      <c r="C259">
        <v>71461.899999999994</v>
      </c>
      <c r="D259">
        <v>73623.5</v>
      </c>
      <c r="E259">
        <v>71338.399999999994</v>
      </c>
      <c r="F259" t="s">
        <v>263</v>
      </c>
      <c r="G259">
        <v>2.23E-2</v>
      </c>
    </row>
    <row r="260" spans="1:7" x14ac:dyDescent="0.2">
      <c r="A260" s="1">
        <v>45363</v>
      </c>
      <c r="B260">
        <v>71470.2</v>
      </c>
      <c r="C260">
        <v>72099.100000000006</v>
      </c>
      <c r="D260">
        <v>72916.7</v>
      </c>
      <c r="E260">
        <v>68845.600000000006</v>
      </c>
      <c r="F260" t="s">
        <v>264</v>
      </c>
      <c r="G260">
        <v>-8.6999999999999994E-3</v>
      </c>
    </row>
    <row r="261" spans="1:7" x14ac:dyDescent="0.2">
      <c r="A261" s="1">
        <v>45362</v>
      </c>
      <c r="B261">
        <v>72099.100000000006</v>
      </c>
      <c r="C261">
        <v>68964.7</v>
      </c>
      <c r="D261">
        <v>72771.5</v>
      </c>
      <c r="E261">
        <v>67452.800000000003</v>
      </c>
      <c r="F261" t="s">
        <v>265</v>
      </c>
      <c r="G261">
        <v>4.5400000000000003E-2</v>
      </c>
    </row>
    <row r="262" spans="1:7" x14ac:dyDescent="0.2">
      <c r="A262" s="1">
        <v>45361</v>
      </c>
      <c r="B262">
        <v>68964.800000000003</v>
      </c>
      <c r="C262">
        <v>68360.7</v>
      </c>
      <c r="D262">
        <v>69905.3</v>
      </c>
      <c r="E262">
        <v>68165</v>
      </c>
      <c r="F262" t="s">
        <v>266</v>
      </c>
      <c r="G262">
        <v>8.8000000000000005E-3</v>
      </c>
    </row>
    <row r="263" spans="1:7" x14ac:dyDescent="0.2">
      <c r="A263" s="1">
        <v>45360</v>
      </c>
      <c r="B263">
        <v>68366.5</v>
      </c>
      <c r="C263">
        <v>68178.5</v>
      </c>
      <c r="D263">
        <v>68576.899999999994</v>
      </c>
      <c r="E263">
        <v>67923.899999999994</v>
      </c>
      <c r="F263" t="s">
        <v>267</v>
      </c>
      <c r="G263">
        <v>2.8999999999999998E-3</v>
      </c>
    </row>
    <row r="264" spans="1:7" x14ac:dyDescent="0.2">
      <c r="A264" s="1">
        <v>45359</v>
      </c>
      <c r="B264">
        <v>68172</v>
      </c>
      <c r="C264">
        <v>66854.399999999994</v>
      </c>
      <c r="D264">
        <v>69904</v>
      </c>
      <c r="E264">
        <v>66170.7</v>
      </c>
      <c r="F264" t="s">
        <v>268</v>
      </c>
      <c r="G264">
        <v>1.9699999999999999E-2</v>
      </c>
    </row>
    <row r="265" spans="1:7" x14ac:dyDescent="0.2">
      <c r="A265" s="1">
        <v>45358</v>
      </c>
      <c r="B265">
        <v>66855.3</v>
      </c>
      <c r="C265">
        <v>66074.600000000006</v>
      </c>
      <c r="D265">
        <v>67985.5</v>
      </c>
      <c r="E265">
        <v>65602.600000000006</v>
      </c>
      <c r="F265" t="s">
        <v>269</v>
      </c>
      <c r="G265">
        <v>1.17E-2</v>
      </c>
    </row>
    <row r="266" spans="1:7" x14ac:dyDescent="0.2">
      <c r="A266" s="1">
        <v>45357</v>
      </c>
      <c r="B266">
        <v>66080.399999999994</v>
      </c>
      <c r="C266">
        <v>63794.7</v>
      </c>
      <c r="D266">
        <v>67604.899999999994</v>
      </c>
      <c r="E266">
        <v>62848.7</v>
      </c>
      <c r="F266" t="s">
        <v>270</v>
      </c>
      <c r="G266">
        <v>3.5900000000000001E-2</v>
      </c>
    </row>
    <row r="267" spans="1:7" x14ac:dyDescent="0.2">
      <c r="A267" s="1">
        <v>45356</v>
      </c>
      <c r="B267">
        <v>63792.6</v>
      </c>
      <c r="C267">
        <v>68273.100000000006</v>
      </c>
      <c r="D267">
        <v>69063.100000000006</v>
      </c>
      <c r="E267">
        <v>60138.2</v>
      </c>
      <c r="F267" t="s">
        <v>271</v>
      </c>
      <c r="G267">
        <v>-6.5600000000000006E-2</v>
      </c>
    </row>
    <row r="268" spans="1:7" x14ac:dyDescent="0.2">
      <c r="A268" s="1">
        <v>45355</v>
      </c>
      <c r="B268">
        <v>68270.100000000006</v>
      </c>
      <c r="C268">
        <v>63135.8</v>
      </c>
      <c r="D268">
        <v>68495.100000000006</v>
      </c>
      <c r="E268">
        <v>62746.8</v>
      </c>
      <c r="F268" t="s">
        <v>272</v>
      </c>
      <c r="G268">
        <v>8.1299999999999997E-2</v>
      </c>
    </row>
    <row r="269" spans="1:7" x14ac:dyDescent="0.2">
      <c r="A269" s="1">
        <v>45354</v>
      </c>
      <c r="B269">
        <v>63135.8</v>
      </c>
      <c r="C269">
        <v>61955.6</v>
      </c>
      <c r="D269">
        <v>63227.3</v>
      </c>
      <c r="E269">
        <v>61399.4</v>
      </c>
      <c r="F269" t="s">
        <v>273</v>
      </c>
      <c r="G269">
        <v>1.84E-2</v>
      </c>
    </row>
    <row r="270" spans="1:7" x14ac:dyDescent="0.2">
      <c r="A270" s="1">
        <v>45353</v>
      </c>
      <c r="B270">
        <v>61994.5</v>
      </c>
      <c r="C270">
        <v>62397.7</v>
      </c>
      <c r="D270">
        <v>62446.3</v>
      </c>
      <c r="E270">
        <v>61621.9</v>
      </c>
      <c r="F270" t="s">
        <v>274</v>
      </c>
      <c r="G270">
        <v>-6.4999999999999997E-3</v>
      </c>
    </row>
    <row r="271" spans="1:7" x14ac:dyDescent="0.2">
      <c r="A271" s="1">
        <v>45352</v>
      </c>
      <c r="B271">
        <v>62397.7</v>
      </c>
      <c r="C271">
        <v>61157.3</v>
      </c>
      <c r="D271">
        <v>63147.3</v>
      </c>
      <c r="E271">
        <v>60790.9</v>
      </c>
      <c r="F271" t="s">
        <v>275</v>
      </c>
      <c r="G271">
        <v>2.01E-2</v>
      </c>
    </row>
    <row r="272" spans="1:7" x14ac:dyDescent="0.2">
      <c r="A272" s="1">
        <v>45351</v>
      </c>
      <c r="B272">
        <v>61169.3</v>
      </c>
      <c r="C272">
        <v>62467.1</v>
      </c>
      <c r="D272">
        <v>63653.4</v>
      </c>
      <c r="E272">
        <v>60512.5</v>
      </c>
      <c r="F272" t="s">
        <v>276</v>
      </c>
      <c r="G272">
        <v>-2.0799999999999999E-2</v>
      </c>
    </row>
    <row r="273" spans="1:7" x14ac:dyDescent="0.2">
      <c r="A273" s="1">
        <v>45350</v>
      </c>
      <c r="B273">
        <v>62467.6</v>
      </c>
      <c r="C273">
        <v>57048.7</v>
      </c>
      <c r="D273">
        <v>63915.3</v>
      </c>
      <c r="E273">
        <v>56704.9</v>
      </c>
      <c r="F273" t="s">
        <v>277</v>
      </c>
      <c r="G273">
        <v>9.4799999999999995E-2</v>
      </c>
    </row>
    <row r="274" spans="1:7" x14ac:dyDescent="0.2">
      <c r="A274" s="1">
        <v>45349</v>
      </c>
      <c r="B274">
        <v>57056.2</v>
      </c>
      <c r="C274">
        <v>54491.1</v>
      </c>
      <c r="D274">
        <v>57555.199999999997</v>
      </c>
      <c r="E274">
        <v>54464</v>
      </c>
      <c r="F274" t="s">
        <v>278</v>
      </c>
      <c r="G274">
        <v>4.7E-2</v>
      </c>
    </row>
    <row r="275" spans="1:7" x14ac:dyDescent="0.2">
      <c r="A275" s="1">
        <v>45348</v>
      </c>
      <c r="B275">
        <v>54495.1</v>
      </c>
      <c r="C275">
        <v>51722.7</v>
      </c>
      <c r="D275">
        <v>54899.1</v>
      </c>
      <c r="E275">
        <v>50925.2</v>
      </c>
      <c r="F275" t="s">
        <v>279</v>
      </c>
      <c r="G275">
        <v>5.3600000000000002E-2</v>
      </c>
    </row>
    <row r="276" spans="1:7" x14ac:dyDescent="0.2">
      <c r="A276" s="1">
        <v>45347</v>
      </c>
      <c r="B276">
        <v>51722.7</v>
      </c>
      <c r="C276">
        <v>51572.1</v>
      </c>
      <c r="D276">
        <v>51952</v>
      </c>
      <c r="E276">
        <v>51299</v>
      </c>
      <c r="F276" t="s">
        <v>280</v>
      </c>
      <c r="G276">
        <v>2.8999999999999998E-3</v>
      </c>
    </row>
    <row r="277" spans="1:7" x14ac:dyDescent="0.2">
      <c r="A277" s="1">
        <v>45346</v>
      </c>
      <c r="B277">
        <v>51571.6</v>
      </c>
      <c r="C277">
        <v>50739.6</v>
      </c>
      <c r="D277">
        <v>51689.9</v>
      </c>
      <c r="E277">
        <v>50592</v>
      </c>
      <c r="F277" t="s">
        <v>175</v>
      </c>
      <c r="G277">
        <v>1.6400000000000001E-2</v>
      </c>
    </row>
    <row r="278" spans="1:7" x14ac:dyDescent="0.2">
      <c r="A278" s="1">
        <v>45345</v>
      </c>
      <c r="B278">
        <v>50740.5</v>
      </c>
      <c r="C278">
        <v>51320.6</v>
      </c>
      <c r="D278">
        <v>51532.5</v>
      </c>
      <c r="E278">
        <v>50537.599999999999</v>
      </c>
      <c r="F278" t="s">
        <v>281</v>
      </c>
      <c r="G278">
        <v>-1.1299999999999999E-2</v>
      </c>
    </row>
    <row r="279" spans="1:7" x14ac:dyDescent="0.2">
      <c r="A279" s="1">
        <v>45344</v>
      </c>
      <c r="B279">
        <v>51320.4</v>
      </c>
      <c r="C279">
        <v>51850.2</v>
      </c>
      <c r="D279">
        <v>52015.8</v>
      </c>
      <c r="E279">
        <v>50947.3</v>
      </c>
      <c r="F279" t="s">
        <v>282</v>
      </c>
      <c r="G279">
        <v>-1.04E-2</v>
      </c>
    </row>
    <row r="280" spans="1:7" x14ac:dyDescent="0.2">
      <c r="A280" s="1">
        <v>45343</v>
      </c>
      <c r="B280">
        <v>51858.2</v>
      </c>
      <c r="C280">
        <v>52263.5</v>
      </c>
      <c r="D280">
        <v>52367.3</v>
      </c>
      <c r="E280">
        <v>50676.9</v>
      </c>
      <c r="F280" t="s">
        <v>283</v>
      </c>
      <c r="G280">
        <v>-7.7999999999999996E-3</v>
      </c>
    </row>
    <row r="281" spans="1:7" x14ac:dyDescent="0.2">
      <c r="A281" s="1">
        <v>45342</v>
      </c>
      <c r="B281">
        <v>52263.5</v>
      </c>
      <c r="C281">
        <v>51783.1</v>
      </c>
      <c r="D281">
        <v>52936.800000000003</v>
      </c>
      <c r="E281">
        <v>50801.8</v>
      </c>
      <c r="F281" t="s">
        <v>284</v>
      </c>
      <c r="G281">
        <v>9.2999999999999992E-3</v>
      </c>
    </row>
    <row r="282" spans="1:7" x14ac:dyDescent="0.2">
      <c r="A282" s="1">
        <v>45341</v>
      </c>
      <c r="B282">
        <v>51783.6</v>
      </c>
      <c r="C282">
        <v>52119.6</v>
      </c>
      <c r="D282">
        <v>52484.800000000003</v>
      </c>
      <c r="E282">
        <v>51694.2</v>
      </c>
      <c r="F282" t="s">
        <v>285</v>
      </c>
      <c r="G282">
        <v>-6.4000000000000003E-3</v>
      </c>
    </row>
    <row r="283" spans="1:7" x14ac:dyDescent="0.2">
      <c r="A283" s="1">
        <v>45340</v>
      </c>
      <c r="B283">
        <v>52117.5</v>
      </c>
      <c r="C283">
        <v>51646</v>
      </c>
      <c r="D283">
        <v>52350.3</v>
      </c>
      <c r="E283">
        <v>51199.6</v>
      </c>
      <c r="F283" t="s">
        <v>286</v>
      </c>
      <c r="G283">
        <v>9.1000000000000004E-3</v>
      </c>
    </row>
    <row r="284" spans="1:7" x14ac:dyDescent="0.2">
      <c r="A284" s="1">
        <v>45339</v>
      </c>
      <c r="B284">
        <v>51646</v>
      </c>
      <c r="C284">
        <v>52134.2</v>
      </c>
      <c r="D284">
        <v>52175.5</v>
      </c>
      <c r="E284">
        <v>50652.3</v>
      </c>
      <c r="F284" t="s">
        <v>287</v>
      </c>
      <c r="G284">
        <v>-9.4000000000000004E-3</v>
      </c>
    </row>
    <row r="285" spans="1:7" x14ac:dyDescent="0.2">
      <c r="A285" s="1">
        <v>45338</v>
      </c>
      <c r="B285">
        <v>52134.2</v>
      </c>
      <c r="C285">
        <v>51901.4</v>
      </c>
      <c r="D285">
        <v>52556.7</v>
      </c>
      <c r="E285">
        <v>51612.6</v>
      </c>
      <c r="F285" t="s">
        <v>288</v>
      </c>
      <c r="G285">
        <v>4.4999999999999997E-3</v>
      </c>
    </row>
    <row r="286" spans="1:7" x14ac:dyDescent="0.2">
      <c r="A286" s="1">
        <v>45337</v>
      </c>
      <c r="B286">
        <v>51901.3</v>
      </c>
      <c r="C286">
        <v>51805.2</v>
      </c>
      <c r="D286">
        <v>52819.4</v>
      </c>
      <c r="E286">
        <v>51327.5</v>
      </c>
      <c r="F286" t="s">
        <v>289</v>
      </c>
      <c r="G286">
        <v>2.3E-3</v>
      </c>
    </row>
    <row r="287" spans="1:7" x14ac:dyDescent="0.2">
      <c r="A287" s="1">
        <v>45336</v>
      </c>
      <c r="B287">
        <v>51782.400000000001</v>
      </c>
      <c r="C287">
        <v>49708.6</v>
      </c>
      <c r="D287">
        <v>52010.7</v>
      </c>
      <c r="E287">
        <v>49263.8</v>
      </c>
      <c r="F287" t="s">
        <v>290</v>
      </c>
      <c r="G287">
        <v>4.1599999999999998E-2</v>
      </c>
    </row>
    <row r="288" spans="1:7" x14ac:dyDescent="0.2">
      <c r="A288" s="1">
        <v>45335</v>
      </c>
      <c r="B288">
        <v>49716</v>
      </c>
      <c r="C288">
        <v>49941</v>
      </c>
      <c r="D288">
        <v>50326.6</v>
      </c>
      <c r="E288">
        <v>48398.3</v>
      </c>
      <c r="F288" t="s">
        <v>291</v>
      </c>
      <c r="G288">
        <v>-4.4999999999999997E-3</v>
      </c>
    </row>
    <row r="289" spans="1:7" x14ac:dyDescent="0.2">
      <c r="A289" s="1">
        <v>45334</v>
      </c>
      <c r="B289">
        <v>49941.3</v>
      </c>
      <c r="C289">
        <v>48280.2</v>
      </c>
      <c r="D289">
        <v>50277.3</v>
      </c>
      <c r="E289">
        <v>47729.9</v>
      </c>
      <c r="F289" t="s">
        <v>292</v>
      </c>
      <c r="G289">
        <v>3.4500000000000003E-2</v>
      </c>
    </row>
    <row r="290" spans="1:7" x14ac:dyDescent="0.2">
      <c r="A290" s="1">
        <v>45333</v>
      </c>
      <c r="B290">
        <v>48277.3</v>
      </c>
      <c r="C290">
        <v>47759.3</v>
      </c>
      <c r="D290">
        <v>48531.6</v>
      </c>
      <c r="E290">
        <v>47590.2</v>
      </c>
      <c r="F290" t="s">
        <v>293</v>
      </c>
      <c r="G290">
        <v>1.09E-2</v>
      </c>
    </row>
    <row r="291" spans="1:7" x14ac:dyDescent="0.2">
      <c r="A291" s="1">
        <v>45332</v>
      </c>
      <c r="B291">
        <v>47758.2</v>
      </c>
      <c r="C291">
        <v>47128</v>
      </c>
      <c r="D291">
        <v>48149</v>
      </c>
      <c r="E291">
        <v>46875</v>
      </c>
      <c r="F291" t="s">
        <v>294</v>
      </c>
      <c r="G291">
        <v>1.34E-2</v>
      </c>
    </row>
    <row r="292" spans="1:7" x14ac:dyDescent="0.2">
      <c r="A292" s="1">
        <v>45331</v>
      </c>
      <c r="B292">
        <v>47127.5</v>
      </c>
      <c r="C292">
        <v>45293.3</v>
      </c>
      <c r="D292">
        <v>48118.8</v>
      </c>
      <c r="E292">
        <v>45254.2</v>
      </c>
      <c r="F292" t="s">
        <v>295</v>
      </c>
      <c r="G292">
        <v>4.0500000000000001E-2</v>
      </c>
    </row>
    <row r="293" spans="1:7" x14ac:dyDescent="0.2">
      <c r="A293" s="1">
        <v>45330</v>
      </c>
      <c r="B293">
        <v>45293.3</v>
      </c>
      <c r="C293">
        <v>44346.2</v>
      </c>
      <c r="D293">
        <v>45579.199999999997</v>
      </c>
      <c r="E293">
        <v>44336.4</v>
      </c>
      <c r="F293" t="s">
        <v>296</v>
      </c>
      <c r="G293">
        <v>2.1499999999999998E-2</v>
      </c>
    </row>
    <row r="294" spans="1:7" x14ac:dyDescent="0.2">
      <c r="A294" s="1">
        <v>45329</v>
      </c>
      <c r="B294">
        <v>44339.8</v>
      </c>
      <c r="C294">
        <v>43088.4</v>
      </c>
      <c r="D294">
        <v>44367.9</v>
      </c>
      <c r="E294">
        <v>42783.5</v>
      </c>
      <c r="F294" t="s">
        <v>297</v>
      </c>
      <c r="G294">
        <v>2.9100000000000001E-2</v>
      </c>
    </row>
    <row r="295" spans="1:7" x14ac:dyDescent="0.2">
      <c r="A295" s="1">
        <v>45328</v>
      </c>
      <c r="B295">
        <v>43087.7</v>
      </c>
      <c r="C295">
        <v>42697.599999999999</v>
      </c>
      <c r="D295">
        <v>43375.5</v>
      </c>
      <c r="E295">
        <v>42566.8</v>
      </c>
      <c r="F295" t="s">
        <v>298</v>
      </c>
      <c r="G295">
        <v>9.1000000000000004E-3</v>
      </c>
    </row>
    <row r="296" spans="1:7" x14ac:dyDescent="0.2">
      <c r="A296" s="1">
        <v>45327</v>
      </c>
      <c r="B296">
        <v>42697.2</v>
      </c>
      <c r="C296">
        <v>42581.4</v>
      </c>
      <c r="D296">
        <v>43532.2</v>
      </c>
      <c r="E296">
        <v>42272.5</v>
      </c>
      <c r="F296" t="s">
        <v>299</v>
      </c>
      <c r="G296">
        <v>2.7000000000000001E-3</v>
      </c>
    </row>
    <row r="297" spans="1:7" x14ac:dyDescent="0.2">
      <c r="A297" s="1">
        <v>45326</v>
      </c>
      <c r="B297">
        <v>42581.4</v>
      </c>
      <c r="C297">
        <v>43006.2</v>
      </c>
      <c r="D297">
        <v>43113.2</v>
      </c>
      <c r="E297">
        <v>42379.4</v>
      </c>
      <c r="F297" t="s">
        <v>300</v>
      </c>
      <c r="G297">
        <v>-9.9000000000000008E-3</v>
      </c>
    </row>
    <row r="298" spans="1:7" x14ac:dyDescent="0.2">
      <c r="A298" s="1">
        <v>45325</v>
      </c>
      <c r="B298">
        <v>43005.7</v>
      </c>
      <c r="C298">
        <v>43194.7</v>
      </c>
      <c r="D298">
        <v>43370.400000000001</v>
      </c>
      <c r="E298">
        <v>42882</v>
      </c>
      <c r="F298" t="s">
        <v>301</v>
      </c>
      <c r="G298">
        <v>-4.4000000000000003E-3</v>
      </c>
    </row>
    <row r="299" spans="1:7" x14ac:dyDescent="0.2">
      <c r="A299" s="1">
        <v>45324</v>
      </c>
      <c r="B299">
        <v>43194.7</v>
      </c>
      <c r="C299">
        <v>43083.7</v>
      </c>
      <c r="D299">
        <v>43459.3</v>
      </c>
      <c r="E299">
        <v>42596.3</v>
      </c>
      <c r="F299" t="s">
        <v>302</v>
      </c>
      <c r="G299">
        <v>2.5999999999999999E-3</v>
      </c>
    </row>
    <row r="300" spans="1:7" x14ac:dyDescent="0.2">
      <c r="A300" s="1">
        <v>45323</v>
      </c>
      <c r="B300">
        <v>43081.4</v>
      </c>
      <c r="C300">
        <v>42580.1</v>
      </c>
      <c r="D300">
        <v>43263.1</v>
      </c>
      <c r="E300">
        <v>41890.5</v>
      </c>
      <c r="F300" t="s">
        <v>303</v>
      </c>
      <c r="G300">
        <v>1.18E-2</v>
      </c>
    </row>
    <row r="301" spans="1:7" x14ac:dyDescent="0.2">
      <c r="A301" s="1">
        <v>45322</v>
      </c>
      <c r="B301">
        <v>42580.5</v>
      </c>
      <c r="C301">
        <v>42946.2</v>
      </c>
      <c r="D301">
        <v>43739.7</v>
      </c>
      <c r="E301">
        <v>42315.4</v>
      </c>
      <c r="F301" t="s">
        <v>304</v>
      </c>
      <c r="G301">
        <v>-8.5000000000000006E-3</v>
      </c>
    </row>
    <row r="302" spans="1:7" x14ac:dyDescent="0.2">
      <c r="A302" s="1">
        <v>45321</v>
      </c>
      <c r="B302">
        <v>42946.2</v>
      </c>
      <c r="C302">
        <v>43303.3</v>
      </c>
      <c r="D302">
        <v>43817.9</v>
      </c>
      <c r="E302">
        <v>42702.9</v>
      </c>
      <c r="F302" t="s">
        <v>305</v>
      </c>
      <c r="G302">
        <v>-8.2000000000000007E-3</v>
      </c>
    </row>
    <row r="303" spans="1:7" x14ac:dyDescent="0.2">
      <c r="A303" s="1">
        <v>45320</v>
      </c>
      <c r="B303">
        <v>43299.8</v>
      </c>
      <c r="C303">
        <v>42031.4</v>
      </c>
      <c r="D303">
        <v>43305.599999999999</v>
      </c>
      <c r="E303">
        <v>41824.699999999997</v>
      </c>
      <c r="F303" t="s">
        <v>306</v>
      </c>
      <c r="G303">
        <v>3.0200000000000001E-2</v>
      </c>
    </row>
    <row r="304" spans="1:7" x14ac:dyDescent="0.2">
      <c r="A304" s="1">
        <v>45319</v>
      </c>
      <c r="B304">
        <v>42030.7</v>
      </c>
      <c r="C304">
        <v>42121.3</v>
      </c>
      <c r="D304">
        <v>42817.1</v>
      </c>
      <c r="E304">
        <v>41649</v>
      </c>
      <c r="F304" t="s">
        <v>307</v>
      </c>
      <c r="G304">
        <v>-2.0999999999999999E-3</v>
      </c>
    </row>
    <row r="305" spans="1:7" x14ac:dyDescent="0.2">
      <c r="A305" s="1">
        <v>45318</v>
      </c>
      <c r="B305">
        <v>42120.9</v>
      </c>
      <c r="C305">
        <v>41811.5</v>
      </c>
      <c r="D305">
        <v>42191.8</v>
      </c>
      <c r="E305">
        <v>41413</v>
      </c>
      <c r="F305" t="s">
        <v>308</v>
      </c>
      <c r="G305">
        <v>7.4000000000000003E-3</v>
      </c>
    </row>
    <row r="306" spans="1:7" x14ac:dyDescent="0.2">
      <c r="A306" s="1">
        <v>45317</v>
      </c>
      <c r="B306">
        <v>41811.300000000003</v>
      </c>
      <c r="C306">
        <v>39942</v>
      </c>
      <c r="D306">
        <v>42214.8</v>
      </c>
      <c r="E306">
        <v>39831.199999999997</v>
      </c>
      <c r="F306" t="s">
        <v>309</v>
      </c>
      <c r="G306">
        <v>4.7E-2</v>
      </c>
    </row>
    <row r="307" spans="1:7" x14ac:dyDescent="0.2">
      <c r="A307" s="1">
        <v>45316</v>
      </c>
      <c r="B307">
        <v>39935.699999999997</v>
      </c>
      <c r="C307">
        <v>40085.1</v>
      </c>
      <c r="D307">
        <v>40285.800000000003</v>
      </c>
      <c r="E307">
        <v>39546.300000000003</v>
      </c>
      <c r="F307" t="s">
        <v>310</v>
      </c>
      <c r="G307">
        <v>-3.7000000000000002E-3</v>
      </c>
    </row>
    <row r="308" spans="1:7" x14ac:dyDescent="0.2">
      <c r="A308" s="1">
        <v>45315</v>
      </c>
      <c r="B308">
        <v>40086</v>
      </c>
      <c r="C308">
        <v>39891.300000000003</v>
      </c>
      <c r="D308">
        <v>40535.199999999997</v>
      </c>
      <c r="E308">
        <v>39510</v>
      </c>
      <c r="F308" t="s">
        <v>311</v>
      </c>
      <c r="G308">
        <v>4.8999999999999998E-3</v>
      </c>
    </row>
    <row r="309" spans="1:7" x14ac:dyDescent="0.2">
      <c r="A309" s="1">
        <v>45314</v>
      </c>
      <c r="B309">
        <v>39888.800000000003</v>
      </c>
      <c r="C309">
        <v>39555</v>
      </c>
      <c r="D309">
        <v>40159.4</v>
      </c>
      <c r="E309">
        <v>38546.9</v>
      </c>
      <c r="F309" t="s">
        <v>312</v>
      </c>
      <c r="G309">
        <v>8.3999999999999995E-3</v>
      </c>
    </row>
    <row r="310" spans="1:7" x14ac:dyDescent="0.2">
      <c r="A310" s="1">
        <v>45313</v>
      </c>
      <c r="B310">
        <v>39556.400000000001</v>
      </c>
      <c r="C310">
        <v>41581.699999999997</v>
      </c>
      <c r="D310">
        <v>41684.9</v>
      </c>
      <c r="E310">
        <v>39468.400000000001</v>
      </c>
      <c r="F310" t="s">
        <v>313</v>
      </c>
      <c r="G310">
        <v>-4.87E-2</v>
      </c>
    </row>
    <row r="311" spans="1:7" x14ac:dyDescent="0.2">
      <c r="A311" s="1">
        <v>45312</v>
      </c>
      <c r="B311">
        <v>41583.199999999997</v>
      </c>
      <c r="C311">
        <v>41695.4</v>
      </c>
      <c r="D311">
        <v>41878</v>
      </c>
      <c r="E311">
        <v>41504.5</v>
      </c>
      <c r="F311" t="s">
        <v>314</v>
      </c>
      <c r="G311">
        <v>-2.7000000000000001E-3</v>
      </c>
    </row>
    <row r="312" spans="1:7" x14ac:dyDescent="0.2">
      <c r="A312" s="1">
        <v>45311</v>
      </c>
      <c r="B312">
        <v>41695.4</v>
      </c>
      <c r="C312">
        <v>41647.599999999999</v>
      </c>
      <c r="D312">
        <v>41858</v>
      </c>
      <c r="E312">
        <v>41449.5</v>
      </c>
      <c r="F312" t="s">
        <v>315</v>
      </c>
      <c r="G312">
        <v>1.1000000000000001E-3</v>
      </c>
    </row>
    <row r="313" spans="1:7" x14ac:dyDescent="0.2">
      <c r="A313" s="1">
        <v>45310</v>
      </c>
      <c r="B313">
        <v>41648</v>
      </c>
      <c r="C313">
        <v>41293.800000000003</v>
      </c>
      <c r="D313">
        <v>42164.6</v>
      </c>
      <c r="E313">
        <v>40305.4</v>
      </c>
      <c r="F313" t="s">
        <v>316</v>
      </c>
      <c r="G313">
        <v>8.6E-3</v>
      </c>
    </row>
    <row r="314" spans="1:7" x14ac:dyDescent="0.2">
      <c r="A314" s="1">
        <v>45309</v>
      </c>
      <c r="B314">
        <v>41292.699999999997</v>
      </c>
      <c r="C314">
        <v>42763.5</v>
      </c>
      <c r="D314">
        <v>42908</v>
      </c>
      <c r="E314">
        <v>40682.6</v>
      </c>
      <c r="F314" t="s">
        <v>317</v>
      </c>
      <c r="G314">
        <v>-3.4500000000000003E-2</v>
      </c>
    </row>
    <row r="315" spans="1:7" x14ac:dyDescent="0.2">
      <c r="A315" s="1">
        <v>45308</v>
      </c>
      <c r="B315">
        <v>42768.7</v>
      </c>
      <c r="C315">
        <v>43139.1</v>
      </c>
      <c r="D315">
        <v>43192.3</v>
      </c>
      <c r="E315">
        <v>42211.8</v>
      </c>
      <c r="F315" t="s">
        <v>318</v>
      </c>
      <c r="G315">
        <v>-8.6999999999999994E-3</v>
      </c>
    </row>
    <row r="316" spans="1:7" x14ac:dyDescent="0.2">
      <c r="A316" s="1">
        <v>45307</v>
      </c>
      <c r="B316">
        <v>43145.5</v>
      </c>
      <c r="C316">
        <v>42515.199999999997</v>
      </c>
      <c r="D316">
        <v>43563.7</v>
      </c>
      <c r="E316">
        <v>42093.1</v>
      </c>
      <c r="F316" t="s">
        <v>319</v>
      </c>
      <c r="G316">
        <v>1.49E-2</v>
      </c>
    </row>
    <row r="317" spans="1:7" x14ac:dyDescent="0.2">
      <c r="A317" s="1">
        <v>45306</v>
      </c>
      <c r="B317">
        <v>42510.7</v>
      </c>
      <c r="C317">
        <v>41747.599999999999</v>
      </c>
      <c r="D317">
        <v>43348.9</v>
      </c>
      <c r="E317">
        <v>41719.199999999997</v>
      </c>
      <c r="F317" t="s">
        <v>320</v>
      </c>
      <c r="G317">
        <v>1.83E-2</v>
      </c>
    </row>
    <row r="318" spans="1:7" x14ac:dyDescent="0.2">
      <c r="A318" s="1">
        <v>45305</v>
      </c>
      <c r="B318">
        <v>41746.1</v>
      </c>
      <c r="C318">
        <v>42851.3</v>
      </c>
      <c r="D318">
        <v>43069.4</v>
      </c>
      <c r="E318">
        <v>41739.599999999999</v>
      </c>
      <c r="F318" t="s">
        <v>321</v>
      </c>
      <c r="G318">
        <v>-2.58E-2</v>
      </c>
    </row>
    <row r="319" spans="1:7" x14ac:dyDescent="0.2">
      <c r="A319" s="1">
        <v>45304</v>
      </c>
      <c r="B319">
        <v>42851.3</v>
      </c>
      <c r="C319">
        <v>42836.7</v>
      </c>
      <c r="D319">
        <v>43248.6</v>
      </c>
      <c r="E319">
        <v>42443.3</v>
      </c>
      <c r="F319" t="s">
        <v>322</v>
      </c>
      <c r="G319">
        <v>4.0000000000000002E-4</v>
      </c>
    </row>
    <row r="320" spans="1:7" x14ac:dyDescent="0.2">
      <c r="A320" s="1">
        <v>45303</v>
      </c>
      <c r="B320">
        <v>42835.9</v>
      </c>
      <c r="C320">
        <v>46348.1</v>
      </c>
      <c r="D320">
        <v>46503.199999999997</v>
      </c>
      <c r="E320">
        <v>41857.9</v>
      </c>
      <c r="F320" t="s">
        <v>323</v>
      </c>
      <c r="G320">
        <v>-7.5800000000000006E-2</v>
      </c>
    </row>
    <row r="321" spans="1:7" x14ac:dyDescent="0.2">
      <c r="A321" s="1">
        <v>45302</v>
      </c>
      <c r="B321">
        <v>46348.2</v>
      </c>
      <c r="C321">
        <v>46629.3</v>
      </c>
      <c r="D321">
        <v>48923.7</v>
      </c>
      <c r="E321">
        <v>45651.8</v>
      </c>
      <c r="F321" t="s">
        <v>324</v>
      </c>
      <c r="G321">
        <v>-6.0000000000000001E-3</v>
      </c>
    </row>
    <row r="322" spans="1:7" x14ac:dyDescent="0.2">
      <c r="A322" s="1">
        <v>45301</v>
      </c>
      <c r="B322">
        <v>46629.3</v>
      </c>
      <c r="C322">
        <v>46112</v>
      </c>
      <c r="D322">
        <v>47654.3</v>
      </c>
      <c r="E322">
        <v>44403.6</v>
      </c>
      <c r="F322" t="s">
        <v>325</v>
      </c>
      <c r="G322">
        <v>1.0800000000000001E-2</v>
      </c>
    </row>
    <row r="323" spans="1:7" x14ac:dyDescent="0.2">
      <c r="A323" s="1">
        <v>45300</v>
      </c>
      <c r="B323">
        <v>46129</v>
      </c>
      <c r="C323">
        <v>46959.199999999997</v>
      </c>
      <c r="D323">
        <v>47880.1</v>
      </c>
      <c r="E323">
        <v>45333.9</v>
      </c>
      <c r="F323" t="s">
        <v>326</v>
      </c>
      <c r="G323">
        <v>-1.77E-2</v>
      </c>
    </row>
    <row r="324" spans="1:7" x14ac:dyDescent="0.2">
      <c r="A324" s="1">
        <v>45299</v>
      </c>
      <c r="B324">
        <v>46962.2</v>
      </c>
      <c r="C324">
        <v>43934.2</v>
      </c>
      <c r="D324">
        <v>47196.7</v>
      </c>
      <c r="E324">
        <v>43251</v>
      </c>
      <c r="F324" t="s">
        <v>327</v>
      </c>
      <c r="G324">
        <v>6.9099999999999995E-2</v>
      </c>
    </row>
    <row r="325" spans="1:7" x14ac:dyDescent="0.2">
      <c r="A325" s="1">
        <v>45298</v>
      </c>
      <c r="B325">
        <v>43927.3</v>
      </c>
      <c r="C325">
        <v>43973.5</v>
      </c>
      <c r="D325">
        <v>44481.2</v>
      </c>
      <c r="E325">
        <v>43627.9</v>
      </c>
      <c r="F325" t="s">
        <v>328</v>
      </c>
      <c r="G325">
        <v>-8.9999999999999998E-4</v>
      </c>
    </row>
    <row r="326" spans="1:7" x14ac:dyDescent="0.2">
      <c r="A326" s="1">
        <v>45297</v>
      </c>
      <c r="B326">
        <v>43967.9</v>
      </c>
      <c r="C326">
        <v>44156.6</v>
      </c>
      <c r="D326">
        <v>44203.199999999997</v>
      </c>
      <c r="E326">
        <v>43424</v>
      </c>
      <c r="F326" t="s">
        <v>329</v>
      </c>
      <c r="G326">
        <v>-4.3E-3</v>
      </c>
    </row>
    <row r="327" spans="1:7" x14ac:dyDescent="0.2">
      <c r="A327" s="1">
        <v>45296</v>
      </c>
      <c r="B327">
        <v>44156.9</v>
      </c>
      <c r="C327">
        <v>44163</v>
      </c>
      <c r="D327">
        <v>44312.1</v>
      </c>
      <c r="E327">
        <v>42629</v>
      </c>
      <c r="F327" t="s">
        <v>330</v>
      </c>
      <c r="G327">
        <v>0</v>
      </c>
    </row>
    <row r="328" spans="1:7" x14ac:dyDescent="0.2">
      <c r="A328" s="1">
        <v>45295</v>
      </c>
      <c r="B328">
        <v>44157</v>
      </c>
      <c r="C328">
        <v>42836.1</v>
      </c>
      <c r="D328">
        <v>44744.5</v>
      </c>
      <c r="E328">
        <v>42632.800000000003</v>
      </c>
      <c r="F328" t="s">
        <v>331</v>
      </c>
      <c r="G328">
        <v>3.0800000000000001E-2</v>
      </c>
    </row>
    <row r="329" spans="1:7" x14ac:dyDescent="0.2">
      <c r="A329" s="1">
        <v>45294</v>
      </c>
      <c r="B329">
        <v>42836.1</v>
      </c>
      <c r="C329">
        <v>44943.7</v>
      </c>
      <c r="D329">
        <v>45492.7</v>
      </c>
      <c r="E329">
        <v>40888.300000000003</v>
      </c>
      <c r="F329" t="s">
        <v>332</v>
      </c>
      <c r="G329">
        <v>-4.6899999999999997E-2</v>
      </c>
    </row>
    <row r="330" spans="1:7" x14ac:dyDescent="0.2">
      <c r="A330" s="1">
        <v>45293</v>
      </c>
      <c r="B330">
        <v>44943.7</v>
      </c>
      <c r="C330">
        <v>44182.9</v>
      </c>
      <c r="D330">
        <v>45885.4</v>
      </c>
      <c r="E330">
        <v>44166</v>
      </c>
      <c r="F330" t="s">
        <v>333</v>
      </c>
      <c r="G330">
        <v>1.72E-2</v>
      </c>
    </row>
    <row r="331" spans="1:7" x14ac:dyDescent="0.2">
      <c r="A331" s="1">
        <v>45292</v>
      </c>
      <c r="B331">
        <v>44183.4</v>
      </c>
      <c r="C331">
        <v>42272.5</v>
      </c>
      <c r="D331">
        <v>44187</v>
      </c>
      <c r="E331">
        <v>42196.7</v>
      </c>
      <c r="F331" t="s">
        <v>334</v>
      </c>
      <c r="G331">
        <v>4.5199999999999997E-2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598D-7CA9-C940-B887-FC80D612630D}">
  <dimension ref="A1:G79"/>
  <sheetViews>
    <sheetView workbookViewId="0">
      <selection activeCell="A15" sqref="A15:G79"/>
    </sheetView>
  </sheetViews>
  <sheetFormatPr baseColWidth="10" defaultRowHeight="16" x14ac:dyDescent="0.2"/>
  <cols>
    <col min="1" max="1" width="8.5" bestFit="1" customWidth="1"/>
    <col min="2" max="5" width="9.1640625" bestFit="1" customWidth="1"/>
    <col min="6" max="6" width="7.6640625" bestFit="1" customWidth="1"/>
    <col min="7" max="7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45670</v>
      </c>
      <c r="B2">
        <v>93045.5</v>
      </c>
      <c r="C2">
        <v>94540.5</v>
      </c>
      <c r="D2">
        <v>95906.9</v>
      </c>
      <c r="E2">
        <v>92931.9</v>
      </c>
      <c r="F2" t="s">
        <v>339</v>
      </c>
      <c r="G2">
        <v>-1.5699999999999999E-2</v>
      </c>
    </row>
    <row r="3" spans="1:7" x14ac:dyDescent="0.2">
      <c r="A3" s="1">
        <v>45669</v>
      </c>
      <c r="B3">
        <v>94533.6</v>
      </c>
      <c r="C3">
        <v>94598</v>
      </c>
      <c r="D3">
        <v>95383.2</v>
      </c>
      <c r="E3">
        <v>93736.6</v>
      </c>
      <c r="F3" t="s">
        <v>340</v>
      </c>
      <c r="G3">
        <v>-6.9999999999999999E-4</v>
      </c>
    </row>
    <row r="4" spans="1:7" x14ac:dyDescent="0.2">
      <c r="A4" s="1">
        <v>45668</v>
      </c>
      <c r="B4">
        <v>94596.7</v>
      </c>
      <c r="C4">
        <v>94724</v>
      </c>
      <c r="D4">
        <v>95009.4</v>
      </c>
      <c r="E4">
        <v>93847.8</v>
      </c>
      <c r="F4" t="s">
        <v>341</v>
      </c>
      <c r="G4">
        <v>-1.2999999999999999E-3</v>
      </c>
    </row>
    <row r="5" spans="1:7" x14ac:dyDescent="0.2">
      <c r="A5" s="1">
        <v>45667</v>
      </c>
      <c r="B5">
        <v>94724.1</v>
      </c>
      <c r="C5">
        <v>92540.5</v>
      </c>
      <c r="D5">
        <v>95760.6</v>
      </c>
      <c r="E5">
        <v>92310.6</v>
      </c>
      <c r="F5" t="s">
        <v>342</v>
      </c>
      <c r="G5">
        <v>2.3599999999999999E-2</v>
      </c>
    </row>
    <row r="6" spans="1:7" x14ac:dyDescent="0.2">
      <c r="A6" s="1">
        <v>45666</v>
      </c>
      <c r="B6">
        <v>92539.8</v>
      </c>
      <c r="C6">
        <v>95066.6</v>
      </c>
      <c r="D6">
        <v>95323.1</v>
      </c>
      <c r="E6">
        <v>91241.9</v>
      </c>
      <c r="F6" t="s">
        <v>343</v>
      </c>
      <c r="G6">
        <v>-2.6599999999999999E-2</v>
      </c>
    </row>
    <row r="7" spans="1:7" x14ac:dyDescent="0.2">
      <c r="A7" s="1">
        <v>45665</v>
      </c>
      <c r="B7">
        <v>95066.6</v>
      </c>
      <c r="C7">
        <v>96938.2</v>
      </c>
      <c r="D7">
        <v>97266.4</v>
      </c>
      <c r="E7">
        <v>92716.6</v>
      </c>
      <c r="F7" t="s">
        <v>344</v>
      </c>
      <c r="G7">
        <v>-1.9199999999999998E-2</v>
      </c>
    </row>
    <row r="8" spans="1:7" x14ac:dyDescent="0.2">
      <c r="A8" s="1">
        <v>45664</v>
      </c>
      <c r="B8">
        <v>96929.8</v>
      </c>
      <c r="C8">
        <v>102247.9</v>
      </c>
      <c r="D8">
        <v>102678.2</v>
      </c>
      <c r="E8">
        <v>96201.3</v>
      </c>
      <c r="F8" t="s">
        <v>345</v>
      </c>
      <c r="G8">
        <v>-5.1999999999999998E-2</v>
      </c>
    </row>
    <row r="9" spans="1:7" x14ac:dyDescent="0.2">
      <c r="A9" s="1">
        <v>45663</v>
      </c>
      <c r="B9">
        <v>102248.7</v>
      </c>
      <c r="C9">
        <v>98373.2</v>
      </c>
      <c r="D9">
        <v>102474.5</v>
      </c>
      <c r="E9">
        <v>97932.3</v>
      </c>
      <c r="F9" t="s">
        <v>346</v>
      </c>
      <c r="G9">
        <v>3.9699999999999999E-2</v>
      </c>
    </row>
    <row r="10" spans="1:7" x14ac:dyDescent="0.2">
      <c r="A10" s="1">
        <v>45662</v>
      </c>
      <c r="B10">
        <v>98347.7</v>
      </c>
      <c r="C10">
        <v>98220.1</v>
      </c>
      <c r="D10">
        <v>98823.1</v>
      </c>
      <c r="E10">
        <v>97300</v>
      </c>
      <c r="F10" t="s">
        <v>347</v>
      </c>
      <c r="G10">
        <v>1.2999999999999999E-3</v>
      </c>
    </row>
    <row r="11" spans="1:7" x14ac:dyDescent="0.2">
      <c r="A11" s="1">
        <v>45661</v>
      </c>
      <c r="B11">
        <v>98219.9</v>
      </c>
      <c r="C11">
        <v>98168.9</v>
      </c>
      <c r="D11">
        <v>98742.6</v>
      </c>
      <c r="E11">
        <v>97568.9</v>
      </c>
      <c r="F11" t="s">
        <v>348</v>
      </c>
      <c r="G11">
        <v>5.0000000000000001E-4</v>
      </c>
    </row>
    <row r="12" spans="1:7" x14ac:dyDescent="0.2">
      <c r="A12" s="1">
        <v>45660</v>
      </c>
      <c r="B12">
        <v>98167.5</v>
      </c>
      <c r="C12">
        <v>96960.2</v>
      </c>
      <c r="D12">
        <v>98963.3</v>
      </c>
      <c r="E12">
        <v>96090.6</v>
      </c>
      <c r="F12" t="s">
        <v>349</v>
      </c>
      <c r="G12">
        <v>1.2500000000000001E-2</v>
      </c>
    </row>
    <row r="13" spans="1:7" x14ac:dyDescent="0.2">
      <c r="A13" s="1">
        <v>45659</v>
      </c>
      <c r="B13">
        <v>96960</v>
      </c>
      <c r="C13">
        <v>94561.1</v>
      </c>
      <c r="D13">
        <v>97808</v>
      </c>
      <c r="E13">
        <v>94381.2</v>
      </c>
      <c r="F13" t="s">
        <v>350</v>
      </c>
      <c r="G13">
        <v>2.5399999999999999E-2</v>
      </c>
    </row>
    <row r="14" spans="1:7" x14ac:dyDescent="0.2">
      <c r="A14" s="1">
        <v>45658</v>
      </c>
      <c r="B14">
        <v>94560.2</v>
      </c>
      <c r="C14">
        <v>93557.3</v>
      </c>
      <c r="D14">
        <v>95100</v>
      </c>
      <c r="E14">
        <v>92939.3</v>
      </c>
      <c r="F14" t="s">
        <v>351</v>
      </c>
      <c r="G14">
        <v>1.0699999999999999E-2</v>
      </c>
    </row>
    <row r="15" spans="1:7" x14ac:dyDescent="0.2">
      <c r="A15" s="1">
        <v>45657</v>
      </c>
      <c r="B15">
        <v>93557.2</v>
      </c>
      <c r="C15">
        <v>92777.2</v>
      </c>
      <c r="D15">
        <v>96163.4</v>
      </c>
      <c r="E15">
        <v>92036.2</v>
      </c>
      <c r="F15" t="s">
        <v>352</v>
      </c>
      <c r="G15">
        <v>8.3999999999999995E-3</v>
      </c>
    </row>
    <row r="16" spans="1:7" x14ac:dyDescent="0.2">
      <c r="A16" s="1">
        <v>45656</v>
      </c>
      <c r="B16">
        <v>92779.8</v>
      </c>
      <c r="C16">
        <v>93718.7</v>
      </c>
      <c r="D16">
        <v>94936.4</v>
      </c>
      <c r="E16">
        <v>91522.3</v>
      </c>
      <c r="F16" t="s">
        <v>353</v>
      </c>
      <c r="G16">
        <v>-0.01</v>
      </c>
    </row>
    <row r="17" spans="1:7" x14ac:dyDescent="0.2">
      <c r="A17" s="1">
        <v>45655</v>
      </c>
      <c r="B17">
        <v>93716.3</v>
      </c>
      <c r="C17">
        <v>95282.6</v>
      </c>
      <c r="D17">
        <v>95315.4</v>
      </c>
      <c r="E17">
        <v>93026.7</v>
      </c>
      <c r="F17" t="s">
        <v>354</v>
      </c>
      <c r="G17">
        <v>-1.6500000000000001E-2</v>
      </c>
    </row>
    <row r="18" spans="1:7" x14ac:dyDescent="0.2">
      <c r="A18" s="1">
        <v>45654</v>
      </c>
      <c r="B18">
        <v>95284.5</v>
      </c>
      <c r="C18">
        <v>94274.9</v>
      </c>
      <c r="D18">
        <v>95684.3</v>
      </c>
      <c r="E18">
        <v>94124.7</v>
      </c>
      <c r="F18" t="s">
        <v>355</v>
      </c>
      <c r="G18">
        <v>1.0699999999999999E-2</v>
      </c>
    </row>
    <row r="19" spans="1:7" x14ac:dyDescent="0.2">
      <c r="A19" s="1">
        <v>45653</v>
      </c>
      <c r="B19">
        <v>94275.9</v>
      </c>
      <c r="C19">
        <v>95776.4</v>
      </c>
      <c r="D19">
        <v>97243.3</v>
      </c>
      <c r="E19">
        <v>93472.8</v>
      </c>
      <c r="F19" t="s">
        <v>356</v>
      </c>
      <c r="G19">
        <v>-1.5699999999999999E-2</v>
      </c>
    </row>
    <row r="20" spans="1:7" x14ac:dyDescent="0.2">
      <c r="A20" s="1">
        <v>45652</v>
      </c>
      <c r="B20">
        <v>95777.7</v>
      </c>
      <c r="C20">
        <v>99389.4</v>
      </c>
      <c r="D20">
        <v>99922.5</v>
      </c>
      <c r="E20">
        <v>95193.3</v>
      </c>
      <c r="F20" t="s">
        <v>357</v>
      </c>
      <c r="G20">
        <v>-3.6400000000000002E-2</v>
      </c>
    </row>
    <row r="21" spans="1:7" x14ac:dyDescent="0.2">
      <c r="A21" s="1">
        <v>45651</v>
      </c>
      <c r="B21">
        <v>99391.3</v>
      </c>
      <c r="C21">
        <v>98661.9</v>
      </c>
      <c r="D21">
        <v>99514.1</v>
      </c>
      <c r="E21">
        <v>97651.9</v>
      </c>
      <c r="F21" t="s">
        <v>358</v>
      </c>
      <c r="G21">
        <v>7.3000000000000001E-3</v>
      </c>
    </row>
    <row r="22" spans="1:7" x14ac:dyDescent="0.2">
      <c r="A22" s="1">
        <v>45650</v>
      </c>
      <c r="B22">
        <v>98668.1</v>
      </c>
      <c r="C22">
        <v>94852.800000000003</v>
      </c>
      <c r="D22">
        <v>99446.6</v>
      </c>
      <c r="E22">
        <v>93566.2</v>
      </c>
      <c r="F22" t="s">
        <v>359</v>
      </c>
      <c r="G22">
        <v>4.02E-2</v>
      </c>
    </row>
    <row r="23" spans="1:7" x14ac:dyDescent="0.2">
      <c r="A23" s="1">
        <v>45649</v>
      </c>
      <c r="B23">
        <v>94852.1</v>
      </c>
      <c r="C23">
        <v>95184.8</v>
      </c>
      <c r="D23">
        <v>96517.8</v>
      </c>
      <c r="E23">
        <v>92543.2</v>
      </c>
      <c r="F23" t="s">
        <v>360</v>
      </c>
      <c r="G23">
        <v>-3.5000000000000001E-3</v>
      </c>
    </row>
    <row r="24" spans="1:7" x14ac:dyDescent="0.2">
      <c r="A24" s="1">
        <v>45648</v>
      </c>
      <c r="B24">
        <v>95183.8</v>
      </c>
      <c r="C24">
        <v>97281.600000000006</v>
      </c>
      <c r="D24">
        <v>97422.2</v>
      </c>
      <c r="E24">
        <v>94265.2</v>
      </c>
      <c r="F24" t="s">
        <v>361</v>
      </c>
      <c r="G24">
        <v>-2.1299999999999999E-2</v>
      </c>
    </row>
    <row r="25" spans="1:7" x14ac:dyDescent="0.2">
      <c r="A25" s="1">
        <v>45647</v>
      </c>
      <c r="B25">
        <v>97253.3</v>
      </c>
      <c r="C25">
        <v>97799.1</v>
      </c>
      <c r="D25">
        <v>99531.9</v>
      </c>
      <c r="E25">
        <v>96478.6</v>
      </c>
      <c r="F25" t="s">
        <v>362</v>
      </c>
      <c r="G25">
        <v>-5.4999999999999997E-3</v>
      </c>
    </row>
    <row r="26" spans="1:7" x14ac:dyDescent="0.2">
      <c r="A26" s="1">
        <v>45646</v>
      </c>
      <c r="B26">
        <v>97795.7</v>
      </c>
      <c r="C26">
        <v>97468.3</v>
      </c>
      <c r="D26">
        <v>98178.2</v>
      </c>
      <c r="E26">
        <v>92301.9</v>
      </c>
      <c r="F26" t="s">
        <v>363</v>
      </c>
      <c r="G26">
        <v>3.3999999999999998E-3</v>
      </c>
    </row>
    <row r="27" spans="1:7" x14ac:dyDescent="0.2">
      <c r="A27" s="1">
        <v>45645</v>
      </c>
      <c r="B27">
        <v>97466.1</v>
      </c>
      <c r="C27">
        <v>100190.5</v>
      </c>
      <c r="D27">
        <v>102778.8</v>
      </c>
      <c r="E27">
        <v>95672.2</v>
      </c>
      <c r="F27" t="s">
        <v>364</v>
      </c>
      <c r="G27">
        <v>-2.7300000000000001E-2</v>
      </c>
    </row>
    <row r="28" spans="1:7" x14ac:dyDescent="0.2">
      <c r="A28" s="1">
        <v>45644</v>
      </c>
      <c r="B28">
        <v>100197.8</v>
      </c>
      <c r="C28">
        <v>106140.7</v>
      </c>
      <c r="D28">
        <v>106477.6</v>
      </c>
      <c r="E28">
        <v>100049.3</v>
      </c>
      <c r="F28" t="s">
        <v>365</v>
      </c>
      <c r="G28">
        <v>-5.6000000000000001E-2</v>
      </c>
    </row>
    <row r="29" spans="1:7" x14ac:dyDescent="0.2">
      <c r="A29" s="1">
        <v>45643</v>
      </c>
      <c r="B29">
        <v>106138.9</v>
      </c>
      <c r="C29">
        <v>106053.4</v>
      </c>
      <c r="D29">
        <v>108244.9</v>
      </c>
      <c r="E29">
        <v>105350.6</v>
      </c>
      <c r="F29" t="s">
        <v>366</v>
      </c>
      <c r="G29">
        <v>8.0000000000000004E-4</v>
      </c>
    </row>
    <row r="30" spans="1:7" x14ac:dyDescent="0.2">
      <c r="A30" s="1">
        <v>45642</v>
      </c>
      <c r="B30">
        <v>106057.60000000001</v>
      </c>
      <c r="C30">
        <v>104479.2</v>
      </c>
      <c r="D30">
        <v>107767.6</v>
      </c>
      <c r="E30">
        <v>103351.7</v>
      </c>
      <c r="F30" t="s">
        <v>367</v>
      </c>
      <c r="G30">
        <v>1.55E-2</v>
      </c>
    </row>
    <row r="31" spans="1:7" x14ac:dyDescent="0.2">
      <c r="A31" s="1">
        <v>45641</v>
      </c>
      <c r="B31">
        <v>104443</v>
      </c>
      <c r="C31">
        <v>101417.9</v>
      </c>
      <c r="D31">
        <v>105120.9</v>
      </c>
      <c r="E31">
        <v>101234.9</v>
      </c>
      <c r="F31" t="s">
        <v>368</v>
      </c>
      <c r="G31">
        <v>2.98E-2</v>
      </c>
    </row>
    <row r="32" spans="1:7" x14ac:dyDescent="0.2">
      <c r="A32" s="1">
        <v>45640</v>
      </c>
      <c r="B32">
        <v>101417.7</v>
      </c>
      <c r="C32">
        <v>101423.7</v>
      </c>
      <c r="D32">
        <v>102633</v>
      </c>
      <c r="E32">
        <v>100626.3</v>
      </c>
      <c r="F32" t="s">
        <v>369</v>
      </c>
      <c r="G32">
        <v>-1E-4</v>
      </c>
    </row>
    <row r="33" spans="1:7" x14ac:dyDescent="0.2">
      <c r="A33" s="1">
        <v>45639</v>
      </c>
      <c r="B33">
        <v>101426.2</v>
      </c>
      <c r="C33">
        <v>100008.3</v>
      </c>
      <c r="D33">
        <v>101891.2</v>
      </c>
      <c r="E33">
        <v>99214.2</v>
      </c>
      <c r="F33" t="s">
        <v>370</v>
      </c>
      <c r="G33">
        <v>1.4200000000000001E-2</v>
      </c>
    </row>
    <row r="34" spans="1:7" x14ac:dyDescent="0.2">
      <c r="A34" s="1">
        <v>45638</v>
      </c>
      <c r="B34">
        <v>100009.9</v>
      </c>
      <c r="C34">
        <v>101126.3</v>
      </c>
      <c r="D34">
        <v>102495.3</v>
      </c>
      <c r="E34">
        <v>99334.5</v>
      </c>
      <c r="F34" t="s">
        <v>371</v>
      </c>
      <c r="G34">
        <v>-1.0999999999999999E-2</v>
      </c>
    </row>
    <row r="35" spans="1:7" x14ac:dyDescent="0.2">
      <c r="A35" s="1">
        <v>45637</v>
      </c>
      <c r="B35">
        <v>101126.2</v>
      </c>
      <c r="C35">
        <v>96603.199999999997</v>
      </c>
      <c r="D35">
        <v>101877.1</v>
      </c>
      <c r="E35">
        <v>95689.5</v>
      </c>
      <c r="F35" t="s">
        <v>372</v>
      </c>
      <c r="G35">
        <v>4.6899999999999997E-2</v>
      </c>
    </row>
    <row r="36" spans="1:7" x14ac:dyDescent="0.2">
      <c r="A36" s="1">
        <v>45636</v>
      </c>
      <c r="B36">
        <v>96600.3</v>
      </c>
      <c r="C36">
        <v>97311.5</v>
      </c>
      <c r="D36">
        <v>98237.8</v>
      </c>
      <c r="E36">
        <v>94304.5</v>
      </c>
      <c r="F36" t="s">
        <v>373</v>
      </c>
      <c r="G36">
        <v>-7.7999999999999996E-3</v>
      </c>
    </row>
    <row r="37" spans="1:7" x14ac:dyDescent="0.2">
      <c r="A37" s="1">
        <v>45635</v>
      </c>
      <c r="B37">
        <v>97359.4</v>
      </c>
      <c r="C37">
        <v>101129.7</v>
      </c>
      <c r="D37">
        <v>101198.6</v>
      </c>
      <c r="E37">
        <v>94395.8</v>
      </c>
      <c r="F37" t="s">
        <v>374</v>
      </c>
      <c r="G37">
        <v>-3.7199999999999997E-2</v>
      </c>
    </row>
    <row r="38" spans="1:7" x14ac:dyDescent="0.2">
      <c r="A38" s="1">
        <v>45634</v>
      </c>
      <c r="B38">
        <v>101115.8</v>
      </c>
      <c r="C38">
        <v>99837</v>
      </c>
      <c r="D38">
        <v>101339.9</v>
      </c>
      <c r="E38">
        <v>98713.9</v>
      </c>
      <c r="F38" t="s">
        <v>375</v>
      </c>
      <c r="G38">
        <v>1.2800000000000001E-2</v>
      </c>
    </row>
    <row r="39" spans="1:7" x14ac:dyDescent="0.2">
      <c r="A39" s="1">
        <v>45633</v>
      </c>
      <c r="B39">
        <v>99837</v>
      </c>
      <c r="C39">
        <v>99757.2</v>
      </c>
      <c r="D39">
        <v>100441.8</v>
      </c>
      <c r="E39">
        <v>98969</v>
      </c>
      <c r="F39" t="s">
        <v>376</v>
      </c>
      <c r="G39">
        <v>8.0000000000000004E-4</v>
      </c>
    </row>
    <row r="40" spans="1:7" x14ac:dyDescent="0.2">
      <c r="A40" s="1">
        <v>45632</v>
      </c>
      <c r="B40">
        <v>99760.7</v>
      </c>
      <c r="C40">
        <v>96968.9</v>
      </c>
      <c r="D40">
        <v>101908.5</v>
      </c>
      <c r="E40">
        <v>96452</v>
      </c>
      <c r="F40" t="s">
        <v>377</v>
      </c>
      <c r="G40">
        <v>2.8799999999999999E-2</v>
      </c>
    </row>
    <row r="41" spans="1:7" x14ac:dyDescent="0.2">
      <c r="A41" s="1">
        <v>45631</v>
      </c>
      <c r="B41">
        <v>96970.8</v>
      </c>
      <c r="C41">
        <v>98624.8</v>
      </c>
      <c r="D41">
        <v>103719.4</v>
      </c>
      <c r="E41">
        <v>92510.399999999994</v>
      </c>
      <c r="F41" t="s">
        <v>378</v>
      </c>
      <c r="G41">
        <v>-1.6899999999999998E-2</v>
      </c>
    </row>
    <row r="42" spans="1:7" x14ac:dyDescent="0.2">
      <c r="A42" s="1">
        <v>45630</v>
      </c>
      <c r="B42">
        <v>98635.8</v>
      </c>
      <c r="C42">
        <v>95900.1</v>
      </c>
      <c r="D42">
        <v>99030.7</v>
      </c>
      <c r="E42">
        <v>94625.3</v>
      </c>
      <c r="F42" t="s">
        <v>379</v>
      </c>
      <c r="G42">
        <v>2.8500000000000001E-2</v>
      </c>
    </row>
    <row r="43" spans="1:7" x14ac:dyDescent="0.2">
      <c r="A43" s="1">
        <v>45629</v>
      </c>
      <c r="B43">
        <v>95898.7</v>
      </c>
      <c r="C43">
        <v>95843.9</v>
      </c>
      <c r="D43">
        <v>96245</v>
      </c>
      <c r="E43">
        <v>93646.1</v>
      </c>
      <c r="F43" t="s">
        <v>380</v>
      </c>
      <c r="G43">
        <v>5.0000000000000001E-4</v>
      </c>
    </row>
    <row r="44" spans="1:7" x14ac:dyDescent="0.2">
      <c r="A44" s="1">
        <v>45628</v>
      </c>
      <c r="B44">
        <v>95846.6</v>
      </c>
      <c r="C44">
        <v>97199.3</v>
      </c>
      <c r="D44">
        <v>98082</v>
      </c>
      <c r="E44">
        <v>94510.6</v>
      </c>
      <c r="F44" t="s">
        <v>381</v>
      </c>
      <c r="G44">
        <v>-1.3899999999999999E-2</v>
      </c>
    </row>
    <row r="45" spans="1:7" x14ac:dyDescent="0.2">
      <c r="A45" s="1">
        <v>45627</v>
      </c>
      <c r="B45">
        <v>97201.4</v>
      </c>
      <c r="C45">
        <v>96404.7</v>
      </c>
      <c r="D45">
        <v>97813.9</v>
      </c>
      <c r="E45">
        <v>95721.8</v>
      </c>
      <c r="F45" t="s">
        <v>382</v>
      </c>
      <c r="G45">
        <v>8.3000000000000001E-3</v>
      </c>
    </row>
    <row r="46" spans="1:7" x14ac:dyDescent="0.2">
      <c r="A46" s="1">
        <v>45626</v>
      </c>
      <c r="B46">
        <v>96405.7</v>
      </c>
      <c r="C46">
        <v>97438.5</v>
      </c>
      <c r="D46">
        <v>97461.9</v>
      </c>
      <c r="E46">
        <v>96119.6</v>
      </c>
      <c r="F46" t="s">
        <v>383</v>
      </c>
      <c r="G46">
        <v>-1.06E-2</v>
      </c>
    </row>
    <row r="47" spans="1:7" x14ac:dyDescent="0.2">
      <c r="A47" s="1">
        <v>45625</v>
      </c>
      <c r="B47">
        <v>97438</v>
      </c>
      <c r="C47">
        <v>95645.6</v>
      </c>
      <c r="D47">
        <v>98599.8</v>
      </c>
      <c r="E47">
        <v>95405.7</v>
      </c>
      <c r="F47" t="s">
        <v>384</v>
      </c>
      <c r="G47">
        <v>1.8700000000000001E-2</v>
      </c>
    </row>
    <row r="48" spans="1:7" x14ac:dyDescent="0.2">
      <c r="A48" s="1">
        <v>45624</v>
      </c>
      <c r="B48">
        <v>95645.5</v>
      </c>
      <c r="C48">
        <v>95881.4</v>
      </c>
      <c r="D48">
        <v>96549</v>
      </c>
      <c r="E48">
        <v>94648.8</v>
      </c>
      <c r="F48" t="s">
        <v>385</v>
      </c>
      <c r="G48">
        <v>-2.5000000000000001E-3</v>
      </c>
    </row>
    <row r="49" spans="1:7" x14ac:dyDescent="0.2">
      <c r="A49" s="1">
        <v>45623</v>
      </c>
      <c r="B49">
        <v>95886.6</v>
      </c>
      <c r="C49">
        <v>91975.5</v>
      </c>
      <c r="D49">
        <v>97219.8</v>
      </c>
      <c r="E49">
        <v>91795.5</v>
      </c>
      <c r="F49" t="s">
        <v>386</v>
      </c>
      <c r="G49">
        <v>4.2500000000000003E-2</v>
      </c>
    </row>
    <row r="50" spans="1:7" x14ac:dyDescent="0.2">
      <c r="A50" s="1">
        <v>45622</v>
      </c>
      <c r="B50">
        <v>91977.600000000006</v>
      </c>
      <c r="C50">
        <v>93046.5</v>
      </c>
      <c r="D50">
        <v>94978.8</v>
      </c>
      <c r="E50">
        <v>90817.2</v>
      </c>
      <c r="F50" t="s">
        <v>387</v>
      </c>
      <c r="G50">
        <v>-1.17E-2</v>
      </c>
    </row>
    <row r="51" spans="1:7" x14ac:dyDescent="0.2">
      <c r="A51" s="1">
        <v>45621</v>
      </c>
      <c r="B51">
        <v>93064.4</v>
      </c>
      <c r="C51">
        <v>97948.800000000003</v>
      </c>
      <c r="D51">
        <v>98872.4</v>
      </c>
      <c r="E51">
        <v>92875.3</v>
      </c>
      <c r="F51" t="s">
        <v>388</v>
      </c>
      <c r="G51">
        <v>-4.9700000000000001E-2</v>
      </c>
    </row>
    <row r="52" spans="1:7" x14ac:dyDescent="0.2">
      <c r="A52" s="1">
        <v>45620</v>
      </c>
      <c r="B52">
        <v>97935.2</v>
      </c>
      <c r="C52">
        <v>97696.4</v>
      </c>
      <c r="D52">
        <v>98552.6</v>
      </c>
      <c r="E52">
        <v>95765.4</v>
      </c>
      <c r="F52" t="s">
        <v>8</v>
      </c>
      <c r="G52">
        <v>2.3999999999999998E-3</v>
      </c>
    </row>
    <row r="53" spans="1:7" x14ac:dyDescent="0.2">
      <c r="A53" s="1">
        <v>45619</v>
      </c>
      <c r="B53">
        <v>97699</v>
      </c>
      <c r="C53">
        <v>98927.2</v>
      </c>
      <c r="D53">
        <v>98927.2</v>
      </c>
      <c r="E53">
        <v>97180.9</v>
      </c>
      <c r="F53" t="s">
        <v>9</v>
      </c>
      <c r="G53">
        <v>-1.24E-2</v>
      </c>
    </row>
    <row r="54" spans="1:7" x14ac:dyDescent="0.2">
      <c r="A54" s="1">
        <v>45618</v>
      </c>
      <c r="B54">
        <v>98929.7</v>
      </c>
      <c r="C54">
        <v>98381.2</v>
      </c>
      <c r="D54">
        <v>99617.4</v>
      </c>
      <c r="E54">
        <v>97182.2</v>
      </c>
      <c r="F54" t="s">
        <v>10</v>
      </c>
      <c r="G54">
        <v>5.5999999999999999E-3</v>
      </c>
    </row>
    <row r="55" spans="1:7" x14ac:dyDescent="0.2">
      <c r="A55" s="1">
        <v>45617</v>
      </c>
      <c r="B55">
        <v>98374.5</v>
      </c>
      <c r="C55">
        <v>94308.7</v>
      </c>
      <c r="D55">
        <v>98937.2</v>
      </c>
      <c r="E55">
        <v>94063.8</v>
      </c>
      <c r="F55" t="s">
        <v>11</v>
      </c>
      <c r="G55">
        <v>4.3200000000000002E-2</v>
      </c>
    </row>
    <row r="56" spans="1:7" x14ac:dyDescent="0.2">
      <c r="A56" s="1">
        <v>45616</v>
      </c>
      <c r="B56">
        <v>94303.9</v>
      </c>
      <c r="C56">
        <v>92252.6</v>
      </c>
      <c r="D56">
        <v>94836.1</v>
      </c>
      <c r="E56">
        <v>91517.4</v>
      </c>
      <c r="F56" t="s">
        <v>12</v>
      </c>
      <c r="G56">
        <v>2.24E-2</v>
      </c>
    </row>
    <row r="57" spans="1:7" x14ac:dyDescent="0.2">
      <c r="A57" s="1">
        <v>45615</v>
      </c>
      <c r="B57">
        <v>92239.2</v>
      </c>
      <c r="C57">
        <v>90482.1</v>
      </c>
      <c r="D57">
        <v>93918.5</v>
      </c>
      <c r="E57">
        <v>90378.7</v>
      </c>
      <c r="F57" t="s">
        <v>13</v>
      </c>
      <c r="G57">
        <v>1.95E-2</v>
      </c>
    </row>
    <row r="58" spans="1:7" x14ac:dyDescent="0.2">
      <c r="A58" s="1">
        <v>45614</v>
      </c>
      <c r="B58">
        <v>90478.7</v>
      </c>
      <c r="C58">
        <v>89843.3</v>
      </c>
      <c r="D58">
        <v>92567.1</v>
      </c>
      <c r="E58">
        <v>89410.4</v>
      </c>
      <c r="F58" t="s">
        <v>14</v>
      </c>
      <c r="G58">
        <v>7.1999999999999998E-3</v>
      </c>
    </row>
    <row r="59" spans="1:7" x14ac:dyDescent="0.2">
      <c r="A59" s="1">
        <v>45613</v>
      </c>
      <c r="B59">
        <v>89833.7</v>
      </c>
      <c r="C59">
        <v>90569.4</v>
      </c>
      <c r="D59">
        <v>91441.600000000006</v>
      </c>
      <c r="E59">
        <v>88736.1</v>
      </c>
      <c r="F59" t="s">
        <v>15</v>
      </c>
      <c r="G59">
        <v>-7.7999999999999996E-3</v>
      </c>
    </row>
    <row r="60" spans="1:7" x14ac:dyDescent="0.2">
      <c r="A60" s="1">
        <v>45612</v>
      </c>
      <c r="B60">
        <v>90539.1</v>
      </c>
      <c r="C60">
        <v>91035.3</v>
      </c>
      <c r="D60">
        <v>91748.9</v>
      </c>
      <c r="E60">
        <v>90079</v>
      </c>
      <c r="F60" t="s">
        <v>16</v>
      </c>
      <c r="G60">
        <v>-5.5999999999999999E-3</v>
      </c>
    </row>
    <row r="61" spans="1:7" x14ac:dyDescent="0.2">
      <c r="A61" s="1">
        <v>45611</v>
      </c>
      <c r="B61">
        <v>91046.5</v>
      </c>
      <c r="C61">
        <v>87297.2</v>
      </c>
      <c r="D61">
        <v>91833.1</v>
      </c>
      <c r="E61">
        <v>87118.8</v>
      </c>
      <c r="F61" t="s">
        <v>17</v>
      </c>
      <c r="G61">
        <v>4.2999999999999997E-2</v>
      </c>
    </row>
    <row r="62" spans="1:7" x14ac:dyDescent="0.2">
      <c r="A62" s="1">
        <v>45610</v>
      </c>
      <c r="B62">
        <v>87294</v>
      </c>
      <c r="C62">
        <v>90424.8</v>
      </c>
      <c r="D62">
        <v>91726.7</v>
      </c>
      <c r="E62">
        <v>86740.2</v>
      </c>
      <c r="F62" t="s">
        <v>18</v>
      </c>
      <c r="G62">
        <v>-3.4599999999999999E-2</v>
      </c>
    </row>
    <row r="63" spans="1:7" x14ac:dyDescent="0.2">
      <c r="A63" s="1">
        <v>45609</v>
      </c>
      <c r="B63">
        <v>90422.2</v>
      </c>
      <c r="C63">
        <v>87971.199999999997</v>
      </c>
      <c r="D63">
        <v>93226.6</v>
      </c>
      <c r="E63">
        <v>86168.4</v>
      </c>
      <c r="F63" t="s">
        <v>19</v>
      </c>
      <c r="G63">
        <v>2.8199999999999999E-2</v>
      </c>
    </row>
    <row r="64" spans="1:7" x14ac:dyDescent="0.2">
      <c r="A64" s="1">
        <v>45608</v>
      </c>
      <c r="B64">
        <v>87941.3</v>
      </c>
      <c r="C64">
        <v>88665</v>
      </c>
      <c r="D64">
        <v>89929.600000000006</v>
      </c>
      <c r="E64">
        <v>85122.2</v>
      </c>
      <c r="F64" t="s">
        <v>20</v>
      </c>
      <c r="G64">
        <v>-8.2000000000000007E-3</v>
      </c>
    </row>
    <row r="65" spans="1:7" x14ac:dyDescent="0.2">
      <c r="A65" s="1">
        <v>45607</v>
      </c>
      <c r="B65">
        <v>88664.1</v>
      </c>
      <c r="C65">
        <v>80389</v>
      </c>
      <c r="D65">
        <v>89519</v>
      </c>
      <c r="E65">
        <v>80231.8</v>
      </c>
      <c r="F65" t="s">
        <v>21</v>
      </c>
      <c r="G65">
        <v>0.10290000000000001</v>
      </c>
    </row>
    <row r="66" spans="1:7" x14ac:dyDescent="0.2">
      <c r="A66" s="1">
        <v>45606</v>
      </c>
      <c r="B66">
        <v>80388.5</v>
      </c>
      <c r="C66">
        <v>76681.399999999994</v>
      </c>
      <c r="D66">
        <v>81373.5</v>
      </c>
      <c r="E66">
        <v>76520.5</v>
      </c>
      <c r="F66" t="s">
        <v>22</v>
      </c>
      <c r="G66">
        <v>4.8099999999999997E-2</v>
      </c>
    </row>
    <row r="67" spans="1:7" x14ac:dyDescent="0.2">
      <c r="A67" s="1">
        <v>45605</v>
      </c>
      <c r="B67">
        <v>76700.3</v>
      </c>
      <c r="C67">
        <v>76506.100000000006</v>
      </c>
      <c r="D67">
        <v>76904</v>
      </c>
      <c r="E67">
        <v>75732.5</v>
      </c>
      <c r="F67" t="s">
        <v>23</v>
      </c>
      <c r="G67">
        <v>2.3999999999999998E-3</v>
      </c>
    </row>
    <row r="68" spans="1:7" x14ac:dyDescent="0.2">
      <c r="A68" s="1">
        <v>45604</v>
      </c>
      <c r="B68">
        <v>76517.3</v>
      </c>
      <c r="C68">
        <v>75869.8</v>
      </c>
      <c r="D68">
        <v>77188.5</v>
      </c>
      <c r="E68">
        <v>75599</v>
      </c>
      <c r="F68" t="s">
        <v>24</v>
      </c>
      <c r="G68">
        <v>8.5000000000000006E-3</v>
      </c>
    </row>
    <row r="69" spans="1:7" x14ac:dyDescent="0.2">
      <c r="A69" s="1">
        <v>45603</v>
      </c>
      <c r="B69">
        <v>75868.600000000006</v>
      </c>
      <c r="C69">
        <v>75585.5</v>
      </c>
      <c r="D69">
        <v>76837.8</v>
      </c>
      <c r="E69">
        <v>74448.2</v>
      </c>
      <c r="F69" t="s">
        <v>25</v>
      </c>
      <c r="G69">
        <v>3.7000000000000002E-3</v>
      </c>
    </row>
    <row r="70" spans="1:7" x14ac:dyDescent="0.2">
      <c r="A70" s="1">
        <v>45602</v>
      </c>
      <c r="B70">
        <v>75586.3</v>
      </c>
      <c r="C70">
        <v>69374.100000000006</v>
      </c>
      <c r="D70">
        <v>76401.399999999994</v>
      </c>
      <c r="E70">
        <v>69323</v>
      </c>
      <c r="F70" t="s">
        <v>26</v>
      </c>
      <c r="G70">
        <v>8.9599999999999999E-2</v>
      </c>
    </row>
    <row r="71" spans="1:7" x14ac:dyDescent="0.2">
      <c r="A71" s="1">
        <v>45601</v>
      </c>
      <c r="B71">
        <v>69373.7</v>
      </c>
      <c r="C71">
        <v>67848.3</v>
      </c>
      <c r="D71">
        <v>70495.600000000006</v>
      </c>
      <c r="E71">
        <v>67473.600000000006</v>
      </c>
      <c r="F71" t="s">
        <v>27</v>
      </c>
      <c r="G71">
        <v>2.2499999999999999E-2</v>
      </c>
    </row>
    <row r="72" spans="1:7" x14ac:dyDescent="0.2">
      <c r="A72" s="1">
        <v>45600</v>
      </c>
      <c r="B72">
        <v>67848.800000000003</v>
      </c>
      <c r="C72">
        <v>68770.3</v>
      </c>
      <c r="D72">
        <v>69483.399999999994</v>
      </c>
      <c r="E72">
        <v>66834</v>
      </c>
      <c r="F72" t="s">
        <v>28</v>
      </c>
      <c r="G72">
        <v>-1.34E-2</v>
      </c>
    </row>
    <row r="73" spans="1:7" x14ac:dyDescent="0.2">
      <c r="A73" s="1">
        <v>45599</v>
      </c>
      <c r="B73">
        <v>68769.600000000006</v>
      </c>
      <c r="C73">
        <v>69334.8</v>
      </c>
      <c r="D73">
        <v>69383.600000000006</v>
      </c>
      <c r="E73">
        <v>67514.2</v>
      </c>
      <c r="F73" t="s">
        <v>29</v>
      </c>
      <c r="G73">
        <v>-8.0000000000000002E-3</v>
      </c>
    </row>
    <row r="74" spans="1:7" x14ac:dyDescent="0.2">
      <c r="A74" s="1">
        <v>45598</v>
      </c>
      <c r="B74">
        <v>69325.8</v>
      </c>
      <c r="C74">
        <v>69499.3</v>
      </c>
      <c r="D74">
        <v>69896.899999999994</v>
      </c>
      <c r="E74">
        <v>69029</v>
      </c>
      <c r="F74" t="s">
        <v>30</v>
      </c>
      <c r="G74">
        <v>-2.5999999999999999E-3</v>
      </c>
    </row>
    <row r="75" spans="1:7" x14ac:dyDescent="0.2">
      <c r="A75" s="1">
        <v>45597</v>
      </c>
      <c r="B75">
        <v>69507.199999999997</v>
      </c>
      <c r="C75">
        <v>70278.7</v>
      </c>
      <c r="D75">
        <v>71598.399999999994</v>
      </c>
      <c r="E75">
        <v>68846</v>
      </c>
      <c r="F75" t="s">
        <v>31</v>
      </c>
      <c r="G75">
        <v>-1.0999999999999999E-2</v>
      </c>
    </row>
    <row r="76" spans="1:7" x14ac:dyDescent="0.2">
      <c r="A76" s="1">
        <v>45596</v>
      </c>
      <c r="B76">
        <v>70281.8</v>
      </c>
      <c r="C76">
        <v>72343.7</v>
      </c>
      <c r="D76">
        <v>72685.7</v>
      </c>
      <c r="E76">
        <v>69674.5</v>
      </c>
      <c r="F76" t="s">
        <v>32</v>
      </c>
      <c r="G76">
        <v>-2.86E-2</v>
      </c>
    </row>
    <row r="77" spans="1:7" x14ac:dyDescent="0.2">
      <c r="A77" s="1">
        <v>45595</v>
      </c>
      <c r="B77">
        <v>72347.8</v>
      </c>
      <c r="C77">
        <v>72732.5</v>
      </c>
      <c r="D77">
        <v>72907.399999999994</v>
      </c>
      <c r="E77">
        <v>71460</v>
      </c>
      <c r="F77" t="s">
        <v>33</v>
      </c>
      <c r="G77">
        <v>-5.3E-3</v>
      </c>
    </row>
    <row r="78" spans="1:7" x14ac:dyDescent="0.2">
      <c r="A78" s="1">
        <v>45594</v>
      </c>
      <c r="B78">
        <v>72730.399999999994</v>
      </c>
      <c r="C78">
        <v>69957.2</v>
      </c>
      <c r="D78">
        <v>73569.399999999994</v>
      </c>
      <c r="E78">
        <v>69753.2</v>
      </c>
      <c r="F78" t="s">
        <v>34</v>
      </c>
      <c r="G78">
        <v>3.9699999999999999E-2</v>
      </c>
    </row>
    <row r="79" spans="1:7" x14ac:dyDescent="0.2">
      <c r="A79" s="1">
        <v>45593</v>
      </c>
      <c r="B79">
        <v>69954.100000000006</v>
      </c>
      <c r="C79">
        <v>68011.899999999994</v>
      </c>
      <c r="D79">
        <v>70203.399999999994</v>
      </c>
      <c r="E79">
        <v>67610</v>
      </c>
      <c r="F79" t="s">
        <v>35</v>
      </c>
      <c r="G79">
        <v>2.87E-2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C174-D8BF-AA49-8641-3CB934AA00B6}">
  <dimension ref="A1:B263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17.83203125" bestFit="1" customWidth="1"/>
    <col min="2" max="2" width="8.83203125" bestFit="1" customWidth="1"/>
  </cols>
  <sheetData>
    <row r="1" spans="1:2" x14ac:dyDescent="0.2">
      <c r="A1" t="s">
        <v>335</v>
      </c>
      <c r="B1" t="s">
        <v>336</v>
      </c>
    </row>
    <row r="2" spans="1:2" x14ac:dyDescent="0.2">
      <c r="A2" s="1">
        <v>45292</v>
      </c>
    </row>
    <row r="3" spans="1:2" x14ac:dyDescent="0.2">
      <c r="A3" s="1">
        <v>45293</v>
      </c>
      <c r="B3">
        <v>4742.83</v>
      </c>
    </row>
    <row r="4" spans="1:2" x14ac:dyDescent="0.2">
      <c r="A4" s="1">
        <v>45294</v>
      </c>
      <c r="B4">
        <v>4704.8100000000004</v>
      </c>
    </row>
    <row r="5" spans="1:2" x14ac:dyDescent="0.2">
      <c r="A5" s="1">
        <v>45295</v>
      </c>
      <c r="B5">
        <v>4688.68</v>
      </c>
    </row>
    <row r="6" spans="1:2" x14ac:dyDescent="0.2">
      <c r="A6" s="1">
        <v>45296</v>
      </c>
      <c r="B6">
        <v>4697.24</v>
      </c>
    </row>
    <row r="7" spans="1:2" x14ac:dyDescent="0.2">
      <c r="A7" s="1">
        <v>45299</v>
      </c>
      <c r="B7">
        <v>4763.54</v>
      </c>
    </row>
    <row r="8" spans="1:2" x14ac:dyDescent="0.2">
      <c r="A8" s="1">
        <v>45300</v>
      </c>
      <c r="B8">
        <v>4756.5</v>
      </c>
    </row>
    <row r="9" spans="1:2" x14ac:dyDescent="0.2">
      <c r="A9" s="1">
        <v>45301</v>
      </c>
      <c r="B9">
        <v>4783.45</v>
      </c>
    </row>
    <row r="10" spans="1:2" x14ac:dyDescent="0.2">
      <c r="A10" s="1">
        <v>45302</v>
      </c>
      <c r="B10">
        <v>4780.24</v>
      </c>
    </row>
    <row r="11" spans="1:2" x14ac:dyDescent="0.2">
      <c r="A11" s="1">
        <v>45303</v>
      </c>
      <c r="B11">
        <v>4783.83</v>
      </c>
    </row>
    <row r="12" spans="1:2" x14ac:dyDescent="0.2">
      <c r="A12" s="1">
        <v>45306</v>
      </c>
    </row>
    <row r="13" spans="1:2" x14ac:dyDescent="0.2">
      <c r="A13" s="1">
        <v>45307</v>
      </c>
      <c r="B13">
        <v>4765.9799999999996</v>
      </c>
    </row>
    <row r="14" spans="1:2" x14ac:dyDescent="0.2">
      <c r="A14" s="1">
        <v>45308</v>
      </c>
      <c r="B14">
        <v>4739.21</v>
      </c>
    </row>
    <row r="15" spans="1:2" x14ac:dyDescent="0.2">
      <c r="A15" s="1">
        <v>45309</v>
      </c>
      <c r="B15">
        <v>4780.9399999999996</v>
      </c>
    </row>
    <row r="16" spans="1:2" x14ac:dyDescent="0.2">
      <c r="A16" s="1">
        <v>45310</v>
      </c>
      <c r="B16">
        <v>4839.8100000000004</v>
      </c>
    </row>
    <row r="17" spans="1:2" x14ac:dyDescent="0.2">
      <c r="A17" s="1">
        <v>45313</v>
      </c>
      <c r="B17">
        <v>4850.43</v>
      </c>
    </row>
    <row r="18" spans="1:2" x14ac:dyDescent="0.2">
      <c r="A18" s="1">
        <v>45314</v>
      </c>
      <c r="B18">
        <v>4864.6000000000004</v>
      </c>
    </row>
    <row r="19" spans="1:2" x14ac:dyDescent="0.2">
      <c r="A19" s="1">
        <v>45315</v>
      </c>
      <c r="B19">
        <v>4868.55</v>
      </c>
    </row>
    <row r="20" spans="1:2" x14ac:dyDescent="0.2">
      <c r="A20" s="1">
        <v>45316</v>
      </c>
      <c r="B20">
        <v>4894.16</v>
      </c>
    </row>
    <row r="21" spans="1:2" x14ac:dyDescent="0.2">
      <c r="A21" s="1">
        <v>45317</v>
      </c>
      <c r="B21">
        <v>4890.97</v>
      </c>
    </row>
    <row r="22" spans="1:2" x14ac:dyDescent="0.2">
      <c r="A22" s="1">
        <v>45320</v>
      </c>
      <c r="B22">
        <v>4927.93</v>
      </c>
    </row>
    <row r="23" spans="1:2" x14ac:dyDescent="0.2">
      <c r="A23" s="1">
        <v>45321</v>
      </c>
      <c r="B23">
        <v>4924.97</v>
      </c>
    </row>
    <row r="24" spans="1:2" x14ac:dyDescent="0.2">
      <c r="A24" s="1">
        <v>45322</v>
      </c>
      <c r="B24">
        <v>4845.6499999999996</v>
      </c>
    </row>
    <row r="25" spans="1:2" x14ac:dyDescent="0.2">
      <c r="A25" s="1">
        <v>45323</v>
      </c>
      <c r="B25">
        <v>4906.1899999999996</v>
      </c>
    </row>
    <row r="26" spans="1:2" x14ac:dyDescent="0.2">
      <c r="A26" s="1">
        <v>45324</v>
      </c>
      <c r="B26">
        <v>4958.6099999999997</v>
      </c>
    </row>
    <row r="27" spans="1:2" x14ac:dyDescent="0.2">
      <c r="A27" s="1">
        <v>45327</v>
      </c>
      <c r="B27">
        <v>4942.8100000000004</v>
      </c>
    </row>
    <row r="28" spans="1:2" x14ac:dyDescent="0.2">
      <c r="A28" s="1">
        <v>45328</v>
      </c>
      <c r="B28">
        <v>4954.2299999999996</v>
      </c>
    </row>
    <row r="29" spans="1:2" x14ac:dyDescent="0.2">
      <c r="A29" s="1">
        <v>45329</v>
      </c>
      <c r="B29">
        <v>4995.0600000000004</v>
      </c>
    </row>
    <row r="30" spans="1:2" x14ac:dyDescent="0.2">
      <c r="A30" s="1">
        <v>45330</v>
      </c>
      <c r="B30">
        <v>4997.91</v>
      </c>
    </row>
    <row r="31" spans="1:2" x14ac:dyDescent="0.2">
      <c r="A31" s="1">
        <v>45331</v>
      </c>
      <c r="B31">
        <v>5026.6099999999997</v>
      </c>
    </row>
    <row r="32" spans="1:2" x14ac:dyDescent="0.2">
      <c r="A32" s="1">
        <v>45334</v>
      </c>
      <c r="B32">
        <v>5021.84</v>
      </c>
    </row>
    <row r="33" spans="1:2" x14ac:dyDescent="0.2">
      <c r="A33" s="1">
        <v>45335</v>
      </c>
      <c r="B33">
        <v>4953.17</v>
      </c>
    </row>
    <row r="34" spans="1:2" x14ac:dyDescent="0.2">
      <c r="A34" s="1">
        <v>45336</v>
      </c>
      <c r="B34">
        <v>5000.62</v>
      </c>
    </row>
    <row r="35" spans="1:2" x14ac:dyDescent="0.2">
      <c r="A35" s="1">
        <v>45337</v>
      </c>
      <c r="B35">
        <v>5029.7299999999996</v>
      </c>
    </row>
    <row r="36" spans="1:2" x14ac:dyDescent="0.2">
      <c r="A36" s="1">
        <v>45338</v>
      </c>
      <c r="B36">
        <v>5005.57</v>
      </c>
    </row>
    <row r="37" spans="1:2" x14ac:dyDescent="0.2">
      <c r="A37" s="1">
        <v>45341</v>
      </c>
    </row>
    <row r="38" spans="1:2" x14ac:dyDescent="0.2">
      <c r="A38" s="1">
        <v>45342</v>
      </c>
      <c r="B38">
        <v>4975.51</v>
      </c>
    </row>
    <row r="39" spans="1:2" x14ac:dyDescent="0.2">
      <c r="A39" s="1">
        <v>45343</v>
      </c>
      <c r="B39">
        <v>4981.8</v>
      </c>
    </row>
    <row r="40" spans="1:2" x14ac:dyDescent="0.2">
      <c r="A40" s="1">
        <v>45344</v>
      </c>
      <c r="B40">
        <v>5087.03</v>
      </c>
    </row>
    <row r="41" spans="1:2" x14ac:dyDescent="0.2">
      <c r="A41" s="1">
        <v>45345</v>
      </c>
      <c r="B41">
        <v>5088.8</v>
      </c>
    </row>
    <row r="42" spans="1:2" x14ac:dyDescent="0.2">
      <c r="A42" s="1">
        <v>45348</v>
      </c>
      <c r="B42">
        <v>5069.53</v>
      </c>
    </row>
    <row r="43" spans="1:2" x14ac:dyDescent="0.2">
      <c r="A43" s="1">
        <v>45349</v>
      </c>
      <c r="B43">
        <v>5078.18</v>
      </c>
    </row>
    <row r="44" spans="1:2" x14ac:dyDescent="0.2">
      <c r="A44" s="1">
        <v>45350</v>
      </c>
      <c r="B44">
        <v>5069.76</v>
      </c>
    </row>
    <row r="45" spans="1:2" x14ac:dyDescent="0.2">
      <c r="A45" s="1">
        <v>45351</v>
      </c>
      <c r="B45">
        <v>5096.2700000000004</v>
      </c>
    </row>
    <row r="46" spans="1:2" x14ac:dyDescent="0.2">
      <c r="A46" s="1">
        <v>45352</v>
      </c>
      <c r="B46">
        <v>5137.08</v>
      </c>
    </row>
    <row r="47" spans="1:2" x14ac:dyDescent="0.2">
      <c r="A47" s="1">
        <v>45355</v>
      </c>
      <c r="B47">
        <v>5130.95</v>
      </c>
    </row>
    <row r="48" spans="1:2" x14ac:dyDescent="0.2">
      <c r="A48" s="1">
        <v>45356</v>
      </c>
      <c r="B48">
        <v>5078.6499999999996</v>
      </c>
    </row>
    <row r="49" spans="1:2" x14ac:dyDescent="0.2">
      <c r="A49" s="1">
        <v>45357</v>
      </c>
      <c r="B49">
        <v>5104.76</v>
      </c>
    </row>
    <row r="50" spans="1:2" x14ac:dyDescent="0.2">
      <c r="A50" s="1">
        <v>45358</v>
      </c>
      <c r="B50">
        <v>5157.3599999999997</v>
      </c>
    </row>
    <row r="51" spans="1:2" x14ac:dyDescent="0.2">
      <c r="A51" s="1">
        <v>45359</v>
      </c>
      <c r="B51">
        <v>5123.6899999999996</v>
      </c>
    </row>
    <row r="52" spans="1:2" x14ac:dyDescent="0.2">
      <c r="A52" s="1">
        <v>45362</v>
      </c>
      <c r="B52">
        <v>5117.9399999999996</v>
      </c>
    </row>
    <row r="53" spans="1:2" x14ac:dyDescent="0.2">
      <c r="A53" s="1">
        <v>45363</v>
      </c>
      <c r="B53">
        <v>5175.2700000000004</v>
      </c>
    </row>
    <row r="54" spans="1:2" x14ac:dyDescent="0.2">
      <c r="A54" s="1">
        <v>45364</v>
      </c>
      <c r="B54">
        <v>5165.3100000000004</v>
      </c>
    </row>
    <row r="55" spans="1:2" x14ac:dyDescent="0.2">
      <c r="A55" s="1">
        <v>45365</v>
      </c>
      <c r="B55">
        <v>5150.4799999999996</v>
      </c>
    </row>
    <row r="56" spans="1:2" x14ac:dyDescent="0.2">
      <c r="A56" s="1">
        <v>45366</v>
      </c>
      <c r="B56">
        <v>5117.09</v>
      </c>
    </row>
    <row r="57" spans="1:2" x14ac:dyDescent="0.2">
      <c r="A57" s="1">
        <v>45369</v>
      </c>
      <c r="B57">
        <v>5149.42</v>
      </c>
    </row>
    <row r="58" spans="1:2" x14ac:dyDescent="0.2">
      <c r="A58" s="1">
        <v>45370</v>
      </c>
      <c r="B58">
        <v>5178.51</v>
      </c>
    </row>
    <row r="59" spans="1:2" x14ac:dyDescent="0.2">
      <c r="A59" s="1">
        <v>45371</v>
      </c>
      <c r="B59">
        <v>5224.62</v>
      </c>
    </row>
    <row r="60" spans="1:2" x14ac:dyDescent="0.2">
      <c r="A60" s="1">
        <v>45372</v>
      </c>
      <c r="B60">
        <v>5241.53</v>
      </c>
    </row>
    <row r="61" spans="1:2" x14ac:dyDescent="0.2">
      <c r="A61" s="1">
        <v>45373</v>
      </c>
      <c r="B61">
        <v>5234.18</v>
      </c>
    </row>
    <row r="62" spans="1:2" x14ac:dyDescent="0.2">
      <c r="A62" s="1">
        <v>45376</v>
      </c>
      <c r="B62">
        <v>5218.1899999999996</v>
      </c>
    </row>
    <row r="63" spans="1:2" x14ac:dyDescent="0.2">
      <c r="A63" s="1">
        <v>45377</v>
      </c>
      <c r="B63">
        <v>5203.58</v>
      </c>
    </row>
    <row r="64" spans="1:2" x14ac:dyDescent="0.2">
      <c r="A64" s="1">
        <v>45378</v>
      </c>
      <c r="B64">
        <v>5248.49</v>
      </c>
    </row>
    <row r="65" spans="1:2" x14ac:dyDescent="0.2">
      <c r="A65" s="1">
        <v>45379</v>
      </c>
      <c r="B65">
        <v>5254.35</v>
      </c>
    </row>
    <row r="66" spans="1:2" x14ac:dyDescent="0.2">
      <c r="A66" s="1">
        <v>45380</v>
      </c>
    </row>
    <row r="67" spans="1:2" x14ac:dyDescent="0.2">
      <c r="A67" s="1">
        <v>45383</v>
      </c>
      <c r="B67">
        <v>5243.77</v>
      </c>
    </row>
    <row r="68" spans="1:2" x14ac:dyDescent="0.2">
      <c r="A68" s="1">
        <v>45384</v>
      </c>
      <c r="B68">
        <v>5205.8100000000004</v>
      </c>
    </row>
    <row r="69" spans="1:2" x14ac:dyDescent="0.2">
      <c r="A69" s="1">
        <v>45385</v>
      </c>
      <c r="B69">
        <v>5211.49</v>
      </c>
    </row>
    <row r="70" spans="1:2" x14ac:dyDescent="0.2">
      <c r="A70" s="1">
        <v>45386</v>
      </c>
      <c r="B70">
        <v>5147.21</v>
      </c>
    </row>
    <row r="71" spans="1:2" x14ac:dyDescent="0.2">
      <c r="A71" s="1">
        <v>45387</v>
      </c>
      <c r="B71">
        <v>5204.34</v>
      </c>
    </row>
    <row r="72" spans="1:2" x14ac:dyDescent="0.2">
      <c r="A72" s="1">
        <v>45390</v>
      </c>
      <c r="B72">
        <v>5202.3900000000003</v>
      </c>
    </row>
    <row r="73" spans="1:2" x14ac:dyDescent="0.2">
      <c r="A73" s="1">
        <v>45391</v>
      </c>
      <c r="B73">
        <v>5209.91</v>
      </c>
    </row>
    <row r="74" spans="1:2" x14ac:dyDescent="0.2">
      <c r="A74" s="1">
        <v>45392</v>
      </c>
      <c r="B74">
        <v>5160.6400000000003</v>
      </c>
    </row>
    <row r="75" spans="1:2" x14ac:dyDescent="0.2">
      <c r="A75" s="1">
        <v>45393</v>
      </c>
      <c r="B75">
        <v>5199.0600000000004</v>
      </c>
    </row>
    <row r="76" spans="1:2" x14ac:dyDescent="0.2">
      <c r="A76" s="1">
        <v>45394</v>
      </c>
      <c r="B76">
        <v>5123.41</v>
      </c>
    </row>
    <row r="77" spans="1:2" x14ac:dyDescent="0.2">
      <c r="A77" s="1">
        <v>45397</v>
      </c>
      <c r="B77">
        <v>5061.82</v>
      </c>
    </row>
    <row r="78" spans="1:2" x14ac:dyDescent="0.2">
      <c r="A78" s="1">
        <v>45398</v>
      </c>
      <c r="B78">
        <v>5051.41</v>
      </c>
    </row>
    <row r="79" spans="1:2" x14ac:dyDescent="0.2">
      <c r="A79" s="1">
        <v>45399</v>
      </c>
      <c r="B79">
        <v>5022.21</v>
      </c>
    </row>
    <row r="80" spans="1:2" x14ac:dyDescent="0.2">
      <c r="A80" s="1">
        <v>45400</v>
      </c>
      <c r="B80">
        <v>5011.12</v>
      </c>
    </row>
    <row r="81" spans="1:2" x14ac:dyDescent="0.2">
      <c r="A81" s="1">
        <v>45401</v>
      </c>
      <c r="B81">
        <v>4967.2299999999996</v>
      </c>
    </row>
    <row r="82" spans="1:2" x14ac:dyDescent="0.2">
      <c r="A82" s="1">
        <v>45404</v>
      </c>
      <c r="B82">
        <v>5010.6000000000004</v>
      </c>
    </row>
    <row r="83" spans="1:2" x14ac:dyDescent="0.2">
      <c r="A83" s="1">
        <v>45405</v>
      </c>
      <c r="B83">
        <v>5070.55</v>
      </c>
    </row>
    <row r="84" spans="1:2" x14ac:dyDescent="0.2">
      <c r="A84" s="1">
        <v>45406</v>
      </c>
      <c r="B84">
        <v>5071.63</v>
      </c>
    </row>
    <row r="85" spans="1:2" x14ac:dyDescent="0.2">
      <c r="A85" s="1">
        <v>45407</v>
      </c>
      <c r="B85">
        <v>5048.42</v>
      </c>
    </row>
    <row r="86" spans="1:2" x14ac:dyDescent="0.2">
      <c r="A86" s="1">
        <v>45408</v>
      </c>
      <c r="B86">
        <v>5099.96</v>
      </c>
    </row>
    <row r="87" spans="1:2" x14ac:dyDescent="0.2">
      <c r="A87" s="1">
        <v>45411</v>
      </c>
      <c r="B87">
        <v>5116.17</v>
      </c>
    </row>
    <row r="88" spans="1:2" x14ac:dyDescent="0.2">
      <c r="A88" s="1">
        <v>45412</v>
      </c>
      <c r="B88">
        <v>5035.6899999999996</v>
      </c>
    </row>
    <row r="89" spans="1:2" x14ac:dyDescent="0.2">
      <c r="A89" s="1">
        <v>45413</v>
      </c>
      <c r="B89">
        <v>5018.3900000000003</v>
      </c>
    </row>
    <row r="90" spans="1:2" x14ac:dyDescent="0.2">
      <c r="A90" s="1">
        <v>45414</v>
      </c>
      <c r="B90">
        <v>5064.2</v>
      </c>
    </row>
    <row r="91" spans="1:2" x14ac:dyDescent="0.2">
      <c r="A91" s="1">
        <v>45415</v>
      </c>
      <c r="B91">
        <v>5127.79</v>
      </c>
    </row>
    <row r="92" spans="1:2" x14ac:dyDescent="0.2">
      <c r="A92" s="1">
        <v>45418</v>
      </c>
      <c r="B92">
        <v>5180.74</v>
      </c>
    </row>
    <row r="93" spans="1:2" x14ac:dyDescent="0.2">
      <c r="A93" s="1">
        <v>45419</v>
      </c>
      <c r="B93">
        <v>5187.7</v>
      </c>
    </row>
    <row r="94" spans="1:2" x14ac:dyDescent="0.2">
      <c r="A94" s="1">
        <v>45420</v>
      </c>
      <c r="B94">
        <v>5187.67</v>
      </c>
    </row>
    <row r="95" spans="1:2" x14ac:dyDescent="0.2">
      <c r="A95" s="1">
        <v>45421</v>
      </c>
      <c r="B95">
        <v>5214.08</v>
      </c>
    </row>
    <row r="96" spans="1:2" x14ac:dyDescent="0.2">
      <c r="A96" s="1">
        <v>45422</v>
      </c>
      <c r="B96">
        <v>5222.68</v>
      </c>
    </row>
    <row r="97" spans="1:2" x14ac:dyDescent="0.2">
      <c r="A97" s="1">
        <v>45425</v>
      </c>
      <c r="B97">
        <v>5221.42</v>
      </c>
    </row>
    <row r="98" spans="1:2" x14ac:dyDescent="0.2">
      <c r="A98" s="1">
        <v>45426</v>
      </c>
      <c r="B98">
        <v>5246.68</v>
      </c>
    </row>
    <row r="99" spans="1:2" x14ac:dyDescent="0.2">
      <c r="A99" s="1">
        <v>45427</v>
      </c>
      <c r="B99">
        <v>5308.15</v>
      </c>
    </row>
    <row r="100" spans="1:2" x14ac:dyDescent="0.2">
      <c r="A100" s="1">
        <v>45428</v>
      </c>
      <c r="B100">
        <v>5297.1</v>
      </c>
    </row>
    <row r="101" spans="1:2" x14ac:dyDescent="0.2">
      <c r="A101" s="1">
        <v>45429</v>
      </c>
      <c r="B101">
        <v>5303.27</v>
      </c>
    </row>
    <row r="102" spans="1:2" x14ac:dyDescent="0.2">
      <c r="A102" s="1">
        <v>45432</v>
      </c>
      <c r="B102">
        <v>5308.13</v>
      </c>
    </row>
    <row r="103" spans="1:2" x14ac:dyDescent="0.2">
      <c r="A103" s="1">
        <v>45433</v>
      </c>
      <c r="B103">
        <v>5321.41</v>
      </c>
    </row>
    <row r="104" spans="1:2" x14ac:dyDescent="0.2">
      <c r="A104" s="1">
        <v>45434</v>
      </c>
      <c r="B104">
        <v>5307.01</v>
      </c>
    </row>
    <row r="105" spans="1:2" x14ac:dyDescent="0.2">
      <c r="A105" s="1">
        <v>45435</v>
      </c>
      <c r="B105">
        <v>5267.84</v>
      </c>
    </row>
    <row r="106" spans="1:2" x14ac:dyDescent="0.2">
      <c r="A106" s="1">
        <v>45436</v>
      </c>
      <c r="B106">
        <v>5304.72</v>
      </c>
    </row>
    <row r="107" spans="1:2" x14ac:dyDescent="0.2">
      <c r="A107" s="1">
        <v>45439</v>
      </c>
    </row>
    <row r="108" spans="1:2" x14ac:dyDescent="0.2">
      <c r="A108" s="1">
        <v>45440</v>
      </c>
      <c r="B108">
        <v>5306.04</v>
      </c>
    </row>
    <row r="109" spans="1:2" x14ac:dyDescent="0.2">
      <c r="A109" s="1">
        <v>45441</v>
      </c>
      <c r="B109">
        <v>5266.95</v>
      </c>
    </row>
    <row r="110" spans="1:2" x14ac:dyDescent="0.2">
      <c r="A110" s="1">
        <v>45442</v>
      </c>
      <c r="B110">
        <v>5235.4799999999996</v>
      </c>
    </row>
    <row r="111" spans="1:2" x14ac:dyDescent="0.2">
      <c r="A111" s="1">
        <v>45443</v>
      </c>
      <c r="B111">
        <v>5277.51</v>
      </c>
    </row>
    <row r="112" spans="1:2" x14ac:dyDescent="0.2">
      <c r="A112" s="1">
        <v>45446</v>
      </c>
      <c r="B112">
        <v>5283.4</v>
      </c>
    </row>
    <row r="113" spans="1:2" x14ac:dyDescent="0.2">
      <c r="A113" s="1">
        <v>45447</v>
      </c>
      <c r="B113">
        <v>5291.34</v>
      </c>
    </row>
    <row r="114" spans="1:2" x14ac:dyDescent="0.2">
      <c r="A114" s="1">
        <v>45448</v>
      </c>
      <c r="B114">
        <v>5354.03</v>
      </c>
    </row>
    <row r="115" spans="1:2" x14ac:dyDescent="0.2">
      <c r="A115" s="1">
        <v>45449</v>
      </c>
      <c r="B115">
        <v>5352.96</v>
      </c>
    </row>
    <row r="116" spans="1:2" x14ac:dyDescent="0.2">
      <c r="A116" s="1">
        <v>45450</v>
      </c>
      <c r="B116">
        <v>5346.99</v>
      </c>
    </row>
    <row r="117" spans="1:2" x14ac:dyDescent="0.2">
      <c r="A117" s="1">
        <v>45453</v>
      </c>
      <c r="B117">
        <v>5360.79</v>
      </c>
    </row>
    <row r="118" spans="1:2" x14ac:dyDescent="0.2">
      <c r="A118" s="1">
        <v>45454</v>
      </c>
      <c r="B118">
        <v>5375.32</v>
      </c>
    </row>
    <row r="119" spans="1:2" x14ac:dyDescent="0.2">
      <c r="A119" s="1">
        <v>45455</v>
      </c>
      <c r="B119">
        <v>5421.03</v>
      </c>
    </row>
    <row r="120" spans="1:2" x14ac:dyDescent="0.2">
      <c r="A120" s="1">
        <v>45456</v>
      </c>
      <c r="B120">
        <v>5433.74</v>
      </c>
    </row>
    <row r="121" spans="1:2" x14ac:dyDescent="0.2">
      <c r="A121" s="1">
        <v>45457</v>
      </c>
      <c r="B121">
        <v>5431.6</v>
      </c>
    </row>
    <row r="122" spans="1:2" x14ac:dyDescent="0.2">
      <c r="A122" s="1">
        <v>45460</v>
      </c>
      <c r="B122">
        <v>5473.23</v>
      </c>
    </row>
    <row r="123" spans="1:2" x14ac:dyDescent="0.2">
      <c r="A123" s="1">
        <v>45461</v>
      </c>
      <c r="B123">
        <v>5487.03</v>
      </c>
    </row>
    <row r="124" spans="1:2" x14ac:dyDescent="0.2">
      <c r="A124" s="1">
        <v>45462</v>
      </c>
    </row>
    <row r="125" spans="1:2" x14ac:dyDescent="0.2">
      <c r="A125" s="1">
        <v>45463</v>
      </c>
      <c r="B125">
        <v>5473.17</v>
      </c>
    </row>
    <row r="126" spans="1:2" x14ac:dyDescent="0.2">
      <c r="A126" s="1">
        <v>45464</v>
      </c>
      <c r="B126">
        <v>5464.62</v>
      </c>
    </row>
    <row r="127" spans="1:2" x14ac:dyDescent="0.2">
      <c r="A127" s="1">
        <v>45467</v>
      </c>
      <c r="B127">
        <v>5447.87</v>
      </c>
    </row>
    <row r="128" spans="1:2" x14ac:dyDescent="0.2">
      <c r="A128" s="1">
        <v>45468</v>
      </c>
      <c r="B128">
        <v>5469.3</v>
      </c>
    </row>
    <row r="129" spans="1:2" x14ac:dyDescent="0.2">
      <c r="A129" s="1">
        <v>45469</v>
      </c>
      <c r="B129">
        <v>5477.9</v>
      </c>
    </row>
    <row r="130" spans="1:2" x14ac:dyDescent="0.2">
      <c r="A130" s="1">
        <v>45470</v>
      </c>
      <c r="B130">
        <v>5482.87</v>
      </c>
    </row>
    <row r="131" spans="1:2" x14ac:dyDescent="0.2">
      <c r="A131" s="1">
        <v>45471</v>
      </c>
      <c r="B131">
        <v>5460.48</v>
      </c>
    </row>
    <row r="132" spans="1:2" x14ac:dyDescent="0.2">
      <c r="A132" s="1">
        <v>45474</v>
      </c>
      <c r="B132">
        <v>5475.09</v>
      </c>
    </row>
    <row r="133" spans="1:2" x14ac:dyDescent="0.2">
      <c r="A133" s="1">
        <v>45475</v>
      </c>
      <c r="B133">
        <v>5509.01</v>
      </c>
    </row>
    <row r="134" spans="1:2" x14ac:dyDescent="0.2">
      <c r="A134" s="1">
        <v>45476</v>
      </c>
      <c r="B134">
        <v>5537.02</v>
      </c>
    </row>
    <row r="135" spans="1:2" x14ac:dyDescent="0.2">
      <c r="A135" s="1">
        <v>45477</v>
      </c>
    </row>
    <row r="136" spans="1:2" x14ac:dyDescent="0.2">
      <c r="A136" s="1">
        <v>45478</v>
      </c>
      <c r="B136">
        <v>5567.19</v>
      </c>
    </row>
    <row r="137" spans="1:2" x14ac:dyDescent="0.2">
      <c r="A137" s="1">
        <v>45481</v>
      </c>
      <c r="B137">
        <v>5572.85</v>
      </c>
    </row>
    <row r="138" spans="1:2" x14ac:dyDescent="0.2">
      <c r="A138" s="1">
        <v>45482</v>
      </c>
      <c r="B138">
        <v>5576.98</v>
      </c>
    </row>
    <row r="139" spans="1:2" x14ac:dyDescent="0.2">
      <c r="A139" s="1">
        <v>45483</v>
      </c>
      <c r="B139">
        <v>5633.91</v>
      </c>
    </row>
    <row r="140" spans="1:2" x14ac:dyDescent="0.2">
      <c r="A140" s="1">
        <v>45484</v>
      </c>
      <c r="B140">
        <v>5584.54</v>
      </c>
    </row>
    <row r="141" spans="1:2" x14ac:dyDescent="0.2">
      <c r="A141" s="1">
        <v>45485</v>
      </c>
      <c r="B141">
        <v>5615.35</v>
      </c>
    </row>
    <row r="142" spans="1:2" x14ac:dyDescent="0.2">
      <c r="A142" s="1">
        <v>45488</v>
      </c>
      <c r="B142">
        <v>5631.22</v>
      </c>
    </row>
    <row r="143" spans="1:2" x14ac:dyDescent="0.2">
      <c r="A143" s="1">
        <v>45489</v>
      </c>
      <c r="B143">
        <v>5667.2</v>
      </c>
    </row>
    <row r="144" spans="1:2" x14ac:dyDescent="0.2">
      <c r="A144" s="1">
        <v>45490</v>
      </c>
      <c r="B144">
        <v>5588.27</v>
      </c>
    </row>
    <row r="145" spans="1:2" x14ac:dyDescent="0.2">
      <c r="A145" s="1">
        <v>45491</v>
      </c>
      <c r="B145">
        <v>5544.59</v>
      </c>
    </row>
    <row r="146" spans="1:2" x14ac:dyDescent="0.2">
      <c r="A146" s="1">
        <v>45492</v>
      </c>
      <c r="B146">
        <v>5505</v>
      </c>
    </row>
    <row r="147" spans="1:2" x14ac:dyDescent="0.2">
      <c r="A147" s="1">
        <v>45495</v>
      </c>
      <c r="B147">
        <v>5564.41</v>
      </c>
    </row>
    <row r="148" spans="1:2" x14ac:dyDescent="0.2">
      <c r="A148" s="1">
        <v>45496</v>
      </c>
      <c r="B148">
        <v>5555.74</v>
      </c>
    </row>
    <row r="149" spans="1:2" x14ac:dyDescent="0.2">
      <c r="A149" s="1">
        <v>45497</v>
      </c>
      <c r="B149">
        <v>5427.13</v>
      </c>
    </row>
    <row r="150" spans="1:2" x14ac:dyDescent="0.2">
      <c r="A150" s="1">
        <v>45498</v>
      </c>
      <c r="B150">
        <v>5399.22</v>
      </c>
    </row>
    <row r="151" spans="1:2" x14ac:dyDescent="0.2">
      <c r="A151" s="1">
        <v>45499</v>
      </c>
      <c r="B151">
        <v>5459.1</v>
      </c>
    </row>
    <row r="152" spans="1:2" x14ac:dyDescent="0.2">
      <c r="A152" s="1">
        <v>45502</v>
      </c>
      <c r="B152">
        <v>5463.54</v>
      </c>
    </row>
    <row r="153" spans="1:2" x14ac:dyDescent="0.2">
      <c r="A153" s="1">
        <v>45503</v>
      </c>
      <c r="B153">
        <v>5436.44</v>
      </c>
    </row>
    <row r="154" spans="1:2" x14ac:dyDescent="0.2">
      <c r="A154" s="1">
        <v>45504</v>
      </c>
      <c r="B154">
        <v>5522.3</v>
      </c>
    </row>
    <row r="155" spans="1:2" x14ac:dyDescent="0.2">
      <c r="A155" s="1">
        <v>45505</v>
      </c>
      <c r="B155">
        <v>5446.68</v>
      </c>
    </row>
    <row r="156" spans="1:2" x14ac:dyDescent="0.2">
      <c r="A156" s="1">
        <v>45506</v>
      </c>
      <c r="B156">
        <v>5346.56</v>
      </c>
    </row>
    <row r="157" spans="1:2" x14ac:dyDescent="0.2">
      <c r="A157" s="1">
        <v>45509</v>
      </c>
      <c r="B157">
        <v>5186.33</v>
      </c>
    </row>
    <row r="158" spans="1:2" x14ac:dyDescent="0.2">
      <c r="A158" s="1">
        <v>45510</v>
      </c>
      <c r="B158">
        <v>5240.03</v>
      </c>
    </row>
    <row r="159" spans="1:2" x14ac:dyDescent="0.2">
      <c r="A159" s="1">
        <v>45511</v>
      </c>
      <c r="B159">
        <v>5199.5</v>
      </c>
    </row>
    <row r="160" spans="1:2" x14ac:dyDescent="0.2">
      <c r="A160" s="1">
        <v>45512</v>
      </c>
      <c r="B160">
        <v>5319.31</v>
      </c>
    </row>
    <row r="161" spans="1:2" x14ac:dyDescent="0.2">
      <c r="A161" s="1">
        <v>45513</v>
      </c>
      <c r="B161">
        <v>5344.16</v>
      </c>
    </row>
    <row r="162" spans="1:2" x14ac:dyDescent="0.2">
      <c r="A162" s="1">
        <v>45516</v>
      </c>
      <c r="B162">
        <v>5344.39</v>
      </c>
    </row>
    <row r="163" spans="1:2" x14ac:dyDescent="0.2">
      <c r="A163" s="1">
        <v>45517</v>
      </c>
      <c r="B163">
        <v>5434.43</v>
      </c>
    </row>
    <row r="164" spans="1:2" x14ac:dyDescent="0.2">
      <c r="A164" s="1">
        <v>45518</v>
      </c>
      <c r="B164">
        <v>5455.21</v>
      </c>
    </row>
    <row r="165" spans="1:2" x14ac:dyDescent="0.2">
      <c r="A165" s="1">
        <v>45519</v>
      </c>
      <c r="B165">
        <v>5543.22</v>
      </c>
    </row>
    <row r="166" spans="1:2" x14ac:dyDescent="0.2">
      <c r="A166" s="1">
        <v>45520</v>
      </c>
      <c r="B166">
        <v>5554.25</v>
      </c>
    </row>
    <row r="167" spans="1:2" x14ac:dyDescent="0.2">
      <c r="A167" s="1">
        <v>45523</v>
      </c>
      <c r="B167">
        <v>5608.25</v>
      </c>
    </row>
    <row r="168" spans="1:2" x14ac:dyDescent="0.2">
      <c r="A168" s="1">
        <v>45524</v>
      </c>
      <c r="B168">
        <v>5597.12</v>
      </c>
    </row>
    <row r="169" spans="1:2" x14ac:dyDescent="0.2">
      <c r="A169" s="1">
        <v>45525</v>
      </c>
      <c r="B169">
        <v>5620.85</v>
      </c>
    </row>
    <row r="170" spans="1:2" x14ac:dyDescent="0.2">
      <c r="A170" s="1">
        <v>45526</v>
      </c>
      <c r="B170">
        <v>5570.64</v>
      </c>
    </row>
    <row r="171" spans="1:2" x14ac:dyDescent="0.2">
      <c r="A171" s="1">
        <v>45527</v>
      </c>
      <c r="B171">
        <v>5634.61</v>
      </c>
    </row>
    <row r="172" spans="1:2" x14ac:dyDescent="0.2">
      <c r="A172" s="1">
        <v>45530</v>
      </c>
      <c r="B172">
        <v>5616.84</v>
      </c>
    </row>
    <row r="173" spans="1:2" x14ac:dyDescent="0.2">
      <c r="A173" s="1">
        <v>45531</v>
      </c>
      <c r="B173">
        <v>5625.8</v>
      </c>
    </row>
    <row r="174" spans="1:2" x14ac:dyDescent="0.2">
      <c r="A174" s="1">
        <v>45532</v>
      </c>
      <c r="B174">
        <v>5592.18</v>
      </c>
    </row>
    <row r="175" spans="1:2" x14ac:dyDescent="0.2">
      <c r="A175" s="1">
        <v>45533</v>
      </c>
      <c r="B175">
        <v>5591.96</v>
      </c>
    </row>
    <row r="176" spans="1:2" x14ac:dyDescent="0.2">
      <c r="A176" s="1">
        <v>45534</v>
      </c>
      <c r="B176">
        <v>5648.4</v>
      </c>
    </row>
    <row r="177" spans="1:2" x14ac:dyDescent="0.2">
      <c r="A177" s="1">
        <v>45537</v>
      </c>
    </row>
    <row r="178" spans="1:2" x14ac:dyDescent="0.2">
      <c r="A178" s="1">
        <v>45538</v>
      </c>
      <c r="B178">
        <v>5528.93</v>
      </c>
    </row>
    <row r="179" spans="1:2" x14ac:dyDescent="0.2">
      <c r="A179" s="1">
        <v>45539</v>
      </c>
      <c r="B179">
        <v>5520.07</v>
      </c>
    </row>
    <row r="180" spans="1:2" x14ac:dyDescent="0.2">
      <c r="A180" s="1">
        <v>45540</v>
      </c>
      <c r="B180">
        <v>5503.41</v>
      </c>
    </row>
    <row r="181" spans="1:2" x14ac:dyDescent="0.2">
      <c r="A181" s="1">
        <v>45541</v>
      </c>
      <c r="B181">
        <v>5408.42</v>
      </c>
    </row>
    <row r="182" spans="1:2" x14ac:dyDescent="0.2">
      <c r="A182" s="1">
        <v>45544</v>
      </c>
      <c r="B182">
        <v>5471.05</v>
      </c>
    </row>
    <row r="183" spans="1:2" x14ac:dyDescent="0.2">
      <c r="A183" s="1">
        <v>45545</v>
      </c>
      <c r="B183">
        <v>5495.52</v>
      </c>
    </row>
    <row r="184" spans="1:2" x14ac:dyDescent="0.2">
      <c r="A184" s="1">
        <v>45546</v>
      </c>
      <c r="B184">
        <v>5554.13</v>
      </c>
    </row>
    <row r="185" spans="1:2" x14ac:dyDescent="0.2">
      <c r="A185" s="1">
        <v>45547</v>
      </c>
      <c r="B185">
        <v>5595.76</v>
      </c>
    </row>
    <row r="186" spans="1:2" x14ac:dyDescent="0.2">
      <c r="A186" s="1">
        <v>45548</v>
      </c>
      <c r="B186">
        <v>5626.02</v>
      </c>
    </row>
    <row r="187" spans="1:2" x14ac:dyDescent="0.2">
      <c r="A187" s="1">
        <v>45551</v>
      </c>
      <c r="B187">
        <v>5633.09</v>
      </c>
    </row>
    <row r="188" spans="1:2" x14ac:dyDescent="0.2">
      <c r="A188" s="1">
        <v>45552</v>
      </c>
      <c r="B188">
        <v>5634.58</v>
      </c>
    </row>
    <row r="189" spans="1:2" x14ac:dyDescent="0.2">
      <c r="A189" s="1">
        <v>45553</v>
      </c>
      <c r="B189">
        <v>5618.26</v>
      </c>
    </row>
    <row r="190" spans="1:2" x14ac:dyDescent="0.2">
      <c r="A190" s="1">
        <v>45554</v>
      </c>
      <c r="B190">
        <v>5713.64</v>
      </c>
    </row>
    <row r="191" spans="1:2" x14ac:dyDescent="0.2">
      <c r="A191" s="1">
        <v>45555</v>
      </c>
      <c r="B191">
        <v>5702.55</v>
      </c>
    </row>
    <row r="192" spans="1:2" x14ac:dyDescent="0.2">
      <c r="A192" s="1">
        <v>45558</v>
      </c>
      <c r="B192">
        <v>5718.57</v>
      </c>
    </row>
    <row r="193" spans="1:2" x14ac:dyDescent="0.2">
      <c r="A193" s="1">
        <v>45559</v>
      </c>
      <c r="B193">
        <v>5732.93</v>
      </c>
    </row>
    <row r="194" spans="1:2" x14ac:dyDescent="0.2">
      <c r="A194" s="1">
        <v>45560</v>
      </c>
      <c r="B194">
        <v>5722.26</v>
      </c>
    </row>
    <row r="195" spans="1:2" x14ac:dyDescent="0.2">
      <c r="A195" s="1">
        <v>45561</v>
      </c>
      <c r="B195">
        <v>5745.37</v>
      </c>
    </row>
    <row r="196" spans="1:2" x14ac:dyDescent="0.2">
      <c r="A196" s="1">
        <v>45562</v>
      </c>
      <c r="B196">
        <v>5738.17</v>
      </c>
    </row>
    <row r="197" spans="1:2" x14ac:dyDescent="0.2">
      <c r="A197" s="1">
        <v>45565</v>
      </c>
      <c r="B197">
        <v>5762.48</v>
      </c>
    </row>
    <row r="198" spans="1:2" x14ac:dyDescent="0.2">
      <c r="A198" s="1">
        <v>45566</v>
      </c>
      <c r="B198">
        <v>5708.75</v>
      </c>
    </row>
    <row r="199" spans="1:2" x14ac:dyDescent="0.2">
      <c r="A199" s="1">
        <v>45567</v>
      </c>
      <c r="B199">
        <v>5709.54</v>
      </c>
    </row>
    <row r="200" spans="1:2" x14ac:dyDescent="0.2">
      <c r="A200" s="1">
        <v>45568</v>
      </c>
      <c r="B200">
        <v>5699.94</v>
      </c>
    </row>
    <row r="201" spans="1:2" x14ac:dyDescent="0.2">
      <c r="A201" s="1">
        <v>45569</v>
      </c>
      <c r="B201">
        <v>5751.07</v>
      </c>
    </row>
    <row r="202" spans="1:2" x14ac:dyDescent="0.2">
      <c r="A202" s="1">
        <v>45572</v>
      </c>
      <c r="B202">
        <v>5695.94</v>
      </c>
    </row>
    <row r="203" spans="1:2" x14ac:dyDescent="0.2">
      <c r="A203" s="1">
        <v>45573</v>
      </c>
      <c r="B203">
        <v>5751.13</v>
      </c>
    </row>
    <row r="204" spans="1:2" x14ac:dyDescent="0.2">
      <c r="A204" s="1">
        <v>45574</v>
      </c>
      <c r="B204">
        <v>5792.04</v>
      </c>
    </row>
    <row r="205" spans="1:2" x14ac:dyDescent="0.2">
      <c r="A205" s="1">
        <v>45575</v>
      </c>
      <c r="B205">
        <v>5780.05</v>
      </c>
    </row>
    <row r="206" spans="1:2" x14ac:dyDescent="0.2">
      <c r="A206" s="1">
        <v>45576</v>
      </c>
      <c r="B206">
        <v>5815.03</v>
      </c>
    </row>
    <row r="207" spans="1:2" x14ac:dyDescent="0.2">
      <c r="A207" s="1">
        <v>45579</v>
      </c>
      <c r="B207">
        <v>5859.85</v>
      </c>
    </row>
    <row r="208" spans="1:2" x14ac:dyDescent="0.2">
      <c r="A208" s="1">
        <v>45580</v>
      </c>
      <c r="B208">
        <v>5815.26</v>
      </c>
    </row>
    <row r="209" spans="1:2" x14ac:dyDescent="0.2">
      <c r="A209" s="1">
        <v>45581</v>
      </c>
      <c r="B209">
        <v>5842.47</v>
      </c>
    </row>
    <row r="210" spans="1:2" x14ac:dyDescent="0.2">
      <c r="A210" s="1">
        <v>45582</v>
      </c>
      <c r="B210">
        <v>5841.47</v>
      </c>
    </row>
    <row r="211" spans="1:2" x14ac:dyDescent="0.2">
      <c r="A211" s="1">
        <v>45583</v>
      </c>
      <c r="B211">
        <v>5864.67</v>
      </c>
    </row>
    <row r="212" spans="1:2" x14ac:dyDescent="0.2">
      <c r="A212" s="1">
        <v>45586</v>
      </c>
      <c r="B212">
        <v>5853.98</v>
      </c>
    </row>
    <row r="213" spans="1:2" x14ac:dyDescent="0.2">
      <c r="A213" s="1">
        <v>45587</v>
      </c>
      <c r="B213">
        <v>5851.2</v>
      </c>
    </row>
    <row r="214" spans="1:2" x14ac:dyDescent="0.2">
      <c r="A214" s="1">
        <v>45588</v>
      </c>
      <c r="B214">
        <v>5797.42</v>
      </c>
    </row>
    <row r="215" spans="1:2" x14ac:dyDescent="0.2">
      <c r="A215" s="1">
        <v>45589</v>
      </c>
      <c r="B215">
        <v>5809.86</v>
      </c>
    </row>
    <row r="216" spans="1:2" x14ac:dyDescent="0.2">
      <c r="A216" s="1">
        <v>45590</v>
      </c>
      <c r="B216">
        <v>5808.12</v>
      </c>
    </row>
    <row r="217" spans="1:2" x14ac:dyDescent="0.2">
      <c r="A217" s="1">
        <v>45593</v>
      </c>
      <c r="B217">
        <v>5823.52</v>
      </c>
    </row>
    <row r="218" spans="1:2" x14ac:dyDescent="0.2">
      <c r="A218" s="1">
        <v>45594</v>
      </c>
      <c r="B218">
        <v>5832.92</v>
      </c>
    </row>
    <row r="219" spans="1:2" x14ac:dyDescent="0.2">
      <c r="A219" s="1">
        <v>45595</v>
      </c>
      <c r="B219">
        <v>5813.67</v>
      </c>
    </row>
    <row r="220" spans="1:2" x14ac:dyDescent="0.2">
      <c r="A220" s="1">
        <v>45596</v>
      </c>
      <c r="B220">
        <v>5705.45</v>
      </c>
    </row>
    <row r="221" spans="1:2" x14ac:dyDescent="0.2">
      <c r="A221" s="1">
        <v>45597</v>
      </c>
      <c r="B221">
        <v>5728.8</v>
      </c>
    </row>
    <row r="222" spans="1:2" x14ac:dyDescent="0.2">
      <c r="A222" s="1">
        <v>45600</v>
      </c>
      <c r="B222">
        <v>5712.69</v>
      </c>
    </row>
    <row r="223" spans="1:2" x14ac:dyDescent="0.2">
      <c r="A223" s="1">
        <v>45601</v>
      </c>
      <c r="B223">
        <v>5782.76</v>
      </c>
    </row>
    <row r="224" spans="1:2" x14ac:dyDescent="0.2">
      <c r="A224" s="1">
        <v>45602</v>
      </c>
      <c r="B224">
        <v>5929.04</v>
      </c>
    </row>
    <row r="225" spans="1:2" x14ac:dyDescent="0.2">
      <c r="A225" s="1">
        <v>45603</v>
      </c>
      <c r="B225">
        <v>5973.1</v>
      </c>
    </row>
    <row r="226" spans="1:2" x14ac:dyDescent="0.2">
      <c r="A226" s="1">
        <v>45604</v>
      </c>
      <c r="B226">
        <v>5995.54</v>
      </c>
    </row>
    <row r="227" spans="1:2" x14ac:dyDescent="0.2">
      <c r="A227" s="1">
        <v>45607</v>
      </c>
      <c r="B227">
        <v>6001.35</v>
      </c>
    </row>
    <row r="228" spans="1:2" x14ac:dyDescent="0.2">
      <c r="A228" s="1">
        <v>45608</v>
      </c>
      <c r="B228">
        <v>5983.99</v>
      </c>
    </row>
    <row r="229" spans="1:2" x14ac:dyDescent="0.2">
      <c r="A229" s="1">
        <v>45609</v>
      </c>
      <c r="B229">
        <v>5985.38</v>
      </c>
    </row>
    <row r="230" spans="1:2" x14ac:dyDescent="0.2">
      <c r="A230" s="1">
        <v>45610</v>
      </c>
      <c r="B230">
        <v>5949.17</v>
      </c>
    </row>
    <row r="231" spans="1:2" x14ac:dyDescent="0.2">
      <c r="A231" s="1">
        <v>45611</v>
      </c>
      <c r="B231">
        <v>5870.62</v>
      </c>
    </row>
    <row r="232" spans="1:2" x14ac:dyDescent="0.2">
      <c r="A232" s="1">
        <v>45614</v>
      </c>
      <c r="B232">
        <v>5893.62</v>
      </c>
    </row>
    <row r="233" spans="1:2" x14ac:dyDescent="0.2">
      <c r="A233" s="1">
        <v>45615</v>
      </c>
      <c r="B233">
        <v>5916.98</v>
      </c>
    </row>
    <row r="234" spans="1:2" x14ac:dyDescent="0.2">
      <c r="A234" s="1">
        <v>45616</v>
      </c>
      <c r="B234">
        <v>5917.11</v>
      </c>
    </row>
    <row r="235" spans="1:2" x14ac:dyDescent="0.2">
      <c r="A235" s="1">
        <v>45617</v>
      </c>
      <c r="B235">
        <v>5948.71</v>
      </c>
    </row>
    <row r="236" spans="1:2" x14ac:dyDescent="0.2">
      <c r="A236" s="1">
        <v>45618</v>
      </c>
      <c r="B236">
        <v>5969.34</v>
      </c>
    </row>
    <row r="237" spans="1:2" x14ac:dyDescent="0.2">
      <c r="A237" s="1">
        <v>45621</v>
      </c>
      <c r="B237">
        <v>5987.37</v>
      </c>
    </row>
    <row r="238" spans="1:2" x14ac:dyDescent="0.2">
      <c r="A238" s="1">
        <v>45622</v>
      </c>
      <c r="B238">
        <v>6021.63</v>
      </c>
    </row>
    <row r="239" spans="1:2" x14ac:dyDescent="0.2">
      <c r="A239" s="1">
        <v>45623</v>
      </c>
      <c r="B239">
        <v>5998.74</v>
      </c>
    </row>
    <row r="240" spans="1:2" x14ac:dyDescent="0.2">
      <c r="A240" s="1">
        <v>45624</v>
      </c>
    </row>
    <row r="241" spans="1:2" x14ac:dyDescent="0.2">
      <c r="A241" s="1">
        <v>45625</v>
      </c>
      <c r="B241">
        <v>6032.38</v>
      </c>
    </row>
    <row r="242" spans="1:2" x14ac:dyDescent="0.2">
      <c r="A242" s="1">
        <v>45628</v>
      </c>
      <c r="B242">
        <v>6047.15</v>
      </c>
    </row>
    <row r="243" spans="1:2" x14ac:dyDescent="0.2">
      <c r="A243" s="1">
        <v>45629</v>
      </c>
      <c r="B243">
        <v>6049.88</v>
      </c>
    </row>
    <row r="244" spans="1:2" x14ac:dyDescent="0.2">
      <c r="A244" s="1">
        <v>45630</v>
      </c>
      <c r="B244">
        <v>6086.49</v>
      </c>
    </row>
    <row r="245" spans="1:2" x14ac:dyDescent="0.2">
      <c r="A245" s="1">
        <v>45631</v>
      </c>
      <c r="B245">
        <v>6075.11</v>
      </c>
    </row>
    <row r="246" spans="1:2" x14ac:dyDescent="0.2">
      <c r="A246" s="1">
        <v>45632</v>
      </c>
      <c r="B246">
        <v>6090.27</v>
      </c>
    </row>
    <row r="247" spans="1:2" x14ac:dyDescent="0.2">
      <c r="A247" s="1">
        <v>45635</v>
      </c>
      <c r="B247">
        <v>6052.85</v>
      </c>
    </row>
    <row r="248" spans="1:2" x14ac:dyDescent="0.2">
      <c r="A248" s="1">
        <v>45636</v>
      </c>
      <c r="B248">
        <v>6034.91</v>
      </c>
    </row>
    <row r="249" spans="1:2" x14ac:dyDescent="0.2">
      <c r="A249" s="1">
        <v>45637</v>
      </c>
      <c r="B249">
        <v>6084.19</v>
      </c>
    </row>
    <row r="250" spans="1:2" x14ac:dyDescent="0.2">
      <c r="A250" s="1">
        <v>45638</v>
      </c>
      <c r="B250">
        <v>6051.25</v>
      </c>
    </row>
    <row r="251" spans="1:2" x14ac:dyDescent="0.2">
      <c r="A251" s="1">
        <v>45639</v>
      </c>
      <c r="B251">
        <v>6051.09</v>
      </c>
    </row>
    <row r="252" spans="1:2" x14ac:dyDescent="0.2">
      <c r="A252" s="1">
        <v>45642</v>
      </c>
      <c r="B252">
        <v>6074.08</v>
      </c>
    </row>
    <row r="253" spans="1:2" x14ac:dyDescent="0.2">
      <c r="A253" s="1">
        <v>45643</v>
      </c>
      <c r="B253">
        <v>6050.61</v>
      </c>
    </row>
    <row r="254" spans="1:2" x14ac:dyDescent="0.2">
      <c r="A254" s="1">
        <v>45644</v>
      </c>
      <c r="B254">
        <v>5872.16</v>
      </c>
    </row>
    <row r="255" spans="1:2" x14ac:dyDescent="0.2">
      <c r="A255" s="1">
        <v>45645</v>
      </c>
      <c r="B255">
        <v>5867.08</v>
      </c>
    </row>
    <row r="256" spans="1:2" x14ac:dyDescent="0.2">
      <c r="A256" s="1">
        <v>45646</v>
      </c>
      <c r="B256">
        <v>5930.85</v>
      </c>
    </row>
    <row r="257" spans="1:2" x14ac:dyDescent="0.2">
      <c r="A257" s="1">
        <v>45649</v>
      </c>
      <c r="B257">
        <v>5974.07</v>
      </c>
    </row>
    <row r="258" spans="1:2" x14ac:dyDescent="0.2">
      <c r="A258" s="1">
        <v>45650</v>
      </c>
      <c r="B258">
        <v>6040.04</v>
      </c>
    </row>
    <row r="259" spans="1:2" x14ac:dyDescent="0.2">
      <c r="A259" s="1">
        <v>45651</v>
      </c>
    </row>
    <row r="260" spans="1:2" x14ac:dyDescent="0.2">
      <c r="A260" s="1">
        <v>45652</v>
      </c>
      <c r="B260">
        <v>6037.59</v>
      </c>
    </row>
    <row r="261" spans="1:2" x14ac:dyDescent="0.2">
      <c r="A261" s="1">
        <v>45653</v>
      </c>
      <c r="B261">
        <v>5970.84</v>
      </c>
    </row>
    <row r="262" spans="1:2" x14ac:dyDescent="0.2">
      <c r="A262" s="1">
        <v>45656</v>
      </c>
      <c r="B262">
        <v>5906.94</v>
      </c>
    </row>
    <row r="263" spans="1:2" x14ac:dyDescent="0.2">
      <c r="A263" s="1">
        <v>45657</v>
      </c>
      <c r="B263">
        <v>5881.63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CE7B-3DC2-344F-B2DC-FE2C54B5A70B}">
  <dimension ref="A1:G367"/>
  <sheetViews>
    <sheetView workbookViewId="0">
      <selection activeCell="I49" sqref="I49"/>
    </sheetView>
  </sheetViews>
  <sheetFormatPr baseColWidth="10" defaultRowHeight="16" x14ac:dyDescent="0.2"/>
  <cols>
    <col min="7" max="7" width="11.6640625" customWidth="1"/>
  </cols>
  <sheetData>
    <row r="1" spans="1:7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">
      <c r="A2" s="5">
        <v>45657</v>
      </c>
      <c r="B2" s="3">
        <v>93557.2</v>
      </c>
      <c r="C2" s="3">
        <v>92777.2</v>
      </c>
      <c r="D2" s="3">
        <v>96163.4</v>
      </c>
      <c r="E2" s="3">
        <v>92036.2</v>
      </c>
      <c r="F2" s="3" t="s">
        <v>352</v>
      </c>
      <c r="G2" s="3">
        <v>8.3999999999999995E-3</v>
      </c>
    </row>
    <row r="3" spans="1:7" x14ac:dyDescent="0.2">
      <c r="A3" s="4">
        <v>45656</v>
      </c>
      <c r="B3" s="2">
        <v>92779.8</v>
      </c>
      <c r="C3" s="2">
        <v>93718.7</v>
      </c>
      <c r="D3" s="2">
        <v>94936.4</v>
      </c>
      <c r="E3" s="2">
        <v>91522.3</v>
      </c>
      <c r="F3" s="2" t="s">
        <v>353</v>
      </c>
      <c r="G3" s="2">
        <v>-0.01</v>
      </c>
    </row>
    <row r="4" spans="1:7" x14ac:dyDescent="0.2">
      <c r="A4" s="5">
        <v>45655</v>
      </c>
      <c r="B4" s="3">
        <v>93716.3</v>
      </c>
      <c r="C4" s="3">
        <v>95282.6</v>
      </c>
      <c r="D4" s="3">
        <v>95315.4</v>
      </c>
      <c r="E4" s="3">
        <v>93026.7</v>
      </c>
      <c r="F4" s="3" t="s">
        <v>354</v>
      </c>
      <c r="G4" s="3">
        <v>-1.6500000000000001E-2</v>
      </c>
    </row>
    <row r="5" spans="1:7" x14ac:dyDescent="0.2">
      <c r="A5" s="4">
        <v>45654</v>
      </c>
      <c r="B5" s="2">
        <v>95284.5</v>
      </c>
      <c r="C5" s="2">
        <v>94274.9</v>
      </c>
      <c r="D5" s="2">
        <v>95684.3</v>
      </c>
      <c r="E5" s="2">
        <v>94124.7</v>
      </c>
      <c r="F5" s="2" t="s">
        <v>355</v>
      </c>
      <c r="G5" s="2">
        <v>1.0699999999999999E-2</v>
      </c>
    </row>
    <row r="6" spans="1:7" x14ac:dyDescent="0.2">
      <c r="A6" s="5">
        <v>45653</v>
      </c>
      <c r="B6" s="3">
        <v>94275.9</v>
      </c>
      <c r="C6" s="3">
        <v>95776.4</v>
      </c>
      <c r="D6" s="3">
        <v>97243.3</v>
      </c>
      <c r="E6" s="3">
        <v>93472.8</v>
      </c>
      <c r="F6" s="3" t="s">
        <v>356</v>
      </c>
      <c r="G6" s="3">
        <v>-1.5699999999999999E-2</v>
      </c>
    </row>
    <row r="7" spans="1:7" x14ac:dyDescent="0.2">
      <c r="A7" s="4">
        <v>45652</v>
      </c>
      <c r="B7" s="2">
        <v>95777.7</v>
      </c>
      <c r="C7" s="2">
        <v>99389.4</v>
      </c>
      <c r="D7" s="2">
        <v>99922.5</v>
      </c>
      <c r="E7" s="2">
        <v>95193.3</v>
      </c>
      <c r="F7" s="2" t="s">
        <v>357</v>
      </c>
      <c r="G7" s="2">
        <v>-3.6400000000000002E-2</v>
      </c>
    </row>
    <row r="8" spans="1:7" x14ac:dyDescent="0.2">
      <c r="A8" s="5">
        <v>45651</v>
      </c>
      <c r="B8" s="3">
        <v>99391.3</v>
      </c>
      <c r="C8" s="3">
        <v>98661.9</v>
      </c>
      <c r="D8" s="3">
        <v>99514.1</v>
      </c>
      <c r="E8" s="3">
        <v>97651.9</v>
      </c>
      <c r="F8" s="3" t="s">
        <v>358</v>
      </c>
      <c r="G8" s="3">
        <v>7.3000000000000001E-3</v>
      </c>
    </row>
    <row r="9" spans="1:7" x14ac:dyDescent="0.2">
      <c r="A9" s="4">
        <v>45650</v>
      </c>
      <c r="B9" s="2">
        <v>98668.1</v>
      </c>
      <c r="C9" s="2">
        <v>94852.800000000003</v>
      </c>
      <c r="D9" s="2">
        <v>99446.6</v>
      </c>
      <c r="E9" s="2">
        <v>93566.2</v>
      </c>
      <c r="F9" s="2" t="s">
        <v>359</v>
      </c>
      <c r="G9" s="2">
        <v>4.02E-2</v>
      </c>
    </row>
    <row r="10" spans="1:7" x14ac:dyDescent="0.2">
      <c r="A10" s="5">
        <v>45649</v>
      </c>
      <c r="B10" s="3">
        <v>94852.1</v>
      </c>
      <c r="C10" s="3">
        <v>95184.8</v>
      </c>
      <c r="D10" s="3">
        <v>96517.8</v>
      </c>
      <c r="E10" s="3">
        <v>92543.2</v>
      </c>
      <c r="F10" s="3" t="s">
        <v>360</v>
      </c>
      <c r="G10" s="3">
        <v>-3.5000000000000001E-3</v>
      </c>
    </row>
    <row r="11" spans="1:7" x14ac:dyDescent="0.2">
      <c r="A11" s="4">
        <v>45648</v>
      </c>
      <c r="B11" s="2">
        <v>95183.8</v>
      </c>
      <c r="C11" s="2">
        <v>97281.600000000006</v>
      </c>
      <c r="D11" s="2">
        <v>97422.2</v>
      </c>
      <c r="E11" s="2">
        <v>94265.2</v>
      </c>
      <c r="F11" s="2" t="s">
        <v>361</v>
      </c>
      <c r="G11" s="2">
        <v>-2.1299999999999999E-2</v>
      </c>
    </row>
    <row r="12" spans="1:7" x14ac:dyDescent="0.2">
      <c r="A12" s="5">
        <v>45647</v>
      </c>
      <c r="B12" s="3">
        <v>97253.3</v>
      </c>
      <c r="C12" s="3">
        <v>97799.1</v>
      </c>
      <c r="D12" s="3">
        <v>99531.9</v>
      </c>
      <c r="E12" s="3">
        <v>96478.6</v>
      </c>
      <c r="F12" s="3" t="s">
        <v>362</v>
      </c>
      <c r="G12" s="3">
        <v>-5.4999999999999997E-3</v>
      </c>
    </row>
    <row r="13" spans="1:7" x14ac:dyDescent="0.2">
      <c r="A13" s="4">
        <v>45646</v>
      </c>
      <c r="B13" s="2">
        <v>97795.7</v>
      </c>
      <c r="C13" s="2">
        <v>97468.3</v>
      </c>
      <c r="D13" s="2">
        <v>98178.2</v>
      </c>
      <c r="E13" s="2">
        <v>92301.9</v>
      </c>
      <c r="F13" s="2" t="s">
        <v>363</v>
      </c>
      <c r="G13" s="2">
        <v>3.3999999999999998E-3</v>
      </c>
    </row>
    <row r="14" spans="1:7" x14ac:dyDescent="0.2">
      <c r="A14" s="5">
        <v>45645</v>
      </c>
      <c r="B14" s="3">
        <v>97466.1</v>
      </c>
      <c r="C14" s="3">
        <v>100190.5</v>
      </c>
      <c r="D14" s="3">
        <v>102778.8</v>
      </c>
      <c r="E14" s="3">
        <v>95672.2</v>
      </c>
      <c r="F14" s="3" t="s">
        <v>364</v>
      </c>
      <c r="G14" s="3">
        <v>-2.7300000000000001E-2</v>
      </c>
    </row>
    <row r="15" spans="1:7" x14ac:dyDescent="0.2">
      <c r="A15" s="4">
        <v>45644</v>
      </c>
      <c r="B15" s="2">
        <v>100197.8</v>
      </c>
      <c r="C15" s="2">
        <v>106140.7</v>
      </c>
      <c r="D15" s="2">
        <v>106477.6</v>
      </c>
      <c r="E15" s="2">
        <v>100049.3</v>
      </c>
      <c r="F15" s="2" t="s">
        <v>365</v>
      </c>
      <c r="G15" s="2">
        <v>-5.6000000000000001E-2</v>
      </c>
    </row>
    <row r="16" spans="1:7" x14ac:dyDescent="0.2">
      <c r="A16" s="5">
        <v>45643</v>
      </c>
      <c r="B16" s="3">
        <v>106138.9</v>
      </c>
      <c r="C16" s="3">
        <v>106053.4</v>
      </c>
      <c r="D16" s="3">
        <v>108244.9</v>
      </c>
      <c r="E16" s="3">
        <v>105350.6</v>
      </c>
      <c r="F16" s="3" t="s">
        <v>366</v>
      </c>
      <c r="G16" s="3">
        <v>8.0000000000000004E-4</v>
      </c>
    </row>
    <row r="17" spans="1:7" x14ac:dyDescent="0.2">
      <c r="A17" s="4">
        <v>45642</v>
      </c>
      <c r="B17" s="2">
        <v>106057.60000000001</v>
      </c>
      <c r="C17" s="2">
        <v>104479.2</v>
      </c>
      <c r="D17" s="2">
        <v>107767.6</v>
      </c>
      <c r="E17" s="2">
        <v>103351.7</v>
      </c>
      <c r="F17" s="2" t="s">
        <v>367</v>
      </c>
      <c r="G17" s="2">
        <v>1.55E-2</v>
      </c>
    </row>
    <row r="18" spans="1:7" x14ac:dyDescent="0.2">
      <c r="A18" s="5">
        <v>45641</v>
      </c>
      <c r="B18" s="3">
        <v>104443</v>
      </c>
      <c r="C18" s="3">
        <v>101417.9</v>
      </c>
      <c r="D18" s="3">
        <v>105120.9</v>
      </c>
      <c r="E18" s="3">
        <v>101234.9</v>
      </c>
      <c r="F18" s="3" t="s">
        <v>368</v>
      </c>
      <c r="G18" s="3">
        <v>2.98E-2</v>
      </c>
    </row>
    <row r="19" spans="1:7" x14ac:dyDescent="0.2">
      <c r="A19" s="4">
        <v>45640</v>
      </c>
      <c r="B19" s="2">
        <v>101417.7</v>
      </c>
      <c r="C19" s="2">
        <v>101423.7</v>
      </c>
      <c r="D19" s="2">
        <v>102633</v>
      </c>
      <c r="E19" s="2">
        <v>100626.3</v>
      </c>
      <c r="F19" s="2" t="s">
        <v>369</v>
      </c>
      <c r="G19" s="2">
        <v>-1E-4</v>
      </c>
    </row>
    <row r="20" spans="1:7" x14ac:dyDescent="0.2">
      <c r="A20" s="5">
        <v>45639</v>
      </c>
      <c r="B20" s="3">
        <v>101426.2</v>
      </c>
      <c r="C20" s="3">
        <v>100008.3</v>
      </c>
      <c r="D20" s="3">
        <v>101891.2</v>
      </c>
      <c r="E20" s="3">
        <v>99214.2</v>
      </c>
      <c r="F20" s="3" t="s">
        <v>370</v>
      </c>
      <c r="G20" s="3">
        <v>1.4200000000000001E-2</v>
      </c>
    </row>
    <row r="21" spans="1:7" x14ac:dyDescent="0.2">
      <c r="A21" s="4">
        <v>45638</v>
      </c>
      <c r="B21" s="2">
        <v>100009.9</v>
      </c>
      <c r="C21" s="2">
        <v>101126.3</v>
      </c>
      <c r="D21" s="2">
        <v>102495.3</v>
      </c>
      <c r="E21" s="2">
        <v>99334.5</v>
      </c>
      <c r="F21" s="2" t="s">
        <v>371</v>
      </c>
      <c r="G21" s="2">
        <v>-1.0999999999999999E-2</v>
      </c>
    </row>
    <row r="22" spans="1:7" x14ac:dyDescent="0.2">
      <c r="A22" s="5">
        <v>45637</v>
      </c>
      <c r="B22" s="3">
        <v>101126.2</v>
      </c>
      <c r="C22" s="3">
        <v>96603.199999999997</v>
      </c>
      <c r="D22" s="3">
        <v>101877.1</v>
      </c>
      <c r="E22" s="3">
        <v>95689.5</v>
      </c>
      <c r="F22" s="3" t="s">
        <v>372</v>
      </c>
      <c r="G22" s="3">
        <v>4.6899999999999997E-2</v>
      </c>
    </row>
    <row r="23" spans="1:7" x14ac:dyDescent="0.2">
      <c r="A23" s="4">
        <v>45636</v>
      </c>
      <c r="B23" s="2">
        <v>96600.3</v>
      </c>
      <c r="C23" s="2">
        <v>97311.5</v>
      </c>
      <c r="D23" s="2">
        <v>98237.8</v>
      </c>
      <c r="E23" s="2">
        <v>94304.5</v>
      </c>
      <c r="F23" s="2" t="s">
        <v>373</v>
      </c>
      <c r="G23" s="2">
        <v>-7.7999999999999996E-3</v>
      </c>
    </row>
    <row r="24" spans="1:7" x14ac:dyDescent="0.2">
      <c r="A24" s="5">
        <v>45635</v>
      </c>
      <c r="B24" s="3">
        <v>97359.4</v>
      </c>
      <c r="C24" s="3">
        <v>101129.7</v>
      </c>
      <c r="D24" s="3">
        <v>101198.6</v>
      </c>
      <c r="E24" s="3">
        <v>94395.8</v>
      </c>
      <c r="F24" s="3" t="s">
        <v>374</v>
      </c>
      <c r="G24" s="3">
        <v>-3.7199999999999997E-2</v>
      </c>
    </row>
    <row r="25" spans="1:7" x14ac:dyDescent="0.2">
      <c r="A25" s="4">
        <v>45634</v>
      </c>
      <c r="B25" s="2">
        <v>101115.8</v>
      </c>
      <c r="C25" s="2">
        <v>99837</v>
      </c>
      <c r="D25" s="2">
        <v>101339.9</v>
      </c>
      <c r="E25" s="2">
        <v>98713.9</v>
      </c>
      <c r="F25" s="2" t="s">
        <v>375</v>
      </c>
      <c r="G25" s="2">
        <v>1.2800000000000001E-2</v>
      </c>
    </row>
    <row r="26" spans="1:7" x14ac:dyDescent="0.2">
      <c r="A26" s="5">
        <v>45633</v>
      </c>
      <c r="B26" s="3">
        <v>99837</v>
      </c>
      <c r="C26" s="3">
        <v>99757.2</v>
      </c>
      <c r="D26" s="3">
        <v>100441.8</v>
      </c>
      <c r="E26" s="3">
        <v>98969</v>
      </c>
      <c r="F26" s="3" t="s">
        <v>376</v>
      </c>
      <c r="G26" s="3">
        <v>8.0000000000000004E-4</v>
      </c>
    </row>
    <row r="27" spans="1:7" x14ac:dyDescent="0.2">
      <c r="A27" s="4">
        <v>45632</v>
      </c>
      <c r="B27" s="2">
        <v>99760.7</v>
      </c>
      <c r="C27" s="2">
        <v>96968.9</v>
      </c>
      <c r="D27" s="2">
        <v>101908.5</v>
      </c>
      <c r="E27" s="2">
        <v>96452</v>
      </c>
      <c r="F27" s="2" t="s">
        <v>377</v>
      </c>
      <c r="G27" s="2">
        <v>2.8799999999999999E-2</v>
      </c>
    </row>
    <row r="28" spans="1:7" x14ac:dyDescent="0.2">
      <c r="A28" s="5">
        <v>45631</v>
      </c>
      <c r="B28" s="3">
        <v>96970.8</v>
      </c>
      <c r="C28" s="3">
        <v>98624.8</v>
      </c>
      <c r="D28" s="3">
        <v>103719.4</v>
      </c>
      <c r="E28" s="3">
        <v>92510.399999999994</v>
      </c>
      <c r="F28" s="3" t="s">
        <v>378</v>
      </c>
      <c r="G28" s="3">
        <v>-1.6899999999999998E-2</v>
      </c>
    </row>
    <row r="29" spans="1:7" x14ac:dyDescent="0.2">
      <c r="A29" s="4">
        <v>45630</v>
      </c>
      <c r="B29" s="2">
        <v>98635.8</v>
      </c>
      <c r="C29" s="2">
        <v>95900.1</v>
      </c>
      <c r="D29" s="2">
        <v>99030.7</v>
      </c>
      <c r="E29" s="2">
        <v>94625.3</v>
      </c>
      <c r="F29" s="2" t="s">
        <v>379</v>
      </c>
      <c r="G29" s="2">
        <v>2.8500000000000001E-2</v>
      </c>
    </row>
    <row r="30" spans="1:7" x14ac:dyDescent="0.2">
      <c r="A30" s="5">
        <v>45629</v>
      </c>
      <c r="B30" s="3">
        <v>95898.7</v>
      </c>
      <c r="C30" s="3">
        <v>95843.9</v>
      </c>
      <c r="D30" s="3">
        <v>96245</v>
      </c>
      <c r="E30" s="3">
        <v>93646.1</v>
      </c>
      <c r="F30" s="3" t="s">
        <v>380</v>
      </c>
      <c r="G30" s="3">
        <v>5.0000000000000001E-4</v>
      </c>
    </row>
    <row r="31" spans="1:7" x14ac:dyDescent="0.2">
      <c r="A31" s="4">
        <v>45628</v>
      </c>
      <c r="B31" s="2">
        <v>95846.6</v>
      </c>
      <c r="C31" s="2">
        <v>97199.3</v>
      </c>
      <c r="D31" s="2">
        <v>98082</v>
      </c>
      <c r="E31" s="2">
        <v>94510.6</v>
      </c>
      <c r="F31" s="2" t="s">
        <v>381</v>
      </c>
      <c r="G31" s="2">
        <v>-1.3899999999999999E-2</v>
      </c>
    </row>
    <row r="32" spans="1:7" x14ac:dyDescent="0.2">
      <c r="A32" s="5">
        <v>45627</v>
      </c>
      <c r="B32" s="3">
        <v>97201.4</v>
      </c>
      <c r="C32" s="3">
        <v>96404.7</v>
      </c>
      <c r="D32" s="3">
        <v>97813.9</v>
      </c>
      <c r="E32" s="3">
        <v>95721.8</v>
      </c>
      <c r="F32" s="3" t="s">
        <v>382</v>
      </c>
      <c r="G32" s="3">
        <v>8.3000000000000001E-3</v>
      </c>
    </row>
    <row r="33" spans="1:7" x14ac:dyDescent="0.2">
      <c r="A33" s="4">
        <v>45626</v>
      </c>
      <c r="B33" s="2">
        <v>96405.7</v>
      </c>
      <c r="C33" s="2">
        <v>97438.5</v>
      </c>
      <c r="D33" s="2">
        <v>97461.9</v>
      </c>
      <c r="E33" s="2">
        <v>96119.6</v>
      </c>
      <c r="F33" s="2" t="s">
        <v>383</v>
      </c>
      <c r="G33" s="2">
        <v>-1.06E-2</v>
      </c>
    </row>
    <row r="34" spans="1:7" x14ac:dyDescent="0.2">
      <c r="A34" s="5">
        <v>45625</v>
      </c>
      <c r="B34" s="3">
        <v>97438</v>
      </c>
      <c r="C34" s="3">
        <v>95645.6</v>
      </c>
      <c r="D34" s="3">
        <v>98599.8</v>
      </c>
      <c r="E34" s="3">
        <v>95405.7</v>
      </c>
      <c r="F34" s="3" t="s">
        <v>384</v>
      </c>
      <c r="G34" s="3">
        <v>1.8700000000000001E-2</v>
      </c>
    </row>
    <row r="35" spans="1:7" x14ac:dyDescent="0.2">
      <c r="A35" s="4">
        <v>45624</v>
      </c>
      <c r="B35" s="2">
        <v>95645.5</v>
      </c>
      <c r="C35" s="2">
        <v>95881.4</v>
      </c>
      <c r="D35" s="2">
        <v>96549</v>
      </c>
      <c r="E35" s="2">
        <v>94648.8</v>
      </c>
      <c r="F35" s="2" t="s">
        <v>385</v>
      </c>
      <c r="G35" s="2">
        <v>-2.5000000000000001E-3</v>
      </c>
    </row>
    <row r="36" spans="1:7" x14ac:dyDescent="0.2">
      <c r="A36" s="5">
        <v>45623</v>
      </c>
      <c r="B36" s="3">
        <v>95886.6</v>
      </c>
      <c r="C36" s="3">
        <v>91975.5</v>
      </c>
      <c r="D36" s="3">
        <v>97219.8</v>
      </c>
      <c r="E36" s="3">
        <v>91795.5</v>
      </c>
      <c r="F36" s="3" t="s">
        <v>386</v>
      </c>
      <c r="G36" s="3">
        <v>4.2500000000000003E-2</v>
      </c>
    </row>
    <row r="37" spans="1:7" x14ac:dyDescent="0.2">
      <c r="A37" s="4">
        <v>45622</v>
      </c>
      <c r="B37" s="2">
        <v>91977.600000000006</v>
      </c>
      <c r="C37" s="2">
        <v>93046.5</v>
      </c>
      <c r="D37" s="2">
        <v>94978.8</v>
      </c>
      <c r="E37" s="2">
        <v>90817.2</v>
      </c>
      <c r="F37" s="2" t="s">
        <v>387</v>
      </c>
      <c r="G37" s="2">
        <v>-1.17E-2</v>
      </c>
    </row>
    <row r="38" spans="1:7" x14ac:dyDescent="0.2">
      <c r="A38" s="5">
        <v>45621</v>
      </c>
      <c r="B38" s="3">
        <v>93064.4</v>
      </c>
      <c r="C38" s="3">
        <v>97948.800000000003</v>
      </c>
      <c r="D38" s="3">
        <v>98872.4</v>
      </c>
      <c r="E38" s="3">
        <v>92875.3</v>
      </c>
      <c r="F38" s="3" t="s">
        <v>388</v>
      </c>
      <c r="G38" s="3">
        <v>-4.9700000000000001E-2</v>
      </c>
    </row>
    <row r="39" spans="1:7" x14ac:dyDescent="0.2">
      <c r="A39" s="4">
        <v>45620</v>
      </c>
      <c r="B39" s="2">
        <v>97935.2</v>
      </c>
      <c r="C39" s="2">
        <v>97696.4</v>
      </c>
      <c r="D39" s="2">
        <v>98552.6</v>
      </c>
      <c r="E39" s="2">
        <v>95765.4</v>
      </c>
      <c r="F39" s="2" t="s">
        <v>8</v>
      </c>
      <c r="G39" s="2">
        <v>2.3999999999999998E-3</v>
      </c>
    </row>
    <row r="40" spans="1:7" x14ac:dyDescent="0.2">
      <c r="A40" s="5">
        <v>45619</v>
      </c>
      <c r="B40" s="3">
        <v>97699</v>
      </c>
      <c r="C40" s="3">
        <v>98927.2</v>
      </c>
      <c r="D40" s="3">
        <v>98927.2</v>
      </c>
      <c r="E40" s="3">
        <v>97180.9</v>
      </c>
      <c r="F40" s="3" t="s">
        <v>9</v>
      </c>
      <c r="G40" s="3">
        <v>-1.24E-2</v>
      </c>
    </row>
    <row r="41" spans="1:7" x14ac:dyDescent="0.2">
      <c r="A41" s="4">
        <v>45618</v>
      </c>
      <c r="B41" s="2">
        <v>98929.7</v>
      </c>
      <c r="C41" s="2">
        <v>98381.2</v>
      </c>
      <c r="D41" s="2">
        <v>99617.4</v>
      </c>
      <c r="E41" s="2">
        <v>97182.2</v>
      </c>
      <c r="F41" s="2" t="s">
        <v>10</v>
      </c>
      <c r="G41" s="2">
        <v>5.5999999999999999E-3</v>
      </c>
    </row>
    <row r="42" spans="1:7" x14ac:dyDescent="0.2">
      <c r="A42" s="5">
        <v>45617</v>
      </c>
      <c r="B42" s="3">
        <v>98374.5</v>
      </c>
      <c r="C42" s="3">
        <v>94308.7</v>
      </c>
      <c r="D42" s="3">
        <v>98937.2</v>
      </c>
      <c r="E42" s="3">
        <v>94063.8</v>
      </c>
      <c r="F42" s="3" t="s">
        <v>11</v>
      </c>
      <c r="G42" s="3">
        <v>4.3200000000000002E-2</v>
      </c>
    </row>
    <row r="43" spans="1:7" x14ac:dyDescent="0.2">
      <c r="A43" s="4">
        <v>45616</v>
      </c>
      <c r="B43" s="2">
        <v>94303.9</v>
      </c>
      <c r="C43" s="2">
        <v>92252.6</v>
      </c>
      <c r="D43" s="2">
        <v>94836.1</v>
      </c>
      <c r="E43" s="2">
        <v>91517.4</v>
      </c>
      <c r="F43" s="2" t="s">
        <v>12</v>
      </c>
      <c r="G43" s="2">
        <v>2.24E-2</v>
      </c>
    </row>
    <row r="44" spans="1:7" x14ac:dyDescent="0.2">
      <c r="A44" s="5">
        <v>45615</v>
      </c>
      <c r="B44" s="3">
        <v>92239.2</v>
      </c>
      <c r="C44" s="3">
        <v>90482.1</v>
      </c>
      <c r="D44" s="3">
        <v>93918.5</v>
      </c>
      <c r="E44" s="3">
        <v>90378.7</v>
      </c>
      <c r="F44" s="3" t="s">
        <v>13</v>
      </c>
      <c r="G44" s="3">
        <v>1.95E-2</v>
      </c>
    </row>
    <row r="45" spans="1:7" x14ac:dyDescent="0.2">
      <c r="A45" s="4">
        <v>45614</v>
      </c>
      <c r="B45" s="2">
        <v>90478.7</v>
      </c>
      <c r="C45" s="2">
        <v>89843.3</v>
      </c>
      <c r="D45" s="2">
        <v>92567.1</v>
      </c>
      <c r="E45" s="2">
        <v>89410.4</v>
      </c>
      <c r="F45" s="2" t="s">
        <v>14</v>
      </c>
      <c r="G45" s="2">
        <v>7.1999999999999998E-3</v>
      </c>
    </row>
    <row r="46" spans="1:7" x14ac:dyDescent="0.2">
      <c r="A46" s="5">
        <v>45613</v>
      </c>
      <c r="B46" s="3">
        <v>89833.7</v>
      </c>
      <c r="C46" s="3">
        <v>90569.4</v>
      </c>
      <c r="D46" s="3">
        <v>91441.600000000006</v>
      </c>
      <c r="E46" s="3">
        <v>88736.1</v>
      </c>
      <c r="F46" s="3" t="s">
        <v>15</v>
      </c>
      <c r="G46" s="3">
        <v>-7.7999999999999996E-3</v>
      </c>
    </row>
    <row r="47" spans="1:7" x14ac:dyDescent="0.2">
      <c r="A47" s="4">
        <v>45612</v>
      </c>
      <c r="B47" s="2">
        <v>90539.1</v>
      </c>
      <c r="C47" s="2">
        <v>91035.3</v>
      </c>
      <c r="D47" s="2">
        <v>91748.9</v>
      </c>
      <c r="E47" s="2">
        <v>90079</v>
      </c>
      <c r="F47" s="2" t="s">
        <v>16</v>
      </c>
      <c r="G47" s="2">
        <v>-5.5999999999999999E-3</v>
      </c>
    </row>
    <row r="48" spans="1:7" x14ac:dyDescent="0.2">
      <c r="A48" s="5">
        <v>45611</v>
      </c>
      <c r="B48" s="3">
        <v>91046.5</v>
      </c>
      <c r="C48" s="3">
        <v>87297.2</v>
      </c>
      <c r="D48" s="3">
        <v>91833.1</v>
      </c>
      <c r="E48" s="3">
        <v>87118.8</v>
      </c>
      <c r="F48" s="3" t="s">
        <v>17</v>
      </c>
      <c r="G48" s="3">
        <v>4.2999999999999997E-2</v>
      </c>
    </row>
    <row r="49" spans="1:7" x14ac:dyDescent="0.2">
      <c r="A49" s="4">
        <v>45610</v>
      </c>
      <c r="B49" s="2">
        <v>87294</v>
      </c>
      <c r="C49" s="2">
        <v>90424.8</v>
      </c>
      <c r="D49" s="2">
        <v>91726.7</v>
      </c>
      <c r="E49" s="2">
        <v>86740.2</v>
      </c>
      <c r="F49" s="2" t="s">
        <v>18</v>
      </c>
      <c r="G49" s="2">
        <v>-3.4599999999999999E-2</v>
      </c>
    </row>
    <row r="50" spans="1:7" x14ac:dyDescent="0.2">
      <c r="A50" s="5">
        <v>45609</v>
      </c>
      <c r="B50" s="3">
        <v>90422.2</v>
      </c>
      <c r="C50" s="3">
        <v>87971.199999999997</v>
      </c>
      <c r="D50" s="3">
        <v>93226.6</v>
      </c>
      <c r="E50" s="3">
        <v>86168.4</v>
      </c>
      <c r="F50" s="3" t="s">
        <v>19</v>
      </c>
      <c r="G50" s="3">
        <v>2.8199999999999999E-2</v>
      </c>
    </row>
    <row r="51" spans="1:7" x14ac:dyDescent="0.2">
      <c r="A51" s="4">
        <v>45608</v>
      </c>
      <c r="B51" s="2">
        <v>87941.3</v>
      </c>
      <c r="C51" s="2">
        <v>88665</v>
      </c>
      <c r="D51" s="2">
        <v>89929.600000000006</v>
      </c>
      <c r="E51" s="2">
        <v>85122.2</v>
      </c>
      <c r="F51" s="2" t="s">
        <v>20</v>
      </c>
      <c r="G51" s="2">
        <v>-8.2000000000000007E-3</v>
      </c>
    </row>
    <row r="52" spans="1:7" x14ac:dyDescent="0.2">
      <c r="A52" s="5">
        <v>45607</v>
      </c>
      <c r="B52" s="3">
        <v>88664.1</v>
      </c>
      <c r="C52" s="3">
        <v>80389</v>
      </c>
      <c r="D52" s="3">
        <v>89519</v>
      </c>
      <c r="E52" s="3">
        <v>80231.8</v>
      </c>
      <c r="F52" s="3" t="s">
        <v>21</v>
      </c>
      <c r="G52" s="3">
        <v>0.10290000000000001</v>
      </c>
    </row>
    <row r="53" spans="1:7" x14ac:dyDescent="0.2">
      <c r="A53" s="4">
        <v>45606</v>
      </c>
      <c r="B53" s="2">
        <v>80388.5</v>
      </c>
      <c r="C53" s="2">
        <v>76681.399999999994</v>
      </c>
      <c r="D53" s="2">
        <v>81373.5</v>
      </c>
      <c r="E53" s="2">
        <v>76520.5</v>
      </c>
      <c r="F53" s="2" t="s">
        <v>22</v>
      </c>
      <c r="G53" s="2">
        <v>4.8099999999999997E-2</v>
      </c>
    </row>
    <row r="54" spans="1:7" x14ac:dyDescent="0.2">
      <c r="A54" s="5">
        <v>45605</v>
      </c>
      <c r="B54" s="3">
        <v>76700.3</v>
      </c>
      <c r="C54" s="3">
        <v>76506.100000000006</v>
      </c>
      <c r="D54" s="3">
        <v>76904</v>
      </c>
      <c r="E54" s="3">
        <v>75732.5</v>
      </c>
      <c r="F54" s="3" t="s">
        <v>23</v>
      </c>
      <c r="G54" s="3">
        <v>2.3999999999999998E-3</v>
      </c>
    </row>
    <row r="55" spans="1:7" x14ac:dyDescent="0.2">
      <c r="A55" s="4">
        <v>45604</v>
      </c>
      <c r="B55" s="2">
        <v>76517.3</v>
      </c>
      <c r="C55" s="2">
        <v>75869.8</v>
      </c>
      <c r="D55" s="2">
        <v>77188.5</v>
      </c>
      <c r="E55" s="2">
        <v>75599</v>
      </c>
      <c r="F55" s="2" t="s">
        <v>24</v>
      </c>
      <c r="G55" s="2">
        <v>8.5000000000000006E-3</v>
      </c>
    </row>
    <row r="56" spans="1:7" x14ac:dyDescent="0.2">
      <c r="A56" s="5">
        <v>45603</v>
      </c>
      <c r="B56" s="3">
        <v>75868.600000000006</v>
      </c>
      <c r="C56" s="3">
        <v>75585.5</v>
      </c>
      <c r="D56" s="3">
        <v>76837.8</v>
      </c>
      <c r="E56" s="3">
        <v>74448.2</v>
      </c>
      <c r="F56" s="3" t="s">
        <v>25</v>
      </c>
      <c r="G56" s="3">
        <v>3.7000000000000002E-3</v>
      </c>
    </row>
    <row r="57" spans="1:7" x14ac:dyDescent="0.2">
      <c r="A57" s="4">
        <v>45602</v>
      </c>
      <c r="B57" s="2">
        <v>75586.3</v>
      </c>
      <c r="C57" s="2">
        <v>69374.100000000006</v>
      </c>
      <c r="D57" s="2">
        <v>76401.399999999994</v>
      </c>
      <c r="E57" s="2">
        <v>69323</v>
      </c>
      <c r="F57" s="2" t="s">
        <v>26</v>
      </c>
      <c r="G57" s="2">
        <v>8.9599999999999999E-2</v>
      </c>
    </row>
    <row r="58" spans="1:7" x14ac:dyDescent="0.2">
      <c r="A58" s="5">
        <v>45601</v>
      </c>
      <c r="B58" s="3">
        <v>69373.7</v>
      </c>
      <c r="C58" s="3">
        <v>67848.3</v>
      </c>
      <c r="D58" s="3">
        <v>70495.600000000006</v>
      </c>
      <c r="E58" s="3">
        <v>67473.600000000006</v>
      </c>
      <c r="F58" s="3" t="s">
        <v>27</v>
      </c>
      <c r="G58" s="3">
        <v>2.2499999999999999E-2</v>
      </c>
    </row>
    <row r="59" spans="1:7" x14ac:dyDescent="0.2">
      <c r="A59" s="4">
        <v>45600</v>
      </c>
      <c r="B59" s="2">
        <v>67848.800000000003</v>
      </c>
      <c r="C59" s="2">
        <v>68770.3</v>
      </c>
      <c r="D59" s="2">
        <v>69483.399999999994</v>
      </c>
      <c r="E59" s="2">
        <v>66834</v>
      </c>
      <c r="F59" s="2" t="s">
        <v>28</v>
      </c>
      <c r="G59" s="2">
        <v>-1.34E-2</v>
      </c>
    </row>
    <row r="60" spans="1:7" x14ac:dyDescent="0.2">
      <c r="A60" s="5">
        <v>45599</v>
      </c>
      <c r="B60" s="3">
        <v>68769.600000000006</v>
      </c>
      <c r="C60" s="3">
        <v>69334.8</v>
      </c>
      <c r="D60" s="3">
        <v>69383.600000000006</v>
      </c>
      <c r="E60" s="3">
        <v>67514.2</v>
      </c>
      <c r="F60" s="3" t="s">
        <v>29</v>
      </c>
      <c r="G60" s="3">
        <v>-8.0000000000000002E-3</v>
      </c>
    </row>
    <row r="61" spans="1:7" x14ac:dyDescent="0.2">
      <c r="A61" s="4">
        <v>45598</v>
      </c>
      <c r="B61" s="2">
        <v>69325.8</v>
      </c>
      <c r="C61" s="2">
        <v>69499.3</v>
      </c>
      <c r="D61" s="2">
        <v>69896.899999999994</v>
      </c>
      <c r="E61" s="2">
        <v>69029</v>
      </c>
      <c r="F61" s="2" t="s">
        <v>30</v>
      </c>
      <c r="G61" s="2">
        <v>-2.5999999999999999E-3</v>
      </c>
    </row>
    <row r="62" spans="1:7" x14ac:dyDescent="0.2">
      <c r="A62" s="5">
        <v>45597</v>
      </c>
      <c r="B62" s="3">
        <v>69507.199999999997</v>
      </c>
      <c r="C62" s="3">
        <v>70278.7</v>
      </c>
      <c r="D62" s="3">
        <v>71598.399999999994</v>
      </c>
      <c r="E62" s="3">
        <v>68846</v>
      </c>
      <c r="F62" s="3" t="s">
        <v>31</v>
      </c>
      <c r="G62" s="3">
        <v>-1.0999999999999999E-2</v>
      </c>
    </row>
    <row r="63" spans="1:7" x14ac:dyDescent="0.2">
      <c r="A63" s="4">
        <v>45596</v>
      </c>
      <c r="B63" s="2">
        <v>70281.8</v>
      </c>
      <c r="C63" s="2">
        <v>72343.7</v>
      </c>
      <c r="D63" s="2">
        <v>72685.7</v>
      </c>
      <c r="E63" s="2">
        <v>69674.5</v>
      </c>
      <c r="F63" s="2" t="s">
        <v>32</v>
      </c>
      <c r="G63" s="2">
        <v>-2.86E-2</v>
      </c>
    </row>
    <row r="64" spans="1:7" x14ac:dyDescent="0.2">
      <c r="A64" s="5">
        <v>45595</v>
      </c>
      <c r="B64" s="3">
        <v>72347.8</v>
      </c>
      <c r="C64" s="3">
        <v>72732.5</v>
      </c>
      <c r="D64" s="3">
        <v>72907.399999999994</v>
      </c>
      <c r="E64" s="3">
        <v>71460</v>
      </c>
      <c r="F64" s="3" t="s">
        <v>33</v>
      </c>
      <c r="G64" s="3">
        <v>-5.3E-3</v>
      </c>
    </row>
    <row r="65" spans="1:7" x14ac:dyDescent="0.2">
      <c r="A65" s="4">
        <v>45594</v>
      </c>
      <c r="B65" s="2">
        <v>72730.399999999994</v>
      </c>
      <c r="C65" s="2">
        <v>69957.2</v>
      </c>
      <c r="D65" s="2">
        <v>73569.399999999994</v>
      </c>
      <c r="E65" s="2">
        <v>69753.2</v>
      </c>
      <c r="F65" s="2" t="s">
        <v>34</v>
      </c>
      <c r="G65" s="2">
        <v>3.9699999999999999E-2</v>
      </c>
    </row>
    <row r="66" spans="1:7" x14ac:dyDescent="0.2">
      <c r="A66" s="5">
        <v>45593</v>
      </c>
      <c r="B66" s="3">
        <v>69954.100000000006</v>
      </c>
      <c r="C66" s="3">
        <v>68011.899999999994</v>
      </c>
      <c r="D66" s="3">
        <v>70203.399999999994</v>
      </c>
      <c r="E66" s="3">
        <v>67610</v>
      </c>
      <c r="F66" s="3" t="s">
        <v>35</v>
      </c>
      <c r="G66" s="3">
        <v>2.87E-2</v>
      </c>
    </row>
    <row r="67" spans="1:7" x14ac:dyDescent="0.2">
      <c r="A67" s="5">
        <v>45592</v>
      </c>
      <c r="B67" s="3">
        <v>68004.600000000006</v>
      </c>
      <c r="C67" s="3">
        <v>67084.7</v>
      </c>
      <c r="D67" s="3">
        <v>68308</v>
      </c>
      <c r="E67" s="3">
        <v>66924.600000000006</v>
      </c>
      <c r="F67" s="3" t="s">
        <v>36</v>
      </c>
      <c r="G67" s="3">
        <v>1.37E-2</v>
      </c>
    </row>
    <row r="68" spans="1:7" x14ac:dyDescent="0.2">
      <c r="A68" s="4">
        <v>45591</v>
      </c>
      <c r="B68" s="2">
        <v>67086.8</v>
      </c>
      <c r="C68" s="2">
        <v>66694.5</v>
      </c>
      <c r="D68" s="2">
        <v>67408.399999999994</v>
      </c>
      <c r="E68" s="2">
        <v>66443.8</v>
      </c>
      <c r="F68" s="2" t="s">
        <v>37</v>
      </c>
      <c r="G68" s="2">
        <v>5.7999999999999996E-3</v>
      </c>
    </row>
    <row r="69" spans="1:7" x14ac:dyDescent="0.2">
      <c r="A69" s="5">
        <v>45590</v>
      </c>
      <c r="B69" s="3">
        <v>66696.800000000003</v>
      </c>
      <c r="C69" s="3">
        <v>68191.899999999994</v>
      </c>
      <c r="D69" s="3">
        <v>68756.800000000003</v>
      </c>
      <c r="E69" s="3">
        <v>65644.2</v>
      </c>
      <c r="F69" s="3" t="s">
        <v>38</v>
      </c>
      <c r="G69" s="3">
        <v>-2.1899999999999999E-2</v>
      </c>
    </row>
    <row r="70" spans="1:7" x14ac:dyDescent="0.2">
      <c r="A70" s="4">
        <v>45589</v>
      </c>
      <c r="B70" s="2">
        <v>68191.5</v>
      </c>
      <c r="C70" s="2">
        <v>66659.199999999997</v>
      </c>
      <c r="D70" s="2">
        <v>68831.8</v>
      </c>
      <c r="E70" s="2">
        <v>66510.600000000006</v>
      </c>
      <c r="F70" s="2" t="s">
        <v>39</v>
      </c>
      <c r="G70" s="2">
        <v>2.29E-2</v>
      </c>
    </row>
    <row r="71" spans="1:7" x14ac:dyDescent="0.2">
      <c r="A71" s="5">
        <v>45588</v>
      </c>
      <c r="B71" s="3">
        <v>66663.7</v>
      </c>
      <c r="C71" s="3">
        <v>67428.600000000006</v>
      </c>
      <c r="D71" s="3">
        <v>67441.100000000006</v>
      </c>
      <c r="E71" s="3">
        <v>65246.7</v>
      </c>
      <c r="F71" s="3" t="s">
        <v>40</v>
      </c>
      <c r="G71" s="3">
        <v>-1.1299999999999999E-2</v>
      </c>
    </row>
    <row r="72" spans="1:7" x14ac:dyDescent="0.2">
      <c r="A72" s="4">
        <v>45587</v>
      </c>
      <c r="B72" s="2">
        <v>67427.3</v>
      </c>
      <c r="C72" s="2">
        <v>67370.8</v>
      </c>
      <c r="D72" s="2">
        <v>67815.3</v>
      </c>
      <c r="E72" s="2">
        <v>66609.399999999994</v>
      </c>
      <c r="F72" s="2" t="s">
        <v>41</v>
      </c>
      <c r="G72" s="2">
        <v>8.0000000000000004E-4</v>
      </c>
    </row>
    <row r="73" spans="1:7" x14ac:dyDescent="0.2">
      <c r="A73" s="5">
        <v>45586</v>
      </c>
      <c r="B73" s="3">
        <v>67371.3</v>
      </c>
      <c r="C73" s="3">
        <v>69030.5</v>
      </c>
      <c r="D73" s="3">
        <v>69490.8</v>
      </c>
      <c r="E73" s="3">
        <v>66845.5</v>
      </c>
      <c r="F73" s="3" t="s">
        <v>42</v>
      </c>
      <c r="G73" s="3">
        <v>-2.4E-2</v>
      </c>
    </row>
    <row r="74" spans="1:7" x14ac:dyDescent="0.2">
      <c r="A74" s="4">
        <v>45585</v>
      </c>
      <c r="B74" s="2">
        <v>69030.5</v>
      </c>
      <c r="C74" s="2">
        <v>68373.3</v>
      </c>
      <c r="D74" s="2">
        <v>69386.399999999994</v>
      </c>
      <c r="E74" s="2">
        <v>67443.899999999994</v>
      </c>
      <c r="F74" s="2" t="s">
        <v>43</v>
      </c>
      <c r="G74" s="2">
        <v>9.5999999999999992E-3</v>
      </c>
    </row>
    <row r="75" spans="1:7" x14ac:dyDescent="0.2">
      <c r="A75" s="5">
        <v>45584</v>
      </c>
      <c r="B75" s="3">
        <v>68372</v>
      </c>
      <c r="C75" s="3">
        <v>68426.399999999994</v>
      </c>
      <c r="D75" s="3">
        <v>68688.800000000003</v>
      </c>
      <c r="E75" s="3">
        <v>68025.5</v>
      </c>
      <c r="F75" s="3" t="s">
        <v>44</v>
      </c>
      <c r="G75" s="3">
        <v>-6.9999999999999999E-4</v>
      </c>
    </row>
    <row r="76" spans="1:7" x14ac:dyDescent="0.2">
      <c r="A76" s="4">
        <v>45583</v>
      </c>
      <c r="B76" s="2">
        <v>68423.100000000006</v>
      </c>
      <c r="C76" s="2">
        <v>67416.5</v>
      </c>
      <c r="D76" s="2">
        <v>68990.3</v>
      </c>
      <c r="E76" s="2">
        <v>67190.899999999994</v>
      </c>
      <c r="F76" s="2" t="s">
        <v>45</v>
      </c>
      <c r="G76" s="2">
        <v>1.49E-2</v>
      </c>
    </row>
    <row r="77" spans="1:7" x14ac:dyDescent="0.2">
      <c r="A77" s="5">
        <v>45582</v>
      </c>
      <c r="B77" s="3">
        <v>67418.399999999994</v>
      </c>
      <c r="C77" s="3">
        <v>67618.100000000006</v>
      </c>
      <c r="D77" s="3">
        <v>67933.5</v>
      </c>
      <c r="E77" s="3">
        <v>66677.3</v>
      </c>
      <c r="F77" s="3" t="s">
        <v>46</v>
      </c>
      <c r="G77" s="3">
        <v>-3.0000000000000001E-3</v>
      </c>
    </row>
    <row r="78" spans="1:7" x14ac:dyDescent="0.2">
      <c r="A78" s="4">
        <v>45581</v>
      </c>
      <c r="B78" s="2">
        <v>67617.899999999994</v>
      </c>
      <c r="C78" s="2">
        <v>67075.100000000006</v>
      </c>
      <c r="D78" s="2">
        <v>68389.399999999994</v>
      </c>
      <c r="E78" s="2">
        <v>66766.600000000006</v>
      </c>
      <c r="F78" s="2" t="s">
        <v>47</v>
      </c>
      <c r="G78" s="2">
        <v>8.0999999999999996E-3</v>
      </c>
    </row>
    <row r="79" spans="1:7" x14ac:dyDescent="0.2">
      <c r="A79" s="5">
        <v>45580</v>
      </c>
      <c r="B79" s="3">
        <v>67077.5</v>
      </c>
      <c r="C79" s="3">
        <v>66084.100000000006</v>
      </c>
      <c r="D79" s="3">
        <v>67821.899999999994</v>
      </c>
      <c r="E79" s="3">
        <v>64850.6</v>
      </c>
      <c r="F79" s="3" t="s">
        <v>48</v>
      </c>
      <c r="G79" s="3">
        <v>1.5100000000000001E-2</v>
      </c>
    </row>
    <row r="80" spans="1:7" x14ac:dyDescent="0.2">
      <c r="A80" s="4">
        <v>45579</v>
      </c>
      <c r="B80" s="2">
        <v>66081.7</v>
      </c>
      <c r="C80" s="2">
        <v>62870.7</v>
      </c>
      <c r="D80" s="2">
        <v>66476.600000000006</v>
      </c>
      <c r="E80" s="2">
        <v>62463.7</v>
      </c>
      <c r="F80" s="2" t="s">
        <v>49</v>
      </c>
      <c r="G80" s="2">
        <v>5.11E-2</v>
      </c>
    </row>
    <row r="81" spans="1:7" x14ac:dyDescent="0.2">
      <c r="A81" s="5">
        <v>45578</v>
      </c>
      <c r="B81" s="3">
        <v>62870.9</v>
      </c>
      <c r="C81" s="3">
        <v>63205.4</v>
      </c>
      <c r="D81" s="3">
        <v>63284.6</v>
      </c>
      <c r="E81" s="3">
        <v>62054.2</v>
      </c>
      <c r="F81" s="3" t="s">
        <v>50</v>
      </c>
      <c r="G81" s="3">
        <v>-5.3E-3</v>
      </c>
    </row>
    <row r="82" spans="1:7" x14ac:dyDescent="0.2">
      <c r="A82" s="4">
        <v>45577</v>
      </c>
      <c r="B82" s="2">
        <v>63205.1</v>
      </c>
      <c r="C82" s="2">
        <v>62506.6</v>
      </c>
      <c r="D82" s="2">
        <v>63463.1</v>
      </c>
      <c r="E82" s="2">
        <v>62486.1</v>
      </c>
      <c r="F82" s="2" t="s">
        <v>51</v>
      </c>
      <c r="G82" s="2">
        <v>1.1299999999999999E-2</v>
      </c>
    </row>
    <row r="83" spans="1:7" x14ac:dyDescent="0.2">
      <c r="A83" s="5">
        <v>45576</v>
      </c>
      <c r="B83" s="3">
        <v>62499.4</v>
      </c>
      <c r="C83" s="3">
        <v>60317.5</v>
      </c>
      <c r="D83" s="3">
        <v>63385.1</v>
      </c>
      <c r="E83" s="3">
        <v>60080.6</v>
      </c>
      <c r="F83" s="3" t="s">
        <v>52</v>
      </c>
      <c r="G83" s="3">
        <v>3.6200000000000003E-2</v>
      </c>
    </row>
    <row r="84" spans="1:7" x14ac:dyDescent="0.2">
      <c r="A84" s="4">
        <v>45575</v>
      </c>
      <c r="B84" s="2">
        <v>60316.2</v>
      </c>
      <c r="C84" s="2">
        <v>60628.9</v>
      </c>
      <c r="D84" s="2">
        <v>61304.6</v>
      </c>
      <c r="E84" s="2">
        <v>59075.7</v>
      </c>
      <c r="F84" s="2" t="s">
        <v>53</v>
      </c>
      <c r="G84" s="2">
        <v>-5.1999999999999998E-3</v>
      </c>
    </row>
    <row r="85" spans="1:7" x14ac:dyDescent="0.2">
      <c r="A85" s="5">
        <v>45574</v>
      </c>
      <c r="B85" s="3">
        <v>60628.800000000003</v>
      </c>
      <c r="C85" s="3">
        <v>62157</v>
      </c>
      <c r="D85" s="3">
        <v>62537</v>
      </c>
      <c r="E85" s="3">
        <v>60355.5</v>
      </c>
      <c r="F85" s="3" t="s">
        <v>54</v>
      </c>
      <c r="G85" s="3">
        <v>-2.46E-2</v>
      </c>
    </row>
    <row r="86" spans="1:7" x14ac:dyDescent="0.2">
      <c r="A86" s="4">
        <v>45573</v>
      </c>
      <c r="B86" s="2">
        <v>62157</v>
      </c>
      <c r="C86" s="2">
        <v>62226.9</v>
      </c>
      <c r="D86" s="2">
        <v>63196.6</v>
      </c>
      <c r="E86" s="2">
        <v>61883.199999999997</v>
      </c>
      <c r="F86" s="2" t="s">
        <v>55</v>
      </c>
      <c r="G86" s="2">
        <v>-1.4E-3</v>
      </c>
    </row>
    <row r="87" spans="1:7" x14ac:dyDescent="0.2">
      <c r="A87" s="5">
        <v>45572</v>
      </c>
      <c r="B87" s="3">
        <v>62245.599999999999</v>
      </c>
      <c r="C87" s="3">
        <v>62819.8</v>
      </c>
      <c r="D87" s="3">
        <v>64449.3</v>
      </c>
      <c r="E87" s="3">
        <v>62175.8</v>
      </c>
      <c r="F87" s="3" t="s">
        <v>56</v>
      </c>
      <c r="G87" s="3">
        <v>-9.1000000000000004E-3</v>
      </c>
    </row>
    <row r="88" spans="1:7" x14ac:dyDescent="0.2">
      <c r="A88" s="4">
        <v>45571</v>
      </c>
      <c r="B88" s="2">
        <v>62819.4</v>
      </c>
      <c r="C88" s="2">
        <v>62062</v>
      </c>
      <c r="D88" s="2">
        <v>62934.5</v>
      </c>
      <c r="E88" s="2">
        <v>61495.4</v>
      </c>
      <c r="F88" s="2" t="s">
        <v>57</v>
      </c>
      <c r="G88" s="2">
        <v>1.2200000000000001E-2</v>
      </c>
    </row>
    <row r="89" spans="1:7" x14ac:dyDescent="0.2">
      <c r="A89" s="5">
        <v>45570</v>
      </c>
      <c r="B89" s="3">
        <v>62061.4</v>
      </c>
      <c r="C89" s="3">
        <v>62085.5</v>
      </c>
      <c r="D89" s="3">
        <v>62366.8</v>
      </c>
      <c r="E89" s="3">
        <v>61705.7</v>
      </c>
      <c r="F89" s="3" t="s">
        <v>58</v>
      </c>
      <c r="G89" s="3">
        <v>-2.9999999999999997E-4</v>
      </c>
    </row>
    <row r="90" spans="1:7" x14ac:dyDescent="0.2">
      <c r="A90" s="4">
        <v>45569</v>
      </c>
      <c r="B90" s="2">
        <v>62081</v>
      </c>
      <c r="C90" s="2">
        <v>60751.4</v>
      </c>
      <c r="D90" s="2">
        <v>62471.7</v>
      </c>
      <c r="E90" s="2">
        <v>60469.3</v>
      </c>
      <c r="F90" s="2" t="s">
        <v>59</v>
      </c>
      <c r="G90" s="2">
        <v>2.1899999999999999E-2</v>
      </c>
    </row>
    <row r="91" spans="1:7" x14ac:dyDescent="0.2">
      <c r="A91" s="5">
        <v>45568</v>
      </c>
      <c r="B91" s="3">
        <v>60751.199999999997</v>
      </c>
      <c r="C91" s="3">
        <v>60642</v>
      </c>
      <c r="D91" s="3">
        <v>61468.9</v>
      </c>
      <c r="E91" s="3">
        <v>59904.4</v>
      </c>
      <c r="F91" s="3" t="s">
        <v>60</v>
      </c>
      <c r="G91" s="3">
        <v>1.6999999999999999E-3</v>
      </c>
    </row>
    <row r="92" spans="1:7" x14ac:dyDescent="0.2">
      <c r="A92" s="4">
        <v>45567</v>
      </c>
      <c r="B92" s="2">
        <v>60645.7</v>
      </c>
      <c r="C92" s="2">
        <v>60834.2</v>
      </c>
      <c r="D92" s="2">
        <v>62339.8</v>
      </c>
      <c r="E92" s="2">
        <v>60002.7</v>
      </c>
      <c r="F92" s="2" t="s">
        <v>61</v>
      </c>
      <c r="G92" s="2">
        <v>-3.0999999999999999E-3</v>
      </c>
    </row>
    <row r="93" spans="1:7" x14ac:dyDescent="0.2">
      <c r="A93" s="5">
        <v>45566</v>
      </c>
      <c r="B93" s="3">
        <v>60835.5</v>
      </c>
      <c r="C93" s="3">
        <v>63329.9</v>
      </c>
      <c r="D93" s="3">
        <v>64125.3</v>
      </c>
      <c r="E93" s="3">
        <v>60195.9</v>
      </c>
      <c r="F93" s="3" t="s">
        <v>62</v>
      </c>
      <c r="G93" s="3">
        <v>-3.95E-2</v>
      </c>
    </row>
    <row r="94" spans="1:7" x14ac:dyDescent="0.2">
      <c r="A94" s="4">
        <v>45565</v>
      </c>
      <c r="B94" s="2">
        <v>63339.199999999997</v>
      </c>
      <c r="C94" s="2">
        <v>65607</v>
      </c>
      <c r="D94" s="2">
        <v>65607</v>
      </c>
      <c r="E94" s="2">
        <v>62901.1</v>
      </c>
      <c r="F94" s="2" t="s">
        <v>63</v>
      </c>
      <c r="G94" s="2">
        <v>-3.4599999999999999E-2</v>
      </c>
    </row>
    <row r="95" spans="1:7" x14ac:dyDescent="0.2">
      <c r="A95" s="5">
        <v>45564</v>
      </c>
      <c r="B95" s="3">
        <v>65607.100000000006</v>
      </c>
      <c r="C95" s="3">
        <v>65862.8</v>
      </c>
      <c r="D95" s="3">
        <v>66065.7</v>
      </c>
      <c r="E95" s="3">
        <v>65436.800000000003</v>
      </c>
      <c r="F95" s="3" t="s">
        <v>64</v>
      </c>
      <c r="G95" s="3">
        <v>-3.8999999999999998E-3</v>
      </c>
    </row>
    <row r="96" spans="1:7" x14ac:dyDescent="0.2">
      <c r="A96" s="4">
        <v>45563</v>
      </c>
      <c r="B96" s="2">
        <v>65866.5</v>
      </c>
      <c r="C96" s="2">
        <v>65775.600000000006</v>
      </c>
      <c r="D96" s="2">
        <v>66232.5</v>
      </c>
      <c r="E96" s="2">
        <v>65438.1</v>
      </c>
      <c r="F96" s="2" t="s">
        <v>65</v>
      </c>
      <c r="G96" s="2">
        <v>1.4E-3</v>
      </c>
    </row>
    <row r="97" spans="1:7" x14ac:dyDescent="0.2">
      <c r="A97" s="5">
        <v>45562</v>
      </c>
      <c r="B97" s="3">
        <v>65776.3</v>
      </c>
      <c r="C97" s="3">
        <v>65168.800000000003</v>
      </c>
      <c r="D97" s="3">
        <v>66440.7</v>
      </c>
      <c r="E97" s="3">
        <v>64839.199999999997</v>
      </c>
      <c r="F97" s="3" t="s">
        <v>66</v>
      </c>
      <c r="G97" s="3">
        <v>9.1999999999999998E-3</v>
      </c>
    </row>
    <row r="98" spans="1:7" x14ac:dyDescent="0.2">
      <c r="A98" s="4">
        <v>45561</v>
      </c>
      <c r="B98" s="2">
        <v>65175.7</v>
      </c>
      <c r="C98" s="2">
        <v>63157.2</v>
      </c>
      <c r="D98" s="2">
        <v>65770.899999999994</v>
      </c>
      <c r="E98" s="2">
        <v>62693.3</v>
      </c>
      <c r="F98" s="2" t="s">
        <v>67</v>
      </c>
      <c r="G98" s="2">
        <v>3.2000000000000001E-2</v>
      </c>
    </row>
    <row r="99" spans="1:7" x14ac:dyDescent="0.2">
      <c r="A99" s="5">
        <v>45560</v>
      </c>
      <c r="B99" s="3">
        <v>63156.5</v>
      </c>
      <c r="C99" s="3">
        <v>64262.9</v>
      </c>
      <c r="D99" s="3">
        <v>64788.4</v>
      </c>
      <c r="E99" s="3">
        <v>62952.800000000003</v>
      </c>
      <c r="F99" s="3" t="s">
        <v>68</v>
      </c>
      <c r="G99" s="3">
        <v>-1.7100000000000001E-2</v>
      </c>
    </row>
    <row r="100" spans="1:7" x14ac:dyDescent="0.2">
      <c r="A100" s="4">
        <v>45559</v>
      </c>
      <c r="B100" s="2">
        <v>64256.800000000003</v>
      </c>
      <c r="C100" s="2">
        <v>63335.9</v>
      </c>
      <c r="D100" s="2">
        <v>64664.1</v>
      </c>
      <c r="E100" s="2">
        <v>62740.800000000003</v>
      </c>
      <c r="F100" s="2" t="s">
        <v>69</v>
      </c>
      <c r="G100" s="2">
        <v>1.46E-2</v>
      </c>
    </row>
    <row r="101" spans="1:7" x14ac:dyDescent="0.2">
      <c r="A101" s="5">
        <v>45558</v>
      </c>
      <c r="B101" s="3">
        <v>63331.8</v>
      </c>
      <c r="C101" s="3">
        <v>63575.4</v>
      </c>
      <c r="D101" s="3">
        <v>64723.4</v>
      </c>
      <c r="E101" s="3">
        <v>62650</v>
      </c>
      <c r="F101" s="3" t="s">
        <v>70</v>
      </c>
      <c r="G101" s="3">
        <v>-3.8E-3</v>
      </c>
    </row>
    <row r="102" spans="1:7" x14ac:dyDescent="0.2">
      <c r="A102" s="4">
        <v>45557</v>
      </c>
      <c r="B102" s="2">
        <v>63572.7</v>
      </c>
      <c r="C102" s="2">
        <v>63351.199999999997</v>
      </c>
      <c r="D102" s="2">
        <v>63998.2</v>
      </c>
      <c r="E102" s="2">
        <v>62394.6</v>
      </c>
      <c r="F102" s="2" t="s">
        <v>71</v>
      </c>
      <c r="G102" s="2">
        <v>3.5000000000000001E-3</v>
      </c>
    </row>
    <row r="103" spans="1:7" x14ac:dyDescent="0.2">
      <c r="A103" s="5">
        <v>45556</v>
      </c>
      <c r="B103" s="3">
        <v>63348.1</v>
      </c>
      <c r="C103" s="3">
        <v>63201.2</v>
      </c>
      <c r="D103" s="3">
        <v>63526.3</v>
      </c>
      <c r="E103" s="3">
        <v>62778.6</v>
      </c>
      <c r="F103" s="3" t="s">
        <v>72</v>
      </c>
      <c r="G103" s="3">
        <v>2.3E-3</v>
      </c>
    </row>
    <row r="104" spans="1:7" x14ac:dyDescent="0.2">
      <c r="A104" s="4">
        <v>45555</v>
      </c>
      <c r="B104" s="2">
        <v>63201.2</v>
      </c>
      <c r="C104" s="2">
        <v>62942.400000000001</v>
      </c>
      <c r="D104" s="2">
        <v>64085.1</v>
      </c>
      <c r="E104" s="2">
        <v>62367.1</v>
      </c>
      <c r="F104" s="2" t="s">
        <v>73</v>
      </c>
      <c r="G104" s="2">
        <v>4.1999999999999997E-3</v>
      </c>
    </row>
    <row r="105" spans="1:7" x14ac:dyDescent="0.2">
      <c r="A105" s="5">
        <v>45554</v>
      </c>
      <c r="B105" s="3">
        <v>62938.6</v>
      </c>
      <c r="C105" s="3">
        <v>61754.8</v>
      </c>
      <c r="D105" s="3">
        <v>63849.599999999999</v>
      </c>
      <c r="E105" s="3">
        <v>61596.5</v>
      </c>
      <c r="F105" s="3" t="s">
        <v>74</v>
      </c>
      <c r="G105" s="3">
        <v>1.9099999999999999E-2</v>
      </c>
    </row>
    <row r="106" spans="1:7" x14ac:dyDescent="0.2">
      <c r="A106" s="4">
        <v>45553</v>
      </c>
      <c r="B106" s="2">
        <v>61757.599999999999</v>
      </c>
      <c r="C106" s="2">
        <v>60308.5</v>
      </c>
      <c r="D106" s="2">
        <v>61757.599999999999</v>
      </c>
      <c r="E106" s="2">
        <v>59210.7</v>
      </c>
      <c r="F106" s="2" t="s">
        <v>75</v>
      </c>
      <c r="G106" s="2">
        <v>2.4E-2</v>
      </c>
    </row>
    <row r="107" spans="1:7" x14ac:dyDescent="0.2">
      <c r="A107" s="5">
        <v>45552</v>
      </c>
      <c r="B107" s="3">
        <v>60309.1</v>
      </c>
      <c r="C107" s="3">
        <v>58213.1</v>
      </c>
      <c r="D107" s="3">
        <v>61309</v>
      </c>
      <c r="E107" s="3">
        <v>57630.2</v>
      </c>
      <c r="F107" s="3" t="s">
        <v>76</v>
      </c>
      <c r="G107" s="3">
        <v>3.5999999999999997E-2</v>
      </c>
    </row>
    <row r="108" spans="1:7" x14ac:dyDescent="0.2">
      <c r="A108" s="4">
        <v>45551</v>
      </c>
      <c r="B108" s="2">
        <v>58213.1</v>
      </c>
      <c r="C108" s="2">
        <v>59126.2</v>
      </c>
      <c r="D108" s="2">
        <v>59204.3</v>
      </c>
      <c r="E108" s="2">
        <v>57527.8</v>
      </c>
      <c r="F108" s="2" t="s">
        <v>77</v>
      </c>
      <c r="G108" s="2">
        <v>-1.5599999999999999E-2</v>
      </c>
    </row>
    <row r="109" spans="1:7" x14ac:dyDescent="0.2">
      <c r="A109" s="5">
        <v>45550</v>
      </c>
      <c r="B109" s="3">
        <v>59138.5</v>
      </c>
      <c r="C109" s="3">
        <v>59995.6</v>
      </c>
      <c r="D109" s="3">
        <v>60377.599999999999</v>
      </c>
      <c r="E109" s="3">
        <v>58717.9</v>
      </c>
      <c r="F109" s="3" t="s">
        <v>78</v>
      </c>
      <c r="G109" s="3">
        <v>-1.43E-2</v>
      </c>
    </row>
    <row r="110" spans="1:7" x14ac:dyDescent="0.2">
      <c r="A110" s="4">
        <v>45549</v>
      </c>
      <c r="B110" s="2">
        <v>59995.4</v>
      </c>
      <c r="C110" s="2">
        <v>60514.8</v>
      </c>
      <c r="D110" s="2">
        <v>60609.4</v>
      </c>
      <c r="E110" s="2">
        <v>59494.3</v>
      </c>
      <c r="F110" s="2" t="s">
        <v>79</v>
      </c>
      <c r="G110" s="2">
        <v>-8.5000000000000006E-3</v>
      </c>
    </row>
    <row r="111" spans="1:7" x14ac:dyDescent="0.2">
      <c r="A111" s="5">
        <v>45548</v>
      </c>
      <c r="B111" s="3">
        <v>60511.6</v>
      </c>
      <c r="C111" s="3">
        <v>58134.400000000001</v>
      </c>
      <c r="D111" s="3">
        <v>60625.4</v>
      </c>
      <c r="E111" s="3">
        <v>57656.800000000003</v>
      </c>
      <c r="F111" s="3" t="s">
        <v>80</v>
      </c>
      <c r="G111" s="3">
        <v>4.0899999999999999E-2</v>
      </c>
    </row>
    <row r="112" spans="1:7" x14ac:dyDescent="0.2">
      <c r="A112" s="4">
        <v>45547</v>
      </c>
      <c r="B112" s="2">
        <v>58134.5</v>
      </c>
      <c r="C112" s="2">
        <v>57335.5</v>
      </c>
      <c r="D112" s="2">
        <v>58484.1</v>
      </c>
      <c r="E112" s="2">
        <v>57329.599999999999</v>
      </c>
      <c r="F112" s="2" t="s">
        <v>81</v>
      </c>
      <c r="G112" s="2">
        <v>1.3899999999999999E-2</v>
      </c>
    </row>
    <row r="113" spans="1:7" x14ac:dyDescent="0.2">
      <c r="A113" s="5">
        <v>45546</v>
      </c>
      <c r="B113" s="3">
        <v>57338.7</v>
      </c>
      <c r="C113" s="3">
        <v>57638</v>
      </c>
      <c r="D113" s="3">
        <v>57975.9</v>
      </c>
      <c r="E113" s="3">
        <v>55576.6</v>
      </c>
      <c r="F113" s="3" t="s">
        <v>82</v>
      </c>
      <c r="G113" s="3">
        <v>-5.1000000000000004E-3</v>
      </c>
    </row>
    <row r="114" spans="1:7" x14ac:dyDescent="0.2">
      <c r="A114" s="4">
        <v>45545</v>
      </c>
      <c r="B114" s="2">
        <v>57635</v>
      </c>
      <c r="C114" s="2">
        <v>57045.599999999999</v>
      </c>
      <c r="D114" s="2">
        <v>58019.9</v>
      </c>
      <c r="E114" s="2">
        <v>56415.3</v>
      </c>
      <c r="F114" s="2" t="s">
        <v>83</v>
      </c>
      <c r="G114" s="2">
        <v>1.03E-2</v>
      </c>
    </row>
    <row r="115" spans="1:7" x14ac:dyDescent="0.2">
      <c r="A115" s="5">
        <v>45544</v>
      </c>
      <c r="B115" s="3">
        <v>57049.599999999999</v>
      </c>
      <c r="C115" s="3">
        <v>54868</v>
      </c>
      <c r="D115" s="3">
        <v>57956.7</v>
      </c>
      <c r="E115" s="3">
        <v>54595.4</v>
      </c>
      <c r="F115" s="3" t="s">
        <v>84</v>
      </c>
      <c r="G115" s="3">
        <v>3.9899999999999998E-2</v>
      </c>
    </row>
    <row r="116" spans="1:7" x14ac:dyDescent="0.2">
      <c r="A116" s="4">
        <v>45543</v>
      </c>
      <c r="B116" s="2">
        <v>54861.3</v>
      </c>
      <c r="C116" s="2">
        <v>54161.4</v>
      </c>
      <c r="D116" s="2">
        <v>55292.7</v>
      </c>
      <c r="E116" s="2">
        <v>53642.400000000001</v>
      </c>
      <c r="F116" s="2" t="s">
        <v>85</v>
      </c>
      <c r="G116" s="2">
        <v>1.2999999999999999E-2</v>
      </c>
    </row>
    <row r="117" spans="1:7" x14ac:dyDescent="0.2">
      <c r="A117" s="5">
        <v>45542</v>
      </c>
      <c r="B117" s="3">
        <v>54156.5</v>
      </c>
      <c r="C117" s="3">
        <v>53965</v>
      </c>
      <c r="D117" s="3">
        <v>54819.199999999997</v>
      </c>
      <c r="E117" s="3">
        <v>53754.3</v>
      </c>
      <c r="F117" s="3" t="s">
        <v>86</v>
      </c>
      <c r="G117" s="3">
        <v>3.5000000000000001E-3</v>
      </c>
    </row>
    <row r="118" spans="1:7" x14ac:dyDescent="0.2">
      <c r="A118" s="4">
        <v>45541</v>
      </c>
      <c r="B118" s="2">
        <v>53966.8</v>
      </c>
      <c r="C118" s="2">
        <v>56179.7</v>
      </c>
      <c r="D118" s="2">
        <v>56969.1</v>
      </c>
      <c r="E118" s="2">
        <v>52644.6</v>
      </c>
      <c r="F118" s="2" t="s">
        <v>87</v>
      </c>
      <c r="G118" s="2">
        <v>-3.9399999999999998E-2</v>
      </c>
    </row>
    <row r="119" spans="1:7" x14ac:dyDescent="0.2">
      <c r="A119" s="5">
        <v>45540</v>
      </c>
      <c r="B119" s="3">
        <v>56183.199999999997</v>
      </c>
      <c r="C119" s="3">
        <v>57970.7</v>
      </c>
      <c r="D119" s="3">
        <v>58318.9</v>
      </c>
      <c r="E119" s="3">
        <v>55744.6</v>
      </c>
      <c r="F119" s="3" t="s">
        <v>88</v>
      </c>
      <c r="G119" s="3">
        <v>-3.09E-2</v>
      </c>
    </row>
    <row r="120" spans="1:7" x14ac:dyDescent="0.2">
      <c r="A120" s="4">
        <v>45539</v>
      </c>
      <c r="B120" s="2">
        <v>57973.4</v>
      </c>
      <c r="C120" s="2">
        <v>57490.400000000001</v>
      </c>
      <c r="D120" s="2">
        <v>58508.800000000003</v>
      </c>
      <c r="E120" s="2">
        <v>55732.1</v>
      </c>
      <c r="F120" s="2" t="s">
        <v>89</v>
      </c>
      <c r="G120" s="2">
        <v>8.6E-3</v>
      </c>
    </row>
    <row r="121" spans="1:7" x14ac:dyDescent="0.2">
      <c r="A121" s="5">
        <v>45538</v>
      </c>
      <c r="B121" s="3">
        <v>57479.8</v>
      </c>
      <c r="C121" s="3">
        <v>59133.7</v>
      </c>
      <c r="D121" s="3">
        <v>59799.7</v>
      </c>
      <c r="E121" s="3">
        <v>57436.9</v>
      </c>
      <c r="F121" s="3" t="s">
        <v>90</v>
      </c>
      <c r="G121" s="3">
        <v>-2.8000000000000001E-2</v>
      </c>
    </row>
    <row r="122" spans="1:7" x14ac:dyDescent="0.2">
      <c r="A122" s="4">
        <v>45537</v>
      </c>
      <c r="B122" s="2">
        <v>59134</v>
      </c>
      <c r="C122" s="2">
        <v>57309</v>
      </c>
      <c r="D122" s="2">
        <v>59416.6</v>
      </c>
      <c r="E122" s="2">
        <v>57185.8</v>
      </c>
      <c r="F122" s="2" t="s">
        <v>91</v>
      </c>
      <c r="G122" s="2">
        <v>3.1699999999999999E-2</v>
      </c>
    </row>
    <row r="123" spans="1:7" x14ac:dyDescent="0.2">
      <c r="A123" s="5">
        <v>45536</v>
      </c>
      <c r="B123" s="3">
        <v>57315.7</v>
      </c>
      <c r="C123" s="3">
        <v>58975.7</v>
      </c>
      <c r="D123" s="3">
        <v>59058.7</v>
      </c>
      <c r="E123" s="3">
        <v>57232.4</v>
      </c>
      <c r="F123" s="3" t="s">
        <v>92</v>
      </c>
      <c r="G123" s="3">
        <v>-2.8199999999999999E-2</v>
      </c>
    </row>
    <row r="124" spans="1:7" x14ac:dyDescent="0.2">
      <c r="A124" s="4">
        <v>45535</v>
      </c>
      <c r="B124" s="2">
        <v>58978.6</v>
      </c>
      <c r="C124" s="2">
        <v>59120.4</v>
      </c>
      <c r="D124" s="2">
        <v>59447</v>
      </c>
      <c r="E124" s="2">
        <v>58761.1</v>
      </c>
      <c r="F124" s="2" t="s">
        <v>93</v>
      </c>
      <c r="G124" s="2">
        <v>-2.3999999999999998E-3</v>
      </c>
    </row>
    <row r="125" spans="1:7" x14ac:dyDescent="0.2">
      <c r="A125" s="5">
        <v>45534</v>
      </c>
      <c r="B125" s="3">
        <v>59119.7</v>
      </c>
      <c r="C125" s="3">
        <v>59371.7</v>
      </c>
      <c r="D125" s="3">
        <v>59817.599999999999</v>
      </c>
      <c r="E125" s="3">
        <v>57874.7</v>
      </c>
      <c r="F125" s="3" t="s">
        <v>94</v>
      </c>
      <c r="G125" s="3">
        <v>-4.3E-3</v>
      </c>
    </row>
    <row r="126" spans="1:7" x14ac:dyDescent="0.2">
      <c r="A126" s="4">
        <v>45533</v>
      </c>
      <c r="B126" s="2">
        <v>59373.5</v>
      </c>
      <c r="C126" s="2">
        <v>59027.3</v>
      </c>
      <c r="D126" s="2">
        <v>61150.6</v>
      </c>
      <c r="E126" s="2">
        <v>58807.1</v>
      </c>
      <c r="F126" s="2" t="s">
        <v>95</v>
      </c>
      <c r="G126" s="2">
        <v>6.1000000000000004E-3</v>
      </c>
    </row>
    <row r="127" spans="1:7" x14ac:dyDescent="0.2">
      <c r="A127" s="5">
        <v>45532</v>
      </c>
      <c r="B127" s="3">
        <v>59016</v>
      </c>
      <c r="C127" s="3">
        <v>59425.599999999999</v>
      </c>
      <c r="D127" s="3">
        <v>60198.400000000001</v>
      </c>
      <c r="E127" s="3">
        <v>57912.1</v>
      </c>
      <c r="F127" s="3" t="s">
        <v>96</v>
      </c>
      <c r="G127" s="3">
        <v>-7.3000000000000001E-3</v>
      </c>
    </row>
    <row r="128" spans="1:7" x14ac:dyDescent="0.2">
      <c r="A128" s="4">
        <v>45531</v>
      </c>
      <c r="B128" s="2">
        <v>59450.9</v>
      </c>
      <c r="C128" s="2">
        <v>62832.2</v>
      </c>
      <c r="D128" s="2">
        <v>63201.4</v>
      </c>
      <c r="E128" s="2">
        <v>58187.3</v>
      </c>
      <c r="F128" s="2" t="s">
        <v>97</v>
      </c>
      <c r="G128" s="2">
        <v>-5.3999999999999999E-2</v>
      </c>
    </row>
    <row r="129" spans="1:7" x14ac:dyDescent="0.2">
      <c r="A129" s="5">
        <v>45530</v>
      </c>
      <c r="B129" s="3">
        <v>62846.2</v>
      </c>
      <c r="C129" s="3">
        <v>64240.7</v>
      </c>
      <c r="D129" s="3">
        <v>64472.5</v>
      </c>
      <c r="E129" s="3">
        <v>62841.1</v>
      </c>
      <c r="F129" s="3" t="s">
        <v>98</v>
      </c>
      <c r="G129" s="3">
        <v>-2.2200000000000001E-2</v>
      </c>
    </row>
    <row r="130" spans="1:7" x14ac:dyDescent="0.2">
      <c r="A130" s="4">
        <v>45529</v>
      </c>
      <c r="B130" s="2">
        <v>64273.2</v>
      </c>
      <c r="C130" s="2">
        <v>64160.7</v>
      </c>
      <c r="D130" s="2">
        <v>64939.199999999997</v>
      </c>
      <c r="E130" s="2">
        <v>63796.6</v>
      </c>
      <c r="F130" s="2" t="s">
        <v>99</v>
      </c>
      <c r="G130" s="2">
        <v>1.8E-3</v>
      </c>
    </row>
    <row r="131" spans="1:7" x14ac:dyDescent="0.2">
      <c r="A131" s="5">
        <v>45528</v>
      </c>
      <c r="B131" s="3">
        <v>64159.3</v>
      </c>
      <c r="C131" s="3">
        <v>64061.7</v>
      </c>
      <c r="D131" s="3">
        <v>64458.9</v>
      </c>
      <c r="E131" s="3">
        <v>63579.5</v>
      </c>
      <c r="F131" s="3" t="s">
        <v>100</v>
      </c>
      <c r="G131" s="3">
        <v>1.6999999999999999E-3</v>
      </c>
    </row>
    <row r="132" spans="1:7" x14ac:dyDescent="0.2">
      <c r="A132" s="4">
        <v>45527</v>
      </c>
      <c r="B132" s="2">
        <v>64053.1</v>
      </c>
      <c r="C132" s="2">
        <v>60374.7</v>
      </c>
      <c r="D132" s="2">
        <v>64830.1</v>
      </c>
      <c r="E132" s="2">
        <v>60354.400000000001</v>
      </c>
      <c r="F132" s="2" t="s">
        <v>101</v>
      </c>
      <c r="G132" s="2">
        <v>6.0999999999999999E-2</v>
      </c>
    </row>
    <row r="133" spans="1:7" x14ac:dyDescent="0.2">
      <c r="A133" s="5">
        <v>45526</v>
      </c>
      <c r="B133" s="3">
        <v>60372.2</v>
      </c>
      <c r="C133" s="3">
        <v>61158.3</v>
      </c>
      <c r="D133" s="3">
        <v>61399.7</v>
      </c>
      <c r="E133" s="3">
        <v>59815.8</v>
      </c>
      <c r="F133" s="3" t="s">
        <v>102</v>
      </c>
      <c r="G133" s="3">
        <v>-1.29E-2</v>
      </c>
    </row>
    <row r="134" spans="1:7" x14ac:dyDescent="0.2">
      <c r="A134" s="4">
        <v>45525</v>
      </c>
      <c r="B134" s="2">
        <v>61158.1</v>
      </c>
      <c r="C134" s="2">
        <v>59010</v>
      </c>
      <c r="D134" s="2">
        <v>61812</v>
      </c>
      <c r="E134" s="2">
        <v>58831.1</v>
      </c>
      <c r="F134" s="2" t="s">
        <v>103</v>
      </c>
      <c r="G134" s="2">
        <v>3.6499999999999998E-2</v>
      </c>
    </row>
    <row r="135" spans="1:7" x14ac:dyDescent="0.2">
      <c r="A135" s="5">
        <v>45524</v>
      </c>
      <c r="B135" s="3">
        <v>59005.8</v>
      </c>
      <c r="C135" s="3">
        <v>59470.3</v>
      </c>
      <c r="D135" s="3">
        <v>61331.6</v>
      </c>
      <c r="E135" s="3">
        <v>58612</v>
      </c>
      <c r="F135" s="3" t="s">
        <v>104</v>
      </c>
      <c r="G135" s="3">
        <v>-7.7999999999999996E-3</v>
      </c>
    </row>
    <row r="136" spans="1:7" x14ac:dyDescent="0.2">
      <c r="A136" s="4">
        <v>45523</v>
      </c>
      <c r="B136" s="2">
        <v>59470.9</v>
      </c>
      <c r="C136" s="2">
        <v>58445.8</v>
      </c>
      <c r="D136" s="2">
        <v>59598.5</v>
      </c>
      <c r="E136" s="2">
        <v>57872</v>
      </c>
      <c r="F136" s="2" t="s">
        <v>105</v>
      </c>
      <c r="G136" s="2">
        <v>1.7500000000000002E-2</v>
      </c>
    </row>
    <row r="137" spans="1:7" x14ac:dyDescent="0.2">
      <c r="A137" s="5">
        <v>45522</v>
      </c>
      <c r="B137" s="3">
        <v>58446.3</v>
      </c>
      <c r="C137" s="3">
        <v>59485.4</v>
      </c>
      <c r="D137" s="3">
        <v>60216.3</v>
      </c>
      <c r="E137" s="3">
        <v>58436.1</v>
      </c>
      <c r="F137" s="3" t="s">
        <v>106</v>
      </c>
      <c r="G137" s="3">
        <v>-1.7399999999999999E-2</v>
      </c>
    </row>
    <row r="138" spans="1:7" x14ac:dyDescent="0.2">
      <c r="A138" s="4">
        <v>45521</v>
      </c>
      <c r="B138" s="2">
        <v>59483.1</v>
      </c>
      <c r="C138" s="2">
        <v>58877.8</v>
      </c>
      <c r="D138" s="2">
        <v>59659.5</v>
      </c>
      <c r="E138" s="2">
        <v>58825.5</v>
      </c>
      <c r="F138" s="2" t="s">
        <v>107</v>
      </c>
      <c r="G138" s="2">
        <v>1.03E-2</v>
      </c>
    </row>
    <row r="139" spans="1:7" x14ac:dyDescent="0.2">
      <c r="A139" s="5">
        <v>45520</v>
      </c>
      <c r="B139" s="3">
        <v>58877.2</v>
      </c>
      <c r="C139" s="3">
        <v>57545.1</v>
      </c>
      <c r="D139" s="3">
        <v>59817.3</v>
      </c>
      <c r="E139" s="3">
        <v>57129.1</v>
      </c>
      <c r="F139" s="3" t="s">
        <v>108</v>
      </c>
      <c r="G139" s="3">
        <v>2.3300000000000001E-2</v>
      </c>
    </row>
    <row r="140" spans="1:7" x14ac:dyDescent="0.2">
      <c r="A140" s="4">
        <v>45519</v>
      </c>
      <c r="B140" s="2">
        <v>57534.6</v>
      </c>
      <c r="C140" s="2">
        <v>58710.1</v>
      </c>
      <c r="D140" s="2">
        <v>59831.4</v>
      </c>
      <c r="E140" s="2">
        <v>56275.7</v>
      </c>
      <c r="F140" s="2" t="s">
        <v>109</v>
      </c>
      <c r="G140" s="2">
        <v>-0.02</v>
      </c>
    </row>
    <row r="141" spans="1:7" x14ac:dyDescent="0.2">
      <c r="A141" s="5">
        <v>45518</v>
      </c>
      <c r="B141" s="3">
        <v>58707.8</v>
      </c>
      <c r="C141" s="3">
        <v>60594.6</v>
      </c>
      <c r="D141" s="3">
        <v>61543</v>
      </c>
      <c r="E141" s="3">
        <v>58491.199999999997</v>
      </c>
      <c r="F141" s="3" t="s">
        <v>110</v>
      </c>
      <c r="G141" s="3">
        <v>-3.1099999999999999E-2</v>
      </c>
    </row>
    <row r="142" spans="1:7" x14ac:dyDescent="0.2">
      <c r="A142" s="4">
        <v>45517</v>
      </c>
      <c r="B142" s="2">
        <v>60595.199999999997</v>
      </c>
      <c r="C142" s="2">
        <v>59350.2</v>
      </c>
      <c r="D142" s="2">
        <v>61537</v>
      </c>
      <c r="E142" s="2">
        <v>58492.4</v>
      </c>
      <c r="F142" s="2" t="s">
        <v>111</v>
      </c>
      <c r="G142" s="2">
        <v>2.1000000000000001E-2</v>
      </c>
    </row>
    <row r="143" spans="1:7" x14ac:dyDescent="0.2">
      <c r="A143" s="5">
        <v>45516</v>
      </c>
      <c r="B143" s="3">
        <v>59350</v>
      </c>
      <c r="C143" s="3">
        <v>58711.7</v>
      </c>
      <c r="D143" s="3">
        <v>60606.2</v>
      </c>
      <c r="E143" s="3">
        <v>57689</v>
      </c>
      <c r="F143" s="3" t="s">
        <v>112</v>
      </c>
      <c r="G143" s="3">
        <v>1.0800000000000001E-2</v>
      </c>
    </row>
    <row r="144" spans="1:7" x14ac:dyDescent="0.2">
      <c r="A144" s="4">
        <v>45515</v>
      </c>
      <c r="B144" s="2">
        <v>58713.3</v>
      </c>
      <c r="C144" s="2">
        <v>60929.8</v>
      </c>
      <c r="D144" s="2">
        <v>61677.3</v>
      </c>
      <c r="E144" s="2">
        <v>58388.7</v>
      </c>
      <c r="F144" s="2" t="s">
        <v>113</v>
      </c>
      <c r="G144" s="2">
        <v>-3.6400000000000002E-2</v>
      </c>
    </row>
    <row r="145" spans="1:7" x14ac:dyDescent="0.2">
      <c r="A145" s="5">
        <v>45514</v>
      </c>
      <c r="B145" s="3">
        <v>60931.7</v>
      </c>
      <c r="C145" s="3">
        <v>60844.5</v>
      </c>
      <c r="D145" s="3">
        <v>61344.5</v>
      </c>
      <c r="E145" s="3">
        <v>60264.2</v>
      </c>
      <c r="F145" s="3" t="s">
        <v>114</v>
      </c>
      <c r="G145" s="3">
        <v>1.2999999999999999E-3</v>
      </c>
    </row>
    <row r="146" spans="1:7" x14ac:dyDescent="0.2">
      <c r="A146" s="4">
        <v>45513</v>
      </c>
      <c r="B146" s="2">
        <v>60850.6</v>
      </c>
      <c r="C146" s="2">
        <v>61697.8</v>
      </c>
      <c r="D146" s="2">
        <v>61712.3</v>
      </c>
      <c r="E146" s="2">
        <v>59570.2</v>
      </c>
      <c r="F146" s="2" t="s">
        <v>115</v>
      </c>
      <c r="G146" s="2">
        <v>-1.38E-2</v>
      </c>
    </row>
    <row r="147" spans="1:7" x14ac:dyDescent="0.2">
      <c r="A147" s="5">
        <v>45512</v>
      </c>
      <c r="B147" s="3">
        <v>61699.7</v>
      </c>
      <c r="C147" s="3">
        <v>55112.800000000003</v>
      </c>
      <c r="D147" s="3">
        <v>62563.5</v>
      </c>
      <c r="E147" s="3">
        <v>54786.9</v>
      </c>
      <c r="F147" s="3" t="s">
        <v>116</v>
      </c>
      <c r="G147" s="3">
        <v>0.11940000000000001</v>
      </c>
    </row>
    <row r="148" spans="1:7" x14ac:dyDescent="0.2">
      <c r="A148" s="4">
        <v>45511</v>
      </c>
      <c r="B148" s="2">
        <v>55120.9</v>
      </c>
      <c r="C148" s="2">
        <v>56049.9</v>
      </c>
      <c r="D148" s="2">
        <v>57669.599999999999</v>
      </c>
      <c r="E148" s="2">
        <v>54598.5</v>
      </c>
      <c r="F148" s="2" t="s">
        <v>117</v>
      </c>
      <c r="G148" s="2">
        <v>-1.67E-2</v>
      </c>
    </row>
    <row r="149" spans="1:7" x14ac:dyDescent="0.2">
      <c r="A149" s="5">
        <v>45510</v>
      </c>
      <c r="B149" s="3">
        <v>56057.8</v>
      </c>
      <c r="C149" s="3">
        <v>54010.8</v>
      </c>
      <c r="D149" s="3">
        <v>57025.599999999999</v>
      </c>
      <c r="E149" s="3">
        <v>53998.2</v>
      </c>
      <c r="F149" s="3" t="s">
        <v>118</v>
      </c>
      <c r="G149" s="3">
        <v>3.85E-2</v>
      </c>
    </row>
    <row r="150" spans="1:7" x14ac:dyDescent="0.2">
      <c r="A150" s="4">
        <v>45509</v>
      </c>
      <c r="B150" s="2">
        <v>53979</v>
      </c>
      <c r="C150" s="2">
        <v>58142.9</v>
      </c>
      <c r="D150" s="2">
        <v>58291.4</v>
      </c>
      <c r="E150" s="2">
        <v>49486.9</v>
      </c>
      <c r="F150" s="2" t="s">
        <v>119</v>
      </c>
      <c r="G150" s="2">
        <v>-7.1599999999999997E-2</v>
      </c>
    </row>
    <row r="151" spans="1:7" x14ac:dyDescent="0.2">
      <c r="A151" s="5">
        <v>45508</v>
      </c>
      <c r="B151" s="3">
        <v>58141.8</v>
      </c>
      <c r="C151" s="3">
        <v>60700.2</v>
      </c>
      <c r="D151" s="3">
        <v>61086.5</v>
      </c>
      <c r="E151" s="3">
        <v>57346.9</v>
      </c>
      <c r="F151" s="3" t="s">
        <v>59</v>
      </c>
      <c r="G151" s="3">
        <v>-4.2099999999999999E-2</v>
      </c>
    </row>
    <row r="152" spans="1:7" x14ac:dyDescent="0.2">
      <c r="A152" s="4">
        <v>45507</v>
      </c>
      <c r="B152" s="2">
        <v>60696.7</v>
      </c>
      <c r="C152" s="2">
        <v>61480.800000000003</v>
      </c>
      <c r="D152" s="2">
        <v>62184.2</v>
      </c>
      <c r="E152" s="2">
        <v>59914.6</v>
      </c>
      <c r="F152" s="2" t="s">
        <v>120</v>
      </c>
      <c r="G152" s="2">
        <v>-1.2699999999999999E-2</v>
      </c>
    </row>
    <row r="153" spans="1:7" x14ac:dyDescent="0.2">
      <c r="A153" s="5">
        <v>45506</v>
      </c>
      <c r="B153" s="3">
        <v>61478.7</v>
      </c>
      <c r="C153" s="3">
        <v>65351.8</v>
      </c>
      <c r="D153" s="3">
        <v>65567.100000000006</v>
      </c>
      <c r="E153" s="3">
        <v>61242.3</v>
      </c>
      <c r="F153" s="3" t="s">
        <v>121</v>
      </c>
      <c r="G153" s="3">
        <v>-5.96E-2</v>
      </c>
    </row>
    <row r="154" spans="1:7" x14ac:dyDescent="0.2">
      <c r="A154" s="4">
        <v>45505</v>
      </c>
      <c r="B154" s="2">
        <v>65372.9</v>
      </c>
      <c r="C154" s="2">
        <v>64625.7</v>
      </c>
      <c r="D154" s="2">
        <v>65587.899999999994</v>
      </c>
      <c r="E154" s="2">
        <v>62303.9</v>
      </c>
      <c r="F154" s="2" t="s">
        <v>122</v>
      </c>
      <c r="G154" s="2">
        <v>1.1599999999999999E-2</v>
      </c>
    </row>
    <row r="155" spans="1:7" x14ac:dyDescent="0.2">
      <c r="A155" s="5">
        <v>45504</v>
      </c>
      <c r="B155" s="3">
        <v>64626</v>
      </c>
      <c r="C155" s="3">
        <v>66185.399999999994</v>
      </c>
      <c r="D155" s="3">
        <v>66825.600000000006</v>
      </c>
      <c r="E155" s="3">
        <v>64538.3</v>
      </c>
      <c r="F155" s="3" t="s">
        <v>123</v>
      </c>
      <c r="G155" s="3">
        <v>-2.3599999999999999E-2</v>
      </c>
    </row>
    <row r="156" spans="1:7" x14ac:dyDescent="0.2">
      <c r="A156" s="4">
        <v>45503</v>
      </c>
      <c r="B156" s="2">
        <v>66184.899999999994</v>
      </c>
      <c r="C156" s="2">
        <v>66796.100000000006</v>
      </c>
      <c r="D156" s="2">
        <v>66998.3</v>
      </c>
      <c r="E156" s="2">
        <v>65328.7</v>
      </c>
      <c r="F156" s="2" t="s">
        <v>124</v>
      </c>
      <c r="G156" s="2">
        <v>-9.1999999999999998E-3</v>
      </c>
    </row>
    <row r="157" spans="1:7" x14ac:dyDescent="0.2">
      <c r="A157" s="5">
        <v>45502</v>
      </c>
      <c r="B157" s="3">
        <v>66798.7</v>
      </c>
      <c r="C157" s="3">
        <v>68256.3</v>
      </c>
      <c r="D157" s="3">
        <v>70000.2</v>
      </c>
      <c r="E157" s="3">
        <v>66544.5</v>
      </c>
      <c r="F157" s="3" t="s">
        <v>125</v>
      </c>
      <c r="G157" s="3">
        <v>-2.1399999999999999E-2</v>
      </c>
    </row>
    <row r="158" spans="1:7" x14ac:dyDescent="0.2">
      <c r="A158" s="4">
        <v>45501</v>
      </c>
      <c r="B158" s="2">
        <v>68256.3</v>
      </c>
      <c r="C158" s="2">
        <v>67888.899999999994</v>
      </c>
      <c r="D158" s="2">
        <v>68291.899999999994</v>
      </c>
      <c r="E158" s="2">
        <v>67067.8</v>
      </c>
      <c r="F158" s="2" t="s">
        <v>126</v>
      </c>
      <c r="G158" s="2">
        <v>6.1000000000000004E-3</v>
      </c>
    </row>
    <row r="159" spans="1:7" x14ac:dyDescent="0.2">
      <c r="A159" s="5">
        <v>45500</v>
      </c>
      <c r="B159" s="3">
        <v>67843.100000000006</v>
      </c>
      <c r="C159" s="3">
        <v>67910.8</v>
      </c>
      <c r="D159" s="3">
        <v>69387.600000000006</v>
      </c>
      <c r="E159" s="3">
        <v>66776.800000000003</v>
      </c>
      <c r="F159" s="3" t="s">
        <v>127</v>
      </c>
      <c r="G159" s="3">
        <v>-1E-3</v>
      </c>
    </row>
    <row r="160" spans="1:7" x14ac:dyDescent="0.2">
      <c r="A160" s="4">
        <v>45499</v>
      </c>
      <c r="B160" s="2">
        <v>67908.600000000006</v>
      </c>
      <c r="C160" s="2">
        <v>65799.7</v>
      </c>
      <c r="D160" s="2">
        <v>68205</v>
      </c>
      <c r="E160" s="2">
        <v>65764.3</v>
      </c>
      <c r="F160" s="2" t="s">
        <v>128</v>
      </c>
      <c r="G160" s="2">
        <v>3.2099999999999997E-2</v>
      </c>
    </row>
    <row r="161" spans="1:7" x14ac:dyDescent="0.2">
      <c r="A161" s="5">
        <v>45498</v>
      </c>
      <c r="B161" s="3">
        <v>65799.3</v>
      </c>
      <c r="C161" s="3">
        <v>65363.9</v>
      </c>
      <c r="D161" s="3">
        <v>66088.600000000006</v>
      </c>
      <c r="E161" s="3">
        <v>63500.9</v>
      </c>
      <c r="F161" s="3" t="s">
        <v>129</v>
      </c>
      <c r="G161" s="3">
        <v>6.6E-3</v>
      </c>
    </row>
    <row r="162" spans="1:7" x14ac:dyDescent="0.2">
      <c r="A162" s="4">
        <v>45497</v>
      </c>
      <c r="B162" s="2">
        <v>65370.5</v>
      </c>
      <c r="C162" s="2">
        <v>65936.800000000003</v>
      </c>
      <c r="D162" s="2">
        <v>67072.100000000006</v>
      </c>
      <c r="E162" s="2">
        <v>65155.199999999997</v>
      </c>
      <c r="F162" s="2" t="s">
        <v>130</v>
      </c>
      <c r="G162" s="2">
        <v>-8.6E-3</v>
      </c>
    </row>
    <row r="163" spans="1:7" x14ac:dyDescent="0.2">
      <c r="A163" s="5">
        <v>45496</v>
      </c>
      <c r="B163" s="3">
        <v>65937.8</v>
      </c>
      <c r="C163" s="3">
        <v>67550.399999999994</v>
      </c>
      <c r="D163" s="3">
        <v>67750.2</v>
      </c>
      <c r="E163" s="3">
        <v>65512.9</v>
      </c>
      <c r="F163" s="3" t="s">
        <v>131</v>
      </c>
      <c r="G163" s="3">
        <v>-2.3900000000000001E-2</v>
      </c>
    </row>
    <row r="164" spans="1:7" x14ac:dyDescent="0.2">
      <c r="A164" s="4">
        <v>45495</v>
      </c>
      <c r="B164" s="2">
        <v>67553.600000000006</v>
      </c>
      <c r="C164" s="2">
        <v>68158.399999999994</v>
      </c>
      <c r="D164" s="2">
        <v>68468.899999999994</v>
      </c>
      <c r="E164" s="2">
        <v>66601.8</v>
      </c>
      <c r="F164" s="2" t="s">
        <v>132</v>
      </c>
      <c r="G164" s="2">
        <v>-8.8999999999999999E-3</v>
      </c>
    </row>
    <row r="165" spans="1:7" x14ac:dyDescent="0.2">
      <c r="A165" s="5">
        <v>45494</v>
      </c>
      <c r="B165" s="3">
        <v>68158.7</v>
      </c>
      <c r="C165" s="3">
        <v>67147.8</v>
      </c>
      <c r="D165" s="3">
        <v>68352.899999999994</v>
      </c>
      <c r="E165" s="3">
        <v>65825.600000000006</v>
      </c>
      <c r="F165" s="3" t="s">
        <v>133</v>
      </c>
      <c r="G165" s="3">
        <v>1.4999999999999999E-2</v>
      </c>
    </row>
    <row r="166" spans="1:7" x14ac:dyDescent="0.2">
      <c r="A166" s="4">
        <v>45493</v>
      </c>
      <c r="B166" s="2">
        <v>67148.5</v>
      </c>
      <c r="C166" s="2">
        <v>66677</v>
      </c>
      <c r="D166" s="2">
        <v>67586.399999999994</v>
      </c>
      <c r="E166" s="2">
        <v>66257.399999999994</v>
      </c>
      <c r="F166" s="2" t="s">
        <v>134</v>
      </c>
      <c r="G166" s="2">
        <v>7.1000000000000004E-3</v>
      </c>
    </row>
    <row r="167" spans="1:7" x14ac:dyDescent="0.2">
      <c r="A167" s="5">
        <v>45492</v>
      </c>
      <c r="B167" s="3">
        <v>66677.399999999994</v>
      </c>
      <c r="C167" s="3">
        <v>63981.2</v>
      </c>
      <c r="D167" s="3">
        <v>67390.399999999994</v>
      </c>
      <c r="E167" s="3">
        <v>63326.1</v>
      </c>
      <c r="F167" s="3" t="s">
        <v>135</v>
      </c>
      <c r="G167" s="3">
        <v>4.2200000000000001E-2</v>
      </c>
    </row>
    <row r="168" spans="1:7" x14ac:dyDescent="0.2">
      <c r="A168" s="4">
        <v>45491</v>
      </c>
      <c r="B168" s="2">
        <v>63980.5</v>
      </c>
      <c r="C168" s="2">
        <v>64090.400000000001</v>
      </c>
      <c r="D168" s="2">
        <v>65102</v>
      </c>
      <c r="E168" s="2">
        <v>63253.5</v>
      </c>
      <c r="F168" s="2" t="s">
        <v>136</v>
      </c>
      <c r="G168" s="2">
        <v>-1.6999999999999999E-3</v>
      </c>
    </row>
    <row r="169" spans="1:7" x14ac:dyDescent="0.2">
      <c r="A169" s="5">
        <v>45490</v>
      </c>
      <c r="B169" s="3">
        <v>64089.2</v>
      </c>
      <c r="C169" s="3">
        <v>65052.800000000003</v>
      </c>
      <c r="D169" s="3">
        <v>66051.5</v>
      </c>
      <c r="E169" s="3">
        <v>63897.5</v>
      </c>
      <c r="F169" s="3" t="s">
        <v>137</v>
      </c>
      <c r="G169" s="3">
        <v>-1.4800000000000001E-2</v>
      </c>
    </row>
    <row r="170" spans="1:7" x14ac:dyDescent="0.2">
      <c r="A170" s="4">
        <v>45489</v>
      </c>
      <c r="B170" s="2">
        <v>65049.7</v>
      </c>
      <c r="C170" s="2">
        <v>64749.2</v>
      </c>
      <c r="D170" s="2">
        <v>65319.5</v>
      </c>
      <c r="E170" s="2">
        <v>62430.8</v>
      </c>
      <c r="F170" s="2" t="s">
        <v>138</v>
      </c>
      <c r="G170" s="2">
        <v>4.1000000000000003E-3</v>
      </c>
    </row>
    <row r="171" spans="1:7" x14ac:dyDescent="0.2">
      <c r="A171" s="5">
        <v>45488</v>
      </c>
      <c r="B171" s="3">
        <v>64782.400000000001</v>
      </c>
      <c r="C171" s="3">
        <v>60794.7</v>
      </c>
      <c r="D171" s="3">
        <v>64869.5</v>
      </c>
      <c r="E171" s="3">
        <v>60678.8</v>
      </c>
      <c r="F171" s="3" t="s">
        <v>139</v>
      </c>
      <c r="G171" s="3">
        <v>6.5600000000000006E-2</v>
      </c>
    </row>
    <row r="172" spans="1:7" x14ac:dyDescent="0.2">
      <c r="A172" s="4">
        <v>45487</v>
      </c>
      <c r="B172" s="2">
        <v>60794.9</v>
      </c>
      <c r="C172" s="2">
        <v>59207.9</v>
      </c>
      <c r="D172" s="2">
        <v>61326.9</v>
      </c>
      <c r="E172" s="2">
        <v>59207.9</v>
      </c>
      <c r="F172" s="2" t="s">
        <v>140</v>
      </c>
      <c r="G172" s="2">
        <v>2.6800000000000001E-2</v>
      </c>
    </row>
    <row r="173" spans="1:7" x14ac:dyDescent="0.2">
      <c r="A173" s="5">
        <v>45486</v>
      </c>
      <c r="B173" s="3">
        <v>59209.8</v>
      </c>
      <c r="C173" s="3">
        <v>57897.4</v>
      </c>
      <c r="D173" s="3">
        <v>59826.5</v>
      </c>
      <c r="E173" s="3">
        <v>57770.6</v>
      </c>
      <c r="F173" s="3" t="s">
        <v>141</v>
      </c>
      <c r="G173" s="3">
        <v>2.29E-2</v>
      </c>
    </row>
    <row r="174" spans="1:7" x14ac:dyDescent="0.2">
      <c r="A174" s="4">
        <v>45485</v>
      </c>
      <c r="B174" s="2">
        <v>57885.1</v>
      </c>
      <c r="C174" s="2">
        <v>57338.3</v>
      </c>
      <c r="D174" s="2">
        <v>58520.9</v>
      </c>
      <c r="E174" s="2">
        <v>56575.7</v>
      </c>
      <c r="F174" s="2" t="s">
        <v>142</v>
      </c>
      <c r="G174" s="2">
        <v>9.5999999999999992E-3</v>
      </c>
    </row>
    <row r="175" spans="1:7" x14ac:dyDescent="0.2">
      <c r="A175" s="5">
        <v>45484</v>
      </c>
      <c r="B175" s="3">
        <v>57337.3</v>
      </c>
      <c r="C175" s="3">
        <v>57745.9</v>
      </c>
      <c r="D175" s="3">
        <v>59404.4</v>
      </c>
      <c r="E175" s="3">
        <v>57095</v>
      </c>
      <c r="F175" s="3" t="s">
        <v>143</v>
      </c>
      <c r="G175" s="3">
        <v>-7.1000000000000004E-3</v>
      </c>
    </row>
    <row r="176" spans="1:7" x14ac:dyDescent="0.2">
      <c r="A176" s="4">
        <v>45483</v>
      </c>
      <c r="B176" s="2">
        <v>57746.7</v>
      </c>
      <c r="C176" s="2">
        <v>58040.2</v>
      </c>
      <c r="D176" s="2">
        <v>59393.8</v>
      </c>
      <c r="E176" s="2">
        <v>57185.3</v>
      </c>
      <c r="F176" s="2" t="s">
        <v>144</v>
      </c>
      <c r="G176" s="2">
        <v>-5.0000000000000001E-3</v>
      </c>
    </row>
    <row r="177" spans="1:7" x14ac:dyDescent="0.2">
      <c r="A177" s="5">
        <v>45482</v>
      </c>
      <c r="B177" s="3">
        <v>58039.4</v>
      </c>
      <c r="C177" s="3">
        <v>56721.3</v>
      </c>
      <c r="D177" s="3">
        <v>58234</v>
      </c>
      <c r="E177" s="3">
        <v>56306.3</v>
      </c>
      <c r="F177" s="3" t="s">
        <v>145</v>
      </c>
      <c r="G177" s="3">
        <v>2.3199999999999998E-2</v>
      </c>
    </row>
    <row r="178" spans="1:7" x14ac:dyDescent="0.2">
      <c r="A178" s="4">
        <v>45481</v>
      </c>
      <c r="B178" s="2">
        <v>56724.7</v>
      </c>
      <c r="C178" s="2">
        <v>55850.2</v>
      </c>
      <c r="D178" s="2">
        <v>58115.8</v>
      </c>
      <c r="E178" s="2">
        <v>54320</v>
      </c>
      <c r="F178" s="2" t="s">
        <v>146</v>
      </c>
      <c r="G178" s="2">
        <v>1.55E-2</v>
      </c>
    </row>
    <row r="179" spans="1:7" x14ac:dyDescent="0.2">
      <c r="A179" s="5">
        <v>45480</v>
      </c>
      <c r="B179" s="3">
        <v>55861.1</v>
      </c>
      <c r="C179" s="3">
        <v>58240.2</v>
      </c>
      <c r="D179" s="3">
        <v>58394.6</v>
      </c>
      <c r="E179" s="3">
        <v>55756.3</v>
      </c>
      <c r="F179" s="3" t="s">
        <v>147</v>
      </c>
      <c r="G179" s="3">
        <v>-4.1200000000000001E-2</v>
      </c>
    </row>
    <row r="180" spans="1:7" x14ac:dyDescent="0.2">
      <c r="A180" s="4">
        <v>45479</v>
      </c>
      <c r="B180" s="2">
        <v>58259.199999999997</v>
      </c>
      <c r="C180" s="2">
        <v>56640</v>
      </c>
      <c r="D180" s="2">
        <v>58462</v>
      </c>
      <c r="E180" s="2">
        <v>56026.8</v>
      </c>
      <c r="F180" s="2" t="s">
        <v>148</v>
      </c>
      <c r="G180" s="2">
        <v>2.86E-2</v>
      </c>
    </row>
    <row r="181" spans="1:7" x14ac:dyDescent="0.2">
      <c r="A181" s="5">
        <v>45478</v>
      </c>
      <c r="B181" s="3">
        <v>56641.8</v>
      </c>
      <c r="C181" s="3">
        <v>57025.7</v>
      </c>
      <c r="D181" s="3">
        <v>57471.1</v>
      </c>
      <c r="E181" s="3">
        <v>53883.4</v>
      </c>
      <c r="F181" s="3" t="s">
        <v>149</v>
      </c>
      <c r="G181" s="3">
        <v>-6.7000000000000002E-3</v>
      </c>
    </row>
    <row r="182" spans="1:7" x14ac:dyDescent="0.2">
      <c r="A182" s="4">
        <v>45477</v>
      </c>
      <c r="B182" s="2">
        <v>57026.3</v>
      </c>
      <c r="C182" s="2">
        <v>60201.4</v>
      </c>
      <c r="D182" s="2">
        <v>60463</v>
      </c>
      <c r="E182" s="2">
        <v>56812.7</v>
      </c>
      <c r="F182" s="2" t="s">
        <v>150</v>
      </c>
      <c r="G182" s="2">
        <v>-5.2699999999999997E-2</v>
      </c>
    </row>
    <row r="183" spans="1:7" x14ac:dyDescent="0.2">
      <c r="A183" s="5">
        <v>45476</v>
      </c>
      <c r="B183" s="3">
        <v>60199.3</v>
      </c>
      <c r="C183" s="3">
        <v>62104.9</v>
      </c>
      <c r="D183" s="3">
        <v>62263.6</v>
      </c>
      <c r="E183" s="3">
        <v>59466.6</v>
      </c>
      <c r="F183" s="3" t="s">
        <v>151</v>
      </c>
      <c r="G183" s="3">
        <v>-3.0700000000000002E-2</v>
      </c>
    </row>
    <row r="184" spans="1:7" x14ac:dyDescent="0.2">
      <c r="A184" s="4">
        <v>45475</v>
      </c>
      <c r="B184" s="2">
        <v>62103.3</v>
      </c>
      <c r="C184" s="2">
        <v>62888.3</v>
      </c>
      <c r="D184" s="2">
        <v>63257</v>
      </c>
      <c r="E184" s="2">
        <v>61797.599999999999</v>
      </c>
      <c r="F184" s="2" t="s">
        <v>152</v>
      </c>
      <c r="G184" s="2">
        <v>-1.2500000000000001E-2</v>
      </c>
    </row>
    <row r="185" spans="1:7" x14ac:dyDescent="0.2">
      <c r="A185" s="5">
        <v>45474</v>
      </c>
      <c r="B185" s="3">
        <v>62890.1</v>
      </c>
      <c r="C185" s="3">
        <v>62768.800000000003</v>
      </c>
      <c r="D185" s="3">
        <v>63842.1</v>
      </c>
      <c r="E185" s="3">
        <v>62558</v>
      </c>
      <c r="F185" s="3" t="s">
        <v>153</v>
      </c>
      <c r="G185" s="3">
        <v>2.2000000000000001E-3</v>
      </c>
    </row>
    <row r="186" spans="1:7" x14ac:dyDescent="0.2">
      <c r="A186" s="4">
        <v>45473</v>
      </c>
      <c r="B186" s="2">
        <v>62754.3</v>
      </c>
      <c r="C186" s="2">
        <v>60973.1</v>
      </c>
      <c r="D186" s="2">
        <v>63006.6</v>
      </c>
      <c r="E186" s="2">
        <v>60703.7</v>
      </c>
      <c r="F186" s="2" t="s">
        <v>154</v>
      </c>
      <c r="G186" s="2">
        <v>2.92E-2</v>
      </c>
    </row>
    <row r="187" spans="1:7" x14ac:dyDescent="0.2">
      <c r="A187" s="5">
        <v>45472</v>
      </c>
      <c r="B187" s="3">
        <v>60973.4</v>
      </c>
      <c r="C187" s="3">
        <v>60403.7</v>
      </c>
      <c r="D187" s="3">
        <v>61192.800000000003</v>
      </c>
      <c r="E187" s="3">
        <v>60382.8</v>
      </c>
      <c r="F187" s="3" t="s">
        <v>155</v>
      </c>
      <c r="G187" s="3">
        <v>9.4000000000000004E-3</v>
      </c>
    </row>
    <row r="188" spans="1:7" x14ac:dyDescent="0.2">
      <c r="A188" s="4">
        <v>45471</v>
      </c>
      <c r="B188" s="2">
        <v>60403.3</v>
      </c>
      <c r="C188" s="2">
        <v>61684.6</v>
      </c>
      <c r="D188" s="2">
        <v>62175.4</v>
      </c>
      <c r="E188" s="2">
        <v>60081.9</v>
      </c>
      <c r="F188" s="2" t="s">
        <v>156</v>
      </c>
      <c r="G188" s="2">
        <v>-2.0799999999999999E-2</v>
      </c>
    </row>
    <row r="189" spans="1:7" x14ac:dyDescent="0.2">
      <c r="A189" s="5">
        <v>45470</v>
      </c>
      <c r="B189" s="3">
        <v>61685.3</v>
      </c>
      <c r="C189" s="3">
        <v>60848.3</v>
      </c>
      <c r="D189" s="3">
        <v>62351.199999999997</v>
      </c>
      <c r="E189" s="3">
        <v>60629.4</v>
      </c>
      <c r="F189" s="3" t="s">
        <v>157</v>
      </c>
      <c r="G189" s="3">
        <v>1.37E-2</v>
      </c>
    </row>
    <row r="190" spans="1:7" x14ac:dyDescent="0.2">
      <c r="A190" s="4">
        <v>45469</v>
      </c>
      <c r="B190" s="2">
        <v>60849.4</v>
      </c>
      <c r="C190" s="2">
        <v>61809.9</v>
      </c>
      <c r="D190" s="2">
        <v>62469.4</v>
      </c>
      <c r="E190" s="2">
        <v>60715.1</v>
      </c>
      <c r="F190" s="2" t="s">
        <v>158</v>
      </c>
      <c r="G190" s="2">
        <v>-1.55E-2</v>
      </c>
    </row>
    <row r="191" spans="1:7" x14ac:dyDescent="0.2">
      <c r="A191" s="5">
        <v>45468</v>
      </c>
      <c r="B191" s="3">
        <v>61809.4</v>
      </c>
      <c r="C191" s="3">
        <v>60292</v>
      </c>
      <c r="D191" s="3">
        <v>62266</v>
      </c>
      <c r="E191" s="3">
        <v>60262.2</v>
      </c>
      <c r="F191" s="3" t="s">
        <v>159</v>
      </c>
      <c r="G191" s="3">
        <v>2.52E-2</v>
      </c>
    </row>
    <row r="192" spans="1:7" x14ac:dyDescent="0.2">
      <c r="A192" s="4">
        <v>45467</v>
      </c>
      <c r="B192" s="2">
        <v>60292.7</v>
      </c>
      <c r="C192" s="2">
        <v>63201.599999999999</v>
      </c>
      <c r="D192" s="2">
        <v>63357.1</v>
      </c>
      <c r="E192" s="2">
        <v>58589.9</v>
      </c>
      <c r="F192" s="2" t="s">
        <v>160</v>
      </c>
      <c r="G192" s="2">
        <v>-4.5900000000000003E-2</v>
      </c>
    </row>
    <row r="193" spans="1:7" x14ac:dyDescent="0.2">
      <c r="A193" s="5">
        <v>45466</v>
      </c>
      <c r="B193" s="3">
        <v>63196.2</v>
      </c>
      <c r="C193" s="3">
        <v>64261</v>
      </c>
      <c r="D193" s="3">
        <v>64518.9</v>
      </c>
      <c r="E193" s="3">
        <v>63195.3</v>
      </c>
      <c r="F193" s="3" t="s">
        <v>161</v>
      </c>
      <c r="G193" s="3">
        <v>-1.66E-2</v>
      </c>
    </row>
    <row r="194" spans="1:7" x14ac:dyDescent="0.2">
      <c r="A194" s="4">
        <v>45465</v>
      </c>
      <c r="B194" s="2">
        <v>64261</v>
      </c>
      <c r="C194" s="2">
        <v>64131.9</v>
      </c>
      <c r="D194" s="2">
        <v>64523.9</v>
      </c>
      <c r="E194" s="2">
        <v>63944</v>
      </c>
      <c r="F194" s="2" t="s">
        <v>162</v>
      </c>
      <c r="G194" s="2">
        <v>2.0999999999999999E-3</v>
      </c>
    </row>
    <row r="195" spans="1:7" x14ac:dyDescent="0.2">
      <c r="A195" s="5">
        <v>45464</v>
      </c>
      <c r="B195" s="3">
        <v>64128.5</v>
      </c>
      <c r="C195" s="3">
        <v>64854.3</v>
      </c>
      <c r="D195" s="3">
        <v>65054.9</v>
      </c>
      <c r="E195" s="3">
        <v>63427.9</v>
      </c>
      <c r="F195" s="3" t="s">
        <v>163</v>
      </c>
      <c r="G195" s="3">
        <v>-1.12E-2</v>
      </c>
    </row>
    <row r="196" spans="1:7" x14ac:dyDescent="0.2">
      <c r="A196" s="4">
        <v>45463</v>
      </c>
      <c r="B196" s="2">
        <v>64854.3</v>
      </c>
      <c r="C196" s="2">
        <v>64982.1</v>
      </c>
      <c r="D196" s="2">
        <v>66474.2</v>
      </c>
      <c r="E196" s="2">
        <v>64566.7</v>
      </c>
      <c r="F196" s="2" t="s">
        <v>164</v>
      </c>
      <c r="G196" s="2">
        <v>-1.9E-3</v>
      </c>
    </row>
    <row r="197" spans="1:7" x14ac:dyDescent="0.2">
      <c r="A197" s="5">
        <v>45462</v>
      </c>
      <c r="B197" s="3">
        <v>64980.9</v>
      </c>
      <c r="C197" s="3">
        <v>65159.8</v>
      </c>
      <c r="D197" s="3">
        <v>65706.399999999994</v>
      </c>
      <c r="E197" s="3">
        <v>64705.599999999999</v>
      </c>
      <c r="F197" s="3" t="s">
        <v>165</v>
      </c>
      <c r="G197" s="3">
        <v>-2.7000000000000001E-3</v>
      </c>
    </row>
    <row r="198" spans="1:7" x14ac:dyDescent="0.2">
      <c r="A198" s="4">
        <v>45461</v>
      </c>
      <c r="B198" s="2">
        <v>65159.9</v>
      </c>
      <c r="C198" s="2">
        <v>66495.7</v>
      </c>
      <c r="D198" s="2">
        <v>66571.199999999997</v>
      </c>
      <c r="E198" s="2">
        <v>64098.400000000001</v>
      </c>
      <c r="F198" s="2" t="s">
        <v>166</v>
      </c>
      <c r="G198" s="2">
        <v>-2.01E-2</v>
      </c>
    </row>
    <row r="199" spans="1:7" x14ac:dyDescent="0.2">
      <c r="A199" s="5">
        <v>45460</v>
      </c>
      <c r="B199" s="3">
        <v>66498.8</v>
      </c>
      <c r="C199" s="3">
        <v>66672.899999999994</v>
      </c>
      <c r="D199" s="3">
        <v>67253.8</v>
      </c>
      <c r="E199" s="3">
        <v>65115.4</v>
      </c>
      <c r="F199" s="3" t="s">
        <v>167</v>
      </c>
      <c r="G199" s="3">
        <v>-2.5999999999999999E-3</v>
      </c>
    </row>
    <row r="200" spans="1:7" x14ac:dyDescent="0.2">
      <c r="A200" s="4">
        <v>45459</v>
      </c>
      <c r="B200" s="2">
        <v>66674.7</v>
      </c>
      <c r="C200" s="2">
        <v>66223</v>
      </c>
      <c r="D200" s="2">
        <v>66951.399999999994</v>
      </c>
      <c r="E200" s="2">
        <v>66038.100000000006</v>
      </c>
      <c r="F200" s="2" t="s">
        <v>168</v>
      </c>
      <c r="G200" s="2">
        <v>6.7999999999999996E-3</v>
      </c>
    </row>
    <row r="201" spans="1:7" x14ac:dyDescent="0.2">
      <c r="A201" s="5">
        <v>45458</v>
      </c>
      <c r="B201" s="3">
        <v>66223</v>
      </c>
      <c r="C201" s="3">
        <v>66034.100000000006</v>
      </c>
      <c r="D201" s="3">
        <v>66446.399999999994</v>
      </c>
      <c r="E201" s="3">
        <v>65895.100000000006</v>
      </c>
      <c r="F201" s="3" t="s">
        <v>169</v>
      </c>
      <c r="G201" s="3">
        <v>2.8999999999999998E-3</v>
      </c>
    </row>
    <row r="202" spans="1:7" x14ac:dyDescent="0.2">
      <c r="A202" s="4">
        <v>45457</v>
      </c>
      <c r="B202" s="2">
        <v>66034.8</v>
      </c>
      <c r="C202" s="2">
        <v>66775.199999999997</v>
      </c>
      <c r="D202" s="2">
        <v>67347.7</v>
      </c>
      <c r="E202" s="2">
        <v>65076.5</v>
      </c>
      <c r="F202" s="2" t="s">
        <v>170</v>
      </c>
      <c r="G202" s="2">
        <v>-1.11E-2</v>
      </c>
    </row>
    <row r="203" spans="1:7" x14ac:dyDescent="0.2">
      <c r="A203" s="5">
        <v>45456</v>
      </c>
      <c r="B203" s="3">
        <v>66773.100000000006</v>
      </c>
      <c r="C203" s="3">
        <v>68260.600000000006</v>
      </c>
      <c r="D203" s="3">
        <v>68384.600000000006</v>
      </c>
      <c r="E203" s="3">
        <v>66324.3</v>
      </c>
      <c r="F203" s="3" t="s">
        <v>171</v>
      </c>
      <c r="G203" s="3">
        <v>-2.18E-2</v>
      </c>
    </row>
    <row r="204" spans="1:7" x14ac:dyDescent="0.2">
      <c r="A204" s="4">
        <v>45455</v>
      </c>
      <c r="B204" s="2">
        <v>68260.100000000006</v>
      </c>
      <c r="C204" s="2">
        <v>67320.899999999994</v>
      </c>
      <c r="D204" s="2">
        <v>69990.8</v>
      </c>
      <c r="E204" s="2">
        <v>66911.5</v>
      </c>
      <c r="F204" s="2" t="s">
        <v>172</v>
      </c>
      <c r="G204" s="2">
        <v>1.4E-2</v>
      </c>
    </row>
    <row r="205" spans="1:7" x14ac:dyDescent="0.2">
      <c r="A205" s="5">
        <v>45454</v>
      </c>
      <c r="B205" s="3">
        <v>67319.8</v>
      </c>
      <c r="C205" s="3">
        <v>69537.899999999994</v>
      </c>
      <c r="D205" s="3">
        <v>69573.3</v>
      </c>
      <c r="E205" s="3">
        <v>66197.8</v>
      </c>
      <c r="F205" s="3" t="s">
        <v>173</v>
      </c>
      <c r="G205" s="3">
        <v>-3.1899999999999998E-2</v>
      </c>
    </row>
    <row r="206" spans="1:7" x14ac:dyDescent="0.2">
      <c r="A206" s="4">
        <v>45453</v>
      </c>
      <c r="B206" s="2">
        <v>69538.2</v>
      </c>
      <c r="C206" s="2">
        <v>69650.2</v>
      </c>
      <c r="D206" s="2">
        <v>70152.5</v>
      </c>
      <c r="E206" s="2">
        <v>69259.899999999994</v>
      </c>
      <c r="F206" s="2" t="s">
        <v>174</v>
      </c>
      <c r="G206" s="2">
        <v>-1.6000000000000001E-3</v>
      </c>
    </row>
    <row r="207" spans="1:7" x14ac:dyDescent="0.2">
      <c r="A207" s="5">
        <v>45452</v>
      </c>
      <c r="B207" s="3">
        <v>69650.600000000006</v>
      </c>
      <c r="C207" s="3">
        <v>69310.5</v>
      </c>
      <c r="D207" s="3">
        <v>69847.8</v>
      </c>
      <c r="E207" s="3">
        <v>69136.7</v>
      </c>
      <c r="F207" s="3" t="s">
        <v>175</v>
      </c>
      <c r="G207" s="3">
        <v>4.8999999999999998E-3</v>
      </c>
    </row>
    <row r="208" spans="1:7" x14ac:dyDescent="0.2">
      <c r="A208" s="4">
        <v>45451</v>
      </c>
      <c r="B208" s="2">
        <v>69310.100000000006</v>
      </c>
      <c r="C208" s="2">
        <v>69347</v>
      </c>
      <c r="D208" s="2">
        <v>69572.100000000006</v>
      </c>
      <c r="E208" s="2">
        <v>69222.399999999994</v>
      </c>
      <c r="F208" s="2" t="s">
        <v>176</v>
      </c>
      <c r="G208" s="2">
        <v>-5.0000000000000001E-4</v>
      </c>
    </row>
    <row r="209" spans="1:7" x14ac:dyDescent="0.2">
      <c r="A209" s="5">
        <v>45450</v>
      </c>
      <c r="B209" s="3">
        <v>69347.899999999994</v>
      </c>
      <c r="C209" s="3">
        <v>70793.399999999994</v>
      </c>
      <c r="D209" s="3">
        <v>71956.5</v>
      </c>
      <c r="E209" s="3">
        <v>68620.7</v>
      </c>
      <c r="F209" s="3" t="s">
        <v>177</v>
      </c>
      <c r="G209" s="3">
        <v>-2.0400000000000001E-2</v>
      </c>
    </row>
    <row r="210" spans="1:7" x14ac:dyDescent="0.2">
      <c r="A210" s="4">
        <v>45449</v>
      </c>
      <c r="B210" s="2">
        <v>70791.5</v>
      </c>
      <c r="C210" s="2">
        <v>71083.600000000006</v>
      </c>
      <c r="D210" s="2">
        <v>71616.100000000006</v>
      </c>
      <c r="E210" s="2">
        <v>70178.7</v>
      </c>
      <c r="F210" s="2" t="s">
        <v>178</v>
      </c>
      <c r="G210" s="2">
        <v>-4.1000000000000003E-3</v>
      </c>
    </row>
    <row r="211" spans="1:7" x14ac:dyDescent="0.2">
      <c r="A211" s="5">
        <v>45448</v>
      </c>
      <c r="B211" s="3">
        <v>71083.7</v>
      </c>
      <c r="C211" s="3">
        <v>70550.899999999994</v>
      </c>
      <c r="D211" s="3">
        <v>71744.399999999994</v>
      </c>
      <c r="E211" s="3">
        <v>70397.100000000006</v>
      </c>
      <c r="F211" s="3" t="s">
        <v>179</v>
      </c>
      <c r="G211" s="3">
        <v>7.6E-3</v>
      </c>
    </row>
    <row r="212" spans="1:7" x14ac:dyDescent="0.2">
      <c r="A212" s="4">
        <v>45447</v>
      </c>
      <c r="B212" s="2">
        <v>70549.2</v>
      </c>
      <c r="C212" s="2">
        <v>68808</v>
      </c>
      <c r="D212" s="2">
        <v>71034.2</v>
      </c>
      <c r="E212" s="2">
        <v>68564.3</v>
      </c>
      <c r="F212" s="2" t="s">
        <v>180</v>
      </c>
      <c r="G212" s="2">
        <v>2.53E-2</v>
      </c>
    </row>
    <row r="213" spans="1:7" x14ac:dyDescent="0.2">
      <c r="A213" s="5">
        <v>45446</v>
      </c>
      <c r="B213" s="3">
        <v>68807.8</v>
      </c>
      <c r="C213" s="3">
        <v>67763.3</v>
      </c>
      <c r="D213" s="3">
        <v>70131</v>
      </c>
      <c r="E213" s="3">
        <v>67616.800000000003</v>
      </c>
      <c r="F213" s="3" t="s">
        <v>181</v>
      </c>
      <c r="G213" s="3">
        <v>1.5299999999999999E-2</v>
      </c>
    </row>
    <row r="214" spans="1:7" x14ac:dyDescent="0.2">
      <c r="A214" s="4">
        <v>45445</v>
      </c>
      <c r="B214" s="2">
        <v>67773.5</v>
      </c>
      <c r="C214" s="2">
        <v>67760.800000000003</v>
      </c>
      <c r="D214" s="2">
        <v>68447.5</v>
      </c>
      <c r="E214" s="2">
        <v>67330.600000000006</v>
      </c>
      <c r="F214" s="2" t="s">
        <v>182</v>
      </c>
      <c r="G214" s="2">
        <v>2.0000000000000001E-4</v>
      </c>
    </row>
    <row r="215" spans="1:7" x14ac:dyDescent="0.2">
      <c r="A215" s="5">
        <v>45444</v>
      </c>
      <c r="B215" s="3">
        <v>67760.800000000003</v>
      </c>
      <c r="C215" s="3">
        <v>67533.899999999994</v>
      </c>
      <c r="D215" s="3">
        <v>67861</v>
      </c>
      <c r="E215" s="3">
        <v>67449.600000000006</v>
      </c>
      <c r="F215" s="3" t="s">
        <v>183</v>
      </c>
      <c r="G215" s="3">
        <v>3.3999999999999998E-3</v>
      </c>
    </row>
    <row r="216" spans="1:7" x14ac:dyDescent="0.2">
      <c r="A216" s="4">
        <v>45443</v>
      </c>
      <c r="B216" s="2">
        <v>67530.100000000006</v>
      </c>
      <c r="C216" s="2">
        <v>68352.3</v>
      </c>
      <c r="D216" s="2">
        <v>69018.2</v>
      </c>
      <c r="E216" s="2">
        <v>66676.800000000003</v>
      </c>
      <c r="F216" s="2" t="s">
        <v>184</v>
      </c>
      <c r="G216" s="2">
        <v>-1.21E-2</v>
      </c>
    </row>
    <row r="217" spans="1:7" x14ac:dyDescent="0.2">
      <c r="A217" s="5">
        <v>45442</v>
      </c>
      <c r="B217" s="3">
        <v>68354.7</v>
      </c>
      <c r="C217" s="3">
        <v>67631.3</v>
      </c>
      <c r="D217" s="3">
        <v>69504.7</v>
      </c>
      <c r="E217" s="3">
        <v>67138.399999999994</v>
      </c>
      <c r="F217" s="3" t="s">
        <v>185</v>
      </c>
      <c r="G217" s="3">
        <v>1.06E-2</v>
      </c>
    </row>
    <row r="218" spans="1:7" x14ac:dyDescent="0.2">
      <c r="A218" s="4">
        <v>45441</v>
      </c>
      <c r="B218" s="2">
        <v>67635.8</v>
      </c>
      <c r="C218" s="2">
        <v>68366.2</v>
      </c>
      <c r="D218" s="2">
        <v>68897.600000000006</v>
      </c>
      <c r="E218" s="2">
        <v>67143.199999999997</v>
      </c>
      <c r="F218" s="2" t="s">
        <v>186</v>
      </c>
      <c r="G218" s="2">
        <v>-1.0699999999999999E-2</v>
      </c>
    </row>
    <row r="219" spans="1:7" x14ac:dyDescent="0.2">
      <c r="A219" s="5">
        <v>45440</v>
      </c>
      <c r="B219" s="3">
        <v>68366</v>
      </c>
      <c r="C219" s="3">
        <v>69428.3</v>
      </c>
      <c r="D219" s="3">
        <v>69560.7</v>
      </c>
      <c r="E219" s="3">
        <v>67299.899999999994</v>
      </c>
      <c r="F219" s="3" t="s">
        <v>187</v>
      </c>
      <c r="G219" s="3">
        <v>-1.5299999999999999E-2</v>
      </c>
    </row>
    <row r="220" spans="1:7" x14ac:dyDescent="0.2">
      <c r="A220" s="4">
        <v>45439</v>
      </c>
      <c r="B220" s="2">
        <v>69428.7</v>
      </c>
      <c r="C220" s="2">
        <v>68514.600000000006</v>
      </c>
      <c r="D220" s="2">
        <v>70638.3</v>
      </c>
      <c r="E220" s="2">
        <v>68275.199999999997</v>
      </c>
      <c r="F220" s="2" t="s">
        <v>188</v>
      </c>
      <c r="G220" s="2">
        <v>1.3299999999999999E-2</v>
      </c>
    </row>
    <row r="221" spans="1:7" x14ac:dyDescent="0.2">
      <c r="A221" s="5">
        <v>45438</v>
      </c>
      <c r="B221" s="3">
        <v>68514.8</v>
      </c>
      <c r="C221" s="3">
        <v>69287.199999999997</v>
      </c>
      <c r="D221" s="3">
        <v>69494</v>
      </c>
      <c r="E221" s="3">
        <v>68294.5</v>
      </c>
      <c r="F221" s="3" t="s">
        <v>189</v>
      </c>
      <c r="G221" s="3">
        <v>-1.11E-2</v>
      </c>
    </row>
    <row r="222" spans="1:7" x14ac:dyDescent="0.2">
      <c r="A222" s="4">
        <v>45437</v>
      </c>
      <c r="B222" s="2">
        <v>69284.399999999994</v>
      </c>
      <c r="C222" s="2">
        <v>68548.2</v>
      </c>
      <c r="D222" s="2">
        <v>69558.8</v>
      </c>
      <c r="E222" s="2">
        <v>68516.100000000006</v>
      </c>
      <c r="F222" s="2" t="s">
        <v>190</v>
      </c>
      <c r="G222" s="2">
        <v>1.0699999999999999E-2</v>
      </c>
    </row>
    <row r="223" spans="1:7" x14ac:dyDescent="0.2">
      <c r="A223" s="5">
        <v>45436</v>
      </c>
      <c r="B223" s="3">
        <v>68547.600000000006</v>
      </c>
      <c r="C223" s="3">
        <v>67971.100000000006</v>
      </c>
      <c r="D223" s="3">
        <v>69212</v>
      </c>
      <c r="E223" s="3">
        <v>66685.8</v>
      </c>
      <c r="F223" s="3" t="s">
        <v>191</v>
      </c>
      <c r="G223" s="3">
        <v>8.3999999999999995E-3</v>
      </c>
    </row>
    <row r="224" spans="1:7" x14ac:dyDescent="0.2">
      <c r="A224" s="4">
        <v>45435</v>
      </c>
      <c r="B224" s="2">
        <v>67975.7</v>
      </c>
      <c r="C224" s="2">
        <v>69166.3</v>
      </c>
      <c r="D224" s="2">
        <v>70041</v>
      </c>
      <c r="E224" s="2">
        <v>66578.100000000006</v>
      </c>
      <c r="F224" s="2" t="s">
        <v>192</v>
      </c>
      <c r="G224" s="2">
        <v>-1.7100000000000001E-2</v>
      </c>
    </row>
    <row r="225" spans="1:7" x14ac:dyDescent="0.2">
      <c r="A225" s="5">
        <v>45434</v>
      </c>
      <c r="B225" s="3">
        <v>69155.399999999994</v>
      </c>
      <c r="C225" s="3">
        <v>70141</v>
      </c>
      <c r="D225" s="3">
        <v>70593.399999999994</v>
      </c>
      <c r="E225" s="3">
        <v>69024.3</v>
      </c>
      <c r="F225" s="3" t="s">
        <v>193</v>
      </c>
      <c r="G225" s="3">
        <v>-1.4E-2</v>
      </c>
    </row>
    <row r="226" spans="1:7" x14ac:dyDescent="0.2">
      <c r="A226" s="4">
        <v>45433</v>
      </c>
      <c r="B226" s="2">
        <v>70139.899999999994</v>
      </c>
      <c r="C226" s="2">
        <v>71430.5</v>
      </c>
      <c r="D226" s="2">
        <v>71872</v>
      </c>
      <c r="E226" s="2">
        <v>69181.7</v>
      </c>
      <c r="F226" s="2" t="s">
        <v>194</v>
      </c>
      <c r="G226" s="2">
        <v>-1.7999999999999999E-2</v>
      </c>
    </row>
    <row r="227" spans="1:7" x14ac:dyDescent="0.2">
      <c r="A227" s="5">
        <v>45432</v>
      </c>
      <c r="B227" s="3">
        <v>71422.7</v>
      </c>
      <c r="C227" s="3">
        <v>66278.3</v>
      </c>
      <c r="D227" s="3">
        <v>71482.8</v>
      </c>
      <c r="E227" s="3">
        <v>66076.5</v>
      </c>
      <c r="F227" s="3" t="s">
        <v>195</v>
      </c>
      <c r="G227" s="3">
        <v>7.7600000000000002E-2</v>
      </c>
    </row>
    <row r="228" spans="1:7" x14ac:dyDescent="0.2">
      <c r="A228" s="4">
        <v>45431</v>
      </c>
      <c r="B228" s="2">
        <v>66279.100000000006</v>
      </c>
      <c r="C228" s="2">
        <v>66919</v>
      </c>
      <c r="D228" s="2">
        <v>67662.5</v>
      </c>
      <c r="E228" s="2">
        <v>65937.3</v>
      </c>
      <c r="F228" s="2" t="s">
        <v>196</v>
      </c>
      <c r="G228" s="2">
        <v>-9.4999999999999998E-3</v>
      </c>
    </row>
    <row r="229" spans="1:7" x14ac:dyDescent="0.2">
      <c r="A229" s="5">
        <v>45430</v>
      </c>
      <c r="B229" s="3">
        <v>66917.5</v>
      </c>
      <c r="C229" s="3">
        <v>67036.600000000006</v>
      </c>
      <c r="D229" s="3">
        <v>67361.399999999994</v>
      </c>
      <c r="E229" s="3">
        <v>66636.100000000006</v>
      </c>
      <c r="F229" s="3" t="s">
        <v>197</v>
      </c>
      <c r="G229" s="3">
        <v>-1.8E-3</v>
      </c>
    </row>
    <row r="230" spans="1:7" x14ac:dyDescent="0.2">
      <c r="A230" s="4">
        <v>45429</v>
      </c>
      <c r="B230" s="2">
        <v>67036.800000000003</v>
      </c>
      <c r="C230" s="2">
        <v>65231.1</v>
      </c>
      <c r="D230" s="2">
        <v>67420.7</v>
      </c>
      <c r="E230" s="2">
        <v>65121.7</v>
      </c>
      <c r="F230" s="2" t="s">
        <v>198</v>
      </c>
      <c r="G230" s="2">
        <v>2.7699999999999999E-2</v>
      </c>
    </row>
    <row r="231" spans="1:7" x14ac:dyDescent="0.2">
      <c r="A231" s="5">
        <v>45428</v>
      </c>
      <c r="B231" s="3">
        <v>65231</v>
      </c>
      <c r="C231" s="3">
        <v>66219.600000000006</v>
      </c>
      <c r="D231" s="3">
        <v>66643.899999999994</v>
      </c>
      <c r="E231" s="3">
        <v>64623.3</v>
      </c>
      <c r="F231" s="3" t="s">
        <v>199</v>
      </c>
      <c r="G231" s="3">
        <v>-1.4999999999999999E-2</v>
      </c>
    </row>
    <row r="232" spans="1:7" x14ac:dyDescent="0.2">
      <c r="A232" s="4">
        <v>45427</v>
      </c>
      <c r="B232" s="2">
        <v>66225.100000000006</v>
      </c>
      <c r="C232" s="2">
        <v>61569.4</v>
      </c>
      <c r="D232" s="2">
        <v>66417.100000000006</v>
      </c>
      <c r="E232" s="2">
        <v>61357.5</v>
      </c>
      <c r="F232" s="2" t="s">
        <v>200</v>
      </c>
      <c r="G232" s="2">
        <v>7.5600000000000001E-2</v>
      </c>
    </row>
    <row r="233" spans="1:7" x14ac:dyDescent="0.2">
      <c r="A233" s="5">
        <v>45426</v>
      </c>
      <c r="B233" s="3">
        <v>61569.4</v>
      </c>
      <c r="C233" s="3">
        <v>62936.800000000003</v>
      </c>
      <c r="D233" s="3">
        <v>63102.6</v>
      </c>
      <c r="E233" s="3">
        <v>61156.9</v>
      </c>
      <c r="F233" s="3" t="s">
        <v>201</v>
      </c>
      <c r="G233" s="3">
        <v>-2.1700000000000001E-2</v>
      </c>
    </row>
    <row r="234" spans="1:7" x14ac:dyDescent="0.2">
      <c r="A234" s="4">
        <v>45425</v>
      </c>
      <c r="B234" s="2">
        <v>62937.2</v>
      </c>
      <c r="C234" s="2">
        <v>61480.5</v>
      </c>
      <c r="D234" s="2">
        <v>63443.199999999997</v>
      </c>
      <c r="E234" s="2">
        <v>60779</v>
      </c>
      <c r="F234" s="2" t="s">
        <v>202</v>
      </c>
      <c r="G234" s="2">
        <v>2.3699999999999999E-2</v>
      </c>
    </row>
    <row r="235" spans="1:7" x14ac:dyDescent="0.2">
      <c r="A235" s="5">
        <v>45424</v>
      </c>
      <c r="B235" s="3">
        <v>61480</v>
      </c>
      <c r="C235" s="3">
        <v>60826.6</v>
      </c>
      <c r="D235" s="3">
        <v>61847.7</v>
      </c>
      <c r="E235" s="3">
        <v>60647.1</v>
      </c>
      <c r="F235" s="3" t="s">
        <v>203</v>
      </c>
      <c r="G235" s="3">
        <v>1.0699999999999999E-2</v>
      </c>
    </row>
    <row r="236" spans="1:7" x14ac:dyDescent="0.2">
      <c r="A236" s="4">
        <v>45423</v>
      </c>
      <c r="B236" s="2">
        <v>60826.6</v>
      </c>
      <c r="C236" s="2">
        <v>60796.800000000003</v>
      </c>
      <c r="D236" s="2">
        <v>61487.5</v>
      </c>
      <c r="E236" s="2">
        <v>60499.3</v>
      </c>
      <c r="F236" s="2" t="s">
        <v>204</v>
      </c>
      <c r="G236" s="2">
        <v>5.0000000000000001E-4</v>
      </c>
    </row>
    <row r="237" spans="1:7" x14ac:dyDescent="0.2">
      <c r="A237" s="5">
        <v>45422</v>
      </c>
      <c r="B237" s="3">
        <v>60796.9</v>
      </c>
      <c r="C237" s="3">
        <v>63074.3</v>
      </c>
      <c r="D237" s="3">
        <v>63454.3</v>
      </c>
      <c r="E237" s="3">
        <v>60251.8</v>
      </c>
      <c r="F237" s="3" t="s">
        <v>205</v>
      </c>
      <c r="G237" s="3">
        <v>-3.61E-2</v>
      </c>
    </row>
    <row r="238" spans="1:7" x14ac:dyDescent="0.2">
      <c r="A238" s="4">
        <v>45421</v>
      </c>
      <c r="B238" s="2">
        <v>63075</v>
      </c>
      <c r="C238" s="2">
        <v>61207.3</v>
      </c>
      <c r="D238" s="2">
        <v>63413.3</v>
      </c>
      <c r="E238" s="2">
        <v>60671.4</v>
      </c>
      <c r="F238" s="2" t="s">
        <v>206</v>
      </c>
      <c r="G238" s="2">
        <v>3.0499999999999999E-2</v>
      </c>
    </row>
    <row r="239" spans="1:7" x14ac:dyDescent="0.2">
      <c r="A239" s="5">
        <v>45420</v>
      </c>
      <c r="B239" s="3">
        <v>61207.5</v>
      </c>
      <c r="C239" s="3">
        <v>62304.9</v>
      </c>
      <c r="D239" s="3">
        <v>62997.4</v>
      </c>
      <c r="E239" s="3">
        <v>60894.2</v>
      </c>
      <c r="F239" s="3" t="s">
        <v>207</v>
      </c>
      <c r="G239" s="3">
        <v>-1.78E-2</v>
      </c>
    </row>
    <row r="240" spans="1:7" x14ac:dyDescent="0.2">
      <c r="A240" s="4">
        <v>45419</v>
      </c>
      <c r="B240" s="2">
        <v>62317.7</v>
      </c>
      <c r="C240" s="2">
        <v>63163.1</v>
      </c>
      <c r="D240" s="2">
        <v>64361</v>
      </c>
      <c r="E240" s="2">
        <v>62294.1</v>
      </c>
      <c r="F240" s="2" t="s">
        <v>208</v>
      </c>
      <c r="G240" s="2">
        <v>-1.34E-2</v>
      </c>
    </row>
    <row r="241" spans="1:7" x14ac:dyDescent="0.2">
      <c r="A241" s="5">
        <v>45418</v>
      </c>
      <c r="B241" s="3">
        <v>63163.1</v>
      </c>
      <c r="C241" s="3">
        <v>64005.8</v>
      </c>
      <c r="D241" s="3">
        <v>65448.800000000003</v>
      </c>
      <c r="E241" s="3">
        <v>62730.7</v>
      </c>
      <c r="F241" s="3" t="s">
        <v>209</v>
      </c>
      <c r="G241" s="3">
        <v>-1.32E-2</v>
      </c>
    </row>
    <row r="242" spans="1:7" x14ac:dyDescent="0.2">
      <c r="A242" s="4">
        <v>45417</v>
      </c>
      <c r="B242" s="2">
        <v>64006.400000000001</v>
      </c>
      <c r="C242" s="2">
        <v>63897.7</v>
      </c>
      <c r="D242" s="2">
        <v>64587.199999999997</v>
      </c>
      <c r="E242" s="2">
        <v>62923.9</v>
      </c>
      <c r="F242" s="2" t="s">
        <v>210</v>
      </c>
      <c r="G242" s="2">
        <v>1.8E-3</v>
      </c>
    </row>
    <row r="243" spans="1:7" x14ac:dyDescent="0.2">
      <c r="A243" s="5">
        <v>45416</v>
      </c>
      <c r="B243" s="3">
        <v>63888.3</v>
      </c>
      <c r="C243" s="3">
        <v>62887.1</v>
      </c>
      <c r="D243" s="3">
        <v>64466</v>
      </c>
      <c r="E243" s="3">
        <v>62599.1</v>
      </c>
      <c r="F243" s="3" t="s">
        <v>211</v>
      </c>
      <c r="G243" s="3">
        <v>1.61E-2</v>
      </c>
    </row>
    <row r="244" spans="1:7" x14ac:dyDescent="0.2">
      <c r="A244" s="4">
        <v>45415</v>
      </c>
      <c r="B244" s="2">
        <v>62877.5</v>
      </c>
      <c r="C244" s="2">
        <v>59104.3</v>
      </c>
      <c r="D244" s="2">
        <v>63298.400000000001</v>
      </c>
      <c r="E244" s="2">
        <v>58830.8</v>
      </c>
      <c r="F244" s="2" t="s">
        <v>212</v>
      </c>
      <c r="G244" s="2">
        <v>6.3500000000000001E-2</v>
      </c>
    </row>
    <row r="245" spans="1:7" x14ac:dyDescent="0.2">
      <c r="A245" s="5">
        <v>45414</v>
      </c>
      <c r="B245" s="3">
        <v>59121.3</v>
      </c>
      <c r="C245" s="3">
        <v>58334.9</v>
      </c>
      <c r="D245" s="3">
        <v>59548</v>
      </c>
      <c r="E245" s="3">
        <v>56989.8</v>
      </c>
      <c r="F245" s="3" t="s">
        <v>213</v>
      </c>
      <c r="G245" s="3">
        <v>1.35E-2</v>
      </c>
    </row>
    <row r="246" spans="1:7" x14ac:dyDescent="0.2">
      <c r="A246" s="4">
        <v>45413</v>
      </c>
      <c r="B246" s="2">
        <v>58331.199999999997</v>
      </c>
      <c r="C246" s="2">
        <v>60665</v>
      </c>
      <c r="D246" s="2">
        <v>60827.5</v>
      </c>
      <c r="E246" s="2">
        <v>56643.5</v>
      </c>
      <c r="F246" s="2" t="s">
        <v>214</v>
      </c>
      <c r="G246" s="2">
        <v>-3.85E-2</v>
      </c>
    </row>
    <row r="247" spans="1:7" x14ac:dyDescent="0.2">
      <c r="A247" s="5">
        <v>45412</v>
      </c>
      <c r="B247" s="3">
        <v>60666.6</v>
      </c>
      <c r="C247" s="3">
        <v>63852.4</v>
      </c>
      <c r="D247" s="3">
        <v>64700.2</v>
      </c>
      <c r="E247" s="3">
        <v>59228.7</v>
      </c>
      <c r="F247" s="3" t="s">
        <v>215</v>
      </c>
      <c r="G247" s="3">
        <v>-0.05</v>
      </c>
    </row>
    <row r="248" spans="1:7" x14ac:dyDescent="0.2">
      <c r="A248" s="4">
        <v>45411</v>
      </c>
      <c r="B248" s="2">
        <v>63860.1</v>
      </c>
      <c r="C248" s="2">
        <v>63113.7</v>
      </c>
      <c r="D248" s="2">
        <v>64193.1</v>
      </c>
      <c r="E248" s="2">
        <v>61837.2</v>
      </c>
      <c r="F248" s="2" t="s">
        <v>216</v>
      </c>
      <c r="G248" s="2">
        <v>1.1900000000000001E-2</v>
      </c>
    </row>
    <row r="249" spans="1:7" x14ac:dyDescent="0.2">
      <c r="A249" s="5">
        <v>45410</v>
      </c>
      <c r="B249" s="3">
        <v>63109.7</v>
      </c>
      <c r="C249" s="3">
        <v>63457.9</v>
      </c>
      <c r="D249" s="3">
        <v>64346.1</v>
      </c>
      <c r="E249" s="3">
        <v>62827.8</v>
      </c>
      <c r="F249" s="3" t="s">
        <v>217</v>
      </c>
      <c r="G249" s="3">
        <v>-5.4999999999999997E-3</v>
      </c>
    </row>
    <row r="250" spans="1:7" x14ac:dyDescent="0.2">
      <c r="A250" s="4">
        <v>45409</v>
      </c>
      <c r="B250" s="2">
        <v>63456.800000000003</v>
      </c>
      <c r="C250" s="2">
        <v>63765.8</v>
      </c>
      <c r="D250" s="2">
        <v>63916.7</v>
      </c>
      <c r="E250" s="2">
        <v>62507.7</v>
      </c>
      <c r="F250" s="2" t="s">
        <v>218</v>
      </c>
      <c r="G250" s="2">
        <v>-4.8999999999999998E-3</v>
      </c>
    </row>
    <row r="251" spans="1:7" x14ac:dyDescent="0.2">
      <c r="A251" s="5">
        <v>45408</v>
      </c>
      <c r="B251" s="3">
        <v>63766.400000000001</v>
      </c>
      <c r="C251" s="3">
        <v>64497.1</v>
      </c>
      <c r="D251" s="3">
        <v>64771.3</v>
      </c>
      <c r="E251" s="3">
        <v>63354.9</v>
      </c>
      <c r="F251" s="3" t="s">
        <v>219</v>
      </c>
      <c r="G251" s="3">
        <v>-1.1299999999999999E-2</v>
      </c>
    </row>
    <row r="252" spans="1:7" x14ac:dyDescent="0.2">
      <c r="A252" s="4">
        <v>45407</v>
      </c>
      <c r="B252" s="2">
        <v>64497.1</v>
      </c>
      <c r="C252" s="2">
        <v>64287.1</v>
      </c>
      <c r="D252" s="2">
        <v>65247.5</v>
      </c>
      <c r="E252" s="2">
        <v>62889.2</v>
      </c>
      <c r="F252" s="2" t="s">
        <v>220</v>
      </c>
      <c r="G252" s="2">
        <v>3.3E-3</v>
      </c>
    </row>
    <row r="253" spans="1:7" x14ac:dyDescent="0.2">
      <c r="A253" s="5">
        <v>45406</v>
      </c>
      <c r="B253" s="3">
        <v>64285.7</v>
      </c>
      <c r="C253" s="3">
        <v>66414.899999999994</v>
      </c>
      <c r="D253" s="3">
        <v>67060.5</v>
      </c>
      <c r="E253" s="3">
        <v>63606.9</v>
      </c>
      <c r="F253" s="3" t="s">
        <v>221</v>
      </c>
      <c r="G253" s="3">
        <v>-3.2099999999999997E-2</v>
      </c>
    </row>
    <row r="254" spans="1:7" x14ac:dyDescent="0.2">
      <c r="A254" s="4">
        <v>45405</v>
      </c>
      <c r="B254" s="2">
        <v>66415</v>
      </c>
      <c r="C254" s="2">
        <v>66829.5</v>
      </c>
      <c r="D254" s="2">
        <v>67180</v>
      </c>
      <c r="E254" s="2">
        <v>65848.3</v>
      </c>
      <c r="F254" s="2" t="s">
        <v>222</v>
      </c>
      <c r="G254" s="2">
        <v>-6.1999999999999998E-3</v>
      </c>
    </row>
    <row r="255" spans="1:7" x14ac:dyDescent="0.2">
      <c r="A255" s="5">
        <v>45404</v>
      </c>
      <c r="B255" s="3">
        <v>66829.3</v>
      </c>
      <c r="C255" s="3">
        <v>64940.1</v>
      </c>
      <c r="D255" s="3">
        <v>67208</v>
      </c>
      <c r="E255" s="3">
        <v>64527.5</v>
      </c>
      <c r="F255" s="3" t="s">
        <v>223</v>
      </c>
      <c r="G255" s="3">
        <v>2.9100000000000001E-2</v>
      </c>
    </row>
    <row r="256" spans="1:7" x14ac:dyDescent="0.2">
      <c r="A256" s="4">
        <v>45403</v>
      </c>
      <c r="B256" s="2">
        <v>64940.2</v>
      </c>
      <c r="C256" s="2">
        <v>64942.1</v>
      </c>
      <c r="D256" s="2">
        <v>65680.600000000006</v>
      </c>
      <c r="E256" s="2">
        <v>64267.5</v>
      </c>
      <c r="F256" s="2" t="s">
        <v>224</v>
      </c>
      <c r="G256" s="2">
        <v>-2.9999999999999997E-4</v>
      </c>
    </row>
    <row r="257" spans="1:7" x14ac:dyDescent="0.2">
      <c r="A257" s="5">
        <v>45402</v>
      </c>
      <c r="B257" s="3">
        <v>64961.1</v>
      </c>
      <c r="C257" s="3">
        <v>63817.599999999999</v>
      </c>
      <c r="D257" s="3">
        <v>65375.6</v>
      </c>
      <c r="E257" s="3">
        <v>63131.7</v>
      </c>
      <c r="F257" s="3" t="s">
        <v>225</v>
      </c>
      <c r="G257" s="3">
        <v>1.8200000000000001E-2</v>
      </c>
    </row>
    <row r="258" spans="1:7" x14ac:dyDescent="0.2">
      <c r="A258" s="4">
        <v>45401</v>
      </c>
      <c r="B258" s="2">
        <v>63799.1</v>
      </c>
      <c r="C258" s="2">
        <v>63480.5</v>
      </c>
      <c r="D258" s="2">
        <v>65441.2</v>
      </c>
      <c r="E258" s="2">
        <v>59693.3</v>
      </c>
      <c r="F258" s="2" t="s">
        <v>226</v>
      </c>
      <c r="G258" s="2">
        <v>5.0000000000000001E-3</v>
      </c>
    </row>
    <row r="259" spans="1:7" x14ac:dyDescent="0.2">
      <c r="A259" s="5">
        <v>45400</v>
      </c>
      <c r="B259" s="3">
        <v>63481.4</v>
      </c>
      <c r="C259" s="3">
        <v>61278.9</v>
      </c>
      <c r="D259" s="3">
        <v>64092.4</v>
      </c>
      <c r="E259" s="3">
        <v>60822.3</v>
      </c>
      <c r="F259" s="3" t="s">
        <v>227</v>
      </c>
      <c r="G259" s="3">
        <v>3.5900000000000001E-2</v>
      </c>
    </row>
    <row r="260" spans="1:7" x14ac:dyDescent="0.2">
      <c r="A260" s="4">
        <v>45399</v>
      </c>
      <c r="B260" s="2">
        <v>61278.9</v>
      </c>
      <c r="C260" s="2">
        <v>63802.3</v>
      </c>
      <c r="D260" s="2">
        <v>64451.5</v>
      </c>
      <c r="E260" s="2">
        <v>59820.800000000003</v>
      </c>
      <c r="F260" s="2" t="s">
        <v>228</v>
      </c>
      <c r="G260" s="2">
        <v>-3.9600000000000003E-2</v>
      </c>
    </row>
    <row r="261" spans="1:7" x14ac:dyDescent="0.2">
      <c r="A261" s="5">
        <v>45398</v>
      </c>
      <c r="B261" s="3">
        <v>63805.3</v>
      </c>
      <c r="C261" s="3">
        <v>63416.1</v>
      </c>
      <c r="D261" s="3">
        <v>64274.400000000001</v>
      </c>
      <c r="E261" s="3">
        <v>61715.6</v>
      </c>
      <c r="F261" s="3" t="s">
        <v>229</v>
      </c>
      <c r="G261" s="3">
        <v>6.1999999999999998E-3</v>
      </c>
    </row>
    <row r="262" spans="1:7" x14ac:dyDescent="0.2">
      <c r="A262" s="4">
        <v>45397</v>
      </c>
      <c r="B262" s="2">
        <v>63411.9</v>
      </c>
      <c r="C262" s="2">
        <v>65696.600000000006</v>
      </c>
      <c r="D262" s="2">
        <v>66805.100000000006</v>
      </c>
      <c r="E262" s="2">
        <v>62379.5</v>
      </c>
      <c r="F262" s="2" t="s">
        <v>230</v>
      </c>
      <c r="G262" s="2">
        <v>-3.4799999999999998E-2</v>
      </c>
    </row>
    <row r="263" spans="1:7" x14ac:dyDescent="0.2">
      <c r="A263" s="5">
        <v>45396</v>
      </c>
      <c r="B263" s="3">
        <v>65697.399999999994</v>
      </c>
      <c r="C263" s="3">
        <v>63909.5</v>
      </c>
      <c r="D263" s="3">
        <v>65758.2</v>
      </c>
      <c r="E263" s="3">
        <v>62174.7</v>
      </c>
      <c r="F263" s="3" t="s">
        <v>231</v>
      </c>
      <c r="G263" s="3">
        <v>2.8899999999999999E-2</v>
      </c>
    </row>
    <row r="264" spans="1:7" x14ac:dyDescent="0.2">
      <c r="A264" s="4">
        <v>45395</v>
      </c>
      <c r="B264" s="2">
        <v>63849.9</v>
      </c>
      <c r="C264" s="2">
        <v>67137.399999999994</v>
      </c>
      <c r="D264" s="2">
        <v>67921</v>
      </c>
      <c r="E264" s="2">
        <v>61065.5</v>
      </c>
      <c r="F264" s="2" t="s">
        <v>232</v>
      </c>
      <c r="G264" s="2">
        <v>-4.9200000000000001E-2</v>
      </c>
    </row>
    <row r="265" spans="1:7" x14ac:dyDescent="0.2">
      <c r="A265" s="5">
        <v>45394</v>
      </c>
      <c r="B265" s="3">
        <v>67151.899999999994</v>
      </c>
      <c r="C265" s="3">
        <v>70014.899999999994</v>
      </c>
      <c r="D265" s="3">
        <v>71226.899999999994</v>
      </c>
      <c r="E265" s="3">
        <v>65829.3</v>
      </c>
      <c r="F265" s="3" t="s">
        <v>233</v>
      </c>
      <c r="G265" s="3">
        <v>-4.0800000000000003E-2</v>
      </c>
    </row>
    <row r="266" spans="1:7" x14ac:dyDescent="0.2">
      <c r="A266" s="4">
        <v>45393</v>
      </c>
      <c r="B266" s="2">
        <v>70011.600000000006</v>
      </c>
      <c r="C266" s="2">
        <v>70620.399999999994</v>
      </c>
      <c r="D266" s="2">
        <v>71249.2</v>
      </c>
      <c r="E266" s="2">
        <v>69586.100000000006</v>
      </c>
      <c r="F266" s="2" t="s">
        <v>234</v>
      </c>
      <c r="G266" s="2">
        <v>-8.6E-3</v>
      </c>
    </row>
    <row r="267" spans="1:7" x14ac:dyDescent="0.2">
      <c r="A267" s="5">
        <v>45392</v>
      </c>
      <c r="B267" s="3">
        <v>70622.100000000006</v>
      </c>
      <c r="C267" s="3">
        <v>69147.8</v>
      </c>
      <c r="D267" s="3">
        <v>71086.899999999994</v>
      </c>
      <c r="E267" s="3">
        <v>67570</v>
      </c>
      <c r="F267" s="3" t="s">
        <v>235</v>
      </c>
      <c r="G267" s="3">
        <v>2.1299999999999999E-2</v>
      </c>
    </row>
    <row r="268" spans="1:7" x14ac:dyDescent="0.2">
      <c r="A268" s="4">
        <v>45391</v>
      </c>
      <c r="B268" s="2">
        <v>69148</v>
      </c>
      <c r="C268" s="2">
        <v>71627.3</v>
      </c>
      <c r="D268" s="2">
        <v>71737.2</v>
      </c>
      <c r="E268" s="2">
        <v>68264.600000000006</v>
      </c>
      <c r="F268" s="2" t="s">
        <v>236</v>
      </c>
      <c r="G268" s="2">
        <v>-3.4700000000000002E-2</v>
      </c>
    </row>
    <row r="269" spans="1:7" x14ac:dyDescent="0.2">
      <c r="A269" s="5">
        <v>45390</v>
      </c>
      <c r="B269" s="3">
        <v>71630.100000000006</v>
      </c>
      <c r="C269" s="3">
        <v>69358</v>
      </c>
      <c r="D269" s="3">
        <v>72710.8</v>
      </c>
      <c r="E269" s="3">
        <v>69110.5</v>
      </c>
      <c r="F269" s="3" t="s">
        <v>237</v>
      </c>
      <c r="G269" s="3">
        <v>3.27E-2</v>
      </c>
    </row>
    <row r="270" spans="1:7" x14ac:dyDescent="0.2">
      <c r="A270" s="4">
        <v>45389</v>
      </c>
      <c r="B270" s="2">
        <v>69360.399999999994</v>
      </c>
      <c r="C270" s="2">
        <v>68897.3</v>
      </c>
      <c r="D270" s="2">
        <v>70285.8</v>
      </c>
      <c r="E270" s="2">
        <v>68849.399999999994</v>
      </c>
      <c r="F270" s="2" t="s">
        <v>238</v>
      </c>
      <c r="G270" s="2">
        <v>6.7999999999999996E-3</v>
      </c>
    </row>
    <row r="271" spans="1:7" x14ac:dyDescent="0.2">
      <c r="A271" s="5">
        <v>45388</v>
      </c>
      <c r="B271" s="3">
        <v>68890.600000000006</v>
      </c>
      <c r="C271" s="3">
        <v>67830.5</v>
      </c>
      <c r="D271" s="3">
        <v>69632</v>
      </c>
      <c r="E271" s="3">
        <v>67467.199999999997</v>
      </c>
      <c r="F271" s="3" t="s">
        <v>239</v>
      </c>
      <c r="G271" s="3">
        <v>1.5599999999999999E-2</v>
      </c>
    </row>
    <row r="272" spans="1:7" x14ac:dyDescent="0.2">
      <c r="A272" s="4">
        <v>45387</v>
      </c>
      <c r="B272" s="2">
        <v>67830.600000000006</v>
      </c>
      <c r="C272" s="2">
        <v>68498.7</v>
      </c>
      <c r="D272" s="2">
        <v>68692.2</v>
      </c>
      <c r="E272" s="2">
        <v>66023.3</v>
      </c>
      <c r="F272" s="2" t="s">
        <v>240</v>
      </c>
      <c r="G272" s="2">
        <v>-9.7000000000000003E-3</v>
      </c>
    </row>
    <row r="273" spans="1:7" x14ac:dyDescent="0.2">
      <c r="A273" s="5">
        <v>45386</v>
      </c>
      <c r="B273" s="3">
        <v>68496.5</v>
      </c>
      <c r="C273" s="3">
        <v>65968.399999999994</v>
      </c>
      <c r="D273" s="3">
        <v>69238.8</v>
      </c>
      <c r="E273" s="3">
        <v>65096.3</v>
      </c>
      <c r="F273" s="3" t="s">
        <v>241</v>
      </c>
      <c r="G273" s="3">
        <v>3.8399999999999997E-2</v>
      </c>
    </row>
    <row r="274" spans="1:7" x14ac:dyDescent="0.2">
      <c r="A274" s="4">
        <v>45385</v>
      </c>
      <c r="B274" s="2">
        <v>65963</v>
      </c>
      <c r="C274" s="2">
        <v>65443.6</v>
      </c>
      <c r="D274" s="2">
        <v>66844.800000000003</v>
      </c>
      <c r="E274" s="2">
        <v>64559</v>
      </c>
      <c r="F274" s="2" t="s">
        <v>242</v>
      </c>
      <c r="G274" s="2">
        <v>8.0000000000000002E-3</v>
      </c>
    </row>
    <row r="275" spans="1:7" x14ac:dyDescent="0.2">
      <c r="A275" s="5">
        <v>45384</v>
      </c>
      <c r="B275" s="3">
        <v>65439.199999999997</v>
      </c>
      <c r="C275" s="3">
        <v>69662.7</v>
      </c>
      <c r="D275" s="3">
        <v>69673</v>
      </c>
      <c r="E275" s="3">
        <v>64628.4</v>
      </c>
      <c r="F275" s="3" t="s">
        <v>243</v>
      </c>
      <c r="G275" s="3">
        <v>-6.0699999999999997E-2</v>
      </c>
    </row>
    <row r="276" spans="1:7" x14ac:dyDescent="0.2">
      <c r="A276" s="4">
        <v>45383</v>
      </c>
      <c r="B276" s="2">
        <v>69664.399999999994</v>
      </c>
      <c r="C276" s="2">
        <v>71329.3</v>
      </c>
      <c r="D276" s="2">
        <v>71329.3</v>
      </c>
      <c r="E276" s="2">
        <v>68175.899999999994</v>
      </c>
      <c r="F276" s="2" t="s">
        <v>244</v>
      </c>
      <c r="G276" s="2">
        <v>-2.3400000000000001E-2</v>
      </c>
    </row>
    <row r="277" spans="1:7" x14ac:dyDescent="0.2">
      <c r="A277" s="5">
        <v>45382</v>
      </c>
      <c r="B277" s="3">
        <v>71332</v>
      </c>
      <c r="C277" s="3">
        <v>69608.5</v>
      </c>
      <c r="D277" s="3">
        <v>71367.5</v>
      </c>
      <c r="E277" s="3">
        <v>69576.600000000006</v>
      </c>
      <c r="F277" s="3" t="s">
        <v>245</v>
      </c>
      <c r="G277" s="3">
        <v>2.47E-2</v>
      </c>
    </row>
    <row r="278" spans="1:7" x14ac:dyDescent="0.2">
      <c r="A278" s="4">
        <v>45381</v>
      </c>
      <c r="B278" s="2">
        <v>69611.5</v>
      </c>
      <c r="C278" s="2">
        <v>69872.3</v>
      </c>
      <c r="D278" s="2">
        <v>70321.2</v>
      </c>
      <c r="E278" s="2">
        <v>69564.899999999994</v>
      </c>
      <c r="F278" s="2" t="s">
        <v>246</v>
      </c>
      <c r="G278" s="2">
        <v>-3.7000000000000002E-3</v>
      </c>
    </row>
    <row r="279" spans="1:7" x14ac:dyDescent="0.2">
      <c r="A279" s="5">
        <v>45380</v>
      </c>
      <c r="B279" s="3">
        <v>69871.7</v>
      </c>
      <c r="C279" s="3">
        <v>70766.7</v>
      </c>
      <c r="D279" s="3">
        <v>70907</v>
      </c>
      <c r="E279" s="3">
        <v>69090.899999999994</v>
      </c>
      <c r="F279" s="3" t="s">
        <v>247</v>
      </c>
      <c r="G279" s="3">
        <v>-1.26E-2</v>
      </c>
    </row>
    <row r="280" spans="1:7" x14ac:dyDescent="0.2">
      <c r="A280" s="4">
        <v>45379</v>
      </c>
      <c r="B280" s="2">
        <v>70762.100000000006</v>
      </c>
      <c r="C280" s="2">
        <v>69449.399999999994</v>
      </c>
      <c r="D280" s="2">
        <v>71542.5</v>
      </c>
      <c r="E280" s="2">
        <v>68956.899999999994</v>
      </c>
      <c r="F280" s="2" t="s">
        <v>248</v>
      </c>
      <c r="G280" s="2">
        <v>1.9E-2</v>
      </c>
    </row>
    <row r="281" spans="1:7" x14ac:dyDescent="0.2">
      <c r="A281" s="5">
        <v>45378</v>
      </c>
      <c r="B281" s="3">
        <v>69442.399999999994</v>
      </c>
      <c r="C281" s="3">
        <v>69999.199999999997</v>
      </c>
      <c r="D281" s="3">
        <v>71670.8</v>
      </c>
      <c r="E281" s="3">
        <v>68428.600000000006</v>
      </c>
      <c r="F281" s="3" t="s">
        <v>249</v>
      </c>
      <c r="G281" s="3">
        <v>-8.0000000000000002E-3</v>
      </c>
    </row>
    <row r="282" spans="1:7" x14ac:dyDescent="0.2">
      <c r="A282" s="4">
        <v>45377</v>
      </c>
      <c r="B282" s="2">
        <v>69999.3</v>
      </c>
      <c r="C282" s="2">
        <v>69896.3</v>
      </c>
      <c r="D282" s="2">
        <v>71490.7</v>
      </c>
      <c r="E282" s="2">
        <v>69366.399999999994</v>
      </c>
      <c r="F282" s="2" t="s">
        <v>250</v>
      </c>
      <c r="G282" s="2">
        <v>1.5E-3</v>
      </c>
    </row>
    <row r="283" spans="1:7" x14ac:dyDescent="0.2">
      <c r="A283" s="5">
        <v>45376</v>
      </c>
      <c r="B283" s="3">
        <v>69892</v>
      </c>
      <c r="C283" s="3">
        <v>67216.399999999994</v>
      </c>
      <c r="D283" s="3">
        <v>71118.8</v>
      </c>
      <c r="E283" s="3">
        <v>66395</v>
      </c>
      <c r="F283" s="3" t="s">
        <v>251</v>
      </c>
      <c r="G283" s="3">
        <v>3.9899999999999998E-2</v>
      </c>
    </row>
    <row r="284" spans="1:7" x14ac:dyDescent="0.2">
      <c r="A284" s="4">
        <v>45375</v>
      </c>
      <c r="B284" s="2">
        <v>67211.899999999994</v>
      </c>
      <c r="C284" s="2">
        <v>64036.5</v>
      </c>
      <c r="D284" s="2">
        <v>67587.8</v>
      </c>
      <c r="E284" s="2">
        <v>63812.9</v>
      </c>
      <c r="F284" s="2" t="s">
        <v>252</v>
      </c>
      <c r="G284" s="2">
        <v>4.9599999999999998E-2</v>
      </c>
    </row>
    <row r="285" spans="1:7" x14ac:dyDescent="0.2">
      <c r="A285" s="5">
        <v>45374</v>
      </c>
      <c r="B285" s="3">
        <v>64037.8</v>
      </c>
      <c r="C285" s="3">
        <v>63785.599999999999</v>
      </c>
      <c r="D285" s="3">
        <v>65972.399999999994</v>
      </c>
      <c r="E285" s="3">
        <v>63074.9</v>
      </c>
      <c r="F285" s="3" t="s">
        <v>253</v>
      </c>
      <c r="G285" s="3">
        <v>4.0000000000000001E-3</v>
      </c>
    </row>
    <row r="286" spans="1:7" x14ac:dyDescent="0.2">
      <c r="A286" s="4">
        <v>45373</v>
      </c>
      <c r="B286" s="2">
        <v>63785.5</v>
      </c>
      <c r="C286" s="2">
        <v>65501.5</v>
      </c>
      <c r="D286" s="2">
        <v>66633.3</v>
      </c>
      <c r="E286" s="2">
        <v>62328.3</v>
      </c>
      <c r="F286" s="2" t="s">
        <v>254</v>
      </c>
      <c r="G286" s="2">
        <v>-2.6200000000000001E-2</v>
      </c>
    </row>
    <row r="287" spans="1:7" x14ac:dyDescent="0.2">
      <c r="A287" s="5">
        <v>45372</v>
      </c>
      <c r="B287" s="3">
        <v>65503.8</v>
      </c>
      <c r="C287" s="3">
        <v>67860</v>
      </c>
      <c r="D287" s="3">
        <v>68161.7</v>
      </c>
      <c r="E287" s="3">
        <v>64616.1</v>
      </c>
      <c r="F287" s="3" t="s">
        <v>255</v>
      </c>
      <c r="G287" s="3">
        <v>-3.4599999999999999E-2</v>
      </c>
    </row>
    <row r="288" spans="1:7" x14ac:dyDescent="0.2">
      <c r="A288" s="4">
        <v>45371</v>
      </c>
      <c r="B288" s="2">
        <v>67854</v>
      </c>
      <c r="C288" s="2">
        <v>62046.8</v>
      </c>
      <c r="D288" s="2">
        <v>68029.5</v>
      </c>
      <c r="E288" s="2">
        <v>60850.9</v>
      </c>
      <c r="F288" s="2" t="s">
        <v>256</v>
      </c>
      <c r="G288" s="2">
        <v>9.35E-2</v>
      </c>
    </row>
    <row r="289" spans="1:7" x14ac:dyDescent="0.2">
      <c r="A289" s="5">
        <v>45370</v>
      </c>
      <c r="B289" s="3">
        <v>62050</v>
      </c>
      <c r="C289" s="3">
        <v>67594.100000000006</v>
      </c>
      <c r="D289" s="3">
        <v>68099.600000000006</v>
      </c>
      <c r="E289" s="3">
        <v>61560.6</v>
      </c>
      <c r="F289" s="3" t="s">
        <v>257</v>
      </c>
      <c r="G289" s="3">
        <v>-8.2000000000000003E-2</v>
      </c>
    </row>
    <row r="290" spans="1:7" x14ac:dyDescent="0.2">
      <c r="A290" s="4">
        <v>45369</v>
      </c>
      <c r="B290" s="2">
        <v>67594.100000000006</v>
      </c>
      <c r="C290" s="2">
        <v>68389.7</v>
      </c>
      <c r="D290" s="2">
        <v>68920.100000000006</v>
      </c>
      <c r="E290" s="2">
        <v>66601.399999999994</v>
      </c>
      <c r="F290" s="2" t="s">
        <v>258</v>
      </c>
      <c r="G290" s="2">
        <v>-1.17E-2</v>
      </c>
    </row>
    <row r="291" spans="1:7" x14ac:dyDescent="0.2">
      <c r="A291" s="5">
        <v>45368</v>
      </c>
      <c r="B291" s="3">
        <v>68391.199999999997</v>
      </c>
      <c r="C291" s="3">
        <v>65314.2</v>
      </c>
      <c r="D291" s="3">
        <v>68857.7</v>
      </c>
      <c r="E291" s="3">
        <v>64605.5</v>
      </c>
      <c r="F291" s="3" t="s">
        <v>259</v>
      </c>
      <c r="G291" s="3">
        <v>4.7100000000000003E-2</v>
      </c>
    </row>
    <row r="292" spans="1:7" x14ac:dyDescent="0.2">
      <c r="A292" s="4">
        <v>45367</v>
      </c>
      <c r="B292" s="2">
        <v>65314.2</v>
      </c>
      <c r="C292" s="2">
        <v>69456.5</v>
      </c>
      <c r="D292" s="2">
        <v>70037</v>
      </c>
      <c r="E292" s="2">
        <v>64971</v>
      </c>
      <c r="F292" s="2" t="s">
        <v>260</v>
      </c>
      <c r="G292" s="2">
        <v>-5.9700000000000003E-2</v>
      </c>
    </row>
    <row r="293" spans="1:7" x14ac:dyDescent="0.2">
      <c r="A293" s="5">
        <v>45366</v>
      </c>
      <c r="B293" s="3">
        <v>69463.7</v>
      </c>
      <c r="C293" s="3">
        <v>71387.100000000006</v>
      </c>
      <c r="D293" s="3">
        <v>72398.100000000006</v>
      </c>
      <c r="E293" s="3">
        <v>65765.600000000006</v>
      </c>
      <c r="F293" s="3" t="s">
        <v>261</v>
      </c>
      <c r="G293" s="3">
        <v>-2.69E-2</v>
      </c>
    </row>
    <row r="294" spans="1:7" x14ac:dyDescent="0.2">
      <c r="A294" s="4">
        <v>45365</v>
      </c>
      <c r="B294" s="2">
        <v>71387.5</v>
      </c>
      <c r="C294" s="2">
        <v>73066.7</v>
      </c>
      <c r="D294" s="2">
        <v>73740.899999999994</v>
      </c>
      <c r="E294" s="2">
        <v>68717.2</v>
      </c>
      <c r="F294" s="2" t="s">
        <v>262</v>
      </c>
      <c r="G294" s="2">
        <v>-2.3E-2</v>
      </c>
    </row>
    <row r="295" spans="1:7" x14ac:dyDescent="0.2">
      <c r="A295" s="5">
        <v>45364</v>
      </c>
      <c r="B295" s="3">
        <v>73066.3</v>
      </c>
      <c r="C295" s="3">
        <v>71461.899999999994</v>
      </c>
      <c r="D295" s="3">
        <v>73623.5</v>
      </c>
      <c r="E295" s="3">
        <v>71338.399999999994</v>
      </c>
      <c r="F295" s="3" t="s">
        <v>263</v>
      </c>
      <c r="G295" s="3">
        <v>2.23E-2</v>
      </c>
    </row>
    <row r="296" spans="1:7" x14ac:dyDescent="0.2">
      <c r="A296" s="4">
        <v>45363</v>
      </c>
      <c r="B296" s="2">
        <v>71470.2</v>
      </c>
      <c r="C296" s="2">
        <v>72099.100000000006</v>
      </c>
      <c r="D296" s="2">
        <v>72916.7</v>
      </c>
      <c r="E296" s="2">
        <v>68845.600000000006</v>
      </c>
      <c r="F296" s="2" t="s">
        <v>264</v>
      </c>
      <c r="G296" s="2">
        <v>-8.6999999999999994E-3</v>
      </c>
    </row>
    <row r="297" spans="1:7" x14ac:dyDescent="0.2">
      <c r="A297" s="5">
        <v>45362</v>
      </c>
      <c r="B297" s="3">
        <v>72099.100000000006</v>
      </c>
      <c r="C297" s="3">
        <v>68964.7</v>
      </c>
      <c r="D297" s="3">
        <v>72771.5</v>
      </c>
      <c r="E297" s="3">
        <v>67452.800000000003</v>
      </c>
      <c r="F297" s="3" t="s">
        <v>265</v>
      </c>
      <c r="G297" s="3">
        <v>4.5400000000000003E-2</v>
      </c>
    </row>
    <row r="298" spans="1:7" x14ac:dyDescent="0.2">
      <c r="A298" s="4">
        <v>45361</v>
      </c>
      <c r="B298" s="2">
        <v>68964.800000000003</v>
      </c>
      <c r="C298" s="2">
        <v>68360.7</v>
      </c>
      <c r="D298" s="2">
        <v>69905.3</v>
      </c>
      <c r="E298" s="2">
        <v>68165</v>
      </c>
      <c r="F298" s="2" t="s">
        <v>266</v>
      </c>
      <c r="G298" s="2">
        <v>8.8000000000000005E-3</v>
      </c>
    </row>
    <row r="299" spans="1:7" x14ac:dyDescent="0.2">
      <c r="A299" s="5">
        <v>45360</v>
      </c>
      <c r="B299" s="3">
        <v>68366.5</v>
      </c>
      <c r="C299" s="3">
        <v>68178.5</v>
      </c>
      <c r="D299" s="3">
        <v>68576.899999999994</v>
      </c>
      <c r="E299" s="3">
        <v>67923.899999999994</v>
      </c>
      <c r="F299" s="3" t="s">
        <v>267</v>
      </c>
      <c r="G299" s="3">
        <v>2.8999999999999998E-3</v>
      </c>
    </row>
    <row r="300" spans="1:7" x14ac:dyDescent="0.2">
      <c r="A300" s="4">
        <v>45359</v>
      </c>
      <c r="B300" s="2">
        <v>68172</v>
      </c>
      <c r="C300" s="2">
        <v>66854.399999999994</v>
      </c>
      <c r="D300" s="2">
        <v>69904</v>
      </c>
      <c r="E300" s="2">
        <v>66170.7</v>
      </c>
      <c r="F300" s="2" t="s">
        <v>268</v>
      </c>
      <c r="G300" s="2">
        <v>1.9699999999999999E-2</v>
      </c>
    </row>
    <row r="301" spans="1:7" x14ac:dyDescent="0.2">
      <c r="A301" s="5">
        <v>45358</v>
      </c>
      <c r="B301" s="3">
        <v>66855.3</v>
      </c>
      <c r="C301" s="3">
        <v>66074.600000000006</v>
      </c>
      <c r="D301" s="3">
        <v>67985.5</v>
      </c>
      <c r="E301" s="3">
        <v>65602.600000000006</v>
      </c>
      <c r="F301" s="3" t="s">
        <v>269</v>
      </c>
      <c r="G301" s="3">
        <v>1.17E-2</v>
      </c>
    </row>
    <row r="302" spans="1:7" x14ac:dyDescent="0.2">
      <c r="A302" s="4">
        <v>45357</v>
      </c>
      <c r="B302" s="2">
        <v>66080.399999999994</v>
      </c>
      <c r="C302" s="2">
        <v>63794.7</v>
      </c>
      <c r="D302" s="2">
        <v>67604.899999999994</v>
      </c>
      <c r="E302" s="2">
        <v>62848.7</v>
      </c>
      <c r="F302" s="2" t="s">
        <v>270</v>
      </c>
      <c r="G302" s="2">
        <v>3.5900000000000001E-2</v>
      </c>
    </row>
    <row r="303" spans="1:7" x14ac:dyDescent="0.2">
      <c r="A303" s="5">
        <v>45356</v>
      </c>
      <c r="B303" s="3">
        <v>63792.6</v>
      </c>
      <c r="C303" s="3">
        <v>68273.100000000006</v>
      </c>
      <c r="D303" s="3">
        <v>69063.100000000006</v>
      </c>
      <c r="E303" s="3">
        <v>60138.2</v>
      </c>
      <c r="F303" s="3" t="s">
        <v>271</v>
      </c>
      <c r="G303" s="3">
        <v>-6.5600000000000006E-2</v>
      </c>
    </row>
    <row r="304" spans="1:7" x14ac:dyDescent="0.2">
      <c r="A304" s="4">
        <v>45355</v>
      </c>
      <c r="B304" s="2">
        <v>68270.100000000006</v>
      </c>
      <c r="C304" s="2">
        <v>63135.8</v>
      </c>
      <c r="D304" s="2">
        <v>68495.100000000006</v>
      </c>
      <c r="E304" s="2">
        <v>62746.8</v>
      </c>
      <c r="F304" s="2" t="s">
        <v>272</v>
      </c>
      <c r="G304" s="2">
        <v>8.1299999999999997E-2</v>
      </c>
    </row>
    <row r="305" spans="1:7" x14ac:dyDescent="0.2">
      <c r="A305" s="5">
        <v>45354</v>
      </c>
      <c r="B305" s="3">
        <v>63135.8</v>
      </c>
      <c r="C305" s="3">
        <v>61955.6</v>
      </c>
      <c r="D305" s="3">
        <v>63227.3</v>
      </c>
      <c r="E305" s="3">
        <v>61399.4</v>
      </c>
      <c r="F305" s="3" t="s">
        <v>273</v>
      </c>
      <c r="G305" s="3">
        <v>1.84E-2</v>
      </c>
    </row>
    <row r="306" spans="1:7" x14ac:dyDescent="0.2">
      <c r="A306" s="4">
        <v>45353</v>
      </c>
      <c r="B306" s="2">
        <v>61994.5</v>
      </c>
      <c r="C306" s="2">
        <v>62397.7</v>
      </c>
      <c r="D306" s="2">
        <v>62446.3</v>
      </c>
      <c r="E306" s="2">
        <v>61621.9</v>
      </c>
      <c r="F306" s="2" t="s">
        <v>274</v>
      </c>
      <c r="G306" s="2">
        <v>-6.4999999999999997E-3</v>
      </c>
    </row>
    <row r="307" spans="1:7" x14ac:dyDescent="0.2">
      <c r="A307" s="5">
        <v>45352</v>
      </c>
      <c r="B307" s="3">
        <v>62397.7</v>
      </c>
      <c r="C307" s="3">
        <v>61157.3</v>
      </c>
      <c r="D307" s="3">
        <v>63147.3</v>
      </c>
      <c r="E307" s="3">
        <v>60790.9</v>
      </c>
      <c r="F307" s="3" t="s">
        <v>275</v>
      </c>
      <c r="G307" s="3">
        <v>2.01E-2</v>
      </c>
    </row>
    <row r="308" spans="1:7" x14ac:dyDescent="0.2">
      <c r="A308" s="4">
        <v>45351</v>
      </c>
      <c r="B308" s="2">
        <v>61169.3</v>
      </c>
      <c r="C308" s="2">
        <v>62467.1</v>
      </c>
      <c r="D308" s="2">
        <v>63653.4</v>
      </c>
      <c r="E308" s="2">
        <v>60512.5</v>
      </c>
      <c r="F308" s="2" t="s">
        <v>276</v>
      </c>
      <c r="G308" s="2">
        <v>-2.0799999999999999E-2</v>
      </c>
    </row>
    <row r="309" spans="1:7" x14ac:dyDescent="0.2">
      <c r="A309" s="5">
        <v>45350</v>
      </c>
      <c r="B309" s="3">
        <v>62467.6</v>
      </c>
      <c r="C309" s="3">
        <v>57048.7</v>
      </c>
      <c r="D309" s="3">
        <v>63915.3</v>
      </c>
      <c r="E309" s="3">
        <v>56704.9</v>
      </c>
      <c r="F309" s="3" t="s">
        <v>277</v>
      </c>
      <c r="G309" s="3">
        <v>9.4799999999999995E-2</v>
      </c>
    </row>
    <row r="310" spans="1:7" x14ac:dyDescent="0.2">
      <c r="A310" s="4">
        <v>45349</v>
      </c>
      <c r="B310" s="2">
        <v>57056.2</v>
      </c>
      <c r="C310" s="2">
        <v>54491.1</v>
      </c>
      <c r="D310" s="2">
        <v>57555.199999999997</v>
      </c>
      <c r="E310" s="2">
        <v>54464</v>
      </c>
      <c r="F310" s="2" t="s">
        <v>278</v>
      </c>
      <c r="G310" s="2">
        <v>4.7E-2</v>
      </c>
    </row>
    <row r="311" spans="1:7" x14ac:dyDescent="0.2">
      <c r="A311" s="5">
        <v>45348</v>
      </c>
      <c r="B311" s="3">
        <v>54495.1</v>
      </c>
      <c r="C311" s="3">
        <v>51722.7</v>
      </c>
      <c r="D311" s="3">
        <v>54899.1</v>
      </c>
      <c r="E311" s="3">
        <v>50925.2</v>
      </c>
      <c r="F311" s="3" t="s">
        <v>279</v>
      </c>
      <c r="G311" s="3">
        <v>5.3600000000000002E-2</v>
      </c>
    </row>
    <row r="312" spans="1:7" x14ac:dyDescent="0.2">
      <c r="A312" s="4">
        <v>45347</v>
      </c>
      <c r="B312" s="2">
        <v>51722.7</v>
      </c>
      <c r="C312" s="2">
        <v>51572.1</v>
      </c>
      <c r="D312" s="2">
        <v>51952</v>
      </c>
      <c r="E312" s="2">
        <v>51299</v>
      </c>
      <c r="F312" s="2" t="s">
        <v>280</v>
      </c>
      <c r="G312" s="2">
        <v>2.8999999999999998E-3</v>
      </c>
    </row>
    <row r="313" spans="1:7" x14ac:dyDescent="0.2">
      <c r="A313" s="5">
        <v>45346</v>
      </c>
      <c r="B313" s="3">
        <v>51571.6</v>
      </c>
      <c r="C313" s="3">
        <v>50739.6</v>
      </c>
      <c r="D313" s="3">
        <v>51689.9</v>
      </c>
      <c r="E313" s="3">
        <v>50592</v>
      </c>
      <c r="F313" s="3" t="s">
        <v>175</v>
      </c>
      <c r="G313" s="3">
        <v>1.6400000000000001E-2</v>
      </c>
    </row>
    <row r="314" spans="1:7" x14ac:dyDescent="0.2">
      <c r="A314" s="4">
        <v>45345</v>
      </c>
      <c r="B314" s="2">
        <v>50740.5</v>
      </c>
      <c r="C314" s="2">
        <v>51320.6</v>
      </c>
      <c r="D314" s="2">
        <v>51532.5</v>
      </c>
      <c r="E314" s="2">
        <v>50537.599999999999</v>
      </c>
      <c r="F314" s="2" t="s">
        <v>281</v>
      </c>
      <c r="G314" s="2">
        <v>-1.1299999999999999E-2</v>
      </c>
    </row>
    <row r="315" spans="1:7" x14ac:dyDescent="0.2">
      <c r="A315" s="5">
        <v>45344</v>
      </c>
      <c r="B315" s="3">
        <v>51320.4</v>
      </c>
      <c r="C315" s="3">
        <v>51850.2</v>
      </c>
      <c r="D315" s="3">
        <v>52015.8</v>
      </c>
      <c r="E315" s="3">
        <v>50947.3</v>
      </c>
      <c r="F315" s="3" t="s">
        <v>282</v>
      </c>
      <c r="G315" s="3">
        <v>-1.04E-2</v>
      </c>
    </row>
    <row r="316" spans="1:7" x14ac:dyDescent="0.2">
      <c r="A316" s="4">
        <v>45343</v>
      </c>
      <c r="B316" s="2">
        <v>51858.2</v>
      </c>
      <c r="C316" s="2">
        <v>52263.5</v>
      </c>
      <c r="D316" s="2">
        <v>52367.3</v>
      </c>
      <c r="E316" s="2">
        <v>50676.9</v>
      </c>
      <c r="F316" s="2" t="s">
        <v>283</v>
      </c>
      <c r="G316" s="2">
        <v>-7.7999999999999996E-3</v>
      </c>
    </row>
    <row r="317" spans="1:7" x14ac:dyDescent="0.2">
      <c r="A317" s="5">
        <v>45342</v>
      </c>
      <c r="B317" s="3">
        <v>52263.5</v>
      </c>
      <c r="C317" s="3">
        <v>51783.1</v>
      </c>
      <c r="D317" s="3">
        <v>52936.800000000003</v>
      </c>
      <c r="E317" s="3">
        <v>50801.8</v>
      </c>
      <c r="F317" s="3" t="s">
        <v>284</v>
      </c>
      <c r="G317" s="3">
        <v>9.2999999999999992E-3</v>
      </c>
    </row>
    <row r="318" spans="1:7" x14ac:dyDescent="0.2">
      <c r="A318" s="4">
        <v>45341</v>
      </c>
      <c r="B318" s="2">
        <v>51783.6</v>
      </c>
      <c r="C318" s="2">
        <v>52119.6</v>
      </c>
      <c r="D318" s="2">
        <v>52484.800000000003</v>
      </c>
      <c r="E318" s="2">
        <v>51694.2</v>
      </c>
      <c r="F318" s="2" t="s">
        <v>285</v>
      </c>
      <c r="G318" s="2">
        <v>-6.4000000000000003E-3</v>
      </c>
    </row>
    <row r="319" spans="1:7" x14ac:dyDescent="0.2">
      <c r="A319" s="5">
        <v>45340</v>
      </c>
      <c r="B319" s="3">
        <v>52117.5</v>
      </c>
      <c r="C319" s="3">
        <v>51646</v>
      </c>
      <c r="D319" s="3">
        <v>52350.3</v>
      </c>
      <c r="E319" s="3">
        <v>51199.6</v>
      </c>
      <c r="F319" s="3" t="s">
        <v>286</v>
      </c>
      <c r="G319" s="3">
        <v>9.1000000000000004E-3</v>
      </c>
    </row>
    <row r="320" spans="1:7" x14ac:dyDescent="0.2">
      <c r="A320" s="4">
        <v>45339</v>
      </c>
      <c r="B320" s="2">
        <v>51646</v>
      </c>
      <c r="C320" s="2">
        <v>52134.2</v>
      </c>
      <c r="D320" s="2">
        <v>52175.5</v>
      </c>
      <c r="E320" s="2">
        <v>50652.3</v>
      </c>
      <c r="F320" s="2" t="s">
        <v>287</v>
      </c>
      <c r="G320" s="2">
        <v>-9.4000000000000004E-3</v>
      </c>
    </row>
    <row r="321" spans="1:7" x14ac:dyDescent="0.2">
      <c r="A321" s="5">
        <v>45338</v>
      </c>
      <c r="B321" s="3">
        <v>52134.2</v>
      </c>
      <c r="C321" s="3">
        <v>51901.4</v>
      </c>
      <c r="D321" s="3">
        <v>52556.7</v>
      </c>
      <c r="E321" s="3">
        <v>51612.6</v>
      </c>
      <c r="F321" s="3" t="s">
        <v>288</v>
      </c>
      <c r="G321" s="3">
        <v>4.4999999999999997E-3</v>
      </c>
    </row>
    <row r="322" spans="1:7" x14ac:dyDescent="0.2">
      <c r="A322" s="4">
        <v>45337</v>
      </c>
      <c r="B322" s="2">
        <v>51901.3</v>
      </c>
      <c r="C322" s="2">
        <v>51805.2</v>
      </c>
      <c r="D322" s="2">
        <v>52819.4</v>
      </c>
      <c r="E322" s="2">
        <v>51327.5</v>
      </c>
      <c r="F322" s="2" t="s">
        <v>289</v>
      </c>
      <c r="G322" s="2">
        <v>2.3E-3</v>
      </c>
    </row>
    <row r="323" spans="1:7" x14ac:dyDescent="0.2">
      <c r="A323" s="5">
        <v>45336</v>
      </c>
      <c r="B323" s="3">
        <v>51782.400000000001</v>
      </c>
      <c r="C323" s="3">
        <v>49708.6</v>
      </c>
      <c r="D323" s="3">
        <v>52010.7</v>
      </c>
      <c r="E323" s="3">
        <v>49263.8</v>
      </c>
      <c r="F323" s="3" t="s">
        <v>290</v>
      </c>
      <c r="G323" s="3">
        <v>4.1599999999999998E-2</v>
      </c>
    </row>
    <row r="324" spans="1:7" x14ac:dyDescent="0.2">
      <c r="A324" s="4">
        <v>45335</v>
      </c>
      <c r="B324" s="2">
        <v>49716</v>
      </c>
      <c r="C324" s="2">
        <v>49941</v>
      </c>
      <c r="D324" s="2">
        <v>50326.6</v>
      </c>
      <c r="E324" s="2">
        <v>48398.3</v>
      </c>
      <c r="F324" s="2" t="s">
        <v>291</v>
      </c>
      <c r="G324" s="2">
        <v>-4.4999999999999997E-3</v>
      </c>
    </row>
    <row r="325" spans="1:7" x14ac:dyDescent="0.2">
      <c r="A325" s="5">
        <v>45334</v>
      </c>
      <c r="B325" s="3">
        <v>49941.3</v>
      </c>
      <c r="C325" s="3">
        <v>48280.2</v>
      </c>
      <c r="D325" s="3">
        <v>50277.3</v>
      </c>
      <c r="E325" s="3">
        <v>47729.9</v>
      </c>
      <c r="F325" s="3" t="s">
        <v>292</v>
      </c>
      <c r="G325" s="3">
        <v>3.4500000000000003E-2</v>
      </c>
    </row>
    <row r="326" spans="1:7" x14ac:dyDescent="0.2">
      <c r="A326" s="4">
        <v>45333</v>
      </c>
      <c r="B326" s="2">
        <v>48277.3</v>
      </c>
      <c r="C326" s="2">
        <v>47759.3</v>
      </c>
      <c r="D326" s="2">
        <v>48531.6</v>
      </c>
      <c r="E326" s="2">
        <v>47590.2</v>
      </c>
      <c r="F326" s="2" t="s">
        <v>293</v>
      </c>
      <c r="G326" s="2">
        <v>1.09E-2</v>
      </c>
    </row>
    <row r="327" spans="1:7" x14ac:dyDescent="0.2">
      <c r="A327" s="5">
        <v>45332</v>
      </c>
      <c r="B327" s="3">
        <v>47758.2</v>
      </c>
      <c r="C327" s="3">
        <v>47128</v>
      </c>
      <c r="D327" s="3">
        <v>48149</v>
      </c>
      <c r="E327" s="3">
        <v>46875</v>
      </c>
      <c r="F327" s="3" t="s">
        <v>294</v>
      </c>
      <c r="G327" s="3">
        <v>1.34E-2</v>
      </c>
    </row>
    <row r="328" spans="1:7" x14ac:dyDescent="0.2">
      <c r="A328" s="4">
        <v>45331</v>
      </c>
      <c r="B328" s="2">
        <v>47127.5</v>
      </c>
      <c r="C328" s="2">
        <v>45293.3</v>
      </c>
      <c r="D328" s="2">
        <v>48118.8</v>
      </c>
      <c r="E328" s="2">
        <v>45254.2</v>
      </c>
      <c r="F328" s="2" t="s">
        <v>295</v>
      </c>
      <c r="G328" s="2">
        <v>4.0500000000000001E-2</v>
      </c>
    </row>
    <row r="329" spans="1:7" x14ac:dyDescent="0.2">
      <c r="A329" s="5">
        <v>45330</v>
      </c>
      <c r="B329" s="3">
        <v>45293.3</v>
      </c>
      <c r="C329" s="3">
        <v>44346.2</v>
      </c>
      <c r="D329" s="3">
        <v>45579.199999999997</v>
      </c>
      <c r="E329" s="3">
        <v>44336.4</v>
      </c>
      <c r="F329" s="3" t="s">
        <v>296</v>
      </c>
      <c r="G329" s="3">
        <v>2.1499999999999998E-2</v>
      </c>
    </row>
    <row r="330" spans="1:7" x14ac:dyDescent="0.2">
      <c r="A330" s="4">
        <v>45329</v>
      </c>
      <c r="B330" s="2">
        <v>44339.8</v>
      </c>
      <c r="C330" s="2">
        <v>43088.4</v>
      </c>
      <c r="D330" s="2">
        <v>44367.9</v>
      </c>
      <c r="E330" s="2">
        <v>42783.5</v>
      </c>
      <c r="F330" s="2" t="s">
        <v>297</v>
      </c>
      <c r="G330" s="2">
        <v>2.9100000000000001E-2</v>
      </c>
    </row>
    <row r="331" spans="1:7" x14ac:dyDescent="0.2">
      <c r="A331" s="5">
        <v>45328</v>
      </c>
      <c r="B331" s="3">
        <v>43087.7</v>
      </c>
      <c r="C331" s="3">
        <v>42697.599999999999</v>
      </c>
      <c r="D331" s="3">
        <v>43375.5</v>
      </c>
      <c r="E331" s="3">
        <v>42566.8</v>
      </c>
      <c r="F331" s="3" t="s">
        <v>298</v>
      </c>
      <c r="G331" s="3">
        <v>9.1000000000000004E-3</v>
      </c>
    </row>
    <row r="332" spans="1:7" x14ac:dyDescent="0.2">
      <c r="A332" s="4">
        <v>45327</v>
      </c>
      <c r="B332" s="2">
        <v>42697.2</v>
      </c>
      <c r="C332" s="2">
        <v>42581.4</v>
      </c>
      <c r="D332" s="2">
        <v>43532.2</v>
      </c>
      <c r="E332" s="2">
        <v>42272.5</v>
      </c>
      <c r="F332" s="2" t="s">
        <v>299</v>
      </c>
      <c r="G332" s="2">
        <v>2.7000000000000001E-3</v>
      </c>
    </row>
    <row r="333" spans="1:7" x14ac:dyDescent="0.2">
      <c r="A333" s="5">
        <v>45326</v>
      </c>
      <c r="B333" s="3">
        <v>42581.4</v>
      </c>
      <c r="C333" s="3">
        <v>43006.2</v>
      </c>
      <c r="D333" s="3">
        <v>43113.2</v>
      </c>
      <c r="E333" s="3">
        <v>42379.4</v>
      </c>
      <c r="F333" s="3" t="s">
        <v>300</v>
      </c>
      <c r="G333" s="3">
        <v>-9.9000000000000008E-3</v>
      </c>
    </row>
    <row r="334" spans="1:7" x14ac:dyDescent="0.2">
      <c r="A334" s="4">
        <v>45325</v>
      </c>
      <c r="B334" s="2">
        <v>43005.7</v>
      </c>
      <c r="C334" s="2">
        <v>43194.7</v>
      </c>
      <c r="D334" s="2">
        <v>43370.400000000001</v>
      </c>
      <c r="E334" s="2">
        <v>42882</v>
      </c>
      <c r="F334" s="2" t="s">
        <v>301</v>
      </c>
      <c r="G334" s="2">
        <v>-4.4000000000000003E-3</v>
      </c>
    </row>
    <row r="335" spans="1:7" x14ac:dyDescent="0.2">
      <c r="A335" s="5">
        <v>45324</v>
      </c>
      <c r="B335" s="3">
        <v>43194.7</v>
      </c>
      <c r="C335" s="3">
        <v>43083.7</v>
      </c>
      <c r="D335" s="3">
        <v>43459.3</v>
      </c>
      <c r="E335" s="3">
        <v>42596.3</v>
      </c>
      <c r="F335" s="3" t="s">
        <v>302</v>
      </c>
      <c r="G335" s="3">
        <v>2.5999999999999999E-3</v>
      </c>
    </row>
    <row r="336" spans="1:7" x14ac:dyDescent="0.2">
      <c r="A336" s="4">
        <v>45323</v>
      </c>
      <c r="B336" s="2">
        <v>43081.4</v>
      </c>
      <c r="C336" s="2">
        <v>42580.1</v>
      </c>
      <c r="D336" s="2">
        <v>43263.1</v>
      </c>
      <c r="E336" s="2">
        <v>41890.5</v>
      </c>
      <c r="F336" s="2" t="s">
        <v>303</v>
      </c>
      <c r="G336" s="2">
        <v>1.18E-2</v>
      </c>
    </row>
    <row r="337" spans="1:7" x14ac:dyDescent="0.2">
      <c r="A337" s="5">
        <v>45322</v>
      </c>
      <c r="B337" s="3">
        <v>42580.5</v>
      </c>
      <c r="C337" s="3">
        <v>42946.2</v>
      </c>
      <c r="D337" s="3">
        <v>43739.7</v>
      </c>
      <c r="E337" s="3">
        <v>42315.4</v>
      </c>
      <c r="F337" s="3" t="s">
        <v>304</v>
      </c>
      <c r="G337" s="3">
        <v>-8.5000000000000006E-3</v>
      </c>
    </row>
    <row r="338" spans="1:7" x14ac:dyDescent="0.2">
      <c r="A338" s="4">
        <v>45321</v>
      </c>
      <c r="B338" s="2">
        <v>42946.2</v>
      </c>
      <c r="C338" s="2">
        <v>43303.3</v>
      </c>
      <c r="D338" s="2">
        <v>43817.9</v>
      </c>
      <c r="E338" s="2">
        <v>42702.9</v>
      </c>
      <c r="F338" s="2" t="s">
        <v>305</v>
      </c>
      <c r="G338" s="2">
        <v>-8.2000000000000007E-3</v>
      </c>
    </row>
    <row r="339" spans="1:7" x14ac:dyDescent="0.2">
      <c r="A339" s="5">
        <v>45320</v>
      </c>
      <c r="B339" s="3">
        <v>43299.8</v>
      </c>
      <c r="C339" s="3">
        <v>42031.4</v>
      </c>
      <c r="D339" s="3">
        <v>43305.599999999999</v>
      </c>
      <c r="E339" s="3">
        <v>41824.699999999997</v>
      </c>
      <c r="F339" s="3" t="s">
        <v>306</v>
      </c>
      <c r="G339" s="3">
        <v>3.0200000000000001E-2</v>
      </c>
    </row>
    <row r="340" spans="1:7" x14ac:dyDescent="0.2">
      <c r="A340" s="4">
        <v>45319</v>
      </c>
      <c r="B340" s="2">
        <v>42030.7</v>
      </c>
      <c r="C340" s="2">
        <v>42121.3</v>
      </c>
      <c r="D340" s="2">
        <v>42817.1</v>
      </c>
      <c r="E340" s="2">
        <v>41649</v>
      </c>
      <c r="F340" s="2" t="s">
        <v>307</v>
      </c>
      <c r="G340" s="2">
        <v>-2.0999999999999999E-3</v>
      </c>
    </row>
    <row r="341" spans="1:7" x14ac:dyDescent="0.2">
      <c r="A341" s="5">
        <v>45318</v>
      </c>
      <c r="B341" s="3">
        <v>42120.9</v>
      </c>
      <c r="C341" s="3">
        <v>41811.5</v>
      </c>
      <c r="D341" s="3">
        <v>42191.8</v>
      </c>
      <c r="E341" s="3">
        <v>41413</v>
      </c>
      <c r="F341" s="3" t="s">
        <v>308</v>
      </c>
      <c r="G341" s="3">
        <v>7.4000000000000003E-3</v>
      </c>
    </row>
    <row r="342" spans="1:7" x14ac:dyDescent="0.2">
      <c r="A342" s="4">
        <v>45317</v>
      </c>
      <c r="B342" s="2">
        <v>41811.300000000003</v>
      </c>
      <c r="C342" s="2">
        <v>39942</v>
      </c>
      <c r="D342" s="2">
        <v>42214.8</v>
      </c>
      <c r="E342" s="2">
        <v>39831.199999999997</v>
      </c>
      <c r="F342" s="2" t="s">
        <v>309</v>
      </c>
      <c r="G342" s="2">
        <v>4.7E-2</v>
      </c>
    </row>
    <row r="343" spans="1:7" x14ac:dyDescent="0.2">
      <c r="A343" s="5">
        <v>45316</v>
      </c>
      <c r="B343" s="3">
        <v>39935.699999999997</v>
      </c>
      <c r="C343" s="3">
        <v>40085.1</v>
      </c>
      <c r="D343" s="3">
        <v>40285.800000000003</v>
      </c>
      <c r="E343" s="3">
        <v>39546.300000000003</v>
      </c>
      <c r="F343" s="3" t="s">
        <v>310</v>
      </c>
      <c r="G343" s="3">
        <v>-3.7000000000000002E-3</v>
      </c>
    </row>
    <row r="344" spans="1:7" x14ac:dyDescent="0.2">
      <c r="A344" s="4">
        <v>45315</v>
      </c>
      <c r="B344" s="2">
        <v>40086</v>
      </c>
      <c r="C344" s="2">
        <v>39891.300000000003</v>
      </c>
      <c r="D344" s="2">
        <v>40535.199999999997</v>
      </c>
      <c r="E344" s="2">
        <v>39510</v>
      </c>
      <c r="F344" s="2" t="s">
        <v>311</v>
      </c>
      <c r="G344" s="2">
        <v>4.8999999999999998E-3</v>
      </c>
    </row>
    <row r="345" spans="1:7" x14ac:dyDescent="0.2">
      <c r="A345" s="5">
        <v>45314</v>
      </c>
      <c r="B345" s="3">
        <v>39888.800000000003</v>
      </c>
      <c r="C345" s="3">
        <v>39555</v>
      </c>
      <c r="D345" s="3">
        <v>40159.4</v>
      </c>
      <c r="E345" s="3">
        <v>38546.9</v>
      </c>
      <c r="F345" s="3" t="s">
        <v>312</v>
      </c>
      <c r="G345" s="3">
        <v>8.3999999999999995E-3</v>
      </c>
    </row>
    <row r="346" spans="1:7" x14ac:dyDescent="0.2">
      <c r="A346" s="4">
        <v>45313</v>
      </c>
      <c r="B346" s="2">
        <v>39556.400000000001</v>
      </c>
      <c r="C346" s="2">
        <v>41581.699999999997</v>
      </c>
      <c r="D346" s="2">
        <v>41684.9</v>
      </c>
      <c r="E346" s="2">
        <v>39468.400000000001</v>
      </c>
      <c r="F346" s="2" t="s">
        <v>313</v>
      </c>
      <c r="G346" s="2">
        <v>-4.87E-2</v>
      </c>
    </row>
    <row r="347" spans="1:7" x14ac:dyDescent="0.2">
      <c r="A347" s="5">
        <v>45312</v>
      </c>
      <c r="B347" s="3">
        <v>41583.199999999997</v>
      </c>
      <c r="C347" s="3">
        <v>41695.4</v>
      </c>
      <c r="D347" s="3">
        <v>41878</v>
      </c>
      <c r="E347" s="3">
        <v>41504.5</v>
      </c>
      <c r="F347" s="3" t="s">
        <v>314</v>
      </c>
      <c r="G347" s="3">
        <v>-2.7000000000000001E-3</v>
      </c>
    </row>
    <row r="348" spans="1:7" x14ac:dyDescent="0.2">
      <c r="A348" s="4">
        <v>45311</v>
      </c>
      <c r="B348" s="2">
        <v>41695.4</v>
      </c>
      <c r="C348" s="2">
        <v>41647.599999999999</v>
      </c>
      <c r="D348" s="2">
        <v>41858</v>
      </c>
      <c r="E348" s="2">
        <v>41449.5</v>
      </c>
      <c r="F348" s="2" t="s">
        <v>315</v>
      </c>
      <c r="G348" s="2">
        <v>1.1000000000000001E-3</v>
      </c>
    </row>
    <row r="349" spans="1:7" x14ac:dyDescent="0.2">
      <c r="A349" s="5">
        <v>45310</v>
      </c>
      <c r="B349" s="3">
        <v>41648</v>
      </c>
      <c r="C349" s="3">
        <v>41293.800000000003</v>
      </c>
      <c r="D349" s="3">
        <v>42164.6</v>
      </c>
      <c r="E349" s="3">
        <v>40305.4</v>
      </c>
      <c r="F349" s="3" t="s">
        <v>316</v>
      </c>
      <c r="G349" s="3">
        <v>8.6E-3</v>
      </c>
    </row>
    <row r="350" spans="1:7" x14ac:dyDescent="0.2">
      <c r="A350" s="4">
        <v>45309</v>
      </c>
      <c r="B350" s="2">
        <v>41292.699999999997</v>
      </c>
      <c r="C350" s="2">
        <v>42763.5</v>
      </c>
      <c r="D350" s="2">
        <v>42908</v>
      </c>
      <c r="E350" s="2">
        <v>40682.6</v>
      </c>
      <c r="F350" s="2" t="s">
        <v>317</v>
      </c>
      <c r="G350" s="2">
        <v>-3.4500000000000003E-2</v>
      </c>
    </row>
    <row r="351" spans="1:7" x14ac:dyDescent="0.2">
      <c r="A351" s="5">
        <v>45308</v>
      </c>
      <c r="B351" s="3">
        <v>42768.7</v>
      </c>
      <c r="C351" s="3">
        <v>43139.1</v>
      </c>
      <c r="D351" s="3">
        <v>43192.3</v>
      </c>
      <c r="E351" s="3">
        <v>42211.8</v>
      </c>
      <c r="F351" s="3" t="s">
        <v>318</v>
      </c>
      <c r="G351" s="3">
        <v>-8.6999999999999994E-3</v>
      </c>
    </row>
    <row r="352" spans="1:7" x14ac:dyDescent="0.2">
      <c r="A352" s="4">
        <v>45307</v>
      </c>
      <c r="B352" s="2">
        <v>43145.5</v>
      </c>
      <c r="C352" s="2">
        <v>42515.199999999997</v>
      </c>
      <c r="D352" s="2">
        <v>43563.7</v>
      </c>
      <c r="E352" s="2">
        <v>42093.1</v>
      </c>
      <c r="F352" s="2" t="s">
        <v>319</v>
      </c>
      <c r="G352" s="2">
        <v>1.49E-2</v>
      </c>
    </row>
    <row r="353" spans="1:7" x14ac:dyDescent="0.2">
      <c r="A353" s="5">
        <v>45306</v>
      </c>
      <c r="B353" s="3">
        <v>42510.7</v>
      </c>
      <c r="C353" s="3">
        <v>41747.599999999999</v>
      </c>
      <c r="D353" s="3">
        <v>43348.9</v>
      </c>
      <c r="E353" s="3">
        <v>41719.199999999997</v>
      </c>
      <c r="F353" s="3" t="s">
        <v>320</v>
      </c>
      <c r="G353" s="3">
        <v>1.83E-2</v>
      </c>
    </row>
    <row r="354" spans="1:7" x14ac:dyDescent="0.2">
      <c r="A354" s="4">
        <v>45305</v>
      </c>
      <c r="B354" s="2">
        <v>41746.1</v>
      </c>
      <c r="C354" s="2">
        <v>42851.3</v>
      </c>
      <c r="D354" s="2">
        <v>43069.4</v>
      </c>
      <c r="E354" s="2">
        <v>41739.599999999999</v>
      </c>
      <c r="F354" s="2" t="s">
        <v>321</v>
      </c>
      <c r="G354" s="2">
        <v>-2.58E-2</v>
      </c>
    </row>
    <row r="355" spans="1:7" x14ac:dyDescent="0.2">
      <c r="A355" s="5">
        <v>45304</v>
      </c>
      <c r="B355" s="3">
        <v>42851.3</v>
      </c>
      <c r="C355" s="3">
        <v>42836.7</v>
      </c>
      <c r="D355" s="3">
        <v>43248.6</v>
      </c>
      <c r="E355" s="3">
        <v>42443.3</v>
      </c>
      <c r="F355" s="3" t="s">
        <v>322</v>
      </c>
      <c r="G355" s="3">
        <v>4.0000000000000002E-4</v>
      </c>
    </row>
    <row r="356" spans="1:7" x14ac:dyDescent="0.2">
      <c r="A356" s="4">
        <v>45303</v>
      </c>
      <c r="B356" s="2">
        <v>42835.9</v>
      </c>
      <c r="C356" s="2">
        <v>46348.1</v>
      </c>
      <c r="D356" s="2">
        <v>46503.199999999997</v>
      </c>
      <c r="E356" s="2">
        <v>41857.9</v>
      </c>
      <c r="F356" s="2" t="s">
        <v>323</v>
      </c>
      <c r="G356" s="2">
        <v>-7.5800000000000006E-2</v>
      </c>
    </row>
    <row r="357" spans="1:7" x14ac:dyDescent="0.2">
      <c r="A357" s="5">
        <v>45302</v>
      </c>
      <c r="B357" s="3">
        <v>46348.2</v>
      </c>
      <c r="C357" s="3">
        <v>46629.3</v>
      </c>
      <c r="D357" s="3">
        <v>48923.7</v>
      </c>
      <c r="E357" s="3">
        <v>45651.8</v>
      </c>
      <c r="F357" s="3" t="s">
        <v>324</v>
      </c>
      <c r="G357" s="3">
        <v>-6.0000000000000001E-3</v>
      </c>
    </row>
    <row r="358" spans="1:7" x14ac:dyDescent="0.2">
      <c r="A358" s="4">
        <v>45301</v>
      </c>
      <c r="B358" s="2">
        <v>46629.3</v>
      </c>
      <c r="C358" s="2">
        <v>46112</v>
      </c>
      <c r="D358" s="2">
        <v>47654.3</v>
      </c>
      <c r="E358" s="2">
        <v>44403.6</v>
      </c>
      <c r="F358" s="2" t="s">
        <v>325</v>
      </c>
      <c r="G358" s="2">
        <v>1.0800000000000001E-2</v>
      </c>
    </row>
    <row r="359" spans="1:7" x14ac:dyDescent="0.2">
      <c r="A359" s="5">
        <v>45300</v>
      </c>
      <c r="B359" s="3">
        <v>46129</v>
      </c>
      <c r="C359" s="3">
        <v>46959.199999999997</v>
      </c>
      <c r="D359" s="3">
        <v>47880.1</v>
      </c>
      <c r="E359" s="3">
        <v>45333.9</v>
      </c>
      <c r="F359" s="3" t="s">
        <v>326</v>
      </c>
      <c r="G359" s="3">
        <v>-1.77E-2</v>
      </c>
    </row>
    <row r="360" spans="1:7" x14ac:dyDescent="0.2">
      <c r="A360" s="4">
        <v>45299</v>
      </c>
      <c r="B360" s="2">
        <v>46962.2</v>
      </c>
      <c r="C360" s="2">
        <v>43934.2</v>
      </c>
      <c r="D360" s="2">
        <v>47196.7</v>
      </c>
      <c r="E360" s="2">
        <v>43251</v>
      </c>
      <c r="F360" s="2" t="s">
        <v>327</v>
      </c>
      <c r="G360" s="2">
        <v>6.9099999999999995E-2</v>
      </c>
    </row>
    <row r="361" spans="1:7" x14ac:dyDescent="0.2">
      <c r="A361" s="5">
        <v>45298</v>
      </c>
      <c r="B361" s="3">
        <v>43927.3</v>
      </c>
      <c r="C361" s="3">
        <v>43973.5</v>
      </c>
      <c r="D361" s="3">
        <v>44481.2</v>
      </c>
      <c r="E361" s="3">
        <v>43627.9</v>
      </c>
      <c r="F361" s="3" t="s">
        <v>328</v>
      </c>
      <c r="G361" s="3">
        <v>-8.9999999999999998E-4</v>
      </c>
    </row>
    <row r="362" spans="1:7" x14ac:dyDescent="0.2">
      <c r="A362" s="4">
        <v>45297</v>
      </c>
      <c r="B362" s="2">
        <v>43967.9</v>
      </c>
      <c r="C362" s="2">
        <v>44156.6</v>
      </c>
      <c r="D362" s="2">
        <v>44203.199999999997</v>
      </c>
      <c r="E362" s="2">
        <v>43424</v>
      </c>
      <c r="F362" s="2" t="s">
        <v>329</v>
      </c>
      <c r="G362" s="2">
        <v>-4.3E-3</v>
      </c>
    </row>
    <row r="363" spans="1:7" x14ac:dyDescent="0.2">
      <c r="A363" s="5">
        <v>45296</v>
      </c>
      <c r="B363" s="3">
        <v>44156.9</v>
      </c>
      <c r="C363" s="3">
        <v>44163</v>
      </c>
      <c r="D363" s="3">
        <v>44312.1</v>
      </c>
      <c r="E363" s="3">
        <v>42629</v>
      </c>
      <c r="F363" s="3" t="s">
        <v>330</v>
      </c>
      <c r="G363" s="3">
        <v>0</v>
      </c>
    </row>
    <row r="364" spans="1:7" x14ac:dyDescent="0.2">
      <c r="A364" s="4">
        <v>45295</v>
      </c>
      <c r="B364" s="2">
        <v>44157</v>
      </c>
      <c r="C364" s="2">
        <v>42836.1</v>
      </c>
      <c r="D364" s="2">
        <v>44744.5</v>
      </c>
      <c r="E364" s="2">
        <v>42632.800000000003</v>
      </c>
      <c r="F364" s="2" t="s">
        <v>331</v>
      </c>
      <c r="G364" s="2">
        <v>3.0800000000000001E-2</v>
      </c>
    </row>
    <row r="365" spans="1:7" x14ac:dyDescent="0.2">
      <c r="A365" s="5">
        <v>45294</v>
      </c>
      <c r="B365" s="3">
        <v>42836.1</v>
      </c>
      <c r="C365" s="3">
        <v>44943.7</v>
      </c>
      <c r="D365" s="3">
        <v>45492.7</v>
      </c>
      <c r="E365" s="3">
        <v>40888.300000000003</v>
      </c>
      <c r="F365" s="3" t="s">
        <v>332</v>
      </c>
      <c r="G365" s="3">
        <v>-4.6899999999999997E-2</v>
      </c>
    </row>
    <row r="366" spans="1:7" x14ac:dyDescent="0.2">
      <c r="A366" s="4">
        <v>45293</v>
      </c>
      <c r="B366" s="2">
        <v>44943.7</v>
      </c>
      <c r="C366" s="2">
        <v>44182.9</v>
      </c>
      <c r="D366" s="2">
        <v>45885.4</v>
      </c>
      <c r="E366" s="2">
        <v>44166</v>
      </c>
      <c r="F366" s="2" t="s">
        <v>333</v>
      </c>
      <c r="G366" s="2">
        <v>1.72E-2</v>
      </c>
    </row>
    <row r="367" spans="1:7" x14ac:dyDescent="0.2">
      <c r="A367" s="5">
        <v>45292</v>
      </c>
      <c r="B367" s="3">
        <v>44183.4</v>
      </c>
      <c r="C367" s="3">
        <v>42272.5</v>
      </c>
      <c r="D367" s="3">
        <v>44187</v>
      </c>
      <c r="E367" s="3">
        <v>42196.7</v>
      </c>
      <c r="F367" s="3" t="s">
        <v>334</v>
      </c>
      <c r="G367" s="3">
        <v>4.5199999999999997E-2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F8F4-A4B3-1643-B6E5-5AB2F75F91E2}">
  <dimension ref="A1:B367"/>
  <sheetViews>
    <sheetView zoomScale="150" zoomScaleNormal="150" workbookViewId="0">
      <selection activeCell="D346" sqref="D346"/>
    </sheetView>
  </sheetViews>
  <sheetFormatPr baseColWidth="10" defaultRowHeight="16" x14ac:dyDescent="0.2"/>
  <sheetData>
    <row r="1" spans="1:2" x14ac:dyDescent="0.2">
      <c r="A1" s="10" t="s">
        <v>0</v>
      </c>
      <c r="B1" s="10" t="s">
        <v>1</v>
      </c>
    </row>
    <row r="2" spans="1:2" x14ac:dyDescent="0.2">
      <c r="A2" s="5">
        <v>45657</v>
      </c>
      <c r="B2" s="3">
        <v>93557.2</v>
      </c>
    </row>
    <row r="3" spans="1:2" x14ac:dyDescent="0.2">
      <c r="A3" s="4">
        <v>45656</v>
      </c>
      <c r="B3" s="2">
        <v>92779.8</v>
      </c>
    </row>
    <row r="4" spans="1:2" x14ac:dyDescent="0.2">
      <c r="A4" s="5">
        <v>45655</v>
      </c>
      <c r="B4" s="3">
        <v>93716.3</v>
      </c>
    </row>
    <row r="5" spans="1:2" x14ac:dyDescent="0.2">
      <c r="A5" s="4">
        <v>45654</v>
      </c>
      <c r="B5" s="2">
        <v>95284.5</v>
      </c>
    </row>
    <row r="6" spans="1:2" x14ac:dyDescent="0.2">
      <c r="A6" s="5">
        <v>45653</v>
      </c>
      <c r="B6" s="3">
        <v>94275.9</v>
      </c>
    </row>
    <row r="7" spans="1:2" x14ac:dyDescent="0.2">
      <c r="A7" s="4">
        <v>45652</v>
      </c>
      <c r="B7" s="2">
        <v>95777.7</v>
      </c>
    </row>
    <row r="8" spans="1:2" x14ac:dyDescent="0.2">
      <c r="A8" s="5">
        <v>45651</v>
      </c>
      <c r="B8" s="3">
        <v>99391.3</v>
      </c>
    </row>
    <row r="9" spans="1:2" x14ac:dyDescent="0.2">
      <c r="A9" s="4">
        <v>45650</v>
      </c>
      <c r="B9" s="2">
        <v>98668.1</v>
      </c>
    </row>
    <row r="10" spans="1:2" x14ac:dyDescent="0.2">
      <c r="A10" s="5">
        <v>45649</v>
      </c>
      <c r="B10" s="3">
        <v>94852.1</v>
      </c>
    </row>
    <row r="11" spans="1:2" x14ac:dyDescent="0.2">
      <c r="A11" s="4">
        <v>45648</v>
      </c>
      <c r="B11" s="2">
        <v>95183.8</v>
      </c>
    </row>
    <row r="12" spans="1:2" x14ac:dyDescent="0.2">
      <c r="A12" s="5">
        <v>45647</v>
      </c>
      <c r="B12" s="3">
        <v>97253.3</v>
      </c>
    </row>
    <row r="13" spans="1:2" x14ac:dyDescent="0.2">
      <c r="A13" s="4">
        <v>45646</v>
      </c>
      <c r="B13" s="2">
        <v>97795.7</v>
      </c>
    </row>
    <row r="14" spans="1:2" x14ac:dyDescent="0.2">
      <c r="A14" s="5">
        <v>45645</v>
      </c>
      <c r="B14" s="3">
        <v>97466.1</v>
      </c>
    </row>
    <row r="15" spans="1:2" x14ac:dyDescent="0.2">
      <c r="A15" s="4">
        <v>45644</v>
      </c>
      <c r="B15" s="2">
        <v>100197.8</v>
      </c>
    </row>
    <row r="16" spans="1:2" x14ac:dyDescent="0.2">
      <c r="A16" s="5">
        <v>45643</v>
      </c>
      <c r="B16" s="3">
        <v>106138.9</v>
      </c>
    </row>
    <row r="17" spans="1:2" x14ac:dyDescent="0.2">
      <c r="A17" s="4">
        <v>45642</v>
      </c>
      <c r="B17" s="2">
        <v>106057.60000000001</v>
      </c>
    </row>
    <row r="18" spans="1:2" x14ac:dyDescent="0.2">
      <c r="A18" s="5">
        <v>45641</v>
      </c>
      <c r="B18" s="3">
        <v>104443</v>
      </c>
    </row>
    <row r="19" spans="1:2" x14ac:dyDescent="0.2">
      <c r="A19" s="4">
        <v>45640</v>
      </c>
      <c r="B19" s="2">
        <v>101417.7</v>
      </c>
    </row>
    <row r="20" spans="1:2" x14ac:dyDescent="0.2">
      <c r="A20" s="5">
        <v>45639</v>
      </c>
      <c r="B20" s="3">
        <v>101426.2</v>
      </c>
    </row>
    <row r="21" spans="1:2" x14ac:dyDescent="0.2">
      <c r="A21" s="4">
        <v>45638</v>
      </c>
      <c r="B21" s="2">
        <v>100009.9</v>
      </c>
    </row>
    <row r="22" spans="1:2" x14ac:dyDescent="0.2">
      <c r="A22" s="5">
        <v>45637</v>
      </c>
      <c r="B22" s="3">
        <v>101126.2</v>
      </c>
    </row>
    <row r="23" spans="1:2" x14ac:dyDescent="0.2">
      <c r="A23" s="4">
        <v>45636</v>
      </c>
      <c r="B23" s="2">
        <v>96600.3</v>
      </c>
    </row>
    <row r="24" spans="1:2" x14ac:dyDescent="0.2">
      <c r="A24" s="5">
        <v>45635</v>
      </c>
      <c r="B24" s="3">
        <v>97359.4</v>
      </c>
    </row>
    <row r="25" spans="1:2" x14ac:dyDescent="0.2">
      <c r="A25" s="4">
        <v>45634</v>
      </c>
      <c r="B25" s="2">
        <v>101115.8</v>
      </c>
    </row>
    <row r="26" spans="1:2" x14ac:dyDescent="0.2">
      <c r="A26" s="5">
        <v>45633</v>
      </c>
      <c r="B26" s="3">
        <v>99837</v>
      </c>
    </row>
    <row r="27" spans="1:2" x14ac:dyDescent="0.2">
      <c r="A27" s="4">
        <v>45632</v>
      </c>
      <c r="B27" s="2">
        <v>99760.7</v>
      </c>
    </row>
    <row r="28" spans="1:2" x14ac:dyDescent="0.2">
      <c r="A28" s="5">
        <v>45631</v>
      </c>
      <c r="B28" s="3">
        <v>96970.8</v>
      </c>
    </row>
    <row r="29" spans="1:2" x14ac:dyDescent="0.2">
      <c r="A29" s="4">
        <v>45630</v>
      </c>
      <c r="B29" s="2">
        <v>98635.8</v>
      </c>
    </row>
    <row r="30" spans="1:2" x14ac:dyDescent="0.2">
      <c r="A30" s="5">
        <v>45629</v>
      </c>
      <c r="B30" s="3">
        <v>95898.7</v>
      </c>
    </row>
    <row r="31" spans="1:2" x14ac:dyDescent="0.2">
      <c r="A31" s="4">
        <v>45628</v>
      </c>
      <c r="B31" s="2">
        <v>95846.6</v>
      </c>
    </row>
    <row r="32" spans="1:2" x14ac:dyDescent="0.2">
      <c r="A32" s="5">
        <v>45627</v>
      </c>
      <c r="B32" s="3">
        <v>97201.4</v>
      </c>
    </row>
    <row r="33" spans="1:2" x14ac:dyDescent="0.2">
      <c r="A33" s="4">
        <v>45626</v>
      </c>
      <c r="B33" s="2">
        <v>96405.7</v>
      </c>
    </row>
    <row r="34" spans="1:2" x14ac:dyDescent="0.2">
      <c r="A34" s="5">
        <v>45625</v>
      </c>
      <c r="B34" s="3">
        <v>97438</v>
      </c>
    </row>
    <row r="35" spans="1:2" x14ac:dyDescent="0.2">
      <c r="A35" s="4">
        <v>45624</v>
      </c>
      <c r="B35" s="2">
        <v>95645.5</v>
      </c>
    </row>
    <row r="36" spans="1:2" x14ac:dyDescent="0.2">
      <c r="A36" s="5">
        <v>45623</v>
      </c>
      <c r="B36" s="3">
        <v>95886.6</v>
      </c>
    </row>
    <row r="37" spans="1:2" x14ac:dyDescent="0.2">
      <c r="A37" s="4">
        <v>45622</v>
      </c>
      <c r="B37" s="2">
        <v>91977.600000000006</v>
      </c>
    </row>
    <row r="38" spans="1:2" x14ac:dyDescent="0.2">
      <c r="A38" s="5">
        <v>45621</v>
      </c>
      <c r="B38" s="3">
        <v>93064.4</v>
      </c>
    </row>
    <row r="39" spans="1:2" x14ac:dyDescent="0.2">
      <c r="A39" s="4">
        <v>45620</v>
      </c>
      <c r="B39" s="2">
        <v>97935.2</v>
      </c>
    </row>
    <row r="40" spans="1:2" x14ac:dyDescent="0.2">
      <c r="A40" s="5">
        <v>45619</v>
      </c>
      <c r="B40" s="3">
        <v>97699</v>
      </c>
    </row>
    <row r="41" spans="1:2" x14ac:dyDescent="0.2">
      <c r="A41" s="4">
        <v>45618</v>
      </c>
      <c r="B41" s="2">
        <v>98929.7</v>
      </c>
    </row>
    <row r="42" spans="1:2" x14ac:dyDescent="0.2">
      <c r="A42" s="5">
        <v>45617</v>
      </c>
      <c r="B42" s="3">
        <v>98374.5</v>
      </c>
    </row>
    <row r="43" spans="1:2" x14ac:dyDescent="0.2">
      <c r="A43" s="4">
        <v>45616</v>
      </c>
      <c r="B43" s="2">
        <v>94303.9</v>
      </c>
    </row>
    <row r="44" spans="1:2" x14ac:dyDescent="0.2">
      <c r="A44" s="5">
        <v>45615</v>
      </c>
      <c r="B44" s="3">
        <v>92239.2</v>
      </c>
    </row>
    <row r="45" spans="1:2" x14ac:dyDescent="0.2">
      <c r="A45" s="4">
        <v>45614</v>
      </c>
      <c r="B45" s="2">
        <v>90478.7</v>
      </c>
    </row>
    <row r="46" spans="1:2" x14ac:dyDescent="0.2">
      <c r="A46" s="5">
        <v>45613</v>
      </c>
      <c r="B46" s="3">
        <v>89833.7</v>
      </c>
    </row>
    <row r="47" spans="1:2" x14ac:dyDescent="0.2">
      <c r="A47" s="4">
        <v>45612</v>
      </c>
      <c r="B47" s="2">
        <v>90539.1</v>
      </c>
    </row>
    <row r="48" spans="1:2" x14ac:dyDescent="0.2">
      <c r="A48" s="5">
        <v>45611</v>
      </c>
      <c r="B48" s="3">
        <v>91046.5</v>
      </c>
    </row>
    <row r="49" spans="1:2" x14ac:dyDescent="0.2">
      <c r="A49" s="4">
        <v>45610</v>
      </c>
      <c r="B49" s="2">
        <v>87294</v>
      </c>
    </row>
    <row r="50" spans="1:2" x14ac:dyDescent="0.2">
      <c r="A50" s="5">
        <v>45609</v>
      </c>
      <c r="B50" s="3">
        <v>90422.2</v>
      </c>
    </row>
    <row r="51" spans="1:2" x14ac:dyDescent="0.2">
      <c r="A51" s="4">
        <v>45608</v>
      </c>
      <c r="B51" s="2">
        <v>87941.3</v>
      </c>
    </row>
    <row r="52" spans="1:2" x14ac:dyDescent="0.2">
      <c r="A52" s="5">
        <v>45607</v>
      </c>
      <c r="B52" s="3">
        <v>88664.1</v>
      </c>
    </row>
    <row r="53" spans="1:2" x14ac:dyDescent="0.2">
      <c r="A53" s="4">
        <v>45606</v>
      </c>
      <c r="B53" s="2">
        <v>80388.5</v>
      </c>
    </row>
    <row r="54" spans="1:2" x14ac:dyDescent="0.2">
      <c r="A54" s="5">
        <v>45605</v>
      </c>
      <c r="B54" s="3">
        <v>76700.3</v>
      </c>
    </row>
    <row r="55" spans="1:2" x14ac:dyDescent="0.2">
      <c r="A55" s="4">
        <v>45604</v>
      </c>
      <c r="B55" s="2">
        <v>76517.3</v>
      </c>
    </row>
    <row r="56" spans="1:2" x14ac:dyDescent="0.2">
      <c r="A56" s="5">
        <v>45603</v>
      </c>
      <c r="B56" s="3">
        <v>75868.600000000006</v>
      </c>
    </row>
    <row r="57" spans="1:2" x14ac:dyDescent="0.2">
      <c r="A57" s="4">
        <v>45602</v>
      </c>
      <c r="B57" s="2">
        <v>75586.3</v>
      </c>
    </row>
    <row r="58" spans="1:2" x14ac:dyDescent="0.2">
      <c r="A58" s="5">
        <v>45601</v>
      </c>
      <c r="B58" s="3">
        <v>69373.7</v>
      </c>
    </row>
    <row r="59" spans="1:2" x14ac:dyDescent="0.2">
      <c r="A59" s="4">
        <v>45600</v>
      </c>
      <c r="B59" s="2">
        <v>67848.800000000003</v>
      </c>
    </row>
    <row r="60" spans="1:2" x14ac:dyDescent="0.2">
      <c r="A60" s="5">
        <v>45599</v>
      </c>
      <c r="B60" s="3">
        <v>68769.600000000006</v>
      </c>
    </row>
    <row r="61" spans="1:2" x14ac:dyDescent="0.2">
      <c r="A61" s="4">
        <v>45598</v>
      </c>
      <c r="B61" s="2">
        <v>69325.8</v>
      </c>
    </row>
    <row r="62" spans="1:2" x14ac:dyDescent="0.2">
      <c r="A62" s="5">
        <v>45597</v>
      </c>
      <c r="B62" s="3">
        <v>69507.199999999997</v>
      </c>
    </row>
    <row r="63" spans="1:2" x14ac:dyDescent="0.2">
      <c r="A63" s="4">
        <v>45596</v>
      </c>
      <c r="B63" s="2">
        <v>70281.8</v>
      </c>
    </row>
    <row r="64" spans="1:2" x14ac:dyDescent="0.2">
      <c r="A64" s="5">
        <v>45595</v>
      </c>
      <c r="B64" s="3">
        <v>72347.8</v>
      </c>
    </row>
    <row r="65" spans="1:2" x14ac:dyDescent="0.2">
      <c r="A65" s="4">
        <v>45594</v>
      </c>
      <c r="B65" s="2">
        <v>72730.399999999994</v>
      </c>
    </row>
    <row r="66" spans="1:2" x14ac:dyDescent="0.2">
      <c r="A66" s="5">
        <v>45593</v>
      </c>
      <c r="B66" s="3">
        <v>69954.100000000006</v>
      </c>
    </row>
    <row r="67" spans="1:2" x14ac:dyDescent="0.2">
      <c r="A67" s="5">
        <v>45592</v>
      </c>
      <c r="B67" s="3">
        <v>68004.600000000006</v>
      </c>
    </row>
    <row r="68" spans="1:2" x14ac:dyDescent="0.2">
      <c r="A68" s="4">
        <v>45591</v>
      </c>
      <c r="B68" s="2">
        <v>67086.8</v>
      </c>
    </row>
    <row r="69" spans="1:2" x14ac:dyDescent="0.2">
      <c r="A69" s="5">
        <v>45590</v>
      </c>
      <c r="B69" s="3">
        <v>66696.800000000003</v>
      </c>
    </row>
    <row r="70" spans="1:2" x14ac:dyDescent="0.2">
      <c r="A70" s="4">
        <v>45589</v>
      </c>
      <c r="B70" s="2">
        <v>68191.5</v>
      </c>
    </row>
    <row r="71" spans="1:2" x14ac:dyDescent="0.2">
      <c r="A71" s="5">
        <v>45588</v>
      </c>
      <c r="B71" s="3">
        <v>66663.7</v>
      </c>
    </row>
    <row r="72" spans="1:2" x14ac:dyDescent="0.2">
      <c r="A72" s="4">
        <v>45587</v>
      </c>
      <c r="B72" s="2">
        <v>67427.3</v>
      </c>
    </row>
    <row r="73" spans="1:2" x14ac:dyDescent="0.2">
      <c r="A73" s="5">
        <v>45586</v>
      </c>
      <c r="B73" s="3">
        <v>67371.3</v>
      </c>
    </row>
    <row r="74" spans="1:2" x14ac:dyDescent="0.2">
      <c r="A74" s="4">
        <v>45585</v>
      </c>
      <c r="B74" s="2">
        <v>69030.5</v>
      </c>
    </row>
    <row r="75" spans="1:2" x14ac:dyDescent="0.2">
      <c r="A75" s="5">
        <v>45584</v>
      </c>
      <c r="B75" s="3">
        <v>68372</v>
      </c>
    </row>
    <row r="76" spans="1:2" x14ac:dyDescent="0.2">
      <c r="A76" s="4">
        <v>45583</v>
      </c>
      <c r="B76" s="2">
        <v>68423.100000000006</v>
      </c>
    </row>
    <row r="77" spans="1:2" x14ac:dyDescent="0.2">
      <c r="A77" s="5">
        <v>45582</v>
      </c>
      <c r="B77" s="3">
        <v>67418.399999999994</v>
      </c>
    </row>
    <row r="78" spans="1:2" x14ac:dyDescent="0.2">
      <c r="A78" s="4">
        <v>45581</v>
      </c>
      <c r="B78" s="2">
        <v>67617.899999999994</v>
      </c>
    </row>
    <row r="79" spans="1:2" x14ac:dyDescent="0.2">
      <c r="A79" s="5">
        <v>45580</v>
      </c>
      <c r="B79" s="3">
        <v>67077.5</v>
      </c>
    </row>
    <row r="80" spans="1:2" x14ac:dyDescent="0.2">
      <c r="A80" s="4">
        <v>45579</v>
      </c>
      <c r="B80" s="2">
        <v>66081.7</v>
      </c>
    </row>
    <row r="81" spans="1:2" x14ac:dyDescent="0.2">
      <c r="A81" s="5">
        <v>45578</v>
      </c>
      <c r="B81" s="3">
        <v>62870.9</v>
      </c>
    </row>
    <row r="82" spans="1:2" x14ac:dyDescent="0.2">
      <c r="A82" s="4">
        <v>45577</v>
      </c>
      <c r="B82" s="2">
        <v>63205.1</v>
      </c>
    </row>
    <row r="83" spans="1:2" x14ac:dyDescent="0.2">
      <c r="A83" s="5">
        <v>45576</v>
      </c>
      <c r="B83" s="3">
        <v>62499.4</v>
      </c>
    </row>
    <row r="84" spans="1:2" x14ac:dyDescent="0.2">
      <c r="A84" s="4">
        <v>45575</v>
      </c>
      <c r="B84" s="2">
        <v>60316.2</v>
      </c>
    </row>
    <row r="85" spans="1:2" x14ac:dyDescent="0.2">
      <c r="A85" s="5">
        <v>45574</v>
      </c>
      <c r="B85" s="3">
        <v>60628.800000000003</v>
      </c>
    </row>
    <row r="86" spans="1:2" x14ac:dyDescent="0.2">
      <c r="A86" s="4">
        <v>45573</v>
      </c>
      <c r="B86" s="2">
        <v>62157</v>
      </c>
    </row>
    <row r="87" spans="1:2" x14ac:dyDescent="0.2">
      <c r="A87" s="5">
        <v>45572</v>
      </c>
      <c r="B87" s="3">
        <v>62245.599999999999</v>
      </c>
    </row>
    <row r="88" spans="1:2" x14ac:dyDescent="0.2">
      <c r="A88" s="4">
        <v>45571</v>
      </c>
      <c r="B88" s="2">
        <v>62819.4</v>
      </c>
    </row>
    <row r="89" spans="1:2" x14ac:dyDescent="0.2">
      <c r="A89" s="5">
        <v>45570</v>
      </c>
      <c r="B89" s="3">
        <v>62061.4</v>
      </c>
    </row>
    <row r="90" spans="1:2" x14ac:dyDescent="0.2">
      <c r="A90" s="4">
        <v>45569</v>
      </c>
      <c r="B90" s="2">
        <v>62081</v>
      </c>
    </row>
    <row r="91" spans="1:2" x14ac:dyDescent="0.2">
      <c r="A91" s="5">
        <v>45568</v>
      </c>
      <c r="B91" s="3">
        <v>60751.199999999997</v>
      </c>
    </row>
    <row r="92" spans="1:2" x14ac:dyDescent="0.2">
      <c r="A92" s="4">
        <v>45567</v>
      </c>
      <c r="B92" s="2">
        <v>60645.7</v>
      </c>
    </row>
    <row r="93" spans="1:2" x14ac:dyDescent="0.2">
      <c r="A93" s="5">
        <v>45566</v>
      </c>
      <c r="B93" s="3">
        <v>60835.5</v>
      </c>
    </row>
    <row r="94" spans="1:2" x14ac:dyDescent="0.2">
      <c r="A94" s="4">
        <v>45565</v>
      </c>
      <c r="B94" s="2">
        <v>63339.199999999997</v>
      </c>
    </row>
    <row r="95" spans="1:2" x14ac:dyDescent="0.2">
      <c r="A95" s="5">
        <v>45564</v>
      </c>
      <c r="B95" s="3">
        <v>65607.100000000006</v>
      </c>
    </row>
    <row r="96" spans="1:2" x14ac:dyDescent="0.2">
      <c r="A96" s="4">
        <v>45563</v>
      </c>
      <c r="B96" s="2">
        <v>65866.5</v>
      </c>
    </row>
    <row r="97" spans="1:2" x14ac:dyDescent="0.2">
      <c r="A97" s="5">
        <v>45562</v>
      </c>
      <c r="B97" s="3">
        <v>65776.3</v>
      </c>
    </row>
    <row r="98" spans="1:2" x14ac:dyDescent="0.2">
      <c r="A98" s="4">
        <v>45561</v>
      </c>
      <c r="B98" s="2">
        <v>65175.7</v>
      </c>
    </row>
    <row r="99" spans="1:2" x14ac:dyDescent="0.2">
      <c r="A99" s="5">
        <v>45560</v>
      </c>
      <c r="B99" s="3">
        <v>63156.5</v>
      </c>
    </row>
    <row r="100" spans="1:2" x14ac:dyDescent="0.2">
      <c r="A100" s="4">
        <v>45559</v>
      </c>
      <c r="B100" s="2">
        <v>64256.800000000003</v>
      </c>
    </row>
    <row r="101" spans="1:2" x14ac:dyDescent="0.2">
      <c r="A101" s="5">
        <v>45558</v>
      </c>
      <c r="B101" s="3">
        <v>63331.8</v>
      </c>
    </row>
    <row r="102" spans="1:2" x14ac:dyDescent="0.2">
      <c r="A102" s="4">
        <v>45557</v>
      </c>
      <c r="B102" s="2">
        <v>63572.7</v>
      </c>
    </row>
    <row r="103" spans="1:2" x14ac:dyDescent="0.2">
      <c r="A103" s="5">
        <v>45556</v>
      </c>
      <c r="B103" s="3">
        <v>63348.1</v>
      </c>
    </row>
    <row r="104" spans="1:2" x14ac:dyDescent="0.2">
      <c r="A104" s="4">
        <v>45555</v>
      </c>
      <c r="B104" s="2">
        <v>63201.2</v>
      </c>
    </row>
    <row r="105" spans="1:2" x14ac:dyDescent="0.2">
      <c r="A105" s="5">
        <v>45554</v>
      </c>
      <c r="B105" s="3">
        <v>62938.6</v>
      </c>
    </row>
    <row r="106" spans="1:2" x14ac:dyDescent="0.2">
      <c r="A106" s="4">
        <v>45553</v>
      </c>
      <c r="B106" s="2">
        <v>61757.599999999999</v>
      </c>
    </row>
    <row r="107" spans="1:2" x14ac:dyDescent="0.2">
      <c r="A107" s="5">
        <v>45552</v>
      </c>
      <c r="B107" s="3">
        <v>60309.1</v>
      </c>
    </row>
    <row r="108" spans="1:2" x14ac:dyDescent="0.2">
      <c r="A108" s="4">
        <v>45551</v>
      </c>
      <c r="B108" s="2">
        <v>58213.1</v>
      </c>
    </row>
    <row r="109" spans="1:2" x14ac:dyDescent="0.2">
      <c r="A109" s="5">
        <v>45550</v>
      </c>
      <c r="B109" s="3">
        <v>59138.5</v>
      </c>
    </row>
    <row r="110" spans="1:2" x14ac:dyDescent="0.2">
      <c r="A110" s="4">
        <v>45549</v>
      </c>
      <c r="B110" s="2">
        <v>59995.4</v>
      </c>
    </row>
    <row r="111" spans="1:2" x14ac:dyDescent="0.2">
      <c r="A111" s="5">
        <v>45548</v>
      </c>
      <c r="B111" s="3">
        <v>60511.6</v>
      </c>
    </row>
    <row r="112" spans="1:2" x14ac:dyDescent="0.2">
      <c r="A112" s="4">
        <v>45547</v>
      </c>
      <c r="B112" s="2">
        <v>58134.5</v>
      </c>
    </row>
    <row r="113" spans="1:2" x14ac:dyDescent="0.2">
      <c r="A113" s="5">
        <v>45546</v>
      </c>
      <c r="B113" s="3">
        <v>57338.7</v>
      </c>
    </row>
    <row r="114" spans="1:2" x14ac:dyDescent="0.2">
      <c r="A114" s="4">
        <v>45545</v>
      </c>
      <c r="B114" s="2">
        <v>57635</v>
      </c>
    </row>
    <row r="115" spans="1:2" x14ac:dyDescent="0.2">
      <c r="A115" s="5">
        <v>45544</v>
      </c>
      <c r="B115" s="3">
        <v>57049.599999999999</v>
      </c>
    </row>
    <row r="116" spans="1:2" x14ac:dyDescent="0.2">
      <c r="A116" s="4">
        <v>45543</v>
      </c>
      <c r="B116" s="2">
        <v>54861.3</v>
      </c>
    </row>
    <row r="117" spans="1:2" x14ac:dyDescent="0.2">
      <c r="A117" s="5">
        <v>45542</v>
      </c>
      <c r="B117" s="3">
        <v>54156.5</v>
      </c>
    </row>
    <row r="118" spans="1:2" x14ac:dyDescent="0.2">
      <c r="A118" s="4">
        <v>45541</v>
      </c>
      <c r="B118" s="2">
        <v>53966.8</v>
      </c>
    </row>
    <row r="119" spans="1:2" x14ac:dyDescent="0.2">
      <c r="A119" s="5">
        <v>45540</v>
      </c>
      <c r="B119" s="3">
        <v>56183.199999999997</v>
      </c>
    </row>
    <row r="120" spans="1:2" x14ac:dyDescent="0.2">
      <c r="A120" s="4">
        <v>45539</v>
      </c>
      <c r="B120" s="2">
        <v>57973.4</v>
      </c>
    </row>
    <row r="121" spans="1:2" x14ac:dyDescent="0.2">
      <c r="A121" s="5">
        <v>45538</v>
      </c>
      <c r="B121" s="3">
        <v>57479.8</v>
      </c>
    </row>
    <row r="122" spans="1:2" x14ac:dyDescent="0.2">
      <c r="A122" s="4">
        <v>45537</v>
      </c>
      <c r="B122" s="2">
        <v>59134</v>
      </c>
    </row>
    <row r="123" spans="1:2" x14ac:dyDescent="0.2">
      <c r="A123" s="5">
        <v>45536</v>
      </c>
      <c r="B123" s="3">
        <v>57315.7</v>
      </c>
    </row>
    <row r="124" spans="1:2" x14ac:dyDescent="0.2">
      <c r="A124" s="4">
        <v>45535</v>
      </c>
      <c r="B124" s="2">
        <v>58978.6</v>
      </c>
    </row>
    <row r="125" spans="1:2" x14ac:dyDescent="0.2">
      <c r="A125" s="5">
        <v>45534</v>
      </c>
      <c r="B125" s="3">
        <v>59119.7</v>
      </c>
    </row>
    <row r="126" spans="1:2" x14ac:dyDescent="0.2">
      <c r="A126" s="4">
        <v>45533</v>
      </c>
      <c r="B126" s="2">
        <v>59373.5</v>
      </c>
    </row>
    <row r="127" spans="1:2" x14ac:dyDescent="0.2">
      <c r="A127" s="5">
        <v>45532</v>
      </c>
      <c r="B127" s="3">
        <v>59016</v>
      </c>
    </row>
    <row r="128" spans="1:2" x14ac:dyDescent="0.2">
      <c r="A128" s="4">
        <v>45531</v>
      </c>
      <c r="B128" s="2">
        <v>59450.9</v>
      </c>
    </row>
    <row r="129" spans="1:2" x14ac:dyDescent="0.2">
      <c r="A129" s="5">
        <v>45530</v>
      </c>
      <c r="B129" s="3">
        <v>62846.2</v>
      </c>
    </row>
    <row r="130" spans="1:2" x14ac:dyDescent="0.2">
      <c r="A130" s="4">
        <v>45529</v>
      </c>
      <c r="B130" s="2">
        <v>64273.2</v>
      </c>
    </row>
    <row r="131" spans="1:2" x14ac:dyDescent="0.2">
      <c r="A131" s="5">
        <v>45528</v>
      </c>
      <c r="B131" s="3">
        <v>64159.3</v>
      </c>
    </row>
    <row r="132" spans="1:2" x14ac:dyDescent="0.2">
      <c r="A132" s="4">
        <v>45527</v>
      </c>
      <c r="B132" s="2">
        <v>64053.1</v>
      </c>
    </row>
    <row r="133" spans="1:2" x14ac:dyDescent="0.2">
      <c r="A133" s="5">
        <v>45526</v>
      </c>
      <c r="B133" s="3">
        <v>60372.2</v>
      </c>
    </row>
    <row r="134" spans="1:2" x14ac:dyDescent="0.2">
      <c r="A134" s="4">
        <v>45525</v>
      </c>
      <c r="B134" s="2">
        <v>61158.1</v>
      </c>
    </row>
    <row r="135" spans="1:2" x14ac:dyDescent="0.2">
      <c r="A135" s="5">
        <v>45524</v>
      </c>
      <c r="B135" s="3">
        <v>59005.8</v>
      </c>
    </row>
    <row r="136" spans="1:2" x14ac:dyDescent="0.2">
      <c r="A136" s="4">
        <v>45523</v>
      </c>
      <c r="B136" s="2">
        <v>59470.9</v>
      </c>
    </row>
    <row r="137" spans="1:2" x14ac:dyDescent="0.2">
      <c r="A137" s="5">
        <v>45522</v>
      </c>
      <c r="B137" s="3">
        <v>58446.3</v>
      </c>
    </row>
    <row r="138" spans="1:2" x14ac:dyDescent="0.2">
      <c r="A138" s="4">
        <v>45521</v>
      </c>
      <c r="B138" s="2">
        <v>59483.1</v>
      </c>
    </row>
    <row r="139" spans="1:2" x14ac:dyDescent="0.2">
      <c r="A139" s="5">
        <v>45520</v>
      </c>
      <c r="B139" s="3">
        <v>58877.2</v>
      </c>
    </row>
    <row r="140" spans="1:2" x14ac:dyDescent="0.2">
      <c r="A140" s="4">
        <v>45519</v>
      </c>
      <c r="B140" s="2">
        <v>57534.6</v>
      </c>
    </row>
    <row r="141" spans="1:2" x14ac:dyDescent="0.2">
      <c r="A141" s="5">
        <v>45518</v>
      </c>
      <c r="B141" s="3">
        <v>58707.8</v>
      </c>
    </row>
    <row r="142" spans="1:2" x14ac:dyDescent="0.2">
      <c r="A142" s="4">
        <v>45517</v>
      </c>
      <c r="B142" s="2">
        <v>60595.199999999997</v>
      </c>
    </row>
    <row r="143" spans="1:2" x14ac:dyDescent="0.2">
      <c r="A143" s="5">
        <v>45516</v>
      </c>
      <c r="B143" s="3">
        <v>59350</v>
      </c>
    </row>
    <row r="144" spans="1:2" x14ac:dyDescent="0.2">
      <c r="A144" s="4">
        <v>45515</v>
      </c>
      <c r="B144" s="2">
        <v>58713.3</v>
      </c>
    </row>
    <row r="145" spans="1:2" x14ac:dyDescent="0.2">
      <c r="A145" s="5">
        <v>45514</v>
      </c>
      <c r="B145" s="3">
        <v>60931.7</v>
      </c>
    </row>
    <row r="146" spans="1:2" x14ac:dyDescent="0.2">
      <c r="A146" s="4">
        <v>45513</v>
      </c>
      <c r="B146" s="2">
        <v>60850.6</v>
      </c>
    </row>
    <row r="147" spans="1:2" x14ac:dyDescent="0.2">
      <c r="A147" s="5">
        <v>45512</v>
      </c>
      <c r="B147" s="3">
        <v>61699.7</v>
      </c>
    </row>
    <row r="148" spans="1:2" x14ac:dyDescent="0.2">
      <c r="A148" s="4">
        <v>45511</v>
      </c>
      <c r="B148" s="2">
        <v>55120.9</v>
      </c>
    </row>
    <row r="149" spans="1:2" x14ac:dyDescent="0.2">
      <c r="A149" s="5">
        <v>45510</v>
      </c>
      <c r="B149" s="3">
        <v>56057.8</v>
      </c>
    </row>
    <row r="150" spans="1:2" x14ac:dyDescent="0.2">
      <c r="A150" s="4">
        <v>45509</v>
      </c>
      <c r="B150" s="2">
        <v>53979</v>
      </c>
    </row>
    <row r="151" spans="1:2" x14ac:dyDescent="0.2">
      <c r="A151" s="5">
        <v>45508</v>
      </c>
      <c r="B151" s="3">
        <v>58141.8</v>
      </c>
    </row>
    <row r="152" spans="1:2" x14ac:dyDescent="0.2">
      <c r="A152" s="4">
        <v>45507</v>
      </c>
      <c r="B152" s="2">
        <v>60696.7</v>
      </c>
    </row>
    <row r="153" spans="1:2" x14ac:dyDescent="0.2">
      <c r="A153" s="5">
        <v>45506</v>
      </c>
      <c r="B153" s="3">
        <v>61478.7</v>
      </c>
    </row>
    <row r="154" spans="1:2" x14ac:dyDescent="0.2">
      <c r="A154" s="4">
        <v>45505</v>
      </c>
      <c r="B154" s="2">
        <v>65372.9</v>
      </c>
    </row>
    <row r="155" spans="1:2" x14ac:dyDescent="0.2">
      <c r="A155" s="5">
        <v>45504</v>
      </c>
      <c r="B155" s="3">
        <v>64626</v>
      </c>
    </row>
    <row r="156" spans="1:2" x14ac:dyDescent="0.2">
      <c r="A156" s="4">
        <v>45503</v>
      </c>
      <c r="B156" s="2">
        <v>66184.899999999994</v>
      </c>
    </row>
    <row r="157" spans="1:2" x14ac:dyDescent="0.2">
      <c r="A157" s="5">
        <v>45502</v>
      </c>
      <c r="B157" s="3">
        <v>66798.7</v>
      </c>
    </row>
    <row r="158" spans="1:2" x14ac:dyDescent="0.2">
      <c r="A158" s="4">
        <v>45501</v>
      </c>
      <c r="B158" s="2">
        <v>68256.3</v>
      </c>
    </row>
    <row r="159" spans="1:2" x14ac:dyDescent="0.2">
      <c r="A159" s="5">
        <v>45500</v>
      </c>
      <c r="B159" s="3">
        <v>67843.100000000006</v>
      </c>
    </row>
    <row r="160" spans="1:2" x14ac:dyDescent="0.2">
      <c r="A160" s="4">
        <v>45499</v>
      </c>
      <c r="B160" s="2">
        <v>67908.600000000006</v>
      </c>
    </row>
    <row r="161" spans="1:2" x14ac:dyDescent="0.2">
      <c r="A161" s="5">
        <v>45498</v>
      </c>
      <c r="B161" s="3">
        <v>65799.3</v>
      </c>
    </row>
    <row r="162" spans="1:2" x14ac:dyDescent="0.2">
      <c r="A162" s="4">
        <v>45497</v>
      </c>
      <c r="B162" s="2">
        <v>65370.5</v>
      </c>
    </row>
    <row r="163" spans="1:2" x14ac:dyDescent="0.2">
      <c r="A163" s="5">
        <v>45496</v>
      </c>
      <c r="B163" s="3">
        <v>65937.8</v>
      </c>
    </row>
    <row r="164" spans="1:2" x14ac:dyDescent="0.2">
      <c r="A164" s="4">
        <v>45495</v>
      </c>
      <c r="B164" s="2">
        <v>67553.600000000006</v>
      </c>
    </row>
    <row r="165" spans="1:2" x14ac:dyDescent="0.2">
      <c r="A165" s="5">
        <v>45494</v>
      </c>
      <c r="B165" s="3">
        <v>68158.7</v>
      </c>
    </row>
    <row r="166" spans="1:2" x14ac:dyDescent="0.2">
      <c r="A166" s="4">
        <v>45493</v>
      </c>
      <c r="B166" s="2">
        <v>67148.5</v>
      </c>
    </row>
    <row r="167" spans="1:2" x14ac:dyDescent="0.2">
      <c r="A167" s="5">
        <v>45492</v>
      </c>
      <c r="B167" s="3">
        <v>66677.399999999994</v>
      </c>
    </row>
    <row r="168" spans="1:2" x14ac:dyDescent="0.2">
      <c r="A168" s="4">
        <v>45491</v>
      </c>
      <c r="B168" s="2">
        <v>63980.5</v>
      </c>
    </row>
    <row r="169" spans="1:2" x14ac:dyDescent="0.2">
      <c r="A169" s="5">
        <v>45490</v>
      </c>
      <c r="B169" s="3">
        <v>64089.2</v>
      </c>
    </row>
    <row r="170" spans="1:2" x14ac:dyDescent="0.2">
      <c r="A170" s="4">
        <v>45489</v>
      </c>
      <c r="B170" s="2">
        <v>65049.7</v>
      </c>
    </row>
    <row r="171" spans="1:2" x14ac:dyDescent="0.2">
      <c r="A171" s="5">
        <v>45488</v>
      </c>
      <c r="B171" s="3">
        <v>64782.400000000001</v>
      </c>
    </row>
    <row r="172" spans="1:2" x14ac:dyDescent="0.2">
      <c r="A172" s="4">
        <v>45487</v>
      </c>
      <c r="B172" s="2">
        <v>60794.9</v>
      </c>
    </row>
    <row r="173" spans="1:2" x14ac:dyDescent="0.2">
      <c r="A173" s="5">
        <v>45486</v>
      </c>
      <c r="B173" s="3">
        <v>59209.8</v>
      </c>
    </row>
    <row r="174" spans="1:2" x14ac:dyDescent="0.2">
      <c r="A174" s="4">
        <v>45485</v>
      </c>
      <c r="B174" s="2">
        <v>57885.1</v>
      </c>
    </row>
    <row r="175" spans="1:2" x14ac:dyDescent="0.2">
      <c r="A175" s="5">
        <v>45484</v>
      </c>
      <c r="B175" s="3">
        <v>57337.3</v>
      </c>
    </row>
    <row r="176" spans="1:2" x14ac:dyDescent="0.2">
      <c r="A176" s="4">
        <v>45483</v>
      </c>
      <c r="B176" s="2">
        <v>57746.7</v>
      </c>
    </row>
    <row r="177" spans="1:2" x14ac:dyDescent="0.2">
      <c r="A177" s="5">
        <v>45482</v>
      </c>
      <c r="B177" s="3">
        <v>58039.4</v>
      </c>
    </row>
    <row r="178" spans="1:2" x14ac:dyDescent="0.2">
      <c r="A178" s="4">
        <v>45481</v>
      </c>
      <c r="B178" s="2">
        <v>56724.7</v>
      </c>
    </row>
    <row r="179" spans="1:2" x14ac:dyDescent="0.2">
      <c r="A179" s="5">
        <v>45480</v>
      </c>
      <c r="B179" s="3">
        <v>55861.1</v>
      </c>
    </row>
    <row r="180" spans="1:2" x14ac:dyDescent="0.2">
      <c r="A180" s="4">
        <v>45479</v>
      </c>
      <c r="B180" s="2">
        <v>58259.199999999997</v>
      </c>
    </row>
    <row r="181" spans="1:2" x14ac:dyDescent="0.2">
      <c r="A181" s="5">
        <v>45478</v>
      </c>
      <c r="B181" s="3">
        <v>56641.8</v>
      </c>
    </row>
    <row r="182" spans="1:2" x14ac:dyDescent="0.2">
      <c r="A182" s="4">
        <v>45477</v>
      </c>
      <c r="B182" s="2">
        <v>57026.3</v>
      </c>
    </row>
    <row r="183" spans="1:2" x14ac:dyDescent="0.2">
      <c r="A183" s="5">
        <v>45476</v>
      </c>
      <c r="B183" s="3">
        <v>60199.3</v>
      </c>
    </row>
    <row r="184" spans="1:2" x14ac:dyDescent="0.2">
      <c r="A184" s="4">
        <v>45475</v>
      </c>
      <c r="B184" s="2">
        <v>62103.3</v>
      </c>
    </row>
    <row r="185" spans="1:2" x14ac:dyDescent="0.2">
      <c r="A185" s="5">
        <v>45474</v>
      </c>
      <c r="B185" s="3">
        <v>62890.1</v>
      </c>
    </row>
    <row r="186" spans="1:2" x14ac:dyDescent="0.2">
      <c r="A186" s="4">
        <v>45473</v>
      </c>
      <c r="B186" s="2">
        <v>62754.3</v>
      </c>
    </row>
    <row r="187" spans="1:2" x14ac:dyDescent="0.2">
      <c r="A187" s="5">
        <v>45472</v>
      </c>
      <c r="B187" s="3">
        <v>60973.4</v>
      </c>
    </row>
    <row r="188" spans="1:2" x14ac:dyDescent="0.2">
      <c r="A188" s="4">
        <v>45471</v>
      </c>
      <c r="B188" s="2">
        <v>60403.3</v>
      </c>
    </row>
    <row r="189" spans="1:2" x14ac:dyDescent="0.2">
      <c r="A189" s="5">
        <v>45470</v>
      </c>
      <c r="B189" s="3">
        <v>61685.3</v>
      </c>
    </row>
    <row r="190" spans="1:2" x14ac:dyDescent="0.2">
      <c r="A190" s="4">
        <v>45469</v>
      </c>
      <c r="B190" s="2">
        <v>60849.4</v>
      </c>
    </row>
    <row r="191" spans="1:2" x14ac:dyDescent="0.2">
      <c r="A191" s="5">
        <v>45468</v>
      </c>
      <c r="B191" s="3">
        <v>61809.4</v>
      </c>
    </row>
    <row r="192" spans="1:2" x14ac:dyDescent="0.2">
      <c r="A192" s="4">
        <v>45467</v>
      </c>
      <c r="B192" s="2">
        <v>60292.7</v>
      </c>
    </row>
    <row r="193" spans="1:2" x14ac:dyDescent="0.2">
      <c r="A193" s="5">
        <v>45466</v>
      </c>
      <c r="B193" s="3">
        <v>63196.2</v>
      </c>
    </row>
    <row r="194" spans="1:2" x14ac:dyDescent="0.2">
      <c r="A194" s="4">
        <v>45465</v>
      </c>
      <c r="B194" s="2">
        <v>64261</v>
      </c>
    </row>
    <row r="195" spans="1:2" x14ac:dyDescent="0.2">
      <c r="A195" s="5">
        <v>45464</v>
      </c>
      <c r="B195" s="3">
        <v>64128.5</v>
      </c>
    </row>
    <row r="196" spans="1:2" x14ac:dyDescent="0.2">
      <c r="A196" s="4">
        <v>45463</v>
      </c>
      <c r="B196" s="2">
        <v>64854.3</v>
      </c>
    </row>
    <row r="197" spans="1:2" x14ac:dyDescent="0.2">
      <c r="A197" s="5">
        <v>45462</v>
      </c>
      <c r="B197" s="3">
        <v>64980.9</v>
      </c>
    </row>
    <row r="198" spans="1:2" x14ac:dyDescent="0.2">
      <c r="A198" s="4">
        <v>45461</v>
      </c>
      <c r="B198" s="2">
        <v>65159.9</v>
      </c>
    </row>
    <row r="199" spans="1:2" x14ac:dyDescent="0.2">
      <c r="A199" s="5">
        <v>45460</v>
      </c>
      <c r="B199" s="3">
        <v>66498.8</v>
      </c>
    </row>
    <row r="200" spans="1:2" x14ac:dyDescent="0.2">
      <c r="A200" s="4">
        <v>45459</v>
      </c>
      <c r="B200" s="2">
        <v>66674.7</v>
      </c>
    </row>
    <row r="201" spans="1:2" x14ac:dyDescent="0.2">
      <c r="A201" s="5">
        <v>45458</v>
      </c>
      <c r="B201" s="3">
        <v>66223</v>
      </c>
    </row>
    <row r="202" spans="1:2" x14ac:dyDescent="0.2">
      <c r="A202" s="4">
        <v>45457</v>
      </c>
      <c r="B202" s="2">
        <v>66034.8</v>
      </c>
    </row>
    <row r="203" spans="1:2" x14ac:dyDescent="0.2">
      <c r="A203" s="5">
        <v>45456</v>
      </c>
      <c r="B203" s="3">
        <v>66773.100000000006</v>
      </c>
    </row>
    <row r="204" spans="1:2" x14ac:dyDescent="0.2">
      <c r="A204" s="4">
        <v>45455</v>
      </c>
      <c r="B204" s="2">
        <v>68260.100000000006</v>
      </c>
    </row>
    <row r="205" spans="1:2" x14ac:dyDescent="0.2">
      <c r="A205" s="5">
        <v>45454</v>
      </c>
      <c r="B205" s="3">
        <v>67319.8</v>
      </c>
    </row>
    <row r="206" spans="1:2" x14ac:dyDescent="0.2">
      <c r="A206" s="4">
        <v>45453</v>
      </c>
      <c r="B206" s="2">
        <v>69538.2</v>
      </c>
    </row>
    <row r="207" spans="1:2" x14ac:dyDescent="0.2">
      <c r="A207" s="5">
        <v>45452</v>
      </c>
      <c r="B207" s="3">
        <v>69650.600000000006</v>
      </c>
    </row>
    <row r="208" spans="1:2" x14ac:dyDescent="0.2">
      <c r="A208" s="4">
        <v>45451</v>
      </c>
      <c r="B208" s="2">
        <v>69310.100000000006</v>
      </c>
    </row>
    <row r="209" spans="1:2" x14ac:dyDescent="0.2">
      <c r="A209" s="5">
        <v>45450</v>
      </c>
      <c r="B209" s="3">
        <v>69347.899999999994</v>
      </c>
    </row>
    <row r="210" spans="1:2" x14ac:dyDescent="0.2">
      <c r="A210" s="4">
        <v>45449</v>
      </c>
      <c r="B210" s="2">
        <v>70791.5</v>
      </c>
    </row>
    <row r="211" spans="1:2" x14ac:dyDescent="0.2">
      <c r="A211" s="5">
        <v>45448</v>
      </c>
      <c r="B211" s="3">
        <v>71083.7</v>
      </c>
    </row>
    <row r="212" spans="1:2" x14ac:dyDescent="0.2">
      <c r="A212" s="4">
        <v>45447</v>
      </c>
      <c r="B212" s="2">
        <v>70549.2</v>
      </c>
    </row>
    <row r="213" spans="1:2" x14ac:dyDescent="0.2">
      <c r="A213" s="5">
        <v>45446</v>
      </c>
      <c r="B213" s="3">
        <v>68807.8</v>
      </c>
    </row>
    <row r="214" spans="1:2" x14ac:dyDescent="0.2">
      <c r="A214" s="4">
        <v>45445</v>
      </c>
      <c r="B214" s="2">
        <v>67773.5</v>
      </c>
    </row>
    <row r="215" spans="1:2" x14ac:dyDescent="0.2">
      <c r="A215" s="5">
        <v>45444</v>
      </c>
      <c r="B215" s="3">
        <v>67760.800000000003</v>
      </c>
    </row>
    <row r="216" spans="1:2" x14ac:dyDescent="0.2">
      <c r="A216" s="4">
        <v>45443</v>
      </c>
      <c r="B216" s="2">
        <v>67530.100000000006</v>
      </c>
    </row>
    <row r="217" spans="1:2" x14ac:dyDescent="0.2">
      <c r="A217" s="5">
        <v>45442</v>
      </c>
      <c r="B217" s="3">
        <v>68354.7</v>
      </c>
    </row>
    <row r="218" spans="1:2" x14ac:dyDescent="0.2">
      <c r="A218" s="4">
        <v>45441</v>
      </c>
      <c r="B218" s="2">
        <v>67635.8</v>
      </c>
    </row>
    <row r="219" spans="1:2" x14ac:dyDescent="0.2">
      <c r="A219" s="5">
        <v>45440</v>
      </c>
      <c r="B219" s="3">
        <v>68366</v>
      </c>
    </row>
    <row r="220" spans="1:2" x14ac:dyDescent="0.2">
      <c r="A220" s="4">
        <v>45439</v>
      </c>
      <c r="B220" s="2">
        <v>69428.7</v>
      </c>
    </row>
    <row r="221" spans="1:2" x14ac:dyDescent="0.2">
      <c r="A221" s="5">
        <v>45438</v>
      </c>
      <c r="B221" s="3">
        <v>68514.8</v>
      </c>
    </row>
    <row r="222" spans="1:2" x14ac:dyDescent="0.2">
      <c r="A222" s="4">
        <v>45437</v>
      </c>
      <c r="B222" s="2">
        <v>69284.399999999994</v>
      </c>
    </row>
    <row r="223" spans="1:2" x14ac:dyDescent="0.2">
      <c r="A223" s="5">
        <v>45436</v>
      </c>
      <c r="B223" s="3">
        <v>68547.600000000006</v>
      </c>
    </row>
    <row r="224" spans="1:2" x14ac:dyDescent="0.2">
      <c r="A224" s="4">
        <v>45435</v>
      </c>
      <c r="B224" s="2">
        <v>67975.7</v>
      </c>
    </row>
    <row r="225" spans="1:2" x14ac:dyDescent="0.2">
      <c r="A225" s="5">
        <v>45434</v>
      </c>
      <c r="B225" s="3">
        <v>69155.399999999994</v>
      </c>
    </row>
    <row r="226" spans="1:2" x14ac:dyDescent="0.2">
      <c r="A226" s="4">
        <v>45433</v>
      </c>
      <c r="B226" s="2">
        <v>70139.899999999994</v>
      </c>
    </row>
    <row r="227" spans="1:2" x14ac:dyDescent="0.2">
      <c r="A227" s="5">
        <v>45432</v>
      </c>
      <c r="B227" s="3">
        <v>71422.7</v>
      </c>
    </row>
    <row r="228" spans="1:2" x14ac:dyDescent="0.2">
      <c r="A228" s="4">
        <v>45431</v>
      </c>
      <c r="B228" s="2">
        <v>66279.100000000006</v>
      </c>
    </row>
    <row r="229" spans="1:2" x14ac:dyDescent="0.2">
      <c r="A229" s="5">
        <v>45430</v>
      </c>
      <c r="B229" s="3">
        <v>66917.5</v>
      </c>
    </row>
    <row r="230" spans="1:2" x14ac:dyDescent="0.2">
      <c r="A230" s="4">
        <v>45429</v>
      </c>
      <c r="B230" s="2">
        <v>67036.800000000003</v>
      </c>
    </row>
    <row r="231" spans="1:2" x14ac:dyDescent="0.2">
      <c r="A231" s="5">
        <v>45428</v>
      </c>
      <c r="B231" s="3">
        <v>65231</v>
      </c>
    </row>
    <row r="232" spans="1:2" x14ac:dyDescent="0.2">
      <c r="A232" s="4">
        <v>45427</v>
      </c>
      <c r="B232" s="2">
        <v>66225.100000000006</v>
      </c>
    </row>
    <row r="233" spans="1:2" x14ac:dyDescent="0.2">
      <c r="A233" s="5">
        <v>45426</v>
      </c>
      <c r="B233" s="3">
        <v>61569.4</v>
      </c>
    </row>
    <row r="234" spans="1:2" x14ac:dyDescent="0.2">
      <c r="A234" s="4">
        <v>45425</v>
      </c>
      <c r="B234" s="2">
        <v>62937.2</v>
      </c>
    </row>
    <row r="235" spans="1:2" x14ac:dyDescent="0.2">
      <c r="A235" s="5">
        <v>45424</v>
      </c>
      <c r="B235" s="3">
        <v>61480</v>
      </c>
    </row>
    <row r="236" spans="1:2" x14ac:dyDescent="0.2">
      <c r="A236" s="4">
        <v>45423</v>
      </c>
      <c r="B236" s="2">
        <v>60826.6</v>
      </c>
    </row>
    <row r="237" spans="1:2" x14ac:dyDescent="0.2">
      <c r="A237" s="5">
        <v>45422</v>
      </c>
      <c r="B237" s="3">
        <v>60796.9</v>
      </c>
    </row>
    <row r="238" spans="1:2" x14ac:dyDescent="0.2">
      <c r="A238" s="4">
        <v>45421</v>
      </c>
      <c r="B238" s="2">
        <v>63075</v>
      </c>
    </row>
    <row r="239" spans="1:2" x14ac:dyDescent="0.2">
      <c r="A239" s="5">
        <v>45420</v>
      </c>
      <c r="B239" s="3">
        <v>61207.5</v>
      </c>
    </row>
    <row r="240" spans="1:2" x14ac:dyDescent="0.2">
      <c r="A240" s="4">
        <v>45419</v>
      </c>
      <c r="B240" s="2">
        <v>62317.7</v>
      </c>
    </row>
    <row r="241" spans="1:2" x14ac:dyDescent="0.2">
      <c r="A241" s="5">
        <v>45418</v>
      </c>
      <c r="B241" s="3">
        <v>63163.1</v>
      </c>
    </row>
    <row r="242" spans="1:2" x14ac:dyDescent="0.2">
      <c r="A242" s="4">
        <v>45417</v>
      </c>
      <c r="B242" s="2">
        <v>64006.400000000001</v>
      </c>
    </row>
    <row r="243" spans="1:2" x14ac:dyDescent="0.2">
      <c r="A243" s="5">
        <v>45416</v>
      </c>
      <c r="B243" s="3">
        <v>63888.3</v>
      </c>
    </row>
    <row r="244" spans="1:2" x14ac:dyDescent="0.2">
      <c r="A244" s="4">
        <v>45415</v>
      </c>
      <c r="B244" s="2">
        <v>62877.5</v>
      </c>
    </row>
    <row r="245" spans="1:2" x14ac:dyDescent="0.2">
      <c r="A245" s="5">
        <v>45414</v>
      </c>
      <c r="B245" s="3">
        <v>59121.3</v>
      </c>
    </row>
    <row r="246" spans="1:2" x14ac:dyDescent="0.2">
      <c r="A246" s="4">
        <v>45413</v>
      </c>
      <c r="B246" s="2">
        <v>58331.199999999997</v>
      </c>
    </row>
    <row r="247" spans="1:2" x14ac:dyDescent="0.2">
      <c r="A247" s="5">
        <v>45412</v>
      </c>
      <c r="B247" s="3">
        <v>60666.6</v>
      </c>
    </row>
    <row r="248" spans="1:2" x14ac:dyDescent="0.2">
      <c r="A248" s="4">
        <v>45411</v>
      </c>
      <c r="B248" s="2">
        <v>63860.1</v>
      </c>
    </row>
    <row r="249" spans="1:2" x14ac:dyDescent="0.2">
      <c r="A249" s="5">
        <v>45410</v>
      </c>
      <c r="B249" s="3">
        <v>63109.7</v>
      </c>
    </row>
    <row r="250" spans="1:2" x14ac:dyDescent="0.2">
      <c r="A250" s="4">
        <v>45409</v>
      </c>
      <c r="B250" s="2">
        <v>63456.800000000003</v>
      </c>
    </row>
    <row r="251" spans="1:2" x14ac:dyDescent="0.2">
      <c r="A251" s="5">
        <v>45408</v>
      </c>
      <c r="B251" s="3">
        <v>63766.400000000001</v>
      </c>
    </row>
    <row r="252" spans="1:2" x14ac:dyDescent="0.2">
      <c r="A252" s="4">
        <v>45407</v>
      </c>
      <c r="B252" s="2">
        <v>64497.1</v>
      </c>
    </row>
    <row r="253" spans="1:2" x14ac:dyDescent="0.2">
      <c r="A253" s="5">
        <v>45406</v>
      </c>
      <c r="B253" s="3">
        <v>64285.7</v>
      </c>
    </row>
    <row r="254" spans="1:2" x14ac:dyDescent="0.2">
      <c r="A254" s="4">
        <v>45405</v>
      </c>
      <c r="B254" s="2">
        <v>66415</v>
      </c>
    </row>
    <row r="255" spans="1:2" x14ac:dyDescent="0.2">
      <c r="A255" s="5">
        <v>45404</v>
      </c>
      <c r="B255" s="3">
        <v>66829.3</v>
      </c>
    </row>
    <row r="256" spans="1:2" x14ac:dyDescent="0.2">
      <c r="A256" s="4">
        <v>45403</v>
      </c>
      <c r="B256" s="2">
        <v>64940.2</v>
      </c>
    </row>
    <row r="257" spans="1:2" x14ac:dyDescent="0.2">
      <c r="A257" s="5">
        <v>45402</v>
      </c>
      <c r="B257" s="3">
        <v>64961.1</v>
      </c>
    </row>
    <row r="258" spans="1:2" x14ac:dyDescent="0.2">
      <c r="A258" s="4">
        <v>45401</v>
      </c>
      <c r="B258" s="2">
        <v>63799.1</v>
      </c>
    </row>
    <row r="259" spans="1:2" x14ac:dyDescent="0.2">
      <c r="A259" s="5">
        <v>45400</v>
      </c>
      <c r="B259" s="3">
        <v>63481.4</v>
      </c>
    </row>
    <row r="260" spans="1:2" x14ac:dyDescent="0.2">
      <c r="A260" s="4">
        <v>45399</v>
      </c>
      <c r="B260" s="2">
        <v>61278.9</v>
      </c>
    </row>
    <row r="261" spans="1:2" x14ac:dyDescent="0.2">
      <c r="A261" s="5">
        <v>45398</v>
      </c>
      <c r="B261" s="3">
        <v>63805.3</v>
      </c>
    </row>
    <row r="262" spans="1:2" x14ac:dyDescent="0.2">
      <c r="A262" s="4">
        <v>45397</v>
      </c>
      <c r="B262" s="2">
        <v>63411.9</v>
      </c>
    </row>
    <row r="263" spans="1:2" x14ac:dyDescent="0.2">
      <c r="A263" s="5">
        <v>45396</v>
      </c>
      <c r="B263" s="3">
        <v>65697.399999999994</v>
      </c>
    </row>
    <row r="264" spans="1:2" x14ac:dyDescent="0.2">
      <c r="A264" s="4">
        <v>45395</v>
      </c>
      <c r="B264" s="2">
        <v>63849.9</v>
      </c>
    </row>
    <row r="265" spans="1:2" x14ac:dyDescent="0.2">
      <c r="A265" s="5">
        <v>45394</v>
      </c>
      <c r="B265" s="3">
        <v>67151.899999999994</v>
      </c>
    </row>
    <row r="266" spans="1:2" x14ac:dyDescent="0.2">
      <c r="A266" s="4">
        <v>45393</v>
      </c>
      <c r="B266" s="2">
        <v>70011.600000000006</v>
      </c>
    </row>
    <row r="267" spans="1:2" x14ac:dyDescent="0.2">
      <c r="A267" s="5">
        <v>45392</v>
      </c>
      <c r="B267" s="3">
        <v>70622.100000000006</v>
      </c>
    </row>
    <row r="268" spans="1:2" x14ac:dyDescent="0.2">
      <c r="A268" s="4">
        <v>45391</v>
      </c>
      <c r="B268" s="2">
        <v>69148</v>
      </c>
    </row>
    <row r="269" spans="1:2" x14ac:dyDescent="0.2">
      <c r="A269" s="5">
        <v>45390</v>
      </c>
      <c r="B269" s="3">
        <v>71630.100000000006</v>
      </c>
    </row>
    <row r="270" spans="1:2" x14ac:dyDescent="0.2">
      <c r="A270" s="4">
        <v>45389</v>
      </c>
      <c r="B270" s="2">
        <v>69360.399999999994</v>
      </c>
    </row>
    <row r="271" spans="1:2" x14ac:dyDescent="0.2">
      <c r="A271" s="5">
        <v>45388</v>
      </c>
      <c r="B271" s="3">
        <v>68890.600000000006</v>
      </c>
    </row>
    <row r="272" spans="1:2" x14ac:dyDescent="0.2">
      <c r="A272" s="4">
        <v>45387</v>
      </c>
      <c r="B272" s="2">
        <v>67830.600000000006</v>
      </c>
    </row>
    <row r="273" spans="1:2" x14ac:dyDescent="0.2">
      <c r="A273" s="5">
        <v>45386</v>
      </c>
      <c r="B273" s="3">
        <v>68496.5</v>
      </c>
    </row>
    <row r="274" spans="1:2" x14ac:dyDescent="0.2">
      <c r="A274" s="4">
        <v>45385</v>
      </c>
      <c r="B274" s="2">
        <v>65963</v>
      </c>
    </row>
    <row r="275" spans="1:2" x14ac:dyDescent="0.2">
      <c r="A275" s="5">
        <v>45384</v>
      </c>
      <c r="B275" s="3">
        <v>65439.199999999997</v>
      </c>
    </row>
    <row r="276" spans="1:2" x14ac:dyDescent="0.2">
      <c r="A276" s="4">
        <v>45383</v>
      </c>
      <c r="B276" s="2">
        <v>69664.399999999994</v>
      </c>
    </row>
    <row r="277" spans="1:2" x14ac:dyDescent="0.2">
      <c r="A277" s="5">
        <v>45382</v>
      </c>
      <c r="B277" s="3">
        <v>71332</v>
      </c>
    </row>
    <row r="278" spans="1:2" x14ac:dyDescent="0.2">
      <c r="A278" s="4">
        <v>45381</v>
      </c>
      <c r="B278" s="2">
        <v>69611.5</v>
      </c>
    </row>
    <row r="279" spans="1:2" x14ac:dyDescent="0.2">
      <c r="A279" s="5">
        <v>45380</v>
      </c>
      <c r="B279" s="3">
        <v>69871.7</v>
      </c>
    </row>
    <row r="280" spans="1:2" x14ac:dyDescent="0.2">
      <c r="A280" s="4">
        <v>45379</v>
      </c>
      <c r="B280" s="2">
        <v>70762.100000000006</v>
      </c>
    </row>
    <row r="281" spans="1:2" x14ac:dyDescent="0.2">
      <c r="A281" s="5">
        <v>45378</v>
      </c>
      <c r="B281" s="3">
        <v>69442.399999999994</v>
      </c>
    </row>
    <row r="282" spans="1:2" x14ac:dyDescent="0.2">
      <c r="A282" s="4">
        <v>45377</v>
      </c>
      <c r="B282" s="2">
        <v>69999.3</v>
      </c>
    </row>
    <row r="283" spans="1:2" x14ac:dyDescent="0.2">
      <c r="A283" s="5">
        <v>45376</v>
      </c>
      <c r="B283" s="3">
        <v>69892</v>
      </c>
    </row>
    <row r="284" spans="1:2" x14ac:dyDescent="0.2">
      <c r="A284" s="4">
        <v>45375</v>
      </c>
      <c r="B284" s="2">
        <v>67211.899999999994</v>
      </c>
    </row>
    <row r="285" spans="1:2" x14ac:dyDescent="0.2">
      <c r="A285" s="5">
        <v>45374</v>
      </c>
      <c r="B285" s="3">
        <v>64037.8</v>
      </c>
    </row>
    <row r="286" spans="1:2" x14ac:dyDescent="0.2">
      <c r="A286" s="4">
        <v>45373</v>
      </c>
      <c r="B286" s="2">
        <v>63785.5</v>
      </c>
    </row>
    <row r="287" spans="1:2" x14ac:dyDescent="0.2">
      <c r="A287" s="5">
        <v>45372</v>
      </c>
      <c r="B287" s="3">
        <v>65503.8</v>
      </c>
    </row>
    <row r="288" spans="1:2" x14ac:dyDescent="0.2">
      <c r="A288" s="4">
        <v>45371</v>
      </c>
      <c r="B288" s="2">
        <v>67854</v>
      </c>
    </row>
    <row r="289" spans="1:2" x14ac:dyDescent="0.2">
      <c r="A289" s="5">
        <v>45370</v>
      </c>
      <c r="B289" s="3">
        <v>62050</v>
      </c>
    </row>
    <row r="290" spans="1:2" x14ac:dyDescent="0.2">
      <c r="A290" s="4">
        <v>45369</v>
      </c>
      <c r="B290" s="2">
        <v>67594.100000000006</v>
      </c>
    </row>
    <row r="291" spans="1:2" x14ac:dyDescent="0.2">
      <c r="A291" s="5">
        <v>45368</v>
      </c>
      <c r="B291" s="3">
        <v>68391.199999999997</v>
      </c>
    </row>
    <row r="292" spans="1:2" x14ac:dyDescent="0.2">
      <c r="A292" s="4">
        <v>45367</v>
      </c>
      <c r="B292" s="2">
        <v>65314.2</v>
      </c>
    </row>
    <row r="293" spans="1:2" x14ac:dyDescent="0.2">
      <c r="A293" s="5">
        <v>45366</v>
      </c>
      <c r="B293" s="3">
        <v>69463.7</v>
      </c>
    </row>
    <row r="294" spans="1:2" x14ac:dyDescent="0.2">
      <c r="A294" s="4">
        <v>45365</v>
      </c>
      <c r="B294" s="2">
        <v>71387.5</v>
      </c>
    </row>
    <row r="295" spans="1:2" x14ac:dyDescent="0.2">
      <c r="A295" s="5">
        <v>45364</v>
      </c>
      <c r="B295" s="3">
        <v>73066.3</v>
      </c>
    </row>
    <row r="296" spans="1:2" x14ac:dyDescent="0.2">
      <c r="A296" s="4">
        <v>45363</v>
      </c>
      <c r="B296" s="2">
        <v>71470.2</v>
      </c>
    </row>
    <row r="297" spans="1:2" x14ac:dyDescent="0.2">
      <c r="A297" s="5">
        <v>45362</v>
      </c>
      <c r="B297" s="3">
        <v>72099.100000000006</v>
      </c>
    </row>
    <row r="298" spans="1:2" x14ac:dyDescent="0.2">
      <c r="A298" s="4">
        <v>45361</v>
      </c>
      <c r="B298" s="2">
        <v>68964.800000000003</v>
      </c>
    </row>
    <row r="299" spans="1:2" x14ac:dyDescent="0.2">
      <c r="A299" s="5">
        <v>45360</v>
      </c>
      <c r="B299" s="3">
        <v>68366.5</v>
      </c>
    </row>
    <row r="300" spans="1:2" x14ac:dyDescent="0.2">
      <c r="A300" s="4">
        <v>45359</v>
      </c>
      <c r="B300" s="2">
        <v>68172</v>
      </c>
    </row>
    <row r="301" spans="1:2" x14ac:dyDescent="0.2">
      <c r="A301" s="5">
        <v>45358</v>
      </c>
      <c r="B301" s="3">
        <v>66855.3</v>
      </c>
    </row>
    <row r="302" spans="1:2" x14ac:dyDescent="0.2">
      <c r="A302" s="4">
        <v>45357</v>
      </c>
      <c r="B302" s="2">
        <v>66080.399999999994</v>
      </c>
    </row>
    <row r="303" spans="1:2" x14ac:dyDescent="0.2">
      <c r="A303" s="5">
        <v>45356</v>
      </c>
      <c r="B303" s="3">
        <v>63792.6</v>
      </c>
    </row>
    <row r="304" spans="1:2" x14ac:dyDescent="0.2">
      <c r="A304" s="4">
        <v>45355</v>
      </c>
      <c r="B304" s="2">
        <v>68270.100000000006</v>
      </c>
    </row>
    <row r="305" spans="1:2" x14ac:dyDescent="0.2">
      <c r="A305" s="5">
        <v>45354</v>
      </c>
      <c r="B305" s="3">
        <v>63135.8</v>
      </c>
    </row>
    <row r="306" spans="1:2" x14ac:dyDescent="0.2">
      <c r="A306" s="4">
        <v>45353</v>
      </c>
      <c r="B306" s="2">
        <v>61994.5</v>
      </c>
    </row>
    <row r="307" spans="1:2" x14ac:dyDescent="0.2">
      <c r="A307" s="5">
        <v>45352</v>
      </c>
      <c r="B307" s="3">
        <v>62397.7</v>
      </c>
    </row>
    <row r="308" spans="1:2" x14ac:dyDescent="0.2">
      <c r="A308" s="4">
        <v>45351</v>
      </c>
      <c r="B308" s="2">
        <v>61169.3</v>
      </c>
    </row>
    <row r="309" spans="1:2" x14ac:dyDescent="0.2">
      <c r="A309" s="5">
        <v>45350</v>
      </c>
      <c r="B309" s="3">
        <v>62467.6</v>
      </c>
    </row>
    <row r="310" spans="1:2" x14ac:dyDescent="0.2">
      <c r="A310" s="4">
        <v>45349</v>
      </c>
      <c r="B310" s="2">
        <v>57056.2</v>
      </c>
    </row>
    <row r="311" spans="1:2" x14ac:dyDescent="0.2">
      <c r="A311" s="5">
        <v>45348</v>
      </c>
      <c r="B311" s="3">
        <v>54495.1</v>
      </c>
    </row>
    <row r="312" spans="1:2" x14ac:dyDescent="0.2">
      <c r="A312" s="4">
        <v>45347</v>
      </c>
      <c r="B312" s="2">
        <v>51722.7</v>
      </c>
    </row>
    <row r="313" spans="1:2" x14ac:dyDescent="0.2">
      <c r="A313" s="5">
        <v>45346</v>
      </c>
      <c r="B313" s="3">
        <v>51571.6</v>
      </c>
    </row>
    <row r="314" spans="1:2" x14ac:dyDescent="0.2">
      <c r="A314" s="4">
        <v>45345</v>
      </c>
      <c r="B314" s="2">
        <v>50740.5</v>
      </c>
    </row>
    <row r="315" spans="1:2" x14ac:dyDescent="0.2">
      <c r="A315" s="5">
        <v>45344</v>
      </c>
      <c r="B315" s="3">
        <v>51320.4</v>
      </c>
    </row>
    <row r="316" spans="1:2" x14ac:dyDescent="0.2">
      <c r="A316" s="4">
        <v>45343</v>
      </c>
      <c r="B316" s="2">
        <v>51858.2</v>
      </c>
    </row>
    <row r="317" spans="1:2" x14ac:dyDescent="0.2">
      <c r="A317" s="5">
        <v>45342</v>
      </c>
      <c r="B317" s="3">
        <v>52263.5</v>
      </c>
    </row>
    <row r="318" spans="1:2" x14ac:dyDescent="0.2">
      <c r="A318" s="4">
        <v>45341</v>
      </c>
      <c r="B318" s="2">
        <v>51783.6</v>
      </c>
    </row>
    <row r="319" spans="1:2" x14ac:dyDescent="0.2">
      <c r="A319" s="5">
        <v>45340</v>
      </c>
      <c r="B319" s="3">
        <v>52117.5</v>
      </c>
    </row>
    <row r="320" spans="1:2" x14ac:dyDescent="0.2">
      <c r="A320" s="4">
        <v>45339</v>
      </c>
      <c r="B320" s="2">
        <v>51646</v>
      </c>
    </row>
    <row r="321" spans="1:2" x14ac:dyDescent="0.2">
      <c r="A321" s="5">
        <v>45338</v>
      </c>
      <c r="B321" s="3">
        <v>52134.2</v>
      </c>
    </row>
    <row r="322" spans="1:2" x14ac:dyDescent="0.2">
      <c r="A322" s="4">
        <v>45337</v>
      </c>
      <c r="B322" s="2">
        <v>51901.3</v>
      </c>
    </row>
    <row r="323" spans="1:2" x14ac:dyDescent="0.2">
      <c r="A323" s="5">
        <v>45336</v>
      </c>
      <c r="B323" s="3">
        <v>51782.400000000001</v>
      </c>
    </row>
    <row r="324" spans="1:2" x14ac:dyDescent="0.2">
      <c r="A324" s="4">
        <v>45335</v>
      </c>
      <c r="B324" s="2">
        <v>49716</v>
      </c>
    </row>
    <row r="325" spans="1:2" x14ac:dyDescent="0.2">
      <c r="A325" s="5">
        <v>45334</v>
      </c>
      <c r="B325" s="3">
        <v>49941.3</v>
      </c>
    </row>
    <row r="326" spans="1:2" x14ac:dyDescent="0.2">
      <c r="A326" s="4">
        <v>45333</v>
      </c>
      <c r="B326" s="2">
        <v>48277.3</v>
      </c>
    </row>
    <row r="327" spans="1:2" x14ac:dyDescent="0.2">
      <c r="A327" s="5">
        <v>45332</v>
      </c>
      <c r="B327" s="3">
        <v>47758.2</v>
      </c>
    </row>
    <row r="328" spans="1:2" x14ac:dyDescent="0.2">
      <c r="A328" s="4">
        <v>45331</v>
      </c>
      <c r="B328" s="2">
        <v>47127.5</v>
      </c>
    </row>
    <row r="329" spans="1:2" x14ac:dyDescent="0.2">
      <c r="A329" s="5">
        <v>45330</v>
      </c>
      <c r="B329" s="3">
        <v>45293.3</v>
      </c>
    </row>
    <row r="330" spans="1:2" x14ac:dyDescent="0.2">
      <c r="A330" s="4">
        <v>45329</v>
      </c>
      <c r="B330" s="2">
        <v>44339.8</v>
      </c>
    </row>
    <row r="331" spans="1:2" x14ac:dyDescent="0.2">
      <c r="A331" s="5">
        <v>45328</v>
      </c>
      <c r="B331" s="3">
        <v>43087.7</v>
      </c>
    </row>
    <row r="332" spans="1:2" x14ac:dyDescent="0.2">
      <c r="A332" s="4">
        <v>45327</v>
      </c>
      <c r="B332" s="2">
        <v>42697.2</v>
      </c>
    </row>
    <row r="333" spans="1:2" x14ac:dyDescent="0.2">
      <c r="A333" s="5">
        <v>45326</v>
      </c>
      <c r="B333" s="3">
        <v>42581.4</v>
      </c>
    </row>
    <row r="334" spans="1:2" x14ac:dyDescent="0.2">
      <c r="A334" s="4">
        <v>45325</v>
      </c>
      <c r="B334" s="2">
        <v>43005.7</v>
      </c>
    </row>
    <row r="335" spans="1:2" x14ac:dyDescent="0.2">
      <c r="A335" s="5">
        <v>45324</v>
      </c>
      <c r="B335" s="3">
        <v>43194.7</v>
      </c>
    </row>
    <row r="336" spans="1:2" x14ac:dyDescent="0.2">
      <c r="A336" s="4">
        <v>45323</v>
      </c>
      <c r="B336" s="2">
        <v>43081.4</v>
      </c>
    </row>
    <row r="337" spans="1:2" x14ac:dyDescent="0.2">
      <c r="A337" s="5">
        <v>45322</v>
      </c>
      <c r="B337" s="3">
        <v>42580.5</v>
      </c>
    </row>
    <row r="338" spans="1:2" x14ac:dyDescent="0.2">
      <c r="A338" s="4">
        <v>45321</v>
      </c>
      <c r="B338" s="2">
        <v>42946.2</v>
      </c>
    </row>
    <row r="339" spans="1:2" x14ac:dyDescent="0.2">
      <c r="A339" s="5">
        <v>45320</v>
      </c>
      <c r="B339" s="3">
        <v>43299.8</v>
      </c>
    </row>
    <row r="340" spans="1:2" x14ac:dyDescent="0.2">
      <c r="A340" s="4">
        <v>45319</v>
      </c>
      <c r="B340" s="2">
        <v>42030.7</v>
      </c>
    </row>
    <row r="341" spans="1:2" x14ac:dyDescent="0.2">
      <c r="A341" s="5">
        <v>45318</v>
      </c>
      <c r="B341" s="3">
        <v>42120.9</v>
      </c>
    </row>
    <row r="342" spans="1:2" x14ac:dyDescent="0.2">
      <c r="A342" s="4">
        <v>45317</v>
      </c>
      <c r="B342" s="2">
        <v>41811.300000000003</v>
      </c>
    </row>
    <row r="343" spans="1:2" x14ac:dyDescent="0.2">
      <c r="A343" s="5">
        <v>45316</v>
      </c>
      <c r="B343" s="3">
        <v>39935.699999999997</v>
      </c>
    </row>
    <row r="344" spans="1:2" x14ac:dyDescent="0.2">
      <c r="A344" s="4">
        <v>45315</v>
      </c>
      <c r="B344" s="2">
        <v>40086</v>
      </c>
    </row>
    <row r="345" spans="1:2" x14ac:dyDescent="0.2">
      <c r="A345" s="5">
        <v>45314</v>
      </c>
      <c r="B345" s="3">
        <v>39888.800000000003</v>
      </c>
    </row>
    <row r="346" spans="1:2" x14ac:dyDescent="0.2">
      <c r="A346" s="4">
        <v>45313</v>
      </c>
      <c r="B346" s="2">
        <v>39556.400000000001</v>
      </c>
    </row>
    <row r="347" spans="1:2" x14ac:dyDescent="0.2">
      <c r="A347" s="5">
        <v>45312</v>
      </c>
      <c r="B347" s="3">
        <v>41583.199999999997</v>
      </c>
    </row>
    <row r="348" spans="1:2" x14ac:dyDescent="0.2">
      <c r="A348" s="4">
        <v>45311</v>
      </c>
      <c r="B348" s="2">
        <v>41695.4</v>
      </c>
    </row>
    <row r="349" spans="1:2" x14ac:dyDescent="0.2">
      <c r="A349" s="5">
        <v>45310</v>
      </c>
      <c r="B349" s="3">
        <v>41648</v>
      </c>
    </row>
    <row r="350" spans="1:2" x14ac:dyDescent="0.2">
      <c r="A350" s="4">
        <v>45309</v>
      </c>
      <c r="B350" s="2">
        <v>41292.699999999997</v>
      </c>
    </row>
    <row r="351" spans="1:2" x14ac:dyDescent="0.2">
      <c r="A351" s="5">
        <v>45308</v>
      </c>
      <c r="B351" s="3">
        <v>42768.7</v>
      </c>
    </row>
    <row r="352" spans="1:2" x14ac:dyDescent="0.2">
      <c r="A352" s="4">
        <v>45307</v>
      </c>
      <c r="B352" s="2">
        <v>43145.5</v>
      </c>
    </row>
    <row r="353" spans="1:2" x14ac:dyDescent="0.2">
      <c r="A353" s="5">
        <v>45306</v>
      </c>
      <c r="B353" s="3">
        <v>42510.7</v>
      </c>
    </row>
    <row r="354" spans="1:2" x14ac:dyDescent="0.2">
      <c r="A354" s="4">
        <v>45305</v>
      </c>
      <c r="B354" s="2">
        <v>41746.1</v>
      </c>
    </row>
    <row r="355" spans="1:2" x14ac:dyDescent="0.2">
      <c r="A355" s="5">
        <v>45304</v>
      </c>
      <c r="B355" s="3">
        <v>42851.3</v>
      </c>
    </row>
    <row r="356" spans="1:2" x14ac:dyDescent="0.2">
      <c r="A356" s="4">
        <v>45303</v>
      </c>
      <c r="B356" s="2">
        <v>42835.9</v>
      </c>
    </row>
    <row r="357" spans="1:2" x14ac:dyDescent="0.2">
      <c r="A357" s="5">
        <v>45302</v>
      </c>
      <c r="B357" s="3">
        <v>46348.2</v>
      </c>
    </row>
    <row r="358" spans="1:2" x14ac:dyDescent="0.2">
      <c r="A358" s="4">
        <v>45301</v>
      </c>
      <c r="B358" s="2">
        <v>46629.3</v>
      </c>
    </row>
    <row r="359" spans="1:2" x14ac:dyDescent="0.2">
      <c r="A359" s="5">
        <v>45300</v>
      </c>
      <c r="B359" s="3">
        <v>46129</v>
      </c>
    </row>
    <row r="360" spans="1:2" x14ac:dyDescent="0.2">
      <c r="A360" s="4">
        <v>45299</v>
      </c>
      <c r="B360" s="2">
        <v>46962.2</v>
      </c>
    </row>
    <row r="361" spans="1:2" x14ac:dyDescent="0.2">
      <c r="A361" s="5">
        <v>45298</v>
      </c>
      <c r="B361" s="3">
        <v>43927.3</v>
      </c>
    </row>
    <row r="362" spans="1:2" x14ac:dyDescent="0.2">
      <c r="A362" s="4">
        <v>45297</v>
      </c>
      <c r="B362" s="2">
        <v>43967.9</v>
      </c>
    </row>
    <row r="363" spans="1:2" x14ac:dyDescent="0.2">
      <c r="A363" s="5">
        <v>45296</v>
      </c>
      <c r="B363" s="3">
        <v>44156.9</v>
      </c>
    </row>
    <row r="364" spans="1:2" x14ac:dyDescent="0.2">
      <c r="A364" s="4">
        <v>45295</v>
      </c>
      <c r="B364" s="2">
        <v>44157</v>
      </c>
    </row>
    <row r="365" spans="1:2" x14ac:dyDescent="0.2">
      <c r="A365" s="5">
        <v>45294</v>
      </c>
      <c r="B365" s="3">
        <v>42836.1</v>
      </c>
    </row>
    <row r="366" spans="1:2" x14ac:dyDescent="0.2">
      <c r="A366" s="4">
        <v>45293</v>
      </c>
      <c r="B366" s="2">
        <v>44943.7</v>
      </c>
    </row>
    <row r="367" spans="1:2" x14ac:dyDescent="0.2">
      <c r="A367" s="8">
        <v>45292</v>
      </c>
      <c r="B367" s="9">
        <v>44183.4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60D5-C398-8249-A802-03EBB0D4AB29}">
  <dimension ref="A1:B263"/>
  <sheetViews>
    <sheetView zoomScale="180" zoomScaleNormal="180" workbookViewId="0">
      <selection activeCell="A2" sqref="A2"/>
    </sheetView>
  </sheetViews>
  <sheetFormatPr baseColWidth="10" defaultRowHeight="16" x14ac:dyDescent="0.2"/>
  <sheetData>
    <row r="1" spans="1:2" x14ac:dyDescent="0.2">
      <c r="A1" s="6" t="s">
        <v>337</v>
      </c>
      <c r="B1" s="7" t="s">
        <v>338</v>
      </c>
    </row>
    <row r="2" spans="1:2" x14ac:dyDescent="0.2">
      <c r="A2" s="4">
        <v>45292</v>
      </c>
      <c r="B2" s="2"/>
    </row>
    <row r="3" spans="1:2" x14ac:dyDescent="0.2">
      <c r="A3" s="5">
        <v>45293</v>
      </c>
      <c r="B3" s="3">
        <v>4742.83</v>
      </c>
    </row>
    <row r="4" spans="1:2" x14ac:dyDescent="0.2">
      <c r="A4" s="4">
        <v>45294</v>
      </c>
      <c r="B4" s="2">
        <v>4704.8100000000004</v>
      </c>
    </row>
    <row r="5" spans="1:2" x14ac:dyDescent="0.2">
      <c r="A5" s="5">
        <v>45295</v>
      </c>
      <c r="B5" s="3">
        <v>4688.68</v>
      </c>
    </row>
    <row r="6" spans="1:2" x14ac:dyDescent="0.2">
      <c r="A6" s="4">
        <v>45296</v>
      </c>
      <c r="B6" s="2">
        <v>4697.24</v>
      </c>
    </row>
    <row r="7" spans="1:2" x14ac:dyDescent="0.2">
      <c r="A7" s="5">
        <v>45299</v>
      </c>
      <c r="B7" s="3">
        <v>4763.54</v>
      </c>
    </row>
    <row r="8" spans="1:2" x14ac:dyDescent="0.2">
      <c r="A8" s="4">
        <v>45300</v>
      </c>
      <c r="B8" s="2">
        <v>4756.5</v>
      </c>
    </row>
    <row r="9" spans="1:2" x14ac:dyDescent="0.2">
      <c r="A9" s="5">
        <v>45301</v>
      </c>
      <c r="B9" s="3">
        <v>4783.45</v>
      </c>
    </row>
    <row r="10" spans="1:2" x14ac:dyDescent="0.2">
      <c r="A10" s="4">
        <v>45302</v>
      </c>
      <c r="B10" s="2">
        <v>4780.24</v>
      </c>
    </row>
    <row r="11" spans="1:2" x14ac:dyDescent="0.2">
      <c r="A11" s="5">
        <v>45303</v>
      </c>
      <c r="B11" s="3">
        <v>4783.83</v>
      </c>
    </row>
    <row r="12" spans="1:2" x14ac:dyDescent="0.2">
      <c r="A12" s="4">
        <v>45306</v>
      </c>
      <c r="B12" s="2"/>
    </row>
    <row r="13" spans="1:2" x14ac:dyDescent="0.2">
      <c r="A13" s="5">
        <v>45307</v>
      </c>
      <c r="B13" s="3">
        <v>4765.9799999999996</v>
      </c>
    </row>
    <row r="14" spans="1:2" x14ac:dyDescent="0.2">
      <c r="A14" s="4">
        <v>45308</v>
      </c>
      <c r="B14" s="2">
        <v>4739.21</v>
      </c>
    </row>
    <row r="15" spans="1:2" x14ac:dyDescent="0.2">
      <c r="A15" s="5">
        <v>45309</v>
      </c>
      <c r="B15" s="3">
        <v>4780.9399999999996</v>
      </c>
    </row>
    <row r="16" spans="1:2" x14ac:dyDescent="0.2">
      <c r="A16" s="4">
        <v>45310</v>
      </c>
      <c r="B16" s="2">
        <v>4839.8100000000004</v>
      </c>
    </row>
    <row r="17" spans="1:2" x14ac:dyDescent="0.2">
      <c r="A17" s="5">
        <v>45313</v>
      </c>
      <c r="B17" s="3">
        <v>4850.43</v>
      </c>
    </row>
    <row r="18" spans="1:2" x14ac:dyDescent="0.2">
      <c r="A18" s="4">
        <v>45314</v>
      </c>
      <c r="B18" s="2">
        <v>4864.6000000000004</v>
      </c>
    </row>
    <row r="19" spans="1:2" x14ac:dyDescent="0.2">
      <c r="A19" s="5">
        <v>45315</v>
      </c>
      <c r="B19" s="3">
        <v>4868.55</v>
      </c>
    </row>
    <row r="20" spans="1:2" x14ac:dyDescent="0.2">
      <c r="A20" s="4">
        <v>45316</v>
      </c>
      <c r="B20" s="2">
        <v>4894.16</v>
      </c>
    </row>
    <row r="21" spans="1:2" x14ac:dyDescent="0.2">
      <c r="A21" s="5">
        <v>45317</v>
      </c>
      <c r="B21" s="3">
        <v>4890.97</v>
      </c>
    </row>
    <row r="22" spans="1:2" x14ac:dyDescent="0.2">
      <c r="A22" s="4">
        <v>45320</v>
      </c>
      <c r="B22" s="2">
        <v>4927.93</v>
      </c>
    </row>
    <row r="23" spans="1:2" x14ac:dyDescent="0.2">
      <c r="A23" s="5">
        <v>45321</v>
      </c>
      <c r="B23" s="3">
        <v>4924.97</v>
      </c>
    </row>
    <row r="24" spans="1:2" x14ac:dyDescent="0.2">
      <c r="A24" s="4">
        <v>45322</v>
      </c>
      <c r="B24" s="2">
        <v>4845.6499999999996</v>
      </c>
    </row>
    <row r="25" spans="1:2" x14ac:dyDescent="0.2">
      <c r="A25" s="5">
        <v>45323</v>
      </c>
      <c r="B25" s="3">
        <v>4906.1899999999996</v>
      </c>
    </row>
    <row r="26" spans="1:2" x14ac:dyDescent="0.2">
      <c r="A26" s="4">
        <v>45324</v>
      </c>
      <c r="B26" s="2">
        <v>4958.6099999999997</v>
      </c>
    </row>
    <row r="27" spans="1:2" x14ac:dyDescent="0.2">
      <c r="A27" s="5">
        <v>45327</v>
      </c>
      <c r="B27" s="3">
        <v>4942.8100000000004</v>
      </c>
    </row>
    <row r="28" spans="1:2" x14ac:dyDescent="0.2">
      <c r="A28" s="4">
        <v>45328</v>
      </c>
      <c r="B28" s="2">
        <v>4954.2299999999996</v>
      </c>
    </row>
    <row r="29" spans="1:2" x14ac:dyDescent="0.2">
      <c r="A29" s="5">
        <v>45329</v>
      </c>
      <c r="B29" s="3">
        <v>4995.0600000000004</v>
      </c>
    </row>
    <row r="30" spans="1:2" x14ac:dyDescent="0.2">
      <c r="A30" s="4">
        <v>45330</v>
      </c>
      <c r="B30" s="2">
        <v>4997.91</v>
      </c>
    </row>
    <row r="31" spans="1:2" x14ac:dyDescent="0.2">
      <c r="A31" s="5">
        <v>45331</v>
      </c>
      <c r="B31" s="3">
        <v>5026.6099999999997</v>
      </c>
    </row>
    <row r="32" spans="1:2" x14ac:dyDescent="0.2">
      <c r="A32" s="4">
        <v>45334</v>
      </c>
      <c r="B32" s="2">
        <v>5021.84</v>
      </c>
    </row>
    <row r="33" spans="1:2" x14ac:dyDescent="0.2">
      <c r="A33" s="5">
        <v>45335</v>
      </c>
      <c r="B33" s="3">
        <v>4953.17</v>
      </c>
    </row>
    <row r="34" spans="1:2" x14ac:dyDescent="0.2">
      <c r="A34" s="4">
        <v>45336</v>
      </c>
      <c r="B34" s="2">
        <v>5000.62</v>
      </c>
    </row>
    <row r="35" spans="1:2" x14ac:dyDescent="0.2">
      <c r="A35" s="5">
        <v>45337</v>
      </c>
      <c r="B35" s="3">
        <v>5029.7299999999996</v>
      </c>
    </row>
    <row r="36" spans="1:2" x14ac:dyDescent="0.2">
      <c r="A36" s="4">
        <v>45338</v>
      </c>
      <c r="B36" s="2">
        <v>5005.57</v>
      </c>
    </row>
    <row r="37" spans="1:2" x14ac:dyDescent="0.2">
      <c r="A37" s="5">
        <v>45341</v>
      </c>
      <c r="B37" s="3"/>
    </row>
    <row r="38" spans="1:2" x14ac:dyDescent="0.2">
      <c r="A38" s="4">
        <v>45342</v>
      </c>
      <c r="B38" s="2">
        <v>4975.51</v>
      </c>
    </row>
    <row r="39" spans="1:2" x14ac:dyDescent="0.2">
      <c r="A39" s="5">
        <v>45343</v>
      </c>
      <c r="B39" s="3">
        <v>4981.8</v>
      </c>
    </row>
    <row r="40" spans="1:2" x14ac:dyDescent="0.2">
      <c r="A40" s="4">
        <v>45344</v>
      </c>
      <c r="B40" s="2">
        <v>5087.03</v>
      </c>
    </row>
    <row r="41" spans="1:2" x14ac:dyDescent="0.2">
      <c r="A41" s="5">
        <v>45345</v>
      </c>
      <c r="B41" s="3">
        <v>5088.8</v>
      </c>
    </row>
    <row r="42" spans="1:2" x14ac:dyDescent="0.2">
      <c r="A42" s="4">
        <v>45348</v>
      </c>
      <c r="B42" s="2">
        <v>5069.53</v>
      </c>
    </row>
    <row r="43" spans="1:2" x14ac:dyDescent="0.2">
      <c r="A43" s="5">
        <v>45349</v>
      </c>
      <c r="B43" s="3">
        <v>5078.18</v>
      </c>
    </row>
    <row r="44" spans="1:2" x14ac:dyDescent="0.2">
      <c r="A44" s="4">
        <v>45350</v>
      </c>
      <c r="B44" s="2">
        <v>5069.76</v>
      </c>
    </row>
    <row r="45" spans="1:2" x14ac:dyDescent="0.2">
      <c r="A45" s="5">
        <v>45351</v>
      </c>
      <c r="B45" s="3">
        <v>5096.2700000000004</v>
      </c>
    </row>
    <row r="46" spans="1:2" x14ac:dyDescent="0.2">
      <c r="A46" s="4">
        <v>45352</v>
      </c>
      <c r="B46" s="2">
        <v>5137.08</v>
      </c>
    </row>
    <row r="47" spans="1:2" x14ac:dyDescent="0.2">
      <c r="A47" s="5">
        <v>45355</v>
      </c>
      <c r="B47" s="3">
        <v>5130.95</v>
      </c>
    </row>
    <row r="48" spans="1:2" x14ac:dyDescent="0.2">
      <c r="A48" s="4">
        <v>45356</v>
      </c>
      <c r="B48" s="2">
        <v>5078.6499999999996</v>
      </c>
    </row>
    <row r="49" spans="1:2" x14ac:dyDescent="0.2">
      <c r="A49" s="5">
        <v>45357</v>
      </c>
      <c r="B49" s="3">
        <v>5104.76</v>
      </c>
    </row>
    <row r="50" spans="1:2" x14ac:dyDescent="0.2">
      <c r="A50" s="4">
        <v>45358</v>
      </c>
      <c r="B50" s="2">
        <v>5157.3599999999997</v>
      </c>
    </row>
    <row r="51" spans="1:2" x14ac:dyDescent="0.2">
      <c r="A51" s="5">
        <v>45359</v>
      </c>
      <c r="B51" s="3">
        <v>5123.6899999999996</v>
      </c>
    </row>
    <row r="52" spans="1:2" x14ac:dyDescent="0.2">
      <c r="A52" s="4">
        <v>45362</v>
      </c>
      <c r="B52" s="2">
        <v>5117.9399999999996</v>
      </c>
    </row>
    <row r="53" spans="1:2" x14ac:dyDescent="0.2">
      <c r="A53" s="5">
        <v>45363</v>
      </c>
      <c r="B53" s="3">
        <v>5175.2700000000004</v>
      </c>
    </row>
    <row r="54" spans="1:2" x14ac:dyDescent="0.2">
      <c r="A54" s="4">
        <v>45364</v>
      </c>
      <c r="B54" s="2">
        <v>5165.3100000000004</v>
      </c>
    </row>
    <row r="55" spans="1:2" x14ac:dyDescent="0.2">
      <c r="A55" s="5">
        <v>45365</v>
      </c>
      <c r="B55" s="3">
        <v>5150.4799999999996</v>
      </c>
    </row>
    <row r="56" spans="1:2" x14ac:dyDescent="0.2">
      <c r="A56" s="4">
        <v>45366</v>
      </c>
      <c r="B56" s="2">
        <v>5117.09</v>
      </c>
    </row>
    <row r="57" spans="1:2" x14ac:dyDescent="0.2">
      <c r="A57" s="5">
        <v>45369</v>
      </c>
      <c r="B57" s="3">
        <v>5149.42</v>
      </c>
    </row>
    <row r="58" spans="1:2" x14ac:dyDescent="0.2">
      <c r="A58" s="4">
        <v>45370</v>
      </c>
      <c r="B58" s="2">
        <v>5178.51</v>
      </c>
    </row>
    <row r="59" spans="1:2" x14ac:dyDescent="0.2">
      <c r="A59" s="5">
        <v>45371</v>
      </c>
      <c r="B59" s="3">
        <v>5224.62</v>
      </c>
    </row>
    <row r="60" spans="1:2" x14ac:dyDescent="0.2">
      <c r="A60" s="4">
        <v>45372</v>
      </c>
      <c r="B60" s="2">
        <v>5241.53</v>
      </c>
    </row>
    <row r="61" spans="1:2" x14ac:dyDescent="0.2">
      <c r="A61" s="5">
        <v>45373</v>
      </c>
      <c r="B61" s="3">
        <v>5234.18</v>
      </c>
    </row>
    <row r="62" spans="1:2" x14ac:dyDescent="0.2">
      <c r="A62" s="4">
        <v>45376</v>
      </c>
      <c r="B62" s="2">
        <v>5218.1899999999996</v>
      </c>
    </row>
    <row r="63" spans="1:2" x14ac:dyDescent="0.2">
      <c r="A63" s="5">
        <v>45377</v>
      </c>
      <c r="B63" s="3">
        <v>5203.58</v>
      </c>
    </row>
    <row r="64" spans="1:2" x14ac:dyDescent="0.2">
      <c r="A64" s="4">
        <v>45378</v>
      </c>
      <c r="B64" s="2">
        <v>5248.49</v>
      </c>
    </row>
    <row r="65" spans="1:2" x14ac:dyDescent="0.2">
      <c r="A65" s="5">
        <v>45379</v>
      </c>
      <c r="B65" s="3">
        <v>5254.35</v>
      </c>
    </row>
    <row r="66" spans="1:2" x14ac:dyDescent="0.2">
      <c r="A66" s="4">
        <v>45380</v>
      </c>
      <c r="B66" s="2"/>
    </row>
    <row r="67" spans="1:2" x14ac:dyDescent="0.2">
      <c r="A67" s="5">
        <v>45383</v>
      </c>
      <c r="B67" s="3">
        <v>5243.77</v>
      </c>
    </row>
    <row r="68" spans="1:2" x14ac:dyDescent="0.2">
      <c r="A68" s="4">
        <v>45384</v>
      </c>
      <c r="B68" s="2">
        <v>5205.8100000000004</v>
      </c>
    </row>
    <row r="69" spans="1:2" x14ac:dyDescent="0.2">
      <c r="A69" s="5">
        <v>45385</v>
      </c>
      <c r="B69" s="3">
        <v>5211.49</v>
      </c>
    </row>
    <row r="70" spans="1:2" x14ac:dyDescent="0.2">
      <c r="A70" s="4">
        <v>45386</v>
      </c>
      <c r="B70" s="2">
        <v>5147.21</v>
      </c>
    </row>
    <row r="71" spans="1:2" x14ac:dyDescent="0.2">
      <c r="A71" s="5">
        <v>45387</v>
      </c>
      <c r="B71" s="3">
        <v>5204.34</v>
      </c>
    </row>
    <row r="72" spans="1:2" x14ac:dyDescent="0.2">
      <c r="A72" s="4">
        <v>45390</v>
      </c>
      <c r="B72" s="2">
        <v>5202.3900000000003</v>
      </c>
    </row>
    <row r="73" spans="1:2" x14ac:dyDescent="0.2">
      <c r="A73" s="5">
        <v>45391</v>
      </c>
      <c r="B73" s="3">
        <v>5209.91</v>
      </c>
    </row>
    <row r="74" spans="1:2" x14ac:dyDescent="0.2">
      <c r="A74" s="4">
        <v>45392</v>
      </c>
      <c r="B74" s="2">
        <v>5160.6400000000003</v>
      </c>
    </row>
    <row r="75" spans="1:2" x14ac:dyDescent="0.2">
      <c r="A75" s="5">
        <v>45393</v>
      </c>
      <c r="B75" s="3">
        <v>5199.0600000000004</v>
      </c>
    </row>
    <row r="76" spans="1:2" x14ac:dyDescent="0.2">
      <c r="A76" s="4">
        <v>45394</v>
      </c>
      <c r="B76" s="2">
        <v>5123.41</v>
      </c>
    </row>
    <row r="77" spans="1:2" x14ac:dyDescent="0.2">
      <c r="A77" s="5">
        <v>45397</v>
      </c>
      <c r="B77" s="3">
        <v>5061.82</v>
      </c>
    </row>
    <row r="78" spans="1:2" x14ac:dyDescent="0.2">
      <c r="A78" s="4">
        <v>45398</v>
      </c>
      <c r="B78" s="2">
        <v>5051.41</v>
      </c>
    </row>
    <row r="79" spans="1:2" x14ac:dyDescent="0.2">
      <c r="A79" s="5">
        <v>45399</v>
      </c>
      <c r="B79" s="3">
        <v>5022.21</v>
      </c>
    </row>
    <row r="80" spans="1:2" x14ac:dyDescent="0.2">
      <c r="A80" s="4">
        <v>45400</v>
      </c>
      <c r="B80" s="2">
        <v>5011.12</v>
      </c>
    </row>
    <row r="81" spans="1:2" x14ac:dyDescent="0.2">
      <c r="A81" s="5">
        <v>45401</v>
      </c>
      <c r="B81" s="3">
        <v>4967.2299999999996</v>
      </c>
    </row>
    <row r="82" spans="1:2" x14ac:dyDescent="0.2">
      <c r="A82" s="4">
        <v>45404</v>
      </c>
      <c r="B82" s="2">
        <v>5010.6000000000004</v>
      </c>
    </row>
    <row r="83" spans="1:2" x14ac:dyDescent="0.2">
      <c r="A83" s="5">
        <v>45405</v>
      </c>
      <c r="B83" s="3">
        <v>5070.55</v>
      </c>
    </row>
    <row r="84" spans="1:2" x14ac:dyDescent="0.2">
      <c r="A84" s="4">
        <v>45406</v>
      </c>
      <c r="B84" s="2">
        <v>5071.63</v>
      </c>
    </row>
    <row r="85" spans="1:2" x14ac:dyDescent="0.2">
      <c r="A85" s="5">
        <v>45407</v>
      </c>
      <c r="B85" s="3">
        <v>5048.42</v>
      </c>
    </row>
    <row r="86" spans="1:2" x14ac:dyDescent="0.2">
      <c r="A86" s="4">
        <v>45408</v>
      </c>
      <c r="B86" s="2">
        <v>5099.96</v>
      </c>
    </row>
    <row r="87" spans="1:2" x14ac:dyDescent="0.2">
      <c r="A87" s="5">
        <v>45411</v>
      </c>
      <c r="B87" s="3">
        <v>5116.17</v>
      </c>
    </row>
    <row r="88" spans="1:2" x14ac:dyDescent="0.2">
      <c r="A88" s="4">
        <v>45412</v>
      </c>
      <c r="B88" s="2">
        <v>5035.6899999999996</v>
      </c>
    </row>
    <row r="89" spans="1:2" x14ac:dyDescent="0.2">
      <c r="A89" s="5">
        <v>45413</v>
      </c>
      <c r="B89" s="3">
        <v>5018.3900000000003</v>
      </c>
    </row>
    <row r="90" spans="1:2" x14ac:dyDescent="0.2">
      <c r="A90" s="4">
        <v>45414</v>
      </c>
      <c r="B90" s="2">
        <v>5064.2</v>
      </c>
    </row>
    <row r="91" spans="1:2" x14ac:dyDescent="0.2">
      <c r="A91" s="5">
        <v>45415</v>
      </c>
      <c r="B91" s="3">
        <v>5127.79</v>
      </c>
    </row>
    <row r="92" spans="1:2" x14ac:dyDescent="0.2">
      <c r="A92" s="4">
        <v>45418</v>
      </c>
      <c r="B92" s="2">
        <v>5180.74</v>
      </c>
    </row>
    <row r="93" spans="1:2" x14ac:dyDescent="0.2">
      <c r="A93" s="5">
        <v>45419</v>
      </c>
      <c r="B93" s="3">
        <v>5187.7</v>
      </c>
    </row>
    <row r="94" spans="1:2" x14ac:dyDescent="0.2">
      <c r="A94" s="4">
        <v>45420</v>
      </c>
      <c r="B94" s="2">
        <v>5187.67</v>
      </c>
    </row>
    <row r="95" spans="1:2" x14ac:dyDescent="0.2">
      <c r="A95" s="5">
        <v>45421</v>
      </c>
      <c r="B95" s="3">
        <v>5214.08</v>
      </c>
    </row>
    <row r="96" spans="1:2" x14ac:dyDescent="0.2">
      <c r="A96" s="4">
        <v>45422</v>
      </c>
      <c r="B96" s="2">
        <v>5222.68</v>
      </c>
    </row>
    <row r="97" spans="1:2" x14ac:dyDescent="0.2">
      <c r="A97" s="5">
        <v>45425</v>
      </c>
      <c r="B97" s="3">
        <v>5221.42</v>
      </c>
    </row>
    <row r="98" spans="1:2" x14ac:dyDescent="0.2">
      <c r="A98" s="4">
        <v>45426</v>
      </c>
      <c r="B98" s="2">
        <v>5246.68</v>
      </c>
    </row>
    <row r="99" spans="1:2" x14ac:dyDescent="0.2">
      <c r="A99" s="5">
        <v>45427</v>
      </c>
      <c r="B99" s="3">
        <v>5308.15</v>
      </c>
    </row>
    <row r="100" spans="1:2" x14ac:dyDescent="0.2">
      <c r="A100" s="4">
        <v>45428</v>
      </c>
      <c r="B100" s="2">
        <v>5297.1</v>
      </c>
    </row>
    <row r="101" spans="1:2" x14ac:dyDescent="0.2">
      <c r="A101" s="5">
        <v>45429</v>
      </c>
      <c r="B101" s="3">
        <v>5303.27</v>
      </c>
    </row>
    <row r="102" spans="1:2" x14ac:dyDescent="0.2">
      <c r="A102" s="4">
        <v>45432</v>
      </c>
      <c r="B102" s="2">
        <v>5308.13</v>
      </c>
    </row>
    <row r="103" spans="1:2" x14ac:dyDescent="0.2">
      <c r="A103" s="5">
        <v>45433</v>
      </c>
      <c r="B103" s="3">
        <v>5321.41</v>
      </c>
    </row>
    <row r="104" spans="1:2" x14ac:dyDescent="0.2">
      <c r="A104" s="4">
        <v>45434</v>
      </c>
      <c r="B104" s="2">
        <v>5307.01</v>
      </c>
    </row>
    <row r="105" spans="1:2" x14ac:dyDescent="0.2">
      <c r="A105" s="5">
        <v>45435</v>
      </c>
      <c r="B105" s="3">
        <v>5267.84</v>
      </c>
    </row>
    <row r="106" spans="1:2" x14ac:dyDescent="0.2">
      <c r="A106" s="4">
        <v>45436</v>
      </c>
      <c r="B106" s="2">
        <v>5304.72</v>
      </c>
    </row>
    <row r="107" spans="1:2" x14ac:dyDescent="0.2">
      <c r="A107" s="5">
        <v>45439</v>
      </c>
      <c r="B107" s="3"/>
    </row>
    <row r="108" spans="1:2" x14ac:dyDescent="0.2">
      <c r="A108" s="4">
        <v>45440</v>
      </c>
      <c r="B108" s="2">
        <v>5306.04</v>
      </c>
    </row>
    <row r="109" spans="1:2" x14ac:dyDescent="0.2">
      <c r="A109" s="5">
        <v>45441</v>
      </c>
      <c r="B109" s="3">
        <v>5266.95</v>
      </c>
    </row>
    <row r="110" spans="1:2" x14ac:dyDescent="0.2">
      <c r="A110" s="4">
        <v>45442</v>
      </c>
      <c r="B110" s="2">
        <v>5235.4799999999996</v>
      </c>
    </row>
    <row r="111" spans="1:2" x14ac:dyDescent="0.2">
      <c r="A111" s="5">
        <v>45443</v>
      </c>
      <c r="B111" s="3">
        <v>5277.51</v>
      </c>
    </row>
    <row r="112" spans="1:2" x14ac:dyDescent="0.2">
      <c r="A112" s="4">
        <v>45446</v>
      </c>
      <c r="B112" s="2">
        <v>5283.4</v>
      </c>
    </row>
    <row r="113" spans="1:2" x14ac:dyDescent="0.2">
      <c r="A113" s="5">
        <v>45447</v>
      </c>
      <c r="B113" s="3">
        <v>5291.34</v>
      </c>
    </row>
    <row r="114" spans="1:2" x14ac:dyDescent="0.2">
      <c r="A114" s="4">
        <v>45448</v>
      </c>
      <c r="B114" s="2">
        <v>5354.03</v>
      </c>
    </row>
    <row r="115" spans="1:2" x14ac:dyDescent="0.2">
      <c r="A115" s="5">
        <v>45449</v>
      </c>
      <c r="B115" s="3">
        <v>5352.96</v>
      </c>
    </row>
    <row r="116" spans="1:2" x14ac:dyDescent="0.2">
      <c r="A116" s="4">
        <v>45450</v>
      </c>
      <c r="B116" s="2">
        <v>5346.99</v>
      </c>
    </row>
    <row r="117" spans="1:2" x14ac:dyDescent="0.2">
      <c r="A117" s="5">
        <v>45453</v>
      </c>
      <c r="B117" s="3">
        <v>5360.79</v>
      </c>
    </row>
    <row r="118" spans="1:2" x14ac:dyDescent="0.2">
      <c r="A118" s="4">
        <v>45454</v>
      </c>
      <c r="B118" s="2">
        <v>5375.32</v>
      </c>
    </row>
    <row r="119" spans="1:2" x14ac:dyDescent="0.2">
      <c r="A119" s="5">
        <v>45455</v>
      </c>
      <c r="B119" s="3">
        <v>5421.03</v>
      </c>
    </row>
    <row r="120" spans="1:2" x14ac:dyDescent="0.2">
      <c r="A120" s="4">
        <v>45456</v>
      </c>
      <c r="B120" s="2">
        <v>5433.74</v>
      </c>
    </row>
    <row r="121" spans="1:2" x14ac:dyDescent="0.2">
      <c r="A121" s="5">
        <v>45457</v>
      </c>
      <c r="B121" s="3">
        <v>5431.6</v>
      </c>
    </row>
    <row r="122" spans="1:2" x14ac:dyDescent="0.2">
      <c r="A122" s="4">
        <v>45460</v>
      </c>
      <c r="B122" s="2">
        <v>5473.23</v>
      </c>
    </row>
    <row r="123" spans="1:2" x14ac:dyDescent="0.2">
      <c r="A123" s="5">
        <v>45461</v>
      </c>
      <c r="B123" s="3">
        <v>5487.03</v>
      </c>
    </row>
    <row r="124" spans="1:2" x14ac:dyDescent="0.2">
      <c r="A124" s="4">
        <v>45462</v>
      </c>
      <c r="B124" s="2"/>
    </row>
    <row r="125" spans="1:2" x14ac:dyDescent="0.2">
      <c r="A125" s="5">
        <v>45463</v>
      </c>
      <c r="B125" s="3">
        <v>5473.17</v>
      </c>
    </row>
    <row r="126" spans="1:2" x14ac:dyDescent="0.2">
      <c r="A126" s="4">
        <v>45464</v>
      </c>
      <c r="B126" s="2">
        <v>5464.62</v>
      </c>
    </row>
    <row r="127" spans="1:2" x14ac:dyDescent="0.2">
      <c r="A127" s="5">
        <v>45467</v>
      </c>
      <c r="B127" s="3">
        <v>5447.87</v>
      </c>
    </row>
    <row r="128" spans="1:2" x14ac:dyDescent="0.2">
      <c r="A128" s="4">
        <v>45468</v>
      </c>
      <c r="B128" s="2">
        <v>5469.3</v>
      </c>
    </row>
    <row r="129" spans="1:2" x14ac:dyDescent="0.2">
      <c r="A129" s="5">
        <v>45469</v>
      </c>
      <c r="B129" s="3">
        <v>5477.9</v>
      </c>
    </row>
    <row r="130" spans="1:2" x14ac:dyDescent="0.2">
      <c r="A130" s="4">
        <v>45470</v>
      </c>
      <c r="B130" s="2">
        <v>5482.87</v>
      </c>
    </row>
    <row r="131" spans="1:2" x14ac:dyDescent="0.2">
      <c r="A131" s="5">
        <v>45471</v>
      </c>
      <c r="B131" s="3">
        <v>5460.48</v>
      </c>
    </row>
    <row r="132" spans="1:2" x14ac:dyDescent="0.2">
      <c r="A132" s="4">
        <v>45474</v>
      </c>
      <c r="B132" s="2">
        <v>5475.09</v>
      </c>
    </row>
    <row r="133" spans="1:2" x14ac:dyDescent="0.2">
      <c r="A133" s="5">
        <v>45475</v>
      </c>
      <c r="B133" s="3">
        <v>5509.01</v>
      </c>
    </row>
    <row r="134" spans="1:2" x14ac:dyDescent="0.2">
      <c r="A134" s="4">
        <v>45476</v>
      </c>
      <c r="B134" s="2">
        <v>5537.02</v>
      </c>
    </row>
    <row r="135" spans="1:2" x14ac:dyDescent="0.2">
      <c r="A135" s="5">
        <v>45477</v>
      </c>
      <c r="B135" s="3"/>
    </row>
    <row r="136" spans="1:2" x14ac:dyDescent="0.2">
      <c r="A136" s="4">
        <v>45478</v>
      </c>
      <c r="B136" s="2">
        <v>5567.19</v>
      </c>
    </row>
    <row r="137" spans="1:2" x14ac:dyDescent="0.2">
      <c r="A137" s="5">
        <v>45481</v>
      </c>
      <c r="B137" s="3">
        <v>5572.85</v>
      </c>
    </row>
    <row r="138" spans="1:2" x14ac:dyDescent="0.2">
      <c r="A138" s="4">
        <v>45482</v>
      </c>
      <c r="B138" s="2">
        <v>5576.98</v>
      </c>
    </row>
    <row r="139" spans="1:2" x14ac:dyDescent="0.2">
      <c r="A139" s="5">
        <v>45483</v>
      </c>
      <c r="B139" s="3">
        <v>5633.91</v>
      </c>
    </row>
    <row r="140" spans="1:2" x14ac:dyDescent="0.2">
      <c r="A140" s="4">
        <v>45484</v>
      </c>
      <c r="B140" s="2">
        <v>5584.54</v>
      </c>
    </row>
    <row r="141" spans="1:2" x14ac:dyDescent="0.2">
      <c r="A141" s="5">
        <v>45485</v>
      </c>
      <c r="B141" s="3">
        <v>5615.35</v>
      </c>
    </row>
    <row r="142" spans="1:2" x14ac:dyDescent="0.2">
      <c r="A142" s="4">
        <v>45488</v>
      </c>
      <c r="B142" s="2">
        <v>5631.22</v>
      </c>
    </row>
    <row r="143" spans="1:2" x14ac:dyDescent="0.2">
      <c r="A143" s="5">
        <v>45489</v>
      </c>
      <c r="B143" s="3">
        <v>5667.2</v>
      </c>
    </row>
    <row r="144" spans="1:2" x14ac:dyDescent="0.2">
      <c r="A144" s="4">
        <v>45490</v>
      </c>
      <c r="B144" s="2">
        <v>5588.27</v>
      </c>
    </row>
    <row r="145" spans="1:2" x14ac:dyDescent="0.2">
      <c r="A145" s="5">
        <v>45491</v>
      </c>
      <c r="B145" s="3">
        <v>5544.59</v>
      </c>
    </row>
    <row r="146" spans="1:2" x14ac:dyDescent="0.2">
      <c r="A146" s="4">
        <v>45492</v>
      </c>
      <c r="B146" s="2">
        <v>5505</v>
      </c>
    </row>
    <row r="147" spans="1:2" x14ac:dyDescent="0.2">
      <c r="A147" s="5">
        <v>45495</v>
      </c>
      <c r="B147" s="3">
        <v>5564.41</v>
      </c>
    </row>
    <row r="148" spans="1:2" x14ac:dyDescent="0.2">
      <c r="A148" s="4">
        <v>45496</v>
      </c>
      <c r="B148" s="2">
        <v>5555.74</v>
      </c>
    </row>
    <row r="149" spans="1:2" x14ac:dyDescent="0.2">
      <c r="A149" s="5">
        <v>45497</v>
      </c>
      <c r="B149" s="3">
        <v>5427.13</v>
      </c>
    </row>
    <row r="150" spans="1:2" x14ac:dyDescent="0.2">
      <c r="A150" s="4">
        <v>45498</v>
      </c>
      <c r="B150" s="2">
        <v>5399.22</v>
      </c>
    </row>
    <row r="151" spans="1:2" x14ac:dyDescent="0.2">
      <c r="A151" s="5">
        <v>45499</v>
      </c>
      <c r="B151" s="3">
        <v>5459.1</v>
      </c>
    </row>
    <row r="152" spans="1:2" x14ac:dyDescent="0.2">
      <c r="A152" s="4">
        <v>45502</v>
      </c>
      <c r="B152" s="2">
        <v>5463.54</v>
      </c>
    </row>
    <row r="153" spans="1:2" x14ac:dyDescent="0.2">
      <c r="A153" s="5">
        <v>45503</v>
      </c>
      <c r="B153" s="3">
        <v>5436.44</v>
      </c>
    </row>
    <row r="154" spans="1:2" x14ac:dyDescent="0.2">
      <c r="A154" s="4">
        <v>45504</v>
      </c>
      <c r="B154" s="2">
        <v>5522.3</v>
      </c>
    </row>
    <row r="155" spans="1:2" x14ac:dyDescent="0.2">
      <c r="A155" s="5">
        <v>45505</v>
      </c>
      <c r="B155" s="3">
        <v>5446.68</v>
      </c>
    </row>
    <row r="156" spans="1:2" x14ac:dyDescent="0.2">
      <c r="A156" s="4">
        <v>45506</v>
      </c>
      <c r="B156" s="2">
        <v>5346.56</v>
      </c>
    </row>
    <row r="157" spans="1:2" x14ac:dyDescent="0.2">
      <c r="A157" s="5">
        <v>45509</v>
      </c>
      <c r="B157" s="3">
        <v>5186.33</v>
      </c>
    </row>
    <row r="158" spans="1:2" x14ac:dyDescent="0.2">
      <c r="A158" s="4">
        <v>45510</v>
      </c>
      <c r="B158" s="2">
        <v>5240.03</v>
      </c>
    </row>
    <row r="159" spans="1:2" x14ac:dyDescent="0.2">
      <c r="A159" s="5">
        <v>45511</v>
      </c>
      <c r="B159" s="3">
        <v>5199.5</v>
      </c>
    </row>
    <row r="160" spans="1:2" x14ac:dyDescent="0.2">
      <c r="A160" s="4">
        <v>45512</v>
      </c>
      <c r="B160" s="2">
        <v>5319.31</v>
      </c>
    </row>
    <row r="161" spans="1:2" x14ac:dyDescent="0.2">
      <c r="A161" s="5">
        <v>45513</v>
      </c>
      <c r="B161" s="3">
        <v>5344.16</v>
      </c>
    </row>
    <row r="162" spans="1:2" x14ac:dyDescent="0.2">
      <c r="A162" s="4">
        <v>45516</v>
      </c>
      <c r="B162" s="2">
        <v>5344.39</v>
      </c>
    </row>
    <row r="163" spans="1:2" x14ac:dyDescent="0.2">
      <c r="A163" s="5">
        <v>45517</v>
      </c>
      <c r="B163" s="3">
        <v>5434.43</v>
      </c>
    </row>
    <row r="164" spans="1:2" x14ac:dyDescent="0.2">
      <c r="A164" s="4">
        <v>45518</v>
      </c>
      <c r="B164" s="2">
        <v>5455.21</v>
      </c>
    </row>
    <row r="165" spans="1:2" x14ac:dyDescent="0.2">
      <c r="A165" s="5">
        <v>45519</v>
      </c>
      <c r="B165" s="3">
        <v>5543.22</v>
      </c>
    </row>
    <row r="166" spans="1:2" x14ac:dyDescent="0.2">
      <c r="A166" s="4">
        <v>45520</v>
      </c>
      <c r="B166" s="2">
        <v>5554.25</v>
      </c>
    </row>
    <row r="167" spans="1:2" x14ac:dyDescent="0.2">
      <c r="A167" s="5">
        <v>45523</v>
      </c>
      <c r="B167" s="3">
        <v>5608.25</v>
      </c>
    </row>
    <row r="168" spans="1:2" x14ac:dyDescent="0.2">
      <c r="A168" s="4">
        <v>45524</v>
      </c>
      <c r="B168" s="2">
        <v>5597.12</v>
      </c>
    </row>
    <row r="169" spans="1:2" x14ac:dyDescent="0.2">
      <c r="A169" s="5">
        <v>45525</v>
      </c>
      <c r="B169" s="3">
        <v>5620.85</v>
      </c>
    </row>
    <row r="170" spans="1:2" x14ac:dyDescent="0.2">
      <c r="A170" s="4">
        <v>45526</v>
      </c>
      <c r="B170" s="2">
        <v>5570.64</v>
      </c>
    </row>
    <row r="171" spans="1:2" x14ac:dyDescent="0.2">
      <c r="A171" s="5">
        <v>45527</v>
      </c>
      <c r="B171" s="3">
        <v>5634.61</v>
      </c>
    </row>
    <row r="172" spans="1:2" x14ac:dyDescent="0.2">
      <c r="A172" s="4">
        <v>45530</v>
      </c>
      <c r="B172" s="2">
        <v>5616.84</v>
      </c>
    </row>
    <row r="173" spans="1:2" x14ac:dyDescent="0.2">
      <c r="A173" s="5">
        <v>45531</v>
      </c>
      <c r="B173" s="3">
        <v>5625.8</v>
      </c>
    </row>
    <row r="174" spans="1:2" x14ac:dyDescent="0.2">
      <c r="A174" s="4">
        <v>45532</v>
      </c>
      <c r="B174" s="2">
        <v>5592.18</v>
      </c>
    </row>
    <row r="175" spans="1:2" x14ac:dyDescent="0.2">
      <c r="A175" s="5">
        <v>45533</v>
      </c>
      <c r="B175" s="3">
        <v>5591.96</v>
      </c>
    </row>
    <row r="176" spans="1:2" x14ac:dyDescent="0.2">
      <c r="A176" s="4">
        <v>45534</v>
      </c>
      <c r="B176" s="2">
        <v>5648.4</v>
      </c>
    </row>
    <row r="177" spans="1:2" x14ac:dyDescent="0.2">
      <c r="A177" s="5">
        <v>45537</v>
      </c>
      <c r="B177" s="3"/>
    </row>
    <row r="178" spans="1:2" x14ac:dyDescent="0.2">
      <c r="A178" s="4">
        <v>45538</v>
      </c>
      <c r="B178" s="2">
        <v>5528.93</v>
      </c>
    </row>
    <row r="179" spans="1:2" x14ac:dyDescent="0.2">
      <c r="A179" s="5">
        <v>45539</v>
      </c>
      <c r="B179" s="3">
        <v>5520.07</v>
      </c>
    </row>
    <row r="180" spans="1:2" x14ac:dyDescent="0.2">
      <c r="A180" s="4">
        <v>45540</v>
      </c>
      <c r="B180" s="2">
        <v>5503.41</v>
      </c>
    </row>
    <row r="181" spans="1:2" x14ac:dyDescent="0.2">
      <c r="A181" s="5">
        <v>45541</v>
      </c>
      <c r="B181" s="3">
        <v>5408.42</v>
      </c>
    </row>
    <row r="182" spans="1:2" x14ac:dyDescent="0.2">
      <c r="A182" s="4">
        <v>45544</v>
      </c>
      <c r="B182" s="2">
        <v>5471.05</v>
      </c>
    </row>
    <row r="183" spans="1:2" x14ac:dyDescent="0.2">
      <c r="A183" s="5">
        <v>45545</v>
      </c>
      <c r="B183" s="3">
        <v>5495.52</v>
      </c>
    </row>
    <row r="184" spans="1:2" x14ac:dyDescent="0.2">
      <c r="A184" s="4">
        <v>45546</v>
      </c>
      <c r="B184" s="2">
        <v>5554.13</v>
      </c>
    </row>
    <row r="185" spans="1:2" x14ac:dyDescent="0.2">
      <c r="A185" s="5">
        <v>45547</v>
      </c>
      <c r="B185" s="3">
        <v>5595.76</v>
      </c>
    </row>
    <row r="186" spans="1:2" x14ac:dyDescent="0.2">
      <c r="A186" s="4">
        <v>45548</v>
      </c>
      <c r="B186" s="2">
        <v>5626.02</v>
      </c>
    </row>
    <row r="187" spans="1:2" x14ac:dyDescent="0.2">
      <c r="A187" s="5">
        <v>45551</v>
      </c>
      <c r="B187" s="3">
        <v>5633.09</v>
      </c>
    </row>
    <row r="188" spans="1:2" x14ac:dyDescent="0.2">
      <c r="A188" s="4">
        <v>45552</v>
      </c>
      <c r="B188" s="2">
        <v>5634.58</v>
      </c>
    </row>
    <row r="189" spans="1:2" x14ac:dyDescent="0.2">
      <c r="A189" s="5">
        <v>45553</v>
      </c>
      <c r="B189" s="3">
        <v>5618.26</v>
      </c>
    </row>
    <row r="190" spans="1:2" x14ac:dyDescent="0.2">
      <c r="A190" s="4">
        <v>45554</v>
      </c>
      <c r="B190" s="2">
        <v>5713.64</v>
      </c>
    </row>
    <row r="191" spans="1:2" x14ac:dyDescent="0.2">
      <c r="A191" s="5">
        <v>45555</v>
      </c>
      <c r="B191" s="3">
        <v>5702.55</v>
      </c>
    </row>
    <row r="192" spans="1:2" x14ac:dyDescent="0.2">
      <c r="A192" s="4">
        <v>45558</v>
      </c>
      <c r="B192" s="2">
        <v>5718.57</v>
      </c>
    </row>
    <row r="193" spans="1:2" x14ac:dyDescent="0.2">
      <c r="A193" s="5">
        <v>45559</v>
      </c>
      <c r="B193" s="3">
        <v>5732.93</v>
      </c>
    </row>
    <row r="194" spans="1:2" x14ac:dyDescent="0.2">
      <c r="A194" s="4">
        <v>45560</v>
      </c>
      <c r="B194" s="2">
        <v>5722.26</v>
      </c>
    </row>
    <row r="195" spans="1:2" x14ac:dyDescent="0.2">
      <c r="A195" s="5">
        <v>45561</v>
      </c>
      <c r="B195" s="3">
        <v>5745.37</v>
      </c>
    </row>
    <row r="196" spans="1:2" x14ac:dyDescent="0.2">
      <c r="A196" s="4">
        <v>45562</v>
      </c>
      <c r="B196" s="2">
        <v>5738.17</v>
      </c>
    </row>
    <row r="197" spans="1:2" x14ac:dyDescent="0.2">
      <c r="A197" s="5">
        <v>45565</v>
      </c>
      <c r="B197" s="3">
        <v>5762.48</v>
      </c>
    </row>
    <row r="198" spans="1:2" x14ac:dyDescent="0.2">
      <c r="A198" s="4">
        <v>45566</v>
      </c>
      <c r="B198" s="2">
        <v>5708.75</v>
      </c>
    </row>
    <row r="199" spans="1:2" x14ac:dyDescent="0.2">
      <c r="A199" s="5">
        <v>45567</v>
      </c>
      <c r="B199" s="3">
        <v>5709.54</v>
      </c>
    </row>
    <row r="200" spans="1:2" x14ac:dyDescent="0.2">
      <c r="A200" s="4">
        <v>45568</v>
      </c>
      <c r="B200" s="2">
        <v>5699.94</v>
      </c>
    </row>
    <row r="201" spans="1:2" x14ac:dyDescent="0.2">
      <c r="A201" s="5">
        <v>45569</v>
      </c>
      <c r="B201" s="3">
        <v>5751.07</v>
      </c>
    </row>
    <row r="202" spans="1:2" x14ac:dyDescent="0.2">
      <c r="A202" s="4">
        <v>45572</v>
      </c>
      <c r="B202" s="2">
        <v>5695.94</v>
      </c>
    </row>
    <row r="203" spans="1:2" x14ac:dyDescent="0.2">
      <c r="A203" s="5">
        <v>45573</v>
      </c>
      <c r="B203" s="3">
        <v>5751.13</v>
      </c>
    </row>
    <row r="204" spans="1:2" x14ac:dyDescent="0.2">
      <c r="A204" s="4">
        <v>45574</v>
      </c>
      <c r="B204" s="2">
        <v>5792.04</v>
      </c>
    </row>
    <row r="205" spans="1:2" x14ac:dyDescent="0.2">
      <c r="A205" s="5">
        <v>45575</v>
      </c>
      <c r="B205" s="3">
        <v>5780.05</v>
      </c>
    </row>
    <row r="206" spans="1:2" x14ac:dyDescent="0.2">
      <c r="A206" s="4">
        <v>45576</v>
      </c>
      <c r="B206" s="2">
        <v>5815.03</v>
      </c>
    </row>
    <row r="207" spans="1:2" x14ac:dyDescent="0.2">
      <c r="A207" s="5">
        <v>45579</v>
      </c>
      <c r="B207" s="3">
        <v>5859.85</v>
      </c>
    </row>
    <row r="208" spans="1:2" x14ac:dyDescent="0.2">
      <c r="A208" s="4">
        <v>45580</v>
      </c>
      <c r="B208" s="2">
        <v>5815.26</v>
      </c>
    </row>
    <row r="209" spans="1:2" x14ac:dyDescent="0.2">
      <c r="A209" s="5">
        <v>45581</v>
      </c>
      <c r="B209" s="3">
        <v>5842.47</v>
      </c>
    </row>
    <row r="210" spans="1:2" x14ac:dyDescent="0.2">
      <c r="A210" s="4">
        <v>45582</v>
      </c>
      <c r="B210" s="2">
        <v>5841.47</v>
      </c>
    </row>
    <row r="211" spans="1:2" x14ac:dyDescent="0.2">
      <c r="A211" s="5">
        <v>45583</v>
      </c>
      <c r="B211" s="3">
        <v>5864.67</v>
      </c>
    </row>
    <row r="212" spans="1:2" x14ac:dyDescent="0.2">
      <c r="A212" s="4">
        <v>45586</v>
      </c>
      <c r="B212" s="2">
        <v>5853.98</v>
      </c>
    </row>
    <row r="213" spans="1:2" x14ac:dyDescent="0.2">
      <c r="A213" s="5">
        <v>45587</v>
      </c>
      <c r="B213" s="3">
        <v>5851.2</v>
      </c>
    </row>
    <row r="214" spans="1:2" x14ac:dyDescent="0.2">
      <c r="A214" s="4">
        <v>45588</v>
      </c>
      <c r="B214" s="2">
        <v>5797.42</v>
      </c>
    </row>
    <row r="215" spans="1:2" x14ac:dyDescent="0.2">
      <c r="A215" s="5">
        <v>45589</v>
      </c>
      <c r="B215" s="3">
        <v>5809.86</v>
      </c>
    </row>
    <row r="216" spans="1:2" x14ac:dyDescent="0.2">
      <c r="A216" s="4">
        <v>45590</v>
      </c>
      <c r="B216" s="2">
        <v>5808.12</v>
      </c>
    </row>
    <row r="217" spans="1:2" x14ac:dyDescent="0.2">
      <c r="A217" s="5">
        <v>45593</v>
      </c>
      <c r="B217" s="3">
        <v>5823.52</v>
      </c>
    </row>
    <row r="218" spans="1:2" x14ac:dyDescent="0.2">
      <c r="A218" s="4">
        <v>45594</v>
      </c>
      <c r="B218" s="2">
        <v>5832.92</v>
      </c>
    </row>
    <row r="219" spans="1:2" x14ac:dyDescent="0.2">
      <c r="A219" s="5">
        <v>45595</v>
      </c>
      <c r="B219" s="3">
        <v>5813.67</v>
      </c>
    </row>
    <row r="220" spans="1:2" x14ac:dyDescent="0.2">
      <c r="A220" s="4">
        <v>45596</v>
      </c>
      <c r="B220" s="2">
        <v>5705.45</v>
      </c>
    </row>
    <row r="221" spans="1:2" x14ac:dyDescent="0.2">
      <c r="A221" s="5">
        <v>45597</v>
      </c>
      <c r="B221" s="3">
        <v>5728.8</v>
      </c>
    </row>
    <row r="222" spans="1:2" x14ac:dyDescent="0.2">
      <c r="A222" s="4">
        <v>45600</v>
      </c>
      <c r="B222" s="2">
        <v>5712.69</v>
      </c>
    </row>
    <row r="223" spans="1:2" x14ac:dyDescent="0.2">
      <c r="A223" s="5">
        <v>45601</v>
      </c>
      <c r="B223" s="3">
        <v>5782.76</v>
      </c>
    </row>
    <row r="224" spans="1:2" x14ac:dyDescent="0.2">
      <c r="A224" s="4">
        <v>45602</v>
      </c>
      <c r="B224" s="2">
        <v>5929.04</v>
      </c>
    </row>
    <row r="225" spans="1:2" x14ac:dyDescent="0.2">
      <c r="A225" s="5">
        <v>45603</v>
      </c>
      <c r="B225" s="3">
        <v>5973.1</v>
      </c>
    </row>
    <row r="226" spans="1:2" x14ac:dyDescent="0.2">
      <c r="A226" s="4">
        <v>45604</v>
      </c>
      <c r="B226" s="2">
        <v>5995.54</v>
      </c>
    </row>
    <row r="227" spans="1:2" x14ac:dyDescent="0.2">
      <c r="A227" s="5">
        <v>45607</v>
      </c>
      <c r="B227" s="3">
        <v>6001.35</v>
      </c>
    </row>
    <row r="228" spans="1:2" x14ac:dyDescent="0.2">
      <c r="A228" s="4">
        <v>45608</v>
      </c>
      <c r="B228" s="2">
        <v>5983.99</v>
      </c>
    </row>
    <row r="229" spans="1:2" x14ac:dyDescent="0.2">
      <c r="A229" s="5">
        <v>45609</v>
      </c>
      <c r="B229" s="3">
        <v>5985.38</v>
      </c>
    </row>
    <row r="230" spans="1:2" x14ac:dyDescent="0.2">
      <c r="A230" s="4">
        <v>45610</v>
      </c>
      <c r="B230" s="2">
        <v>5949.17</v>
      </c>
    </row>
    <row r="231" spans="1:2" x14ac:dyDescent="0.2">
      <c r="A231" s="5">
        <v>45611</v>
      </c>
      <c r="B231" s="3">
        <v>5870.62</v>
      </c>
    </row>
    <row r="232" spans="1:2" x14ac:dyDescent="0.2">
      <c r="A232" s="4">
        <v>45614</v>
      </c>
      <c r="B232" s="2">
        <v>5893.62</v>
      </c>
    </row>
    <row r="233" spans="1:2" x14ac:dyDescent="0.2">
      <c r="A233" s="5">
        <v>45615</v>
      </c>
      <c r="B233" s="3">
        <v>5916.98</v>
      </c>
    </row>
    <row r="234" spans="1:2" x14ac:dyDescent="0.2">
      <c r="A234" s="4">
        <v>45616</v>
      </c>
      <c r="B234" s="2">
        <v>5917.11</v>
      </c>
    </row>
    <row r="235" spans="1:2" x14ac:dyDescent="0.2">
      <c r="A235" s="5">
        <v>45617</v>
      </c>
      <c r="B235" s="3">
        <v>5948.71</v>
      </c>
    </row>
    <row r="236" spans="1:2" x14ac:dyDescent="0.2">
      <c r="A236" s="4">
        <v>45618</v>
      </c>
      <c r="B236" s="2">
        <v>5969.34</v>
      </c>
    </row>
    <row r="237" spans="1:2" x14ac:dyDescent="0.2">
      <c r="A237" s="5">
        <v>45621</v>
      </c>
      <c r="B237" s="3">
        <v>5987.37</v>
      </c>
    </row>
    <row r="238" spans="1:2" x14ac:dyDescent="0.2">
      <c r="A238" s="4">
        <v>45622</v>
      </c>
      <c r="B238" s="2">
        <v>6021.63</v>
      </c>
    </row>
    <row r="239" spans="1:2" x14ac:dyDescent="0.2">
      <c r="A239" s="5">
        <v>45623</v>
      </c>
      <c r="B239" s="3">
        <v>5998.74</v>
      </c>
    </row>
    <row r="240" spans="1:2" x14ac:dyDescent="0.2">
      <c r="A240" s="4">
        <v>45624</v>
      </c>
      <c r="B240" s="2"/>
    </row>
    <row r="241" spans="1:2" x14ac:dyDescent="0.2">
      <c r="A241" s="5">
        <v>45625</v>
      </c>
      <c r="B241" s="3">
        <v>6032.38</v>
      </c>
    </row>
    <row r="242" spans="1:2" x14ac:dyDescent="0.2">
      <c r="A242" s="4">
        <v>45628</v>
      </c>
      <c r="B242" s="2">
        <v>6047.15</v>
      </c>
    </row>
    <row r="243" spans="1:2" x14ac:dyDescent="0.2">
      <c r="A243" s="5">
        <v>45629</v>
      </c>
      <c r="B243" s="3">
        <v>6049.88</v>
      </c>
    </row>
    <row r="244" spans="1:2" x14ac:dyDescent="0.2">
      <c r="A244" s="4">
        <v>45630</v>
      </c>
      <c r="B244" s="2">
        <v>6086.49</v>
      </c>
    </row>
    <row r="245" spans="1:2" x14ac:dyDescent="0.2">
      <c r="A245" s="5">
        <v>45631</v>
      </c>
      <c r="B245" s="3">
        <v>6075.11</v>
      </c>
    </row>
    <row r="246" spans="1:2" x14ac:dyDescent="0.2">
      <c r="A246" s="4">
        <v>45632</v>
      </c>
      <c r="B246" s="2">
        <v>6090.27</v>
      </c>
    </row>
    <row r="247" spans="1:2" x14ac:dyDescent="0.2">
      <c r="A247" s="5">
        <v>45635</v>
      </c>
      <c r="B247" s="3">
        <v>6052.85</v>
      </c>
    </row>
    <row r="248" spans="1:2" x14ac:dyDescent="0.2">
      <c r="A248" s="4">
        <v>45636</v>
      </c>
      <c r="B248" s="2">
        <v>6034.91</v>
      </c>
    </row>
    <row r="249" spans="1:2" x14ac:dyDescent="0.2">
      <c r="A249" s="5">
        <v>45637</v>
      </c>
      <c r="B249" s="3">
        <v>6084.19</v>
      </c>
    </row>
    <row r="250" spans="1:2" x14ac:dyDescent="0.2">
      <c r="A250" s="4">
        <v>45638</v>
      </c>
      <c r="B250" s="2">
        <v>6051.25</v>
      </c>
    </row>
    <row r="251" spans="1:2" x14ac:dyDescent="0.2">
      <c r="A251" s="5">
        <v>45639</v>
      </c>
      <c r="B251" s="3">
        <v>6051.09</v>
      </c>
    </row>
    <row r="252" spans="1:2" x14ac:dyDescent="0.2">
      <c r="A252" s="4">
        <v>45642</v>
      </c>
      <c r="B252" s="2">
        <v>6074.08</v>
      </c>
    </row>
    <row r="253" spans="1:2" x14ac:dyDescent="0.2">
      <c r="A253" s="5">
        <v>45643</v>
      </c>
      <c r="B253" s="3">
        <v>6050.61</v>
      </c>
    </row>
    <row r="254" spans="1:2" x14ac:dyDescent="0.2">
      <c r="A254" s="4">
        <v>45644</v>
      </c>
      <c r="B254" s="2">
        <v>5872.16</v>
      </c>
    </row>
    <row r="255" spans="1:2" x14ac:dyDescent="0.2">
      <c r="A255" s="5">
        <v>45645</v>
      </c>
      <c r="B255" s="3">
        <v>5867.08</v>
      </c>
    </row>
    <row r="256" spans="1:2" x14ac:dyDescent="0.2">
      <c r="A256" s="4">
        <v>45646</v>
      </c>
      <c r="B256" s="2">
        <v>5930.85</v>
      </c>
    </row>
    <row r="257" spans="1:2" x14ac:dyDescent="0.2">
      <c r="A257" s="5">
        <v>45649</v>
      </c>
      <c r="B257" s="3">
        <v>5974.07</v>
      </c>
    </row>
    <row r="258" spans="1:2" x14ac:dyDescent="0.2">
      <c r="A258" s="4">
        <v>45650</v>
      </c>
      <c r="B258" s="2">
        <v>6040.04</v>
      </c>
    </row>
    <row r="259" spans="1:2" x14ac:dyDescent="0.2">
      <c r="A259" s="5">
        <v>45651</v>
      </c>
      <c r="B259" s="3"/>
    </row>
    <row r="260" spans="1:2" x14ac:dyDescent="0.2">
      <c r="A260" s="4">
        <v>45652</v>
      </c>
      <c r="B260" s="2">
        <v>6037.59</v>
      </c>
    </row>
    <row r="261" spans="1:2" x14ac:dyDescent="0.2">
      <c r="A261" s="5">
        <v>45653</v>
      </c>
      <c r="B261" s="3">
        <v>5970.84</v>
      </c>
    </row>
    <row r="262" spans="1:2" x14ac:dyDescent="0.2">
      <c r="A262" s="4">
        <v>45656</v>
      </c>
      <c r="B262" s="2">
        <v>5906.94</v>
      </c>
    </row>
    <row r="263" spans="1:2" x14ac:dyDescent="0.2">
      <c r="A263" s="8">
        <v>45657</v>
      </c>
      <c r="B263" s="9">
        <v>5881.63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866-CA52-6D4F-BFEF-AC3181DD46AD}">
  <sheetPr>
    <tabColor theme="3" tint="0.89999084444715716"/>
  </sheetPr>
  <dimension ref="A1:I66"/>
  <sheetViews>
    <sheetView workbookViewId="0">
      <selection activeCell="H2" sqref="H2"/>
    </sheetView>
  </sheetViews>
  <sheetFormatPr baseColWidth="10" defaultRowHeight="16" x14ac:dyDescent="0.2"/>
  <cols>
    <col min="1" max="1" width="7.6640625" bestFit="1" customWidth="1"/>
    <col min="2" max="2" width="8.1640625" bestFit="1" customWidth="1"/>
    <col min="3" max="3" width="10.33203125" bestFit="1" customWidth="1"/>
  </cols>
  <sheetData>
    <row r="1" spans="1:9" x14ac:dyDescent="0.2">
      <c r="A1" t="s">
        <v>0</v>
      </c>
      <c r="B1" t="s">
        <v>1</v>
      </c>
      <c r="C1" t="s">
        <v>389</v>
      </c>
    </row>
    <row r="2" spans="1:9" x14ac:dyDescent="0.2">
      <c r="A2" s="1">
        <v>45380</v>
      </c>
      <c r="B2">
        <v>69871.7</v>
      </c>
      <c r="C2">
        <v>5254.35</v>
      </c>
      <c r="E2">
        <f>LN(B2/B3)</f>
        <v>-1.2662843466655615E-2</v>
      </c>
      <c r="F2">
        <f>LN(C2/C3)</f>
        <v>0</v>
      </c>
      <c r="H2">
        <f>_xlfn.STDEV.P(E2:E65)*SQRT(65)</f>
        <v>0.30226622645329093</v>
      </c>
      <c r="I2">
        <f>_xlfn.STDEV.P(F2:F65)*SQRT(65)</f>
        <v>5.3843544762791629E-2</v>
      </c>
    </row>
    <row r="3" spans="1:9" x14ac:dyDescent="0.2">
      <c r="A3" s="1">
        <v>45379</v>
      </c>
      <c r="B3">
        <v>70762.100000000006</v>
      </c>
      <c r="C3">
        <v>5254.35</v>
      </c>
      <c r="E3">
        <f t="shared" ref="E3:E65" si="0">LN(B3/B4)</f>
        <v>1.882591466845002E-2</v>
      </c>
      <c r="F3">
        <f t="shared" ref="F3:F65" si="1">LN(C3/C4)</f>
        <v>1.1158887706710923E-3</v>
      </c>
    </row>
    <row r="4" spans="1:9" x14ac:dyDescent="0.2">
      <c r="A4" s="1">
        <v>45378</v>
      </c>
      <c r="B4">
        <v>69442.399999999994</v>
      </c>
      <c r="C4">
        <v>5248.49</v>
      </c>
      <c r="E4">
        <f t="shared" si="0"/>
        <v>-7.9876100325419839E-3</v>
      </c>
      <c r="F4">
        <f t="shared" si="1"/>
        <v>8.5935659407079552E-3</v>
      </c>
    </row>
    <row r="5" spans="1:9" x14ac:dyDescent="0.2">
      <c r="A5" s="1">
        <v>45377</v>
      </c>
      <c r="B5">
        <v>69999.3</v>
      </c>
      <c r="C5">
        <v>5203.58</v>
      </c>
      <c r="E5">
        <f t="shared" si="0"/>
        <v>1.5340485225667469E-3</v>
      </c>
      <c r="F5">
        <f t="shared" si="1"/>
        <v>-2.8037482252575453E-3</v>
      </c>
    </row>
    <row r="6" spans="1:9" x14ac:dyDescent="0.2">
      <c r="A6" s="1">
        <v>45376</v>
      </c>
      <c r="B6">
        <v>69892</v>
      </c>
      <c r="C6">
        <v>5218.1899999999996</v>
      </c>
      <c r="E6">
        <f t="shared" si="0"/>
        <v>9.142530168368064E-2</v>
      </c>
      <c r="F6">
        <f t="shared" si="1"/>
        <v>-3.0595955699421543E-3</v>
      </c>
    </row>
    <row r="7" spans="1:9" x14ac:dyDescent="0.2">
      <c r="A7" s="1">
        <v>45373</v>
      </c>
      <c r="B7">
        <v>63785.5</v>
      </c>
      <c r="C7">
        <v>5234.18</v>
      </c>
      <c r="E7">
        <f t="shared" si="0"/>
        <v>-2.6582264432449865E-2</v>
      </c>
      <c r="F7">
        <f t="shared" si="1"/>
        <v>-1.4032464064151588E-3</v>
      </c>
    </row>
    <row r="8" spans="1:9" x14ac:dyDescent="0.2">
      <c r="A8" s="1">
        <v>45372</v>
      </c>
      <c r="B8">
        <v>65503.8</v>
      </c>
      <c r="C8">
        <v>5241.53</v>
      </c>
      <c r="E8">
        <f t="shared" si="0"/>
        <v>-3.5250181891683642E-2</v>
      </c>
      <c r="F8">
        <f t="shared" si="1"/>
        <v>3.2313725131378058E-3</v>
      </c>
    </row>
    <row r="9" spans="1:9" x14ac:dyDescent="0.2">
      <c r="A9" s="1">
        <v>45371</v>
      </c>
      <c r="B9">
        <v>67854</v>
      </c>
      <c r="C9">
        <v>5224.62</v>
      </c>
      <c r="E9">
        <f t="shared" si="0"/>
        <v>8.9417826466628783E-2</v>
      </c>
      <c r="F9">
        <f t="shared" si="1"/>
        <v>8.8646978273410684E-3</v>
      </c>
    </row>
    <row r="10" spans="1:9" x14ac:dyDescent="0.2">
      <c r="A10" s="1">
        <v>45370</v>
      </c>
      <c r="B10">
        <v>62050</v>
      </c>
      <c r="C10">
        <v>5178.51</v>
      </c>
      <c r="E10">
        <f t="shared" si="0"/>
        <v>-8.5580189482837826E-2</v>
      </c>
      <c r="F10">
        <f t="shared" si="1"/>
        <v>5.6332831318901015E-3</v>
      </c>
    </row>
    <row r="11" spans="1:9" x14ac:dyDescent="0.2">
      <c r="A11" s="1">
        <v>45369</v>
      </c>
      <c r="B11">
        <v>67594.100000000006</v>
      </c>
      <c r="C11">
        <v>5149.42</v>
      </c>
      <c r="E11">
        <f t="shared" si="0"/>
        <v>-2.7283612831733497E-2</v>
      </c>
      <c r="F11">
        <f t="shared" si="1"/>
        <v>6.2981688751588584E-3</v>
      </c>
    </row>
    <row r="12" spans="1:9" x14ac:dyDescent="0.2">
      <c r="A12" s="1">
        <v>45366</v>
      </c>
      <c r="B12">
        <v>69463.7</v>
      </c>
      <c r="C12">
        <v>5117.09</v>
      </c>
      <c r="E12">
        <f t="shared" si="0"/>
        <v>-2.7318470025793792E-2</v>
      </c>
      <c r="F12">
        <f t="shared" si="1"/>
        <v>-6.5039961169264899E-3</v>
      </c>
    </row>
    <row r="13" spans="1:9" x14ac:dyDescent="0.2">
      <c r="A13" s="1">
        <v>45365</v>
      </c>
      <c r="B13">
        <v>71387.5</v>
      </c>
      <c r="C13">
        <v>5150.4799999999996</v>
      </c>
      <c r="E13">
        <f t="shared" si="0"/>
        <v>-2.3244464154002838E-2</v>
      </c>
      <c r="F13">
        <f t="shared" si="1"/>
        <v>-2.8752059156686048E-3</v>
      </c>
    </row>
    <row r="14" spans="1:9" x14ac:dyDescent="0.2">
      <c r="A14" s="1">
        <v>45364</v>
      </c>
      <c r="B14">
        <v>73066.3</v>
      </c>
      <c r="C14">
        <v>5165.3100000000004</v>
      </c>
      <c r="E14">
        <f t="shared" si="0"/>
        <v>2.2086668540070756E-2</v>
      </c>
      <c r="F14">
        <f t="shared" si="1"/>
        <v>-1.926391571868686E-3</v>
      </c>
    </row>
    <row r="15" spans="1:9" x14ac:dyDescent="0.2">
      <c r="A15" s="1">
        <v>45363</v>
      </c>
      <c r="B15">
        <v>71470.2</v>
      </c>
      <c r="C15">
        <v>5175.2700000000004</v>
      </c>
      <c r="E15">
        <f t="shared" si="0"/>
        <v>-8.7609819451129455E-3</v>
      </c>
      <c r="F15">
        <f t="shared" si="1"/>
        <v>1.1139497364012345E-2</v>
      </c>
    </row>
    <row r="16" spans="1:9" x14ac:dyDescent="0.2">
      <c r="A16" s="1">
        <v>45362</v>
      </c>
      <c r="B16">
        <v>72099.100000000006</v>
      </c>
      <c r="C16">
        <v>5117.9399999999996</v>
      </c>
      <c r="E16">
        <f t="shared" si="0"/>
        <v>5.6007638187036198E-2</v>
      </c>
      <c r="F16">
        <f t="shared" si="1"/>
        <v>-1.1228682551799477E-3</v>
      </c>
    </row>
    <row r="17" spans="1:6" x14ac:dyDescent="0.2">
      <c r="A17" s="1">
        <v>45359</v>
      </c>
      <c r="B17">
        <v>68172</v>
      </c>
      <c r="C17">
        <v>5123.6899999999996</v>
      </c>
      <c r="E17">
        <f t="shared" si="0"/>
        <v>1.9503340983117692E-2</v>
      </c>
      <c r="F17">
        <f t="shared" si="1"/>
        <v>-6.5499380656454595E-3</v>
      </c>
    </row>
    <row r="18" spans="1:6" x14ac:dyDescent="0.2">
      <c r="A18" s="1">
        <v>45358</v>
      </c>
      <c r="B18">
        <v>66855.3</v>
      </c>
      <c r="C18">
        <v>5157.3599999999997</v>
      </c>
      <c r="E18">
        <f t="shared" si="0"/>
        <v>1.1658399916705796E-2</v>
      </c>
      <c r="F18">
        <f t="shared" si="1"/>
        <v>1.0251382881397443E-2</v>
      </c>
    </row>
    <row r="19" spans="1:6" x14ac:dyDescent="0.2">
      <c r="A19" s="1">
        <v>45357</v>
      </c>
      <c r="B19">
        <v>66080.399999999994</v>
      </c>
      <c r="C19">
        <v>5104.76</v>
      </c>
      <c r="E19">
        <f t="shared" si="0"/>
        <v>3.5234986300303375E-2</v>
      </c>
      <c r="F19">
        <f t="shared" si="1"/>
        <v>5.1279595372516517E-3</v>
      </c>
    </row>
    <row r="20" spans="1:6" x14ac:dyDescent="0.2">
      <c r="A20" s="1">
        <v>45356</v>
      </c>
      <c r="B20">
        <v>63792.6</v>
      </c>
      <c r="C20">
        <v>5078.6499999999996</v>
      </c>
      <c r="E20">
        <f t="shared" si="0"/>
        <v>-6.783470003848073E-2</v>
      </c>
      <c r="F20">
        <f t="shared" si="1"/>
        <v>-1.0245348981574391E-2</v>
      </c>
    </row>
    <row r="21" spans="1:6" x14ac:dyDescent="0.2">
      <c r="A21" s="1">
        <v>45355</v>
      </c>
      <c r="B21">
        <v>68270.100000000006</v>
      </c>
      <c r="C21">
        <v>5130.95</v>
      </c>
      <c r="E21">
        <f t="shared" si="0"/>
        <v>8.994348047962987E-2</v>
      </c>
      <c r="F21">
        <f t="shared" si="1"/>
        <v>-1.1939974324694175E-3</v>
      </c>
    </row>
    <row r="22" spans="1:6" x14ac:dyDescent="0.2">
      <c r="A22" s="1">
        <v>45352</v>
      </c>
      <c r="B22">
        <v>62397.7</v>
      </c>
      <c r="C22">
        <v>5137.08</v>
      </c>
      <c r="E22">
        <f t="shared" si="0"/>
        <v>1.9882986050782751E-2</v>
      </c>
      <c r="F22">
        <f t="shared" si="1"/>
        <v>7.9759250577916968E-3</v>
      </c>
    </row>
    <row r="23" spans="1:6" x14ac:dyDescent="0.2">
      <c r="A23" s="1">
        <v>45351</v>
      </c>
      <c r="B23">
        <v>61169.3</v>
      </c>
      <c r="C23">
        <v>5096.2700000000004</v>
      </c>
      <c r="E23">
        <f t="shared" si="0"/>
        <v>-2.100259265568815E-2</v>
      </c>
      <c r="F23">
        <f t="shared" si="1"/>
        <v>5.2154203933401618E-3</v>
      </c>
    </row>
    <row r="24" spans="1:6" x14ac:dyDescent="0.2">
      <c r="A24" s="1">
        <v>45350</v>
      </c>
      <c r="B24">
        <v>62467.6</v>
      </c>
      <c r="C24">
        <v>5069.76</v>
      </c>
      <c r="E24">
        <f t="shared" si="0"/>
        <v>9.061127532393469E-2</v>
      </c>
      <c r="F24">
        <f t="shared" si="1"/>
        <v>-1.659450476103029E-3</v>
      </c>
    </row>
    <row r="25" spans="1:6" x14ac:dyDescent="0.2">
      <c r="A25" s="1">
        <v>45349</v>
      </c>
      <c r="B25">
        <v>57056.2</v>
      </c>
      <c r="C25">
        <v>5078.18</v>
      </c>
      <c r="E25">
        <f t="shared" si="0"/>
        <v>4.5925957632356948E-2</v>
      </c>
      <c r="F25">
        <f t="shared" si="1"/>
        <v>1.7048185442892359E-3</v>
      </c>
    </row>
    <row r="26" spans="1:6" x14ac:dyDescent="0.2">
      <c r="A26" s="1">
        <v>45348</v>
      </c>
      <c r="B26">
        <v>54495.1</v>
      </c>
      <c r="C26">
        <v>5069.53</v>
      </c>
      <c r="E26">
        <f t="shared" si="0"/>
        <v>7.1386381089289311E-2</v>
      </c>
      <c r="F26">
        <f t="shared" si="1"/>
        <v>-3.7939352461026604E-3</v>
      </c>
    </row>
    <row r="27" spans="1:6" x14ac:dyDescent="0.2">
      <c r="A27" s="1">
        <v>45345</v>
      </c>
      <c r="B27">
        <v>50740.5</v>
      </c>
      <c r="C27">
        <v>5088.8</v>
      </c>
      <c r="E27">
        <f t="shared" si="0"/>
        <v>-1.1363925668290158E-2</v>
      </c>
      <c r="F27">
        <f t="shared" si="1"/>
        <v>3.4788317372660206E-4</v>
      </c>
    </row>
    <row r="28" spans="1:6" x14ac:dyDescent="0.2">
      <c r="A28" s="1">
        <v>45344</v>
      </c>
      <c r="B28">
        <v>51320.4</v>
      </c>
      <c r="C28">
        <v>5087.03</v>
      </c>
      <c r="E28">
        <f t="shared" si="0"/>
        <v>-1.0424736727354559E-2</v>
      </c>
      <c r="F28">
        <f t="shared" si="1"/>
        <v>2.0902891694828028E-2</v>
      </c>
    </row>
    <row r="29" spans="1:6" x14ac:dyDescent="0.2">
      <c r="A29" s="1">
        <v>45343</v>
      </c>
      <c r="B29">
        <v>51858.2</v>
      </c>
      <c r="C29">
        <v>4981.8</v>
      </c>
      <c r="E29">
        <f t="shared" si="0"/>
        <v>-7.7851600013700327E-3</v>
      </c>
      <c r="F29">
        <f t="shared" si="1"/>
        <v>1.2633935945864823E-3</v>
      </c>
    </row>
    <row r="30" spans="1:6" x14ac:dyDescent="0.2">
      <c r="A30" s="1">
        <v>45342</v>
      </c>
      <c r="B30">
        <v>52263.5</v>
      </c>
      <c r="C30">
        <v>4975.51</v>
      </c>
      <c r="E30">
        <f t="shared" si="0"/>
        <v>9.2247338583129352E-3</v>
      </c>
      <c r="F30">
        <f t="shared" si="1"/>
        <v>-6.0234144772223523E-3</v>
      </c>
    </row>
    <row r="31" spans="1:6" x14ac:dyDescent="0.2">
      <c r="A31" s="1">
        <v>45341</v>
      </c>
      <c r="B31">
        <v>51783.6</v>
      </c>
      <c r="C31">
        <v>5005.57</v>
      </c>
      <c r="E31">
        <f t="shared" si="0"/>
        <v>-6.7476665261031674E-3</v>
      </c>
      <c r="F31">
        <f t="shared" si="1"/>
        <v>0</v>
      </c>
    </row>
    <row r="32" spans="1:6" x14ac:dyDescent="0.2">
      <c r="A32" s="1">
        <v>45338</v>
      </c>
      <c r="B32">
        <v>52134.2</v>
      </c>
      <c r="C32">
        <v>5005.57</v>
      </c>
      <c r="E32">
        <f t="shared" si="0"/>
        <v>4.4773253181442253E-3</v>
      </c>
      <c r="F32">
        <f t="shared" si="1"/>
        <v>-4.8150123419915631E-3</v>
      </c>
    </row>
    <row r="33" spans="1:6" x14ac:dyDescent="0.2">
      <c r="A33" s="1">
        <v>45337</v>
      </c>
      <c r="B33">
        <v>51901.3</v>
      </c>
      <c r="C33">
        <v>5029.7299999999996</v>
      </c>
      <c r="E33">
        <f t="shared" si="0"/>
        <v>2.2935148363709152E-3</v>
      </c>
      <c r="F33">
        <f t="shared" si="1"/>
        <v>5.8043999917945753E-3</v>
      </c>
    </row>
    <row r="34" spans="1:6" x14ac:dyDescent="0.2">
      <c r="A34" s="1">
        <v>45336</v>
      </c>
      <c r="B34">
        <v>51782.400000000001</v>
      </c>
      <c r="C34">
        <v>5000.62</v>
      </c>
      <c r="E34">
        <f t="shared" si="0"/>
        <v>4.0723510308063808E-2</v>
      </c>
      <c r="F34">
        <f t="shared" si="1"/>
        <v>9.5341290968955009E-3</v>
      </c>
    </row>
    <row r="35" spans="1:6" x14ac:dyDescent="0.2">
      <c r="A35" s="1">
        <v>45335</v>
      </c>
      <c r="B35">
        <v>49716</v>
      </c>
      <c r="C35">
        <v>4953.17</v>
      </c>
      <c r="E35">
        <f t="shared" si="0"/>
        <v>-4.521502867040385E-3</v>
      </c>
      <c r="F35">
        <f t="shared" si="1"/>
        <v>-1.3768624761212093E-2</v>
      </c>
    </row>
    <row r="36" spans="1:6" x14ac:dyDescent="0.2">
      <c r="A36" s="1">
        <v>45334</v>
      </c>
      <c r="B36">
        <v>49941.3</v>
      </c>
      <c r="C36">
        <v>5021.84</v>
      </c>
      <c r="E36">
        <f t="shared" si="0"/>
        <v>5.7991620991375094E-2</v>
      </c>
      <c r="F36">
        <f t="shared" si="1"/>
        <v>-9.4940022755554091E-4</v>
      </c>
    </row>
    <row r="37" spans="1:6" x14ac:dyDescent="0.2">
      <c r="A37" s="1">
        <v>45331</v>
      </c>
      <c r="B37">
        <v>47127.5</v>
      </c>
      <c r="C37">
        <v>5026.6099999999997</v>
      </c>
      <c r="E37">
        <f t="shared" si="0"/>
        <v>3.9697576078406988E-2</v>
      </c>
      <c r="F37">
        <f t="shared" si="1"/>
        <v>5.7259755908601927E-3</v>
      </c>
    </row>
    <row r="38" spans="1:6" x14ac:dyDescent="0.2">
      <c r="A38" s="1">
        <v>45330</v>
      </c>
      <c r="B38">
        <v>45293.3</v>
      </c>
      <c r="C38">
        <v>4997.91</v>
      </c>
      <c r="E38">
        <f t="shared" si="0"/>
        <v>2.1276425102440391E-2</v>
      </c>
      <c r="F38">
        <f t="shared" si="1"/>
        <v>5.7040100736248747E-4</v>
      </c>
    </row>
    <row r="39" spans="1:6" x14ac:dyDescent="0.2">
      <c r="A39" s="1">
        <v>45329</v>
      </c>
      <c r="B39">
        <v>44339.8</v>
      </c>
      <c r="C39">
        <v>4995.0600000000004</v>
      </c>
      <c r="E39">
        <f t="shared" si="0"/>
        <v>2.8645120028436517E-2</v>
      </c>
      <c r="F39">
        <f t="shared" si="1"/>
        <v>8.2076669213310503E-3</v>
      </c>
    </row>
    <row r="40" spans="1:6" x14ac:dyDescent="0.2">
      <c r="A40" s="1">
        <v>45328</v>
      </c>
      <c r="B40">
        <v>43087.7</v>
      </c>
      <c r="C40">
        <v>4954.2299999999996</v>
      </c>
      <c r="E40">
        <f t="shared" si="0"/>
        <v>9.104229235613142E-3</v>
      </c>
      <c r="F40">
        <f t="shared" si="1"/>
        <v>2.3077617284261594E-3</v>
      </c>
    </row>
    <row r="41" spans="1:6" x14ac:dyDescent="0.2">
      <c r="A41" s="1">
        <v>45327</v>
      </c>
      <c r="B41">
        <v>42697.2</v>
      </c>
      <c r="C41">
        <v>4942.8100000000004</v>
      </c>
      <c r="E41">
        <f t="shared" si="0"/>
        <v>-1.1584458224403125E-2</v>
      </c>
      <c r="F41">
        <f t="shared" si="1"/>
        <v>-3.191464135615035E-3</v>
      </c>
    </row>
    <row r="42" spans="1:6" x14ac:dyDescent="0.2">
      <c r="A42" s="1">
        <v>45324</v>
      </c>
      <c r="B42">
        <v>43194.7</v>
      </c>
      <c r="C42">
        <v>4958.6099999999997</v>
      </c>
      <c r="E42">
        <f t="shared" si="0"/>
        <v>2.6264530995495326E-3</v>
      </c>
      <c r="F42">
        <f t="shared" si="1"/>
        <v>1.0627786351803241E-2</v>
      </c>
    </row>
    <row r="43" spans="1:6" x14ac:dyDescent="0.2">
      <c r="A43" s="1">
        <v>45323</v>
      </c>
      <c r="B43">
        <v>43081.4</v>
      </c>
      <c r="C43">
        <v>4906.1899999999996</v>
      </c>
      <c r="E43">
        <f t="shared" si="0"/>
        <v>1.1694947440336827E-2</v>
      </c>
      <c r="F43">
        <f t="shared" si="1"/>
        <v>1.2416277903485802E-2</v>
      </c>
    </row>
    <row r="44" spans="1:6" x14ac:dyDescent="0.2">
      <c r="A44" s="1">
        <v>45322</v>
      </c>
      <c r="B44">
        <v>42580.5</v>
      </c>
      <c r="C44">
        <v>4845.6499999999996</v>
      </c>
      <c r="E44">
        <f t="shared" si="0"/>
        <v>-8.5517675466765322E-3</v>
      </c>
      <c r="F44">
        <f t="shared" si="1"/>
        <v>-1.6236787963987382E-2</v>
      </c>
    </row>
    <row r="45" spans="1:6" x14ac:dyDescent="0.2">
      <c r="A45" s="1">
        <v>45321</v>
      </c>
      <c r="B45">
        <v>42946.2</v>
      </c>
      <c r="C45">
        <v>4924.97</v>
      </c>
      <c r="E45">
        <f t="shared" si="0"/>
        <v>-8.1998465149057363E-3</v>
      </c>
      <c r="F45">
        <f t="shared" si="1"/>
        <v>-6.0083834993726029E-4</v>
      </c>
    </row>
    <row r="46" spans="1:6" x14ac:dyDescent="0.2">
      <c r="A46" s="1">
        <v>45320</v>
      </c>
      <c r="B46">
        <v>43299.8</v>
      </c>
      <c r="C46">
        <v>4927.93</v>
      </c>
      <c r="E46">
        <f t="shared" si="0"/>
        <v>3.4981378135094901E-2</v>
      </c>
      <c r="F46">
        <f t="shared" si="1"/>
        <v>7.5283737614565433E-3</v>
      </c>
    </row>
    <row r="47" spans="1:6" x14ac:dyDescent="0.2">
      <c r="A47" s="1">
        <v>45317</v>
      </c>
      <c r="B47">
        <v>41811.300000000003</v>
      </c>
      <c r="C47">
        <v>4890.97</v>
      </c>
      <c r="E47">
        <f t="shared" si="0"/>
        <v>4.589597722552153E-2</v>
      </c>
      <c r="F47">
        <f t="shared" si="1"/>
        <v>-6.52009756234213E-4</v>
      </c>
    </row>
    <row r="48" spans="1:6" x14ac:dyDescent="0.2">
      <c r="A48" s="1">
        <v>45316</v>
      </c>
      <c r="B48">
        <v>39935.699999999997</v>
      </c>
      <c r="C48">
        <v>4894.16</v>
      </c>
      <c r="E48">
        <f t="shared" si="0"/>
        <v>-3.7564854718789612E-3</v>
      </c>
      <c r="F48">
        <f t="shared" si="1"/>
        <v>5.2465060919916033E-3</v>
      </c>
    </row>
    <row r="49" spans="1:6" x14ac:dyDescent="0.2">
      <c r="A49" s="1">
        <v>45315</v>
      </c>
      <c r="B49">
        <v>40086</v>
      </c>
      <c r="C49">
        <v>4868.55</v>
      </c>
      <c r="E49">
        <f t="shared" si="0"/>
        <v>4.9315634340747977E-3</v>
      </c>
      <c r="F49">
        <f t="shared" si="1"/>
        <v>8.1165916827587409E-4</v>
      </c>
    </row>
    <row r="50" spans="1:6" x14ac:dyDescent="0.2">
      <c r="A50" s="1">
        <v>45314</v>
      </c>
      <c r="B50">
        <v>39888.800000000003</v>
      </c>
      <c r="C50">
        <v>4864.6000000000004</v>
      </c>
      <c r="E50">
        <f t="shared" si="0"/>
        <v>8.3680811347745208E-3</v>
      </c>
      <c r="F50">
        <f t="shared" si="1"/>
        <v>2.917131506229948E-3</v>
      </c>
    </row>
    <row r="51" spans="1:6" x14ac:dyDescent="0.2">
      <c r="A51" s="1">
        <v>45313</v>
      </c>
      <c r="B51">
        <v>39556.400000000001</v>
      </c>
      <c r="C51">
        <v>4850.43</v>
      </c>
      <c r="E51">
        <f t="shared" si="0"/>
        <v>-5.152584664966376E-2</v>
      </c>
      <c r="F51">
        <f t="shared" si="1"/>
        <v>2.1918970535104105E-3</v>
      </c>
    </row>
    <row r="52" spans="1:6" x14ac:dyDescent="0.2">
      <c r="A52" s="1">
        <v>45310</v>
      </c>
      <c r="B52">
        <v>41648</v>
      </c>
      <c r="C52">
        <v>4839.8100000000004</v>
      </c>
      <c r="E52">
        <f t="shared" si="0"/>
        <v>8.5676193562497002E-3</v>
      </c>
      <c r="F52">
        <f t="shared" si="1"/>
        <v>1.2238283870230153E-2</v>
      </c>
    </row>
    <row r="53" spans="1:6" x14ac:dyDescent="0.2">
      <c r="A53" s="1">
        <v>45309</v>
      </c>
      <c r="B53">
        <v>41292.699999999997</v>
      </c>
      <c r="C53">
        <v>4780.9399999999996</v>
      </c>
      <c r="E53">
        <f t="shared" si="0"/>
        <v>-3.5120797744137677E-2</v>
      </c>
      <c r="F53">
        <f t="shared" si="1"/>
        <v>8.7667247395320728E-3</v>
      </c>
    </row>
    <row r="54" spans="1:6" x14ac:dyDescent="0.2">
      <c r="A54" s="1">
        <v>45308</v>
      </c>
      <c r="B54">
        <v>42768.7</v>
      </c>
      <c r="C54">
        <v>4739.21</v>
      </c>
      <c r="E54">
        <f t="shared" si="0"/>
        <v>-8.771598081392773E-3</v>
      </c>
      <c r="F54">
        <f t="shared" si="1"/>
        <v>-5.6327271267556144E-3</v>
      </c>
    </row>
    <row r="55" spans="1:6" x14ac:dyDescent="0.2">
      <c r="A55" s="1">
        <v>45307</v>
      </c>
      <c r="B55">
        <v>43145.5</v>
      </c>
      <c r="C55">
        <v>4765.9799999999996</v>
      </c>
      <c r="E55">
        <f t="shared" si="0"/>
        <v>1.4822315772652099E-2</v>
      </c>
      <c r="F55">
        <f t="shared" si="1"/>
        <v>-3.7382986232446964E-3</v>
      </c>
    </row>
    <row r="56" spans="1:6" x14ac:dyDescent="0.2">
      <c r="A56" s="1">
        <v>45306</v>
      </c>
      <c r="B56">
        <v>42510.7</v>
      </c>
      <c r="C56">
        <v>4783.83</v>
      </c>
      <c r="E56">
        <f t="shared" si="0"/>
        <v>-7.620727102052853E-3</v>
      </c>
      <c r="F56">
        <f t="shared" si="1"/>
        <v>0</v>
      </c>
    </row>
    <row r="57" spans="1:6" x14ac:dyDescent="0.2">
      <c r="A57" s="1">
        <v>45303</v>
      </c>
      <c r="B57">
        <v>42835.9</v>
      </c>
      <c r="C57">
        <v>4783.83</v>
      </c>
      <c r="E57">
        <f t="shared" si="0"/>
        <v>-7.8805920255420464E-2</v>
      </c>
      <c r="F57">
        <f t="shared" si="1"/>
        <v>7.5072645194105983E-4</v>
      </c>
    </row>
    <row r="58" spans="1:6" x14ac:dyDescent="0.2">
      <c r="A58" s="1">
        <v>45302</v>
      </c>
      <c r="B58">
        <v>46348.2</v>
      </c>
      <c r="C58">
        <v>4780.24</v>
      </c>
      <c r="E58">
        <f t="shared" si="0"/>
        <v>-6.0466426062581492E-3</v>
      </c>
      <c r="F58">
        <f t="shared" si="1"/>
        <v>-6.7128903604016395E-4</v>
      </c>
    </row>
    <row r="59" spans="1:6" x14ac:dyDescent="0.2">
      <c r="A59" s="1">
        <v>45301</v>
      </c>
      <c r="B59">
        <v>46629.3</v>
      </c>
      <c r="C59">
        <v>4783.45</v>
      </c>
      <c r="E59">
        <f t="shared" si="0"/>
        <v>1.0787279444706657E-2</v>
      </c>
      <c r="F59">
        <f t="shared" si="1"/>
        <v>5.6499398196109933E-3</v>
      </c>
    </row>
    <row r="60" spans="1:6" x14ac:dyDescent="0.2">
      <c r="A60" s="1">
        <v>45300</v>
      </c>
      <c r="B60">
        <v>46129</v>
      </c>
      <c r="C60">
        <v>4756.5</v>
      </c>
      <c r="E60">
        <f t="shared" si="0"/>
        <v>-1.790120333622822E-2</v>
      </c>
      <c r="F60">
        <f t="shared" si="1"/>
        <v>-1.4789856520085827E-3</v>
      </c>
    </row>
    <row r="61" spans="1:6" x14ac:dyDescent="0.2">
      <c r="A61" s="1">
        <v>45299</v>
      </c>
      <c r="B61">
        <v>46962.2</v>
      </c>
      <c r="C61">
        <v>4763.54</v>
      </c>
      <c r="E61">
        <f t="shared" si="0"/>
        <v>6.1593822574698011E-2</v>
      </c>
      <c r="F61">
        <f t="shared" si="1"/>
        <v>1.4015987132365047E-2</v>
      </c>
    </row>
    <row r="62" spans="1:6" x14ac:dyDescent="0.2">
      <c r="A62" s="1">
        <v>45296</v>
      </c>
      <c r="B62">
        <v>44156.9</v>
      </c>
      <c r="C62">
        <v>4697.24</v>
      </c>
      <c r="E62">
        <f t="shared" si="0"/>
        <v>-2.2646491662287105E-6</v>
      </c>
      <c r="F62">
        <f t="shared" si="1"/>
        <v>1.8240092336748459E-3</v>
      </c>
    </row>
    <row r="63" spans="1:6" x14ac:dyDescent="0.2">
      <c r="A63" s="1">
        <v>45295</v>
      </c>
      <c r="B63">
        <v>44157</v>
      </c>
      <c r="C63">
        <v>4688.68</v>
      </c>
      <c r="E63">
        <f t="shared" si="0"/>
        <v>3.0370259857643137E-2</v>
      </c>
      <c r="F63">
        <f t="shared" si="1"/>
        <v>-3.434296699869414E-3</v>
      </c>
    </row>
    <row r="64" spans="1:6" x14ac:dyDescent="0.2">
      <c r="A64" s="1">
        <v>45294</v>
      </c>
      <c r="B64">
        <v>42836.1</v>
      </c>
      <c r="C64">
        <v>4704.8100000000004</v>
      </c>
      <c r="E64">
        <f t="shared" si="0"/>
        <v>-4.8029390345393677E-2</v>
      </c>
      <c r="F64">
        <f t="shared" si="1"/>
        <v>-8.0486143089745707E-3</v>
      </c>
    </row>
    <row r="65" spans="1:6" x14ac:dyDescent="0.2">
      <c r="A65" s="1">
        <v>45293</v>
      </c>
      <c r="B65">
        <v>44943.7</v>
      </c>
      <c r="C65">
        <v>4742.83</v>
      </c>
      <c r="E65">
        <f t="shared" si="0"/>
        <v>1.7061442435943906E-2</v>
      </c>
      <c r="F65">
        <f t="shared" si="1"/>
        <v>-5.6745643799906032E-3</v>
      </c>
    </row>
    <row r="66" spans="1:6" x14ac:dyDescent="0.2">
      <c r="A66" s="1">
        <v>45292</v>
      </c>
      <c r="B66">
        <v>44183.4</v>
      </c>
      <c r="C66">
        <v>4769.82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19EF-E4E2-AD4F-835C-A3B5D71EB572}">
  <sheetPr>
    <tabColor theme="3" tint="0.89999084444715716"/>
  </sheetPr>
  <dimension ref="A1:I66"/>
  <sheetViews>
    <sheetView workbookViewId="0">
      <selection activeCell="E2" sqref="E2"/>
    </sheetView>
  </sheetViews>
  <sheetFormatPr baseColWidth="10" defaultRowHeight="16" x14ac:dyDescent="0.2"/>
  <cols>
    <col min="1" max="1" width="7.6640625" bestFit="1" customWidth="1"/>
    <col min="2" max="2" width="8.1640625" bestFit="1" customWidth="1"/>
    <col min="3" max="3" width="10.33203125" bestFit="1" customWidth="1"/>
  </cols>
  <sheetData>
    <row r="1" spans="1:9" x14ac:dyDescent="0.2">
      <c r="A1" t="s">
        <v>0</v>
      </c>
      <c r="B1" t="s">
        <v>1</v>
      </c>
      <c r="C1" t="s">
        <v>389</v>
      </c>
    </row>
    <row r="2" spans="1:9" x14ac:dyDescent="0.2">
      <c r="A2" s="1">
        <v>45471</v>
      </c>
      <c r="B2">
        <v>60403.3</v>
      </c>
      <c r="C2">
        <v>5460.48</v>
      </c>
      <c r="E2">
        <f>LN(B2/B3)</f>
        <v>-2.1001913720705239E-2</v>
      </c>
      <c r="F2">
        <f>LN(C2/C3)</f>
        <v>-4.0919885121458088E-3</v>
      </c>
      <c r="H2">
        <f>_xlfn.STDEV.P(E2:E65)*SQRT(65)</f>
        <v>0.23652892561832525</v>
      </c>
      <c r="I2">
        <f>_xlfn.STDEV.P(F2:F65)*SQRT(65)</f>
        <v>5.2483860190384521E-2</v>
      </c>
    </row>
    <row r="3" spans="1:9" x14ac:dyDescent="0.2">
      <c r="A3" s="1">
        <v>45470</v>
      </c>
      <c r="B3">
        <v>61685.3</v>
      </c>
      <c r="C3">
        <v>5482.87</v>
      </c>
      <c r="E3">
        <f t="shared" ref="E3:E65" si="0">LN(B3/B4)</f>
        <v>1.3643693857905337E-2</v>
      </c>
      <c r="F3">
        <f t="shared" ref="F3:F65" si="1">LN(C3/C4)</f>
        <v>9.068706560974762E-4</v>
      </c>
    </row>
    <row r="4" spans="1:9" x14ac:dyDescent="0.2">
      <c r="A4" s="1">
        <v>45469</v>
      </c>
      <c r="B4">
        <v>60849.4</v>
      </c>
      <c r="C4">
        <v>5477.9</v>
      </c>
      <c r="E4">
        <f t="shared" si="0"/>
        <v>-1.5653497384262253E-2</v>
      </c>
      <c r="F4">
        <f t="shared" si="1"/>
        <v>1.5711783413408377E-3</v>
      </c>
    </row>
    <row r="5" spans="1:9" x14ac:dyDescent="0.2">
      <c r="A5" s="1">
        <v>45468</v>
      </c>
      <c r="B5">
        <v>61809.4</v>
      </c>
      <c r="C5">
        <v>5469.3</v>
      </c>
      <c r="E5">
        <f t="shared" si="0"/>
        <v>2.4844421412187519E-2</v>
      </c>
      <c r="F5">
        <f t="shared" si="1"/>
        <v>3.9259309005764296E-3</v>
      </c>
    </row>
    <row r="6" spans="1:9" x14ac:dyDescent="0.2">
      <c r="A6" s="1">
        <v>45467</v>
      </c>
      <c r="B6">
        <v>60292.7</v>
      </c>
      <c r="C6">
        <v>5447.87</v>
      </c>
      <c r="E6">
        <f t="shared" si="0"/>
        <v>-6.1677847853382324E-2</v>
      </c>
      <c r="F6">
        <f t="shared" si="1"/>
        <v>-3.0698792218004059E-3</v>
      </c>
    </row>
    <row r="7" spans="1:9" x14ac:dyDescent="0.2">
      <c r="A7" s="1">
        <v>45464</v>
      </c>
      <c r="B7">
        <v>64128.5</v>
      </c>
      <c r="C7">
        <v>5464.62</v>
      </c>
      <c r="E7">
        <f t="shared" si="0"/>
        <v>-1.1254332528102548E-2</v>
      </c>
      <c r="F7">
        <f t="shared" si="1"/>
        <v>-1.5633874377691908E-3</v>
      </c>
    </row>
    <row r="8" spans="1:9" x14ac:dyDescent="0.2">
      <c r="A8" s="1">
        <v>45463</v>
      </c>
      <c r="B8">
        <v>64854.3</v>
      </c>
      <c r="C8">
        <v>5473.17</v>
      </c>
      <c r="E8">
        <f t="shared" si="0"/>
        <v>-1.950165134311221E-3</v>
      </c>
      <c r="F8">
        <f t="shared" si="1"/>
        <v>0</v>
      </c>
    </row>
    <row r="9" spans="1:9" x14ac:dyDescent="0.2">
      <c r="A9" s="1">
        <v>45462</v>
      </c>
      <c r="B9">
        <v>64980.9</v>
      </c>
      <c r="C9">
        <v>5473.17</v>
      </c>
      <c r="E9">
        <f t="shared" si="0"/>
        <v>-2.7508684882610072E-3</v>
      </c>
      <c r="F9">
        <f t="shared" si="1"/>
        <v>-2.5291522760688338E-3</v>
      </c>
    </row>
    <row r="10" spans="1:9" x14ac:dyDescent="0.2">
      <c r="A10" s="1">
        <v>45461</v>
      </c>
      <c r="B10">
        <v>65159.9</v>
      </c>
      <c r="C10">
        <v>5487.03</v>
      </c>
      <c r="E10">
        <f t="shared" si="0"/>
        <v>-2.033965333739985E-2</v>
      </c>
      <c r="F10">
        <f t="shared" si="1"/>
        <v>2.5181897678469146E-3</v>
      </c>
    </row>
    <row r="11" spans="1:9" x14ac:dyDescent="0.2">
      <c r="A11" s="1">
        <v>45460</v>
      </c>
      <c r="B11">
        <v>66498.8</v>
      </c>
      <c r="C11">
        <v>5473.23</v>
      </c>
      <c r="E11">
        <f t="shared" si="0"/>
        <v>7.0020265919335922E-3</v>
      </c>
      <c r="F11">
        <f t="shared" si="1"/>
        <v>7.6351859201040807E-3</v>
      </c>
    </row>
    <row r="12" spans="1:9" x14ac:dyDescent="0.2">
      <c r="A12" s="1">
        <v>45457</v>
      </c>
      <c r="B12">
        <v>66034.8</v>
      </c>
      <c r="C12">
        <v>5431.6</v>
      </c>
      <c r="E12">
        <f t="shared" si="0"/>
        <v>-1.1118429034294866E-2</v>
      </c>
      <c r="F12">
        <f t="shared" si="1"/>
        <v>-3.9391312700216223E-4</v>
      </c>
    </row>
    <row r="13" spans="1:9" x14ac:dyDescent="0.2">
      <c r="A13" s="1">
        <v>45456</v>
      </c>
      <c r="B13">
        <v>66773.100000000006</v>
      </c>
      <c r="C13">
        <v>5433.74</v>
      </c>
      <c r="E13">
        <f t="shared" si="0"/>
        <v>-2.2025103635730195E-2</v>
      </c>
      <c r="F13">
        <f t="shared" si="1"/>
        <v>2.341828672305396E-3</v>
      </c>
    </row>
    <row r="14" spans="1:9" x14ac:dyDescent="0.2">
      <c r="A14" s="1">
        <v>45455</v>
      </c>
      <c r="B14">
        <v>68260.100000000006</v>
      </c>
      <c r="C14">
        <v>5421.03</v>
      </c>
      <c r="E14">
        <f t="shared" si="0"/>
        <v>1.3871010031434627E-2</v>
      </c>
      <c r="F14">
        <f t="shared" si="1"/>
        <v>8.4677271718827819E-3</v>
      </c>
    </row>
    <row r="15" spans="1:9" x14ac:dyDescent="0.2">
      <c r="A15" s="1">
        <v>45454</v>
      </c>
      <c r="B15">
        <v>67319.8</v>
      </c>
      <c r="C15">
        <v>5375.32</v>
      </c>
      <c r="E15">
        <f t="shared" si="0"/>
        <v>-3.2421843428751609E-2</v>
      </c>
      <c r="F15">
        <f t="shared" si="1"/>
        <v>2.7067548434573357E-3</v>
      </c>
    </row>
    <row r="16" spans="1:9" x14ac:dyDescent="0.2">
      <c r="A16" s="1">
        <v>45453</v>
      </c>
      <c r="B16">
        <v>69538.2</v>
      </c>
      <c r="C16">
        <v>5360.79</v>
      </c>
      <c r="E16">
        <f t="shared" si="0"/>
        <v>2.7403767416718425E-3</v>
      </c>
      <c r="F16">
        <f t="shared" si="1"/>
        <v>2.5775665246065955E-3</v>
      </c>
    </row>
    <row r="17" spans="1:6" x14ac:dyDescent="0.2">
      <c r="A17" s="1">
        <v>45450</v>
      </c>
      <c r="B17">
        <v>69347.899999999994</v>
      </c>
      <c r="C17">
        <v>5346.99</v>
      </c>
      <c r="E17">
        <f>LN(B17/B18)</f>
        <v>-2.0603071875192686E-2</v>
      </c>
      <c r="F17">
        <f t="shared" si="1"/>
        <v>-1.1158931807150971E-3</v>
      </c>
    </row>
    <row r="18" spans="1:6" x14ac:dyDescent="0.2">
      <c r="A18" s="1">
        <v>45449</v>
      </c>
      <c r="B18">
        <v>70791.5</v>
      </c>
      <c r="C18">
        <v>5352.96</v>
      </c>
      <c r="E18">
        <f t="shared" si="0"/>
        <v>-4.1191189601813933E-3</v>
      </c>
      <c r="F18">
        <f t="shared" si="1"/>
        <v>-1.9986943175659869E-4</v>
      </c>
    </row>
    <row r="19" spans="1:6" x14ac:dyDescent="0.2">
      <c r="A19" s="1">
        <v>45448</v>
      </c>
      <c r="B19">
        <v>71083.7</v>
      </c>
      <c r="C19">
        <v>5354.03</v>
      </c>
      <c r="E19">
        <f t="shared" si="0"/>
        <v>7.5477171963409251E-3</v>
      </c>
      <c r="F19">
        <f t="shared" si="1"/>
        <v>1.1778026448059028E-2</v>
      </c>
    </row>
    <row r="20" spans="1:6" x14ac:dyDescent="0.2">
      <c r="A20" s="1">
        <v>45447</v>
      </c>
      <c r="B20">
        <v>70549.2</v>
      </c>
      <c r="C20">
        <v>5291.34</v>
      </c>
      <c r="E20">
        <f t="shared" si="0"/>
        <v>2.4993228152790179E-2</v>
      </c>
      <c r="F20">
        <f t="shared" si="1"/>
        <v>1.5016920495655548E-3</v>
      </c>
    </row>
    <row r="21" spans="1:6" x14ac:dyDescent="0.2">
      <c r="A21" s="1">
        <v>45446</v>
      </c>
      <c r="B21">
        <v>68807.8</v>
      </c>
      <c r="C21">
        <v>5283.4</v>
      </c>
      <c r="E21">
        <f t="shared" si="0"/>
        <v>1.8743686197199134E-2</v>
      </c>
      <c r="F21">
        <f t="shared" si="1"/>
        <v>1.1154342969859781E-3</v>
      </c>
    </row>
    <row r="22" spans="1:6" x14ac:dyDescent="0.2">
      <c r="A22" s="1">
        <v>45443</v>
      </c>
      <c r="B22">
        <v>67530.100000000006</v>
      </c>
      <c r="C22">
        <v>5277.51</v>
      </c>
      <c r="E22">
        <f t="shared" si="0"/>
        <v>-1.2136900113017374E-2</v>
      </c>
      <c r="F22">
        <f t="shared" si="1"/>
        <v>7.9958649115222311E-3</v>
      </c>
    </row>
    <row r="23" spans="1:6" x14ac:dyDescent="0.2">
      <c r="A23" s="1">
        <v>45442</v>
      </c>
      <c r="B23">
        <v>68354.7</v>
      </c>
      <c r="C23">
        <v>5235.4799999999996</v>
      </c>
      <c r="E23">
        <f t="shared" si="0"/>
        <v>1.0572895855343767E-2</v>
      </c>
      <c r="F23">
        <f t="shared" si="1"/>
        <v>-5.9929167225422977E-3</v>
      </c>
    </row>
    <row r="24" spans="1:6" x14ac:dyDescent="0.2">
      <c r="A24" s="1">
        <v>45441</v>
      </c>
      <c r="B24">
        <v>67635.8</v>
      </c>
      <c r="C24">
        <v>5266.95</v>
      </c>
      <c r="E24">
        <f t="shared" si="0"/>
        <v>-1.0738196355205572E-2</v>
      </c>
      <c r="F24">
        <f t="shared" si="1"/>
        <v>-7.3943469365055463E-3</v>
      </c>
    </row>
    <row r="25" spans="1:6" x14ac:dyDescent="0.2">
      <c r="A25" s="1">
        <v>45440</v>
      </c>
      <c r="B25">
        <v>68366</v>
      </c>
      <c r="C25">
        <v>5306.04</v>
      </c>
      <c r="E25">
        <f t="shared" si="0"/>
        <v>-1.5424701673446322E-2</v>
      </c>
      <c r="F25">
        <f t="shared" si="1"/>
        <v>0</v>
      </c>
    </row>
    <row r="26" spans="1:6" x14ac:dyDescent="0.2">
      <c r="A26" s="1">
        <v>45439</v>
      </c>
      <c r="B26">
        <v>69428.7</v>
      </c>
      <c r="C26">
        <v>5306.04</v>
      </c>
      <c r="E26">
        <f t="shared" si="0"/>
        <v>1.2771932240810505E-2</v>
      </c>
      <c r="F26">
        <f t="shared" si="1"/>
        <v>2.4880404548013993E-4</v>
      </c>
    </row>
    <row r="27" spans="1:6" x14ac:dyDescent="0.2">
      <c r="A27" s="1">
        <v>45436</v>
      </c>
      <c r="B27">
        <v>68547.600000000006</v>
      </c>
      <c r="C27">
        <v>5304.72</v>
      </c>
      <c r="E27">
        <f t="shared" si="0"/>
        <v>8.3781060853546953E-3</v>
      </c>
      <c r="F27">
        <f t="shared" si="1"/>
        <v>6.9765789150719763E-3</v>
      </c>
    </row>
    <row r="28" spans="1:6" x14ac:dyDescent="0.2">
      <c r="A28" s="1">
        <v>45435</v>
      </c>
      <c r="B28">
        <v>67975.7</v>
      </c>
      <c r="C28">
        <v>5267.84</v>
      </c>
      <c r="E28">
        <f t="shared" si="0"/>
        <v>-1.7205857798953693E-2</v>
      </c>
      <c r="F28">
        <f t="shared" si="1"/>
        <v>-7.4081767856449404E-3</v>
      </c>
    </row>
    <row r="29" spans="1:6" x14ac:dyDescent="0.2">
      <c r="A29" s="1">
        <v>45434</v>
      </c>
      <c r="B29">
        <v>69155.399999999994</v>
      </c>
      <c r="C29">
        <v>5307.01</v>
      </c>
      <c r="E29">
        <f t="shared" si="0"/>
        <v>-1.4135672822920957E-2</v>
      </c>
      <c r="F29">
        <f t="shared" si="1"/>
        <v>-2.7097176835470336E-3</v>
      </c>
    </row>
    <row r="30" spans="1:6" x14ac:dyDescent="0.2">
      <c r="A30" s="1">
        <v>45433</v>
      </c>
      <c r="B30">
        <v>70139.899999999994</v>
      </c>
      <c r="C30">
        <v>5321.41</v>
      </c>
      <c r="E30">
        <f t="shared" si="0"/>
        <v>-1.8123926997246222E-2</v>
      </c>
      <c r="F30">
        <f t="shared" si="1"/>
        <v>2.498698327390512E-3</v>
      </c>
    </row>
    <row r="31" spans="1:6" x14ac:dyDescent="0.2">
      <c r="A31" s="1">
        <v>45432</v>
      </c>
      <c r="B31">
        <v>71422.7</v>
      </c>
      <c r="C31">
        <v>5308.13</v>
      </c>
      <c r="E31">
        <f t="shared" si="0"/>
        <v>6.3374023650584366E-2</v>
      </c>
      <c r="F31">
        <f t="shared" si="1"/>
        <v>9.159960683443537E-4</v>
      </c>
    </row>
    <row r="32" spans="1:6" x14ac:dyDescent="0.2">
      <c r="A32" s="1">
        <v>45429</v>
      </c>
      <c r="B32">
        <v>67036.800000000003</v>
      </c>
      <c r="C32">
        <v>5303.27</v>
      </c>
      <c r="E32">
        <f t="shared" si="0"/>
        <v>2.7306906277731174E-2</v>
      </c>
      <c r="F32">
        <f t="shared" si="1"/>
        <v>1.1641104408194052E-3</v>
      </c>
    </row>
    <row r="33" spans="1:6" x14ac:dyDescent="0.2">
      <c r="A33" s="1">
        <v>45428</v>
      </c>
      <c r="B33">
        <v>65231</v>
      </c>
      <c r="C33">
        <v>5297.1</v>
      </c>
      <c r="E33">
        <f t="shared" si="0"/>
        <v>-1.5124729100810804E-2</v>
      </c>
      <c r="F33">
        <f t="shared" si="1"/>
        <v>-2.08387430730016E-3</v>
      </c>
    </row>
    <row r="34" spans="1:6" x14ac:dyDescent="0.2">
      <c r="A34" s="1">
        <v>45427</v>
      </c>
      <c r="B34">
        <v>66225.100000000006</v>
      </c>
      <c r="C34">
        <v>5308.15</v>
      </c>
      <c r="E34">
        <f t="shared" si="0"/>
        <v>7.2894551290817067E-2</v>
      </c>
      <c r="F34">
        <f t="shared" si="1"/>
        <v>1.1647879688045933E-2</v>
      </c>
    </row>
    <row r="35" spans="1:6" x14ac:dyDescent="0.2">
      <c r="A35" s="1">
        <v>45426</v>
      </c>
      <c r="B35">
        <v>61569.4</v>
      </c>
      <c r="C35">
        <v>5246.68</v>
      </c>
      <c r="E35">
        <f t="shared" si="0"/>
        <v>-2.1972409963904174E-2</v>
      </c>
      <c r="F35">
        <f t="shared" si="1"/>
        <v>4.8261000617198218E-3</v>
      </c>
    </row>
    <row r="36" spans="1:6" x14ac:dyDescent="0.2">
      <c r="A36" s="1">
        <v>45425</v>
      </c>
      <c r="B36">
        <v>62937.2</v>
      </c>
      <c r="C36">
        <v>5221.42</v>
      </c>
      <c r="E36">
        <f t="shared" si="0"/>
        <v>3.4598603003712709E-2</v>
      </c>
      <c r="F36">
        <f t="shared" si="1"/>
        <v>-2.4128455417182781E-4</v>
      </c>
    </row>
    <row r="37" spans="1:6" x14ac:dyDescent="0.2">
      <c r="A37" s="1">
        <v>45422</v>
      </c>
      <c r="B37">
        <v>60796.9</v>
      </c>
      <c r="C37">
        <v>5222.68</v>
      </c>
      <c r="E37">
        <f t="shared" si="0"/>
        <v>-3.6785693696978608E-2</v>
      </c>
      <c r="F37">
        <f t="shared" si="1"/>
        <v>1.6480214063461682E-3</v>
      </c>
    </row>
    <row r="38" spans="1:6" x14ac:dyDescent="0.2">
      <c r="A38" s="1">
        <v>45421</v>
      </c>
      <c r="B38">
        <v>63075</v>
      </c>
      <c r="C38">
        <v>5214.08</v>
      </c>
      <c r="E38">
        <f t="shared" si="0"/>
        <v>3.0054763497750974E-2</v>
      </c>
      <c r="F38">
        <f t="shared" si="1"/>
        <v>5.0780025958913483E-3</v>
      </c>
    </row>
    <row r="39" spans="1:6" x14ac:dyDescent="0.2">
      <c r="A39" s="1">
        <v>45420</v>
      </c>
      <c r="B39">
        <v>61207.5</v>
      </c>
      <c r="C39">
        <v>5187.67</v>
      </c>
      <c r="E39">
        <f t="shared" si="0"/>
        <v>-1.7975763561952837E-2</v>
      </c>
      <c r="F39">
        <f t="shared" si="1"/>
        <v>-5.7829262956225704E-6</v>
      </c>
    </row>
    <row r="40" spans="1:6" x14ac:dyDescent="0.2">
      <c r="A40" s="1">
        <v>45419</v>
      </c>
      <c r="B40">
        <v>62317.7</v>
      </c>
      <c r="C40">
        <v>5187.7</v>
      </c>
      <c r="E40">
        <f t="shared" si="0"/>
        <v>-1.3474775288927597E-2</v>
      </c>
      <c r="F40">
        <f t="shared" si="1"/>
        <v>1.3425358193505205E-3</v>
      </c>
    </row>
    <row r="41" spans="1:6" x14ac:dyDescent="0.2">
      <c r="A41" s="1">
        <v>45418</v>
      </c>
      <c r="B41">
        <v>63163.1</v>
      </c>
      <c r="C41">
        <v>5180.74</v>
      </c>
      <c r="E41">
        <f t="shared" si="0"/>
        <v>4.5318808194009137E-3</v>
      </c>
      <c r="F41">
        <f t="shared" si="1"/>
        <v>1.0273136069376812E-2</v>
      </c>
    </row>
    <row r="42" spans="1:6" x14ac:dyDescent="0.2">
      <c r="A42" s="1">
        <v>45415</v>
      </c>
      <c r="B42">
        <v>62877.5</v>
      </c>
      <c r="C42">
        <v>5127.79</v>
      </c>
      <c r="E42">
        <f t="shared" si="0"/>
        <v>6.1597123488101709E-2</v>
      </c>
      <c r="F42">
        <f t="shared" si="1"/>
        <v>1.247858860899914E-2</v>
      </c>
    </row>
    <row r="43" spans="1:6" x14ac:dyDescent="0.2">
      <c r="A43" s="1">
        <v>45414</v>
      </c>
      <c r="B43">
        <v>59121.3</v>
      </c>
      <c r="C43">
        <v>5064.2</v>
      </c>
      <c r="E43">
        <f t="shared" si="0"/>
        <v>1.345415241466638E-2</v>
      </c>
      <c r="F43">
        <f t="shared" si="1"/>
        <v>9.0870134013374317E-3</v>
      </c>
    </row>
    <row r="44" spans="1:6" x14ac:dyDescent="0.2">
      <c r="A44" s="1">
        <v>45413</v>
      </c>
      <c r="B44">
        <v>58331.199999999997</v>
      </c>
      <c r="C44">
        <v>5018.3900000000003</v>
      </c>
      <c r="E44">
        <f t="shared" si="0"/>
        <v>-3.9256186348901087E-2</v>
      </c>
      <c r="F44">
        <f t="shared" si="1"/>
        <v>-3.4413923648739225E-3</v>
      </c>
    </row>
    <row r="45" spans="1:6" x14ac:dyDescent="0.2">
      <c r="A45" s="1">
        <v>45412</v>
      </c>
      <c r="B45">
        <v>60666.6</v>
      </c>
      <c r="C45">
        <v>5035.6899999999996</v>
      </c>
      <c r="E45">
        <f t="shared" si="0"/>
        <v>-5.1301453703888902E-2</v>
      </c>
      <c r="F45">
        <f t="shared" si="1"/>
        <v>-1.5855554753445709E-2</v>
      </c>
    </row>
    <row r="46" spans="1:6" x14ac:dyDescent="0.2">
      <c r="A46" s="1">
        <v>45411</v>
      </c>
      <c r="B46">
        <v>63860.1</v>
      </c>
      <c r="C46">
        <v>5116.17</v>
      </c>
      <c r="E46">
        <f t="shared" si="0"/>
        <v>1.4683473547438257E-3</v>
      </c>
      <c r="F46">
        <f t="shared" si="1"/>
        <v>3.1734156874775382E-3</v>
      </c>
    </row>
    <row r="47" spans="1:6" x14ac:dyDescent="0.2">
      <c r="A47" s="1">
        <v>45408</v>
      </c>
      <c r="B47">
        <v>63766.400000000001</v>
      </c>
      <c r="C47">
        <v>5099.96</v>
      </c>
      <c r="E47">
        <f t="shared" si="0"/>
        <v>-1.1393855694501869E-2</v>
      </c>
      <c r="F47">
        <f t="shared" si="1"/>
        <v>1.0157373516560254E-2</v>
      </c>
    </row>
    <row r="48" spans="1:6" x14ac:dyDescent="0.2">
      <c r="A48" s="1">
        <v>45407</v>
      </c>
      <c r="B48">
        <v>64497.1</v>
      </c>
      <c r="C48">
        <v>5048.42</v>
      </c>
      <c r="E48">
        <f t="shared" si="0"/>
        <v>3.2830500638245902E-3</v>
      </c>
      <c r="F48">
        <f t="shared" si="1"/>
        <v>-4.5869419014574458E-3</v>
      </c>
    </row>
    <row r="49" spans="1:6" x14ac:dyDescent="0.2">
      <c r="A49" s="1">
        <v>45406</v>
      </c>
      <c r="B49">
        <v>64285.7</v>
      </c>
      <c r="C49">
        <v>5071.63</v>
      </c>
      <c r="E49">
        <f t="shared" si="0"/>
        <v>-3.2585723097661438E-2</v>
      </c>
      <c r="F49">
        <f t="shared" si="1"/>
        <v>2.1297196541228134E-4</v>
      </c>
    </row>
    <row r="50" spans="1:6" x14ac:dyDescent="0.2">
      <c r="A50" s="1">
        <v>45405</v>
      </c>
      <c r="B50">
        <v>66415</v>
      </c>
      <c r="C50">
        <v>5070.55</v>
      </c>
      <c r="E50">
        <f t="shared" si="0"/>
        <v>-6.2186725457837131E-3</v>
      </c>
      <c r="F50">
        <f t="shared" si="1"/>
        <v>1.1893624576650831E-2</v>
      </c>
    </row>
    <row r="51" spans="1:6" x14ac:dyDescent="0.2">
      <c r="A51" s="1">
        <v>45404</v>
      </c>
      <c r="B51">
        <v>66829.3</v>
      </c>
      <c r="C51">
        <v>5010.6000000000004</v>
      </c>
      <c r="E51">
        <f t="shared" si="0"/>
        <v>4.6402523462076975E-2</v>
      </c>
      <c r="F51">
        <f t="shared" si="1"/>
        <v>8.6933277348877659E-3</v>
      </c>
    </row>
    <row r="52" spans="1:6" x14ac:dyDescent="0.2">
      <c r="A52" s="1">
        <v>45401</v>
      </c>
      <c r="B52">
        <v>63799.1</v>
      </c>
      <c r="C52">
        <v>4967.2299999999996</v>
      </c>
      <c r="E52">
        <f t="shared" si="0"/>
        <v>4.9921340628589659E-3</v>
      </c>
      <c r="F52">
        <f t="shared" si="1"/>
        <v>-8.7971023365461913E-3</v>
      </c>
    </row>
    <row r="53" spans="1:6" x14ac:dyDescent="0.2">
      <c r="A53" s="1">
        <v>45400</v>
      </c>
      <c r="B53">
        <v>63481.4</v>
      </c>
      <c r="C53">
        <v>5011.12</v>
      </c>
      <c r="E53">
        <f t="shared" si="0"/>
        <v>3.5311374725733639E-2</v>
      </c>
      <c r="F53">
        <f t="shared" si="1"/>
        <v>-2.2106328639260849E-3</v>
      </c>
    </row>
    <row r="54" spans="1:6" x14ac:dyDescent="0.2">
      <c r="A54" s="1">
        <v>45399</v>
      </c>
      <c r="B54">
        <v>61278.9</v>
      </c>
      <c r="C54">
        <v>5022.21</v>
      </c>
      <c r="E54">
        <f t="shared" si="0"/>
        <v>-4.0400684121181162E-2</v>
      </c>
      <c r="F54">
        <f t="shared" si="1"/>
        <v>-5.797336366096615E-3</v>
      </c>
    </row>
    <row r="55" spans="1:6" x14ac:dyDescent="0.2">
      <c r="A55" s="1">
        <v>45398</v>
      </c>
      <c r="B55">
        <v>63805.3</v>
      </c>
      <c r="C55">
        <v>5051.41</v>
      </c>
      <c r="E55">
        <f t="shared" si="0"/>
        <v>6.1847180096065556E-3</v>
      </c>
      <c r="F55">
        <f t="shared" si="1"/>
        <v>-2.0586901863485071E-3</v>
      </c>
    </row>
    <row r="56" spans="1:6" x14ac:dyDescent="0.2">
      <c r="A56" s="1">
        <v>45397</v>
      </c>
      <c r="B56">
        <v>63411.9</v>
      </c>
      <c r="C56">
        <v>5061.82</v>
      </c>
      <c r="E56">
        <f t="shared" si="0"/>
        <v>-5.7305676440047797E-2</v>
      </c>
      <c r="F56">
        <f t="shared" si="1"/>
        <v>-1.2094130563305876E-2</v>
      </c>
    </row>
    <row r="57" spans="1:6" x14ac:dyDescent="0.2">
      <c r="A57" s="1">
        <v>45394</v>
      </c>
      <c r="B57">
        <v>67151.899999999994</v>
      </c>
      <c r="C57">
        <v>5123.41</v>
      </c>
      <c r="E57">
        <f t="shared" si="0"/>
        <v>-4.1703725174774754E-2</v>
      </c>
      <c r="F57">
        <f t="shared" si="1"/>
        <v>-1.4657607029448559E-2</v>
      </c>
    </row>
    <row r="58" spans="1:6" x14ac:dyDescent="0.2">
      <c r="A58" s="1">
        <v>45393</v>
      </c>
      <c r="B58">
        <v>70011.600000000006</v>
      </c>
      <c r="C58">
        <v>5199.0600000000004</v>
      </c>
      <c r="E58">
        <f t="shared" si="0"/>
        <v>-8.6821840706597497E-3</v>
      </c>
      <c r="F58">
        <f t="shared" si="1"/>
        <v>7.4172372058720279E-3</v>
      </c>
    </row>
    <row r="59" spans="1:6" x14ac:dyDescent="0.2">
      <c r="A59" s="1">
        <v>45392</v>
      </c>
      <c r="B59">
        <v>70622.100000000006</v>
      </c>
      <c r="C59">
        <v>5160.6400000000003</v>
      </c>
      <c r="E59">
        <f t="shared" si="0"/>
        <v>2.1093991616097197E-2</v>
      </c>
      <c r="F59">
        <f t="shared" si="1"/>
        <v>-9.5019783338873547E-3</v>
      </c>
    </row>
    <row r="60" spans="1:6" x14ac:dyDescent="0.2">
      <c r="A60" s="1">
        <v>45391</v>
      </c>
      <c r="B60">
        <v>69148</v>
      </c>
      <c r="C60">
        <v>5209.91</v>
      </c>
      <c r="E60">
        <f t="shared" si="0"/>
        <v>-3.526624162794717E-2</v>
      </c>
      <c r="F60">
        <f t="shared" si="1"/>
        <v>1.4444457627020377E-3</v>
      </c>
    </row>
    <row r="61" spans="1:6" x14ac:dyDescent="0.2">
      <c r="A61" s="1">
        <v>45390</v>
      </c>
      <c r="B61">
        <v>71630.100000000006</v>
      </c>
      <c r="C61">
        <v>5202.3900000000003</v>
      </c>
      <c r="E61">
        <f t="shared" si="0"/>
        <v>5.4501956126101106E-2</v>
      </c>
      <c r="F61">
        <f t="shared" si="1"/>
        <v>-3.747574930495873E-4</v>
      </c>
    </row>
    <row r="62" spans="1:6" x14ac:dyDescent="0.2">
      <c r="A62" s="1">
        <v>45387</v>
      </c>
      <c r="B62">
        <v>67830.600000000006</v>
      </c>
      <c r="C62">
        <v>5204.34</v>
      </c>
      <c r="E62">
        <f t="shared" si="0"/>
        <v>-9.7692285098938906E-3</v>
      </c>
      <c r="F62">
        <f t="shared" si="1"/>
        <v>1.1038072569656417E-2</v>
      </c>
    </row>
    <row r="63" spans="1:6" x14ac:dyDescent="0.2">
      <c r="A63" s="1">
        <v>45386</v>
      </c>
      <c r="B63">
        <v>68496.5</v>
      </c>
      <c r="C63">
        <v>5147.21</v>
      </c>
      <c r="E63">
        <f t="shared" si="0"/>
        <v>3.7688670304792095E-2</v>
      </c>
      <c r="F63">
        <f t="shared" si="1"/>
        <v>-1.2410983057457463E-2</v>
      </c>
    </row>
    <row r="64" spans="1:6" x14ac:dyDescent="0.2">
      <c r="A64" s="1">
        <v>45385</v>
      </c>
      <c r="B64">
        <v>65963</v>
      </c>
      <c r="C64">
        <v>5211.49</v>
      </c>
      <c r="E64">
        <f t="shared" si="0"/>
        <v>7.972511486597212E-3</v>
      </c>
      <c r="F64">
        <f t="shared" si="1"/>
        <v>1.0904938060488179E-3</v>
      </c>
    </row>
    <row r="65" spans="1:6" x14ac:dyDescent="0.2">
      <c r="A65" s="1">
        <v>45384</v>
      </c>
      <c r="B65">
        <v>65439.199999999997</v>
      </c>
      <c r="C65">
        <v>5205.8100000000004</v>
      </c>
      <c r="E65">
        <f t="shared" si="0"/>
        <v>-6.256795960133929E-2</v>
      </c>
      <c r="F65">
        <f t="shared" si="1"/>
        <v>-7.2653957344673645E-3</v>
      </c>
    </row>
    <row r="66" spans="1:6" x14ac:dyDescent="0.2">
      <c r="A66" s="1">
        <v>45383</v>
      </c>
      <c r="B66">
        <v>69664.399999999994</v>
      </c>
      <c r="C66">
        <v>5243.77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891B-7912-8049-911B-9177FB28CF46}">
  <sheetPr>
    <tabColor theme="3" tint="0.89999084444715716"/>
  </sheetPr>
  <dimension ref="A1:I67"/>
  <sheetViews>
    <sheetView workbookViewId="0">
      <selection activeCell="I2" sqref="I2"/>
    </sheetView>
  </sheetViews>
  <sheetFormatPr baseColWidth="10" defaultRowHeight="16" x14ac:dyDescent="0.2"/>
  <cols>
    <col min="1" max="1" width="7.6640625" bestFit="1" customWidth="1"/>
    <col min="2" max="2" width="8.1640625" bestFit="1" customWidth="1"/>
    <col min="3" max="3" width="10.33203125" bestFit="1" customWidth="1"/>
  </cols>
  <sheetData>
    <row r="1" spans="1:9" x14ac:dyDescent="0.2">
      <c r="A1" t="s">
        <v>0</v>
      </c>
      <c r="B1" t="s">
        <v>1</v>
      </c>
      <c r="C1" t="s">
        <v>389</v>
      </c>
    </row>
    <row r="2" spans="1:9" x14ac:dyDescent="0.2">
      <c r="A2" s="1">
        <v>45565</v>
      </c>
      <c r="B2">
        <v>63339.199999999997</v>
      </c>
      <c r="C2">
        <v>5762.48</v>
      </c>
      <c r="E2">
        <f>LN(B2/B3)</f>
        <v>-3.7755180297916864E-2</v>
      </c>
      <c r="F2">
        <f>LN(C2/C3)</f>
        <v>4.227593432856073E-3</v>
      </c>
      <c r="H2">
        <f>_xlfn.STDEV.P(E2:E65)*SQRT(65)</f>
        <v>0.29270539594947176</v>
      </c>
      <c r="I2">
        <f>_xlfn.STDEV.P(F2:F65)*SQRT(65)</f>
        <v>8.1477477968320652E-2</v>
      </c>
    </row>
    <row r="3" spans="1:9" x14ac:dyDescent="0.2">
      <c r="A3" s="1">
        <v>45562</v>
      </c>
      <c r="B3">
        <v>65776.3</v>
      </c>
      <c r="C3">
        <v>5738.17</v>
      </c>
      <c r="E3">
        <f t="shared" ref="E3:E66" si="0">LN(B3/B4)</f>
        <v>9.1728910027746111E-3</v>
      </c>
      <c r="F3">
        <f t="shared" ref="F3:F66" si="1">LN(C3/C4)</f>
        <v>-1.2539688882457197E-3</v>
      </c>
    </row>
    <row r="4" spans="1:9" x14ac:dyDescent="0.2">
      <c r="A4" s="1">
        <v>45561</v>
      </c>
      <c r="B4">
        <v>65175.7</v>
      </c>
      <c r="C4">
        <v>5745.37</v>
      </c>
      <c r="E4">
        <f t="shared" si="0"/>
        <v>3.1470927043948833E-2</v>
      </c>
      <c r="F4">
        <f t="shared" si="1"/>
        <v>4.0304808028723289E-3</v>
      </c>
    </row>
    <row r="5" spans="1:9" x14ac:dyDescent="0.2">
      <c r="A5" s="1">
        <v>45560</v>
      </c>
      <c r="B5">
        <v>63156.5</v>
      </c>
      <c r="C5">
        <v>5722.26</v>
      </c>
      <c r="E5">
        <f t="shared" si="0"/>
        <v>-1.7271781718431918E-2</v>
      </c>
      <c r="F5">
        <f t="shared" si="1"/>
        <v>-1.8629115860669923E-3</v>
      </c>
    </row>
    <row r="6" spans="1:9" x14ac:dyDescent="0.2">
      <c r="A6" s="1">
        <v>45559</v>
      </c>
      <c r="B6">
        <v>64256.800000000003</v>
      </c>
      <c r="C6">
        <v>5732.93</v>
      </c>
      <c r="E6">
        <f t="shared" si="0"/>
        <v>1.4499982077928311E-2</v>
      </c>
      <c r="F6">
        <f t="shared" si="1"/>
        <v>2.5079697029956895E-3</v>
      </c>
    </row>
    <row r="7" spans="1:9" x14ac:dyDescent="0.2">
      <c r="A7" s="1">
        <v>45558</v>
      </c>
      <c r="B7">
        <v>63331.8</v>
      </c>
      <c r="C7">
        <v>5718.57</v>
      </c>
      <c r="E7">
        <f t="shared" si="0"/>
        <v>2.0642843586547287E-3</v>
      </c>
      <c r="F7">
        <f t="shared" si="1"/>
        <v>2.8053309143568263E-3</v>
      </c>
    </row>
    <row r="8" spans="1:9" x14ac:dyDescent="0.2">
      <c r="A8" s="1">
        <v>45555</v>
      </c>
      <c r="B8">
        <v>63201.2</v>
      </c>
      <c r="C8">
        <v>5702.55</v>
      </c>
      <c r="E8">
        <f t="shared" si="0"/>
        <v>4.1636403318727824E-3</v>
      </c>
      <c r="F8">
        <f t="shared" si="1"/>
        <v>-1.942855451501775E-3</v>
      </c>
    </row>
    <row r="9" spans="1:9" x14ac:dyDescent="0.2">
      <c r="A9" s="1">
        <v>45554</v>
      </c>
      <c r="B9">
        <v>62938.6</v>
      </c>
      <c r="C9">
        <v>5713.64</v>
      </c>
      <c r="E9">
        <f t="shared" si="0"/>
        <v>1.8942603124633344E-2</v>
      </c>
      <c r="F9">
        <f t="shared" si="1"/>
        <v>1.6834291247586949E-2</v>
      </c>
    </row>
    <row r="10" spans="1:9" x14ac:dyDescent="0.2">
      <c r="A10" s="1">
        <v>45553</v>
      </c>
      <c r="B10">
        <v>61757.599999999999</v>
      </c>
      <c r="C10">
        <v>5618.26</v>
      </c>
      <c r="E10">
        <f t="shared" si="0"/>
        <v>2.3734040404631066E-2</v>
      </c>
      <c r="F10">
        <f t="shared" si="1"/>
        <v>-2.9006031263851696E-3</v>
      </c>
    </row>
    <row r="11" spans="1:9" x14ac:dyDescent="0.2">
      <c r="A11" s="1">
        <v>45552</v>
      </c>
      <c r="B11">
        <v>60309.1</v>
      </c>
      <c r="C11">
        <v>5634.58</v>
      </c>
      <c r="E11">
        <f t="shared" si="0"/>
        <v>3.5372589133177257E-2</v>
      </c>
      <c r="F11">
        <f t="shared" si="1"/>
        <v>2.6447349073670164E-4</v>
      </c>
    </row>
    <row r="12" spans="1:9" x14ac:dyDescent="0.2">
      <c r="A12" s="1">
        <v>45551</v>
      </c>
      <c r="B12">
        <v>58213.1</v>
      </c>
      <c r="C12">
        <v>5633.09</v>
      </c>
      <c r="E12">
        <f t="shared" si="0"/>
        <v>-3.8724666875064949E-2</v>
      </c>
      <c r="F12">
        <f t="shared" si="1"/>
        <v>1.2558720767880025E-3</v>
      </c>
    </row>
    <row r="13" spans="1:9" x14ac:dyDescent="0.2">
      <c r="A13" s="1">
        <v>45548</v>
      </c>
      <c r="B13">
        <v>60511.6</v>
      </c>
      <c r="C13">
        <v>5626.02</v>
      </c>
      <c r="E13">
        <f t="shared" si="0"/>
        <v>4.0075790782343843E-2</v>
      </c>
      <c r="F13">
        <f t="shared" si="1"/>
        <v>5.3930968783714164E-3</v>
      </c>
    </row>
    <row r="14" spans="1:9" x14ac:dyDescent="0.2">
      <c r="A14" s="1">
        <v>45547</v>
      </c>
      <c r="B14">
        <v>58134.5</v>
      </c>
      <c r="C14">
        <v>5595.76</v>
      </c>
      <c r="E14">
        <f t="shared" si="0"/>
        <v>1.3783502996868993E-2</v>
      </c>
      <c r="F14">
        <f t="shared" si="1"/>
        <v>7.46737294203047E-3</v>
      </c>
    </row>
    <row r="15" spans="1:9" x14ac:dyDescent="0.2">
      <c r="A15" s="1">
        <v>45546</v>
      </c>
      <c r="B15">
        <v>57338.7</v>
      </c>
      <c r="C15">
        <v>5554.13</v>
      </c>
      <c r="E15">
        <f t="shared" si="0"/>
        <v>-5.1542336371117829E-3</v>
      </c>
      <c r="F15">
        <f t="shared" si="1"/>
        <v>1.0608580303038784E-2</v>
      </c>
    </row>
    <row r="16" spans="1:9" x14ac:dyDescent="0.2">
      <c r="A16" s="1">
        <v>45545</v>
      </c>
      <c r="B16">
        <v>57635</v>
      </c>
      <c r="C16">
        <v>5495.52</v>
      </c>
      <c r="E16">
        <f t="shared" si="0"/>
        <v>1.0208957162985735E-2</v>
      </c>
      <c r="F16">
        <f t="shared" si="1"/>
        <v>4.4626607244902189E-3</v>
      </c>
    </row>
    <row r="17" spans="1:6" x14ac:dyDescent="0.2">
      <c r="A17" s="1">
        <v>45544</v>
      </c>
      <c r="B17">
        <v>57049.599999999999</v>
      </c>
      <c r="C17">
        <v>5471.05</v>
      </c>
      <c r="E17">
        <f t="shared" si="0"/>
        <v>5.5552022216660751E-2</v>
      </c>
      <c r="F17">
        <f t="shared" si="1"/>
        <v>1.1513555690021488E-2</v>
      </c>
    </row>
    <row r="18" spans="1:6" x14ac:dyDescent="0.2">
      <c r="A18" s="1">
        <v>45541</v>
      </c>
      <c r="B18">
        <v>53966.8</v>
      </c>
      <c r="C18">
        <v>5408.42</v>
      </c>
      <c r="E18">
        <f t="shared" si="0"/>
        <v>-4.0248737152782731E-2</v>
      </c>
      <c r="F18">
        <f t="shared" si="1"/>
        <v>-1.7410901670867562E-2</v>
      </c>
    </row>
    <row r="19" spans="1:6" x14ac:dyDescent="0.2">
      <c r="A19" s="1">
        <v>45540</v>
      </c>
      <c r="B19">
        <v>56183.199999999997</v>
      </c>
      <c r="C19">
        <v>5503.41</v>
      </c>
      <c r="E19">
        <f t="shared" si="0"/>
        <v>-3.1366504832018055E-2</v>
      </c>
      <c r="F19">
        <f t="shared" si="1"/>
        <v>-3.0226412501879545E-3</v>
      </c>
    </row>
    <row r="20" spans="1:6" x14ac:dyDescent="0.2">
      <c r="A20" s="1">
        <v>45539</v>
      </c>
      <c r="B20">
        <v>57973.4</v>
      </c>
      <c r="C20">
        <v>5520.07</v>
      </c>
      <c r="E20">
        <f t="shared" si="0"/>
        <v>8.5507029244797778E-3</v>
      </c>
      <c r="F20">
        <f t="shared" si="1"/>
        <v>-1.6037653903594354E-3</v>
      </c>
    </row>
    <row r="21" spans="1:6" x14ac:dyDescent="0.2">
      <c r="A21" s="1">
        <v>45538</v>
      </c>
      <c r="B21">
        <v>57479.8</v>
      </c>
      <c r="C21">
        <v>5528.93</v>
      </c>
      <c r="E21">
        <f t="shared" si="0"/>
        <v>-2.8372473367327355E-2</v>
      </c>
      <c r="F21">
        <f t="shared" si="1"/>
        <v>-2.137801245458143E-2</v>
      </c>
    </row>
    <row r="22" spans="1:6" x14ac:dyDescent="0.2">
      <c r="A22" s="1">
        <v>45537</v>
      </c>
      <c r="B22">
        <v>59134</v>
      </c>
      <c r="C22">
        <v>5648.4</v>
      </c>
      <c r="E22">
        <f t="shared" si="0"/>
        <v>2.418528988048961E-4</v>
      </c>
      <c r="F22">
        <f t="shared" si="1"/>
        <v>0</v>
      </c>
    </row>
    <row r="23" spans="1:6" x14ac:dyDescent="0.2">
      <c r="A23" s="1">
        <v>45534</v>
      </c>
      <c r="B23">
        <v>59119.7</v>
      </c>
      <c r="C23">
        <v>5648.4</v>
      </c>
      <c r="E23">
        <f t="shared" si="0"/>
        <v>-4.2837966756187592E-3</v>
      </c>
      <c r="F23">
        <f t="shared" si="1"/>
        <v>1.0042467382856683E-2</v>
      </c>
    </row>
    <row r="24" spans="1:6" x14ac:dyDescent="0.2">
      <c r="A24" s="1">
        <v>45533</v>
      </c>
      <c r="B24">
        <v>59373.5</v>
      </c>
      <c r="C24">
        <v>5591.96</v>
      </c>
      <c r="E24">
        <f t="shared" si="0"/>
        <v>6.039405295790356E-3</v>
      </c>
      <c r="F24">
        <f t="shared" si="1"/>
        <v>-3.934142455813639E-5</v>
      </c>
    </row>
    <row r="25" spans="1:6" x14ac:dyDescent="0.2">
      <c r="A25" s="1">
        <v>45532</v>
      </c>
      <c r="B25">
        <v>59016</v>
      </c>
      <c r="C25">
        <v>5592.18</v>
      </c>
      <c r="E25">
        <f t="shared" si="0"/>
        <v>-7.3421682122770497E-3</v>
      </c>
      <c r="F25">
        <f t="shared" si="1"/>
        <v>-5.9939669454233853E-3</v>
      </c>
    </row>
    <row r="26" spans="1:6" x14ac:dyDescent="0.2">
      <c r="A26" s="1">
        <v>45531</v>
      </c>
      <c r="B26">
        <v>59450.9</v>
      </c>
      <c r="C26">
        <v>5625.8</v>
      </c>
      <c r="E26">
        <f t="shared" si="0"/>
        <v>-5.5539709998043044E-2</v>
      </c>
      <c r="F26">
        <f t="shared" si="1"/>
        <v>1.5939320118754585E-3</v>
      </c>
    </row>
    <row r="27" spans="1:6" x14ac:dyDescent="0.2">
      <c r="A27" s="1">
        <v>45530</v>
      </c>
      <c r="B27">
        <v>62846.2</v>
      </c>
      <c r="C27">
        <v>5616.84</v>
      </c>
      <c r="E27">
        <f t="shared" si="0"/>
        <v>-1.9021955066938757E-2</v>
      </c>
      <c r="F27">
        <f t="shared" si="1"/>
        <v>-3.1587066155747872E-3</v>
      </c>
    </row>
    <row r="28" spans="1:6" x14ac:dyDescent="0.2">
      <c r="A28" s="1">
        <v>45527</v>
      </c>
      <c r="B28">
        <v>64053.1</v>
      </c>
      <c r="C28">
        <v>5634.61</v>
      </c>
      <c r="E28">
        <f t="shared" si="0"/>
        <v>5.918369277355523E-2</v>
      </c>
      <c r="F28">
        <f t="shared" si="1"/>
        <v>1.1417986208502448E-2</v>
      </c>
    </row>
    <row r="29" spans="1:6" x14ac:dyDescent="0.2">
      <c r="A29" s="1">
        <v>45526</v>
      </c>
      <c r="B29">
        <v>60372.2</v>
      </c>
      <c r="C29">
        <v>5570.64</v>
      </c>
      <c r="E29">
        <f t="shared" si="0"/>
        <v>-1.2933580436350777E-2</v>
      </c>
      <c r="F29">
        <f t="shared" si="1"/>
        <v>-8.9729494254644684E-3</v>
      </c>
    </row>
    <row r="30" spans="1:6" x14ac:dyDescent="0.2">
      <c r="A30" s="1">
        <v>45525</v>
      </c>
      <c r="B30">
        <v>61158.1</v>
      </c>
      <c r="C30">
        <v>5620.85</v>
      </c>
      <c r="E30">
        <f t="shared" si="0"/>
        <v>3.5826570363218561E-2</v>
      </c>
      <c r="F30">
        <f t="shared" si="1"/>
        <v>4.2307182841846242E-3</v>
      </c>
    </row>
    <row r="31" spans="1:6" x14ac:dyDescent="0.2">
      <c r="A31" s="1">
        <v>45524</v>
      </c>
      <c r="B31">
        <v>59005.8</v>
      </c>
      <c r="C31">
        <v>5597.12</v>
      </c>
      <c r="E31">
        <f t="shared" si="0"/>
        <v>-7.851373125999761E-3</v>
      </c>
      <c r="F31">
        <f t="shared" si="1"/>
        <v>-1.9865481747165059E-3</v>
      </c>
    </row>
    <row r="32" spans="1:6" x14ac:dyDescent="0.2">
      <c r="A32" s="1">
        <v>45523</v>
      </c>
      <c r="B32">
        <v>59470.9</v>
      </c>
      <c r="C32">
        <v>5608.25</v>
      </c>
      <c r="E32">
        <f t="shared" si="0"/>
        <v>1.0033198342785958E-2</v>
      </c>
      <c r="F32">
        <f t="shared" si="1"/>
        <v>9.6753274361777754E-3</v>
      </c>
    </row>
    <row r="33" spans="1:6" x14ac:dyDescent="0.2">
      <c r="A33" s="1">
        <v>45520</v>
      </c>
      <c r="B33">
        <v>58877.2</v>
      </c>
      <c r="C33">
        <v>5554.25</v>
      </c>
      <c r="E33">
        <f t="shared" si="0"/>
        <v>2.3067412980706602E-2</v>
      </c>
      <c r="F33">
        <f t="shared" si="1"/>
        <v>1.9878411263283945E-3</v>
      </c>
    </row>
    <row r="34" spans="1:6" x14ac:dyDescent="0.2">
      <c r="A34" s="1">
        <v>45519</v>
      </c>
      <c r="B34">
        <v>57534.6</v>
      </c>
      <c r="C34">
        <v>5543.22</v>
      </c>
      <c r="E34">
        <f t="shared" si="0"/>
        <v>-2.018609109106486E-2</v>
      </c>
      <c r="F34">
        <f t="shared" si="1"/>
        <v>1.6004444012785939E-2</v>
      </c>
    </row>
    <row r="35" spans="1:6" x14ac:dyDescent="0.2">
      <c r="A35" s="1">
        <v>45518</v>
      </c>
      <c r="B35">
        <v>58707.8</v>
      </c>
      <c r="C35">
        <v>5455.21</v>
      </c>
      <c r="E35">
        <f t="shared" si="0"/>
        <v>-3.1643084964954632E-2</v>
      </c>
      <c r="F35">
        <f t="shared" si="1"/>
        <v>3.816476067632372E-3</v>
      </c>
    </row>
    <row r="36" spans="1:6" x14ac:dyDescent="0.2">
      <c r="A36" s="1">
        <v>45517</v>
      </c>
      <c r="B36">
        <v>60595.199999999997</v>
      </c>
      <c r="C36">
        <v>5434.43</v>
      </c>
      <c r="E36">
        <f t="shared" si="0"/>
        <v>2.0763560961686633E-2</v>
      </c>
      <c r="F36">
        <f t="shared" si="1"/>
        <v>1.6707226654933075E-2</v>
      </c>
    </row>
    <row r="37" spans="1:6" x14ac:dyDescent="0.2">
      <c r="A37" s="1">
        <v>45516</v>
      </c>
      <c r="B37">
        <v>59350</v>
      </c>
      <c r="C37">
        <v>5344.39</v>
      </c>
      <c r="E37">
        <f t="shared" si="0"/>
        <v>-2.4969558641489826E-2</v>
      </c>
      <c r="F37">
        <f t="shared" si="1"/>
        <v>4.3036707511422095E-5</v>
      </c>
    </row>
    <row r="38" spans="1:6" x14ac:dyDescent="0.2">
      <c r="A38" s="1">
        <v>45513</v>
      </c>
      <c r="B38">
        <v>60850.6</v>
      </c>
      <c r="C38">
        <v>5344.16</v>
      </c>
      <c r="E38">
        <f t="shared" si="0"/>
        <v>-1.3857388965725748E-2</v>
      </c>
      <c r="F38">
        <f t="shared" si="1"/>
        <v>4.660780212150723E-3</v>
      </c>
    </row>
    <row r="39" spans="1:6" x14ac:dyDescent="0.2">
      <c r="A39" s="1">
        <v>45512</v>
      </c>
      <c r="B39">
        <v>61699.7</v>
      </c>
      <c r="C39">
        <v>5319.31</v>
      </c>
      <c r="E39">
        <f t="shared" si="0"/>
        <v>0.11275011407917893</v>
      </c>
      <c r="F39">
        <f t="shared" si="1"/>
        <v>2.2781128575607587E-2</v>
      </c>
    </row>
    <row r="40" spans="1:6" x14ac:dyDescent="0.2">
      <c r="A40" s="1">
        <v>45511</v>
      </c>
      <c r="B40">
        <v>55120.9</v>
      </c>
      <c r="C40">
        <v>5199.5</v>
      </c>
      <c r="E40">
        <f t="shared" si="0"/>
        <v>-1.6854346715376653E-2</v>
      </c>
      <c r="F40">
        <f t="shared" si="1"/>
        <v>-7.7647563892511828E-3</v>
      </c>
    </row>
    <row r="41" spans="1:6" x14ac:dyDescent="0.2">
      <c r="A41" s="1">
        <v>45510</v>
      </c>
      <c r="B41">
        <v>56057.8</v>
      </c>
      <c r="C41">
        <v>5240.03</v>
      </c>
      <c r="E41">
        <f t="shared" si="0"/>
        <v>3.778821926059895E-2</v>
      </c>
      <c r="F41">
        <f t="shared" si="1"/>
        <v>1.0300905557719547E-2</v>
      </c>
    </row>
    <row r="42" spans="1:6" x14ac:dyDescent="0.2">
      <c r="A42" s="1">
        <v>45509</v>
      </c>
      <c r="B42">
        <v>53979</v>
      </c>
      <c r="C42">
        <v>5186.33</v>
      </c>
      <c r="E42">
        <f t="shared" si="0"/>
        <v>-0.13009569132050969</v>
      </c>
      <c r="F42">
        <f t="shared" si="1"/>
        <v>-3.0427045496882188E-2</v>
      </c>
    </row>
    <row r="43" spans="1:6" x14ac:dyDescent="0.2">
      <c r="A43" s="1">
        <v>45506</v>
      </c>
      <c r="B43">
        <v>61478.7</v>
      </c>
      <c r="C43">
        <v>5346.56</v>
      </c>
      <c r="E43">
        <f t="shared" si="0"/>
        <v>-6.1417026139214632E-2</v>
      </c>
      <c r="F43">
        <f t="shared" si="1"/>
        <v>-1.8552885294602865E-2</v>
      </c>
    </row>
    <row r="44" spans="1:6" x14ac:dyDescent="0.2">
      <c r="A44" s="1">
        <v>45505</v>
      </c>
      <c r="B44">
        <v>65372.9</v>
      </c>
      <c r="C44">
        <v>5446.68</v>
      </c>
      <c r="E44">
        <f t="shared" si="0"/>
        <v>1.1490992901527485E-2</v>
      </c>
      <c r="F44">
        <f t="shared" si="1"/>
        <v>-1.3788191433053192E-2</v>
      </c>
    </row>
    <row r="45" spans="1:6" x14ac:dyDescent="0.2">
      <c r="A45" s="1">
        <v>45504</v>
      </c>
      <c r="B45">
        <v>64626</v>
      </c>
      <c r="C45">
        <v>5522.3</v>
      </c>
      <c r="E45">
        <f t="shared" si="0"/>
        <v>-2.3835533651533628E-2</v>
      </c>
      <c r="F45">
        <f t="shared" si="1"/>
        <v>1.567000529191805E-2</v>
      </c>
    </row>
    <row r="46" spans="1:6" x14ac:dyDescent="0.2">
      <c r="A46" s="1">
        <v>45503</v>
      </c>
      <c r="B46">
        <v>66184.899999999994</v>
      </c>
      <c r="C46">
        <v>5436.44</v>
      </c>
      <c r="E46">
        <f t="shared" si="0"/>
        <v>-9.2312790271646631E-3</v>
      </c>
      <c r="F46">
        <f t="shared" si="1"/>
        <v>-4.9724964337360253E-3</v>
      </c>
    </row>
    <row r="47" spans="1:6" x14ac:dyDescent="0.2">
      <c r="A47" s="1">
        <v>45502</v>
      </c>
      <c r="B47">
        <v>66798.7</v>
      </c>
      <c r="C47">
        <v>5463.54</v>
      </c>
      <c r="E47">
        <f t="shared" si="0"/>
        <v>-1.6479064117268967E-2</v>
      </c>
      <c r="F47">
        <f t="shared" si="1"/>
        <v>8.129903108684501E-4</v>
      </c>
    </row>
    <row r="48" spans="1:6" x14ac:dyDescent="0.2">
      <c r="A48" s="1">
        <v>45499</v>
      </c>
      <c r="B48">
        <v>67908.600000000006</v>
      </c>
      <c r="C48">
        <v>5459.1</v>
      </c>
      <c r="E48">
        <f t="shared" si="0"/>
        <v>3.1553483415843325E-2</v>
      </c>
      <c r="F48">
        <f t="shared" si="1"/>
        <v>1.1029442312488889E-2</v>
      </c>
    </row>
    <row r="49" spans="1:6" x14ac:dyDescent="0.2">
      <c r="A49" s="1">
        <v>45498</v>
      </c>
      <c r="B49">
        <v>65799.3</v>
      </c>
      <c r="C49">
        <v>5399.22</v>
      </c>
      <c r="E49">
        <f t="shared" si="0"/>
        <v>6.5381136128774518E-3</v>
      </c>
      <c r="F49">
        <f t="shared" si="1"/>
        <v>-5.1559504042484414E-3</v>
      </c>
    </row>
    <row r="50" spans="1:6" x14ac:dyDescent="0.2">
      <c r="A50" s="1">
        <v>45497</v>
      </c>
      <c r="B50">
        <v>65370.5</v>
      </c>
      <c r="C50">
        <v>5427.13</v>
      </c>
      <c r="E50">
        <f t="shared" si="0"/>
        <v>-8.6407870591339829E-3</v>
      </c>
      <c r="F50">
        <f t="shared" si="1"/>
        <v>-2.3421178443889513E-2</v>
      </c>
    </row>
    <row r="51" spans="1:6" x14ac:dyDescent="0.2">
      <c r="A51" s="1">
        <v>45496</v>
      </c>
      <c r="B51">
        <v>65937.8</v>
      </c>
      <c r="C51">
        <v>5555.74</v>
      </c>
      <c r="E51">
        <f t="shared" si="0"/>
        <v>-2.4209483419474796E-2</v>
      </c>
      <c r="F51">
        <f t="shared" si="1"/>
        <v>-1.5593317997995005E-3</v>
      </c>
    </row>
    <row r="52" spans="1:6" x14ac:dyDescent="0.2">
      <c r="A52" s="1">
        <v>45495</v>
      </c>
      <c r="B52">
        <v>67553.600000000006</v>
      </c>
      <c r="C52">
        <v>5564.41</v>
      </c>
      <c r="E52">
        <f t="shared" si="0"/>
        <v>1.3055291921725698E-2</v>
      </c>
      <c r="F52">
        <f t="shared" si="1"/>
        <v>1.0734189165974961E-2</v>
      </c>
    </row>
    <row r="53" spans="1:6" x14ac:dyDescent="0.2">
      <c r="A53" s="1">
        <v>45492</v>
      </c>
      <c r="B53">
        <v>66677.399999999994</v>
      </c>
      <c r="C53">
        <v>5505</v>
      </c>
      <c r="E53">
        <f t="shared" si="0"/>
        <v>4.1287715487813015E-2</v>
      </c>
      <c r="F53">
        <f t="shared" si="1"/>
        <v>-7.1659074070294041E-3</v>
      </c>
    </row>
    <row r="54" spans="1:6" x14ac:dyDescent="0.2">
      <c r="A54" s="1">
        <v>45491</v>
      </c>
      <c r="B54">
        <v>63980.5</v>
      </c>
      <c r="C54">
        <v>5544.59</v>
      </c>
      <c r="E54">
        <f t="shared" si="0"/>
        <v>-1.697513558664622E-3</v>
      </c>
      <c r="F54">
        <f t="shared" si="1"/>
        <v>-7.8470804696827295E-3</v>
      </c>
    </row>
    <row r="55" spans="1:6" x14ac:dyDescent="0.2">
      <c r="A55" s="1">
        <v>45490</v>
      </c>
      <c r="B55">
        <v>64089.2</v>
      </c>
      <c r="C55">
        <v>5588.27</v>
      </c>
      <c r="E55">
        <f t="shared" si="0"/>
        <v>-1.4875730119161729E-2</v>
      </c>
      <c r="F55">
        <f t="shared" si="1"/>
        <v>-1.4025410555021933E-2</v>
      </c>
    </row>
    <row r="56" spans="1:6" x14ac:dyDescent="0.2">
      <c r="A56" s="1">
        <v>45489</v>
      </c>
      <c r="B56">
        <v>65049.7</v>
      </c>
      <c r="C56">
        <v>5667.2</v>
      </c>
      <c r="E56">
        <f t="shared" si="0"/>
        <v>4.1176315821751909E-3</v>
      </c>
      <c r="F56">
        <f t="shared" si="1"/>
        <v>6.3690536600414091E-3</v>
      </c>
    </row>
    <row r="57" spans="1:6" x14ac:dyDescent="0.2">
      <c r="A57" s="1">
        <v>45488</v>
      </c>
      <c r="B57">
        <v>64782.400000000001</v>
      </c>
      <c r="C57">
        <v>5631.22</v>
      </c>
      <c r="E57">
        <f t="shared" si="0"/>
        <v>0.11257395030918456</v>
      </c>
      <c r="F57">
        <f t="shared" si="1"/>
        <v>2.822195662042845E-3</v>
      </c>
    </row>
    <row r="58" spans="1:6" x14ac:dyDescent="0.2">
      <c r="A58" s="1">
        <v>45485</v>
      </c>
      <c r="B58">
        <v>57885.1</v>
      </c>
      <c r="C58">
        <v>5615.35</v>
      </c>
      <c r="E58">
        <f t="shared" si="0"/>
        <v>9.508639420860613E-3</v>
      </c>
      <c r="F58">
        <f t="shared" si="1"/>
        <v>5.5018536287759819E-3</v>
      </c>
    </row>
    <row r="59" spans="1:6" x14ac:dyDescent="0.2">
      <c r="A59" s="1">
        <v>45484</v>
      </c>
      <c r="B59">
        <v>57337.3</v>
      </c>
      <c r="C59">
        <v>5584.54</v>
      </c>
      <c r="E59">
        <f t="shared" si="0"/>
        <v>-7.1148331134338822E-3</v>
      </c>
      <c r="F59">
        <f t="shared" si="1"/>
        <v>-8.8016292301766504E-3</v>
      </c>
    </row>
    <row r="60" spans="1:6" x14ac:dyDescent="0.2">
      <c r="A60" s="1">
        <v>45483</v>
      </c>
      <c r="B60">
        <v>57746.7</v>
      </c>
      <c r="C60">
        <v>5633.91</v>
      </c>
      <c r="E60">
        <f t="shared" si="0"/>
        <v>-5.055885352368744E-3</v>
      </c>
      <c r="F60">
        <f t="shared" si="1"/>
        <v>1.0156283642139425E-2</v>
      </c>
    </row>
    <row r="61" spans="1:6" x14ac:dyDescent="0.2">
      <c r="A61" s="1">
        <v>45482</v>
      </c>
      <c r="B61">
        <v>58039.4</v>
      </c>
      <c r="C61">
        <v>5576.98</v>
      </c>
      <c r="E61">
        <f t="shared" si="0"/>
        <v>2.2912348285917556E-2</v>
      </c>
      <c r="F61">
        <f t="shared" si="1"/>
        <v>7.4081850375864739E-4</v>
      </c>
    </row>
    <row r="62" spans="1:6" x14ac:dyDescent="0.2">
      <c r="A62" s="1">
        <v>45481</v>
      </c>
      <c r="B62">
        <v>56724.7</v>
      </c>
      <c r="C62">
        <v>5572.85</v>
      </c>
      <c r="E62">
        <f t="shared" si="0"/>
        <v>1.4625134369773494E-3</v>
      </c>
      <c r="F62">
        <f t="shared" si="1"/>
        <v>1.0161544279964853E-3</v>
      </c>
    </row>
    <row r="63" spans="1:6" x14ac:dyDescent="0.2">
      <c r="A63" s="1">
        <v>45478</v>
      </c>
      <c r="B63">
        <v>56641.8</v>
      </c>
      <c r="C63">
        <v>5567.19</v>
      </c>
      <c r="E63">
        <f t="shared" si="0"/>
        <v>-6.7653363879364827E-3</v>
      </c>
      <c r="F63">
        <f t="shared" si="1"/>
        <v>-7.3482895994790194E-3</v>
      </c>
    </row>
    <row r="64" spans="1:6" x14ac:dyDescent="0.2">
      <c r="A64" s="1">
        <v>45477</v>
      </c>
      <c r="B64">
        <v>57026.3</v>
      </c>
      <c r="C64">
        <v>5608.25</v>
      </c>
      <c r="E64">
        <f t="shared" si="0"/>
        <v>-5.4148159410738923E-2</v>
      </c>
      <c r="F64">
        <f t="shared" si="1"/>
        <v>1.2782278012676177E-2</v>
      </c>
    </row>
    <row r="65" spans="1:6" x14ac:dyDescent="0.2">
      <c r="A65" s="1">
        <v>45476</v>
      </c>
      <c r="B65">
        <v>60199.3</v>
      </c>
      <c r="C65">
        <v>5537.02</v>
      </c>
      <c r="E65">
        <f t="shared" si="0"/>
        <v>-3.1138403283972577E-2</v>
      </c>
      <c r="F65">
        <f t="shared" si="1"/>
        <v>5.0715161981972666E-3</v>
      </c>
    </row>
    <row r="66" spans="1:6" x14ac:dyDescent="0.2">
      <c r="A66" s="1">
        <v>45475</v>
      </c>
      <c r="B66">
        <v>62103.3</v>
      </c>
      <c r="C66">
        <v>5509.01</v>
      </c>
      <c r="E66">
        <f t="shared" si="0"/>
        <v>-1.2589631007895006E-2</v>
      </c>
      <c r="F66">
        <f t="shared" si="1"/>
        <v>6.1762197767835335E-3</v>
      </c>
    </row>
    <row r="67" spans="1:6" x14ac:dyDescent="0.2">
      <c r="A67" s="1">
        <v>45474</v>
      </c>
      <c r="B67">
        <v>62890.1</v>
      </c>
      <c r="C67">
        <v>5475.09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8757-592B-094C-82B9-E939009E48AF}">
  <sheetPr>
    <tabColor theme="3" tint="0.89999084444715716"/>
  </sheetPr>
  <dimension ref="A1:I67"/>
  <sheetViews>
    <sheetView workbookViewId="0">
      <selection activeCell="E6" sqref="E6"/>
    </sheetView>
  </sheetViews>
  <sheetFormatPr baseColWidth="10" defaultRowHeight="16" x14ac:dyDescent="0.2"/>
  <cols>
    <col min="1" max="1" width="8.5" bestFit="1" customWidth="1"/>
    <col min="2" max="2" width="9.1640625" bestFit="1" customWidth="1"/>
    <col min="3" max="3" width="10.33203125" bestFit="1" customWidth="1"/>
  </cols>
  <sheetData>
    <row r="1" spans="1:9" x14ac:dyDescent="0.2">
      <c r="A1" t="s">
        <v>0</v>
      </c>
      <c r="B1" t="s">
        <v>1</v>
      </c>
      <c r="C1" t="s">
        <v>389</v>
      </c>
    </row>
    <row r="2" spans="1:9" x14ac:dyDescent="0.2">
      <c r="A2" s="1">
        <v>45657</v>
      </c>
      <c r="B2">
        <v>93557.2</v>
      </c>
      <c r="C2">
        <v>5881.63</v>
      </c>
      <c r="E2">
        <f>LN(B2/B3)</f>
        <v>8.3440702644962377E-3</v>
      </c>
      <c r="F2">
        <f>LN(C2/C3)</f>
        <v>-4.2939964541344501E-3</v>
      </c>
      <c r="H2">
        <f>_xlfn.STDEV.P(E2:E65)*SQRT(65)</f>
        <v>0.26239774595314969</v>
      </c>
      <c r="I2">
        <f>_xlfn.STDEV.P(F2:F65)*SQRT(65)</f>
        <v>6.2809945595043437E-2</v>
      </c>
    </row>
    <row r="3" spans="1:9" x14ac:dyDescent="0.2">
      <c r="A3" s="1">
        <v>45656</v>
      </c>
      <c r="B3">
        <v>92779.8</v>
      </c>
      <c r="C3">
        <v>5906.94</v>
      </c>
      <c r="E3">
        <f t="shared" ref="E3:E66" si="0">LN(B3/B4)</f>
        <v>-1.5996645953948806E-2</v>
      </c>
      <c r="F3">
        <f t="shared" ref="F3:F66" si="1">LN(C3/C4)</f>
        <v>-1.0759690191101295E-2</v>
      </c>
    </row>
    <row r="4" spans="1:9" x14ac:dyDescent="0.2">
      <c r="A4" s="1">
        <v>45653</v>
      </c>
      <c r="B4">
        <v>94275.9</v>
      </c>
      <c r="C4">
        <v>5970.84</v>
      </c>
      <c r="E4">
        <f t="shared" si="0"/>
        <v>-1.580429162394649E-2</v>
      </c>
      <c r="F4">
        <f t="shared" si="1"/>
        <v>-1.111730467559637E-2</v>
      </c>
    </row>
    <row r="5" spans="1:9" x14ac:dyDescent="0.2">
      <c r="A5" s="1">
        <v>45652</v>
      </c>
      <c r="B5">
        <v>95777.7</v>
      </c>
      <c r="C5">
        <v>6037.59</v>
      </c>
      <c r="E5">
        <f t="shared" si="0"/>
        <v>-3.7034703418894678E-2</v>
      </c>
      <c r="F5">
        <f t="shared" si="1"/>
        <v>-4.0570874146761795E-4</v>
      </c>
    </row>
    <row r="6" spans="1:9" x14ac:dyDescent="0.2">
      <c r="A6" s="1">
        <v>45651</v>
      </c>
      <c r="B6">
        <v>99391.3</v>
      </c>
      <c r="C6">
        <v>6040.04</v>
      </c>
      <c r="E6">
        <f t="shared" si="0"/>
        <v>7.3028921036117824E-3</v>
      </c>
      <c r="F6">
        <f t="shared" si="1"/>
        <v>0</v>
      </c>
    </row>
    <row r="7" spans="1:9" x14ac:dyDescent="0.2">
      <c r="A7" s="1">
        <v>45650</v>
      </c>
      <c r="B7">
        <v>98668.1</v>
      </c>
      <c r="C7">
        <v>6040.04</v>
      </c>
      <c r="E7">
        <f t="shared" si="0"/>
        <v>3.9442856220127137E-2</v>
      </c>
      <c r="F7">
        <f t="shared" si="1"/>
        <v>1.0982197273831982E-2</v>
      </c>
    </row>
    <row r="8" spans="1:9" x14ac:dyDescent="0.2">
      <c r="A8" s="1">
        <v>45649</v>
      </c>
      <c r="B8">
        <v>94852.1</v>
      </c>
      <c r="C8">
        <v>5974.07</v>
      </c>
      <c r="E8">
        <f t="shared" si="0"/>
        <v>-3.0561772436684464E-2</v>
      </c>
      <c r="F8">
        <f t="shared" si="1"/>
        <v>7.2608954754625398E-3</v>
      </c>
    </row>
    <row r="9" spans="1:9" x14ac:dyDescent="0.2">
      <c r="A9" s="1">
        <v>45646</v>
      </c>
      <c r="B9">
        <v>97795.7</v>
      </c>
      <c r="C9">
        <v>5930.85</v>
      </c>
      <c r="E9">
        <f t="shared" si="0"/>
        <v>3.3759835568944242E-3</v>
      </c>
      <c r="F9">
        <f t="shared" si="1"/>
        <v>1.0810476252410672E-2</v>
      </c>
    </row>
    <row r="10" spans="1:9" x14ac:dyDescent="0.2">
      <c r="A10" s="1">
        <v>45645</v>
      </c>
      <c r="B10">
        <v>97466.1</v>
      </c>
      <c r="C10">
        <v>5867.08</v>
      </c>
      <c r="E10">
        <f t="shared" si="0"/>
        <v>-2.7641607084777378E-2</v>
      </c>
      <c r="F10">
        <f t="shared" si="1"/>
        <v>-8.6547345775283581E-4</v>
      </c>
    </row>
    <row r="11" spans="1:9" x14ac:dyDescent="0.2">
      <c r="A11" s="1">
        <v>45644</v>
      </c>
      <c r="B11">
        <v>100197.8</v>
      </c>
      <c r="C11">
        <v>5872.16</v>
      </c>
      <c r="E11">
        <f t="shared" si="0"/>
        <v>-5.7602381353520256E-2</v>
      </c>
      <c r="F11">
        <f t="shared" si="1"/>
        <v>-2.9936554508987644E-2</v>
      </c>
    </row>
    <row r="12" spans="1:9" x14ac:dyDescent="0.2">
      <c r="A12" s="1">
        <v>45643</v>
      </c>
      <c r="B12">
        <v>106138.9</v>
      </c>
      <c r="C12">
        <v>6050.61</v>
      </c>
      <c r="E12">
        <f t="shared" si="0"/>
        <v>7.6627092320639544E-4</v>
      </c>
      <c r="F12">
        <f t="shared" si="1"/>
        <v>-3.8714440227630084E-3</v>
      </c>
    </row>
    <row r="13" spans="1:9" x14ac:dyDescent="0.2">
      <c r="A13" s="1">
        <v>45642</v>
      </c>
      <c r="B13">
        <v>106057.60000000001</v>
      </c>
      <c r="C13">
        <v>6074.08</v>
      </c>
      <c r="E13">
        <f t="shared" si="0"/>
        <v>4.465090232718108E-2</v>
      </c>
      <c r="F13">
        <f t="shared" si="1"/>
        <v>3.7921163249597686E-3</v>
      </c>
    </row>
    <row r="14" spans="1:9" x14ac:dyDescent="0.2">
      <c r="A14" s="1">
        <v>45639</v>
      </c>
      <c r="B14">
        <v>101426.2</v>
      </c>
      <c r="C14">
        <v>6051.09</v>
      </c>
      <c r="E14">
        <f t="shared" si="0"/>
        <v>1.4062259337119961E-2</v>
      </c>
      <c r="F14">
        <f t="shared" si="1"/>
        <v>-2.6441167577320025E-5</v>
      </c>
    </row>
    <row r="15" spans="1:9" x14ac:dyDescent="0.2">
      <c r="A15" s="1">
        <v>45638</v>
      </c>
      <c r="B15">
        <v>100009.9</v>
      </c>
      <c r="C15">
        <v>6051.25</v>
      </c>
      <c r="E15">
        <f t="shared" si="0"/>
        <v>-1.1100060722188816E-2</v>
      </c>
      <c r="F15">
        <f t="shared" si="1"/>
        <v>-5.4287410919564485E-3</v>
      </c>
    </row>
    <row r="16" spans="1:9" x14ac:dyDescent="0.2">
      <c r="A16" s="1">
        <v>45637</v>
      </c>
      <c r="B16">
        <v>101126.2</v>
      </c>
      <c r="C16">
        <v>6084.19</v>
      </c>
      <c r="E16">
        <f t="shared" si="0"/>
        <v>4.5787395006391347E-2</v>
      </c>
      <c r="F16">
        <f t="shared" si="1"/>
        <v>8.1326619328850828E-3</v>
      </c>
    </row>
    <row r="17" spans="1:6" x14ac:dyDescent="0.2">
      <c r="A17" s="1">
        <v>45636</v>
      </c>
      <c r="B17">
        <v>96600.3</v>
      </c>
      <c r="C17">
        <v>6034.91</v>
      </c>
      <c r="E17">
        <f t="shared" si="0"/>
        <v>-7.8274391614181118E-3</v>
      </c>
      <c r="F17">
        <f t="shared" si="1"/>
        <v>-2.9682940713745675E-3</v>
      </c>
    </row>
    <row r="18" spans="1:6" x14ac:dyDescent="0.2">
      <c r="A18" s="1">
        <v>45635</v>
      </c>
      <c r="B18">
        <v>97359.4</v>
      </c>
      <c r="C18">
        <v>6052.85</v>
      </c>
      <c r="E18">
        <f t="shared" si="0"/>
        <v>-2.4365032222449928E-2</v>
      </c>
      <c r="F18">
        <f t="shared" si="1"/>
        <v>-6.1631802121963038E-3</v>
      </c>
    </row>
    <row r="19" spans="1:6" x14ac:dyDescent="0.2">
      <c r="A19" s="1">
        <v>45632</v>
      </c>
      <c r="B19">
        <v>99760.7</v>
      </c>
      <c r="C19">
        <v>6090.27</v>
      </c>
      <c r="E19">
        <f t="shared" si="0"/>
        <v>2.8364415930937144E-2</v>
      </c>
      <c r="F19">
        <f t="shared" si="1"/>
        <v>2.4923196558419955E-3</v>
      </c>
    </row>
    <row r="20" spans="1:6" x14ac:dyDescent="0.2">
      <c r="A20" s="1">
        <v>45631</v>
      </c>
      <c r="B20">
        <v>96970.8</v>
      </c>
      <c r="C20">
        <v>6075.11</v>
      </c>
      <c r="E20">
        <f t="shared" si="0"/>
        <v>-1.7024376617505634E-2</v>
      </c>
      <c r="F20">
        <f t="shared" si="1"/>
        <v>-1.8714648272306858E-3</v>
      </c>
    </row>
    <row r="21" spans="1:6" x14ac:dyDescent="0.2">
      <c r="A21" s="1">
        <v>45630</v>
      </c>
      <c r="B21">
        <v>98635.8</v>
      </c>
      <c r="C21">
        <v>6086.49</v>
      </c>
      <c r="E21">
        <f t="shared" si="0"/>
        <v>2.8141852863914921E-2</v>
      </c>
      <c r="F21">
        <f t="shared" si="1"/>
        <v>6.0331237505021089E-3</v>
      </c>
    </row>
    <row r="22" spans="1:6" x14ac:dyDescent="0.2">
      <c r="A22" s="1">
        <v>45629</v>
      </c>
      <c r="B22">
        <v>95898.7</v>
      </c>
      <c r="C22">
        <v>6049.88</v>
      </c>
      <c r="E22">
        <f t="shared" si="0"/>
        <v>5.434292395396841E-4</v>
      </c>
      <c r="F22">
        <f t="shared" si="1"/>
        <v>4.5135046310470323E-4</v>
      </c>
    </row>
    <row r="23" spans="1:6" x14ac:dyDescent="0.2">
      <c r="A23" s="1">
        <v>45628</v>
      </c>
      <c r="B23">
        <v>95846.6</v>
      </c>
      <c r="C23">
        <v>6047.15</v>
      </c>
      <c r="E23">
        <f t="shared" si="0"/>
        <v>-1.6467281528683063E-2</v>
      </c>
      <c r="F23">
        <f t="shared" si="1"/>
        <v>2.4454606033056034E-3</v>
      </c>
    </row>
    <row r="24" spans="1:6" x14ac:dyDescent="0.2">
      <c r="A24" s="1">
        <v>45625</v>
      </c>
      <c r="B24">
        <v>97438</v>
      </c>
      <c r="C24">
        <v>6032.38</v>
      </c>
      <c r="E24">
        <f t="shared" si="0"/>
        <v>1.8567630043622191E-2</v>
      </c>
      <c r="F24">
        <f t="shared" si="1"/>
        <v>5.5921788939180331E-3</v>
      </c>
    </row>
    <row r="25" spans="1:6" x14ac:dyDescent="0.2">
      <c r="A25" s="1">
        <v>45624</v>
      </c>
      <c r="B25">
        <v>95645.5</v>
      </c>
      <c r="C25">
        <v>5998.74</v>
      </c>
      <c r="E25">
        <f t="shared" si="0"/>
        <v>-2.5175949863932802E-3</v>
      </c>
      <c r="F25">
        <f t="shared" si="1"/>
        <v>0</v>
      </c>
    </row>
    <row r="26" spans="1:6" x14ac:dyDescent="0.2">
      <c r="A26" s="1">
        <v>45623</v>
      </c>
      <c r="B26">
        <v>95886.6</v>
      </c>
      <c r="C26">
        <v>5998.74</v>
      </c>
      <c r="E26">
        <f t="shared" si="0"/>
        <v>4.1621174099621155E-2</v>
      </c>
      <c r="F26">
        <f t="shared" si="1"/>
        <v>-3.8085396153748753E-3</v>
      </c>
    </row>
    <row r="27" spans="1:6" x14ac:dyDescent="0.2">
      <c r="A27" s="1">
        <v>45622</v>
      </c>
      <c r="B27">
        <v>91977.600000000006</v>
      </c>
      <c r="C27">
        <v>6021.63</v>
      </c>
      <c r="E27">
        <f t="shared" si="0"/>
        <v>-1.1746657480125941E-2</v>
      </c>
      <c r="F27">
        <f t="shared" si="1"/>
        <v>5.7057361888066833E-3</v>
      </c>
    </row>
    <row r="28" spans="1:6" x14ac:dyDescent="0.2">
      <c r="A28" s="1">
        <v>45621</v>
      </c>
      <c r="B28">
        <v>93064.4</v>
      </c>
      <c r="C28">
        <v>5987.37</v>
      </c>
      <c r="E28">
        <f t="shared" si="0"/>
        <v>-6.1117770260695536E-2</v>
      </c>
      <c r="F28">
        <f t="shared" si="1"/>
        <v>3.015882072251307E-3</v>
      </c>
    </row>
    <row r="29" spans="1:6" x14ac:dyDescent="0.2">
      <c r="A29" s="1">
        <v>45618</v>
      </c>
      <c r="B29">
        <v>98929.7</v>
      </c>
      <c r="C29">
        <v>5969.34</v>
      </c>
      <c r="E29">
        <f t="shared" si="0"/>
        <v>5.6278727508195028E-3</v>
      </c>
      <c r="F29">
        <f t="shared" si="1"/>
        <v>3.4619792004100735E-3</v>
      </c>
    </row>
    <row r="30" spans="1:6" x14ac:dyDescent="0.2">
      <c r="A30" s="1">
        <v>45617</v>
      </c>
      <c r="B30">
        <v>98374.5</v>
      </c>
      <c r="C30">
        <v>5948.71</v>
      </c>
      <c r="E30">
        <f t="shared" si="0"/>
        <v>4.2259077978214113E-2</v>
      </c>
      <c r="F30">
        <f t="shared" si="1"/>
        <v>5.3262353051749837E-3</v>
      </c>
    </row>
    <row r="31" spans="1:6" x14ac:dyDescent="0.2">
      <c r="A31" s="1">
        <v>45616</v>
      </c>
      <c r="B31">
        <v>94303.9</v>
      </c>
      <c r="C31">
        <v>5917.11</v>
      </c>
      <c r="E31">
        <f t="shared" si="0"/>
        <v>2.21373432580084E-2</v>
      </c>
      <c r="F31">
        <f t="shared" si="1"/>
        <v>2.1970426117316337E-5</v>
      </c>
    </row>
    <row r="32" spans="1:6" x14ac:dyDescent="0.2">
      <c r="A32" s="1">
        <v>45615</v>
      </c>
      <c r="B32">
        <v>92239.2</v>
      </c>
      <c r="C32">
        <v>5916.98</v>
      </c>
      <c r="E32">
        <f t="shared" si="0"/>
        <v>1.927073900775135E-2</v>
      </c>
      <c r="F32">
        <f t="shared" si="1"/>
        <v>3.9557737052673715E-3</v>
      </c>
    </row>
    <row r="33" spans="1:6" x14ac:dyDescent="0.2">
      <c r="A33" s="1">
        <v>45614</v>
      </c>
      <c r="B33">
        <v>90478.7</v>
      </c>
      <c r="C33">
        <v>5893.62</v>
      </c>
      <c r="E33">
        <f t="shared" si="0"/>
        <v>-6.2559011288570651E-3</v>
      </c>
      <c r="F33">
        <f t="shared" si="1"/>
        <v>3.9101598241076656E-3</v>
      </c>
    </row>
    <row r="34" spans="1:6" x14ac:dyDescent="0.2">
      <c r="A34" s="1">
        <v>45611</v>
      </c>
      <c r="B34">
        <v>91046.5</v>
      </c>
      <c r="C34">
        <v>5870.62</v>
      </c>
      <c r="E34">
        <f t="shared" si="0"/>
        <v>4.2088633056105544E-2</v>
      </c>
      <c r="F34">
        <f t="shared" si="1"/>
        <v>-1.3291463960568205E-2</v>
      </c>
    </row>
    <row r="35" spans="1:6" x14ac:dyDescent="0.2">
      <c r="A35" s="1">
        <v>45610</v>
      </c>
      <c r="B35">
        <v>87294</v>
      </c>
      <c r="C35">
        <v>5949.17</v>
      </c>
      <c r="E35">
        <f t="shared" si="0"/>
        <v>-3.5208080509404237E-2</v>
      </c>
      <c r="F35">
        <f t="shared" si="1"/>
        <v>-6.0681150291174617E-3</v>
      </c>
    </row>
    <row r="36" spans="1:6" x14ac:dyDescent="0.2">
      <c r="A36" s="1">
        <v>45609</v>
      </c>
      <c r="B36">
        <v>90422.2</v>
      </c>
      <c r="C36">
        <v>5985.38</v>
      </c>
      <c r="E36">
        <f t="shared" si="0"/>
        <v>2.7820266020852337E-2</v>
      </c>
      <c r="F36">
        <f t="shared" si="1"/>
        <v>2.322595101076364E-4</v>
      </c>
    </row>
    <row r="37" spans="1:6" x14ac:dyDescent="0.2">
      <c r="A37" s="1">
        <v>45608</v>
      </c>
      <c r="B37">
        <v>87941.3</v>
      </c>
      <c r="C37">
        <v>5983.99</v>
      </c>
      <c r="E37">
        <f t="shared" si="0"/>
        <v>-8.1855258763267776E-3</v>
      </c>
      <c r="F37">
        <f t="shared" si="1"/>
        <v>-2.8968743715661891E-3</v>
      </c>
    </row>
    <row r="38" spans="1:6" x14ac:dyDescent="0.2">
      <c r="A38" s="1">
        <v>45607</v>
      </c>
      <c r="B38">
        <v>88664.1</v>
      </c>
      <c r="C38">
        <v>6001.35</v>
      </c>
      <c r="E38">
        <f t="shared" si="0"/>
        <v>0.14733821326949795</v>
      </c>
      <c r="F38">
        <f t="shared" si="1"/>
        <v>9.6858443383637458E-4</v>
      </c>
    </row>
    <row r="39" spans="1:6" x14ac:dyDescent="0.2">
      <c r="A39" s="1">
        <v>45604</v>
      </c>
      <c r="B39">
        <v>76517.3</v>
      </c>
      <c r="C39">
        <v>5995.54</v>
      </c>
      <c r="E39">
        <f t="shared" si="0"/>
        <v>8.5139624932727559E-3</v>
      </c>
      <c r="F39">
        <f t="shared" si="1"/>
        <v>3.7498038697994338E-3</v>
      </c>
    </row>
    <row r="40" spans="1:6" x14ac:dyDescent="0.2">
      <c r="A40" s="1">
        <v>45603</v>
      </c>
      <c r="B40">
        <v>75868.600000000006</v>
      </c>
      <c r="C40">
        <v>5973.1</v>
      </c>
      <c r="E40">
        <f t="shared" si="0"/>
        <v>3.7278467309161279E-3</v>
      </c>
      <c r="F40">
        <f t="shared" si="1"/>
        <v>7.4037444129894632E-3</v>
      </c>
    </row>
    <row r="41" spans="1:6" x14ac:dyDescent="0.2">
      <c r="A41" s="1">
        <v>45602</v>
      </c>
      <c r="B41">
        <v>75586.3</v>
      </c>
      <c r="C41">
        <v>5929.04</v>
      </c>
      <c r="E41">
        <f t="shared" si="0"/>
        <v>8.5767216680210881E-2</v>
      </c>
      <c r="F41">
        <f t="shared" si="1"/>
        <v>2.4981233838896531E-2</v>
      </c>
    </row>
    <row r="42" spans="1:6" x14ac:dyDescent="0.2">
      <c r="A42" s="1">
        <v>45601</v>
      </c>
      <c r="B42">
        <v>69373.7</v>
      </c>
      <c r="C42">
        <v>5782.76</v>
      </c>
      <c r="E42">
        <f t="shared" si="0"/>
        <v>2.2226133100027808E-2</v>
      </c>
      <c r="F42">
        <f t="shared" si="1"/>
        <v>1.219106130274809E-2</v>
      </c>
    </row>
    <row r="43" spans="1:6" x14ac:dyDescent="0.2">
      <c r="A43" s="1">
        <v>45600</v>
      </c>
      <c r="B43">
        <v>67848.800000000003</v>
      </c>
      <c r="C43">
        <v>5712.69</v>
      </c>
      <c r="E43">
        <f t="shared" si="0"/>
        <v>-2.4148644274977687E-2</v>
      </c>
      <c r="F43">
        <f t="shared" si="1"/>
        <v>-2.8160686495115016E-3</v>
      </c>
    </row>
    <row r="44" spans="1:6" x14ac:dyDescent="0.2">
      <c r="A44" s="1">
        <v>45597</v>
      </c>
      <c r="B44">
        <v>69507.199999999997</v>
      </c>
      <c r="C44">
        <v>5728.8</v>
      </c>
      <c r="E44">
        <f t="shared" si="0"/>
        <v>-1.1082530502042531E-2</v>
      </c>
      <c r="F44">
        <f t="shared" si="1"/>
        <v>4.0842263302362366E-3</v>
      </c>
    </row>
    <row r="45" spans="1:6" x14ac:dyDescent="0.2">
      <c r="A45" s="1">
        <v>45596</v>
      </c>
      <c r="B45">
        <v>70281.8</v>
      </c>
      <c r="C45">
        <v>5705.45</v>
      </c>
      <c r="E45">
        <f t="shared" si="0"/>
        <v>-2.8972170045736403E-2</v>
      </c>
      <c r="F45">
        <f t="shared" si="1"/>
        <v>-1.8790182599519829E-2</v>
      </c>
    </row>
    <row r="46" spans="1:6" x14ac:dyDescent="0.2">
      <c r="A46" s="1">
        <v>45595</v>
      </c>
      <c r="B46">
        <v>72347.8</v>
      </c>
      <c r="C46">
        <v>5813.67</v>
      </c>
      <c r="E46">
        <f t="shared" si="0"/>
        <v>-5.2744090700669643E-3</v>
      </c>
      <c r="F46">
        <f t="shared" si="1"/>
        <v>-3.3056916281390038E-3</v>
      </c>
    </row>
    <row r="47" spans="1:6" x14ac:dyDescent="0.2">
      <c r="A47" s="1">
        <v>45594</v>
      </c>
      <c r="B47">
        <v>72730.399999999994</v>
      </c>
      <c r="C47">
        <v>5832.92</v>
      </c>
      <c r="E47">
        <f t="shared" si="0"/>
        <v>3.8920141256074202E-2</v>
      </c>
      <c r="F47">
        <f t="shared" si="1"/>
        <v>1.6128426925638532E-3</v>
      </c>
    </row>
    <row r="48" spans="1:6" x14ac:dyDescent="0.2">
      <c r="A48" s="1">
        <v>45593</v>
      </c>
      <c r="B48">
        <v>69954.100000000006</v>
      </c>
      <c r="C48">
        <v>5823.52</v>
      </c>
      <c r="E48">
        <f t="shared" si="0"/>
        <v>4.7682336930310661E-2</v>
      </c>
      <c r="F48">
        <f t="shared" si="1"/>
        <v>2.6479514493707988E-3</v>
      </c>
    </row>
    <row r="49" spans="1:6" x14ac:dyDescent="0.2">
      <c r="A49" s="1">
        <v>45590</v>
      </c>
      <c r="B49">
        <v>66696.800000000003</v>
      </c>
      <c r="C49">
        <v>5808.12</v>
      </c>
      <c r="E49">
        <f t="shared" si="0"/>
        <v>-2.2162947892241533E-2</v>
      </c>
      <c r="F49">
        <f t="shared" si="1"/>
        <v>-2.9953572187414154E-4</v>
      </c>
    </row>
    <row r="50" spans="1:6" x14ac:dyDescent="0.2">
      <c r="A50" s="1">
        <v>45589</v>
      </c>
      <c r="B50">
        <v>68191.5</v>
      </c>
      <c r="C50">
        <v>5809.86</v>
      </c>
      <c r="E50">
        <f t="shared" si="0"/>
        <v>2.2659346761167352E-2</v>
      </c>
      <c r="F50">
        <f t="shared" si="1"/>
        <v>2.1434831869283494E-3</v>
      </c>
    </row>
    <row r="51" spans="1:6" x14ac:dyDescent="0.2">
      <c r="A51" s="1">
        <v>45588</v>
      </c>
      <c r="B51">
        <v>66663.7</v>
      </c>
      <c r="C51">
        <v>5797.42</v>
      </c>
      <c r="E51">
        <f t="shared" si="0"/>
        <v>-1.1389403530490855E-2</v>
      </c>
      <c r="F51">
        <f t="shared" si="1"/>
        <v>-9.2337774119530536E-3</v>
      </c>
    </row>
    <row r="52" spans="1:6" x14ac:dyDescent="0.2">
      <c r="A52" s="1">
        <v>45587</v>
      </c>
      <c r="B52">
        <v>67427.3</v>
      </c>
      <c r="C52">
        <v>5851.2</v>
      </c>
      <c r="E52">
        <f t="shared" si="0"/>
        <v>8.308692111283014E-4</v>
      </c>
      <c r="F52">
        <f t="shared" si="1"/>
        <v>-4.7500338350551163E-4</v>
      </c>
    </row>
    <row r="53" spans="1:6" x14ac:dyDescent="0.2">
      <c r="A53" s="1">
        <v>45586</v>
      </c>
      <c r="B53">
        <v>67371.3</v>
      </c>
      <c r="C53">
        <v>5853.98</v>
      </c>
      <c r="E53">
        <f t="shared" si="0"/>
        <v>-1.5491375703289385E-2</v>
      </c>
      <c r="F53">
        <f t="shared" si="1"/>
        <v>-1.8244427413090425E-3</v>
      </c>
    </row>
    <row r="54" spans="1:6" x14ac:dyDescent="0.2">
      <c r="A54" s="1">
        <v>45583</v>
      </c>
      <c r="B54">
        <v>68423.100000000006</v>
      </c>
      <c r="C54">
        <v>5864.67</v>
      </c>
      <c r="E54">
        <f t="shared" si="0"/>
        <v>1.4792509218431563E-2</v>
      </c>
      <c r="F54">
        <f t="shared" si="1"/>
        <v>3.9637370431245362E-3</v>
      </c>
    </row>
    <row r="55" spans="1:6" x14ac:dyDescent="0.2">
      <c r="A55" s="1">
        <v>45582</v>
      </c>
      <c r="B55">
        <v>67418.399999999994</v>
      </c>
      <c r="C55">
        <v>5841.47</v>
      </c>
      <c r="E55">
        <f t="shared" si="0"/>
        <v>-2.9547632028814317E-3</v>
      </c>
      <c r="F55">
        <f t="shared" si="1"/>
        <v>-1.7117513483320916E-4</v>
      </c>
    </row>
    <row r="56" spans="1:6" x14ac:dyDescent="0.2">
      <c r="A56" s="1">
        <v>45581</v>
      </c>
      <c r="B56">
        <v>67617.899999999994</v>
      </c>
      <c r="C56">
        <v>5842.47</v>
      </c>
      <c r="E56">
        <f t="shared" si="0"/>
        <v>8.024073568987905E-3</v>
      </c>
      <c r="F56">
        <f t="shared" si="1"/>
        <v>4.6681557065759915E-3</v>
      </c>
    </row>
    <row r="57" spans="1:6" x14ac:dyDescent="0.2">
      <c r="A57" s="1">
        <v>45580</v>
      </c>
      <c r="B57">
        <v>67077.5</v>
      </c>
      <c r="C57">
        <v>5815.26</v>
      </c>
      <c r="E57">
        <f t="shared" si="0"/>
        <v>1.4956812053830038E-2</v>
      </c>
      <c r="F57">
        <f t="shared" si="1"/>
        <v>-7.6385090687541464E-3</v>
      </c>
    </row>
    <row r="58" spans="1:6" x14ac:dyDescent="0.2">
      <c r="A58" s="1">
        <v>45579</v>
      </c>
      <c r="B58">
        <v>66081.7</v>
      </c>
      <c r="C58">
        <v>5859.85</v>
      </c>
      <c r="E58">
        <f t="shared" si="0"/>
        <v>5.573489857778087E-2</v>
      </c>
      <c r="F58">
        <f t="shared" si="1"/>
        <v>7.6780609629941675E-3</v>
      </c>
    </row>
    <row r="59" spans="1:6" x14ac:dyDescent="0.2">
      <c r="A59" s="1">
        <v>45576</v>
      </c>
      <c r="B59">
        <v>62499.4</v>
      </c>
      <c r="C59">
        <v>5815.03</v>
      </c>
      <c r="E59">
        <f t="shared" si="0"/>
        <v>3.5556232328471271E-2</v>
      </c>
      <c r="F59">
        <f t="shared" si="1"/>
        <v>6.0336118627852325E-3</v>
      </c>
    </row>
    <row r="60" spans="1:6" x14ac:dyDescent="0.2">
      <c r="A60" s="1">
        <v>45575</v>
      </c>
      <c r="B60">
        <v>60316.2</v>
      </c>
      <c r="C60">
        <v>5780.05</v>
      </c>
      <c r="E60">
        <f t="shared" si="0"/>
        <v>-5.1693033378792481E-3</v>
      </c>
      <c r="F60">
        <f t="shared" si="1"/>
        <v>-2.0722279710146596E-3</v>
      </c>
    </row>
    <row r="61" spans="1:6" x14ac:dyDescent="0.2">
      <c r="A61" s="1">
        <v>45574</v>
      </c>
      <c r="B61">
        <v>60628.800000000003</v>
      </c>
      <c r="C61">
        <v>5792.04</v>
      </c>
      <c r="E61">
        <f t="shared" si="0"/>
        <v>-2.4893414640771713E-2</v>
      </c>
      <c r="F61">
        <f t="shared" si="1"/>
        <v>7.0882038963943272E-3</v>
      </c>
    </row>
    <row r="62" spans="1:6" x14ac:dyDescent="0.2">
      <c r="A62" s="1">
        <v>45573</v>
      </c>
      <c r="B62">
        <v>62157</v>
      </c>
      <c r="C62">
        <v>5751.13</v>
      </c>
      <c r="E62">
        <f t="shared" si="0"/>
        <v>-1.4244077692961781E-3</v>
      </c>
      <c r="F62">
        <f t="shared" si="1"/>
        <v>9.6427168941927138E-3</v>
      </c>
    </row>
    <row r="63" spans="1:6" x14ac:dyDescent="0.2">
      <c r="A63" s="1">
        <v>45572</v>
      </c>
      <c r="B63">
        <v>62245.599999999999</v>
      </c>
      <c r="C63">
        <v>5695.94</v>
      </c>
      <c r="E63">
        <f t="shared" si="0"/>
        <v>2.6478661231017337E-3</v>
      </c>
      <c r="F63">
        <f t="shared" si="1"/>
        <v>-9.6322841074211688E-3</v>
      </c>
    </row>
    <row r="64" spans="1:6" x14ac:dyDescent="0.2">
      <c r="A64" s="1">
        <v>45569</v>
      </c>
      <c r="B64">
        <v>62081</v>
      </c>
      <c r="C64">
        <v>5751.07</v>
      </c>
      <c r="E64">
        <f t="shared" si="0"/>
        <v>2.1653148880661569E-2</v>
      </c>
      <c r="F64">
        <f t="shared" si="1"/>
        <v>8.9302759844378885E-3</v>
      </c>
    </row>
    <row r="65" spans="1:6" x14ac:dyDescent="0.2">
      <c r="A65" s="1">
        <v>45568</v>
      </c>
      <c r="B65">
        <v>60751.199999999997</v>
      </c>
      <c r="C65">
        <v>5699.94</v>
      </c>
      <c r="E65">
        <f t="shared" si="0"/>
        <v>1.7381008338692827E-3</v>
      </c>
      <c r="F65">
        <f t="shared" si="1"/>
        <v>-1.6828115331257495E-3</v>
      </c>
    </row>
    <row r="66" spans="1:6" x14ac:dyDescent="0.2">
      <c r="A66" s="1">
        <v>45567</v>
      </c>
      <c r="B66">
        <v>60645.7</v>
      </c>
      <c r="C66">
        <v>5709.54</v>
      </c>
      <c r="E66">
        <f>LN(B66/B67)</f>
        <v>-3.1247658804238088E-3</v>
      </c>
      <c r="F66">
        <f t="shared" si="1"/>
        <v>1.3837448536698041E-4</v>
      </c>
    </row>
    <row r="67" spans="1:6" x14ac:dyDescent="0.2">
      <c r="A67" s="1">
        <v>45566</v>
      </c>
      <c r="B67">
        <v>60835.5</v>
      </c>
      <c r="C67">
        <v>5708.75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3E74-7C2F-FD4B-9181-AD3CEF2A5464}">
  <sheetPr>
    <tabColor theme="7"/>
  </sheetPr>
  <dimension ref="A1:L263"/>
  <sheetViews>
    <sheetView zoomScale="180" zoomScaleNormal="180" workbookViewId="0">
      <selection activeCell="F11" sqref="F11"/>
    </sheetView>
  </sheetViews>
  <sheetFormatPr baseColWidth="10" defaultRowHeight="16" x14ac:dyDescent="0.2"/>
  <cols>
    <col min="1" max="1" width="8.5" bestFit="1" customWidth="1"/>
    <col min="2" max="2" width="9.1640625" bestFit="1" customWidth="1"/>
    <col min="3" max="3" width="10.33203125" bestFit="1" customWidth="1"/>
    <col min="5" max="5" width="8.5" bestFit="1" customWidth="1"/>
    <col min="9" max="9" width="8.5" bestFit="1" customWidth="1"/>
  </cols>
  <sheetData>
    <row r="1" spans="1:12" x14ac:dyDescent="0.2">
      <c r="A1" t="s">
        <v>0</v>
      </c>
      <c r="B1" t="s">
        <v>390</v>
      </c>
      <c r="C1" t="s">
        <v>336</v>
      </c>
      <c r="E1" t="s">
        <v>0</v>
      </c>
      <c r="F1" t="s">
        <v>413</v>
      </c>
      <c r="G1" t="s">
        <v>414</v>
      </c>
      <c r="I1" t="s">
        <v>0</v>
      </c>
      <c r="J1" t="s">
        <v>415</v>
      </c>
      <c r="K1" t="s">
        <v>416</v>
      </c>
    </row>
    <row r="2" spans="1:12" x14ac:dyDescent="0.2">
      <c r="A2" s="1">
        <v>45657</v>
      </c>
      <c r="B2">
        <v>93557.2</v>
      </c>
      <c r="C2">
        <v>5881.63</v>
      </c>
      <c r="E2" s="1">
        <v>45657</v>
      </c>
      <c r="F2" s="15">
        <f>LN(Closes[[#This Row],[BTC]]/B3)</f>
        <v>8.3440702644962377E-3</v>
      </c>
      <c r="G2" s="15">
        <f>LN(Closes[[#This Row],[SP500]]/C3)</f>
        <v>-4.2939964541344501E-3</v>
      </c>
      <c r="I2" s="1">
        <v>45657</v>
      </c>
      <c r="J2">
        <f>ABS(Percentages[[#This Row],[BTC %]])</f>
        <v>8.3440702644962377E-3</v>
      </c>
      <c r="K2">
        <f>ABS(Percentages[[#This Row],[SP500 %]])</f>
        <v>4.2939964541344501E-3</v>
      </c>
      <c r="L2" s="13">
        <f>SLOPE(F2:F262,G2:G262)</f>
        <v>-0.1004456593348442</v>
      </c>
    </row>
    <row r="3" spans="1:12" x14ac:dyDescent="0.2">
      <c r="A3" s="1">
        <v>45656</v>
      </c>
      <c r="B3">
        <v>92779.8</v>
      </c>
      <c r="C3">
        <v>5906.94</v>
      </c>
      <c r="E3" s="1">
        <v>45656</v>
      </c>
      <c r="F3" s="15">
        <f>LN(Closes[[#This Row],[BTC]]/B4)</f>
        <v>-1.5996645953948806E-2</v>
      </c>
      <c r="G3" s="15">
        <f>LN(Closes[[#This Row],[SP500]]/C4)</f>
        <v>-1.0759690191101295E-2</v>
      </c>
      <c r="I3" s="1">
        <v>45656</v>
      </c>
      <c r="J3" s="15">
        <f>ABS(Percentages[[#This Row],[BTC %]])</f>
        <v>1.5996645953948806E-2</v>
      </c>
      <c r="K3" s="15">
        <f>ABS(Percentages[[#This Row],[SP500 %]])</f>
        <v>1.0759690191101295E-2</v>
      </c>
    </row>
    <row r="4" spans="1:12" x14ac:dyDescent="0.2">
      <c r="A4" s="1">
        <v>45653</v>
      </c>
      <c r="B4">
        <v>94275.9</v>
      </c>
      <c r="C4">
        <v>5970.84</v>
      </c>
      <c r="E4" s="1">
        <v>45653</v>
      </c>
      <c r="F4" s="15">
        <f>LN(Closes[[#This Row],[BTC]]/B5)</f>
        <v>-1.580429162394649E-2</v>
      </c>
      <c r="G4" s="15">
        <f>LN(Closes[[#This Row],[SP500]]/C5)</f>
        <v>-1.111730467559637E-2</v>
      </c>
      <c r="I4" s="1">
        <v>45653</v>
      </c>
      <c r="J4" s="15">
        <f>ABS(Percentages[[#This Row],[BTC %]])</f>
        <v>1.580429162394649E-2</v>
      </c>
      <c r="K4" s="15">
        <f>ABS(Percentages[[#This Row],[SP500 %]])</f>
        <v>1.111730467559637E-2</v>
      </c>
    </row>
    <row r="5" spans="1:12" x14ac:dyDescent="0.2">
      <c r="A5" s="1">
        <v>45652</v>
      </c>
      <c r="B5">
        <v>95777.7</v>
      </c>
      <c r="C5">
        <v>6037.59</v>
      </c>
      <c r="E5" s="1">
        <v>45652</v>
      </c>
      <c r="F5" s="15">
        <f>LN(Closes[[#This Row],[BTC]]/B6)</f>
        <v>-3.7034703418894678E-2</v>
      </c>
      <c r="G5" s="15">
        <f>LN(Closes[[#This Row],[SP500]]/C6)</f>
        <v>-4.0570874146761795E-4</v>
      </c>
      <c r="I5" s="1">
        <v>45652</v>
      </c>
      <c r="J5" s="15">
        <f>ABS(Percentages[[#This Row],[BTC %]])</f>
        <v>3.7034703418894678E-2</v>
      </c>
      <c r="K5" s="15">
        <f>ABS(Percentages[[#This Row],[SP500 %]])</f>
        <v>4.0570874146761795E-4</v>
      </c>
    </row>
    <row r="6" spans="1:12" x14ac:dyDescent="0.2">
      <c r="A6" s="1">
        <v>45651</v>
      </c>
      <c r="B6">
        <v>99391.3</v>
      </c>
      <c r="C6">
        <v>6040.04</v>
      </c>
      <c r="E6" s="1">
        <v>45651</v>
      </c>
      <c r="F6" s="15">
        <f>LN(Closes[[#This Row],[BTC]]/B7)</f>
        <v>7.3028921036117824E-3</v>
      </c>
      <c r="G6" s="15">
        <f>LN(Closes[[#This Row],[SP500]]/C7)</f>
        <v>0</v>
      </c>
      <c r="I6" s="1">
        <v>45651</v>
      </c>
      <c r="J6" s="15">
        <f>ABS(Percentages[[#This Row],[BTC %]])</f>
        <v>7.3028921036117824E-3</v>
      </c>
      <c r="K6" s="15">
        <f>ABS(Percentages[[#This Row],[SP500 %]])</f>
        <v>0</v>
      </c>
    </row>
    <row r="7" spans="1:12" x14ac:dyDescent="0.2">
      <c r="A7" s="1">
        <v>45650</v>
      </c>
      <c r="B7">
        <v>98668.1</v>
      </c>
      <c r="C7">
        <v>6040.04</v>
      </c>
      <c r="E7" s="1">
        <v>45650</v>
      </c>
      <c r="F7" s="15">
        <f>LN(Closes[[#This Row],[BTC]]/B8)</f>
        <v>3.9442856220127137E-2</v>
      </c>
      <c r="G7" s="15">
        <f>LN(Closes[[#This Row],[SP500]]/C8)</f>
        <v>1.0982197273831982E-2</v>
      </c>
      <c r="I7" s="1">
        <v>45650</v>
      </c>
      <c r="J7" s="15">
        <f>ABS(Percentages[[#This Row],[BTC %]])</f>
        <v>3.9442856220127137E-2</v>
      </c>
      <c r="K7" s="15">
        <f>ABS(Percentages[[#This Row],[SP500 %]])</f>
        <v>1.0982197273831982E-2</v>
      </c>
    </row>
    <row r="8" spans="1:12" x14ac:dyDescent="0.2">
      <c r="A8" s="1">
        <v>45649</v>
      </c>
      <c r="B8">
        <v>94852.1</v>
      </c>
      <c r="C8">
        <v>5974.07</v>
      </c>
      <c r="E8" s="1">
        <v>45649</v>
      </c>
      <c r="F8" s="15">
        <f>LN(Closes[[#This Row],[BTC]]/B9)</f>
        <v>-3.0561772436684464E-2</v>
      </c>
      <c r="G8" s="15">
        <f>LN(Closes[[#This Row],[SP500]]/C9)</f>
        <v>7.2608954754625398E-3</v>
      </c>
      <c r="I8" s="1">
        <v>45649</v>
      </c>
      <c r="J8" s="15">
        <f>ABS(Percentages[[#This Row],[BTC %]])</f>
        <v>3.0561772436684464E-2</v>
      </c>
      <c r="K8" s="15">
        <f>ABS(Percentages[[#This Row],[SP500 %]])</f>
        <v>7.2608954754625398E-3</v>
      </c>
    </row>
    <row r="9" spans="1:12" x14ac:dyDescent="0.2">
      <c r="A9" s="1">
        <v>45646</v>
      </c>
      <c r="B9">
        <v>97795.7</v>
      </c>
      <c r="C9">
        <v>5930.85</v>
      </c>
      <c r="E9" s="1">
        <v>45646</v>
      </c>
      <c r="F9" s="15">
        <f>LN(Closes[[#This Row],[BTC]]/B10)</f>
        <v>3.3759835568944242E-3</v>
      </c>
      <c r="G9" s="15">
        <f>LN(Closes[[#This Row],[SP500]]/C10)</f>
        <v>1.0810476252410672E-2</v>
      </c>
      <c r="I9" s="1">
        <v>45646</v>
      </c>
      <c r="J9" s="15">
        <f>ABS(Percentages[[#This Row],[BTC %]])</f>
        <v>3.3759835568944242E-3</v>
      </c>
      <c r="K9" s="15">
        <f>ABS(Percentages[[#This Row],[SP500 %]])</f>
        <v>1.0810476252410672E-2</v>
      </c>
    </row>
    <row r="10" spans="1:12" x14ac:dyDescent="0.2">
      <c r="A10" s="1">
        <v>45645</v>
      </c>
      <c r="B10">
        <v>97466.1</v>
      </c>
      <c r="C10">
        <v>5867.08</v>
      </c>
      <c r="E10" s="1">
        <v>45645</v>
      </c>
      <c r="F10" s="15">
        <f>LN(Closes[[#This Row],[BTC]]/B11)</f>
        <v>-2.7641607084777378E-2</v>
      </c>
      <c r="G10" s="15">
        <f>LN(Closes[[#This Row],[SP500]]/C11)</f>
        <v>-8.6547345775283581E-4</v>
      </c>
      <c r="I10" s="1">
        <v>45645</v>
      </c>
      <c r="J10" s="15">
        <f>ABS(Percentages[[#This Row],[BTC %]])</f>
        <v>2.7641607084777378E-2</v>
      </c>
      <c r="K10" s="15">
        <f>ABS(Percentages[[#This Row],[SP500 %]])</f>
        <v>8.6547345775283581E-4</v>
      </c>
    </row>
    <row r="11" spans="1:12" x14ac:dyDescent="0.2">
      <c r="A11" s="1">
        <v>45644</v>
      </c>
      <c r="B11">
        <v>100197.8</v>
      </c>
      <c r="C11">
        <v>5872.16</v>
      </c>
      <c r="E11" s="1">
        <v>45644</v>
      </c>
      <c r="F11" s="15">
        <f>LN(Closes[[#This Row],[BTC]]/B12)</f>
        <v>-5.7602381353520256E-2</v>
      </c>
      <c r="G11" s="15">
        <f>LN(Closes[[#This Row],[SP500]]/C12)</f>
        <v>-2.9936554508987644E-2</v>
      </c>
      <c r="I11" s="1">
        <v>45644</v>
      </c>
      <c r="J11" s="15">
        <f>ABS(Percentages[[#This Row],[BTC %]])</f>
        <v>5.7602381353520256E-2</v>
      </c>
      <c r="K11" s="15">
        <f>ABS(Percentages[[#This Row],[SP500 %]])</f>
        <v>2.9936554508987644E-2</v>
      </c>
    </row>
    <row r="12" spans="1:12" x14ac:dyDescent="0.2">
      <c r="A12" s="1">
        <v>45643</v>
      </c>
      <c r="B12">
        <v>106138.9</v>
      </c>
      <c r="C12">
        <v>6050.61</v>
      </c>
      <c r="E12" s="1">
        <v>45643</v>
      </c>
      <c r="F12" s="15">
        <f>LN(Closes[[#This Row],[BTC]]/B13)</f>
        <v>7.6627092320639544E-4</v>
      </c>
      <c r="G12" s="15">
        <f>LN(Closes[[#This Row],[SP500]]/C13)</f>
        <v>-3.8714440227630084E-3</v>
      </c>
      <c r="I12" s="1">
        <v>45643</v>
      </c>
      <c r="J12" s="15">
        <f>ABS(Percentages[[#This Row],[BTC %]])</f>
        <v>7.6627092320639544E-4</v>
      </c>
      <c r="K12" s="15">
        <f>ABS(Percentages[[#This Row],[SP500 %]])</f>
        <v>3.8714440227630084E-3</v>
      </c>
    </row>
    <row r="13" spans="1:12" x14ac:dyDescent="0.2">
      <c r="A13" s="1">
        <v>45642</v>
      </c>
      <c r="B13">
        <v>106057.60000000001</v>
      </c>
      <c r="C13">
        <v>6074.08</v>
      </c>
      <c r="E13" s="1">
        <v>45642</v>
      </c>
      <c r="F13" s="15">
        <f>LN(Closes[[#This Row],[BTC]]/B14)</f>
        <v>4.465090232718108E-2</v>
      </c>
      <c r="G13" s="15">
        <f>LN(Closes[[#This Row],[SP500]]/C14)</f>
        <v>3.7921163249597686E-3</v>
      </c>
      <c r="I13" s="1">
        <v>45642</v>
      </c>
      <c r="J13" s="15">
        <f>ABS(Percentages[[#This Row],[BTC %]])</f>
        <v>4.465090232718108E-2</v>
      </c>
      <c r="K13" s="15">
        <f>ABS(Percentages[[#This Row],[SP500 %]])</f>
        <v>3.7921163249597686E-3</v>
      </c>
    </row>
    <row r="14" spans="1:12" x14ac:dyDescent="0.2">
      <c r="A14" s="1">
        <v>45639</v>
      </c>
      <c r="B14">
        <v>101426.2</v>
      </c>
      <c r="C14">
        <v>6051.09</v>
      </c>
      <c r="E14" s="1">
        <v>45639</v>
      </c>
      <c r="F14" s="15">
        <f>LN(Closes[[#This Row],[BTC]]/B15)</f>
        <v>1.4062259337119961E-2</v>
      </c>
      <c r="G14" s="15">
        <f>LN(Closes[[#This Row],[SP500]]/C15)</f>
        <v>-2.6441167577320025E-5</v>
      </c>
      <c r="I14" s="1">
        <v>45639</v>
      </c>
      <c r="J14" s="15">
        <f>ABS(Percentages[[#This Row],[BTC %]])</f>
        <v>1.4062259337119961E-2</v>
      </c>
      <c r="K14" s="15">
        <f>ABS(Percentages[[#This Row],[SP500 %]])</f>
        <v>2.6441167577320025E-5</v>
      </c>
    </row>
    <row r="15" spans="1:12" x14ac:dyDescent="0.2">
      <c r="A15" s="1">
        <v>45638</v>
      </c>
      <c r="B15">
        <v>100009.9</v>
      </c>
      <c r="C15">
        <v>6051.25</v>
      </c>
      <c r="E15" s="1">
        <v>45638</v>
      </c>
      <c r="F15" s="15">
        <f>LN(Closes[[#This Row],[BTC]]/B16)</f>
        <v>-1.1100060722188816E-2</v>
      </c>
      <c r="G15" s="15">
        <f>LN(Closes[[#This Row],[SP500]]/C16)</f>
        <v>-5.4287410919564485E-3</v>
      </c>
      <c r="I15" s="1">
        <v>45638</v>
      </c>
      <c r="J15" s="15">
        <f>ABS(Percentages[[#This Row],[BTC %]])</f>
        <v>1.1100060722188816E-2</v>
      </c>
      <c r="K15" s="15">
        <f>ABS(Percentages[[#This Row],[SP500 %]])</f>
        <v>5.4287410919564485E-3</v>
      </c>
    </row>
    <row r="16" spans="1:12" x14ac:dyDescent="0.2">
      <c r="A16" s="1">
        <v>45637</v>
      </c>
      <c r="B16">
        <v>101126.2</v>
      </c>
      <c r="C16">
        <v>6084.19</v>
      </c>
      <c r="E16" s="1">
        <v>45637</v>
      </c>
      <c r="F16" s="15">
        <f>LN(Closes[[#This Row],[BTC]]/B17)</f>
        <v>4.5787395006391347E-2</v>
      </c>
      <c r="G16" s="15">
        <f>LN(Closes[[#This Row],[SP500]]/C17)</f>
        <v>8.1326619328850828E-3</v>
      </c>
      <c r="I16" s="1">
        <v>45637</v>
      </c>
      <c r="J16" s="15">
        <f>ABS(Percentages[[#This Row],[BTC %]])</f>
        <v>4.5787395006391347E-2</v>
      </c>
      <c r="K16" s="15">
        <f>ABS(Percentages[[#This Row],[SP500 %]])</f>
        <v>8.1326619328850828E-3</v>
      </c>
    </row>
    <row r="17" spans="1:11" x14ac:dyDescent="0.2">
      <c r="A17" s="1">
        <v>45636</v>
      </c>
      <c r="B17">
        <v>96600.3</v>
      </c>
      <c r="C17">
        <v>6034.91</v>
      </c>
      <c r="E17" s="1">
        <v>45636</v>
      </c>
      <c r="F17" s="15">
        <f>LN(Closes[[#This Row],[BTC]]/B18)</f>
        <v>-7.8274391614181118E-3</v>
      </c>
      <c r="G17" s="15">
        <f>LN(Closes[[#This Row],[SP500]]/C18)</f>
        <v>-2.9682940713745675E-3</v>
      </c>
      <c r="I17" s="1">
        <v>45636</v>
      </c>
      <c r="J17" s="15">
        <f>ABS(Percentages[[#This Row],[BTC %]])</f>
        <v>7.8274391614181118E-3</v>
      </c>
      <c r="K17" s="15">
        <f>ABS(Percentages[[#This Row],[SP500 %]])</f>
        <v>2.9682940713745675E-3</v>
      </c>
    </row>
    <row r="18" spans="1:11" x14ac:dyDescent="0.2">
      <c r="A18" s="1">
        <v>45635</v>
      </c>
      <c r="B18">
        <v>97359.4</v>
      </c>
      <c r="C18">
        <v>6052.85</v>
      </c>
      <c r="E18" s="1">
        <v>45635</v>
      </c>
      <c r="F18" s="15">
        <f>LN(Closes[[#This Row],[BTC]]/B19)</f>
        <v>-2.4365032222449928E-2</v>
      </c>
      <c r="G18" s="15">
        <f>LN(Closes[[#This Row],[SP500]]/C19)</f>
        <v>-6.1631802121963038E-3</v>
      </c>
      <c r="I18" s="1">
        <v>45635</v>
      </c>
      <c r="J18" s="15">
        <f>ABS(Percentages[[#This Row],[BTC %]])</f>
        <v>2.4365032222449928E-2</v>
      </c>
      <c r="K18" s="15">
        <f>ABS(Percentages[[#This Row],[SP500 %]])</f>
        <v>6.1631802121963038E-3</v>
      </c>
    </row>
    <row r="19" spans="1:11" x14ac:dyDescent="0.2">
      <c r="A19" s="1">
        <v>45632</v>
      </c>
      <c r="B19">
        <v>99760.7</v>
      </c>
      <c r="C19">
        <v>6090.27</v>
      </c>
      <c r="E19" s="1">
        <v>45632</v>
      </c>
      <c r="F19" s="15">
        <f>LN(Closes[[#This Row],[BTC]]/B20)</f>
        <v>2.8364415930937144E-2</v>
      </c>
      <c r="G19" s="15">
        <f>LN(Closes[[#This Row],[SP500]]/C20)</f>
        <v>2.4923196558419955E-3</v>
      </c>
      <c r="I19" s="1">
        <v>45632</v>
      </c>
      <c r="J19" s="15">
        <f>ABS(Percentages[[#This Row],[BTC %]])</f>
        <v>2.8364415930937144E-2</v>
      </c>
      <c r="K19" s="15">
        <f>ABS(Percentages[[#This Row],[SP500 %]])</f>
        <v>2.4923196558419955E-3</v>
      </c>
    </row>
    <row r="20" spans="1:11" x14ac:dyDescent="0.2">
      <c r="A20" s="1">
        <v>45631</v>
      </c>
      <c r="B20">
        <v>96970.8</v>
      </c>
      <c r="C20">
        <v>6075.11</v>
      </c>
      <c r="E20" s="1">
        <v>45631</v>
      </c>
      <c r="F20" s="15">
        <f>LN(Closes[[#This Row],[BTC]]/B21)</f>
        <v>-1.7024376617505634E-2</v>
      </c>
      <c r="G20" s="15">
        <f>LN(Closes[[#This Row],[SP500]]/C21)</f>
        <v>-1.8714648272306858E-3</v>
      </c>
      <c r="I20" s="1">
        <v>45631</v>
      </c>
      <c r="J20" s="15">
        <f>ABS(Percentages[[#This Row],[BTC %]])</f>
        <v>1.7024376617505634E-2</v>
      </c>
      <c r="K20" s="15">
        <f>ABS(Percentages[[#This Row],[SP500 %]])</f>
        <v>1.8714648272306858E-3</v>
      </c>
    </row>
    <row r="21" spans="1:11" x14ac:dyDescent="0.2">
      <c r="A21" s="1">
        <v>45630</v>
      </c>
      <c r="B21">
        <v>98635.8</v>
      </c>
      <c r="C21">
        <v>6086.49</v>
      </c>
      <c r="E21" s="1">
        <v>45630</v>
      </c>
      <c r="F21" s="15">
        <f>LN(Closes[[#This Row],[BTC]]/B22)</f>
        <v>2.8141852863914921E-2</v>
      </c>
      <c r="G21" s="15">
        <f>LN(Closes[[#This Row],[SP500]]/C22)</f>
        <v>6.0331237505021089E-3</v>
      </c>
      <c r="I21" s="1">
        <v>45630</v>
      </c>
      <c r="J21" s="15">
        <f>ABS(Percentages[[#This Row],[BTC %]])</f>
        <v>2.8141852863914921E-2</v>
      </c>
      <c r="K21" s="15">
        <f>ABS(Percentages[[#This Row],[SP500 %]])</f>
        <v>6.0331237505021089E-3</v>
      </c>
    </row>
    <row r="22" spans="1:11" x14ac:dyDescent="0.2">
      <c r="A22" s="1">
        <v>45629</v>
      </c>
      <c r="B22">
        <v>95898.7</v>
      </c>
      <c r="C22">
        <v>6049.88</v>
      </c>
      <c r="E22" s="1">
        <v>45629</v>
      </c>
      <c r="F22" s="15">
        <f>LN(Closes[[#This Row],[BTC]]/B23)</f>
        <v>5.434292395396841E-4</v>
      </c>
      <c r="G22" s="15">
        <f>LN(Closes[[#This Row],[SP500]]/C23)</f>
        <v>4.5135046310470323E-4</v>
      </c>
      <c r="I22" s="1">
        <v>45629</v>
      </c>
      <c r="J22" s="15">
        <f>ABS(Percentages[[#This Row],[BTC %]])</f>
        <v>5.434292395396841E-4</v>
      </c>
      <c r="K22" s="15">
        <f>ABS(Percentages[[#This Row],[SP500 %]])</f>
        <v>4.5135046310470323E-4</v>
      </c>
    </row>
    <row r="23" spans="1:11" x14ac:dyDescent="0.2">
      <c r="A23" s="1">
        <v>45628</v>
      </c>
      <c r="B23">
        <v>95846.6</v>
      </c>
      <c r="C23">
        <v>6047.15</v>
      </c>
      <c r="E23" s="1">
        <v>45628</v>
      </c>
      <c r="F23" s="15">
        <f>LN(Closes[[#This Row],[BTC]]/B24)</f>
        <v>-1.6467281528683063E-2</v>
      </c>
      <c r="G23" s="15">
        <f>LN(Closes[[#This Row],[SP500]]/C24)</f>
        <v>2.4454606033056034E-3</v>
      </c>
      <c r="I23" s="1">
        <v>45628</v>
      </c>
      <c r="J23" s="15">
        <f>ABS(Percentages[[#This Row],[BTC %]])</f>
        <v>1.6467281528683063E-2</v>
      </c>
      <c r="K23" s="15">
        <f>ABS(Percentages[[#This Row],[SP500 %]])</f>
        <v>2.4454606033056034E-3</v>
      </c>
    </row>
    <row r="24" spans="1:11" x14ac:dyDescent="0.2">
      <c r="A24" s="1">
        <v>45625</v>
      </c>
      <c r="B24">
        <v>97438</v>
      </c>
      <c r="C24">
        <v>6032.38</v>
      </c>
      <c r="E24" s="1">
        <v>45625</v>
      </c>
      <c r="F24" s="15">
        <f>LN(Closes[[#This Row],[BTC]]/B25)</f>
        <v>1.8567630043622191E-2</v>
      </c>
      <c r="G24" s="15">
        <f>LN(Closes[[#This Row],[SP500]]/C25)</f>
        <v>5.5921788939180331E-3</v>
      </c>
      <c r="I24" s="1">
        <v>45625</v>
      </c>
      <c r="J24" s="15">
        <f>ABS(Percentages[[#This Row],[BTC %]])</f>
        <v>1.8567630043622191E-2</v>
      </c>
      <c r="K24" s="15">
        <f>ABS(Percentages[[#This Row],[SP500 %]])</f>
        <v>5.5921788939180331E-3</v>
      </c>
    </row>
    <row r="25" spans="1:11" x14ac:dyDescent="0.2">
      <c r="A25" s="1">
        <v>45624</v>
      </c>
      <c r="B25">
        <v>95645.5</v>
      </c>
      <c r="C25">
        <v>5998.74</v>
      </c>
      <c r="E25" s="1">
        <v>45624</v>
      </c>
      <c r="F25" s="15">
        <f>LN(Closes[[#This Row],[BTC]]/B26)</f>
        <v>-2.5175949863932802E-3</v>
      </c>
      <c r="G25" s="15">
        <f>LN(Closes[[#This Row],[SP500]]/C26)</f>
        <v>0</v>
      </c>
      <c r="I25" s="1">
        <v>45624</v>
      </c>
      <c r="J25" s="15">
        <f>ABS(Percentages[[#This Row],[BTC %]])</f>
        <v>2.5175949863932802E-3</v>
      </c>
      <c r="K25" s="15">
        <f>ABS(Percentages[[#This Row],[SP500 %]])</f>
        <v>0</v>
      </c>
    </row>
    <row r="26" spans="1:11" x14ac:dyDescent="0.2">
      <c r="A26" s="1">
        <v>45623</v>
      </c>
      <c r="B26">
        <v>95886.6</v>
      </c>
      <c r="C26">
        <v>5998.74</v>
      </c>
      <c r="E26" s="1">
        <v>45623</v>
      </c>
      <c r="F26" s="15">
        <f>LN(Closes[[#This Row],[BTC]]/B27)</f>
        <v>4.1621174099621155E-2</v>
      </c>
      <c r="G26" s="15">
        <f>LN(Closes[[#This Row],[SP500]]/C27)</f>
        <v>-3.8085396153748753E-3</v>
      </c>
      <c r="I26" s="1">
        <v>45623</v>
      </c>
      <c r="J26" s="15">
        <f>ABS(Percentages[[#This Row],[BTC %]])</f>
        <v>4.1621174099621155E-2</v>
      </c>
      <c r="K26" s="15">
        <f>ABS(Percentages[[#This Row],[SP500 %]])</f>
        <v>3.8085396153748753E-3</v>
      </c>
    </row>
    <row r="27" spans="1:11" x14ac:dyDescent="0.2">
      <c r="A27" s="1">
        <v>45622</v>
      </c>
      <c r="B27">
        <v>91977.600000000006</v>
      </c>
      <c r="C27">
        <v>6021.63</v>
      </c>
      <c r="E27" s="1">
        <v>45622</v>
      </c>
      <c r="F27" s="15">
        <f>LN(Closes[[#This Row],[BTC]]/B28)</f>
        <v>-1.1746657480125941E-2</v>
      </c>
      <c r="G27" s="15">
        <f>LN(Closes[[#This Row],[SP500]]/C28)</f>
        <v>5.7057361888066833E-3</v>
      </c>
      <c r="I27" s="1">
        <v>45622</v>
      </c>
      <c r="J27" s="15">
        <f>ABS(Percentages[[#This Row],[BTC %]])</f>
        <v>1.1746657480125941E-2</v>
      </c>
      <c r="K27" s="15">
        <f>ABS(Percentages[[#This Row],[SP500 %]])</f>
        <v>5.7057361888066833E-3</v>
      </c>
    </row>
    <row r="28" spans="1:11" x14ac:dyDescent="0.2">
      <c r="A28" s="1">
        <v>45621</v>
      </c>
      <c r="B28">
        <v>93064.4</v>
      </c>
      <c r="C28">
        <v>5987.37</v>
      </c>
      <c r="E28" s="1">
        <v>45621</v>
      </c>
      <c r="F28" s="15">
        <f>LN(Closes[[#This Row],[BTC]]/B29)</f>
        <v>-6.1117770260695536E-2</v>
      </c>
      <c r="G28" s="15">
        <f>LN(Closes[[#This Row],[SP500]]/C29)</f>
        <v>3.015882072251307E-3</v>
      </c>
      <c r="I28" s="1">
        <v>45621</v>
      </c>
      <c r="J28" s="15">
        <f>ABS(Percentages[[#This Row],[BTC %]])</f>
        <v>6.1117770260695536E-2</v>
      </c>
      <c r="K28" s="15">
        <f>ABS(Percentages[[#This Row],[SP500 %]])</f>
        <v>3.015882072251307E-3</v>
      </c>
    </row>
    <row r="29" spans="1:11" x14ac:dyDescent="0.2">
      <c r="A29" s="1">
        <v>45618</v>
      </c>
      <c r="B29">
        <v>98929.7</v>
      </c>
      <c r="C29">
        <v>5969.34</v>
      </c>
      <c r="E29" s="1">
        <v>45618</v>
      </c>
      <c r="F29" s="15">
        <f>LN(Closes[[#This Row],[BTC]]/B30)</f>
        <v>5.6278727508195028E-3</v>
      </c>
      <c r="G29" s="15">
        <f>LN(Closes[[#This Row],[SP500]]/C30)</f>
        <v>3.4619792004100735E-3</v>
      </c>
      <c r="I29" s="1">
        <v>45618</v>
      </c>
      <c r="J29" s="15">
        <f>ABS(Percentages[[#This Row],[BTC %]])</f>
        <v>5.6278727508195028E-3</v>
      </c>
      <c r="K29" s="15">
        <f>ABS(Percentages[[#This Row],[SP500 %]])</f>
        <v>3.4619792004100735E-3</v>
      </c>
    </row>
    <row r="30" spans="1:11" x14ac:dyDescent="0.2">
      <c r="A30" s="1">
        <v>45617</v>
      </c>
      <c r="B30">
        <v>98374.5</v>
      </c>
      <c r="C30">
        <v>5948.71</v>
      </c>
      <c r="E30" s="1">
        <v>45617</v>
      </c>
      <c r="F30" s="15">
        <f>LN(Closes[[#This Row],[BTC]]/B31)</f>
        <v>4.2259077978214113E-2</v>
      </c>
      <c r="G30" s="15">
        <f>LN(Closes[[#This Row],[SP500]]/C31)</f>
        <v>5.3262353051749837E-3</v>
      </c>
      <c r="I30" s="1">
        <v>45617</v>
      </c>
      <c r="J30" s="15">
        <f>ABS(Percentages[[#This Row],[BTC %]])</f>
        <v>4.2259077978214113E-2</v>
      </c>
      <c r="K30" s="15">
        <f>ABS(Percentages[[#This Row],[SP500 %]])</f>
        <v>5.3262353051749837E-3</v>
      </c>
    </row>
    <row r="31" spans="1:11" x14ac:dyDescent="0.2">
      <c r="A31" s="1">
        <v>45616</v>
      </c>
      <c r="B31">
        <v>94303.9</v>
      </c>
      <c r="C31">
        <v>5917.11</v>
      </c>
      <c r="E31" s="1">
        <v>45616</v>
      </c>
      <c r="F31" s="15">
        <f>LN(Closes[[#This Row],[BTC]]/B32)</f>
        <v>2.21373432580084E-2</v>
      </c>
      <c r="G31" s="15">
        <f>LN(Closes[[#This Row],[SP500]]/C32)</f>
        <v>2.1970426117316337E-5</v>
      </c>
      <c r="I31" s="1">
        <v>45616</v>
      </c>
      <c r="J31" s="15">
        <f>ABS(Percentages[[#This Row],[BTC %]])</f>
        <v>2.21373432580084E-2</v>
      </c>
      <c r="K31" s="15">
        <f>ABS(Percentages[[#This Row],[SP500 %]])</f>
        <v>2.1970426117316337E-5</v>
      </c>
    </row>
    <row r="32" spans="1:11" x14ac:dyDescent="0.2">
      <c r="A32" s="1">
        <v>45615</v>
      </c>
      <c r="B32">
        <v>92239.2</v>
      </c>
      <c r="C32">
        <v>5916.98</v>
      </c>
      <c r="E32" s="1">
        <v>45615</v>
      </c>
      <c r="F32" s="15">
        <f>LN(Closes[[#This Row],[BTC]]/B33)</f>
        <v>1.927073900775135E-2</v>
      </c>
      <c r="G32" s="15">
        <f>LN(Closes[[#This Row],[SP500]]/C33)</f>
        <v>3.9557737052673715E-3</v>
      </c>
      <c r="I32" s="1">
        <v>45615</v>
      </c>
      <c r="J32" s="15">
        <f>ABS(Percentages[[#This Row],[BTC %]])</f>
        <v>1.927073900775135E-2</v>
      </c>
      <c r="K32" s="15">
        <f>ABS(Percentages[[#This Row],[SP500 %]])</f>
        <v>3.9557737052673715E-3</v>
      </c>
    </row>
    <row r="33" spans="1:11" x14ac:dyDescent="0.2">
      <c r="A33" s="1">
        <v>45614</v>
      </c>
      <c r="B33">
        <v>90478.7</v>
      </c>
      <c r="C33">
        <v>5893.62</v>
      </c>
      <c r="E33" s="1">
        <v>45614</v>
      </c>
      <c r="F33" s="15">
        <f>LN(Closes[[#This Row],[BTC]]/B34)</f>
        <v>-6.2559011288570651E-3</v>
      </c>
      <c r="G33" s="15">
        <f>LN(Closes[[#This Row],[SP500]]/C34)</f>
        <v>3.9101598241076656E-3</v>
      </c>
      <c r="I33" s="1">
        <v>45614</v>
      </c>
      <c r="J33" s="15">
        <f>ABS(Percentages[[#This Row],[BTC %]])</f>
        <v>6.2559011288570651E-3</v>
      </c>
      <c r="K33" s="15">
        <f>ABS(Percentages[[#This Row],[SP500 %]])</f>
        <v>3.9101598241076656E-3</v>
      </c>
    </row>
    <row r="34" spans="1:11" x14ac:dyDescent="0.2">
      <c r="A34" s="1">
        <v>45611</v>
      </c>
      <c r="B34">
        <v>91046.5</v>
      </c>
      <c r="C34">
        <v>5870.62</v>
      </c>
      <c r="E34" s="1">
        <v>45611</v>
      </c>
      <c r="F34" s="15">
        <f>LN(Closes[[#This Row],[BTC]]/B35)</f>
        <v>4.2088633056105544E-2</v>
      </c>
      <c r="G34" s="15">
        <f>LN(Closes[[#This Row],[SP500]]/C35)</f>
        <v>-1.3291463960568205E-2</v>
      </c>
      <c r="I34" s="1">
        <v>45611</v>
      </c>
      <c r="J34" s="15">
        <f>ABS(Percentages[[#This Row],[BTC %]])</f>
        <v>4.2088633056105544E-2</v>
      </c>
      <c r="K34" s="15">
        <f>ABS(Percentages[[#This Row],[SP500 %]])</f>
        <v>1.3291463960568205E-2</v>
      </c>
    </row>
    <row r="35" spans="1:11" x14ac:dyDescent="0.2">
      <c r="A35" s="1">
        <v>45610</v>
      </c>
      <c r="B35">
        <v>87294</v>
      </c>
      <c r="C35">
        <v>5949.17</v>
      </c>
      <c r="E35" s="1">
        <v>45610</v>
      </c>
      <c r="F35" s="15">
        <f>LN(Closes[[#This Row],[BTC]]/B36)</f>
        <v>-3.5208080509404237E-2</v>
      </c>
      <c r="G35" s="15">
        <f>LN(Closes[[#This Row],[SP500]]/C36)</f>
        <v>-6.0681150291174617E-3</v>
      </c>
      <c r="I35" s="1">
        <v>45610</v>
      </c>
      <c r="J35" s="15">
        <f>ABS(Percentages[[#This Row],[BTC %]])</f>
        <v>3.5208080509404237E-2</v>
      </c>
      <c r="K35" s="15">
        <f>ABS(Percentages[[#This Row],[SP500 %]])</f>
        <v>6.0681150291174617E-3</v>
      </c>
    </row>
    <row r="36" spans="1:11" x14ac:dyDescent="0.2">
      <c r="A36" s="1">
        <v>45609</v>
      </c>
      <c r="B36">
        <v>90422.2</v>
      </c>
      <c r="C36">
        <v>5985.38</v>
      </c>
      <c r="E36" s="1">
        <v>45609</v>
      </c>
      <c r="F36" s="15">
        <f>LN(Closes[[#This Row],[BTC]]/B37)</f>
        <v>2.7820266020852337E-2</v>
      </c>
      <c r="G36" s="15">
        <f>LN(Closes[[#This Row],[SP500]]/C37)</f>
        <v>2.322595101076364E-4</v>
      </c>
      <c r="I36" s="1">
        <v>45609</v>
      </c>
      <c r="J36" s="15">
        <f>ABS(Percentages[[#This Row],[BTC %]])</f>
        <v>2.7820266020852337E-2</v>
      </c>
      <c r="K36" s="15">
        <f>ABS(Percentages[[#This Row],[SP500 %]])</f>
        <v>2.322595101076364E-4</v>
      </c>
    </row>
    <row r="37" spans="1:11" x14ac:dyDescent="0.2">
      <c r="A37" s="1">
        <v>45608</v>
      </c>
      <c r="B37">
        <v>87941.3</v>
      </c>
      <c r="C37">
        <v>5983.99</v>
      </c>
      <c r="E37" s="1">
        <v>45608</v>
      </c>
      <c r="F37" s="15">
        <f>LN(Closes[[#This Row],[BTC]]/B38)</f>
        <v>-8.1855258763267776E-3</v>
      </c>
      <c r="G37" s="15">
        <f>LN(Closes[[#This Row],[SP500]]/C38)</f>
        <v>-2.8968743715661891E-3</v>
      </c>
      <c r="I37" s="1">
        <v>45608</v>
      </c>
      <c r="J37" s="15">
        <f>ABS(Percentages[[#This Row],[BTC %]])</f>
        <v>8.1855258763267776E-3</v>
      </c>
      <c r="K37" s="15">
        <f>ABS(Percentages[[#This Row],[SP500 %]])</f>
        <v>2.8968743715661891E-3</v>
      </c>
    </row>
    <row r="38" spans="1:11" x14ac:dyDescent="0.2">
      <c r="A38" s="1">
        <v>45607</v>
      </c>
      <c r="B38">
        <v>88664.1</v>
      </c>
      <c r="C38">
        <v>6001.35</v>
      </c>
      <c r="E38" s="1">
        <v>45607</v>
      </c>
      <c r="F38" s="15">
        <f>LN(Closes[[#This Row],[BTC]]/B39)</f>
        <v>0.14733821326949795</v>
      </c>
      <c r="G38" s="15">
        <f>LN(Closes[[#This Row],[SP500]]/C39)</f>
        <v>9.6858443383637458E-4</v>
      </c>
      <c r="I38" s="1">
        <v>45607</v>
      </c>
      <c r="J38" s="15">
        <f>ABS(Percentages[[#This Row],[BTC %]])</f>
        <v>0.14733821326949795</v>
      </c>
      <c r="K38" s="15">
        <f>ABS(Percentages[[#This Row],[SP500 %]])</f>
        <v>9.6858443383637458E-4</v>
      </c>
    </row>
    <row r="39" spans="1:11" x14ac:dyDescent="0.2">
      <c r="A39" s="1">
        <v>45604</v>
      </c>
      <c r="B39">
        <v>76517.3</v>
      </c>
      <c r="C39">
        <v>5995.54</v>
      </c>
      <c r="E39" s="1">
        <v>45604</v>
      </c>
      <c r="F39" s="15">
        <f>LN(Closes[[#This Row],[BTC]]/B40)</f>
        <v>8.5139624932727559E-3</v>
      </c>
      <c r="G39" s="15">
        <f>LN(Closes[[#This Row],[SP500]]/C40)</f>
        <v>3.7498038697994338E-3</v>
      </c>
      <c r="I39" s="1">
        <v>45604</v>
      </c>
      <c r="J39" s="15">
        <f>ABS(Percentages[[#This Row],[BTC %]])</f>
        <v>8.5139624932727559E-3</v>
      </c>
      <c r="K39" s="15">
        <f>ABS(Percentages[[#This Row],[SP500 %]])</f>
        <v>3.7498038697994338E-3</v>
      </c>
    </row>
    <row r="40" spans="1:11" x14ac:dyDescent="0.2">
      <c r="A40" s="1">
        <v>45603</v>
      </c>
      <c r="B40">
        <v>75868.600000000006</v>
      </c>
      <c r="C40">
        <v>5973.1</v>
      </c>
      <c r="E40" s="1">
        <v>45603</v>
      </c>
      <c r="F40" s="15">
        <f>LN(Closes[[#This Row],[BTC]]/B41)</f>
        <v>3.7278467309161279E-3</v>
      </c>
      <c r="G40" s="15">
        <f>LN(Closes[[#This Row],[SP500]]/C41)</f>
        <v>7.4037444129894632E-3</v>
      </c>
      <c r="I40" s="1">
        <v>45603</v>
      </c>
      <c r="J40" s="15">
        <f>ABS(Percentages[[#This Row],[BTC %]])</f>
        <v>3.7278467309161279E-3</v>
      </c>
      <c r="K40" s="15">
        <f>ABS(Percentages[[#This Row],[SP500 %]])</f>
        <v>7.4037444129894632E-3</v>
      </c>
    </row>
    <row r="41" spans="1:11" x14ac:dyDescent="0.2">
      <c r="A41" s="1">
        <v>45602</v>
      </c>
      <c r="B41">
        <v>75586.3</v>
      </c>
      <c r="C41">
        <v>5929.04</v>
      </c>
      <c r="E41" s="1">
        <v>45602</v>
      </c>
      <c r="F41" s="15">
        <f>LN(Closes[[#This Row],[BTC]]/B42)</f>
        <v>8.5767216680210881E-2</v>
      </c>
      <c r="G41" s="15">
        <f>LN(Closes[[#This Row],[SP500]]/C42)</f>
        <v>2.4981233838896531E-2</v>
      </c>
      <c r="I41" s="1">
        <v>45602</v>
      </c>
      <c r="J41" s="15">
        <f>ABS(Percentages[[#This Row],[BTC %]])</f>
        <v>8.5767216680210881E-2</v>
      </c>
      <c r="K41" s="15">
        <f>ABS(Percentages[[#This Row],[SP500 %]])</f>
        <v>2.4981233838896531E-2</v>
      </c>
    </row>
    <row r="42" spans="1:11" x14ac:dyDescent="0.2">
      <c r="A42" s="1">
        <v>45601</v>
      </c>
      <c r="B42">
        <v>69373.7</v>
      </c>
      <c r="C42">
        <v>5782.76</v>
      </c>
      <c r="E42" s="1">
        <v>45601</v>
      </c>
      <c r="F42" s="15">
        <f>LN(Closes[[#This Row],[BTC]]/B43)</f>
        <v>2.2226133100027808E-2</v>
      </c>
      <c r="G42" s="15">
        <f>LN(Closes[[#This Row],[SP500]]/C43)</f>
        <v>1.219106130274809E-2</v>
      </c>
      <c r="I42" s="1">
        <v>45601</v>
      </c>
      <c r="J42" s="15">
        <f>ABS(Percentages[[#This Row],[BTC %]])</f>
        <v>2.2226133100027808E-2</v>
      </c>
      <c r="K42" s="15">
        <f>ABS(Percentages[[#This Row],[SP500 %]])</f>
        <v>1.219106130274809E-2</v>
      </c>
    </row>
    <row r="43" spans="1:11" x14ac:dyDescent="0.2">
      <c r="A43" s="1">
        <v>45600</v>
      </c>
      <c r="B43">
        <v>67848.800000000003</v>
      </c>
      <c r="C43">
        <v>5712.69</v>
      </c>
      <c r="E43" s="1">
        <v>45600</v>
      </c>
      <c r="F43" s="15">
        <f>LN(Closes[[#This Row],[BTC]]/B44)</f>
        <v>-2.4148644274977687E-2</v>
      </c>
      <c r="G43" s="15">
        <f>LN(Closes[[#This Row],[SP500]]/C44)</f>
        <v>-2.8160686495115016E-3</v>
      </c>
      <c r="I43" s="1">
        <v>45600</v>
      </c>
      <c r="J43" s="15">
        <f>ABS(Percentages[[#This Row],[BTC %]])</f>
        <v>2.4148644274977687E-2</v>
      </c>
      <c r="K43" s="15">
        <f>ABS(Percentages[[#This Row],[SP500 %]])</f>
        <v>2.8160686495115016E-3</v>
      </c>
    </row>
    <row r="44" spans="1:11" x14ac:dyDescent="0.2">
      <c r="A44" s="1">
        <v>45597</v>
      </c>
      <c r="B44">
        <v>69507.199999999997</v>
      </c>
      <c r="C44">
        <v>5728.8</v>
      </c>
      <c r="E44" s="1">
        <v>45597</v>
      </c>
      <c r="F44" s="15">
        <f>LN(Closes[[#This Row],[BTC]]/B45)</f>
        <v>-1.1082530502042531E-2</v>
      </c>
      <c r="G44" s="15">
        <f>LN(Closes[[#This Row],[SP500]]/C45)</f>
        <v>4.0842263302362366E-3</v>
      </c>
      <c r="I44" s="1">
        <v>45597</v>
      </c>
      <c r="J44" s="15">
        <f>ABS(Percentages[[#This Row],[BTC %]])</f>
        <v>1.1082530502042531E-2</v>
      </c>
      <c r="K44" s="15">
        <f>ABS(Percentages[[#This Row],[SP500 %]])</f>
        <v>4.0842263302362366E-3</v>
      </c>
    </row>
    <row r="45" spans="1:11" x14ac:dyDescent="0.2">
      <c r="A45" s="1">
        <v>45596</v>
      </c>
      <c r="B45">
        <v>70281.8</v>
      </c>
      <c r="C45">
        <v>5705.45</v>
      </c>
      <c r="E45" s="1">
        <v>45596</v>
      </c>
      <c r="F45" s="15">
        <f>LN(Closes[[#This Row],[BTC]]/B46)</f>
        <v>-2.8972170045736403E-2</v>
      </c>
      <c r="G45" s="15">
        <f>LN(Closes[[#This Row],[SP500]]/C46)</f>
        <v>-1.8790182599519829E-2</v>
      </c>
      <c r="I45" s="1">
        <v>45596</v>
      </c>
      <c r="J45" s="15">
        <f>ABS(Percentages[[#This Row],[BTC %]])</f>
        <v>2.8972170045736403E-2</v>
      </c>
      <c r="K45" s="15">
        <f>ABS(Percentages[[#This Row],[SP500 %]])</f>
        <v>1.8790182599519829E-2</v>
      </c>
    </row>
    <row r="46" spans="1:11" x14ac:dyDescent="0.2">
      <c r="A46" s="1">
        <v>45595</v>
      </c>
      <c r="B46">
        <v>72347.8</v>
      </c>
      <c r="C46">
        <v>5813.67</v>
      </c>
      <c r="E46" s="1">
        <v>45595</v>
      </c>
      <c r="F46" s="15">
        <f>LN(Closes[[#This Row],[BTC]]/B47)</f>
        <v>-5.2744090700669643E-3</v>
      </c>
      <c r="G46" s="15">
        <f>LN(Closes[[#This Row],[SP500]]/C47)</f>
        <v>-3.3056916281390038E-3</v>
      </c>
      <c r="I46" s="1">
        <v>45595</v>
      </c>
      <c r="J46" s="15">
        <f>ABS(Percentages[[#This Row],[BTC %]])</f>
        <v>5.2744090700669643E-3</v>
      </c>
      <c r="K46" s="15">
        <f>ABS(Percentages[[#This Row],[SP500 %]])</f>
        <v>3.3056916281390038E-3</v>
      </c>
    </row>
    <row r="47" spans="1:11" x14ac:dyDescent="0.2">
      <c r="A47" s="1">
        <v>45594</v>
      </c>
      <c r="B47">
        <v>72730.399999999994</v>
      </c>
      <c r="C47">
        <v>5832.92</v>
      </c>
      <c r="E47" s="1">
        <v>45594</v>
      </c>
      <c r="F47" s="15">
        <f>LN(Closes[[#This Row],[BTC]]/B48)</f>
        <v>3.8920141256074202E-2</v>
      </c>
      <c r="G47" s="15">
        <f>LN(Closes[[#This Row],[SP500]]/C48)</f>
        <v>1.6128426925638532E-3</v>
      </c>
      <c r="I47" s="1">
        <v>45594</v>
      </c>
      <c r="J47" s="15">
        <f>ABS(Percentages[[#This Row],[BTC %]])</f>
        <v>3.8920141256074202E-2</v>
      </c>
      <c r="K47" s="15">
        <f>ABS(Percentages[[#This Row],[SP500 %]])</f>
        <v>1.6128426925638532E-3</v>
      </c>
    </row>
    <row r="48" spans="1:11" x14ac:dyDescent="0.2">
      <c r="A48" s="1">
        <v>45593</v>
      </c>
      <c r="B48">
        <v>69954.100000000006</v>
      </c>
      <c r="C48">
        <v>5823.52</v>
      </c>
      <c r="E48" s="1">
        <v>45593</v>
      </c>
      <c r="F48" s="15">
        <f>LN(Closes[[#This Row],[BTC]]/B49)</f>
        <v>4.7682336930310661E-2</v>
      </c>
      <c r="G48" s="15">
        <f>LN(Closes[[#This Row],[SP500]]/C49)</f>
        <v>2.6479514493707988E-3</v>
      </c>
      <c r="I48" s="1">
        <v>45593</v>
      </c>
      <c r="J48" s="15">
        <f>ABS(Percentages[[#This Row],[BTC %]])</f>
        <v>4.7682336930310661E-2</v>
      </c>
      <c r="K48" s="15">
        <f>ABS(Percentages[[#This Row],[SP500 %]])</f>
        <v>2.6479514493707988E-3</v>
      </c>
    </row>
    <row r="49" spans="1:11" x14ac:dyDescent="0.2">
      <c r="A49" s="1">
        <v>45590</v>
      </c>
      <c r="B49">
        <v>66696.800000000003</v>
      </c>
      <c r="C49">
        <v>5808.12</v>
      </c>
      <c r="E49" s="1">
        <v>45590</v>
      </c>
      <c r="F49" s="15">
        <f>LN(Closes[[#This Row],[BTC]]/B50)</f>
        <v>-2.2162947892241533E-2</v>
      </c>
      <c r="G49" s="15">
        <f>LN(Closes[[#This Row],[SP500]]/C50)</f>
        <v>-2.9953572187414154E-4</v>
      </c>
      <c r="I49" s="1">
        <v>45590</v>
      </c>
      <c r="J49" s="15">
        <f>ABS(Percentages[[#This Row],[BTC %]])</f>
        <v>2.2162947892241533E-2</v>
      </c>
      <c r="K49" s="15">
        <f>ABS(Percentages[[#This Row],[SP500 %]])</f>
        <v>2.9953572187414154E-4</v>
      </c>
    </row>
    <row r="50" spans="1:11" x14ac:dyDescent="0.2">
      <c r="A50" s="1">
        <v>45589</v>
      </c>
      <c r="B50">
        <v>68191.5</v>
      </c>
      <c r="C50">
        <v>5809.86</v>
      </c>
      <c r="E50" s="1">
        <v>45589</v>
      </c>
      <c r="F50" s="15">
        <f>LN(Closes[[#This Row],[BTC]]/B51)</f>
        <v>2.2659346761167352E-2</v>
      </c>
      <c r="G50" s="15">
        <f>LN(Closes[[#This Row],[SP500]]/C51)</f>
        <v>2.1434831869283494E-3</v>
      </c>
      <c r="I50" s="1">
        <v>45589</v>
      </c>
      <c r="J50" s="15">
        <f>ABS(Percentages[[#This Row],[BTC %]])</f>
        <v>2.2659346761167352E-2</v>
      </c>
      <c r="K50" s="15">
        <f>ABS(Percentages[[#This Row],[SP500 %]])</f>
        <v>2.1434831869283494E-3</v>
      </c>
    </row>
    <row r="51" spans="1:11" x14ac:dyDescent="0.2">
      <c r="A51" s="1">
        <v>45588</v>
      </c>
      <c r="B51">
        <v>66663.7</v>
      </c>
      <c r="C51">
        <v>5797.42</v>
      </c>
      <c r="E51" s="1">
        <v>45588</v>
      </c>
      <c r="F51" s="15">
        <f>LN(Closes[[#This Row],[BTC]]/B52)</f>
        <v>-1.1389403530490855E-2</v>
      </c>
      <c r="G51" s="15">
        <f>LN(Closes[[#This Row],[SP500]]/C52)</f>
        <v>-9.2337774119530536E-3</v>
      </c>
      <c r="I51" s="1">
        <v>45588</v>
      </c>
      <c r="J51" s="15">
        <f>ABS(Percentages[[#This Row],[BTC %]])</f>
        <v>1.1389403530490855E-2</v>
      </c>
      <c r="K51" s="15">
        <f>ABS(Percentages[[#This Row],[SP500 %]])</f>
        <v>9.2337774119530536E-3</v>
      </c>
    </row>
    <row r="52" spans="1:11" x14ac:dyDescent="0.2">
      <c r="A52" s="1">
        <v>45587</v>
      </c>
      <c r="B52">
        <v>67427.3</v>
      </c>
      <c r="C52">
        <v>5851.2</v>
      </c>
      <c r="E52" s="1">
        <v>45587</v>
      </c>
      <c r="F52" s="15">
        <f>LN(Closes[[#This Row],[BTC]]/B53)</f>
        <v>8.308692111283014E-4</v>
      </c>
      <c r="G52" s="15">
        <f>LN(Closes[[#This Row],[SP500]]/C53)</f>
        <v>-4.7500338350551163E-4</v>
      </c>
      <c r="I52" s="1">
        <v>45587</v>
      </c>
      <c r="J52" s="15">
        <f>ABS(Percentages[[#This Row],[BTC %]])</f>
        <v>8.308692111283014E-4</v>
      </c>
      <c r="K52" s="15">
        <f>ABS(Percentages[[#This Row],[SP500 %]])</f>
        <v>4.7500338350551163E-4</v>
      </c>
    </row>
    <row r="53" spans="1:11" x14ac:dyDescent="0.2">
      <c r="A53" s="1">
        <v>45586</v>
      </c>
      <c r="B53">
        <v>67371.3</v>
      </c>
      <c r="C53">
        <v>5853.98</v>
      </c>
      <c r="E53" s="1">
        <v>45586</v>
      </c>
      <c r="F53" s="15">
        <f>LN(Closes[[#This Row],[BTC]]/B54)</f>
        <v>-1.5491375703289385E-2</v>
      </c>
      <c r="G53" s="15">
        <f>LN(Closes[[#This Row],[SP500]]/C54)</f>
        <v>-1.8244427413090425E-3</v>
      </c>
      <c r="I53" s="1">
        <v>45586</v>
      </c>
      <c r="J53" s="15">
        <f>ABS(Percentages[[#This Row],[BTC %]])</f>
        <v>1.5491375703289385E-2</v>
      </c>
      <c r="K53" s="15">
        <f>ABS(Percentages[[#This Row],[SP500 %]])</f>
        <v>1.8244427413090425E-3</v>
      </c>
    </row>
    <row r="54" spans="1:11" x14ac:dyDescent="0.2">
      <c r="A54" s="1">
        <v>45583</v>
      </c>
      <c r="B54">
        <v>68423.100000000006</v>
      </c>
      <c r="C54">
        <v>5864.67</v>
      </c>
      <c r="E54" s="1">
        <v>45583</v>
      </c>
      <c r="F54" s="15">
        <f>LN(Closes[[#This Row],[BTC]]/B55)</f>
        <v>1.4792509218431563E-2</v>
      </c>
      <c r="G54" s="15">
        <f>LN(Closes[[#This Row],[SP500]]/C55)</f>
        <v>3.9637370431245362E-3</v>
      </c>
      <c r="I54" s="1">
        <v>45583</v>
      </c>
      <c r="J54" s="15">
        <f>ABS(Percentages[[#This Row],[BTC %]])</f>
        <v>1.4792509218431563E-2</v>
      </c>
      <c r="K54" s="15">
        <f>ABS(Percentages[[#This Row],[SP500 %]])</f>
        <v>3.9637370431245362E-3</v>
      </c>
    </row>
    <row r="55" spans="1:11" x14ac:dyDescent="0.2">
      <c r="A55" s="1">
        <v>45582</v>
      </c>
      <c r="B55">
        <v>67418.399999999994</v>
      </c>
      <c r="C55">
        <v>5841.47</v>
      </c>
      <c r="E55" s="1">
        <v>45582</v>
      </c>
      <c r="F55" s="15">
        <f>LN(Closes[[#This Row],[BTC]]/B56)</f>
        <v>6.1266436702837421E-2</v>
      </c>
      <c r="G55" s="15">
        <f>LN(Closes[[#This Row],[SP500]]/C56)</f>
        <v>0.14325637507153838</v>
      </c>
      <c r="I55" s="1">
        <v>45582</v>
      </c>
      <c r="J55" s="15">
        <f>ABS(Percentages[[#This Row],[BTC %]])</f>
        <v>6.1266436702837421E-2</v>
      </c>
      <c r="K55" s="15">
        <f>ABS(Percentages[[#This Row],[SP500 %]])</f>
        <v>0.14325637507153838</v>
      </c>
    </row>
    <row r="56" spans="1:11" x14ac:dyDescent="0.2">
      <c r="A56" s="1">
        <v>45397</v>
      </c>
      <c r="B56">
        <v>63411.9</v>
      </c>
      <c r="C56">
        <v>5061.82</v>
      </c>
      <c r="E56" s="1">
        <v>45581</v>
      </c>
      <c r="F56" s="15">
        <f>LN(Closes[[#This Row],[BTC]]/B57)</f>
        <v>-6.4221199905718923E-2</v>
      </c>
      <c r="G56" s="15">
        <f>LN(Closes[[#This Row],[SP500]]/C57)</f>
        <v>-0.14342755020637163</v>
      </c>
      <c r="I56" s="1">
        <v>45581</v>
      </c>
      <c r="J56" s="15">
        <f>ABS(Percentages[[#This Row],[BTC %]])</f>
        <v>6.4221199905718923E-2</v>
      </c>
      <c r="K56" s="15">
        <f>ABS(Percentages[[#This Row],[SP500 %]])</f>
        <v>0.14342755020637163</v>
      </c>
    </row>
    <row r="57" spans="1:11" x14ac:dyDescent="0.2">
      <c r="A57" s="1">
        <v>45581</v>
      </c>
      <c r="B57">
        <v>67617.899999999994</v>
      </c>
      <c r="C57">
        <v>5842.47</v>
      </c>
      <c r="E57" s="1">
        <v>45580</v>
      </c>
      <c r="F57" s="15">
        <f>LN(Closes[[#This Row],[BTC]]/B58)</f>
        <v>5.8036481896112373E-2</v>
      </c>
      <c r="G57" s="15">
        <f>LN(Closes[[#This Row],[SP500]]/C58)</f>
        <v>0.14548624039272015</v>
      </c>
      <c r="I57" s="1">
        <v>45580</v>
      </c>
      <c r="J57" s="15">
        <f>ABS(Percentages[[#This Row],[BTC %]])</f>
        <v>5.8036481896112373E-2</v>
      </c>
      <c r="K57" s="15">
        <f>ABS(Percentages[[#This Row],[SP500 %]])</f>
        <v>0.14548624039272015</v>
      </c>
    </row>
    <row r="58" spans="1:11" x14ac:dyDescent="0.2">
      <c r="A58" s="1">
        <v>45398</v>
      </c>
      <c r="B58">
        <v>63805.3</v>
      </c>
      <c r="C58">
        <v>5051.41</v>
      </c>
      <c r="E58" s="1">
        <v>45579</v>
      </c>
      <c r="F58" s="15">
        <f>LN(Closes[[#This Row],[BTC]]/B59)</f>
        <v>-5.0012408327124572E-2</v>
      </c>
      <c r="G58" s="15">
        <f>LN(Closes[[#This Row],[SP500]]/C59)</f>
        <v>-0.14081808468614407</v>
      </c>
      <c r="I58" s="1">
        <v>45579</v>
      </c>
      <c r="J58" s="15">
        <f>ABS(Percentages[[#This Row],[BTC %]])</f>
        <v>5.0012408327124572E-2</v>
      </c>
      <c r="K58" s="15">
        <f>ABS(Percentages[[#This Row],[SP500 %]])</f>
        <v>0.14081808468614407</v>
      </c>
    </row>
    <row r="59" spans="1:11" x14ac:dyDescent="0.2">
      <c r="A59" s="1">
        <v>45580</v>
      </c>
      <c r="B59">
        <v>67077.5</v>
      </c>
      <c r="C59">
        <v>5815.26</v>
      </c>
      <c r="E59" s="1">
        <v>45576</v>
      </c>
      <c r="F59" s="15">
        <f>LN(Closes[[#This Row],[BTC]]/B60)</f>
        <v>9.0413092448305588E-2</v>
      </c>
      <c r="G59" s="15">
        <f>LN(Closes[[#This Row],[SP500]]/C60)</f>
        <v>0.14661542105224062</v>
      </c>
      <c r="I59" s="1">
        <v>45576</v>
      </c>
      <c r="J59" s="15">
        <f>ABS(Percentages[[#This Row],[BTC %]])</f>
        <v>9.0413092448305588E-2</v>
      </c>
      <c r="K59" s="15">
        <f>ABS(Percentages[[#This Row],[SP500 %]])</f>
        <v>0.14661542105224062</v>
      </c>
    </row>
    <row r="60" spans="1:11" x14ac:dyDescent="0.2">
      <c r="A60" s="1">
        <v>45399</v>
      </c>
      <c r="B60">
        <v>61278.9</v>
      </c>
      <c r="C60">
        <v>5022.21</v>
      </c>
      <c r="E60" s="1">
        <v>45575</v>
      </c>
      <c r="F60" s="15">
        <f>LN(Closes[[#This Row],[BTC]]/B61)</f>
        <v>-7.5456280394475647E-2</v>
      </c>
      <c r="G60" s="15">
        <f>LN(Closes[[#This Row],[SP500]]/C61)</f>
        <v>-0.15425393012099473</v>
      </c>
      <c r="I60" s="1">
        <v>45575</v>
      </c>
      <c r="J60" s="15">
        <f>ABS(Percentages[[#This Row],[BTC %]])</f>
        <v>7.5456280394475647E-2</v>
      </c>
      <c r="K60" s="15">
        <f>ABS(Percentages[[#This Row],[SP500 %]])</f>
        <v>0.15425393012099473</v>
      </c>
    </row>
    <row r="61" spans="1:11" x14ac:dyDescent="0.2">
      <c r="A61" s="1">
        <v>45579</v>
      </c>
      <c r="B61">
        <v>66081.7</v>
      </c>
      <c r="C61">
        <v>5859.85</v>
      </c>
      <c r="E61" s="1">
        <v>45574</v>
      </c>
      <c r="F61" s="15">
        <f>LN(Closes[[#This Row],[BTC]]/B62)</f>
        <v>4.0144905668742077E-2</v>
      </c>
      <c r="G61" s="15">
        <f>LN(Closes[[#This Row],[SP500]]/C62)</f>
        <v>0.15646456298492079</v>
      </c>
      <c r="I61" s="1">
        <v>45574</v>
      </c>
      <c r="J61" s="15">
        <f>ABS(Percentages[[#This Row],[BTC %]])</f>
        <v>4.0144905668742077E-2</v>
      </c>
      <c r="K61" s="15">
        <f>ABS(Percentages[[#This Row],[SP500 %]])</f>
        <v>0.15646456298492079</v>
      </c>
    </row>
    <row r="62" spans="1:11" x14ac:dyDescent="0.2">
      <c r="A62" s="1">
        <v>45400</v>
      </c>
      <c r="B62">
        <v>63481.4</v>
      </c>
      <c r="C62">
        <v>5011.12</v>
      </c>
      <c r="E62" s="1">
        <v>45573</v>
      </c>
      <c r="F62" s="15">
        <f>LN(Closes[[#This Row],[BTC]]/B63)</f>
        <v>-4.9921340628588922E-3</v>
      </c>
      <c r="G62" s="15">
        <f>LN(Closes[[#This Row],[SP500]]/C63)</f>
        <v>8.7971023365460317E-3</v>
      </c>
      <c r="I62" s="1">
        <v>45573</v>
      </c>
      <c r="J62" s="15">
        <f>ABS(Percentages[[#This Row],[BTC %]])</f>
        <v>4.9921340628588922E-3</v>
      </c>
      <c r="K62" s="15">
        <f>ABS(Percentages[[#This Row],[SP500 %]])</f>
        <v>8.7971023365460317E-3</v>
      </c>
    </row>
    <row r="63" spans="1:11" x14ac:dyDescent="0.2">
      <c r="A63" s="1">
        <v>45401</v>
      </c>
      <c r="B63">
        <v>63799.1</v>
      </c>
      <c r="C63">
        <v>4967.2299999999996</v>
      </c>
      <c r="E63" s="1">
        <v>45572</v>
      </c>
      <c r="F63" s="15">
        <f>LN(Closes[[#This Row],[BTC]]/B64)</f>
        <v>-4.6402523462077037E-2</v>
      </c>
      <c r="G63" s="15">
        <f>LN(Closes[[#This Row],[SP500]]/C64)</f>
        <v>-8.6933277348876462E-3</v>
      </c>
      <c r="I63" s="1">
        <v>45572</v>
      </c>
      <c r="J63" s="15">
        <f>ABS(Percentages[[#This Row],[BTC %]])</f>
        <v>4.6402523462077037E-2</v>
      </c>
      <c r="K63" s="15">
        <f>ABS(Percentages[[#This Row],[SP500 %]])</f>
        <v>8.6933277348876462E-3</v>
      </c>
    </row>
    <row r="64" spans="1:11" x14ac:dyDescent="0.2">
      <c r="A64" s="1">
        <v>45404</v>
      </c>
      <c r="B64">
        <v>66829.3</v>
      </c>
      <c r="C64">
        <v>5010.6000000000004</v>
      </c>
      <c r="E64" s="1">
        <v>45569</v>
      </c>
      <c r="F64" s="15">
        <f>LN(Closes[[#This Row],[BTC]]/B65)</f>
        <v>6.6984650433974724E-2</v>
      </c>
      <c r="G64" s="15">
        <f>LN(Closes[[#This Row],[SP500]]/C65)</f>
        <v>-0.14889027662358509</v>
      </c>
      <c r="I64" s="1">
        <v>45569</v>
      </c>
      <c r="J64" s="15">
        <f>ABS(Percentages[[#This Row],[BTC %]])</f>
        <v>6.6984650433974724E-2</v>
      </c>
      <c r="K64" s="15">
        <f>ABS(Percentages[[#This Row],[SP500 %]])</f>
        <v>0.14889027662358509</v>
      </c>
    </row>
    <row r="65" spans="1:11" x14ac:dyDescent="0.2">
      <c r="A65" s="1">
        <v>45576</v>
      </c>
      <c r="B65">
        <v>62499.4</v>
      </c>
      <c r="C65">
        <v>5815.03</v>
      </c>
      <c r="E65" s="1">
        <v>45568</v>
      </c>
      <c r="F65" s="15">
        <f>LN(Closes[[#This Row],[BTC]]/B66)</f>
        <v>-6.0765977888191061E-2</v>
      </c>
      <c r="G65" s="15">
        <f>LN(Closes[[#This Row],[SP500]]/C66)</f>
        <v>0.13699665204693437</v>
      </c>
      <c r="I65" s="1">
        <v>45568</v>
      </c>
      <c r="J65" s="15">
        <f>ABS(Percentages[[#This Row],[BTC %]])</f>
        <v>6.0765977888191061E-2</v>
      </c>
      <c r="K65" s="15">
        <f>ABS(Percentages[[#This Row],[SP500 %]])</f>
        <v>0.13699665204693437</v>
      </c>
    </row>
    <row r="66" spans="1:11" x14ac:dyDescent="0.2">
      <c r="A66" s="1">
        <v>45405</v>
      </c>
      <c r="B66">
        <v>66415</v>
      </c>
      <c r="C66">
        <v>5070.55</v>
      </c>
      <c r="E66" s="1">
        <v>45567</v>
      </c>
      <c r="F66" s="15">
        <f>LN(Closes[[#This Row],[BTC]]/B67)</f>
        <v>9.6322210216662374E-2</v>
      </c>
      <c r="G66" s="15">
        <f>LN(Closes[[#This Row],[SP500]]/C67)</f>
        <v>-0.13096304018414917</v>
      </c>
      <c r="I66" s="1">
        <v>45567</v>
      </c>
      <c r="J66" s="15">
        <f>ABS(Percentages[[#This Row],[BTC %]])</f>
        <v>9.6322210216662374E-2</v>
      </c>
      <c r="K66" s="15">
        <f>ABS(Percentages[[#This Row],[SP500 %]])</f>
        <v>0.13096304018414917</v>
      </c>
    </row>
    <row r="67" spans="1:11" x14ac:dyDescent="0.2">
      <c r="A67" s="1">
        <v>45575</v>
      </c>
      <c r="B67">
        <v>60316.2</v>
      </c>
      <c r="C67">
        <v>5780.05</v>
      </c>
      <c r="E67" s="1">
        <v>45566</v>
      </c>
      <c r="F67" s="15">
        <f>LN(Closes[[#This Row],[BTC]]/B68)</f>
        <v>-6.3736487119000984E-2</v>
      </c>
      <c r="G67" s="15">
        <f>LN(Closes[[#This Row],[SP500]]/C68)</f>
        <v>0.13075006821873697</v>
      </c>
      <c r="I67" s="1">
        <v>45566</v>
      </c>
      <c r="J67" s="15">
        <f>ABS(Percentages[[#This Row],[BTC %]])</f>
        <v>6.3736487119000984E-2</v>
      </c>
      <c r="K67" s="15">
        <f>ABS(Percentages[[#This Row],[SP500 %]])</f>
        <v>0.13075006821873697</v>
      </c>
    </row>
    <row r="68" spans="1:11" x14ac:dyDescent="0.2">
      <c r="A68" s="1">
        <v>45406</v>
      </c>
      <c r="B68">
        <v>64285.7</v>
      </c>
      <c r="C68">
        <v>5071.63</v>
      </c>
      <c r="E68" s="1">
        <v>45565</v>
      </c>
      <c r="F68" s="15">
        <f>LN(Closes[[#This Row],[BTC]]/B69)</f>
        <v>5.8567183781121752E-2</v>
      </c>
      <c r="G68" s="15">
        <f>LN(Closes[[#This Row],[SP500]]/C69)</f>
        <v>-0.13282229618975172</v>
      </c>
      <c r="I68" s="1">
        <v>45565</v>
      </c>
      <c r="J68" s="15">
        <f>ABS(Percentages[[#This Row],[BTC %]])</f>
        <v>5.8567183781121752E-2</v>
      </c>
      <c r="K68" s="15">
        <f>ABS(Percentages[[#This Row],[SP500 %]])</f>
        <v>0.13282229618975172</v>
      </c>
    </row>
    <row r="69" spans="1:11" x14ac:dyDescent="0.2">
      <c r="A69" s="1">
        <v>45574</v>
      </c>
      <c r="B69">
        <v>60628.800000000003</v>
      </c>
      <c r="C69">
        <v>5792.04</v>
      </c>
      <c r="E69" s="1">
        <v>45562</v>
      </c>
      <c r="F69" s="15">
        <f>LN(Closes[[#This Row],[BTC]]/B70)</f>
        <v>-6.1850233844946416E-2</v>
      </c>
      <c r="G69" s="15">
        <f>LN(Closes[[#This Row],[SP500]]/C70)</f>
        <v>0.13740923809120906</v>
      </c>
      <c r="I69" s="1">
        <v>45562</v>
      </c>
      <c r="J69" s="15">
        <f>ABS(Percentages[[#This Row],[BTC %]])</f>
        <v>6.1850233844946416E-2</v>
      </c>
      <c r="K69" s="15">
        <f>ABS(Percentages[[#This Row],[SP500 %]])</f>
        <v>0.13740923809120906</v>
      </c>
    </row>
    <row r="70" spans="1:11" x14ac:dyDescent="0.2">
      <c r="A70" s="1">
        <v>45407</v>
      </c>
      <c r="B70">
        <v>64497.1</v>
      </c>
      <c r="C70">
        <v>5048.42</v>
      </c>
      <c r="E70" s="1">
        <v>45561</v>
      </c>
      <c r="F70" s="15">
        <f>LN(Closes[[#This Row],[BTC]]/B71)</f>
        <v>3.6956819204174665E-2</v>
      </c>
      <c r="G70" s="15">
        <f>LN(Closes[[#This Row],[SP500]]/C71)</f>
        <v>-0.13032103419481472</v>
      </c>
      <c r="I70" s="1">
        <v>45561</v>
      </c>
      <c r="J70" s="15">
        <f>ABS(Percentages[[#This Row],[BTC %]])</f>
        <v>3.6956819204174665E-2</v>
      </c>
      <c r="K70" s="15">
        <f>ABS(Percentages[[#This Row],[SP500 %]])</f>
        <v>0.13032103419481472</v>
      </c>
    </row>
    <row r="71" spans="1:11" x14ac:dyDescent="0.2">
      <c r="A71" s="1">
        <v>45573</v>
      </c>
      <c r="B71">
        <v>62157</v>
      </c>
      <c r="C71">
        <v>5751.13</v>
      </c>
      <c r="E71" s="1">
        <v>45560</v>
      </c>
      <c r="F71" s="15">
        <f>LN(Closes[[#This Row],[BTC]]/B72)</f>
        <v>-2.5562963509672826E-2</v>
      </c>
      <c r="G71" s="15">
        <f>LN(Closes[[#This Row],[SP500]]/C72)</f>
        <v>0.12016366067825453</v>
      </c>
      <c r="I71" s="1">
        <v>45560</v>
      </c>
      <c r="J71" s="15">
        <f>ABS(Percentages[[#This Row],[BTC %]])</f>
        <v>2.5562963509672826E-2</v>
      </c>
      <c r="K71" s="15">
        <f>ABS(Percentages[[#This Row],[SP500 %]])</f>
        <v>0.12016366067825453</v>
      </c>
    </row>
    <row r="72" spans="1:11" x14ac:dyDescent="0.2">
      <c r="A72" s="1">
        <v>45408</v>
      </c>
      <c r="B72">
        <v>63766.400000000001</v>
      </c>
      <c r="C72">
        <v>5099.96</v>
      </c>
      <c r="E72" s="1">
        <v>45559</v>
      </c>
      <c r="F72" s="15">
        <f>LN(Closes[[#This Row],[BTC]]/B73)</f>
        <v>2.4138555740376665E-2</v>
      </c>
      <c r="G72" s="15">
        <f>LN(Closes[[#This Row],[SP500]]/C73)</f>
        <v>-0.11052094378406184</v>
      </c>
      <c r="I72" s="1">
        <v>45559</v>
      </c>
      <c r="J72" s="15">
        <f>ABS(Percentages[[#This Row],[BTC %]])</f>
        <v>2.4138555740376665E-2</v>
      </c>
      <c r="K72" s="15">
        <f>ABS(Percentages[[#This Row],[SP500 %]])</f>
        <v>0.11052094378406184</v>
      </c>
    </row>
    <row r="73" spans="1:11" x14ac:dyDescent="0.2">
      <c r="A73" s="1">
        <v>45572</v>
      </c>
      <c r="B73">
        <v>62245.599999999999</v>
      </c>
      <c r="C73">
        <v>5695.94</v>
      </c>
      <c r="E73" s="1">
        <v>45558</v>
      </c>
      <c r="F73" s="15">
        <f>LN(Closes[[#This Row],[BTC]]/B74)</f>
        <v>-2.560690309512054E-2</v>
      </c>
      <c r="G73" s="15">
        <f>LN(Closes[[#This Row],[SP500]]/C74)</f>
        <v>0.10734752809658427</v>
      </c>
      <c r="I73" s="1">
        <v>45558</v>
      </c>
      <c r="J73" s="15">
        <f>ABS(Percentages[[#This Row],[BTC %]])</f>
        <v>2.560690309512054E-2</v>
      </c>
      <c r="K73" s="15">
        <f>ABS(Percentages[[#This Row],[SP500 %]])</f>
        <v>0.10734752809658427</v>
      </c>
    </row>
    <row r="74" spans="1:11" x14ac:dyDescent="0.2">
      <c r="A74" s="1">
        <v>45411</v>
      </c>
      <c r="B74">
        <v>63860.1</v>
      </c>
      <c r="C74">
        <v>5116.17</v>
      </c>
      <c r="E74" s="1">
        <v>45555</v>
      </c>
      <c r="F74" s="15">
        <f>LN(Closes[[#This Row],[BTC]]/B75)</f>
        <v>5.1301453703888902E-2</v>
      </c>
      <c r="G74" s="15">
        <f>LN(Closes[[#This Row],[SP500]]/C75)</f>
        <v>1.5855554753445786E-2</v>
      </c>
      <c r="I74" s="1">
        <v>45555</v>
      </c>
      <c r="J74" s="15">
        <f>ABS(Percentages[[#This Row],[BTC %]])</f>
        <v>5.1301453703888902E-2</v>
      </c>
      <c r="K74" s="15">
        <f>ABS(Percentages[[#This Row],[SP500 %]])</f>
        <v>1.5855554753445786E-2</v>
      </c>
    </row>
    <row r="75" spans="1:11" x14ac:dyDescent="0.2">
      <c r="A75" s="1">
        <v>45412</v>
      </c>
      <c r="B75">
        <v>60666.6</v>
      </c>
      <c r="C75">
        <v>5035.6899999999996</v>
      </c>
      <c r="E75" s="1">
        <v>45554</v>
      </c>
      <c r="F75" s="15">
        <f>LN(Closes[[#This Row],[BTC]]/B76)</f>
        <v>3.9256186348901004E-2</v>
      </c>
      <c r="G75" s="15">
        <f>LN(Closes[[#This Row],[SP500]]/C76)</f>
        <v>3.441392364873821E-3</v>
      </c>
      <c r="I75" s="1">
        <v>45554</v>
      </c>
      <c r="J75" s="15">
        <f>ABS(Percentages[[#This Row],[BTC %]])</f>
        <v>3.9256186348901004E-2</v>
      </c>
      <c r="K75" s="15">
        <f>ABS(Percentages[[#This Row],[SP500 %]])</f>
        <v>3.441392364873821E-3</v>
      </c>
    </row>
    <row r="76" spans="1:11" x14ac:dyDescent="0.2">
      <c r="A76" s="1">
        <v>45413</v>
      </c>
      <c r="B76">
        <v>58331.199999999997</v>
      </c>
      <c r="C76">
        <v>5018.3900000000003</v>
      </c>
      <c r="E76" s="1">
        <v>45553</v>
      </c>
      <c r="F76" s="15">
        <f>LN(Closes[[#This Row],[BTC]]/B77)</f>
        <v>-6.2302870834567675E-2</v>
      </c>
      <c r="G76" s="15">
        <f>LN(Closes[[#This Row],[SP500]]/C77)</f>
        <v>-0.13627675932232511</v>
      </c>
      <c r="I76" s="1">
        <v>45553</v>
      </c>
      <c r="J76" s="15">
        <f>ABS(Percentages[[#This Row],[BTC %]])</f>
        <v>6.2302870834567675E-2</v>
      </c>
      <c r="K76" s="15">
        <f>ABS(Percentages[[#This Row],[SP500 %]])</f>
        <v>0.13627675932232511</v>
      </c>
    </row>
    <row r="77" spans="1:11" x14ac:dyDescent="0.2">
      <c r="A77" s="1">
        <v>45569</v>
      </c>
      <c r="B77">
        <v>62081</v>
      </c>
      <c r="C77">
        <v>5751.07</v>
      </c>
      <c r="E77" s="1">
        <v>45552</v>
      </c>
      <c r="F77" s="15">
        <f>LN(Closes[[#This Row],[BTC]]/B78)</f>
        <v>4.8848718419901363E-2</v>
      </c>
      <c r="G77" s="15">
        <f>LN(Closes[[#This Row],[SP500]]/C78)</f>
        <v>0.12718974592098775</v>
      </c>
      <c r="I77" s="1">
        <v>45552</v>
      </c>
      <c r="J77" s="15">
        <f>ABS(Percentages[[#This Row],[BTC %]])</f>
        <v>4.8848718419901363E-2</v>
      </c>
      <c r="K77" s="15">
        <f>ABS(Percentages[[#This Row],[SP500 %]])</f>
        <v>0.12718974592098775</v>
      </c>
    </row>
    <row r="78" spans="1:11" x14ac:dyDescent="0.2">
      <c r="A78" s="1">
        <v>45414</v>
      </c>
      <c r="B78">
        <v>59121.3</v>
      </c>
      <c r="C78">
        <v>5064.2</v>
      </c>
      <c r="E78" s="1">
        <v>45551</v>
      </c>
      <c r="F78" s="15">
        <f>LN(Closes[[#This Row],[BTC]]/B79)</f>
        <v>-2.7195569539239624E-2</v>
      </c>
      <c r="G78" s="15">
        <f>LN(Closes[[#This Row],[SP500]]/C79)</f>
        <v>-0.11825946993654983</v>
      </c>
      <c r="I78" s="1">
        <v>45551</v>
      </c>
      <c r="J78" s="15">
        <f>ABS(Percentages[[#This Row],[BTC %]])</f>
        <v>2.7195569539239624E-2</v>
      </c>
      <c r="K78" s="15">
        <f>ABS(Percentages[[#This Row],[SP500 %]])</f>
        <v>0.11825946993654983</v>
      </c>
    </row>
    <row r="79" spans="1:11" x14ac:dyDescent="0.2">
      <c r="A79" s="1">
        <v>45568</v>
      </c>
      <c r="B79">
        <v>60751.199999999997</v>
      </c>
      <c r="C79">
        <v>5699.94</v>
      </c>
      <c r="E79" s="1">
        <v>45548</v>
      </c>
      <c r="F79" s="15">
        <f>LN(Closes[[#This Row],[BTC]]/B80)</f>
        <v>-3.4401553948862171E-2</v>
      </c>
      <c r="G79" s="15">
        <f>LN(Closes[[#This Row],[SP500]]/C80)</f>
        <v>0.10578088132755077</v>
      </c>
      <c r="I79" s="1">
        <v>45548</v>
      </c>
      <c r="J79" s="15">
        <f>ABS(Percentages[[#This Row],[BTC %]])</f>
        <v>3.4401553948862171E-2</v>
      </c>
      <c r="K79" s="15">
        <f>ABS(Percentages[[#This Row],[SP500 %]])</f>
        <v>0.10578088132755077</v>
      </c>
    </row>
    <row r="80" spans="1:11" x14ac:dyDescent="0.2">
      <c r="A80" s="1">
        <v>45415</v>
      </c>
      <c r="B80">
        <v>62877.5</v>
      </c>
      <c r="C80">
        <v>5127.79</v>
      </c>
      <c r="E80" s="1">
        <v>45547</v>
      </c>
      <c r="F80" s="15">
        <f>LN(Closes[[#This Row],[BTC]]/B81)</f>
        <v>3.613965478273138E-2</v>
      </c>
      <c r="G80" s="15">
        <f>LN(Closes[[#This Row],[SP500]]/C81)</f>
        <v>-0.1074636928606765</v>
      </c>
      <c r="I80" s="1">
        <v>45547</v>
      </c>
      <c r="J80" s="15">
        <f>ABS(Percentages[[#This Row],[BTC %]])</f>
        <v>3.613965478273138E-2</v>
      </c>
      <c r="K80" s="15">
        <f>ABS(Percentages[[#This Row],[SP500 %]])</f>
        <v>0.1074636928606765</v>
      </c>
    </row>
    <row r="81" spans="1:11" x14ac:dyDescent="0.2">
      <c r="A81" s="1">
        <v>45567</v>
      </c>
      <c r="B81">
        <v>60645.7</v>
      </c>
      <c r="C81">
        <v>5709.54</v>
      </c>
      <c r="E81" s="1">
        <v>45546</v>
      </c>
      <c r="F81" s="15">
        <f>LN(Closes[[#This Row],[BTC]]/B82)</f>
        <v>-4.0671535602132415E-2</v>
      </c>
      <c r="G81" s="15">
        <f>LN(Closes[[#This Row],[SP500]]/C82)</f>
        <v>9.7190556791299718E-2</v>
      </c>
      <c r="I81" s="1">
        <v>45546</v>
      </c>
      <c r="J81" s="15">
        <f>ABS(Percentages[[#This Row],[BTC %]])</f>
        <v>4.0671535602132415E-2</v>
      </c>
      <c r="K81" s="15">
        <f>ABS(Percentages[[#This Row],[SP500 %]])</f>
        <v>9.7190556791299718E-2</v>
      </c>
    </row>
    <row r="82" spans="1:11" x14ac:dyDescent="0.2">
      <c r="A82" s="1">
        <v>45418</v>
      </c>
      <c r="B82">
        <v>63163.1</v>
      </c>
      <c r="C82">
        <v>5180.74</v>
      </c>
      <c r="E82" s="1">
        <v>45545</v>
      </c>
      <c r="F82" s="15">
        <f>LN(Closes[[#This Row],[BTC]]/B83)</f>
        <v>3.7546769721708652E-2</v>
      </c>
      <c r="G82" s="15">
        <f>LN(Closes[[#This Row],[SP500]]/C83)</f>
        <v>-9.7052182305932821E-2</v>
      </c>
      <c r="I82" s="1">
        <v>45545</v>
      </c>
      <c r="J82" s="15">
        <f>ABS(Percentages[[#This Row],[BTC %]])</f>
        <v>3.7546769721708652E-2</v>
      </c>
      <c r="K82" s="15">
        <f>ABS(Percentages[[#This Row],[SP500 %]])</f>
        <v>9.7052182305932821E-2</v>
      </c>
    </row>
    <row r="83" spans="1:11" x14ac:dyDescent="0.2">
      <c r="A83" s="1">
        <v>45566</v>
      </c>
      <c r="B83">
        <v>60835.5</v>
      </c>
      <c r="C83">
        <v>5708.75</v>
      </c>
      <c r="E83" s="1">
        <v>45544</v>
      </c>
      <c r="F83" s="15">
        <f>LN(Closes[[#This Row],[BTC]]/B84)</f>
        <v>-2.4071994432781026E-2</v>
      </c>
      <c r="G83" s="15">
        <f>LN(Closes[[#This Row],[SP500]]/C84)</f>
        <v>9.5709646486582173E-2</v>
      </c>
      <c r="I83" s="1">
        <v>45544</v>
      </c>
      <c r="J83" s="15">
        <f>ABS(Percentages[[#This Row],[BTC %]])</f>
        <v>2.4071994432781026E-2</v>
      </c>
      <c r="K83" s="15">
        <f>ABS(Percentages[[#This Row],[SP500 %]])</f>
        <v>9.5709646486582173E-2</v>
      </c>
    </row>
    <row r="84" spans="1:11" x14ac:dyDescent="0.2">
      <c r="A84" s="1">
        <v>45419</v>
      </c>
      <c r="B84">
        <v>62317.7</v>
      </c>
      <c r="C84">
        <v>5187.7</v>
      </c>
      <c r="E84" s="1">
        <v>45541</v>
      </c>
      <c r="F84" s="15">
        <f>LN(Closes[[#This Row],[BTC]]/B85)</f>
        <v>-1.625891618996058E-2</v>
      </c>
      <c r="G84" s="15">
        <f>LN(Closes[[#This Row],[SP500]]/C85)</f>
        <v>-0.10507749857041938</v>
      </c>
      <c r="I84" s="1">
        <v>45541</v>
      </c>
      <c r="J84" s="15">
        <f>ABS(Percentages[[#This Row],[BTC %]])</f>
        <v>1.625891618996058E-2</v>
      </c>
      <c r="K84" s="15">
        <f>ABS(Percentages[[#This Row],[SP500 %]])</f>
        <v>0.10507749857041938</v>
      </c>
    </row>
    <row r="85" spans="1:11" x14ac:dyDescent="0.2">
      <c r="A85" s="1">
        <v>45565</v>
      </c>
      <c r="B85">
        <v>63339.199999999997</v>
      </c>
      <c r="C85">
        <v>5762.48</v>
      </c>
      <c r="E85" s="1">
        <v>45540</v>
      </c>
      <c r="F85" s="15">
        <f>LN(Closes[[#This Row],[BTC]]/B86)</f>
        <v>3.4234679751913494E-2</v>
      </c>
      <c r="G85" s="15">
        <f>LN(Closes[[#This Row],[SP500]]/C86)</f>
        <v>0.10508328149671496</v>
      </c>
      <c r="I85" s="1">
        <v>45540</v>
      </c>
      <c r="J85" s="15">
        <f>ABS(Percentages[[#This Row],[BTC %]])</f>
        <v>3.4234679751913494E-2</v>
      </c>
      <c r="K85" s="15">
        <f>ABS(Percentages[[#This Row],[SP500 %]])</f>
        <v>0.10508328149671496</v>
      </c>
    </row>
    <row r="86" spans="1:11" x14ac:dyDescent="0.2">
      <c r="A86" s="1">
        <v>45420</v>
      </c>
      <c r="B86">
        <v>61207.5</v>
      </c>
      <c r="C86">
        <v>5187.67</v>
      </c>
      <c r="E86" s="1">
        <v>45539</v>
      </c>
      <c r="F86" s="15">
        <f>LN(Closes[[#This Row],[BTC]]/B87)</f>
        <v>-3.0054763497750884E-2</v>
      </c>
      <c r="G86" s="15">
        <f>LN(Closes[[#This Row],[SP500]]/C87)</f>
        <v>-5.0780025958913656E-3</v>
      </c>
      <c r="I86" s="1">
        <v>45539</v>
      </c>
      <c r="J86" s="15">
        <f>ABS(Percentages[[#This Row],[BTC %]])</f>
        <v>3.0054763497750884E-2</v>
      </c>
      <c r="K86" s="15">
        <f>ABS(Percentages[[#This Row],[SP500 %]])</f>
        <v>5.0780025958913656E-3</v>
      </c>
    </row>
    <row r="87" spans="1:11" x14ac:dyDescent="0.2">
      <c r="A87" s="1">
        <v>45421</v>
      </c>
      <c r="B87">
        <v>63075</v>
      </c>
      <c r="C87">
        <v>5214.08</v>
      </c>
      <c r="E87" s="1">
        <v>45538</v>
      </c>
      <c r="F87" s="15">
        <f>LN(Closes[[#This Row],[BTC]]/B88)</f>
        <v>3.6785693696978525E-2</v>
      </c>
      <c r="G87" s="15">
        <f>LN(Closes[[#This Row],[SP500]]/C88)</f>
        <v>-1.6480214063461112E-3</v>
      </c>
      <c r="I87" s="1">
        <v>45538</v>
      </c>
      <c r="J87" s="15">
        <f>ABS(Percentages[[#This Row],[BTC %]])</f>
        <v>3.6785693696978525E-2</v>
      </c>
      <c r="K87" s="15">
        <f>ABS(Percentages[[#This Row],[SP500 %]])</f>
        <v>1.6480214063461112E-3</v>
      </c>
    </row>
    <row r="88" spans="1:11" x14ac:dyDescent="0.2">
      <c r="A88" s="1">
        <v>45422</v>
      </c>
      <c r="B88">
        <v>60796.9</v>
      </c>
      <c r="C88">
        <v>5222.68</v>
      </c>
      <c r="E88" s="1">
        <v>45537</v>
      </c>
      <c r="F88" s="15">
        <f>LN(Closes[[#This Row],[BTC]]/B89)</f>
        <v>-7.8720790249058023E-2</v>
      </c>
      <c r="G88" s="15">
        <f>LN(Closes[[#This Row],[SP500]]/C89)</f>
        <v>-9.4129664061621265E-2</v>
      </c>
      <c r="I88" s="1">
        <v>45537</v>
      </c>
      <c r="J88" s="15">
        <f>ABS(Percentages[[#This Row],[BTC %]])</f>
        <v>7.8720790249058023E-2</v>
      </c>
      <c r="K88" s="15">
        <f>ABS(Percentages[[#This Row],[SP500 %]])</f>
        <v>9.4129664061621265E-2</v>
      </c>
    </row>
    <row r="89" spans="1:11" x14ac:dyDescent="0.2">
      <c r="A89" s="1">
        <v>45562</v>
      </c>
      <c r="B89">
        <v>65776.3</v>
      </c>
      <c r="C89">
        <v>5738.17</v>
      </c>
      <c r="E89" s="1">
        <v>45534</v>
      </c>
      <c r="F89" s="15">
        <f>LN(Closes[[#This Row],[BTC]]/B90)</f>
        <v>4.4122187245345439E-2</v>
      </c>
      <c r="G89" s="15">
        <f>LN(Closes[[#This Row],[SP500]]/C90)</f>
        <v>9.4370948615793052E-2</v>
      </c>
      <c r="I89" s="1">
        <v>45534</v>
      </c>
      <c r="J89" s="15">
        <f>ABS(Percentages[[#This Row],[BTC %]])</f>
        <v>4.4122187245345439E-2</v>
      </c>
      <c r="K89" s="15">
        <f>ABS(Percentages[[#This Row],[SP500 %]])</f>
        <v>9.4370948615793052E-2</v>
      </c>
    </row>
    <row r="90" spans="1:11" x14ac:dyDescent="0.2">
      <c r="A90" s="1">
        <v>45425</v>
      </c>
      <c r="B90">
        <v>62937.2</v>
      </c>
      <c r="C90">
        <v>5221.42</v>
      </c>
      <c r="E90" s="1">
        <v>45533</v>
      </c>
      <c r="F90" s="15">
        <f>LN(Closes[[#This Row],[BTC]]/B91)</f>
        <v>-3.4949296242570912E-2</v>
      </c>
      <c r="G90" s="15">
        <f>LN(Closes[[#This Row],[SP500]]/C91)</f>
        <v>-9.5624917504038828E-2</v>
      </c>
      <c r="I90" s="1">
        <v>45533</v>
      </c>
      <c r="J90" s="15">
        <f>ABS(Percentages[[#This Row],[BTC %]])</f>
        <v>3.4949296242570912E-2</v>
      </c>
      <c r="K90" s="15">
        <f>ABS(Percentages[[#This Row],[SP500 %]])</f>
        <v>9.5624917504038828E-2</v>
      </c>
    </row>
    <row r="91" spans="1:11" x14ac:dyDescent="0.2">
      <c r="A91" s="1">
        <v>45561</v>
      </c>
      <c r="B91">
        <v>65175.7</v>
      </c>
      <c r="C91">
        <v>5745.37</v>
      </c>
      <c r="E91" s="1">
        <v>45532</v>
      </c>
      <c r="F91" s="15">
        <f>LN(Closes[[#This Row],[BTC]]/B92)</f>
        <v>5.6921706206474992E-2</v>
      </c>
      <c r="G91" s="15">
        <f>LN(Closes[[#This Row],[SP500]]/C92)</f>
        <v>9.0798817442318769E-2</v>
      </c>
      <c r="I91" s="1">
        <v>45532</v>
      </c>
      <c r="J91" s="15">
        <f>ABS(Percentages[[#This Row],[BTC %]])</f>
        <v>5.6921706206474992E-2</v>
      </c>
      <c r="K91" s="15">
        <f>ABS(Percentages[[#This Row],[SP500 %]])</f>
        <v>9.0798817442318769E-2</v>
      </c>
    </row>
    <row r="92" spans="1:11" x14ac:dyDescent="0.2">
      <c r="A92" s="1">
        <v>45426</v>
      </c>
      <c r="B92">
        <v>61569.4</v>
      </c>
      <c r="C92">
        <v>5246.68</v>
      </c>
      <c r="E92" s="1">
        <v>45531</v>
      </c>
      <c r="F92" s="15">
        <f>LN(Closes[[#This Row],[BTC]]/B93)</f>
        <v>-2.5450779162526162E-2</v>
      </c>
      <c r="G92" s="15">
        <f>LN(Closes[[#This Row],[SP500]]/C93)</f>
        <v>-8.6768336639446511E-2</v>
      </c>
      <c r="I92" s="1">
        <v>45531</v>
      </c>
      <c r="J92" s="15">
        <f>ABS(Percentages[[#This Row],[BTC %]])</f>
        <v>2.5450779162526162E-2</v>
      </c>
      <c r="K92" s="15">
        <f>ABS(Percentages[[#This Row],[SP500 %]])</f>
        <v>8.6768336639446511E-2</v>
      </c>
    </row>
    <row r="93" spans="1:11" x14ac:dyDescent="0.2">
      <c r="A93" s="1">
        <v>45560</v>
      </c>
      <c r="B93">
        <v>63156.5</v>
      </c>
      <c r="C93">
        <v>5722.26</v>
      </c>
      <c r="E93" s="1">
        <v>45530</v>
      </c>
      <c r="F93" s="15">
        <f>LN(Closes[[#This Row],[BTC]]/B94)</f>
        <v>-4.7443772128290936E-2</v>
      </c>
      <c r="G93" s="15">
        <f>LN(Closes[[#This Row],[SP500]]/C94)</f>
        <v>7.5120456951400683E-2</v>
      </c>
      <c r="I93" s="1">
        <v>45530</v>
      </c>
      <c r="J93" s="15">
        <f>ABS(Percentages[[#This Row],[BTC %]])</f>
        <v>4.7443772128290936E-2</v>
      </c>
      <c r="K93" s="15">
        <f>ABS(Percentages[[#This Row],[SP500 %]])</f>
        <v>7.5120456951400683E-2</v>
      </c>
    </row>
    <row r="94" spans="1:11" x14ac:dyDescent="0.2">
      <c r="A94" s="1">
        <v>45427</v>
      </c>
      <c r="B94">
        <v>66225.100000000006</v>
      </c>
      <c r="C94">
        <v>5308.15</v>
      </c>
      <c r="E94" s="1">
        <v>45527</v>
      </c>
      <c r="F94" s="15">
        <f>LN(Closes[[#This Row],[BTC]]/B95)</f>
        <v>3.0171990409859052E-2</v>
      </c>
      <c r="G94" s="15">
        <f>LN(Closes[[#This Row],[SP500]]/C95)</f>
        <v>-7.6983368537467539E-2</v>
      </c>
      <c r="I94" s="1">
        <v>45527</v>
      </c>
      <c r="J94" s="15">
        <f>ABS(Percentages[[#This Row],[BTC %]])</f>
        <v>3.0171990409859052E-2</v>
      </c>
      <c r="K94" s="15">
        <f>ABS(Percentages[[#This Row],[SP500 %]])</f>
        <v>7.6983368537467539E-2</v>
      </c>
    </row>
    <row r="95" spans="1:11" x14ac:dyDescent="0.2">
      <c r="A95" s="1">
        <v>45559</v>
      </c>
      <c r="B95">
        <v>64256.800000000003</v>
      </c>
      <c r="C95">
        <v>5732.93</v>
      </c>
      <c r="E95" s="1">
        <v>45526</v>
      </c>
      <c r="F95" s="15">
        <f>LN(Closes[[#This Row],[BTC]]/B96)</f>
        <v>-1.5047261309048144E-2</v>
      </c>
      <c r="G95" s="15">
        <f>LN(Closes[[#This Row],[SP500]]/C96)</f>
        <v>7.9067242844767682E-2</v>
      </c>
      <c r="I95" s="1">
        <v>45526</v>
      </c>
      <c r="J95" s="15">
        <f>ABS(Percentages[[#This Row],[BTC %]])</f>
        <v>1.5047261309048144E-2</v>
      </c>
      <c r="K95" s="15">
        <f>ABS(Percentages[[#This Row],[SP500 %]])</f>
        <v>7.9067242844767682E-2</v>
      </c>
    </row>
    <row r="96" spans="1:11" x14ac:dyDescent="0.2">
      <c r="A96" s="1">
        <v>45428</v>
      </c>
      <c r="B96">
        <v>65231</v>
      </c>
      <c r="C96">
        <v>5297.1</v>
      </c>
      <c r="E96" s="1">
        <v>45525</v>
      </c>
      <c r="F96" s="15">
        <f>LN(Closes[[#This Row],[BTC]]/B97)</f>
        <v>2.9547243386976438E-2</v>
      </c>
      <c r="G96" s="15">
        <f>LN(Closes[[#This Row],[SP500]]/C97)</f>
        <v>-7.655927314177198E-2</v>
      </c>
      <c r="I96" s="1">
        <v>45525</v>
      </c>
      <c r="J96" s="15">
        <f>ABS(Percentages[[#This Row],[BTC %]])</f>
        <v>2.9547243386976438E-2</v>
      </c>
      <c r="K96" s="15">
        <f>ABS(Percentages[[#This Row],[SP500 %]])</f>
        <v>7.655927314177198E-2</v>
      </c>
    </row>
    <row r="97" spans="1:11" x14ac:dyDescent="0.2">
      <c r="A97" s="1">
        <v>45558</v>
      </c>
      <c r="B97">
        <v>63331.8</v>
      </c>
      <c r="C97">
        <v>5718.57</v>
      </c>
      <c r="E97" s="1">
        <v>45524</v>
      </c>
      <c r="F97" s="15">
        <f>LN(Closes[[#This Row],[BTC]]/B98)</f>
        <v>-5.6854149664707629E-2</v>
      </c>
      <c r="G97" s="15">
        <f>LN(Closes[[#This Row],[SP500]]/C98)</f>
        <v>7.5395162700952478E-2</v>
      </c>
      <c r="I97" s="1">
        <v>45524</v>
      </c>
      <c r="J97" s="15">
        <f>ABS(Percentages[[#This Row],[BTC %]])</f>
        <v>5.6854149664707629E-2</v>
      </c>
      <c r="K97" s="15">
        <f>ABS(Percentages[[#This Row],[SP500 %]])</f>
        <v>7.5395162700952478E-2</v>
      </c>
    </row>
    <row r="98" spans="1:11" x14ac:dyDescent="0.2">
      <c r="A98" s="1">
        <v>45429</v>
      </c>
      <c r="B98">
        <v>67036.800000000003</v>
      </c>
      <c r="C98">
        <v>5303.27</v>
      </c>
      <c r="E98" s="1">
        <v>45523</v>
      </c>
      <c r="F98" s="15">
        <f>LN(Closes[[#This Row],[BTC]]/B99)</f>
        <v>-6.3374023650584435E-2</v>
      </c>
      <c r="G98" s="15">
        <f>LN(Closes[[#This Row],[SP500]]/C99)</f>
        <v>-9.1599606834429331E-4</v>
      </c>
      <c r="I98" s="1">
        <v>45523</v>
      </c>
      <c r="J98" s="15">
        <f>ABS(Percentages[[#This Row],[BTC %]])</f>
        <v>6.3374023650584435E-2</v>
      </c>
      <c r="K98" s="15">
        <f>ABS(Percentages[[#This Row],[SP500 %]])</f>
        <v>9.1599606834429331E-4</v>
      </c>
    </row>
    <row r="99" spans="1:11" x14ac:dyDescent="0.2">
      <c r="A99" s="1">
        <v>45432</v>
      </c>
      <c r="B99">
        <v>71422.7</v>
      </c>
      <c r="C99">
        <v>5308.13</v>
      </c>
      <c r="E99" s="1">
        <v>45520</v>
      </c>
      <c r="F99" s="15">
        <f>LN(Closes[[#This Row],[BTC]]/B100)</f>
        <v>1.812392699724626E-2</v>
      </c>
      <c r="G99" s="15">
        <f>LN(Closes[[#This Row],[SP500]]/C100)</f>
        <v>-2.498698327390512E-3</v>
      </c>
      <c r="I99" s="1">
        <v>45520</v>
      </c>
      <c r="J99" s="15">
        <f>ABS(Percentages[[#This Row],[BTC %]])</f>
        <v>1.812392699724626E-2</v>
      </c>
      <c r="K99" s="15">
        <f>ABS(Percentages[[#This Row],[SP500 %]])</f>
        <v>2.498698327390512E-3</v>
      </c>
    </row>
    <row r="100" spans="1:11" x14ac:dyDescent="0.2">
      <c r="A100" s="1">
        <v>45433</v>
      </c>
      <c r="B100">
        <v>70139.899999999994</v>
      </c>
      <c r="C100">
        <v>5321.41</v>
      </c>
      <c r="E100" s="1">
        <v>45519</v>
      </c>
      <c r="F100" s="15">
        <f>LN(Closes[[#This Row],[BTC]]/B101)</f>
        <v>0.10416853067670048</v>
      </c>
      <c r="G100" s="15">
        <f>LN(Closes[[#This Row],[SP500]]/C101)</f>
        <v>-6.9175137390860758E-2</v>
      </c>
      <c r="I100" s="1">
        <v>45519</v>
      </c>
      <c r="J100" s="15">
        <f>ABS(Percentages[[#This Row],[BTC %]])</f>
        <v>0.10416853067670048</v>
      </c>
      <c r="K100" s="15">
        <f>ABS(Percentages[[#This Row],[SP500 %]])</f>
        <v>6.9175137390860758E-2</v>
      </c>
    </row>
    <row r="101" spans="1:11" x14ac:dyDescent="0.2">
      <c r="A101" s="1">
        <v>45555</v>
      </c>
      <c r="B101">
        <v>63201.2</v>
      </c>
      <c r="C101">
        <v>5702.55</v>
      </c>
      <c r="E101" s="1">
        <v>45518</v>
      </c>
      <c r="F101" s="15">
        <f>LN(Closes[[#This Row],[BTC]]/B102)</f>
        <v>-9.0032857853779555E-2</v>
      </c>
      <c r="G101" s="15">
        <f>LN(Closes[[#This Row],[SP500]]/C102)</f>
        <v>7.1884855074407797E-2</v>
      </c>
      <c r="I101" s="1">
        <v>45518</v>
      </c>
      <c r="J101" s="15">
        <f>ABS(Percentages[[#This Row],[BTC %]])</f>
        <v>9.0032857853779555E-2</v>
      </c>
      <c r="K101" s="15">
        <f>ABS(Percentages[[#This Row],[SP500 %]])</f>
        <v>7.1884855074407797E-2</v>
      </c>
    </row>
    <row r="102" spans="1:11" x14ac:dyDescent="0.2">
      <c r="A102" s="1">
        <v>45434</v>
      </c>
      <c r="B102">
        <v>69155.399999999994</v>
      </c>
      <c r="C102">
        <v>5307.01</v>
      </c>
      <c r="E102" s="1">
        <v>45517</v>
      </c>
      <c r="F102" s="15">
        <f>LN(Closes[[#This Row],[BTC]]/B103)</f>
        <v>9.4196498185652372E-2</v>
      </c>
      <c r="G102" s="15">
        <f>LN(Closes[[#This Row],[SP500]]/C103)</f>
        <v>-7.3827710525909612E-2</v>
      </c>
      <c r="I102" s="1">
        <v>45517</v>
      </c>
      <c r="J102" s="15">
        <f>ABS(Percentages[[#This Row],[BTC %]])</f>
        <v>9.4196498185652372E-2</v>
      </c>
      <c r="K102" s="15">
        <f>ABS(Percentages[[#This Row],[SP500 %]])</f>
        <v>7.3827710525909612E-2</v>
      </c>
    </row>
    <row r="103" spans="1:11" x14ac:dyDescent="0.2">
      <c r="A103" s="1">
        <v>45554</v>
      </c>
      <c r="B103">
        <v>62938.6</v>
      </c>
      <c r="C103">
        <v>5713.64</v>
      </c>
      <c r="E103" s="1">
        <v>45516</v>
      </c>
      <c r="F103" s="15">
        <f>LN(Closes[[#This Row],[BTC]]/B104)</f>
        <v>-7.6990640386698575E-2</v>
      </c>
      <c r="G103" s="15">
        <f>LN(Closes[[#This Row],[SP500]]/C104)</f>
        <v>8.123588731155458E-2</v>
      </c>
      <c r="I103" s="1">
        <v>45516</v>
      </c>
      <c r="J103" s="15">
        <f>ABS(Percentages[[#This Row],[BTC %]])</f>
        <v>7.6990640386698575E-2</v>
      </c>
      <c r="K103" s="15">
        <f>ABS(Percentages[[#This Row],[SP500 %]])</f>
        <v>8.123588731155458E-2</v>
      </c>
    </row>
    <row r="104" spans="1:11" x14ac:dyDescent="0.2">
      <c r="A104" s="1">
        <v>45435</v>
      </c>
      <c r="B104">
        <v>67975.7</v>
      </c>
      <c r="C104">
        <v>5267.84</v>
      </c>
      <c r="E104" s="1">
        <v>45513</v>
      </c>
      <c r="F104" s="15">
        <f>LN(Closes[[#This Row],[BTC]]/B105)</f>
        <v>9.5933243511331992E-2</v>
      </c>
      <c r="G104" s="15">
        <f>LN(Closes[[#This Row],[SP500]]/C105)</f>
        <v>-6.4401596063967712E-2</v>
      </c>
      <c r="I104" s="1">
        <v>45513</v>
      </c>
      <c r="J104" s="15">
        <f>ABS(Percentages[[#This Row],[BTC %]])</f>
        <v>9.5933243511331992E-2</v>
      </c>
      <c r="K104" s="15">
        <f>ABS(Percentages[[#This Row],[SP500 %]])</f>
        <v>6.4401596063967712E-2</v>
      </c>
    </row>
    <row r="105" spans="1:11" x14ac:dyDescent="0.2">
      <c r="A105" s="1">
        <v>45553</v>
      </c>
      <c r="B105">
        <v>61757.599999999999</v>
      </c>
      <c r="C105">
        <v>5618.26</v>
      </c>
      <c r="E105" s="1">
        <v>45512</v>
      </c>
      <c r="F105" s="15">
        <f>LN(Closes[[#This Row],[BTC]]/B106)</f>
        <v>-0.10431134959668675</v>
      </c>
      <c r="G105" s="15">
        <f>LN(Closes[[#This Row],[SP500]]/C106)</f>
        <v>5.7425017148895662E-2</v>
      </c>
      <c r="I105" s="1">
        <v>45512</v>
      </c>
      <c r="J105" s="15">
        <f>ABS(Percentages[[#This Row],[BTC %]])</f>
        <v>0.10431134959668675</v>
      </c>
      <c r="K105" s="15">
        <f>ABS(Percentages[[#This Row],[SP500 %]])</f>
        <v>5.7425017148895662E-2</v>
      </c>
    </row>
    <row r="106" spans="1:11" x14ac:dyDescent="0.2">
      <c r="A106" s="1">
        <v>45436</v>
      </c>
      <c r="B106">
        <v>68547.600000000006</v>
      </c>
      <c r="C106">
        <v>5304.72</v>
      </c>
      <c r="E106" s="1">
        <v>45511</v>
      </c>
      <c r="F106" s="15">
        <f>LN(Closes[[#This Row],[BTC]]/B107)</f>
        <v>0.12804539000131776</v>
      </c>
      <c r="G106" s="15">
        <f>LN(Closes[[#This Row],[SP500]]/C107)</f>
        <v>-6.0325620275280864E-2</v>
      </c>
      <c r="I106" s="1">
        <v>45511</v>
      </c>
      <c r="J106" s="15">
        <f>ABS(Percentages[[#This Row],[BTC %]])</f>
        <v>0.12804539000131776</v>
      </c>
      <c r="K106" s="15">
        <f>ABS(Percentages[[#This Row],[SP500 %]])</f>
        <v>6.0325620275280864E-2</v>
      </c>
    </row>
    <row r="107" spans="1:11" x14ac:dyDescent="0.2">
      <c r="A107" s="1">
        <v>45552</v>
      </c>
      <c r="B107">
        <v>60309.1</v>
      </c>
      <c r="C107">
        <v>5634.58</v>
      </c>
      <c r="E107" s="1">
        <v>45510</v>
      </c>
      <c r="F107" s="15">
        <f>LN(Closes[[#This Row],[BTC]]/B108)</f>
        <v>-0.14081732224212831</v>
      </c>
      <c r="G107" s="15">
        <f>LN(Closes[[#This Row],[SP500]]/C108)</f>
        <v>2.6447349073670164E-4</v>
      </c>
      <c r="I107" s="1">
        <v>45510</v>
      </c>
      <c r="J107" s="15">
        <f>ABS(Percentages[[#This Row],[BTC %]])</f>
        <v>0.14081732224212831</v>
      </c>
      <c r="K107" s="15">
        <f>ABS(Percentages[[#This Row],[SP500 %]])</f>
        <v>2.6447349073670164E-4</v>
      </c>
    </row>
    <row r="108" spans="1:11" x14ac:dyDescent="0.2">
      <c r="A108" s="1">
        <v>45439</v>
      </c>
      <c r="B108">
        <v>69428.7</v>
      </c>
      <c r="C108">
        <v>5633.09</v>
      </c>
      <c r="E108" s="1">
        <v>45509</v>
      </c>
      <c r="F108" s="15">
        <f>LN(Closes[[#This Row],[BTC]]/B109)</f>
        <v>0.17618991137530551</v>
      </c>
      <c r="G108" s="15">
        <f>LN(Closes[[#This Row],[SP500]]/C109)</f>
        <v>0</v>
      </c>
      <c r="I108" s="1">
        <v>45509</v>
      </c>
      <c r="J108" s="15">
        <f>ABS(Percentages[[#This Row],[BTC %]])</f>
        <v>0.17618991137530551</v>
      </c>
      <c r="K108" s="15">
        <f>ABS(Percentages[[#This Row],[SP500 %]])</f>
        <v>0</v>
      </c>
    </row>
    <row r="109" spans="1:11" x14ac:dyDescent="0.2">
      <c r="A109" s="1">
        <v>45551</v>
      </c>
      <c r="B109">
        <v>58213.1</v>
      </c>
      <c r="C109">
        <v>5633.09</v>
      </c>
      <c r="E109" s="1">
        <v>45506</v>
      </c>
      <c r="F109" s="15">
        <f>LN(Closes[[#This Row],[BTC]]/B110)</f>
        <v>-0.16076520970185926</v>
      </c>
      <c r="G109" s="15">
        <f>LN(Closes[[#This Row],[SP500]]/C110)</f>
        <v>5.9812342739064092E-2</v>
      </c>
      <c r="I109" s="1">
        <v>45506</v>
      </c>
      <c r="J109" s="15">
        <f>ABS(Percentages[[#This Row],[BTC %]])</f>
        <v>0.16076520970185926</v>
      </c>
      <c r="K109" s="15">
        <f>ABS(Percentages[[#This Row],[SP500 %]])</f>
        <v>5.9812342739064092E-2</v>
      </c>
    </row>
    <row r="110" spans="1:11" x14ac:dyDescent="0.2">
      <c r="A110" s="1">
        <v>45440</v>
      </c>
      <c r="B110">
        <v>68366</v>
      </c>
      <c r="C110">
        <v>5306.04</v>
      </c>
      <c r="E110" s="1">
        <v>45505</v>
      </c>
      <c r="F110" s="15">
        <f>LN(Closes[[#This Row],[BTC]]/B111)</f>
        <v>1.0738196355205704E-2</v>
      </c>
      <c r="G110" s="15">
        <f>LN(Closes[[#This Row],[SP500]]/C111)</f>
        <v>7.394346936505692E-3</v>
      </c>
      <c r="I110" s="1">
        <v>45505</v>
      </c>
      <c r="J110" s="15">
        <f>ABS(Percentages[[#This Row],[BTC %]])</f>
        <v>1.0738196355205704E-2</v>
      </c>
      <c r="K110" s="15">
        <f>ABS(Percentages[[#This Row],[SP500 %]])</f>
        <v>7.394346936505692E-3</v>
      </c>
    </row>
    <row r="111" spans="1:11" x14ac:dyDescent="0.2">
      <c r="A111" s="1">
        <v>45441</v>
      </c>
      <c r="B111">
        <v>67635.8</v>
      </c>
      <c r="C111">
        <v>5266.95</v>
      </c>
      <c r="E111" s="1">
        <v>45504</v>
      </c>
      <c r="F111" s="15">
        <f>LN(Closes[[#This Row],[BTC]]/B112)</f>
        <v>-1.0572895855343777E-2</v>
      </c>
      <c r="G111" s="15">
        <f>LN(Closes[[#This Row],[SP500]]/C112)</f>
        <v>5.9929167225421685E-3</v>
      </c>
      <c r="I111" s="1">
        <v>45504</v>
      </c>
      <c r="J111" s="15">
        <f>ABS(Percentages[[#This Row],[BTC %]])</f>
        <v>1.0572895855343777E-2</v>
      </c>
      <c r="K111" s="15">
        <f>ABS(Percentages[[#This Row],[SP500 %]])</f>
        <v>5.9929167225421685E-3</v>
      </c>
    </row>
    <row r="112" spans="1:11" x14ac:dyDescent="0.2">
      <c r="A112" s="1">
        <v>45442</v>
      </c>
      <c r="B112">
        <v>68354.7</v>
      </c>
      <c r="C112">
        <v>5235.4799999999996</v>
      </c>
      <c r="E112" s="1">
        <v>45503</v>
      </c>
      <c r="F112" s="15">
        <f>LN(Closes[[#This Row],[BTC]]/B113)</f>
        <v>0.12187524232693232</v>
      </c>
      <c r="G112" s="15">
        <f>LN(Closes[[#This Row],[SP500]]/C113)</f>
        <v>-7.1943734321323921E-2</v>
      </c>
      <c r="I112" s="1">
        <v>45503</v>
      </c>
      <c r="J112" s="15">
        <f>ABS(Percentages[[#This Row],[BTC %]])</f>
        <v>0.12187524232693232</v>
      </c>
      <c r="K112" s="15">
        <f>ABS(Percentages[[#This Row],[SP500 %]])</f>
        <v>7.1943734321323921E-2</v>
      </c>
    </row>
    <row r="113" spans="1:11" x14ac:dyDescent="0.2">
      <c r="A113" s="1">
        <v>45548</v>
      </c>
      <c r="B113">
        <v>60511.6</v>
      </c>
      <c r="C113">
        <v>5626.02</v>
      </c>
      <c r="E113" s="1">
        <v>45502</v>
      </c>
      <c r="F113" s="15">
        <f>LN(Closes[[#This Row],[BTC]]/B114)</f>
        <v>-0.10973834221391504</v>
      </c>
      <c r="G113" s="15">
        <f>LN(Closes[[#This Row],[SP500]]/C114)</f>
        <v>6.3947869409801725E-2</v>
      </c>
      <c r="I113" s="1">
        <v>45502</v>
      </c>
      <c r="J113" s="15">
        <f>ABS(Percentages[[#This Row],[BTC %]])</f>
        <v>0.10973834221391504</v>
      </c>
      <c r="K113" s="15">
        <f>ABS(Percentages[[#This Row],[SP500 %]])</f>
        <v>6.3947869409801725E-2</v>
      </c>
    </row>
    <row r="114" spans="1:11" x14ac:dyDescent="0.2">
      <c r="A114" s="1">
        <v>45443</v>
      </c>
      <c r="B114">
        <v>67530.100000000006</v>
      </c>
      <c r="C114">
        <v>5277.51</v>
      </c>
      <c r="E114" s="1">
        <v>45499</v>
      </c>
      <c r="F114" s="15">
        <f>LN(Closes[[#This Row],[BTC]]/B115)</f>
        <v>0.14981413299625884</v>
      </c>
      <c r="G114" s="15">
        <f>LN(Closes[[#This Row],[SP500]]/C115)</f>
        <v>-5.8554772531430439E-2</v>
      </c>
      <c r="I114" s="1">
        <v>45499</v>
      </c>
      <c r="J114" s="15">
        <f>ABS(Percentages[[#This Row],[BTC %]])</f>
        <v>0.14981413299625884</v>
      </c>
      <c r="K114" s="15">
        <f>ABS(Percentages[[#This Row],[SP500 %]])</f>
        <v>5.8554772531430439E-2</v>
      </c>
    </row>
    <row r="115" spans="1:11" x14ac:dyDescent="0.2">
      <c r="A115" s="1">
        <v>45547</v>
      </c>
      <c r="B115">
        <v>58134.5</v>
      </c>
      <c r="C115">
        <v>5595.76</v>
      </c>
      <c r="E115" s="1">
        <v>45498</v>
      </c>
      <c r="F115" s="15">
        <f>LN(Closes[[#This Row],[BTC]]/B116)</f>
        <v>-0.16855781919345797</v>
      </c>
      <c r="G115" s="15">
        <f>LN(Closes[[#This Row],[SP500]]/C116)</f>
        <v>5.7439338234444359E-2</v>
      </c>
      <c r="I115" s="1">
        <v>45498</v>
      </c>
      <c r="J115" s="15">
        <f>ABS(Percentages[[#This Row],[BTC %]])</f>
        <v>0.16855781919345797</v>
      </c>
      <c r="K115" s="15">
        <f>ABS(Percentages[[#This Row],[SP500 %]])</f>
        <v>5.7439338234444359E-2</v>
      </c>
    </row>
    <row r="116" spans="1:11" x14ac:dyDescent="0.2">
      <c r="A116" s="1">
        <v>45446</v>
      </c>
      <c r="B116">
        <v>68807.8</v>
      </c>
      <c r="C116">
        <v>5283.4</v>
      </c>
      <c r="E116" s="1">
        <v>45497</v>
      </c>
      <c r="F116" s="15">
        <f>LN(Closes[[#This Row],[BTC]]/B117)</f>
        <v>0.18234132219032714</v>
      </c>
      <c r="G116" s="15">
        <f>LN(Closes[[#This Row],[SP500]]/C117)</f>
        <v>-4.997196529241394E-2</v>
      </c>
      <c r="I116" s="1">
        <v>45497</v>
      </c>
      <c r="J116" s="15">
        <f>ABS(Percentages[[#This Row],[BTC %]])</f>
        <v>0.18234132219032714</v>
      </c>
      <c r="K116" s="15">
        <f>ABS(Percentages[[#This Row],[SP500 %]])</f>
        <v>4.997196529241394E-2</v>
      </c>
    </row>
    <row r="117" spans="1:11" x14ac:dyDescent="0.2">
      <c r="A117" s="1">
        <v>45546</v>
      </c>
      <c r="B117">
        <v>57338.7</v>
      </c>
      <c r="C117">
        <v>5554.13</v>
      </c>
      <c r="E117" s="1">
        <v>45496</v>
      </c>
      <c r="F117" s="15">
        <f>LN(Closes[[#This Row],[BTC]]/B118)</f>
        <v>-0.20733455034311726</v>
      </c>
      <c r="G117" s="15">
        <f>LN(Closes[[#This Row],[SP500]]/C118)</f>
        <v>4.8470273242848437E-2</v>
      </c>
      <c r="I117" s="1">
        <v>45496</v>
      </c>
      <c r="J117" s="15">
        <f>ABS(Percentages[[#This Row],[BTC %]])</f>
        <v>0.20733455034311726</v>
      </c>
      <c r="K117" s="15">
        <f>ABS(Percentages[[#This Row],[SP500 %]])</f>
        <v>4.8470273242848437E-2</v>
      </c>
    </row>
    <row r="118" spans="1:11" x14ac:dyDescent="0.2">
      <c r="A118" s="1">
        <v>45447</v>
      </c>
      <c r="B118">
        <v>70549.2</v>
      </c>
      <c r="C118">
        <v>5291.34</v>
      </c>
      <c r="E118" s="1">
        <v>45495</v>
      </c>
      <c r="F118" s="15">
        <f>LN(Closes[[#This Row],[BTC]]/B119)</f>
        <v>0.20218031670600545</v>
      </c>
      <c r="G118" s="15">
        <f>LN(Closes[[#This Row],[SP500]]/C119)</f>
        <v>-3.7861692939809684E-2</v>
      </c>
      <c r="I118" s="1">
        <v>45495</v>
      </c>
      <c r="J118" s="15">
        <f>ABS(Percentages[[#This Row],[BTC %]])</f>
        <v>0.20218031670600545</v>
      </c>
      <c r="K118" s="15">
        <f>ABS(Percentages[[#This Row],[SP500 %]])</f>
        <v>3.7861692939809684E-2</v>
      </c>
    </row>
    <row r="119" spans="1:11" x14ac:dyDescent="0.2">
      <c r="A119" s="1">
        <v>45545</v>
      </c>
      <c r="B119">
        <v>57635</v>
      </c>
      <c r="C119">
        <v>5495.52</v>
      </c>
      <c r="E119" s="1">
        <v>45492</v>
      </c>
      <c r="F119" s="15">
        <f>LN(Closes[[#This Row],[BTC]]/B120)</f>
        <v>-0.20972803390234626</v>
      </c>
      <c r="G119" s="15">
        <f>LN(Closes[[#This Row],[SP500]]/C120)</f>
        <v>2.6083666491750784E-2</v>
      </c>
      <c r="I119" s="1">
        <v>45492</v>
      </c>
      <c r="J119" s="15">
        <f>ABS(Percentages[[#This Row],[BTC %]])</f>
        <v>0.20972803390234626</v>
      </c>
      <c r="K119" s="15">
        <f>ABS(Percentages[[#This Row],[SP500 %]])</f>
        <v>2.6083666491750784E-2</v>
      </c>
    </row>
    <row r="120" spans="1:11" x14ac:dyDescent="0.2">
      <c r="A120" s="1">
        <v>45448</v>
      </c>
      <c r="B120">
        <v>71083.7</v>
      </c>
      <c r="C120">
        <v>5354.03</v>
      </c>
      <c r="E120" s="1">
        <v>45491</v>
      </c>
      <c r="F120" s="15">
        <f>LN(Closes[[#This Row],[BTC]]/B121)</f>
        <v>0.2199369910653319</v>
      </c>
      <c r="G120" s="15">
        <f>LN(Closes[[#This Row],[SP500]]/C121)</f>
        <v>-2.1621005767260604E-2</v>
      </c>
      <c r="I120" s="1">
        <v>45491</v>
      </c>
      <c r="J120" s="15">
        <f>ABS(Percentages[[#This Row],[BTC %]])</f>
        <v>0.2199369910653319</v>
      </c>
      <c r="K120" s="15">
        <f>ABS(Percentages[[#This Row],[SP500 %]])</f>
        <v>2.1621005767260604E-2</v>
      </c>
    </row>
    <row r="121" spans="1:11" x14ac:dyDescent="0.2">
      <c r="A121" s="1">
        <v>45544</v>
      </c>
      <c r="B121">
        <v>57049.599999999999</v>
      </c>
      <c r="C121">
        <v>5471.05</v>
      </c>
      <c r="E121" s="1">
        <v>45490</v>
      </c>
      <c r="F121" s="15">
        <f>LN(Closes[[#This Row],[BTC]]/B122)</f>
        <v>-0.21581787210515063</v>
      </c>
      <c r="G121" s="15">
        <f>LN(Closes[[#This Row],[SP500]]/C122)</f>
        <v>2.1820875199017081E-2</v>
      </c>
      <c r="I121" s="1">
        <v>45490</v>
      </c>
      <c r="J121" s="15">
        <f>ABS(Percentages[[#This Row],[BTC %]])</f>
        <v>0.21581787210515063</v>
      </c>
      <c r="K121" s="15">
        <f>ABS(Percentages[[#This Row],[SP500 %]])</f>
        <v>2.1820875199017081E-2</v>
      </c>
    </row>
    <row r="122" spans="1:11" x14ac:dyDescent="0.2">
      <c r="A122" s="1">
        <v>45449</v>
      </c>
      <c r="B122">
        <v>70791.5</v>
      </c>
      <c r="C122">
        <v>5352.96</v>
      </c>
      <c r="E122" s="1">
        <v>45489</v>
      </c>
      <c r="F122" s="15">
        <f>LN(Closes[[#This Row],[BTC]]/B123)</f>
        <v>2.0603071875192672E-2</v>
      </c>
      <c r="G122" s="15">
        <f>LN(Closes[[#This Row],[SP500]]/C123)</f>
        <v>1.1158931807149423E-3</v>
      </c>
      <c r="I122" s="1">
        <v>45489</v>
      </c>
      <c r="J122" s="15">
        <f>ABS(Percentages[[#This Row],[BTC %]])</f>
        <v>2.0603071875192672E-2</v>
      </c>
      <c r="K122" s="15">
        <f>ABS(Percentages[[#This Row],[SP500 %]])</f>
        <v>1.1158931807149423E-3</v>
      </c>
    </row>
    <row r="123" spans="1:11" x14ac:dyDescent="0.2">
      <c r="A123" s="1">
        <v>45450</v>
      </c>
      <c r="B123">
        <v>69347.899999999994</v>
      </c>
      <c r="C123">
        <v>5346.99</v>
      </c>
      <c r="E123" s="1">
        <v>45488</v>
      </c>
      <c r="F123" s="15">
        <f>LN(Closes[[#This Row],[BTC]]/B124)</f>
        <v>-2.7403767416718313E-3</v>
      </c>
      <c r="G123" s="15">
        <f>LN(Closes[[#This Row],[SP500]]/C124)</f>
        <v>-2.577566524606569E-3</v>
      </c>
      <c r="I123" s="1">
        <v>45488</v>
      </c>
      <c r="J123" s="15">
        <f>ABS(Percentages[[#This Row],[BTC %]])</f>
        <v>2.7403767416718313E-3</v>
      </c>
      <c r="K123" s="15">
        <f>ABS(Percentages[[#This Row],[SP500 %]])</f>
        <v>2.577566524606569E-3</v>
      </c>
    </row>
    <row r="124" spans="1:11" x14ac:dyDescent="0.2">
      <c r="A124" s="1">
        <v>45453</v>
      </c>
      <c r="B124">
        <v>69538.2</v>
      </c>
      <c r="C124">
        <v>5360.79</v>
      </c>
      <c r="E124" s="1">
        <v>45485</v>
      </c>
      <c r="F124" s="15">
        <f>LN(Closes[[#This Row],[BTC]]/B125)</f>
        <v>0.25350719918829057</v>
      </c>
      <c r="G124" s="15">
        <f>LN(Closes[[#This Row],[SP500]]/C125)</f>
        <v>-8.8456461651042952E-3</v>
      </c>
      <c r="I124" s="1">
        <v>45485</v>
      </c>
      <c r="J124" s="15">
        <f>ABS(Percentages[[#This Row],[BTC %]])</f>
        <v>0.25350719918829057</v>
      </c>
      <c r="K124" s="15">
        <f>ABS(Percentages[[#This Row],[SP500 %]])</f>
        <v>8.8456461651042952E-3</v>
      </c>
    </row>
    <row r="125" spans="1:11" x14ac:dyDescent="0.2">
      <c r="A125" s="1">
        <v>45541</v>
      </c>
      <c r="B125">
        <v>53966.8</v>
      </c>
      <c r="C125">
        <v>5408.42</v>
      </c>
      <c r="E125" s="1">
        <v>45484</v>
      </c>
      <c r="F125" s="15">
        <f>LN(Closes[[#This Row],[BTC]]/B126)</f>
        <v>-0.22108535575953892</v>
      </c>
      <c r="G125" s="15">
        <f>LN(Closes[[#This Row],[SP500]]/C126)</f>
        <v>6.1388913216469786E-3</v>
      </c>
      <c r="I125" s="1">
        <v>45484</v>
      </c>
      <c r="J125" s="15">
        <f>ABS(Percentages[[#This Row],[BTC %]])</f>
        <v>0.22108535575953892</v>
      </c>
      <c r="K125" s="15">
        <f>ABS(Percentages[[#This Row],[SP500 %]])</f>
        <v>6.1388913216469786E-3</v>
      </c>
    </row>
    <row r="126" spans="1:11" x14ac:dyDescent="0.2">
      <c r="A126" s="1">
        <v>45454</v>
      </c>
      <c r="B126">
        <v>67319.8</v>
      </c>
      <c r="C126">
        <v>5375.32</v>
      </c>
      <c r="E126" s="1">
        <v>45483</v>
      </c>
      <c r="F126" s="15">
        <f>LN(Closes[[#This Row],[BTC]]/B127)</f>
        <v>0.18083661860675618</v>
      </c>
      <c r="G126" s="15">
        <f>LN(Closes[[#This Row],[SP500]]/C127)</f>
        <v>-2.3549792992514487E-2</v>
      </c>
      <c r="I126" s="1">
        <v>45483</v>
      </c>
      <c r="J126" s="15">
        <f>ABS(Percentages[[#This Row],[BTC %]])</f>
        <v>0.18083661860675618</v>
      </c>
      <c r="K126" s="15">
        <f>ABS(Percentages[[#This Row],[SP500 %]])</f>
        <v>2.3549792992514487E-2</v>
      </c>
    </row>
    <row r="127" spans="1:11" x14ac:dyDescent="0.2">
      <c r="A127" s="1">
        <v>45540</v>
      </c>
      <c r="B127">
        <v>56183.199999999997</v>
      </c>
      <c r="C127">
        <v>5503.41</v>
      </c>
      <c r="E127" s="1">
        <v>45482</v>
      </c>
      <c r="F127" s="15">
        <f>LN(Closes[[#This Row],[BTC]]/B128)</f>
        <v>-0.19470762863819088</v>
      </c>
      <c r="G127" s="15">
        <f>LN(Closes[[#This Row],[SP500]]/C128)</f>
        <v>1.5082065820631606E-2</v>
      </c>
      <c r="I127" s="1">
        <v>45482</v>
      </c>
      <c r="J127" s="15">
        <f>ABS(Percentages[[#This Row],[BTC %]])</f>
        <v>0.19470762863819088</v>
      </c>
      <c r="K127" s="15">
        <f>ABS(Percentages[[#This Row],[SP500 %]])</f>
        <v>1.5082065820631606E-2</v>
      </c>
    </row>
    <row r="128" spans="1:11" x14ac:dyDescent="0.2">
      <c r="A128" s="1">
        <v>45455</v>
      </c>
      <c r="B128">
        <v>68260.100000000006</v>
      </c>
      <c r="C128">
        <v>5421.03</v>
      </c>
      <c r="E128" s="1">
        <v>45481</v>
      </c>
      <c r="F128" s="15">
        <f>LN(Closes[[#This Row],[BTC]]/B129)</f>
        <v>0.1633411238061728</v>
      </c>
      <c r="G128" s="15">
        <f>LN(Closes[[#This Row],[SP500]]/C129)</f>
        <v>-1.8104707070819518E-2</v>
      </c>
      <c r="I128" s="1">
        <v>45481</v>
      </c>
      <c r="J128" s="15">
        <f>ABS(Percentages[[#This Row],[BTC %]])</f>
        <v>0.1633411238061728</v>
      </c>
      <c r="K128" s="15">
        <f>ABS(Percentages[[#This Row],[SP500 %]])</f>
        <v>1.8104707070819518E-2</v>
      </c>
    </row>
    <row r="129" spans="1:11" x14ac:dyDescent="0.2">
      <c r="A129" s="1">
        <v>45539</v>
      </c>
      <c r="B129">
        <v>57973.4</v>
      </c>
      <c r="C129">
        <v>5520.07</v>
      </c>
      <c r="E129" s="1">
        <v>45478</v>
      </c>
      <c r="F129" s="15">
        <f>LN(Closes[[#This Row],[BTC]]/B130)</f>
        <v>-0.1413160201704427</v>
      </c>
      <c r="G129" s="15">
        <f>LN(Closes[[#This Row],[SP500]]/C130)</f>
        <v>1.5762878398514212E-2</v>
      </c>
      <c r="I129" s="1">
        <v>45478</v>
      </c>
      <c r="J129" s="15">
        <f>ABS(Percentages[[#This Row],[BTC %]])</f>
        <v>0.1413160201704427</v>
      </c>
      <c r="K129" s="15">
        <f>ABS(Percentages[[#This Row],[SP500 %]])</f>
        <v>1.5762878398514212E-2</v>
      </c>
    </row>
    <row r="130" spans="1:11" x14ac:dyDescent="0.2">
      <c r="A130" s="1">
        <v>45456</v>
      </c>
      <c r="B130">
        <v>66773.100000000006</v>
      </c>
      <c r="C130">
        <v>5433.74</v>
      </c>
      <c r="E130" s="1">
        <v>45477</v>
      </c>
      <c r="F130" s="15">
        <f>LN(Closes[[#This Row],[BTC]]/B131)</f>
        <v>0.14986672309492247</v>
      </c>
      <c r="G130" s="15">
        <f>LN(Closes[[#This Row],[SP500]]/C131)</f>
        <v>-1.7366643788873589E-2</v>
      </c>
      <c r="I130" s="1">
        <v>45477</v>
      </c>
      <c r="J130" s="15">
        <f>ABS(Percentages[[#This Row],[BTC %]])</f>
        <v>0.14986672309492247</v>
      </c>
      <c r="K130" s="15">
        <f>ABS(Percentages[[#This Row],[SP500 %]])</f>
        <v>1.7366643788873589E-2</v>
      </c>
    </row>
    <row r="131" spans="1:11" x14ac:dyDescent="0.2">
      <c r="A131" s="1">
        <v>45538</v>
      </c>
      <c r="B131">
        <v>57479.8</v>
      </c>
      <c r="C131">
        <v>5528.93</v>
      </c>
      <c r="E131" s="1">
        <v>45476</v>
      </c>
      <c r="F131" s="15">
        <f>LN(Closes[[#This Row],[BTC]]/B132)</f>
        <v>-0.13874829406062761</v>
      </c>
      <c r="G131" s="15">
        <f>LN(Closes[[#This Row],[SP500]]/C132)</f>
        <v>1.7760556915875719E-2</v>
      </c>
      <c r="I131" s="1">
        <v>45476</v>
      </c>
      <c r="J131" s="15">
        <f>ABS(Percentages[[#This Row],[BTC %]])</f>
        <v>0.13874829406062761</v>
      </c>
      <c r="K131" s="15">
        <f>ABS(Percentages[[#This Row],[SP500 %]])</f>
        <v>1.7760556915875719E-2</v>
      </c>
    </row>
    <row r="132" spans="1:11" x14ac:dyDescent="0.2">
      <c r="A132" s="1">
        <v>45457</v>
      </c>
      <c r="B132">
        <v>66034.8</v>
      </c>
      <c r="C132">
        <v>5431.6</v>
      </c>
      <c r="E132" s="1">
        <v>45475</v>
      </c>
      <c r="F132" s="15">
        <f>LN(Closes[[#This Row],[BTC]]/B133)</f>
        <v>0.11037582069330018</v>
      </c>
      <c r="G132" s="15">
        <f>LN(Closes[[#This Row],[SP500]]/C133)</f>
        <v>-7.6351859201041362E-3</v>
      </c>
      <c r="I132" s="1">
        <v>45475</v>
      </c>
      <c r="J132" s="15">
        <f>ABS(Percentages[[#This Row],[BTC %]])</f>
        <v>0.11037582069330018</v>
      </c>
      <c r="K132" s="15">
        <f>ABS(Percentages[[#This Row],[SP500 %]])</f>
        <v>7.6351859201041362E-3</v>
      </c>
    </row>
    <row r="133" spans="1:11" x14ac:dyDescent="0.2">
      <c r="A133" s="1">
        <v>45537</v>
      </c>
      <c r="B133">
        <v>59134</v>
      </c>
      <c r="C133">
        <v>5473.23</v>
      </c>
      <c r="E133" s="1">
        <v>45474</v>
      </c>
      <c r="F133" s="15">
        <f>LN(Closes[[#This Row],[BTC]]/B134)</f>
        <v>-0.11737784728523375</v>
      </c>
      <c r="G133" s="15">
        <f>LN(Closes[[#This Row],[SP500]]/C134)</f>
        <v>0</v>
      </c>
      <c r="I133" s="1">
        <v>45474</v>
      </c>
      <c r="J133" s="15">
        <f>ABS(Percentages[[#This Row],[BTC %]])</f>
        <v>0.11737784728523375</v>
      </c>
      <c r="K133" s="15">
        <f>ABS(Percentages[[#This Row],[SP500 %]])</f>
        <v>0</v>
      </c>
    </row>
    <row r="134" spans="1:11" x14ac:dyDescent="0.2">
      <c r="A134" s="1">
        <v>45460</v>
      </c>
      <c r="B134">
        <v>66498.8</v>
      </c>
      <c r="C134">
        <v>5473.23</v>
      </c>
      <c r="E134" s="1">
        <v>45471</v>
      </c>
      <c r="F134" s="15">
        <f>LN(Closes[[#This Row],[BTC]]/B135)</f>
        <v>2.0339653337399882E-2</v>
      </c>
      <c r="G134" s="15">
        <f>LN(Closes[[#This Row],[SP500]]/C135)</f>
        <v>-2.5181897678469142E-3</v>
      </c>
      <c r="I134" s="1">
        <v>45471</v>
      </c>
      <c r="J134" s="15">
        <f>ABS(Percentages[[#This Row],[BTC %]])</f>
        <v>2.0339653337399882E-2</v>
      </c>
      <c r="K134" s="15">
        <f>ABS(Percentages[[#This Row],[SP500 %]])</f>
        <v>2.5181897678469142E-3</v>
      </c>
    </row>
    <row r="135" spans="1:11" x14ac:dyDescent="0.2">
      <c r="A135" s="1">
        <v>45461</v>
      </c>
      <c r="B135">
        <v>65159.9</v>
      </c>
      <c r="C135">
        <v>5487.03</v>
      </c>
      <c r="E135" s="1">
        <v>45470</v>
      </c>
      <c r="F135" s="15">
        <f>LN(Closes[[#This Row],[BTC]]/B136)</f>
        <v>2.7508684882609539E-3</v>
      </c>
      <c r="G135" s="15">
        <f>LN(Closes[[#This Row],[SP500]]/C136)</f>
        <v>-2.898519368250603E-2</v>
      </c>
      <c r="I135" s="1">
        <v>45470</v>
      </c>
      <c r="J135" s="15">
        <f>ABS(Percentages[[#This Row],[BTC %]])</f>
        <v>2.7508684882609539E-3</v>
      </c>
      <c r="K135" s="15">
        <f>ABS(Percentages[[#This Row],[SP500 %]])</f>
        <v>2.898519368250603E-2</v>
      </c>
    </row>
    <row r="136" spans="1:11" x14ac:dyDescent="0.2">
      <c r="A136" s="1">
        <v>45462</v>
      </c>
      <c r="B136">
        <v>64980.9</v>
      </c>
      <c r="C136">
        <v>5648.4</v>
      </c>
      <c r="E136" s="1">
        <v>45469</v>
      </c>
      <c r="F136" s="15">
        <f>LN(Closes[[#This Row],[BTC]]/B137)</f>
        <v>9.452917835837768E-2</v>
      </c>
      <c r="G136" s="15">
        <f>LN(Closes[[#This Row],[SP500]]/C137)</f>
        <v>0</v>
      </c>
      <c r="I136" s="1">
        <v>45469</v>
      </c>
      <c r="J136" s="15">
        <f>ABS(Percentages[[#This Row],[BTC %]])</f>
        <v>9.452917835837768E-2</v>
      </c>
      <c r="K136" s="15">
        <f>ABS(Percentages[[#This Row],[SP500 %]])</f>
        <v>0</v>
      </c>
    </row>
    <row r="137" spans="1:11" x14ac:dyDescent="0.2">
      <c r="A137" s="1">
        <v>45534</v>
      </c>
      <c r="B137">
        <v>59119.7</v>
      </c>
      <c r="C137">
        <v>5648.4</v>
      </c>
      <c r="E137" s="1">
        <v>45468</v>
      </c>
      <c r="F137" s="15">
        <f>LN(Closes[[#This Row],[BTC]]/B138)</f>
        <v>-9.2579013224066448E-2</v>
      </c>
      <c r="G137" s="15">
        <f>LN(Closes[[#This Row],[SP500]]/C138)</f>
        <v>3.1514345958574753E-2</v>
      </c>
      <c r="I137" s="1">
        <v>45468</v>
      </c>
      <c r="J137" s="15">
        <f>ABS(Percentages[[#This Row],[BTC %]])</f>
        <v>9.2579013224066448E-2</v>
      </c>
      <c r="K137" s="15">
        <f>ABS(Percentages[[#This Row],[SP500 %]])</f>
        <v>3.1514345958574753E-2</v>
      </c>
    </row>
    <row r="138" spans="1:11" x14ac:dyDescent="0.2">
      <c r="A138" s="1">
        <v>45463</v>
      </c>
      <c r="B138">
        <v>64854.3</v>
      </c>
      <c r="C138">
        <v>5473.17</v>
      </c>
      <c r="E138" s="1">
        <v>45467</v>
      </c>
      <c r="F138" s="15">
        <f>LN(Closes[[#This Row],[BTC]]/B139)</f>
        <v>8.8295216548447755E-2</v>
      </c>
      <c r="G138" s="15">
        <f>LN(Closes[[#This Row],[SP500]]/C139)</f>
        <v>-2.1471878575718178E-2</v>
      </c>
      <c r="I138" s="1">
        <v>45467</v>
      </c>
      <c r="J138" s="15">
        <f>ABS(Percentages[[#This Row],[BTC %]])</f>
        <v>8.8295216548447755E-2</v>
      </c>
      <c r="K138" s="15">
        <f>ABS(Percentages[[#This Row],[SP500 %]])</f>
        <v>2.1471878575718178E-2</v>
      </c>
    </row>
    <row r="139" spans="1:11" x14ac:dyDescent="0.2">
      <c r="A139" s="1">
        <v>45533</v>
      </c>
      <c r="B139">
        <v>59373.5</v>
      </c>
      <c r="C139">
        <v>5591.96</v>
      </c>
      <c r="E139" s="1">
        <v>45464</v>
      </c>
      <c r="F139" s="15">
        <f>LN(Closes[[#This Row],[BTC]]/B140)</f>
        <v>-7.7040884020345174E-2</v>
      </c>
      <c r="G139" s="15">
        <f>LN(Closes[[#This Row],[SP500]]/C140)</f>
        <v>2.3035266013487463E-2</v>
      </c>
      <c r="I139" s="1">
        <v>45464</v>
      </c>
      <c r="J139" s="15">
        <f>ABS(Percentages[[#This Row],[BTC %]])</f>
        <v>7.7040884020345174E-2</v>
      </c>
      <c r="K139" s="15">
        <f>ABS(Percentages[[#This Row],[SP500 %]])</f>
        <v>2.3035266013487463E-2</v>
      </c>
    </row>
    <row r="140" spans="1:11" x14ac:dyDescent="0.2">
      <c r="A140" s="1">
        <v>45464</v>
      </c>
      <c r="B140">
        <v>64128.5</v>
      </c>
      <c r="C140">
        <v>5464.62</v>
      </c>
      <c r="E140" s="1">
        <v>45463</v>
      </c>
      <c r="F140" s="15">
        <f>LN(Closes[[#This Row],[BTC]]/B141)</f>
        <v>8.308028931613573E-2</v>
      </c>
      <c r="G140" s="15">
        <f>LN(Closes[[#This Row],[SP500]]/C141)</f>
        <v>-2.3074607438045503E-2</v>
      </c>
      <c r="I140" s="1">
        <v>45463</v>
      </c>
      <c r="J140" s="15">
        <f>ABS(Percentages[[#This Row],[BTC %]])</f>
        <v>8.308028931613573E-2</v>
      </c>
      <c r="K140" s="15">
        <f>ABS(Percentages[[#This Row],[SP500 %]])</f>
        <v>2.3074607438045503E-2</v>
      </c>
    </row>
    <row r="141" spans="1:11" x14ac:dyDescent="0.2">
      <c r="A141" s="1">
        <v>45532</v>
      </c>
      <c r="B141">
        <v>59016</v>
      </c>
      <c r="C141">
        <v>5592.18</v>
      </c>
      <c r="E141" s="1">
        <v>45462</v>
      </c>
      <c r="F141" s="15">
        <f>LN(Closes[[#This Row],[BTC]]/B142)</f>
        <v>-2.1402441462753392E-2</v>
      </c>
      <c r="G141" s="15">
        <f>LN(Closes[[#This Row],[SP500]]/C142)</f>
        <v>2.6144486659845968E-2</v>
      </c>
      <c r="I141" s="1">
        <v>45462</v>
      </c>
      <c r="J141" s="15">
        <f>ABS(Percentages[[#This Row],[BTC %]])</f>
        <v>2.1402441462753392E-2</v>
      </c>
      <c r="K141" s="15">
        <f>ABS(Percentages[[#This Row],[SP500 %]])</f>
        <v>2.6144486659845968E-2</v>
      </c>
    </row>
    <row r="142" spans="1:11" x14ac:dyDescent="0.2">
      <c r="A142" s="1">
        <v>45467</v>
      </c>
      <c r="B142">
        <v>60292.7</v>
      </c>
      <c r="C142">
        <v>5447.87</v>
      </c>
      <c r="E142" s="1">
        <v>45461</v>
      </c>
      <c r="F142" s="15">
        <f>LN(Closes[[#This Row],[BTC]]/B143)</f>
        <v>1.4060273250476259E-2</v>
      </c>
      <c r="G142" s="15">
        <f>LN(Closes[[#This Row],[SP500]]/C143)</f>
        <v>-3.213845360526929E-2</v>
      </c>
      <c r="I142" s="1">
        <v>45461</v>
      </c>
      <c r="J142" s="15">
        <f>ABS(Percentages[[#This Row],[BTC %]])</f>
        <v>1.4060273250476259E-2</v>
      </c>
      <c r="K142" s="15">
        <f>ABS(Percentages[[#This Row],[SP500 %]])</f>
        <v>3.213845360526929E-2</v>
      </c>
    </row>
    <row r="143" spans="1:11" x14ac:dyDescent="0.2">
      <c r="A143" s="1">
        <v>45531</v>
      </c>
      <c r="B143">
        <v>59450.9</v>
      </c>
      <c r="C143">
        <v>5625.8</v>
      </c>
      <c r="E143" s="1">
        <v>45460</v>
      </c>
      <c r="F143" s="15">
        <f>LN(Closes[[#This Row],[BTC]]/B144)</f>
        <v>-3.8904694662663906E-2</v>
      </c>
      <c r="G143" s="15">
        <f>LN(Closes[[#This Row],[SP500]]/C144)</f>
        <v>2.8212522704692645E-2</v>
      </c>
      <c r="I143" s="1">
        <v>45460</v>
      </c>
      <c r="J143" s="15">
        <f>ABS(Percentages[[#This Row],[BTC %]])</f>
        <v>3.8904694662663906E-2</v>
      </c>
      <c r="K143" s="15">
        <f>ABS(Percentages[[#This Row],[SP500 %]])</f>
        <v>2.8212522704692645E-2</v>
      </c>
    </row>
    <row r="144" spans="1:11" x14ac:dyDescent="0.2">
      <c r="A144" s="1">
        <v>45468</v>
      </c>
      <c r="B144">
        <v>61809.4</v>
      </c>
      <c r="C144">
        <v>5469.3</v>
      </c>
      <c r="E144" s="1">
        <v>45457</v>
      </c>
      <c r="F144" s="15">
        <f>LN(Closes[[#This Row],[BTC]]/B145)</f>
        <v>-1.6635015335379224E-2</v>
      </c>
      <c r="G144" s="15">
        <f>LN(Closes[[#This Row],[SP500]]/C145)</f>
        <v>-2.6618590692817343E-2</v>
      </c>
      <c r="I144" s="1">
        <v>45457</v>
      </c>
      <c r="J144" s="15">
        <f>ABS(Percentages[[#This Row],[BTC %]])</f>
        <v>1.6635015335379224E-2</v>
      </c>
      <c r="K144" s="15">
        <f>ABS(Percentages[[#This Row],[SP500 %]])</f>
        <v>2.6618590692817343E-2</v>
      </c>
    </row>
    <row r="145" spans="1:11" x14ac:dyDescent="0.2">
      <c r="A145" s="1">
        <v>45530</v>
      </c>
      <c r="B145">
        <v>62846.2</v>
      </c>
      <c r="C145">
        <v>5616.84</v>
      </c>
      <c r="E145" s="1">
        <v>45456</v>
      </c>
      <c r="F145" s="15">
        <f>LN(Closes[[#This Row],[BTC]]/B146)</f>
        <v>3.2288512719641435E-2</v>
      </c>
      <c r="G145" s="15">
        <f>LN(Closes[[#This Row],[SP500]]/C146)</f>
        <v>2.5047412351476311E-2</v>
      </c>
      <c r="I145" s="1">
        <v>45456</v>
      </c>
      <c r="J145" s="15">
        <f>ABS(Percentages[[#This Row],[BTC %]])</f>
        <v>3.2288512719641435E-2</v>
      </c>
      <c r="K145" s="15">
        <f>ABS(Percentages[[#This Row],[SP500 %]])</f>
        <v>2.5047412351476311E-2</v>
      </c>
    </row>
    <row r="146" spans="1:11" x14ac:dyDescent="0.2">
      <c r="A146" s="1">
        <v>45469</v>
      </c>
      <c r="B146">
        <v>60849.4</v>
      </c>
      <c r="C146">
        <v>5477.9</v>
      </c>
      <c r="E146" s="1">
        <v>45455</v>
      </c>
      <c r="F146" s="15">
        <f>LN(Closes[[#This Row],[BTC]]/B147)</f>
        <v>-1.3643693857905332E-2</v>
      </c>
      <c r="G146" s="15">
        <f>LN(Closes[[#This Row],[SP500]]/C147)</f>
        <v>-9.0687065609751719E-4</v>
      </c>
      <c r="I146" s="1">
        <v>45455</v>
      </c>
      <c r="J146" s="15">
        <f>ABS(Percentages[[#This Row],[BTC %]])</f>
        <v>1.3643693857905332E-2</v>
      </c>
      <c r="K146" s="15">
        <f>ABS(Percentages[[#This Row],[SP500 %]])</f>
        <v>9.0687065609751719E-4</v>
      </c>
    </row>
    <row r="147" spans="1:11" x14ac:dyDescent="0.2">
      <c r="A147" s="1">
        <v>45470</v>
      </c>
      <c r="B147">
        <v>61685.3</v>
      </c>
      <c r="C147">
        <v>5482.87</v>
      </c>
      <c r="E147" s="1">
        <v>45454</v>
      </c>
      <c r="F147" s="15">
        <f>LN(Closes[[#This Row],[BTC]]/B148)</f>
        <v>2.1001913720705329E-2</v>
      </c>
      <c r="G147" s="15">
        <f>LN(Closes[[#This Row],[SP500]]/C148)</f>
        <v>4.0919885121457472E-3</v>
      </c>
      <c r="I147" s="1">
        <v>45454</v>
      </c>
      <c r="J147" s="15">
        <f>ABS(Percentages[[#This Row],[BTC %]])</f>
        <v>2.1001913720705329E-2</v>
      </c>
      <c r="K147" s="15">
        <f>ABS(Percentages[[#This Row],[SP500 %]])</f>
        <v>4.0919885121457472E-3</v>
      </c>
    </row>
    <row r="148" spans="1:11" x14ac:dyDescent="0.2">
      <c r="A148" s="1">
        <v>45471</v>
      </c>
      <c r="B148">
        <v>60403.3</v>
      </c>
      <c r="C148">
        <v>5460.48</v>
      </c>
      <c r="E148" s="1">
        <v>45453</v>
      </c>
      <c r="F148" s="15">
        <f>LN(Closes[[#This Row],[BTC]]/B149)</f>
        <v>-5.8668687649380227E-2</v>
      </c>
      <c r="G148" s="15">
        <f>LN(Closes[[#This Row],[SP500]]/C149)</f>
        <v>-3.1391236823099425E-2</v>
      </c>
      <c r="I148" s="1">
        <v>45453</v>
      </c>
      <c r="J148" s="15">
        <f>ABS(Percentages[[#This Row],[BTC %]])</f>
        <v>5.8668687649380227E-2</v>
      </c>
      <c r="K148" s="15">
        <f>ABS(Percentages[[#This Row],[SP500 %]])</f>
        <v>3.1391236823099425E-2</v>
      </c>
    </row>
    <row r="149" spans="1:11" x14ac:dyDescent="0.2">
      <c r="A149" s="1">
        <v>45527</v>
      </c>
      <c r="B149">
        <v>64053.1</v>
      </c>
      <c r="C149">
        <v>5634.61</v>
      </c>
      <c r="E149" s="1">
        <v>45450</v>
      </c>
      <c r="F149" s="15">
        <f>LN(Closes[[#This Row],[BTC]]/B150)</f>
        <v>1.8323668227198373E-2</v>
      </c>
      <c r="G149" s="15">
        <f>LN(Closes[[#This Row],[SP500]]/C150)</f>
        <v>2.8719220880163383E-2</v>
      </c>
      <c r="I149" s="1">
        <v>45450</v>
      </c>
      <c r="J149" s="15">
        <f>ABS(Percentages[[#This Row],[BTC %]])</f>
        <v>1.8323668227198373E-2</v>
      </c>
      <c r="K149" s="15">
        <f>ABS(Percentages[[#This Row],[SP500 %]])</f>
        <v>2.8719220880163383E-2</v>
      </c>
    </row>
    <row r="150" spans="1:11" x14ac:dyDescent="0.2">
      <c r="A150" s="1">
        <v>45474</v>
      </c>
      <c r="B150">
        <v>62890.1</v>
      </c>
      <c r="C150">
        <v>5475.09</v>
      </c>
      <c r="E150" s="1">
        <v>45449</v>
      </c>
      <c r="F150" s="15">
        <f>LN(Closes[[#This Row],[BTC]]/B151)</f>
        <v>4.0860024546356677E-2</v>
      </c>
      <c r="G150" s="15">
        <f>LN(Closes[[#This Row],[SP500]]/C151)</f>
        <v>-1.7301234671660785E-2</v>
      </c>
      <c r="I150" s="1">
        <v>45449</v>
      </c>
      <c r="J150" s="15">
        <f>ABS(Percentages[[#This Row],[BTC %]])</f>
        <v>4.0860024546356677E-2</v>
      </c>
      <c r="K150" s="15">
        <f>ABS(Percentages[[#This Row],[SP500 %]])</f>
        <v>1.7301234671660785E-2</v>
      </c>
    </row>
    <row r="151" spans="1:11" x14ac:dyDescent="0.2">
      <c r="A151" s="1">
        <v>45526</v>
      </c>
      <c r="B151">
        <v>60372.2</v>
      </c>
      <c r="C151">
        <v>5570.64</v>
      </c>
      <c r="E151" s="1">
        <v>45448</v>
      </c>
      <c r="F151" s="15">
        <f>LN(Closes[[#This Row],[BTC]]/B152)</f>
        <v>-2.8270393538461624E-2</v>
      </c>
      <c r="G151" s="15">
        <f>LN(Closes[[#This Row],[SP500]]/C152)</f>
        <v>1.1125014894877302E-2</v>
      </c>
      <c r="I151" s="1">
        <v>45448</v>
      </c>
      <c r="J151" s="15">
        <f>ABS(Percentages[[#This Row],[BTC %]])</f>
        <v>2.8270393538461624E-2</v>
      </c>
      <c r="K151" s="15">
        <f>ABS(Percentages[[#This Row],[SP500 %]])</f>
        <v>1.1125014894877302E-2</v>
      </c>
    </row>
    <row r="152" spans="1:11" x14ac:dyDescent="0.2">
      <c r="A152" s="1">
        <v>45475</v>
      </c>
      <c r="B152">
        <v>62103.3</v>
      </c>
      <c r="C152">
        <v>5509.01</v>
      </c>
      <c r="E152" s="1">
        <v>45447</v>
      </c>
      <c r="F152" s="15">
        <f>LN(Closes[[#This Row],[BTC]]/B153)</f>
        <v>1.5336813102110925E-2</v>
      </c>
      <c r="G152" s="15">
        <f>LN(Closes[[#This Row],[SP500]]/C153)</f>
        <v>-2.0097964320341718E-2</v>
      </c>
      <c r="I152" s="1">
        <v>45447</v>
      </c>
      <c r="J152" s="15">
        <f>ABS(Percentages[[#This Row],[BTC %]])</f>
        <v>1.5336813102110925E-2</v>
      </c>
      <c r="K152" s="15">
        <f>ABS(Percentages[[#This Row],[SP500 %]])</f>
        <v>2.0097964320341718E-2</v>
      </c>
    </row>
    <row r="153" spans="1:11" x14ac:dyDescent="0.2">
      <c r="A153" s="1">
        <v>45525</v>
      </c>
      <c r="B153">
        <v>61158.1</v>
      </c>
      <c r="C153">
        <v>5620.85</v>
      </c>
      <c r="E153" s="1">
        <v>45446</v>
      </c>
      <c r="F153" s="15">
        <f>LN(Closes[[#This Row],[BTC]]/B154)</f>
        <v>1.580159018186171E-2</v>
      </c>
      <c r="G153" s="15">
        <f>LN(Closes[[#This Row],[SP500]]/C154)</f>
        <v>1.5026448122144424E-2</v>
      </c>
      <c r="I153" s="1">
        <v>45446</v>
      </c>
      <c r="J153" s="15">
        <f>ABS(Percentages[[#This Row],[BTC %]])</f>
        <v>1.580159018186171E-2</v>
      </c>
      <c r="K153" s="15">
        <f>ABS(Percentages[[#This Row],[SP500 %]])</f>
        <v>1.5026448122144424E-2</v>
      </c>
    </row>
    <row r="154" spans="1:11" x14ac:dyDescent="0.2">
      <c r="A154" s="1">
        <v>45476</v>
      </c>
      <c r="B154">
        <v>60199.3</v>
      </c>
      <c r="C154">
        <v>5537.02</v>
      </c>
      <c r="E154" s="1">
        <v>45443</v>
      </c>
      <c r="F154" s="15">
        <f>LN(Closes[[#This Row],[BTC]]/B155)</f>
        <v>2.002498018135691E-2</v>
      </c>
      <c r="G154" s="15">
        <f>LN(Closes[[#This Row],[SP500]]/C155)</f>
        <v>-1.0795729837959787E-2</v>
      </c>
      <c r="I154" s="1">
        <v>45443</v>
      </c>
      <c r="J154" s="15">
        <f>ABS(Percentages[[#This Row],[BTC %]])</f>
        <v>2.002498018135691E-2</v>
      </c>
      <c r="K154" s="15">
        <f>ABS(Percentages[[#This Row],[SP500 %]])</f>
        <v>1.0795729837959787E-2</v>
      </c>
    </row>
    <row r="155" spans="1:11" x14ac:dyDescent="0.2">
      <c r="A155" s="1">
        <v>45524</v>
      </c>
      <c r="B155">
        <v>59005.8</v>
      </c>
      <c r="C155">
        <v>5597.12</v>
      </c>
      <c r="E155" s="1">
        <v>45442</v>
      </c>
      <c r="F155" s="15">
        <f>LN(Closes[[#This Row],[BTC]]/B156)</f>
        <v>3.4123179229382024E-2</v>
      </c>
      <c r="G155" s="15">
        <f>LN(Closes[[#This Row],[SP500]]/C156)</f>
        <v>-1.9865481747165059E-3</v>
      </c>
      <c r="I155" s="1">
        <v>45442</v>
      </c>
      <c r="J155" s="15">
        <f>ABS(Percentages[[#This Row],[BTC %]])</f>
        <v>3.4123179229382024E-2</v>
      </c>
      <c r="K155" s="15">
        <f>ABS(Percentages[[#This Row],[SP500 %]])</f>
        <v>1.9865481747165059E-3</v>
      </c>
    </row>
    <row r="156" spans="1:11" x14ac:dyDescent="0.2">
      <c r="A156" s="1">
        <v>45477</v>
      </c>
      <c r="B156">
        <v>57026.3</v>
      </c>
      <c r="C156">
        <v>5608.25</v>
      </c>
      <c r="E156" s="1">
        <v>45441</v>
      </c>
      <c r="F156" s="15">
        <f>LN(Closes[[#This Row],[BTC]]/B157)</f>
        <v>-4.1974552355381702E-2</v>
      </c>
      <c r="G156" s="15">
        <f>LN(Closes[[#This Row],[SP500]]/C157)</f>
        <v>0</v>
      </c>
      <c r="I156" s="1">
        <v>45441</v>
      </c>
      <c r="J156" s="15">
        <f>ABS(Percentages[[#This Row],[BTC %]])</f>
        <v>4.1974552355381702E-2</v>
      </c>
      <c r="K156" s="15">
        <f>ABS(Percentages[[#This Row],[SP500 %]])</f>
        <v>0</v>
      </c>
    </row>
    <row r="157" spans="1:11" x14ac:dyDescent="0.2">
      <c r="A157" s="1">
        <v>45523</v>
      </c>
      <c r="B157">
        <v>59470.9</v>
      </c>
      <c r="C157">
        <v>5608.25</v>
      </c>
      <c r="E157" s="1">
        <v>45440</v>
      </c>
      <c r="F157" s="15">
        <f>LN(Closes[[#This Row],[BTC]]/B158)</f>
        <v>4.8739888743318333E-2</v>
      </c>
      <c r="G157" s="15">
        <f>LN(Closes[[#This Row],[SP500]]/C158)</f>
        <v>7.3482895994791391E-3</v>
      </c>
      <c r="I157" s="1">
        <v>45440</v>
      </c>
      <c r="J157" s="15">
        <f>ABS(Percentages[[#This Row],[BTC %]])</f>
        <v>4.8739888743318333E-2</v>
      </c>
      <c r="K157" s="15">
        <f>ABS(Percentages[[#This Row],[SP500 %]])</f>
        <v>7.3482895994791391E-3</v>
      </c>
    </row>
    <row r="158" spans="1:11" x14ac:dyDescent="0.2">
      <c r="A158" s="1">
        <v>45478</v>
      </c>
      <c r="B158">
        <v>56641.8</v>
      </c>
      <c r="C158">
        <v>5567.19</v>
      </c>
      <c r="E158" s="1">
        <v>45439</v>
      </c>
      <c r="F158" s="15">
        <f>LN(Closes[[#This Row],[BTC]]/B159)</f>
        <v>-1.4625134369772416E-3</v>
      </c>
      <c r="G158" s="15">
        <f>LN(Closes[[#This Row],[SP500]]/C159)</f>
        <v>-1.0161544279966303E-3</v>
      </c>
      <c r="I158" s="1">
        <v>45439</v>
      </c>
      <c r="J158" s="15">
        <f>ABS(Percentages[[#This Row],[BTC %]])</f>
        <v>1.4625134369772416E-3</v>
      </c>
      <c r="K158" s="15">
        <f>ABS(Percentages[[#This Row],[SP500 %]])</f>
        <v>1.0161544279966303E-3</v>
      </c>
    </row>
    <row r="159" spans="1:11" x14ac:dyDescent="0.2">
      <c r="A159" s="1">
        <v>45481</v>
      </c>
      <c r="B159">
        <v>56724.7</v>
      </c>
      <c r="C159">
        <v>5572.85</v>
      </c>
      <c r="E159" s="1">
        <v>45436</v>
      </c>
      <c r="F159" s="15">
        <f>LN(Closes[[#This Row],[BTC]]/B160)</f>
        <v>-2.2912348285917709E-2</v>
      </c>
      <c r="G159" s="15">
        <f>LN(Closes[[#This Row],[SP500]]/C160)</f>
        <v>-7.4081850375869965E-4</v>
      </c>
      <c r="I159" s="1">
        <v>45436</v>
      </c>
      <c r="J159" s="15">
        <f>ABS(Percentages[[#This Row],[BTC %]])</f>
        <v>2.2912348285917709E-2</v>
      </c>
      <c r="K159" s="15">
        <f>ABS(Percentages[[#This Row],[SP500 %]])</f>
        <v>7.4081850375869965E-4</v>
      </c>
    </row>
    <row r="160" spans="1:11" x14ac:dyDescent="0.2">
      <c r="A160" s="1">
        <v>45482</v>
      </c>
      <c r="B160">
        <v>58039.4</v>
      </c>
      <c r="C160">
        <v>5576.98</v>
      </c>
      <c r="E160" s="1">
        <v>45435</v>
      </c>
      <c r="F160" s="15">
        <f>LN(Closes[[#This Row],[BTC]]/B161)</f>
        <v>-1.4331828677637321E-2</v>
      </c>
      <c r="G160" s="15">
        <f>LN(Closes[[#This Row],[SP500]]/C161)</f>
        <v>4.084010768454039E-3</v>
      </c>
      <c r="I160" s="1">
        <v>45435</v>
      </c>
      <c r="J160" s="15">
        <f>ABS(Percentages[[#This Row],[BTC %]])</f>
        <v>1.4331828677637321E-2</v>
      </c>
      <c r="K160" s="15">
        <f>ABS(Percentages[[#This Row],[SP500 %]])</f>
        <v>4.084010768454039E-3</v>
      </c>
    </row>
    <row r="161" spans="1:11" x14ac:dyDescent="0.2">
      <c r="A161" s="1">
        <v>45520</v>
      </c>
      <c r="B161">
        <v>58877.2</v>
      </c>
      <c r="C161">
        <v>5554.25</v>
      </c>
      <c r="E161" s="1">
        <v>45434</v>
      </c>
      <c r="F161" s="15">
        <f>LN(Closes[[#This Row],[BTC]]/B162)</f>
        <v>1.9387714030006008E-2</v>
      </c>
      <c r="G161" s="15">
        <f>LN(Closes[[#This Row],[SP500]]/C162)</f>
        <v>-1.4240294410593582E-2</v>
      </c>
      <c r="I161" s="1">
        <v>45434</v>
      </c>
      <c r="J161" s="15">
        <f>ABS(Percentages[[#This Row],[BTC %]])</f>
        <v>1.9387714030006008E-2</v>
      </c>
      <c r="K161" s="15">
        <f>ABS(Percentages[[#This Row],[SP500 %]])</f>
        <v>1.4240294410593582E-2</v>
      </c>
    </row>
    <row r="162" spans="1:11" x14ac:dyDescent="0.2">
      <c r="A162" s="1">
        <v>45483</v>
      </c>
      <c r="B162">
        <v>57746.7</v>
      </c>
      <c r="C162">
        <v>5633.91</v>
      </c>
      <c r="E162" s="1">
        <v>45433</v>
      </c>
      <c r="F162" s="15">
        <f>LN(Closes[[#This Row],[BTC]]/B163)</f>
        <v>3.6796989507006527E-3</v>
      </c>
      <c r="G162" s="15">
        <f>LN(Closes[[#This Row],[SP500]]/C163)</f>
        <v>1.6228135536922032E-2</v>
      </c>
      <c r="I162" s="1">
        <v>45433</v>
      </c>
      <c r="J162" s="15">
        <f>ABS(Percentages[[#This Row],[BTC %]])</f>
        <v>3.6796989507006527E-3</v>
      </c>
      <c r="K162" s="15">
        <f>ABS(Percentages[[#This Row],[SP500 %]])</f>
        <v>1.6228135536922032E-2</v>
      </c>
    </row>
    <row r="163" spans="1:11" x14ac:dyDescent="0.2">
      <c r="A163" s="1">
        <v>45519</v>
      </c>
      <c r="B163">
        <v>57534.6</v>
      </c>
      <c r="C163">
        <v>5543.22</v>
      </c>
      <c r="E163" s="1">
        <v>45432</v>
      </c>
      <c r="F163" s="15">
        <f>LN(Closes[[#This Row],[BTC]]/B164)</f>
        <v>3.4351341627331432E-3</v>
      </c>
      <c r="G163" s="15">
        <f>LN(Closes[[#This Row],[SP500]]/C164)</f>
        <v>-7.4265063067453447E-3</v>
      </c>
      <c r="I163" s="1">
        <v>45432</v>
      </c>
      <c r="J163" s="15">
        <f>ABS(Percentages[[#This Row],[BTC %]])</f>
        <v>3.4351341627331432E-3</v>
      </c>
      <c r="K163" s="15">
        <f>ABS(Percentages[[#This Row],[SP500 %]])</f>
        <v>7.4265063067453447E-3</v>
      </c>
    </row>
    <row r="164" spans="1:11" x14ac:dyDescent="0.2">
      <c r="A164" s="1">
        <v>45484</v>
      </c>
      <c r="B164">
        <v>57337.3</v>
      </c>
      <c r="C164">
        <v>5584.54</v>
      </c>
      <c r="E164" s="1">
        <v>45429</v>
      </c>
      <c r="F164" s="15">
        <f>LN(Closes[[#This Row],[BTC]]/B165)</f>
        <v>-2.3621225253798016E-2</v>
      </c>
      <c r="G164" s="15">
        <f>LN(Closes[[#This Row],[SP500]]/C165)</f>
        <v>2.3430950319531272E-2</v>
      </c>
      <c r="I164" s="1">
        <v>45429</v>
      </c>
      <c r="J164" s="15">
        <f>ABS(Percentages[[#This Row],[BTC %]])</f>
        <v>2.3621225253798016E-2</v>
      </c>
      <c r="K164" s="15">
        <f>ABS(Percentages[[#This Row],[SP500 %]])</f>
        <v>2.3430950319531272E-2</v>
      </c>
    </row>
    <row r="165" spans="1:11" x14ac:dyDescent="0.2">
      <c r="A165" s="1">
        <v>45518</v>
      </c>
      <c r="B165">
        <v>58707.8</v>
      </c>
      <c r="C165">
        <v>5455.21</v>
      </c>
      <c r="E165" s="1">
        <v>45428</v>
      </c>
      <c r="F165" s="15">
        <f>LN(Closes[[#This Row],[BTC]]/B166)</f>
        <v>1.4112585832937487E-2</v>
      </c>
      <c r="G165" s="15">
        <f>LN(Closes[[#This Row],[SP500]]/C166)</f>
        <v>-2.893280394830728E-2</v>
      </c>
      <c r="I165" s="1">
        <v>45428</v>
      </c>
      <c r="J165" s="15">
        <f>ABS(Percentages[[#This Row],[BTC %]])</f>
        <v>1.4112585832937487E-2</v>
      </c>
      <c r="K165" s="15">
        <f>ABS(Percentages[[#This Row],[SP500 %]])</f>
        <v>2.893280394830728E-2</v>
      </c>
    </row>
    <row r="166" spans="1:11" x14ac:dyDescent="0.2">
      <c r="A166" s="1">
        <v>45485</v>
      </c>
      <c r="B166">
        <v>57885.1</v>
      </c>
      <c r="C166">
        <v>5615.35</v>
      </c>
      <c r="E166" s="1">
        <v>45427</v>
      </c>
      <c r="F166" s="15">
        <f>LN(Closes[[#This Row],[BTC]]/B167)</f>
        <v>-4.5755670797892063E-2</v>
      </c>
      <c r="G166" s="15">
        <f>LN(Closes[[#This Row],[SP500]]/C167)</f>
        <v>3.2749280015939734E-2</v>
      </c>
      <c r="I166" s="1">
        <v>45427</v>
      </c>
      <c r="J166" s="15">
        <f>ABS(Percentages[[#This Row],[BTC %]])</f>
        <v>4.5755670797892063E-2</v>
      </c>
      <c r="K166" s="15">
        <f>ABS(Percentages[[#This Row],[SP500 %]])</f>
        <v>3.2749280015939734E-2</v>
      </c>
    </row>
    <row r="167" spans="1:11" x14ac:dyDescent="0.2">
      <c r="A167" s="1">
        <v>45517</v>
      </c>
      <c r="B167">
        <v>60595.199999999997</v>
      </c>
      <c r="C167">
        <v>5434.43</v>
      </c>
      <c r="E167" s="1">
        <v>45426</v>
      </c>
      <c r="F167" s="15">
        <f>LN(Closes[[#This Row],[BTC]]/B168)</f>
        <v>-6.6818279511292447E-2</v>
      </c>
      <c r="G167" s="15">
        <f>LN(Closes[[#This Row],[SP500]]/C168)</f>
        <v>-3.5571475677982606E-2</v>
      </c>
      <c r="I167" s="1">
        <v>45426</v>
      </c>
      <c r="J167" s="15">
        <f>ABS(Percentages[[#This Row],[BTC %]])</f>
        <v>6.6818279511292447E-2</v>
      </c>
      <c r="K167" s="15">
        <f>ABS(Percentages[[#This Row],[SP500 %]])</f>
        <v>3.5571475677982606E-2</v>
      </c>
    </row>
    <row r="168" spans="1:11" x14ac:dyDescent="0.2">
      <c r="A168" s="1">
        <v>45488</v>
      </c>
      <c r="B168">
        <v>64782.400000000001</v>
      </c>
      <c r="C168">
        <v>5631.22</v>
      </c>
      <c r="E168" s="1">
        <v>45425</v>
      </c>
      <c r="F168" s="15">
        <f>LN(Closes[[#This Row],[BTC]]/B169)</f>
        <v>8.7581840472979136E-2</v>
      </c>
      <c r="G168" s="15">
        <f>LN(Closes[[#This Row],[SP500]]/C169)</f>
        <v>5.2278702332915747E-2</v>
      </c>
      <c r="I168" s="1">
        <v>45425</v>
      </c>
      <c r="J168" s="15">
        <f>ABS(Percentages[[#This Row],[BTC %]])</f>
        <v>8.7581840472979136E-2</v>
      </c>
      <c r="K168" s="15">
        <f>ABS(Percentages[[#This Row],[SP500 %]])</f>
        <v>5.2278702332915747E-2</v>
      </c>
    </row>
    <row r="169" spans="1:11" x14ac:dyDescent="0.2">
      <c r="A169" s="1">
        <v>45516</v>
      </c>
      <c r="B169">
        <v>59350</v>
      </c>
      <c r="C169">
        <v>5344.39</v>
      </c>
      <c r="E169" s="1">
        <v>45422</v>
      </c>
      <c r="F169" s="15">
        <f>LN(Closes[[#This Row],[BTC]]/B170)</f>
        <v>-9.1699472055154163E-2</v>
      </c>
      <c r="G169" s="15">
        <f>LN(Closes[[#This Row],[SP500]]/C170)</f>
        <v>-5.8647755992957247E-2</v>
      </c>
      <c r="I169" s="1">
        <v>45422</v>
      </c>
      <c r="J169" s="15">
        <f>ABS(Percentages[[#This Row],[BTC %]])</f>
        <v>9.1699472055154163E-2</v>
      </c>
      <c r="K169" s="15">
        <f>ABS(Percentages[[#This Row],[SP500 %]])</f>
        <v>5.8647755992957247E-2</v>
      </c>
    </row>
    <row r="170" spans="1:11" x14ac:dyDescent="0.2">
      <c r="A170" s="1">
        <v>45489</v>
      </c>
      <c r="B170">
        <v>65049.7</v>
      </c>
      <c r="C170">
        <v>5667.2</v>
      </c>
      <c r="E170" s="1">
        <v>45421</v>
      </c>
      <c r="F170" s="15">
        <f>LN(Closes[[#This Row],[BTC]]/B171)</f>
        <v>1.4875730119161792E-2</v>
      </c>
      <c r="G170" s="15">
        <f>LN(Closes[[#This Row],[SP500]]/C171)</f>
        <v>1.4025410555022039E-2</v>
      </c>
      <c r="I170" s="1">
        <v>45421</v>
      </c>
      <c r="J170" s="15">
        <f>ABS(Percentages[[#This Row],[BTC %]])</f>
        <v>1.4875730119161792E-2</v>
      </c>
      <c r="K170" s="15">
        <f>ABS(Percentages[[#This Row],[SP500 %]])</f>
        <v>1.4025410555022039E-2</v>
      </c>
    </row>
    <row r="171" spans="1:11" x14ac:dyDescent="0.2">
      <c r="A171" s="1">
        <v>45490</v>
      </c>
      <c r="B171">
        <v>64089.2</v>
      </c>
      <c r="C171">
        <v>5588.27</v>
      </c>
      <c r="E171" s="1">
        <v>45420</v>
      </c>
      <c r="F171" s="15">
        <f>LN(Closes[[#This Row],[BTC]]/B172)</f>
        <v>1.6975135586647253E-3</v>
      </c>
      <c r="G171" s="15">
        <f>LN(Closes[[#This Row],[SP500]]/C172)</f>
        <v>7.8470804696827642E-3</v>
      </c>
      <c r="I171" s="1">
        <v>45420</v>
      </c>
      <c r="J171" s="15">
        <f>ABS(Percentages[[#This Row],[BTC %]])</f>
        <v>1.6975135586647253E-3</v>
      </c>
      <c r="K171" s="15">
        <f>ABS(Percentages[[#This Row],[SP500 %]])</f>
        <v>7.8470804696827642E-3</v>
      </c>
    </row>
    <row r="172" spans="1:11" x14ac:dyDescent="0.2">
      <c r="A172" s="1">
        <v>45491</v>
      </c>
      <c r="B172">
        <v>63980.5</v>
      </c>
      <c r="C172">
        <v>5544.59</v>
      </c>
      <c r="E172" s="1">
        <v>45419</v>
      </c>
      <c r="F172" s="15">
        <f>LN(Closes[[#This Row],[BTC]]/B173)</f>
        <v>5.0156669735838121E-2</v>
      </c>
      <c r="G172" s="15">
        <f>LN(Closes[[#This Row],[SP500]]/C173)</f>
        <v>3.6818301675764005E-2</v>
      </c>
      <c r="I172" s="1">
        <v>45419</v>
      </c>
      <c r="J172" s="15">
        <f>ABS(Percentages[[#This Row],[BTC %]])</f>
        <v>5.0156669735838121E-2</v>
      </c>
      <c r="K172" s="15">
        <f>ABS(Percentages[[#This Row],[SP500 %]])</f>
        <v>3.6818301675764005E-2</v>
      </c>
    </row>
    <row r="173" spans="1:11" x14ac:dyDescent="0.2">
      <c r="A173" s="1">
        <v>45513</v>
      </c>
      <c r="B173">
        <v>60850.6</v>
      </c>
      <c r="C173">
        <v>5344.16</v>
      </c>
      <c r="E173" s="1">
        <v>45418</v>
      </c>
      <c r="F173" s="15">
        <f>LN(Closes[[#This Row],[BTC]]/B174)</f>
        <v>-9.1444385223651017E-2</v>
      </c>
      <c r="G173" s="15">
        <f>LN(Closes[[#This Row],[SP500]]/C174)</f>
        <v>-2.965239426873463E-2</v>
      </c>
      <c r="I173" s="1">
        <v>45418</v>
      </c>
      <c r="J173" s="15">
        <f>ABS(Percentages[[#This Row],[BTC %]])</f>
        <v>9.1444385223651017E-2</v>
      </c>
      <c r="K173" s="15">
        <f>ABS(Percentages[[#This Row],[SP500 %]])</f>
        <v>2.965239426873463E-2</v>
      </c>
    </row>
    <row r="174" spans="1:11" x14ac:dyDescent="0.2">
      <c r="A174" s="1">
        <v>45492</v>
      </c>
      <c r="B174">
        <v>66677.399999999994</v>
      </c>
      <c r="C174">
        <v>5505</v>
      </c>
      <c r="E174" s="1">
        <v>45415</v>
      </c>
      <c r="F174" s="15">
        <f>LN(Closes[[#This Row],[BTC]]/B175)</f>
        <v>7.7586996257925242E-2</v>
      </c>
      <c r="G174" s="15">
        <f>LN(Closes[[#This Row],[SP500]]/C175)</f>
        <v>3.4313174480885389E-2</v>
      </c>
      <c r="I174" s="1">
        <v>45415</v>
      </c>
      <c r="J174" s="15">
        <f>ABS(Percentages[[#This Row],[BTC %]])</f>
        <v>7.7586996257925242E-2</v>
      </c>
      <c r="K174" s="15">
        <f>ABS(Percentages[[#This Row],[SP500 %]])</f>
        <v>3.4313174480885389E-2</v>
      </c>
    </row>
    <row r="175" spans="1:11" x14ac:dyDescent="0.2">
      <c r="A175" s="1">
        <v>45512</v>
      </c>
      <c r="B175">
        <v>61699.7</v>
      </c>
      <c r="C175">
        <v>5319.31</v>
      </c>
      <c r="E175" s="1">
        <v>45414</v>
      </c>
      <c r="F175" s="15">
        <f>LN(Closes[[#This Row],[BTC]]/B176)</f>
        <v>-9.0642288179651004E-2</v>
      </c>
      <c r="G175" s="15">
        <f>LN(Closes[[#This Row],[SP500]]/C176)</f>
        <v>-4.504736364686035E-2</v>
      </c>
      <c r="I175" s="1">
        <v>45414</v>
      </c>
      <c r="J175" s="15">
        <f>ABS(Percentages[[#This Row],[BTC %]])</f>
        <v>9.0642288179651004E-2</v>
      </c>
      <c r="K175" s="15">
        <f>ABS(Percentages[[#This Row],[SP500 %]])</f>
        <v>4.504736364686035E-2</v>
      </c>
    </row>
    <row r="176" spans="1:11" x14ac:dyDescent="0.2">
      <c r="A176" s="1">
        <v>45495</v>
      </c>
      <c r="B176">
        <v>67553.600000000006</v>
      </c>
      <c r="C176">
        <v>5564.41</v>
      </c>
      <c r="E176" s="1">
        <v>45413</v>
      </c>
      <c r="F176" s="15">
        <f>LN(Closes[[#This Row],[BTC]]/B177)</f>
        <v>0.20339240225882985</v>
      </c>
      <c r="G176" s="15">
        <f>LN(Closes[[#This Row],[SP500]]/C177)</f>
        <v>6.7828492222467909E-2</v>
      </c>
      <c r="I176" s="1">
        <v>45413</v>
      </c>
      <c r="J176" s="15">
        <f>ABS(Percentages[[#This Row],[BTC %]])</f>
        <v>0.20339240225882985</v>
      </c>
      <c r="K176" s="15">
        <f>ABS(Percentages[[#This Row],[SP500 %]])</f>
        <v>6.7828492222467909E-2</v>
      </c>
    </row>
    <row r="177" spans="1:11" x14ac:dyDescent="0.2">
      <c r="A177" s="1">
        <v>45511</v>
      </c>
      <c r="B177">
        <v>55120.9</v>
      </c>
      <c r="C177">
        <v>5199.5</v>
      </c>
      <c r="E177" s="1">
        <v>45412</v>
      </c>
      <c r="F177" s="15">
        <f>LN(Closes[[#This Row],[BTC]]/B178)</f>
        <v>-0.17918291883935508</v>
      </c>
      <c r="G177" s="15">
        <f>LN(Closes[[#This Row],[SP500]]/C178)</f>
        <v>-6.6269160422668408E-2</v>
      </c>
      <c r="I177" s="1">
        <v>45412</v>
      </c>
      <c r="J177" s="15">
        <f>ABS(Percentages[[#This Row],[BTC %]])</f>
        <v>0.17918291883935508</v>
      </c>
      <c r="K177" s="15">
        <f>ABS(Percentages[[#This Row],[SP500 %]])</f>
        <v>6.6269160422668408E-2</v>
      </c>
    </row>
    <row r="178" spans="1:11" x14ac:dyDescent="0.2">
      <c r="A178" s="1">
        <v>45496</v>
      </c>
      <c r="B178">
        <v>65937.8</v>
      </c>
      <c r="C178">
        <v>5555.74</v>
      </c>
      <c r="E178" s="1">
        <v>45411</v>
      </c>
      <c r="F178" s="15">
        <f>LN(Closes[[#This Row],[BTC]]/B179)</f>
        <v>0.1623285721239785</v>
      </c>
      <c r="G178" s="15">
        <f>LN(Closes[[#This Row],[SP500]]/C179)</f>
        <v>5.850440403341732E-2</v>
      </c>
      <c r="I178" s="1">
        <v>45411</v>
      </c>
      <c r="J178" s="15">
        <f>ABS(Percentages[[#This Row],[BTC %]])</f>
        <v>0.1623285721239785</v>
      </c>
      <c r="K178" s="15">
        <f>ABS(Percentages[[#This Row],[SP500 %]])</f>
        <v>5.850440403341732E-2</v>
      </c>
    </row>
    <row r="179" spans="1:11" x14ac:dyDescent="0.2">
      <c r="A179" s="1">
        <v>45510</v>
      </c>
      <c r="B179">
        <v>56057.8</v>
      </c>
      <c r="C179">
        <v>5240.03</v>
      </c>
      <c r="E179" s="1">
        <v>45408</v>
      </c>
      <c r="F179" s="15">
        <f>LN(Closes[[#This Row],[BTC]]/B180)</f>
        <v>-0.15368778506484454</v>
      </c>
      <c r="G179" s="15">
        <f>LN(Closes[[#This Row],[SP500]]/C180)</f>
        <v>-3.5083225589527769E-2</v>
      </c>
      <c r="I179" s="1">
        <v>45408</v>
      </c>
      <c r="J179" s="15">
        <f>ABS(Percentages[[#This Row],[BTC %]])</f>
        <v>0.15368778506484454</v>
      </c>
      <c r="K179" s="15">
        <f>ABS(Percentages[[#This Row],[SP500 %]])</f>
        <v>3.5083225589527769E-2</v>
      </c>
    </row>
    <row r="180" spans="1:11" x14ac:dyDescent="0.2">
      <c r="A180" s="1">
        <v>45497</v>
      </c>
      <c r="B180">
        <v>65370.5</v>
      </c>
      <c r="C180">
        <v>5427.13</v>
      </c>
      <c r="E180" s="1">
        <v>45407</v>
      </c>
      <c r="F180" s="15">
        <f>LN(Closes[[#This Row],[BTC]]/B181)</f>
        <v>0.19147600432544337</v>
      </c>
      <c r="G180" s="15">
        <f>LN(Closes[[#This Row],[SP500]]/C181)</f>
        <v>4.5384131147247306E-2</v>
      </c>
      <c r="I180" s="1">
        <v>45407</v>
      </c>
      <c r="J180" s="15">
        <f>ABS(Percentages[[#This Row],[BTC %]])</f>
        <v>0.19147600432544337</v>
      </c>
      <c r="K180" s="15">
        <f>ABS(Percentages[[#This Row],[SP500 %]])</f>
        <v>4.5384131147247306E-2</v>
      </c>
    </row>
    <row r="181" spans="1:11" x14ac:dyDescent="0.2">
      <c r="A181" s="1">
        <v>45509</v>
      </c>
      <c r="B181">
        <v>53979</v>
      </c>
      <c r="C181">
        <v>5186.33</v>
      </c>
      <c r="E181" s="1">
        <v>45406</v>
      </c>
      <c r="F181" s="15">
        <f>LN(Closes[[#This Row],[BTC]]/B182)</f>
        <v>-0.1980141179383208</v>
      </c>
      <c r="G181" s="15">
        <f>LN(Closes[[#This Row],[SP500]]/C182)</f>
        <v>-4.022818074299888E-2</v>
      </c>
      <c r="I181" s="1">
        <v>45406</v>
      </c>
      <c r="J181" s="15">
        <f>ABS(Percentages[[#This Row],[BTC %]])</f>
        <v>0.1980141179383208</v>
      </c>
      <c r="K181" s="15">
        <f>ABS(Percentages[[#This Row],[SP500 %]])</f>
        <v>4.022818074299888E-2</v>
      </c>
    </row>
    <row r="182" spans="1:11" x14ac:dyDescent="0.2">
      <c r="A182" s="1">
        <v>45498</v>
      </c>
      <c r="B182">
        <v>65799.3</v>
      </c>
      <c r="C182">
        <v>5399.22</v>
      </c>
      <c r="E182" s="1">
        <v>45405</v>
      </c>
      <c r="F182" s="15">
        <f>LN(Closes[[#This Row],[BTC]]/B183)</f>
        <v>-3.1553483415843332E-2</v>
      </c>
      <c r="G182" s="15">
        <f>LN(Closes[[#This Row],[SP500]]/C183)</f>
        <v>-1.102944231248886E-2</v>
      </c>
      <c r="I182" s="1">
        <v>45405</v>
      </c>
      <c r="J182" s="15">
        <f>ABS(Percentages[[#This Row],[BTC %]])</f>
        <v>3.1553483415843332E-2</v>
      </c>
      <c r="K182" s="15">
        <f>ABS(Percentages[[#This Row],[SP500 %]])</f>
        <v>1.102944231248886E-2</v>
      </c>
    </row>
    <row r="183" spans="1:11" x14ac:dyDescent="0.2">
      <c r="A183" s="1">
        <v>45499</v>
      </c>
      <c r="B183">
        <v>67908.600000000006</v>
      </c>
      <c r="C183">
        <v>5459.1</v>
      </c>
      <c r="E183" s="1">
        <v>45404</v>
      </c>
      <c r="F183" s="15">
        <f>LN(Closes[[#This Row],[BTC]]/B184)</f>
        <v>1.6479064117269047E-2</v>
      </c>
      <c r="G183" s="15">
        <f>LN(Closes[[#This Row],[SP500]]/C184)</f>
        <v>-8.129903108685376E-4</v>
      </c>
      <c r="I183" s="1">
        <v>45404</v>
      </c>
      <c r="J183" s="15">
        <f>ABS(Percentages[[#This Row],[BTC %]])</f>
        <v>1.6479064117269047E-2</v>
      </c>
      <c r="K183" s="15">
        <f>ABS(Percentages[[#This Row],[SP500 %]])</f>
        <v>8.129903108685376E-4</v>
      </c>
    </row>
    <row r="184" spans="1:11" x14ac:dyDescent="0.2">
      <c r="A184" s="1">
        <v>45502</v>
      </c>
      <c r="B184">
        <v>66798.7</v>
      </c>
      <c r="C184">
        <v>5463.54</v>
      </c>
      <c r="E184" s="1">
        <v>45401</v>
      </c>
      <c r="F184" s="15">
        <f>LN(Closes[[#This Row],[BTC]]/B185)</f>
        <v>8.2992845916385283E-2</v>
      </c>
      <c r="G184" s="15">
        <f>LN(Closes[[#This Row],[SP500]]/C185)</f>
        <v>2.1643567869473957E-2</v>
      </c>
      <c r="I184" s="1">
        <v>45401</v>
      </c>
      <c r="J184" s="15">
        <f>ABS(Percentages[[#This Row],[BTC %]])</f>
        <v>8.2992845916385283E-2</v>
      </c>
      <c r="K184" s="15">
        <f>ABS(Percentages[[#This Row],[SP500 %]])</f>
        <v>2.1643567869473957E-2</v>
      </c>
    </row>
    <row r="185" spans="1:11" x14ac:dyDescent="0.2">
      <c r="A185" s="1">
        <v>45506</v>
      </c>
      <c r="B185">
        <v>61478.7</v>
      </c>
      <c r="C185">
        <v>5346.56</v>
      </c>
      <c r="E185" s="1">
        <v>45400</v>
      </c>
      <c r="F185" s="15">
        <f>LN(Closes[[#This Row],[BTC]]/B186)</f>
        <v>-7.3761566889220698E-2</v>
      </c>
      <c r="G185" s="15">
        <f>LN(Closes[[#This Row],[SP500]]/C186)</f>
        <v>-1.6671071435738049E-2</v>
      </c>
      <c r="I185" s="1">
        <v>45400</v>
      </c>
      <c r="J185" s="15">
        <f>ABS(Percentages[[#This Row],[BTC %]])</f>
        <v>7.3761566889220698E-2</v>
      </c>
      <c r="K185" s="15">
        <f>ABS(Percentages[[#This Row],[SP500 %]])</f>
        <v>1.6671071435738049E-2</v>
      </c>
    </row>
    <row r="186" spans="1:11" x14ac:dyDescent="0.2">
      <c r="A186" s="1">
        <v>45503</v>
      </c>
      <c r="B186">
        <v>66184.899999999994</v>
      </c>
      <c r="C186">
        <v>5436.44</v>
      </c>
      <c r="E186" s="1">
        <v>45399</v>
      </c>
      <c r="F186" s="15">
        <f>LN(Closes[[#This Row],[BTC]]/B187)</f>
        <v>1.2344540750006221E-2</v>
      </c>
      <c r="G186" s="15">
        <f>LN(Closes[[#This Row],[SP500]]/C187)</f>
        <v>-1.8818138588648614E-3</v>
      </c>
      <c r="I186" s="1">
        <v>45399</v>
      </c>
      <c r="J186" s="15">
        <f>ABS(Percentages[[#This Row],[BTC %]])</f>
        <v>1.2344540750006221E-2</v>
      </c>
      <c r="K186" s="15">
        <f>ABS(Percentages[[#This Row],[SP500 %]])</f>
        <v>1.8818138588648614E-3</v>
      </c>
    </row>
    <row r="187" spans="1:11" x14ac:dyDescent="0.2">
      <c r="A187" s="1">
        <v>45505</v>
      </c>
      <c r="B187">
        <v>65372.9</v>
      </c>
      <c r="C187">
        <v>5446.68</v>
      </c>
      <c r="E187" s="1">
        <v>45398</v>
      </c>
      <c r="F187" s="15">
        <f>LN(Closes[[#This Row],[BTC]]/B188)</f>
        <v>1.1490992901527485E-2</v>
      </c>
      <c r="G187" s="15">
        <f>LN(Closes[[#This Row],[SP500]]/C188)</f>
        <v>-1.3788191433053192E-2</v>
      </c>
      <c r="I187" s="1">
        <v>45398</v>
      </c>
      <c r="J187" s="15">
        <f>ABS(Percentages[[#This Row],[BTC %]])</f>
        <v>1.1490992901527485E-2</v>
      </c>
      <c r="K187" s="15">
        <f>ABS(Percentages[[#This Row],[SP500 %]])</f>
        <v>1.3788191433053192E-2</v>
      </c>
    </row>
    <row r="188" spans="1:11" x14ac:dyDescent="0.2">
      <c r="A188" s="1">
        <v>45504</v>
      </c>
      <c r="B188">
        <v>64626</v>
      </c>
      <c r="C188">
        <v>5522.3</v>
      </c>
      <c r="E188" s="1">
        <v>45397</v>
      </c>
      <c r="F188" s="15">
        <f>LN(Closes[[#This Row],[BTC]]/B189)</f>
        <v>-3.8340410834514942E-2</v>
      </c>
      <c r="G188" s="15">
        <f>LN(Closes[[#This Row],[SP500]]/C189)</f>
        <v>7.4974207187782929E-2</v>
      </c>
      <c r="I188" s="1">
        <v>45397</v>
      </c>
      <c r="J188" s="15">
        <f>ABS(Percentages[[#This Row],[BTC %]])</f>
        <v>3.8340410834514942E-2</v>
      </c>
      <c r="K188" s="15">
        <f>ABS(Percentages[[#This Row],[SP500 %]])</f>
        <v>7.4974207187782929E-2</v>
      </c>
    </row>
    <row r="189" spans="1:11" x14ac:dyDescent="0.2">
      <c r="A189" s="1">
        <v>45394</v>
      </c>
      <c r="B189">
        <v>67151.899999999994</v>
      </c>
      <c r="C189">
        <v>5123.41</v>
      </c>
      <c r="E189" s="1">
        <v>45394</v>
      </c>
      <c r="F189" s="15">
        <f>LN(Closes[[#This Row],[BTC]]/B190)</f>
        <v>-4.1703725174774754E-2</v>
      </c>
      <c r="G189" s="15">
        <f>LN(Closes[[#This Row],[SP500]]/C190)</f>
        <v>-1.4657607029448559E-2</v>
      </c>
      <c r="I189" s="1">
        <v>45394</v>
      </c>
      <c r="J189" s="15">
        <f>ABS(Percentages[[#This Row],[BTC %]])</f>
        <v>4.1703725174774754E-2</v>
      </c>
      <c r="K189" s="15">
        <f>ABS(Percentages[[#This Row],[SP500 %]])</f>
        <v>1.4657607029448559E-2</v>
      </c>
    </row>
    <row r="190" spans="1:11" x14ac:dyDescent="0.2">
      <c r="A190" s="1">
        <v>45393</v>
      </c>
      <c r="B190">
        <v>70011.600000000006</v>
      </c>
      <c r="C190">
        <v>5199.0600000000004</v>
      </c>
      <c r="E190" s="1">
        <v>45393</v>
      </c>
      <c r="F190" s="15">
        <f>LN(Closes[[#This Row],[BTC]]/B191)</f>
        <v>-8.6821840706597497E-3</v>
      </c>
      <c r="G190" s="15">
        <f>LN(Closes[[#This Row],[SP500]]/C191)</f>
        <v>7.4172372058720279E-3</v>
      </c>
      <c r="I190" s="1">
        <v>45393</v>
      </c>
      <c r="J190" s="15">
        <f>ABS(Percentages[[#This Row],[BTC %]])</f>
        <v>8.6821840706597497E-3</v>
      </c>
      <c r="K190" s="15">
        <f>ABS(Percentages[[#This Row],[SP500 %]])</f>
        <v>7.4172372058720279E-3</v>
      </c>
    </row>
    <row r="191" spans="1:11" x14ac:dyDescent="0.2">
      <c r="A191" s="1">
        <v>45392</v>
      </c>
      <c r="B191">
        <v>70622.100000000006</v>
      </c>
      <c r="C191">
        <v>5160.6400000000003</v>
      </c>
      <c r="E191" s="1">
        <v>45392</v>
      </c>
      <c r="F191" s="15">
        <f>LN(Closes[[#This Row],[BTC]]/B192)</f>
        <v>2.1093991616097197E-2</v>
      </c>
      <c r="G191" s="15">
        <f>LN(Closes[[#This Row],[SP500]]/C192)</f>
        <v>-9.5019783338873547E-3</v>
      </c>
      <c r="I191" s="1">
        <v>45392</v>
      </c>
      <c r="J191" s="15">
        <f>ABS(Percentages[[#This Row],[BTC %]])</f>
        <v>2.1093991616097197E-2</v>
      </c>
      <c r="K191" s="15">
        <f>ABS(Percentages[[#This Row],[SP500 %]])</f>
        <v>9.5019783338873547E-3</v>
      </c>
    </row>
    <row r="192" spans="1:11" x14ac:dyDescent="0.2">
      <c r="A192" s="1">
        <v>45391</v>
      </c>
      <c r="B192">
        <v>69148</v>
      </c>
      <c r="C192">
        <v>5209.91</v>
      </c>
      <c r="E192" s="1">
        <v>45391</v>
      </c>
      <c r="F192" s="15">
        <f>LN(Closes[[#This Row],[BTC]]/B193)</f>
        <v>-3.526624162794717E-2</v>
      </c>
      <c r="G192" s="15">
        <f>LN(Closes[[#This Row],[SP500]]/C193)</f>
        <v>1.4444457627020377E-3</v>
      </c>
      <c r="I192" s="1">
        <v>45391</v>
      </c>
      <c r="J192" s="15">
        <f>ABS(Percentages[[#This Row],[BTC %]])</f>
        <v>3.526624162794717E-2</v>
      </c>
      <c r="K192" s="15">
        <f>ABS(Percentages[[#This Row],[SP500 %]])</f>
        <v>1.4444457627020377E-3</v>
      </c>
    </row>
    <row r="193" spans="1:11" x14ac:dyDescent="0.2">
      <c r="A193" s="1">
        <v>45390</v>
      </c>
      <c r="B193">
        <v>71630.100000000006</v>
      </c>
      <c r="C193">
        <v>5202.3900000000003</v>
      </c>
      <c r="E193" s="1">
        <v>45390</v>
      </c>
      <c r="F193" s="15">
        <f>LN(Closes[[#This Row],[BTC]]/B194)</f>
        <v>5.4501956126101106E-2</v>
      </c>
      <c r="G193" s="15">
        <f>LN(Closes[[#This Row],[SP500]]/C194)</f>
        <v>-3.747574930495873E-4</v>
      </c>
      <c r="I193" s="1">
        <v>45390</v>
      </c>
      <c r="J193" s="15">
        <f>ABS(Percentages[[#This Row],[BTC %]])</f>
        <v>5.4501956126101106E-2</v>
      </c>
      <c r="K193" s="15">
        <f>ABS(Percentages[[#This Row],[SP500 %]])</f>
        <v>3.747574930495873E-4</v>
      </c>
    </row>
    <row r="194" spans="1:11" x14ac:dyDescent="0.2">
      <c r="A194" s="1">
        <v>45387</v>
      </c>
      <c r="B194">
        <v>67830.600000000006</v>
      </c>
      <c r="C194">
        <v>5204.34</v>
      </c>
      <c r="E194" s="1">
        <v>45387</v>
      </c>
      <c r="F194" s="15">
        <f>LN(Closes[[#This Row],[BTC]]/B195)</f>
        <v>-9.7692285098938906E-3</v>
      </c>
      <c r="G194" s="15">
        <f>LN(Closes[[#This Row],[SP500]]/C195)</f>
        <v>1.1038072569656417E-2</v>
      </c>
      <c r="I194" s="1">
        <v>45387</v>
      </c>
      <c r="J194" s="15">
        <f>ABS(Percentages[[#This Row],[BTC %]])</f>
        <v>9.7692285098938906E-3</v>
      </c>
      <c r="K194" s="15">
        <f>ABS(Percentages[[#This Row],[SP500 %]])</f>
        <v>1.1038072569656417E-2</v>
      </c>
    </row>
    <row r="195" spans="1:11" x14ac:dyDescent="0.2">
      <c r="A195" s="1">
        <v>45386</v>
      </c>
      <c r="B195">
        <v>68496.5</v>
      </c>
      <c r="C195">
        <v>5147.21</v>
      </c>
      <c r="E195" s="1">
        <v>45386</v>
      </c>
      <c r="F195" s="15">
        <f>LN(Closes[[#This Row],[BTC]]/B196)</f>
        <v>3.7688670304792095E-2</v>
      </c>
      <c r="G195" s="15">
        <f>LN(Closes[[#This Row],[SP500]]/C196)</f>
        <v>-1.2410983057457463E-2</v>
      </c>
      <c r="I195" s="1">
        <v>45386</v>
      </c>
      <c r="J195" s="15">
        <f>ABS(Percentages[[#This Row],[BTC %]])</f>
        <v>3.7688670304792095E-2</v>
      </c>
      <c r="K195" s="15">
        <f>ABS(Percentages[[#This Row],[SP500 %]])</f>
        <v>1.2410983057457463E-2</v>
      </c>
    </row>
    <row r="196" spans="1:11" x14ac:dyDescent="0.2">
      <c r="A196" s="1">
        <v>45385</v>
      </c>
      <c r="B196">
        <v>65963</v>
      </c>
      <c r="C196">
        <v>5211.49</v>
      </c>
      <c r="E196" s="1">
        <v>45385</v>
      </c>
      <c r="F196" s="15">
        <f>LN(Closes[[#This Row],[BTC]]/B197)</f>
        <v>7.972511486597212E-3</v>
      </c>
      <c r="G196" s="15">
        <f>LN(Closes[[#This Row],[SP500]]/C197)</f>
        <v>1.0904938060488179E-3</v>
      </c>
      <c r="I196" s="1">
        <v>45385</v>
      </c>
      <c r="J196" s="15">
        <f>ABS(Percentages[[#This Row],[BTC %]])</f>
        <v>7.972511486597212E-3</v>
      </c>
      <c r="K196" s="15">
        <f>ABS(Percentages[[#This Row],[SP500 %]])</f>
        <v>1.0904938060488179E-3</v>
      </c>
    </row>
    <row r="197" spans="1:11" x14ac:dyDescent="0.2">
      <c r="A197" s="1">
        <v>45384</v>
      </c>
      <c r="B197">
        <v>65439.199999999997</v>
      </c>
      <c r="C197">
        <v>5205.8100000000004</v>
      </c>
      <c r="E197" s="1">
        <v>45384</v>
      </c>
      <c r="F197" s="15">
        <f>LN(Closes[[#This Row],[BTC]]/B198)</f>
        <v>-6.256795960133929E-2</v>
      </c>
      <c r="G197" s="15">
        <f>LN(Closes[[#This Row],[SP500]]/C198)</f>
        <v>-7.2653957344673645E-3</v>
      </c>
      <c r="I197" s="1">
        <v>45384</v>
      </c>
      <c r="J197" s="15">
        <f>ABS(Percentages[[#This Row],[BTC %]])</f>
        <v>6.256795960133929E-2</v>
      </c>
      <c r="K197" s="15">
        <f>ABS(Percentages[[#This Row],[SP500 %]])</f>
        <v>7.2653957344673645E-3</v>
      </c>
    </row>
    <row r="198" spans="1:11" x14ac:dyDescent="0.2">
      <c r="A198" s="1">
        <v>45383</v>
      </c>
      <c r="B198">
        <v>69664.399999999994</v>
      </c>
      <c r="C198">
        <v>5243.77</v>
      </c>
      <c r="E198" s="1">
        <v>45383</v>
      </c>
      <c r="F198" s="15">
        <f>LN(Closes[[#This Row],[BTC]]/B199)</f>
        <v>-2.971276286380645E-3</v>
      </c>
      <c r="G198" s="15">
        <f>LN(Closes[[#This Row],[SP500]]/C199)</f>
        <v>-2.0155996658250933E-3</v>
      </c>
      <c r="I198" s="1">
        <v>45383</v>
      </c>
      <c r="J198" s="15">
        <f>ABS(Percentages[[#This Row],[BTC %]])</f>
        <v>2.971276286380645E-3</v>
      </c>
      <c r="K198" s="15">
        <f>ABS(Percentages[[#This Row],[SP500 %]])</f>
        <v>2.0155996658250933E-3</v>
      </c>
    </row>
    <row r="199" spans="1:11" x14ac:dyDescent="0.2">
      <c r="A199" s="1">
        <v>45380</v>
      </c>
      <c r="B199">
        <v>69871.7</v>
      </c>
      <c r="C199">
        <v>5254.35</v>
      </c>
      <c r="E199" s="1">
        <v>45380</v>
      </c>
      <c r="F199" s="15">
        <f>LN(Closes[[#This Row],[BTC]]/B200)</f>
        <v>-1.2662843466655615E-2</v>
      </c>
      <c r="G199" s="15">
        <f>LN(Closes[[#This Row],[SP500]]/C200)</f>
        <v>0</v>
      </c>
      <c r="I199" s="1">
        <v>45380</v>
      </c>
      <c r="J199" s="15">
        <f>ABS(Percentages[[#This Row],[BTC %]])</f>
        <v>1.2662843466655615E-2</v>
      </c>
      <c r="K199" s="15">
        <f>ABS(Percentages[[#This Row],[SP500 %]])</f>
        <v>0</v>
      </c>
    </row>
    <row r="200" spans="1:11" x14ac:dyDescent="0.2">
      <c r="A200" s="1">
        <v>45379</v>
      </c>
      <c r="B200">
        <v>70762.100000000006</v>
      </c>
      <c r="C200">
        <v>5254.35</v>
      </c>
      <c r="E200" s="1">
        <v>45379</v>
      </c>
      <c r="F200" s="15">
        <f>LN(Closes[[#This Row],[BTC]]/B201)</f>
        <v>1.882591466845002E-2</v>
      </c>
      <c r="G200" s="15">
        <f>LN(Closes[[#This Row],[SP500]]/C201)</f>
        <v>1.1158887706710923E-3</v>
      </c>
      <c r="I200" s="1">
        <v>45379</v>
      </c>
      <c r="J200" s="15">
        <f>ABS(Percentages[[#This Row],[BTC %]])</f>
        <v>1.882591466845002E-2</v>
      </c>
      <c r="K200" s="15">
        <f>ABS(Percentages[[#This Row],[SP500 %]])</f>
        <v>1.1158887706710923E-3</v>
      </c>
    </row>
    <row r="201" spans="1:11" x14ac:dyDescent="0.2">
      <c r="A201" s="1">
        <v>45378</v>
      </c>
      <c r="B201">
        <v>69442.399999999994</v>
      </c>
      <c r="C201">
        <v>5248.49</v>
      </c>
      <c r="E201" s="1">
        <v>45378</v>
      </c>
      <c r="F201" s="15">
        <f>LN(Closes[[#This Row],[BTC]]/B202)</f>
        <v>-7.9876100325419839E-3</v>
      </c>
      <c r="G201" s="15">
        <f>LN(Closes[[#This Row],[SP500]]/C202)</f>
        <v>8.5935659407079552E-3</v>
      </c>
      <c r="I201" s="1">
        <v>45378</v>
      </c>
      <c r="J201" s="15">
        <f>ABS(Percentages[[#This Row],[BTC %]])</f>
        <v>7.9876100325419839E-3</v>
      </c>
      <c r="K201" s="15">
        <f>ABS(Percentages[[#This Row],[SP500 %]])</f>
        <v>8.5935659407079552E-3</v>
      </c>
    </row>
    <row r="202" spans="1:11" x14ac:dyDescent="0.2">
      <c r="A202" s="1">
        <v>45377</v>
      </c>
      <c r="B202">
        <v>69999.3</v>
      </c>
      <c r="C202">
        <v>5203.58</v>
      </c>
      <c r="E202" s="1">
        <v>45377</v>
      </c>
      <c r="F202" s="15">
        <f>LN(Closes[[#This Row],[BTC]]/B203)</f>
        <v>1.5340485225667469E-3</v>
      </c>
      <c r="G202" s="15">
        <f>LN(Closes[[#This Row],[SP500]]/C203)</f>
        <v>-2.8037482252575453E-3</v>
      </c>
      <c r="I202" s="1">
        <v>45377</v>
      </c>
      <c r="J202" s="15">
        <f>ABS(Percentages[[#This Row],[BTC %]])</f>
        <v>1.5340485225667469E-3</v>
      </c>
      <c r="K202" s="15">
        <f>ABS(Percentages[[#This Row],[SP500 %]])</f>
        <v>2.8037482252575453E-3</v>
      </c>
    </row>
    <row r="203" spans="1:11" x14ac:dyDescent="0.2">
      <c r="A203" s="1">
        <v>45376</v>
      </c>
      <c r="B203">
        <v>69892</v>
      </c>
      <c r="C203">
        <v>5218.1899999999996</v>
      </c>
      <c r="E203" s="1">
        <v>45376</v>
      </c>
      <c r="F203" s="15">
        <f>LN(Closes[[#This Row],[BTC]]/B204)</f>
        <v>9.142530168368064E-2</v>
      </c>
      <c r="G203" s="15">
        <f>LN(Closes[[#This Row],[SP500]]/C204)</f>
        <v>-3.0595955699421543E-3</v>
      </c>
      <c r="I203" s="1">
        <v>45376</v>
      </c>
      <c r="J203" s="15">
        <f>ABS(Percentages[[#This Row],[BTC %]])</f>
        <v>9.142530168368064E-2</v>
      </c>
      <c r="K203" s="15">
        <f>ABS(Percentages[[#This Row],[SP500 %]])</f>
        <v>3.0595955699421543E-3</v>
      </c>
    </row>
    <row r="204" spans="1:11" x14ac:dyDescent="0.2">
      <c r="A204" s="1">
        <v>45373</v>
      </c>
      <c r="B204">
        <v>63785.5</v>
      </c>
      <c r="C204">
        <v>5234.18</v>
      </c>
      <c r="E204" s="1">
        <v>45373</v>
      </c>
      <c r="F204" s="15">
        <f>LN(Closes[[#This Row],[BTC]]/B205)</f>
        <v>-2.6582264432449865E-2</v>
      </c>
      <c r="G204" s="15">
        <f>LN(Closes[[#This Row],[SP500]]/C205)</f>
        <v>-1.4032464064151588E-3</v>
      </c>
      <c r="I204" s="1">
        <v>45373</v>
      </c>
      <c r="J204" s="15">
        <f>ABS(Percentages[[#This Row],[BTC %]])</f>
        <v>2.6582264432449865E-2</v>
      </c>
      <c r="K204" s="15">
        <f>ABS(Percentages[[#This Row],[SP500 %]])</f>
        <v>1.4032464064151588E-3</v>
      </c>
    </row>
    <row r="205" spans="1:11" x14ac:dyDescent="0.2">
      <c r="A205" s="1">
        <v>45372</v>
      </c>
      <c r="B205">
        <v>65503.8</v>
      </c>
      <c r="C205">
        <v>5241.53</v>
      </c>
      <c r="E205" s="1">
        <v>45372</v>
      </c>
      <c r="F205" s="15">
        <f>LN(Closes[[#This Row],[BTC]]/B206)</f>
        <v>-3.5250181891683642E-2</v>
      </c>
      <c r="G205" s="15">
        <f>LN(Closes[[#This Row],[SP500]]/C206)</f>
        <v>3.2313725131378058E-3</v>
      </c>
      <c r="I205" s="1">
        <v>45372</v>
      </c>
      <c r="J205" s="15">
        <f>ABS(Percentages[[#This Row],[BTC %]])</f>
        <v>3.5250181891683642E-2</v>
      </c>
      <c r="K205" s="15">
        <f>ABS(Percentages[[#This Row],[SP500 %]])</f>
        <v>3.2313725131378058E-3</v>
      </c>
    </row>
    <row r="206" spans="1:11" x14ac:dyDescent="0.2">
      <c r="A206" s="1">
        <v>45371</v>
      </c>
      <c r="B206">
        <v>67854</v>
      </c>
      <c r="C206">
        <v>5224.62</v>
      </c>
      <c r="E206" s="1">
        <v>45371</v>
      </c>
      <c r="F206" s="15">
        <f>LN(Closes[[#This Row],[BTC]]/B207)</f>
        <v>8.9417826466628783E-2</v>
      </c>
      <c r="G206" s="15">
        <f>LN(Closes[[#This Row],[SP500]]/C207)</f>
        <v>8.8646978273410684E-3</v>
      </c>
      <c r="I206" s="1">
        <v>45371</v>
      </c>
      <c r="J206" s="15">
        <f>ABS(Percentages[[#This Row],[BTC %]])</f>
        <v>8.9417826466628783E-2</v>
      </c>
      <c r="K206" s="15">
        <f>ABS(Percentages[[#This Row],[SP500 %]])</f>
        <v>8.8646978273410684E-3</v>
      </c>
    </row>
    <row r="207" spans="1:11" x14ac:dyDescent="0.2">
      <c r="A207" s="1">
        <v>45370</v>
      </c>
      <c r="B207">
        <v>62050</v>
      </c>
      <c r="C207">
        <v>5178.51</v>
      </c>
      <c r="E207" s="1">
        <v>45370</v>
      </c>
      <c r="F207" s="15">
        <f>LN(Closes[[#This Row],[BTC]]/B208)</f>
        <v>-8.5580189482837826E-2</v>
      </c>
      <c r="G207" s="15">
        <f>LN(Closes[[#This Row],[SP500]]/C208)</f>
        <v>5.6332831318901015E-3</v>
      </c>
      <c r="I207" s="1">
        <v>45370</v>
      </c>
      <c r="J207" s="15">
        <f>ABS(Percentages[[#This Row],[BTC %]])</f>
        <v>8.5580189482837826E-2</v>
      </c>
      <c r="K207" s="15">
        <f>ABS(Percentages[[#This Row],[SP500 %]])</f>
        <v>5.6332831318901015E-3</v>
      </c>
    </row>
    <row r="208" spans="1:11" x14ac:dyDescent="0.2">
      <c r="A208" s="1">
        <v>45369</v>
      </c>
      <c r="B208">
        <v>67594.100000000006</v>
      </c>
      <c r="C208">
        <v>5149.42</v>
      </c>
      <c r="E208" s="1">
        <v>45369</v>
      </c>
      <c r="F208" s="15">
        <f>LN(Closes[[#This Row],[BTC]]/B209)</f>
        <v>-2.7283612831733497E-2</v>
      </c>
      <c r="G208" s="15">
        <f>LN(Closes[[#This Row],[SP500]]/C209)</f>
        <v>6.2981688751588584E-3</v>
      </c>
      <c r="I208" s="1">
        <v>45369</v>
      </c>
      <c r="J208" s="15">
        <f>ABS(Percentages[[#This Row],[BTC %]])</f>
        <v>2.7283612831733497E-2</v>
      </c>
      <c r="K208" s="15">
        <f>ABS(Percentages[[#This Row],[SP500 %]])</f>
        <v>6.2981688751588584E-3</v>
      </c>
    </row>
    <row r="209" spans="1:11" x14ac:dyDescent="0.2">
      <c r="A209" s="1">
        <v>45366</v>
      </c>
      <c r="B209">
        <v>69463.7</v>
      </c>
      <c r="C209">
        <v>5117.09</v>
      </c>
      <c r="E209" s="1">
        <v>45366</v>
      </c>
      <c r="F209" s="15">
        <f>LN(Closes[[#This Row],[BTC]]/B210)</f>
        <v>-2.7318470025793792E-2</v>
      </c>
      <c r="G209" s="15">
        <f>LN(Closes[[#This Row],[SP500]]/C210)</f>
        <v>-6.5039961169264899E-3</v>
      </c>
      <c r="I209" s="1">
        <v>45366</v>
      </c>
      <c r="J209" s="15">
        <f>ABS(Percentages[[#This Row],[BTC %]])</f>
        <v>2.7318470025793792E-2</v>
      </c>
      <c r="K209" s="15">
        <f>ABS(Percentages[[#This Row],[SP500 %]])</f>
        <v>6.5039961169264899E-3</v>
      </c>
    </row>
    <row r="210" spans="1:11" x14ac:dyDescent="0.2">
      <c r="A210" s="1">
        <v>45365</v>
      </c>
      <c r="B210">
        <v>71387.5</v>
      </c>
      <c r="C210">
        <v>5150.4799999999996</v>
      </c>
      <c r="E210" s="1">
        <v>45365</v>
      </c>
      <c r="F210" s="15">
        <f>LN(Closes[[#This Row],[BTC]]/B211)</f>
        <v>-2.3244464154002838E-2</v>
      </c>
      <c r="G210" s="15">
        <f>LN(Closes[[#This Row],[SP500]]/C211)</f>
        <v>-2.8752059156686048E-3</v>
      </c>
      <c r="I210" s="1">
        <v>45365</v>
      </c>
      <c r="J210" s="15">
        <f>ABS(Percentages[[#This Row],[BTC %]])</f>
        <v>2.3244464154002838E-2</v>
      </c>
      <c r="K210" s="15">
        <f>ABS(Percentages[[#This Row],[SP500 %]])</f>
        <v>2.8752059156686048E-3</v>
      </c>
    </row>
    <row r="211" spans="1:11" x14ac:dyDescent="0.2">
      <c r="A211" s="1">
        <v>45364</v>
      </c>
      <c r="B211">
        <v>73066.3</v>
      </c>
      <c r="C211">
        <v>5165.3100000000004</v>
      </c>
      <c r="E211" s="1">
        <v>45364</v>
      </c>
      <c r="F211" s="15">
        <f>LN(Closes[[#This Row],[BTC]]/B212)</f>
        <v>2.2086668540070756E-2</v>
      </c>
      <c r="G211" s="15">
        <f>LN(Closes[[#This Row],[SP500]]/C212)</f>
        <v>-1.926391571868686E-3</v>
      </c>
      <c r="I211" s="1">
        <v>45364</v>
      </c>
      <c r="J211" s="15">
        <f>ABS(Percentages[[#This Row],[BTC %]])</f>
        <v>2.2086668540070756E-2</v>
      </c>
      <c r="K211" s="15">
        <f>ABS(Percentages[[#This Row],[SP500 %]])</f>
        <v>1.926391571868686E-3</v>
      </c>
    </row>
    <row r="212" spans="1:11" x14ac:dyDescent="0.2">
      <c r="A212" s="1">
        <v>45363</v>
      </c>
      <c r="B212">
        <v>71470.2</v>
      </c>
      <c r="C212">
        <v>5175.2700000000004</v>
      </c>
      <c r="E212" s="1">
        <v>45363</v>
      </c>
      <c r="F212" s="15">
        <f>LN(Closes[[#This Row],[BTC]]/B213)</f>
        <v>-8.7609819451129455E-3</v>
      </c>
      <c r="G212" s="15">
        <f>LN(Closes[[#This Row],[SP500]]/C213)</f>
        <v>1.1139497364012345E-2</v>
      </c>
      <c r="I212" s="1">
        <v>45363</v>
      </c>
      <c r="J212" s="15">
        <f>ABS(Percentages[[#This Row],[BTC %]])</f>
        <v>8.7609819451129455E-3</v>
      </c>
      <c r="K212" s="15">
        <f>ABS(Percentages[[#This Row],[SP500 %]])</f>
        <v>1.1139497364012345E-2</v>
      </c>
    </row>
    <row r="213" spans="1:11" x14ac:dyDescent="0.2">
      <c r="A213" s="1">
        <v>45362</v>
      </c>
      <c r="B213">
        <v>72099.100000000006</v>
      </c>
      <c r="C213">
        <v>5117.9399999999996</v>
      </c>
      <c r="E213" s="1">
        <v>45362</v>
      </c>
      <c r="F213" s="15">
        <f>LN(Closes[[#This Row],[BTC]]/B214)</f>
        <v>5.6007638187036198E-2</v>
      </c>
      <c r="G213" s="15">
        <f>LN(Closes[[#This Row],[SP500]]/C214)</f>
        <v>-1.1228682551799477E-3</v>
      </c>
      <c r="I213" s="1">
        <v>45362</v>
      </c>
      <c r="J213" s="15">
        <f>ABS(Percentages[[#This Row],[BTC %]])</f>
        <v>5.6007638187036198E-2</v>
      </c>
      <c r="K213" s="15">
        <f>ABS(Percentages[[#This Row],[SP500 %]])</f>
        <v>1.1228682551799477E-3</v>
      </c>
    </row>
    <row r="214" spans="1:11" x14ac:dyDescent="0.2">
      <c r="A214" s="1">
        <v>45359</v>
      </c>
      <c r="B214">
        <v>68172</v>
      </c>
      <c r="C214">
        <v>5123.6899999999996</v>
      </c>
      <c r="E214" s="1">
        <v>45359</v>
      </c>
      <c r="F214" s="15">
        <f>LN(Closes[[#This Row],[BTC]]/B215)</f>
        <v>1.9503340983117692E-2</v>
      </c>
      <c r="G214" s="15">
        <f>LN(Closes[[#This Row],[SP500]]/C215)</f>
        <v>-6.5499380656454595E-3</v>
      </c>
      <c r="I214" s="1">
        <v>45359</v>
      </c>
      <c r="J214" s="15">
        <f>ABS(Percentages[[#This Row],[BTC %]])</f>
        <v>1.9503340983117692E-2</v>
      </c>
      <c r="K214" s="15">
        <f>ABS(Percentages[[#This Row],[SP500 %]])</f>
        <v>6.5499380656454595E-3</v>
      </c>
    </row>
    <row r="215" spans="1:11" x14ac:dyDescent="0.2">
      <c r="A215" s="1">
        <v>45358</v>
      </c>
      <c r="B215">
        <v>66855.3</v>
      </c>
      <c r="C215">
        <v>5157.3599999999997</v>
      </c>
      <c r="E215" s="1">
        <v>45358</v>
      </c>
      <c r="F215" s="15">
        <f>LN(Closes[[#This Row],[BTC]]/B216)</f>
        <v>1.1658399916705796E-2</v>
      </c>
      <c r="G215" s="15">
        <f>LN(Closes[[#This Row],[SP500]]/C216)</f>
        <v>1.0251382881397443E-2</v>
      </c>
      <c r="I215" s="1">
        <v>45358</v>
      </c>
      <c r="J215" s="15">
        <f>ABS(Percentages[[#This Row],[BTC %]])</f>
        <v>1.1658399916705796E-2</v>
      </c>
      <c r="K215" s="15">
        <f>ABS(Percentages[[#This Row],[SP500 %]])</f>
        <v>1.0251382881397443E-2</v>
      </c>
    </row>
    <row r="216" spans="1:11" x14ac:dyDescent="0.2">
      <c r="A216" s="1">
        <v>45357</v>
      </c>
      <c r="B216">
        <v>66080.399999999994</v>
      </c>
      <c r="C216">
        <v>5104.76</v>
      </c>
      <c r="E216" s="1">
        <v>45357</v>
      </c>
      <c r="F216" s="15">
        <f>LN(Closes[[#This Row],[BTC]]/B217)</f>
        <v>3.5234986300303375E-2</v>
      </c>
      <c r="G216" s="15">
        <f>LN(Closes[[#This Row],[SP500]]/C217)</f>
        <v>5.1279595372516517E-3</v>
      </c>
      <c r="I216" s="1">
        <v>45357</v>
      </c>
      <c r="J216" s="15">
        <f>ABS(Percentages[[#This Row],[BTC %]])</f>
        <v>3.5234986300303375E-2</v>
      </c>
      <c r="K216" s="15">
        <f>ABS(Percentages[[#This Row],[SP500 %]])</f>
        <v>5.1279595372516517E-3</v>
      </c>
    </row>
    <row r="217" spans="1:11" x14ac:dyDescent="0.2">
      <c r="A217" s="1">
        <v>45356</v>
      </c>
      <c r="B217">
        <v>63792.6</v>
      </c>
      <c r="C217">
        <v>5078.6499999999996</v>
      </c>
      <c r="E217" s="1">
        <v>45356</v>
      </c>
      <c r="F217" s="15">
        <f>LN(Closes[[#This Row],[BTC]]/B218)</f>
        <v>-6.783470003848073E-2</v>
      </c>
      <c r="G217" s="15">
        <f>LN(Closes[[#This Row],[SP500]]/C218)</f>
        <v>-1.0245348981574391E-2</v>
      </c>
      <c r="I217" s="1">
        <v>45356</v>
      </c>
      <c r="J217" s="15">
        <f>ABS(Percentages[[#This Row],[BTC %]])</f>
        <v>6.783470003848073E-2</v>
      </c>
      <c r="K217" s="15">
        <f>ABS(Percentages[[#This Row],[SP500 %]])</f>
        <v>1.0245348981574391E-2</v>
      </c>
    </row>
    <row r="218" spans="1:11" x14ac:dyDescent="0.2">
      <c r="A218" s="1">
        <v>45355</v>
      </c>
      <c r="B218">
        <v>68270.100000000006</v>
      </c>
      <c r="C218">
        <v>5130.95</v>
      </c>
      <c r="E218" s="1">
        <v>45355</v>
      </c>
      <c r="F218" s="15">
        <f>LN(Closes[[#This Row],[BTC]]/B219)</f>
        <v>8.994348047962987E-2</v>
      </c>
      <c r="G218" s="15">
        <f>LN(Closes[[#This Row],[SP500]]/C219)</f>
        <v>-1.1939974324694175E-3</v>
      </c>
      <c r="I218" s="1">
        <v>45355</v>
      </c>
      <c r="J218" s="15">
        <f>ABS(Percentages[[#This Row],[BTC %]])</f>
        <v>8.994348047962987E-2</v>
      </c>
      <c r="K218" s="15">
        <f>ABS(Percentages[[#This Row],[SP500 %]])</f>
        <v>1.1939974324694175E-3</v>
      </c>
    </row>
    <row r="219" spans="1:11" x14ac:dyDescent="0.2">
      <c r="A219" s="1">
        <v>45352</v>
      </c>
      <c r="B219">
        <v>62397.7</v>
      </c>
      <c r="C219">
        <v>5137.08</v>
      </c>
      <c r="E219" s="1">
        <v>45352</v>
      </c>
      <c r="F219" s="15">
        <f>LN(Closes[[#This Row],[BTC]]/B220)</f>
        <v>1.9882986050782751E-2</v>
      </c>
      <c r="G219" s="15">
        <f>LN(Closes[[#This Row],[SP500]]/C220)</f>
        <v>7.9759250577916968E-3</v>
      </c>
      <c r="I219" s="1">
        <v>45352</v>
      </c>
      <c r="J219" s="15">
        <f>ABS(Percentages[[#This Row],[BTC %]])</f>
        <v>1.9882986050782751E-2</v>
      </c>
      <c r="K219" s="15">
        <f>ABS(Percentages[[#This Row],[SP500 %]])</f>
        <v>7.9759250577916968E-3</v>
      </c>
    </row>
    <row r="220" spans="1:11" x14ac:dyDescent="0.2">
      <c r="A220" s="1">
        <v>45351</v>
      </c>
      <c r="B220">
        <v>61169.3</v>
      </c>
      <c r="C220">
        <v>5096.2700000000004</v>
      </c>
      <c r="E220" s="1">
        <v>45351</v>
      </c>
      <c r="F220" s="15">
        <f>LN(Closes[[#This Row],[BTC]]/B221)</f>
        <v>-2.100259265568815E-2</v>
      </c>
      <c r="G220" s="15">
        <f>LN(Closes[[#This Row],[SP500]]/C221)</f>
        <v>5.2154203933401618E-3</v>
      </c>
      <c r="I220" s="1">
        <v>45351</v>
      </c>
      <c r="J220" s="15">
        <f>ABS(Percentages[[#This Row],[BTC %]])</f>
        <v>2.100259265568815E-2</v>
      </c>
      <c r="K220" s="15">
        <f>ABS(Percentages[[#This Row],[SP500 %]])</f>
        <v>5.2154203933401618E-3</v>
      </c>
    </row>
    <row r="221" spans="1:11" x14ac:dyDescent="0.2">
      <c r="A221" s="1">
        <v>45350</v>
      </c>
      <c r="B221">
        <v>62467.6</v>
      </c>
      <c r="C221">
        <v>5069.76</v>
      </c>
      <c r="E221" s="1">
        <v>45350</v>
      </c>
      <c r="F221" s="15">
        <f>LN(Closes[[#This Row],[BTC]]/B222)</f>
        <v>9.061127532393469E-2</v>
      </c>
      <c r="G221" s="15">
        <f>LN(Closes[[#This Row],[SP500]]/C222)</f>
        <v>-1.659450476103029E-3</v>
      </c>
      <c r="I221" s="1">
        <v>45350</v>
      </c>
      <c r="J221" s="15">
        <f>ABS(Percentages[[#This Row],[BTC %]])</f>
        <v>9.061127532393469E-2</v>
      </c>
      <c r="K221" s="15">
        <f>ABS(Percentages[[#This Row],[SP500 %]])</f>
        <v>1.659450476103029E-3</v>
      </c>
    </row>
    <row r="222" spans="1:11" x14ac:dyDescent="0.2">
      <c r="A222" s="1">
        <v>45349</v>
      </c>
      <c r="B222">
        <v>57056.2</v>
      </c>
      <c r="C222">
        <v>5078.18</v>
      </c>
      <c r="E222" s="1">
        <v>45349</v>
      </c>
      <c r="F222" s="15">
        <f>LN(Closes[[#This Row],[BTC]]/B223)</f>
        <v>4.5925957632356948E-2</v>
      </c>
      <c r="G222" s="15">
        <f>LN(Closes[[#This Row],[SP500]]/C223)</f>
        <v>1.7048185442892359E-3</v>
      </c>
      <c r="I222" s="1">
        <v>45349</v>
      </c>
      <c r="J222" s="15">
        <f>ABS(Percentages[[#This Row],[BTC %]])</f>
        <v>4.5925957632356948E-2</v>
      </c>
      <c r="K222" s="15">
        <f>ABS(Percentages[[#This Row],[SP500 %]])</f>
        <v>1.7048185442892359E-3</v>
      </c>
    </row>
    <row r="223" spans="1:11" x14ac:dyDescent="0.2">
      <c r="A223" s="1">
        <v>45348</v>
      </c>
      <c r="B223">
        <v>54495.1</v>
      </c>
      <c r="C223">
        <v>5069.53</v>
      </c>
      <c r="E223" s="1">
        <v>45348</v>
      </c>
      <c r="F223" s="15">
        <f>LN(Closes[[#This Row],[BTC]]/B224)</f>
        <v>7.1386381089289311E-2</v>
      </c>
      <c r="G223" s="15">
        <f>LN(Closes[[#This Row],[SP500]]/C224)</f>
        <v>-3.7939352461026604E-3</v>
      </c>
      <c r="I223" s="1">
        <v>45348</v>
      </c>
      <c r="J223" s="15">
        <f>ABS(Percentages[[#This Row],[BTC %]])</f>
        <v>7.1386381089289311E-2</v>
      </c>
      <c r="K223" s="15">
        <f>ABS(Percentages[[#This Row],[SP500 %]])</f>
        <v>3.7939352461026604E-3</v>
      </c>
    </row>
    <row r="224" spans="1:11" x14ac:dyDescent="0.2">
      <c r="A224" s="1">
        <v>45345</v>
      </c>
      <c r="B224">
        <v>50740.5</v>
      </c>
      <c r="C224">
        <v>5088.8</v>
      </c>
      <c r="E224" s="1">
        <v>45345</v>
      </c>
      <c r="F224" s="15">
        <f>LN(Closes[[#This Row],[BTC]]/B225)</f>
        <v>-1.1363925668290158E-2</v>
      </c>
      <c r="G224" s="15">
        <f>LN(Closes[[#This Row],[SP500]]/C225)</f>
        <v>3.4788317372660206E-4</v>
      </c>
      <c r="I224" s="1">
        <v>45345</v>
      </c>
      <c r="J224" s="15">
        <f>ABS(Percentages[[#This Row],[BTC %]])</f>
        <v>1.1363925668290158E-2</v>
      </c>
      <c r="K224" s="15">
        <f>ABS(Percentages[[#This Row],[SP500 %]])</f>
        <v>3.4788317372660206E-4</v>
      </c>
    </row>
    <row r="225" spans="1:11" x14ac:dyDescent="0.2">
      <c r="A225" s="1">
        <v>45344</v>
      </c>
      <c r="B225">
        <v>51320.4</v>
      </c>
      <c r="C225">
        <v>5087.03</v>
      </c>
      <c r="E225" s="1">
        <v>45344</v>
      </c>
      <c r="F225" s="15">
        <f>LN(Closes[[#This Row],[BTC]]/B226)</f>
        <v>-1.0424736727354559E-2</v>
      </c>
      <c r="G225" s="15">
        <f>LN(Closes[[#This Row],[SP500]]/C226)</f>
        <v>2.0902891694828028E-2</v>
      </c>
      <c r="I225" s="1">
        <v>45344</v>
      </c>
      <c r="J225" s="15">
        <f>ABS(Percentages[[#This Row],[BTC %]])</f>
        <v>1.0424736727354559E-2</v>
      </c>
      <c r="K225" s="15">
        <f>ABS(Percentages[[#This Row],[SP500 %]])</f>
        <v>2.0902891694828028E-2</v>
      </c>
    </row>
    <row r="226" spans="1:11" x14ac:dyDescent="0.2">
      <c r="A226" s="1">
        <v>45343</v>
      </c>
      <c r="B226">
        <v>51858.2</v>
      </c>
      <c r="C226">
        <v>4981.8</v>
      </c>
      <c r="E226" s="1">
        <v>45343</v>
      </c>
      <c r="F226" s="15">
        <f>LN(Closes[[#This Row],[BTC]]/B227)</f>
        <v>-7.7851600013700327E-3</v>
      </c>
      <c r="G226" s="15">
        <f>LN(Closes[[#This Row],[SP500]]/C227)</f>
        <v>1.2633935945864823E-3</v>
      </c>
      <c r="I226" s="1">
        <v>45343</v>
      </c>
      <c r="J226" s="15">
        <f>ABS(Percentages[[#This Row],[BTC %]])</f>
        <v>7.7851600013700327E-3</v>
      </c>
      <c r="K226" s="15">
        <f>ABS(Percentages[[#This Row],[SP500 %]])</f>
        <v>1.2633935945864823E-3</v>
      </c>
    </row>
    <row r="227" spans="1:11" x14ac:dyDescent="0.2">
      <c r="A227" s="1">
        <v>45342</v>
      </c>
      <c r="B227">
        <v>52263.5</v>
      </c>
      <c r="C227">
        <v>4975.51</v>
      </c>
      <c r="E227" s="1">
        <v>45342</v>
      </c>
      <c r="F227" s="15">
        <f>LN(Closes[[#This Row],[BTC]]/B228)</f>
        <v>9.2247338583129352E-3</v>
      </c>
      <c r="G227" s="15">
        <f>LN(Closes[[#This Row],[SP500]]/C228)</f>
        <v>-6.0234144772223523E-3</v>
      </c>
      <c r="I227" s="1">
        <v>45342</v>
      </c>
      <c r="J227" s="15">
        <f>ABS(Percentages[[#This Row],[BTC %]])</f>
        <v>9.2247338583129352E-3</v>
      </c>
      <c r="K227" s="15">
        <f>ABS(Percentages[[#This Row],[SP500 %]])</f>
        <v>6.0234144772223523E-3</v>
      </c>
    </row>
    <row r="228" spans="1:11" x14ac:dyDescent="0.2">
      <c r="A228" s="1">
        <v>45341</v>
      </c>
      <c r="B228">
        <v>51783.6</v>
      </c>
      <c r="C228">
        <v>5005.57</v>
      </c>
      <c r="E228" s="1">
        <v>45341</v>
      </c>
      <c r="F228" s="15">
        <f>LN(Closes[[#This Row],[BTC]]/B229)</f>
        <v>-6.7476665261031674E-3</v>
      </c>
      <c r="G228" s="15">
        <f>LN(Closes[[#This Row],[SP500]]/C229)</f>
        <v>0</v>
      </c>
      <c r="I228" s="1">
        <v>45341</v>
      </c>
      <c r="J228" s="15">
        <f>ABS(Percentages[[#This Row],[BTC %]])</f>
        <v>6.7476665261031674E-3</v>
      </c>
      <c r="K228" s="15">
        <f>ABS(Percentages[[#This Row],[SP500 %]])</f>
        <v>0</v>
      </c>
    </row>
    <row r="229" spans="1:11" x14ac:dyDescent="0.2">
      <c r="A229" s="1">
        <v>45338</v>
      </c>
      <c r="B229">
        <v>52134.2</v>
      </c>
      <c r="C229">
        <v>5005.57</v>
      </c>
      <c r="E229" s="1">
        <v>45338</v>
      </c>
      <c r="F229" s="15">
        <f>LN(Closes[[#This Row],[BTC]]/B230)</f>
        <v>4.4773253181442253E-3</v>
      </c>
      <c r="G229" s="15">
        <f>LN(Closes[[#This Row],[SP500]]/C230)</f>
        <v>-4.8150123419915631E-3</v>
      </c>
      <c r="I229" s="1">
        <v>45338</v>
      </c>
      <c r="J229" s="15">
        <f>ABS(Percentages[[#This Row],[BTC %]])</f>
        <v>4.4773253181442253E-3</v>
      </c>
      <c r="K229" s="15">
        <f>ABS(Percentages[[#This Row],[SP500 %]])</f>
        <v>4.8150123419915631E-3</v>
      </c>
    </row>
    <row r="230" spans="1:11" x14ac:dyDescent="0.2">
      <c r="A230" s="1">
        <v>45337</v>
      </c>
      <c r="B230">
        <v>51901.3</v>
      </c>
      <c r="C230">
        <v>5029.7299999999996</v>
      </c>
      <c r="E230" s="1">
        <v>45337</v>
      </c>
      <c r="F230" s="15">
        <f>LN(Closes[[#This Row],[BTC]]/B231)</f>
        <v>2.2935148363709152E-3</v>
      </c>
      <c r="G230" s="15">
        <f>LN(Closes[[#This Row],[SP500]]/C231)</f>
        <v>5.8043999917945753E-3</v>
      </c>
      <c r="I230" s="1">
        <v>45337</v>
      </c>
      <c r="J230" s="15">
        <f>ABS(Percentages[[#This Row],[BTC %]])</f>
        <v>2.2935148363709152E-3</v>
      </c>
      <c r="K230" s="15">
        <f>ABS(Percentages[[#This Row],[SP500 %]])</f>
        <v>5.8043999917945753E-3</v>
      </c>
    </row>
    <row r="231" spans="1:11" x14ac:dyDescent="0.2">
      <c r="A231" s="1">
        <v>45336</v>
      </c>
      <c r="B231">
        <v>51782.400000000001</v>
      </c>
      <c r="C231">
        <v>5000.62</v>
      </c>
      <c r="E231" s="1">
        <v>45336</v>
      </c>
      <c r="F231" s="15">
        <f>LN(Closes[[#This Row],[BTC]]/B232)</f>
        <v>4.0723510308063808E-2</v>
      </c>
      <c r="G231" s="15">
        <f>LN(Closes[[#This Row],[SP500]]/C232)</f>
        <v>9.5341290968955009E-3</v>
      </c>
      <c r="I231" s="1">
        <v>45336</v>
      </c>
      <c r="J231" s="15">
        <f>ABS(Percentages[[#This Row],[BTC %]])</f>
        <v>4.0723510308063808E-2</v>
      </c>
      <c r="K231" s="15">
        <f>ABS(Percentages[[#This Row],[SP500 %]])</f>
        <v>9.5341290968955009E-3</v>
      </c>
    </row>
    <row r="232" spans="1:11" x14ac:dyDescent="0.2">
      <c r="A232" s="1">
        <v>45335</v>
      </c>
      <c r="B232">
        <v>49716</v>
      </c>
      <c r="C232">
        <v>4953.17</v>
      </c>
      <c r="E232" s="1">
        <v>45335</v>
      </c>
      <c r="F232" s="15">
        <f>LN(Closes[[#This Row],[BTC]]/B233)</f>
        <v>-4.521502867040385E-3</v>
      </c>
      <c r="G232" s="15">
        <f>LN(Closes[[#This Row],[SP500]]/C233)</f>
        <v>-1.3768624761212093E-2</v>
      </c>
      <c r="I232" s="1">
        <v>45335</v>
      </c>
      <c r="J232" s="15">
        <f>ABS(Percentages[[#This Row],[BTC %]])</f>
        <v>4.521502867040385E-3</v>
      </c>
      <c r="K232" s="15">
        <f>ABS(Percentages[[#This Row],[SP500 %]])</f>
        <v>1.3768624761212093E-2</v>
      </c>
    </row>
    <row r="233" spans="1:11" x14ac:dyDescent="0.2">
      <c r="A233" s="1">
        <v>45334</v>
      </c>
      <c r="B233">
        <v>49941.3</v>
      </c>
      <c r="C233">
        <v>5021.84</v>
      </c>
      <c r="E233" s="1">
        <v>45334</v>
      </c>
      <c r="F233" s="15">
        <f>LN(Closes[[#This Row],[BTC]]/B234)</f>
        <v>5.7991620991375094E-2</v>
      </c>
      <c r="G233" s="15">
        <f>LN(Closes[[#This Row],[SP500]]/C234)</f>
        <v>-9.4940022755554091E-4</v>
      </c>
      <c r="I233" s="1">
        <v>45334</v>
      </c>
      <c r="J233" s="15">
        <f>ABS(Percentages[[#This Row],[BTC %]])</f>
        <v>5.7991620991375094E-2</v>
      </c>
      <c r="K233" s="15">
        <f>ABS(Percentages[[#This Row],[SP500 %]])</f>
        <v>9.4940022755554091E-4</v>
      </c>
    </row>
    <row r="234" spans="1:11" x14ac:dyDescent="0.2">
      <c r="A234" s="1">
        <v>45331</v>
      </c>
      <c r="B234">
        <v>47127.5</v>
      </c>
      <c r="C234">
        <v>5026.6099999999997</v>
      </c>
      <c r="E234" s="1">
        <v>45331</v>
      </c>
      <c r="F234" s="15">
        <f>LN(Closes[[#This Row],[BTC]]/B235)</f>
        <v>3.9697576078406988E-2</v>
      </c>
      <c r="G234" s="15">
        <f>LN(Closes[[#This Row],[SP500]]/C235)</f>
        <v>5.7259755908601927E-3</v>
      </c>
      <c r="I234" s="1">
        <v>45331</v>
      </c>
      <c r="J234" s="15">
        <f>ABS(Percentages[[#This Row],[BTC %]])</f>
        <v>3.9697576078406988E-2</v>
      </c>
      <c r="K234" s="15">
        <f>ABS(Percentages[[#This Row],[SP500 %]])</f>
        <v>5.7259755908601927E-3</v>
      </c>
    </row>
    <row r="235" spans="1:11" x14ac:dyDescent="0.2">
      <c r="A235" s="1">
        <v>45330</v>
      </c>
      <c r="B235">
        <v>45293.3</v>
      </c>
      <c r="C235">
        <v>4997.91</v>
      </c>
      <c r="E235" s="1">
        <v>45330</v>
      </c>
      <c r="F235" s="15">
        <f>LN(Closes[[#This Row],[BTC]]/B236)</f>
        <v>2.1276425102440391E-2</v>
      </c>
      <c r="G235" s="15">
        <f>LN(Closes[[#This Row],[SP500]]/C236)</f>
        <v>5.7040100736248747E-4</v>
      </c>
      <c r="I235" s="1">
        <v>45330</v>
      </c>
      <c r="J235" s="15">
        <f>ABS(Percentages[[#This Row],[BTC %]])</f>
        <v>2.1276425102440391E-2</v>
      </c>
      <c r="K235" s="15">
        <f>ABS(Percentages[[#This Row],[SP500 %]])</f>
        <v>5.7040100736248747E-4</v>
      </c>
    </row>
    <row r="236" spans="1:11" x14ac:dyDescent="0.2">
      <c r="A236" s="1">
        <v>45329</v>
      </c>
      <c r="B236">
        <v>44339.8</v>
      </c>
      <c r="C236">
        <v>4995.0600000000004</v>
      </c>
      <c r="E236" s="1">
        <v>45329</v>
      </c>
      <c r="F236" s="15">
        <f>LN(Closes[[#This Row],[BTC]]/B237)</f>
        <v>2.8645120028436517E-2</v>
      </c>
      <c r="G236" s="15">
        <f>LN(Closes[[#This Row],[SP500]]/C237)</f>
        <v>8.2076669213310503E-3</v>
      </c>
      <c r="I236" s="1">
        <v>45329</v>
      </c>
      <c r="J236" s="15">
        <f>ABS(Percentages[[#This Row],[BTC %]])</f>
        <v>2.8645120028436517E-2</v>
      </c>
      <c r="K236" s="15">
        <f>ABS(Percentages[[#This Row],[SP500 %]])</f>
        <v>8.2076669213310503E-3</v>
      </c>
    </row>
    <row r="237" spans="1:11" x14ac:dyDescent="0.2">
      <c r="A237" s="1">
        <v>45328</v>
      </c>
      <c r="B237">
        <v>43087.7</v>
      </c>
      <c r="C237">
        <v>4954.2299999999996</v>
      </c>
      <c r="E237" s="1">
        <v>45328</v>
      </c>
      <c r="F237" s="15">
        <f>LN(Closes[[#This Row],[BTC]]/B238)</f>
        <v>9.104229235613142E-3</v>
      </c>
      <c r="G237" s="15">
        <f>LN(Closes[[#This Row],[SP500]]/C238)</f>
        <v>2.3077617284261594E-3</v>
      </c>
      <c r="I237" s="1">
        <v>45328</v>
      </c>
      <c r="J237" s="15">
        <f>ABS(Percentages[[#This Row],[BTC %]])</f>
        <v>9.104229235613142E-3</v>
      </c>
      <c r="K237" s="15">
        <f>ABS(Percentages[[#This Row],[SP500 %]])</f>
        <v>2.3077617284261594E-3</v>
      </c>
    </row>
    <row r="238" spans="1:11" x14ac:dyDescent="0.2">
      <c r="A238" s="1">
        <v>45327</v>
      </c>
      <c r="B238">
        <v>42697.2</v>
      </c>
      <c r="C238">
        <v>4942.8100000000004</v>
      </c>
      <c r="E238" s="1">
        <v>45327</v>
      </c>
      <c r="F238" s="15">
        <f>LN(Closes[[#This Row],[BTC]]/B239)</f>
        <v>-1.1584458224403125E-2</v>
      </c>
      <c r="G238" s="15">
        <f>LN(Closes[[#This Row],[SP500]]/C239)</f>
        <v>-3.191464135615035E-3</v>
      </c>
      <c r="I238" s="1">
        <v>45327</v>
      </c>
      <c r="J238" s="15">
        <f>ABS(Percentages[[#This Row],[BTC %]])</f>
        <v>1.1584458224403125E-2</v>
      </c>
      <c r="K238" s="15">
        <f>ABS(Percentages[[#This Row],[SP500 %]])</f>
        <v>3.191464135615035E-3</v>
      </c>
    </row>
    <row r="239" spans="1:11" x14ac:dyDescent="0.2">
      <c r="A239" s="1">
        <v>45324</v>
      </c>
      <c r="B239">
        <v>43194.7</v>
      </c>
      <c r="C239">
        <v>4958.6099999999997</v>
      </c>
      <c r="E239" s="1">
        <v>45324</v>
      </c>
      <c r="F239" s="15">
        <f>LN(Closes[[#This Row],[BTC]]/B240)</f>
        <v>2.6264530995495326E-3</v>
      </c>
      <c r="G239" s="15">
        <f>LN(Closes[[#This Row],[SP500]]/C240)</f>
        <v>1.0627786351803241E-2</v>
      </c>
      <c r="I239" s="1">
        <v>45324</v>
      </c>
      <c r="J239" s="15">
        <f>ABS(Percentages[[#This Row],[BTC %]])</f>
        <v>2.6264530995495326E-3</v>
      </c>
      <c r="K239" s="15">
        <f>ABS(Percentages[[#This Row],[SP500 %]])</f>
        <v>1.0627786351803241E-2</v>
      </c>
    </row>
    <row r="240" spans="1:11" x14ac:dyDescent="0.2">
      <c r="A240" s="1">
        <v>45323</v>
      </c>
      <c r="B240">
        <v>43081.4</v>
      </c>
      <c r="C240">
        <v>4906.1899999999996</v>
      </c>
      <c r="E240" s="1">
        <v>45323</v>
      </c>
      <c r="F240" s="15">
        <f>LN(Closes[[#This Row],[BTC]]/B241)</f>
        <v>1.1694947440336827E-2</v>
      </c>
      <c r="G240" s="15">
        <f>LN(Closes[[#This Row],[SP500]]/C241)</f>
        <v>1.2416277903485802E-2</v>
      </c>
      <c r="I240" s="1">
        <v>45323</v>
      </c>
      <c r="J240" s="15">
        <f>ABS(Percentages[[#This Row],[BTC %]])</f>
        <v>1.1694947440336827E-2</v>
      </c>
      <c r="K240" s="15">
        <f>ABS(Percentages[[#This Row],[SP500 %]])</f>
        <v>1.2416277903485802E-2</v>
      </c>
    </row>
    <row r="241" spans="1:11" x14ac:dyDescent="0.2">
      <c r="A241" s="1">
        <v>45322</v>
      </c>
      <c r="B241">
        <v>42580.5</v>
      </c>
      <c r="C241">
        <v>4845.6499999999996</v>
      </c>
      <c r="E241" s="1">
        <v>45322</v>
      </c>
      <c r="F241" s="15">
        <f>LN(Closes[[#This Row],[BTC]]/B242)</f>
        <v>-8.5517675466765322E-3</v>
      </c>
      <c r="G241" s="15">
        <f>LN(Closes[[#This Row],[SP500]]/C242)</f>
        <v>-1.6236787963987382E-2</v>
      </c>
      <c r="I241" s="1">
        <v>45322</v>
      </c>
      <c r="J241" s="15">
        <f>ABS(Percentages[[#This Row],[BTC %]])</f>
        <v>8.5517675466765322E-3</v>
      </c>
      <c r="K241" s="15">
        <f>ABS(Percentages[[#This Row],[SP500 %]])</f>
        <v>1.6236787963987382E-2</v>
      </c>
    </row>
    <row r="242" spans="1:11" x14ac:dyDescent="0.2">
      <c r="A242" s="1">
        <v>45321</v>
      </c>
      <c r="B242">
        <v>42946.2</v>
      </c>
      <c r="C242">
        <v>4924.97</v>
      </c>
      <c r="E242" s="1">
        <v>45321</v>
      </c>
      <c r="F242" s="15">
        <f>LN(Closes[[#This Row],[BTC]]/B243)</f>
        <v>-8.1998465149057363E-3</v>
      </c>
      <c r="G242" s="15">
        <f>LN(Closes[[#This Row],[SP500]]/C243)</f>
        <v>-6.0083834993726029E-4</v>
      </c>
      <c r="I242" s="1">
        <v>45321</v>
      </c>
      <c r="J242" s="15">
        <f>ABS(Percentages[[#This Row],[BTC %]])</f>
        <v>8.1998465149057363E-3</v>
      </c>
      <c r="K242" s="15">
        <f>ABS(Percentages[[#This Row],[SP500 %]])</f>
        <v>6.0083834993726029E-4</v>
      </c>
    </row>
    <row r="243" spans="1:11" x14ac:dyDescent="0.2">
      <c r="A243" s="1">
        <v>45320</v>
      </c>
      <c r="B243">
        <v>43299.8</v>
      </c>
      <c r="C243">
        <v>4927.93</v>
      </c>
      <c r="E243" s="1">
        <v>45320</v>
      </c>
      <c r="F243" s="15">
        <f>LN(Closes[[#This Row],[BTC]]/B244)</f>
        <v>3.4981378135094901E-2</v>
      </c>
      <c r="G243" s="15">
        <f>LN(Closes[[#This Row],[SP500]]/C244)</f>
        <v>7.5283737614565433E-3</v>
      </c>
      <c r="I243" s="1">
        <v>45320</v>
      </c>
      <c r="J243" s="15">
        <f>ABS(Percentages[[#This Row],[BTC %]])</f>
        <v>3.4981378135094901E-2</v>
      </c>
      <c r="K243" s="15">
        <f>ABS(Percentages[[#This Row],[SP500 %]])</f>
        <v>7.5283737614565433E-3</v>
      </c>
    </row>
    <row r="244" spans="1:11" x14ac:dyDescent="0.2">
      <c r="A244" s="1">
        <v>45317</v>
      </c>
      <c r="B244">
        <v>41811.300000000003</v>
      </c>
      <c r="C244">
        <v>4890.97</v>
      </c>
      <c r="E244" s="1">
        <v>45317</v>
      </c>
      <c r="F244" s="15">
        <f>LN(Closes[[#This Row],[BTC]]/B245)</f>
        <v>4.589597722552153E-2</v>
      </c>
      <c r="G244" s="15">
        <f>LN(Closes[[#This Row],[SP500]]/C245)</f>
        <v>-6.52009756234213E-4</v>
      </c>
      <c r="I244" s="1">
        <v>45317</v>
      </c>
      <c r="J244" s="15">
        <f>ABS(Percentages[[#This Row],[BTC %]])</f>
        <v>4.589597722552153E-2</v>
      </c>
      <c r="K244" s="15">
        <f>ABS(Percentages[[#This Row],[SP500 %]])</f>
        <v>6.52009756234213E-4</v>
      </c>
    </row>
    <row r="245" spans="1:11" x14ac:dyDescent="0.2">
      <c r="A245" s="1">
        <v>45316</v>
      </c>
      <c r="B245">
        <v>39935.699999999997</v>
      </c>
      <c r="C245">
        <v>4894.16</v>
      </c>
      <c r="E245" s="1">
        <v>45316</v>
      </c>
      <c r="F245" s="15">
        <f>LN(Closes[[#This Row],[BTC]]/B246)</f>
        <v>-3.7564854718789612E-3</v>
      </c>
      <c r="G245" s="15">
        <f>LN(Closes[[#This Row],[SP500]]/C246)</f>
        <v>5.2465060919916033E-3</v>
      </c>
      <c r="I245" s="1">
        <v>45316</v>
      </c>
      <c r="J245" s="15">
        <f>ABS(Percentages[[#This Row],[BTC %]])</f>
        <v>3.7564854718789612E-3</v>
      </c>
      <c r="K245" s="15">
        <f>ABS(Percentages[[#This Row],[SP500 %]])</f>
        <v>5.2465060919916033E-3</v>
      </c>
    </row>
    <row r="246" spans="1:11" x14ac:dyDescent="0.2">
      <c r="A246" s="1">
        <v>45315</v>
      </c>
      <c r="B246">
        <v>40086</v>
      </c>
      <c r="C246">
        <v>4868.55</v>
      </c>
      <c r="E246" s="1">
        <v>45315</v>
      </c>
      <c r="F246" s="15">
        <f>LN(Closes[[#This Row],[BTC]]/B247)</f>
        <v>4.9315634340747977E-3</v>
      </c>
      <c r="G246" s="15">
        <f>LN(Closes[[#This Row],[SP500]]/C247)</f>
        <v>8.1165916827587409E-4</v>
      </c>
      <c r="I246" s="1">
        <v>45315</v>
      </c>
      <c r="J246" s="15">
        <f>ABS(Percentages[[#This Row],[BTC %]])</f>
        <v>4.9315634340747977E-3</v>
      </c>
      <c r="K246" s="15">
        <f>ABS(Percentages[[#This Row],[SP500 %]])</f>
        <v>8.1165916827587409E-4</v>
      </c>
    </row>
    <row r="247" spans="1:11" x14ac:dyDescent="0.2">
      <c r="A247" s="1">
        <v>45314</v>
      </c>
      <c r="B247">
        <v>39888.800000000003</v>
      </c>
      <c r="C247">
        <v>4864.6000000000004</v>
      </c>
      <c r="E247" s="1">
        <v>45314</v>
      </c>
      <c r="F247" s="15">
        <f>LN(Closes[[#This Row],[BTC]]/B248)</f>
        <v>8.3680811347745208E-3</v>
      </c>
      <c r="G247" s="15">
        <f>LN(Closes[[#This Row],[SP500]]/C248)</f>
        <v>2.917131506229948E-3</v>
      </c>
      <c r="I247" s="1">
        <v>45314</v>
      </c>
      <c r="J247" s="15">
        <f>ABS(Percentages[[#This Row],[BTC %]])</f>
        <v>8.3680811347745208E-3</v>
      </c>
      <c r="K247" s="15">
        <f>ABS(Percentages[[#This Row],[SP500 %]])</f>
        <v>2.917131506229948E-3</v>
      </c>
    </row>
    <row r="248" spans="1:11" x14ac:dyDescent="0.2">
      <c r="A248" s="1">
        <v>45313</v>
      </c>
      <c r="B248">
        <v>39556.400000000001</v>
      </c>
      <c r="C248">
        <v>4850.43</v>
      </c>
      <c r="E248" s="1">
        <v>45313</v>
      </c>
      <c r="F248" s="15">
        <f>LN(Closes[[#This Row],[BTC]]/B249)</f>
        <v>-5.152584664966376E-2</v>
      </c>
      <c r="G248" s="15">
        <f>LN(Closes[[#This Row],[SP500]]/C249)</f>
        <v>2.1918970535104105E-3</v>
      </c>
      <c r="I248" s="1">
        <v>45313</v>
      </c>
      <c r="J248" s="15">
        <f>ABS(Percentages[[#This Row],[BTC %]])</f>
        <v>5.152584664966376E-2</v>
      </c>
      <c r="K248" s="15">
        <f>ABS(Percentages[[#This Row],[SP500 %]])</f>
        <v>2.1918970535104105E-3</v>
      </c>
    </row>
    <row r="249" spans="1:11" x14ac:dyDescent="0.2">
      <c r="A249" s="1">
        <v>45310</v>
      </c>
      <c r="B249">
        <v>41648</v>
      </c>
      <c r="C249">
        <v>4839.8100000000004</v>
      </c>
      <c r="E249" s="1">
        <v>45310</v>
      </c>
      <c r="F249" s="15">
        <f>LN(Closes[[#This Row],[BTC]]/B250)</f>
        <v>8.5676193562497002E-3</v>
      </c>
      <c r="G249" s="15">
        <f>LN(Closes[[#This Row],[SP500]]/C250)</f>
        <v>1.2238283870230153E-2</v>
      </c>
      <c r="I249" s="1">
        <v>45310</v>
      </c>
      <c r="J249" s="15">
        <f>ABS(Percentages[[#This Row],[BTC %]])</f>
        <v>8.5676193562497002E-3</v>
      </c>
      <c r="K249" s="15">
        <f>ABS(Percentages[[#This Row],[SP500 %]])</f>
        <v>1.2238283870230153E-2</v>
      </c>
    </row>
    <row r="250" spans="1:11" x14ac:dyDescent="0.2">
      <c r="A250" s="1">
        <v>45309</v>
      </c>
      <c r="B250">
        <v>41292.699999999997</v>
      </c>
      <c r="C250">
        <v>4780.9399999999996</v>
      </c>
      <c r="E250" s="1">
        <v>45309</v>
      </c>
      <c r="F250" s="15">
        <f>LN(Closes[[#This Row],[BTC]]/B251)</f>
        <v>-3.5120797744137677E-2</v>
      </c>
      <c r="G250" s="15">
        <f>LN(Closes[[#This Row],[SP500]]/C251)</f>
        <v>8.7667247395320728E-3</v>
      </c>
      <c r="I250" s="1">
        <v>45309</v>
      </c>
      <c r="J250" s="15">
        <f>ABS(Percentages[[#This Row],[BTC %]])</f>
        <v>3.5120797744137677E-2</v>
      </c>
      <c r="K250" s="15">
        <f>ABS(Percentages[[#This Row],[SP500 %]])</f>
        <v>8.7667247395320728E-3</v>
      </c>
    </row>
    <row r="251" spans="1:11" x14ac:dyDescent="0.2">
      <c r="A251" s="1">
        <v>45308</v>
      </c>
      <c r="B251">
        <v>42768.7</v>
      </c>
      <c r="C251">
        <v>4739.21</v>
      </c>
      <c r="E251" s="1">
        <v>45308</v>
      </c>
      <c r="F251" s="15">
        <f>LN(Closes[[#This Row],[BTC]]/B252)</f>
        <v>-8.771598081392773E-3</v>
      </c>
      <c r="G251" s="15">
        <f>LN(Closes[[#This Row],[SP500]]/C252)</f>
        <v>-5.6327271267556144E-3</v>
      </c>
      <c r="I251" s="1">
        <v>45308</v>
      </c>
      <c r="J251" s="15">
        <f>ABS(Percentages[[#This Row],[BTC %]])</f>
        <v>8.771598081392773E-3</v>
      </c>
      <c r="K251" s="15">
        <f>ABS(Percentages[[#This Row],[SP500 %]])</f>
        <v>5.6327271267556144E-3</v>
      </c>
    </row>
    <row r="252" spans="1:11" x14ac:dyDescent="0.2">
      <c r="A252" s="1">
        <v>45307</v>
      </c>
      <c r="B252">
        <v>43145.5</v>
      </c>
      <c r="C252">
        <v>4765.9799999999996</v>
      </c>
      <c r="E252" s="1">
        <v>45307</v>
      </c>
      <c r="F252" s="15">
        <f>LN(Closes[[#This Row],[BTC]]/B253)</f>
        <v>1.4822315772652099E-2</v>
      </c>
      <c r="G252" s="15">
        <f>LN(Closes[[#This Row],[SP500]]/C253)</f>
        <v>-3.7382986232446964E-3</v>
      </c>
      <c r="I252" s="1">
        <v>45307</v>
      </c>
      <c r="J252" s="15">
        <f>ABS(Percentages[[#This Row],[BTC %]])</f>
        <v>1.4822315772652099E-2</v>
      </c>
      <c r="K252" s="15">
        <f>ABS(Percentages[[#This Row],[SP500 %]])</f>
        <v>3.7382986232446964E-3</v>
      </c>
    </row>
    <row r="253" spans="1:11" x14ac:dyDescent="0.2">
      <c r="A253" s="1">
        <v>45306</v>
      </c>
      <c r="B253">
        <v>42510.7</v>
      </c>
      <c r="C253">
        <v>4783.83</v>
      </c>
      <c r="E253" s="1">
        <v>45306</v>
      </c>
      <c r="F253" s="15">
        <f>LN(Closes[[#This Row],[BTC]]/B254)</f>
        <v>-7.620727102052853E-3</v>
      </c>
      <c r="G253" s="15">
        <f>LN(Closes[[#This Row],[SP500]]/C254)</f>
        <v>0</v>
      </c>
      <c r="I253" s="1">
        <v>45306</v>
      </c>
      <c r="J253" s="15">
        <f>ABS(Percentages[[#This Row],[BTC %]])</f>
        <v>7.620727102052853E-3</v>
      </c>
      <c r="K253" s="15">
        <f>ABS(Percentages[[#This Row],[SP500 %]])</f>
        <v>0</v>
      </c>
    </row>
    <row r="254" spans="1:11" x14ac:dyDescent="0.2">
      <c r="A254" s="1">
        <v>45303</v>
      </c>
      <c r="B254">
        <v>42835.9</v>
      </c>
      <c r="C254">
        <v>4783.83</v>
      </c>
      <c r="E254" s="1">
        <v>45303</v>
      </c>
      <c r="F254" s="15">
        <f>LN(Closes[[#This Row],[BTC]]/B255)</f>
        <v>-7.8805920255420464E-2</v>
      </c>
      <c r="G254" s="15">
        <f>LN(Closes[[#This Row],[SP500]]/C255)</f>
        <v>7.5072645194105983E-4</v>
      </c>
      <c r="I254" s="1">
        <v>45303</v>
      </c>
      <c r="J254" s="15">
        <f>ABS(Percentages[[#This Row],[BTC %]])</f>
        <v>7.8805920255420464E-2</v>
      </c>
      <c r="K254" s="15">
        <f>ABS(Percentages[[#This Row],[SP500 %]])</f>
        <v>7.5072645194105983E-4</v>
      </c>
    </row>
    <row r="255" spans="1:11" x14ac:dyDescent="0.2">
      <c r="A255" s="1">
        <v>45302</v>
      </c>
      <c r="B255">
        <v>46348.2</v>
      </c>
      <c r="C255">
        <v>4780.24</v>
      </c>
      <c r="E255" s="1">
        <v>45302</v>
      </c>
      <c r="F255" s="15">
        <f>LN(Closes[[#This Row],[BTC]]/B256)</f>
        <v>-6.0466426062581492E-3</v>
      </c>
      <c r="G255" s="15">
        <f>LN(Closes[[#This Row],[SP500]]/C256)</f>
        <v>-6.7128903604016395E-4</v>
      </c>
      <c r="I255" s="1">
        <v>45302</v>
      </c>
      <c r="J255" s="15">
        <f>ABS(Percentages[[#This Row],[BTC %]])</f>
        <v>6.0466426062581492E-3</v>
      </c>
      <c r="K255" s="15">
        <f>ABS(Percentages[[#This Row],[SP500 %]])</f>
        <v>6.7128903604016395E-4</v>
      </c>
    </row>
    <row r="256" spans="1:11" x14ac:dyDescent="0.2">
      <c r="A256" s="1">
        <v>45301</v>
      </c>
      <c r="B256">
        <v>46629.3</v>
      </c>
      <c r="C256">
        <v>4783.45</v>
      </c>
      <c r="E256" s="1">
        <v>45301</v>
      </c>
      <c r="F256" s="15">
        <f>LN(Closes[[#This Row],[BTC]]/B257)</f>
        <v>1.0787279444706657E-2</v>
      </c>
      <c r="G256" s="15">
        <f>LN(Closes[[#This Row],[SP500]]/C257)</f>
        <v>5.6499398196109933E-3</v>
      </c>
      <c r="I256" s="1">
        <v>45301</v>
      </c>
      <c r="J256" s="15">
        <f>ABS(Percentages[[#This Row],[BTC %]])</f>
        <v>1.0787279444706657E-2</v>
      </c>
      <c r="K256" s="15">
        <f>ABS(Percentages[[#This Row],[SP500 %]])</f>
        <v>5.6499398196109933E-3</v>
      </c>
    </row>
    <row r="257" spans="1:11" x14ac:dyDescent="0.2">
      <c r="A257" s="1">
        <v>45300</v>
      </c>
      <c r="B257">
        <v>46129</v>
      </c>
      <c r="C257">
        <v>4756.5</v>
      </c>
      <c r="E257" s="1">
        <v>45300</v>
      </c>
      <c r="F257" s="15">
        <f>LN(Closes[[#This Row],[BTC]]/B258)</f>
        <v>-1.790120333622822E-2</v>
      </c>
      <c r="G257" s="15">
        <f>LN(Closes[[#This Row],[SP500]]/C258)</f>
        <v>-1.4789856520085827E-3</v>
      </c>
      <c r="I257" s="1">
        <v>45300</v>
      </c>
      <c r="J257" s="15">
        <f>ABS(Percentages[[#This Row],[BTC %]])</f>
        <v>1.790120333622822E-2</v>
      </c>
      <c r="K257" s="15">
        <f>ABS(Percentages[[#This Row],[SP500 %]])</f>
        <v>1.4789856520085827E-3</v>
      </c>
    </row>
    <row r="258" spans="1:11" x14ac:dyDescent="0.2">
      <c r="A258" s="1">
        <v>45299</v>
      </c>
      <c r="B258">
        <v>46962.2</v>
      </c>
      <c r="C258">
        <v>4763.54</v>
      </c>
      <c r="E258" s="1">
        <v>45299</v>
      </c>
      <c r="F258" s="15">
        <f>LN(Closes[[#This Row],[BTC]]/B259)</f>
        <v>6.1593822574698011E-2</v>
      </c>
      <c r="G258" s="15">
        <f>LN(Closes[[#This Row],[SP500]]/C259)</f>
        <v>1.4015987132365047E-2</v>
      </c>
      <c r="I258" s="1">
        <v>45299</v>
      </c>
      <c r="J258" s="15">
        <f>ABS(Percentages[[#This Row],[BTC %]])</f>
        <v>6.1593822574698011E-2</v>
      </c>
      <c r="K258" s="15">
        <f>ABS(Percentages[[#This Row],[SP500 %]])</f>
        <v>1.4015987132365047E-2</v>
      </c>
    </row>
    <row r="259" spans="1:11" x14ac:dyDescent="0.2">
      <c r="A259" s="1">
        <v>45296</v>
      </c>
      <c r="B259">
        <v>44156.9</v>
      </c>
      <c r="C259">
        <v>4697.24</v>
      </c>
      <c r="E259" s="1">
        <v>45296</v>
      </c>
      <c r="F259" s="15">
        <f>LN(Closes[[#This Row],[BTC]]/B260)</f>
        <v>-2.2646491662287105E-6</v>
      </c>
      <c r="G259" s="15">
        <f>LN(Closes[[#This Row],[SP500]]/C260)</f>
        <v>1.8240092336748459E-3</v>
      </c>
      <c r="I259" s="1">
        <v>45296</v>
      </c>
      <c r="J259" s="15">
        <f>ABS(Percentages[[#This Row],[BTC %]])</f>
        <v>2.2646491662287105E-6</v>
      </c>
      <c r="K259" s="15">
        <f>ABS(Percentages[[#This Row],[SP500 %]])</f>
        <v>1.8240092336748459E-3</v>
      </c>
    </row>
    <row r="260" spans="1:11" x14ac:dyDescent="0.2">
      <c r="A260" s="1">
        <v>45295</v>
      </c>
      <c r="B260">
        <v>44157</v>
      </c>
      <c r="C260">
        <v>4688.68</v>
      </c>
      <c r="E260" s="1">
        <v>45295</v>
      </c>
      <c r="F260" s="15">
        <f>LN(Closes[[#This Row],[BTC]]/B261)</f>
        <v>3.0370259857643137E-2</v>
      </c>
      <c r="G260" s="15">
        <f>LN(Closes[[#This Row],[SP500]]/C261)</f>
        <v>-3.434296699869414E-3</v>
      </c>
      <c r="I260" s="1">
        <v>45295</v>
      </c>
      <c r="J260" s="15">
        <f>ABS(Percentages[[#This Row],[BTC %]])</f>
        <v>3.0370259857643137E-2</v>
      </c>
      <c r="K260" s="15">
        <f>ABS(Percentages[[#This Row],[SP500 %]])</f>
        <v>3.434296699869414E-3</v>
      </c>
    </row>
    <row r="261" spans="1:11" x14ac:dyDescent="0.2">
      <c r="A261" s="1">
        <v>45294</v>
      </c>
      <c r="B261">
        <v>42836.1</v>
      </c>
      <c r="C261">
        <v>4704.8100000000004</v>
      </c>
      <c r="E261" s="1">
        <v>45294</v>
      </c>
      <c r="F261" s="15">
        <f>LN(Closes[[#This Row],[BTC]]/B262)</f>
        <v>-4.8029390345393677E-2</v>
      </c>
      <c r="G261" s="15">
        <f>LN(Closes[[#This Row],[SP500]]/C262)</f>
        <v>-8.0486143089745707E-3</v>
      </c>
      <c r="I261" s="1">
        <v>45294</v>
      </c>
      <c r="J261" s="15">
        <f>ABS(Percentages[[#This Row],[BTC %]])</f>
        <v>4.8029390345393677E-2</v>
      </c>
      <c r="K261" s="15">
        <f>ABS(Percentages[[#This Row],[SP500 %]])</f>
        <v>8.0486143089745707E-3</v>
      </c>
    </row>
    <row r="262" spans="1:11" x14ac:dyDescent="0.2">
      <c r="A262" s="1">
        <v>45293</v>
      </c>
      <c r="B262">
        <v>44943.7</v>
      </c>
      <c r="C262">
        <v>4742.83</v>
      </c>
      <c r="E262" s="1">
        <v>45293</v>
      </c>
      <c r="F262" s="15">
        <f>LN(Closes[[#This Row],[BTC]]/B263)</f>
        <v>1.7061442435943906E-2</v>
      </c>
      <c r="G262" s="15">
        <f>LN(Closes[[#This Row],[SP500]]/C263)</f>
        <v>-5.6745643799906032E-3</v>
      </c>
      <c r="I262" s="1">
        <v>45293</v>
      </c>
      <c r="J262" s="15">
        <f>ABS(Percentages[[#This Row],[BTC %]])</f>
        <v>1.7061442435943906E-2</v>
      </c>
      <c r="K262" s="15">
        <f>ABS(Percentages[[#This Row],[SP500 %]])</f>
        <v>5.6745643799906032E-3</v>
      </c>
    </row>
    <row r="263" spans="1:11" x14ac:dyDescent="0.2">
      <c r="A263" s="1">
        <v>45292</v>
      </c>
      <c r="B263">
        <v>44183.4</v>
      </c>
      <c r="C263">
        <v>4769.82</v>
      </c>
      <c r="E263" s="1">
        <v>45292</v>
      </c>
      <c r="I263" s="1">
        <v>45292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E50C-8B77-0146-8F9D-2D3CE1CBE855}">
  <sheetPr>
    <tabColor theme="9"/>
  </sheetPr>
  <dimension ref="A1:K22"/>
  <sheetViews>
    <sheetView tabSelected="1" zoomScale="150" zoomScaleNormal="150"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13.5" bestFit="1" customWidth="1"/>
    <col min="3" max="3" width="17" bestFit="1" customWidth="1"/>
    <col min="4" max="4" width="11.5" bestFit="1" customWidth="1"/>
    <col min="5" max="5" width="11" bestFit="1" customWidth="1"/>
    <col min="6" max="6" width="11.5" bestFit="1" customWidth="1"/>
    <col min="7" max="7" width="11" bestFit="1" customWidth="1"/>
    <col min="8" max="8" width="11.5" bestFit="1" customWidth="1"/>
    <col min="9" max="9" width="11" bestFit="1" customWidth="1"/>
    <col min="10" max="10" width="12.5" bestFit="1" customWidth="1"/>
    <col min="11" max="11" width="11" bestFit="1" customWidth="1"/>
  </cols>
  <sheetData>
    <row r="1" spans="1:11" ht="21" thickBot="1" x14ac:dyDescent="0.3">
      <c r="A1" s="11">
        <v>2024</v>
      </c>
      <c r="B1" s="11"/>
      <c r="C1" s="11"/>
      <c r="D1" s="30" t="s">
        <v>409</v>
      </c>
      <c r="E1" s="30"/>
      <c r="F1" s="30" t="s">
        <v>410</v>
      </c>
      <c r="G1" s="30"/>
      <c r="H1" s="30" t="s">
        <v>411</v>
      </c>
      <c r="I1" s="30"/>
      <c r="J1" s="30" t="s">
        <v>412</v>
      </c>
      <c r="K1" s="30"/>
    </row>
    <row r="2" spans="1:11" ht="20" thickTop="1" thickBot="1" x14ac:dyDescent="0.3">
      <c r="B2" s="19" t="s">
        <v>390</v>
      </c>
      <c r="C2" s="22" t="s">
        <v>336</v>
      </c>
      <c r="D2" s="19" t="s">
        <v>390</v>
      </c>
      <c r="E2" s="26" t="s">
        <v>336</v>
      </c>
      <c r="F2" s="19" t="s">
        <v>390</v>
      </c>
      <c r="G2" s="26" t="s">
        <v>336</v>
      </c>
      <c r="H2" s="19" t="s">
        <v>390</v>
      </c>
      <c r="I2" s="26" t="s">
        <v>336</v>
      </c>
      <c r="J2" s="19" t="s">
        <v>390</v>
      </c>
      <c r="K2" s="27" t="s">
        <v>336</v>
      </c>
    </row>
    <row r="3" spans="1:11" ht="17" thickTop="1" x14ac:dyDescent="0.2">
      <c r="A3" s="12" t="s">
        <v>391</v>
      </c>
      <c r="B3" s="20">
        <f>('2024_Coses'!B2-'2024_Coses'!B263)/'2024_Coses'!B263</f>
        <v>1.1174739834417449</v>
      </c>
      <c r="C3" s="23">
        <f>('2024_Coses'!C2-'2024_Coses'!C263)/'2024_Coses'!C263</f>
        <v>0.23309265339153271</v>
      </c>
      <c r="D3" s="20">
        <f>('2024_ClosesQ1'!B2-'2024_ClosesQ1'!B66)/'2024_ClosesQ1'!B66</f>
        <v>0.58140161237025656</v>
      </c>
      <c r="E3" s="23">
        <f>('2024_ClosesQ1'!C2-'2024_ClosesQ1'!C66)/'2024_ClosesQ1'!C66</f>
        <v>0.10158244965218828</v>
      </c>
      <c r="F3" s="20">
        <f>('2024_ClosesQ2'!B2-'2024_ClosesQ2'!B66)/'2024_ClosesQ2'!B66</f>
        <v>-0.13293877504148449</v>
      </c>
      <c r="G3" s="23">
        <f>('2024_ClosesQ2'!C2-'2024_ClosesQ2'!C66)/'2024_ClosesQ2'!C66</f>
        <v>4.1327136773733231E-2</v>
      </c>
      <c r="H3" s="20">
        <f>('2024_ClosesQ3'!B2-'2024_ClosesQ3'!B67)/'2024_ClosesQ3'!B67</f>
        <v>7.1410285561638248E-3</v>
      </c>
      <c r="I3" s="23">
        <f>('2024_ClosesQ3'!C2-'2024_ClosesQ3'!C67)/'2024_ClosesQ3'!C67</f>
        <v>5.2490461344014326E-2</v>
      </c>
      <c r="J3" s="20">
        <f>('2024_ClosesQ4'!B2-'2024_ClosesQ4'!B67)/'2024_ClosesQ4'!B67</f>
        <v>0.53787180182623628</v>
      </c>
      <c r="K3" s="28">
        <f>('2024_ClosesQ4'!C2-'2024_ClosesQ4'!C67)/'2024_ClosesQ4'!C67</f>
        <v>3.0283336982702011E-2</v>
      </c>
    </row>
    <row r="4" spans="1:11" x14ac:dyDescent="0.2">
      <c r="A4" s="12" t="s">
        <v>3</v>
      </c>
      <c r="B4" s="21">
        <f>MAX(Closes[BTC])</f>
        <v>106138.9</v>
      </c>
      <c r="C4" s="24">
        <f>MAX(Closes[SP500])</f>
        <v>6090.27</v>
      </c>
      <c r="D4" s="21">
        <f>MAX(_2024_ClosesQ1[Price])</f>
        <v>73066.3</v>
      </c>
      <c r="E4" s="24">
        <f>MAX(_2024_ClosesQ1[SP500.1])</f>
        <v>5254.35</v>
      </c>
      <c r="F4" s="21">
        <f>MAX(_2024_ClosesQ2[Price])</f>
        <v>71630.100000000006</v>
      </c>
      <c r="G4" s="24">
        <f>MAX(_2024_ClosesQ2[SP500.1])</f>
        <v>5487.03</v>
      </c>
      <c r="H4" s="21">
        <f>MAX(_2024_ClosesQ3[Price])</f>
        <v>67908.600000000006</v>
      </c>
      <c r="I4" s="24">
        <f>MAX(_2024_ClosesQ3[SP500.1])</f>
        <v>5762.48</v>
      </c>
      <c r="J4" s="21">
        <f>MAX(_2024_ClosesQ4[Price])</f>
        <v>106138.9</v>
      </c>
      <c r="K4" s="29">
        <f>MAX(_2024_ClosesQ4[SP500.1])</f>
        <v>6090.27</v>
      </c>
    </row>
    <row r="5" spans="1:11" x14ac:dyDescent="0.2">
      <c r="A5" s="12" t="s">
        <v>4</v>
      </c>
      <c r="B5" s="21">
        <f>MIN(Closes[BTC])</f>
        <v>39556.400000000001</v>
      </c>
      <c r="C5" s="24">
        <f>MIN(Closes[SP500])</f>
        <v>4688.68</v>
      </c>
      <c r="D5" s="21">
        <f>MIN(_2024_ClosesQ1[Price])</f>
        <v>39556.400000000001</v>
      </c>
      <c r="E5" s="24">
        <f>MIN(_2024_ClosesQ1[SP500.1])</f>
        <v>4688.68</v>
      </c>
      <c r="F5" s="21">
        <f>MIN(_2024_ClosesQ2[Price])</f>
        <v>58331.199999999997</v>
      </c>
      <c r="G5" s="24">
        <f>MIN(_2024_ClosesQ2[SP500.1])</f>
        <v>4967.2299999999996</v>
      </c>
      <c r="H5" s="21">
        <f>MIN(_2024_ClosesQ3[Price])</f>
        <v>53966.8</v>
      </c>
      <c r="I5" s="24">
        <f>MIN(_2024_ClosesQ3[SP500.1])</f>
        <v>5186.33</v>
      </c>
      <c r="J5" s="21">
        <f>MIN(_2024_ClosesQ4[Price])</f>
        <v>60316.2</v>
      </c>
      <c r="K5" s="29">
        <f>MIN(_2024_ClosesQ4[SP500.1])</f>
        <v>5695.94</v>
      </c>
    </row>
    <row r="6" spans="1:11" x14ac:dyDescent="0.2">
      <c r="A6" s="12" t="s">
        <v>392</v>
      </c>
      <c r="B6" s="20">
        <f>_xlfn.STDEV.P('2024_Coses'!F2:F262)*SQRT(263)</f>
        <v>1.1778037147342826</v>
      </c>
      <c r="C6" s="25">
        <f>_xlfn.STDEV.P('2024_Coses'!G2:G262)*SQRT(263)</f>
        <v>0.79863094839135285</v>
      </c>
      <c r="D6" s="20">
        <f>'2024_ClosesQ1'!H2</f>
        <v>0.30226622645329093</v>
      </c>
      <c r="E6" s="25">
        <f>'2024_ClosesQ1'!I2</f>
        <v>5.3843544762791629E-2</v>
      </c>
      <c r="F6" s="20">
        <f>'2024_ClosesQ2'!H2</f>
        <v>0.23652892561832525</v>
      </c>
      <c r="G6" s="25">
        <f>'2024_ClosesQ2'!I2</f>
        <v>5.2483860190384521E-2</v>
      </c>
      <c r="H6" s="20">
        <f>'2024_ClosesQ3'!H2</f>
        <v>0.29270539594947176</v>
      </c>
      <c r="I6" s="25">
        <f>'2024_ClosesQ3'!I2</f>
        <v>8.1477477968320652E-2</v>
      </c>
      <c r="J6" s="20">
        <f>'2024_ClosesQ4'!H2</f>
        <v>0.26239774595314969</v>
      </c>
      <c r="K6" s="28">
        <f>'2024_ClosesQ4'!I2</f>
        <v>6.2809945595043437E-2</v>
      </c>
    </row>
    <row r="7" spans="1:11" x14ac:dyDescent="0.2">
      <c r="B7" s="14"/>
      <c r="C7" s="14"/>
    </row>
    <row r="8" spans="1:11" x14ac:dyDescent="0.2">
      <c r="A8" s="12"/>
    </row>
    <row r="9" spans="1:11" x14ac:dyDescent="0.2">
      <c r="A9" s="16" t="s">
        <v>393</v>
      </c>
      <c r="B9" t="s">
        <v>407</v>
      </c>
      <c r="C9" t="s">
        <v>408</v>
      </c>
    </row>
    <row r="10" spans="1:11" x14ac:dyDescent="0.2">
      <c r="A10" s="17" t="s">
        <v>395</v>
      </c>
      <c r="B10" s="18">
        <v>43071.82608695652</v>
      </c>
      <c r="C10" s="18">
        <v>4802.0856521739133</v>
      </c>
    </row>
    <row r="11" spans="1:11" x14ac:dyDescent="0.2">
      <c r="A11" s="17" t="s">
        <v>396</v>
      </c>
      <c r="B11" s="18">
        <v>50354.819047619043</v>
      </c>
      <c r="C11" s="18">
        <v>5011.6571428571433</v>
      </c>
    </row>
    <row r="12" spans="1:11" x14ac:dyDescent="0.2">
      <c r="A12" s="17" t="s">
        <v>397</v>
      </c>
      <c r="B12" s="18">
        <v>68086.18095238095</v>
      </c>
      <c r="C12" s="18">
        <v>5174.5619047619039</v>
      </c>
    </row>
    <row r="13" spans="1:11" x14ac:dyDescent="0.2">
      <c r="A13" s="17" t="s">
        <v>398</v>
      </c>
      <c r="B13" s="18">
        <v>66002.463636363638</v>
      </c>
      <c r="C13" s="18">
        <v>5112.4927272727282</v>
      </c>
    </row>
    <row r="14" spans="1:11" x14ac:dyDescent="0.2">
      <c r="A14" s="17" t="s">
        <v>399</v>
      </c>
      <c r="B14" s="18">
        <v>65323.752173913053</v>
      </c>
      <c r="C14" s="18">
        <v>5252.5239130434775</v>
      </c>
    </row>
    <row r="15" spans="1:11" x14ac:dyDescent="0.2">
      <c r="A15" s="17" t="s">
        <v>400</v>
      </c>
      <c r="B15" s="18">
        <v>65958.430000000008</v>
      </c>
      <c r="C15" s="18">
        <v>5426.8034999999982</v>
      </c>
    </row>
    <row r="16" spans="1:11" x14ac:dyDescent="0.2">
      <c r="A16" s="17" t="s">
        <v>401</v>
      </c>
      <c r="B16" s="18">
        <v>62667.504347826092</v>
      </c>
      <c r="C16" s="18">
        <v>5541.0586956521747</v>
      </c>
    </row>
    <row r="17" spans="1:3" x14ac:dyDescent="0.2">
      <c r="A17" s="17" t="s">
        <v>402</v>
      </c>
      <c r="B17" s="18">
        <v>59704.127272727266</v>
      </c>
      <c r="C17" s="18">
        <v>5478.2145454545453</v>
      </c>
    </row>
    <row r="18" spans="1:3" x14ac:dyDescent="0.2">
      <c r="A18" s="17" t="s">
        <v>403</v>
      </c>
      <c r="B18" s="18">
        <v>60326.785714285703</v>
      </c>
      <c r="C18" s="18">
        <v>5614.2114285714297</v>
      </c>
    </row>
    <row r="19" spans="1:3" x14ac:dyDescent="0.2">
      <c r="A19" s="17" t="s">
        <v>404</v>
      </c>
      <c r="B19" s="18">
        <v>65671.465217391305</v>
      </c>
      <c r="C19" s="18">
        <v>5792.3195652173899</v>
      </c>
    </row>
    <row r="20" spans="1:3" x14ac:dyDescent="0.2">
      <c r="A20" s="17" t="s">
        <v>405</v>
      </c>
      <c r="B20" s="18">
        <v>87067.052380952387</v>
      </c>
      <c r="C20" s="18">
        <v>5933.1933333333336</v>
      </c>
    </row>
    <row r="21" spans="1:3" x14ac:dyDescent="0.2">
      <c r="A21" s="17" t="s">
        <v>406</v>
      </c>
      <c r="B21" s="18">
        <v>98208.763636363627</v>
      </c>
      <c r="C21" s="18">
        <v>6012.232727272728</v>
      </c>
    </row>
    <row r="22" spans="1:3" x14ac:dyDescent="0.2">
      <c r="A22" s="17" t="s">
        <v>394</v>
      </c>
      <c r="B22" s="18">
        <v>65926.460305343484</v>
      </c>
      <c r="C22" s="18">
        <v>5427.9792748091631</v>
      </c>
    </row>
  </sheetData>
  <mergeCells count="4">
    <mergeCell ref="D1:E1"/>
    <mergeCell ref="F1:G1"/>
    <mergeCell ref="H1:I1"/>
    <mergeCell ref="J1:K1"/>
  </mergeCells>
  <conditionalFormatting sqref="B3:C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{F0A273A8-5E02-0547-8805-3E1857CD7997}</x14:id>
        </ext>
      </extLst>
    </cfRule>
  </conditionalFormatting>
  <conditionalFormatting sqref="D3: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{D9EDBCC7-E44B-F44A-B798-67EEA21618FC}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273A8-5E02-0547-8805-3E1857CD7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B3:C3</xm:sqref>
        </x14:conditionalFormatting>
        <x14:conditionalFormatting xmlns:xm="http://schemas.microsoft.com/office/excel/2006/main">
          <x14:cfRule type="dataBar" id="{D9EDBCC7-E44B-F44A-B798-67EEA21618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D3:K3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C79D-B66D-7043-A981-51A2CC946CFB}">
  <sheetPr>
    <tabColor rgb="FFFF0000"/>
  </sheetPr>
  <dimension ref="A1"/>
  <sheetViews>
    <sheetView zoomScale="150" zoomScaleNormal="150" workbookViewId="0">
      <selection activeCell="P18" sqref="P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2E31FA-A2E6-2548-8B21-8984A5BF2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Bitcoin 2024 Incomplete</vt:lpstr>
      <vt:lpstr>Bitcoin_10 28 24-01 13 25</vt:lpstr>
      <vt:lpstr>SP500</vt:lpstr>
      <vt:lpstr>BTC 2024</vt:lpstr>
      <vt:lpstr>BTC 2014_Close</vt:lpstr>
      <vt:lpstr>SP500 2024</vt:lpstr>
      <vt:lpstr>2024_ClosesQ1</vt:lpstr>
      <vt:lpstr>2024_ClosesQ2</vt:lpstr>
      <vt:lpstr>2024_ClosesQ3</vt:lpstr>
      <vt:lpstr>2024_ClosesQ4</vt:lpstr>
      <vt:lpstr>2024_Coses</vt:lpstr>
      <vt:lpstr>DATA</vt:lpstr>
      <vt:lpstr>Query 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Brody Blanchard</dc:creator>
  <cp:lastModifiedBy>Brody Blanchard</cp:lastModifiedBy>
  <dcterms:created xsi:type="dcterms:W3CDTF">2025-04-08T18:16:29Z</dcterms:created>
  <dcterms:modified xsi:type="dcterms:W3CDTF">2025-04-24T18:59:24Z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2025-04-08T20:16:16Z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60674d90-206c-453a-b283-ee5b0a9253e4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