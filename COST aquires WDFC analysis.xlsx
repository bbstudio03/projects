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https://southern0-my.sharepoint.com/personal/blanchardb_southern_edu/Documents/Documents/F25/Corporate Finance/MA Project/"/>
    </mc:Choice>
  </mc:AlternateContent>
  <xr:revisionPtr revIDLastSave="3250" documentId="8_{C991FB09-657A-CE4C-A5F2-745D78FA4DBD}" xr6:coauthVersionLast="47" xr6:coauthVersionMax="47" xr10:uidLastSave="{1E36E18C-F9A4-DD46-A7AE-CCC35739FF8A}"/>
  <bookViews>
    <workbookView xWindow="-35840" yWindow="-3120" windowWidth="28800" windowHeight="17400" xr2:uid="{33053F89-DCDD-6641-81F7-A40CD91DFEB2}"/>
  </bookViews>
  <sheets>
    <sheet name="Exchange Ratio" sheetId="9" r:id="rId1"/>
    <sheet name="DCF" sheetId="1" r:id="rId2"/>
    <sheet name="DCF Real" sheetId="10" r:id="rId3"/>
    <sheet name="Relative Valuation" sheetId="4" r:id="rId4"/>
    <sheet name="Synergies" sheetId="7" r:id="rId5"/>
    <sheet name="Valuation Multplier" sheetId="8" r:id="rId6"/>
    <sheet name="ER Current Market" sheetId="3" r:id="rId7"/>
    <sheet name="Discount Rate" sheetId="2" r:id="rId8"/>
    <sheet name="Reverse Engineering DR" sheetId="6"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8" l="1"/>
  <c r="J20" i="7"/>
  <c r="J16" i="7"/>
  <c r="E26" i="10"/>
  <c r="F22" i="10"/>
  <c r="C22" i="4"/>
  <c r="M5" i="10"/>
  <c r="N5" i="10"/>
  <c r="L5" i="10"/>
  <c r="L4" i="10"/>
  <c r="M4" i="10"/>
  <c r="N4" i="10"/>
  <c r="K4" i="10"/>
  <c r="G12" i="10"/>
  <c r="G13" i="10" s="1"/>
  <c r="H12" i="10"/>
  <c r="I12" i="10"/>
  <c r="I13" i="10" s="1"/>
  <c r="J12" i="10"/>
  <c r="F12" i="10"/>
  <c r="F13" i="10" s="1"/>
  <c r="F17" i="10" s="1"/>
  <c r="E15" i="10"/>
  <c r="F14" i="10"/>
  <c r="G14" i="10" s="1"/>
  <c r="H14" i="10" s="1"/>
  <c r="I14" i="10" s="1"/>
  <c r="J14" i="10" s="1"/>
  <c r="F15" i="10"/>
  <c r="G15" i="10" s="1"/>
  <c r="H15" i="10" s="1"/>
  <c r="I15" i="10" s="1"/>
  <c r="J15" i="10" s="1"/>
  <c r="E17" i="10"/>
  <c r="H13" i="10"/>
  <c r="J13" i="10"/>
  <c r="E13" i="10"/>
  <c r="H3" i="10"/>
  <c r="H2" i="10"/>
  <c r="B17" i="10"/>
  <c r="B11" i="10"/>
  <c r="K17" i="4"/>
  <c r="K18" i="4" s="1"/>
  <c r="C9" i="9"/>
  <c r="F25" i="1"/>
  <c r="B25" i="1"/>
  <c r="D25" i="1"/>
  <c r="D26" i="1"/>
  <c r="C26" i="1"/>
  <c r="C25" i="1"/>
  <c r="B26" i="1"/>
  <c r="C28" i="4"/>
  <c r="C7" i="9"/>
  <c r="J17" i="10" l="1"/>
  <c r="I17" i="10"/>
  <c r="H17" i="10"/>
  <c r="G17" i="10"/>
  <c r="C36" i="4"/>
  <c r="B4" i="9"/>
  <c r="B9" i="9" s="1"/>
  <c r="B3" i="9"/>
  <c r="D7" i="9" s="1"/>
  <c r="K2" i="7"/>
  <c r="D18" i="4"/>
  <c r="C25" i="4" s="1"/>
  <c r="C18" i="4"/>
  <c r="C26" i="4" s="1"/>
  <c r="C27" i="4" s="1"/>
  <c r="C21" i="4"/>
  <c r="B3" i="3"/>
  <c r="B2" i="3"/>
  <c r="C13" i="8"/>
  <c r="C12" i="8"/>
  <c r="C3" i="8"/>
  <c r="C32" i="7"/>
  <c r="C34" i="7" s="1"/>
  <c r="J8" i="7" s="1"/>
  <c r="C17" i="7"/>
  <c r="J5" i="7" s="1"/>
  <c r="C37" i="7"/>
  <c r="C38" i="7" s="1"/>
  <c r="C40" i="7" s="1"/>
  <c r="J9" i="7" s="1"/>
  <c r="J18" i="7"/>
  <c r="J13" i="7" s="1"/>
  <c r="J7" i="7"/>
  <c r="C25" i="7"/>
  <c r="J10" i="7" s="1"/>
  <c r="L10" i="7" s="1"/>
  <c r="C20" i="7"/>
  <c r="J6" i="7" s="1"/>
  <c r="C11" i="7"/>
  <c r="J4" i="7" s="1"/>
  <c r="J25" i="6"/>
  <c r="M13" i="6"/>
  <c r="L13" i="6"/>
  <c r="K13" i="6"/>
  <c r="J13" i="6"/>
  <c r="C25" i="6"/>
  <c r="J18" i="6"/>
  <c r="J19" i="6" s="1"/>
  <c r="J12" i="6"/>
  <c r="D9" i="9" l="1"/>
  <c r="K6" i="7"/>
  <c r="K4" i="7"/>
  <c r="K5" i="7"/>
  <c r="L5" i="7" s="1"/>
  <c r="K8" i="7"/>
  <c r="L8" i="7" s="1"/>
  <c r="K7" i="7"/>
  <c r="L7" i="7" s="1"/>
  <c r="E28" i="4"/>
  <c r="B7" i="9" s="1"/>
  <c r="K9" i="7"/>
  <c r="L9" i="7" s="1"/>
  <c r="L6" i="7"/>
  <c r="L4" i="7"/>
  <c r="K6" i="6" a="1"/>
  <c r="K6" i="6" s="1"/>
  <c r="K5" i="6" a="1"/>
  <c r="K5" i="6" s="1"/>
  <c r="K4" i="6" a="1"/>
  <c r="K4" i="6" s="1"/>
  <c r="K3" i="6" a="1"/>
  <c r="K3" i="6" s="1"/>
  <c r="K12" i="6"/>
  <c r="L12" i="6"/>
  <c r="J14" i="6"/>
  <c r="K14" i="6"/>
  <c r="M14" i="6"/>
  <c r="L9" i="6"/>
  <c r="M12" i="6" s="1"/>
  <c r="F12" i="6"/>
  <c r="F13" i="6"/>
  <c r="E13" i="6"/>
  <c r="E14" i="6" s="1"/>
  <c r="D13" i="6"/>
  <c r="D14" i="6" s="1"/>
  <c r="C13" i="6"/>
  <c r="D3" i="6" a="1"/>
  <c r="D3" i="6" s="1"/>
  <c r="D6" i="6" a="1"/>
  <c r="D6" i="6" s="1"/>
  <c r="D5" i="6" a="1"/>
  <c r="D5" i="6" s="1"/>
  <c r="D4" i="6" a="1"/>
  <c r="D4" i="6" s="1"/>
  <c r="C12" i="6"/>
  <c r="D12" i="6"/>
  <c r="E12" i="6"/>
  <c r="C14" i="6"/>
  <c r="E9" i="6"/>
  <c r="C4" i="4"/>
  <c r="C5" i="4" s="1"/>
  <c r="C6" i="4" s="1"/>
  <c r="C7" i="4" s="1"/>
  <c r="B4" i="3"/>
  <c r="C4" i="7" s="1"/>
  <c r="L11" i="7" l="1"/>
  <c r="J14" i="7" s="1"/>
  <c r="L14" i="6"/>
  <c r="J21" i="6" s="1"/>
  <c r="F14" i="6"/>
  <c r="C18" i="6"/>
  <c r="C19" i="6" s="1"/>
  <c r="C21" i="6" s="1"/>
  <c r="C20" i="1"/>
  <c r="D20" i="1"/>
  <c r="B20" i="1"/>
  <c r="B1" i="1"/>
  <c r="D1" i="1" s="1"/>
  <c r="C10" i="1"/>
  <c r="C9" i="1"/>
  <c r="C8" i="1"/>
  <c r="C7" i="1"/>
  <c r="C6" i="1"/>
  <c r="C5" i="1"/>
  <c r="C4" i="1"/>
  <c r="B10" i="1"/>
  <c r="B9" i="1"/>
  <c r="B8" i="1"/>
  <c r="B7" i="1"/>
  <c r="B5" i="1"/>
  <c r="B6" i="1"/>
  <c r="B4" i="1"/>
  <c r="J15" i="7" l="1"/>
  <c r="C8" i="9"/>
  <c r="D8" i="9" s="1"/>
  <c r="J21" i="7" l="1"/>
  <c r="B8" i="9" s="1"/>
  <c r="J24" i="7"/>
  <c r="J25"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Weston Bredall</author>
  </authors>
  <commentList>
    <comment ref="B26" authorId="0" shapeId="0" xr:uid="{11DA40D5-8AD5-4596-A756-A62E60F642F7}">
      <text>
        <r>
          <rPr>
            <sz val="12"/>
            <color rgb="FF000000"/>
            <rFont val="Aptos Narrow"/>
            <family val="2"/>
          </rPr>
          <t xml:space="preserve">Weston Bredall
</t>
        </r>
        <r>
          <rPr>
            <sz val="12"/>
            <color rgb="FF000000"/>
            <rFont val="Aptos Narrow"/>
            <family val="2"/>
          </rPr>
          <t xml:space="preserve">Average Premium*Market Cap
</t>
        </r>
      </text>
    </comment>
    <comment ref="C35" authorId="0" shapeId="0" xr:uid="{534E3C4D-B4FA-43C0-B1DF-DDF3B1856E90}">
      <text>
        <r>
          <rPr>
            <sz val="12"/>
            <color rgb="FF000000"/>
            <rFont val="Aptos Narrow"/>
            <family val="2"/>
          </rPr>
          <t xml:space="preserve">Weston Bredall:
</t>
        </r>
        <r>
          <rPr>
            <sz val="12"/>
            <color rgb="FF000000"/>
            <rFont val="Aptos Narrow"/>
            <family val="2"/>
          </rPr>
          <t>Taking the high of the comps valuation because of the potential of the 52 week high valuation, and we still get value from the synergies.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2"/>
        </ext>
      </extLst>
    </bk>
    <bk>
      <extLst>
        <ext uri="{3e2802c4-a4d2-4d8b-9148-e3be6c30e623}">
          <xlrd:rvb i="5"/>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<sst xmlns="http://schemas.openxmlformats.org/spreadsheetml/2006/main" count="281" uniqueCount="215">
  <si>
    <t>Exchange Ratio</t>
  </si>
  <si>
    <t>WDFC Price</t>
  </si>
  <si>
    <t>COST Price</t>
  </si>
  <si>
    <t>Price</t>
  </si>
  <si>
    <t>Premium %</t>
  </si>
  <si>
    <t>Relative Valuation</t>
  </si>
  <si>
    <t>Synergy Valuation</t>
  </si>
  <si>
    <t>DCF Valuation</t>
  </si>
  <si>
    <t>Offer Range</t>
  </si>
  <si>
    <t>$230-260</t>
  </si>
  <si>
    <t>Costco</t>
  </si>
  <si>
    <t>Share Price</t>
  </si>
  <si>
    <t>Shares Outstanding</t>
  </si>
  <si>
    <t>Debt</t>
  </si>
  <si>
    <t>Cash</t>
  </si>
  <si>
    <t>EV</t>
  </si>
  <si>
    <t>Revenue</t>
  </si>
  <si>
    <t>EBITDA</t>
  </si>
  <si>
    <t>Net Income</t>
  </si>
  <si>
    <t>Multiple</t>
  </si>
  <si>
    <t>Comps</t>
  </si>
  <si>
    <t>Ratios</t>
  </si>
  <si>
    <t>EV/EBITDA</t>
  </si>
  <si>
    <t>EV/Revenue</t>
  </si>
  <si>
    <t>P/E</t>
  </si>
  <si>
    <t> </t>
  </si>
  <si>
    <t>EV/Rev</t>
  </si>
  <si>
    <t>EV/EBIT</t>
  </si>
  <si>
    <t>WD-40 COMPANY (XNAS:WDFC)</t>
  </si>
  <si>
    <t>Walmart</t>
  </si>
  <si>
    <t>QUAKER CHEMICAL CORPORATION (XNYS:KWR)</t>
  </si>
  <si>
    <t>BJ's Wholesale Club</t>
  </si>
  <si>
    <t>NEWELL BRANDS INC. (XNAS:NWL)</t>
  </si>
  <si>
    <t>Target</t>
  </si>
  <si>
    <t>Siemens Energy AG (XFRA:ENR)</t>
  </si>
  <si>
    <t>Amazon</t>
  </si>
  <si>
    <t>CENTRAL GARDEN &amp; PET COMPANY (XNAS:CENTA)</t>
  </si>
  <si>
    <t>Kroger</t>
  </si>
  <si>
    <t>Weighted Average</t>
  </si>
  <si>
    <t>Averages</t>
  </si>
  <si>
    <t>Price Range</t>
  </si>
  <si>
    <t>WDFC</t>
  </si>
  <si>
    <t>COSTCO</t>
  </si>
  <si>
    <t>Range</t>
  </si>
  <si>
    <t>$406.93 - $787.33</t>
  </si>
  <si>
    <t>WDFC Financials</t>
  </si>
  <si>
    <t>(Millions)</t>
  </si>
  <si>
    <t>Years</t>
  </si>
  <si>
    <t>wacc</t>
  </si>
  <si>
    <t>Revenues</t>
  </si>
  <si>
    <t>Current Assets</t>
  </si>
  <si>
    <t>EBIT</t>
  </si>
  <si>
    <t>Current Liabilities</t>
  </si>
  <si>
    <t>FCFS</t>
  </si>
  <si>
    <t>NWC</t>
  </si>
  <si>
    <t>Total Debt</t>
  </si>
  <si>
    <t>Changes in NWC</t>
  </si>
  <si>
    <t>N/A</t>
  </si>
  <si>
    <t>Working Cap</t>
  </si>
  <si>
    <t>Line Item ($ Millions)</t>
  </si>
  <si>
    <t>2025 (Base)</t>
  </si>
  <si>
    <t>2026 (Yr 1)</t>
  </si>
  <si>
    <t>2027 (Yr 2)</t>
  </si>
  <si>
    <t>2028 (Yr 3)</t>
  </si>
  <si>
    <t>2029 (Yr 4)</t>
  </si>
  <si>
    <t>2030 (Yr 5)</t>
  </si>
  <si>
    <t>Depreciation</t>
  </si>
  <si>
    <t>Capex</t>
  </si>
  <si>
    <t>Growth %</t>
  </si>
  <si>
    <t>-</t>
  </si>
  <si>
    <t>EBIT (Operating Income)</t>
  </si>
  <si>
    <t>Margin %</t>
  </si>
  <si>
    <t>Tax Rate</t>
  </si>
  <si>
    <t>Less: Taxes (25%)</t>
  </si>
  <si>
    <t>WACC</t>
  </si>
  <si>
    <t>NOPAT</t>
  </si>
  <si>
    <t>Beta</t>
  </si>
  <si>
    <t>Plus: D&amp;A</t>
  </si>
  <si>
    <t>Risk-Free Rate</t>
  </si>
  <si>
    <t>Less: CapEx</t>
  </si>
  <si>
    <t>Growth Rate</t>
  </si>
  <si>
    <t>Unlevered FCF</t>
  </si>
  <si>
    <t>FCFs</t>
  </si>
  <si>
    <t xml:space="preserve"> </t>
  </si>
  <si>
    <t>Psychological Factor</t>
  </si>
  <si>
    <t>52 Week High</t>
  </si>
  <si>
    <t>Premium</t>
  </si>
  <si>
    <t>Premium Value</t>
  </si>
  <si>
    <t>Implied Acquisition EV</t>
  </si>
  <si>
    <t>Equity Value per Share</t>
  </si>
  <si>
    <t>Precedent Transactions</t>
  </si>
  <si>
    <t>WD-40 is not a generic soap brand, it has the pricing power of its market</t>
  </si>
  <si>
    <t>from consumer sector:</t>
  </si>
  <si>
    <t>should be compared to loyalty cult brands</t>
  </si>
  <si>
    <t xml:space="preserve">Power Brand </t>
  </si>
  <si>
    <t>Valuation Multiple</t>
  </si>
  <si>
    <t>Mars buy Kellanova</t>
  </si>
  <si>
    <t>Campbells buys Sovos</t>
  </si>
  <si>
    <t>Perrigo buys HR Pharma</t>
  </si>
  <si>
    <t>SC Johnson buys Method &amp; Ecover</t>
  </si>
  <si>
    <t>Premium Average</t>
  </si>
  <si>
    <t>Stanley Black and Decker buys MTD</t>
  </si>
  <si>
    <t>Premium Valuation</t>
  </si>
  <si>
    <t>WDFC Shares outstanding (Millions)</t>
  </si>
  <si>
    <t>Costco Price</t>
  </si>
  <si>
    <t>WDFC Market Cap (In Billions)</t>
  </si>
  <si>
    <t>WDFC EBITDA (In  Millions)</t>
  </si>
  <si>
    <t>Implied EV = EBITDA x Peer Multiple</t>
  </si>
  <si>
    <t>Ratio</t>
  </si>
  <si>
    <t>Per Share</t>
  </si>
  <si>
    <t>Base Valuation</t>
  </si>
  <si>
    <t>$190-200</t>
  </si>
  <si>
    <t>Comps Valuation</t>
  </si>
  <si>
    <t>$250-260</t>
  </si>
  <si>
    <t>52 Week High Valuation</t>
  </si>
  <si>
    <t>$275-285</t>
  </si>
  <si>
    <t>Aquisition Price</t>
  </si>
  <si>
    <t>Total Aquisition Cost (Millions)</t>
  </si>
  <si>
    <t>All savings % are based from M&amp;A integration studies, industry reports, and case examples.</t>
  </si>
  <si>
    <t>x</t>
  </si>
  <si>
    <t>Synergy Item</t>
  </si>
  <si>
    <t xml:space="preserve">Annual Value </t>
  </si>
  <si>
    <t>Valuation muliplier (WACC)</t>
  </si>
  <si>
    <t>Value Creation (WACC)</t>
  </si>
  <si>
    <t>Raw Exchange ratio</t>
  </si>
  <si>
    <t>Min exchange</t>
  </si>
  <si>
    <t>Marketing</t>
  </si>
  <si>
    <t>Supply Chain</t>
  </si>
  <si>
    <t>Public Costs</t>
  </si>
  <si>
    <t>Synergies</t>
  </si>
  <si>
    <t>Marketing:</t>
  </si>
  <si>
    <t>Manufacturing Fees</t>
  </si>
  <si>
    <t>WDFC marketing</t>
  </si>
  <si>
    <t>Packaging</t>
  </si>
  <si>
    <t>Est savings %</t>
  </si>
  <si>
    <t>of budget, costco spends very little on ads</t>
  </si>
  <si>
    <t>WC release</t>
  </si>
  <si>
    <t>na</t>
  </si>
  <si>
    <t>annual saving</t>
  </si>
  <si>
    <t>WDFC Market Cap</t>
  </si>
  <si>
    <t>WDFC COGS</t>
  </si>
  <si>
    <t>Synergy Value</t>
  </si>
  <si>
    <t>Est Logistics cost %</t>
  </si>
  <si>
    <t>of COGS is logistics</t>
  </si>
  <si>
    <t>Max value to COSTCO</t>
  </si>
  <si>
    <t>once transferrd to COST logistics</t>
  </si>
  <si>
    <t>Max Exchange Ratio</t>
  </si>
  <si>
    <t>Annual Savings</t>
  </si>
  <si>
    <t>COST sys moves good directly from manufacturer to store, bypassing storage</t>
  </si>
  <si>
    <t>WDFC Shares</t>
  </si>
  <si>
    <t>Public company cost</t>
  </si>
  <si>
    <t>Removed</t>
  </si>
  <si>
    <t>Sharing of synergies%</t>
  </si>
  <si>
    <t>Target Share Price</t>
  </si>
  <si>
    <t>Preffered Exchange ratio</t>
  </si>
  <si>
    <t>Working Cap release</t>
  </si>
  <si>
    <t>WDFC A/R</t>
  </si>
  <si>
    <t>30-60 day payment</t>
  </si>
  <si>
    <t>WDFC Aquisition Price</t>
  </si>
  <si>
    <t>Est one-time payout %</t>
  </si>
  <si>
    <t xml:space="preserve">because COST gets paid instantly at the register and pays suppliers instantly so it has a negative WC. </t>
  </si>
  <si>
    <t>Max Value to COSTCO</t>
  </si>
  <si>
    <t>Est one-time payout</t>
  </si>
  <si>
    <t>This would make recievables efficient and open up cash</t>
  </si>
  <si>
    <t>Return on Investment</t>
  </si>
  <si>
    <t>WDFC Debt</t>
  </si>
  <si>
    <t xml:space="preserve">Annual Savings </t>
  </si>
  <si>
    <t>COST has a AA rating and will get better rates</t>
  </si>
  <si>
    <t>Manufacturing fees</t>
  </si>
  <si>
    <t>WDFC Manufacturing fees</t>
  </si>
  <si>
    <t>WDFC spends on a third party mixing and filling cans</t>
  </si>
  <si>
    <t>Man fees savings %</t>
  </si>
  <si>
    <t xml:space="preserve">COST guarantees massive, consistent volume that removes volatility. </t>
  </si>
  <si>
    <t>COST will renegotiate fees</t>
  </si>
  <si>
    <t xml:space="preserve">Tin-Plate &amp; Plastic Procurement </t>
  </si>
  <si>
    <t>Procurement Cost</t>
  </si>
  <si>
    <t>Packaging Cost</t>
  </si>
  <si>
    <t>COST leader in buying packaging, prices for them will go down</t>
  </si>
  <si>
    <t>Annual Savings %</t>
  </si>
  <si>
    <t>Perpetuity</t>
  </si>
  <si>
    <t>WDFC WACC</t>
  </si>
  <si>
    <t>GDP Growth</t>
  </si>
  <si>
    <t>Market</t>
  </si>
  <si>
    <t>COST P/E</t>
  </si>
  <si>
    <t>WDFC P/E</t>
  </si>
  <si>
    <t>Consumer Stapes P/E</t>
  </si>
  <si>
    <t>Exchange Ratio Based on Current Market Price</t>
  </si>
  <si>
    <t>if we payed zero premium</t>
  </si>
  <si>
    <t>Floor Cost of WDFC's shares</t>
  </si>
  <si>
    <t>COST shares for WDFC</t>
  </si>
  <si>
    <t>Rf</t>
  </si>
  <si>
    <t>US 10Y</t>
  </si>
  <si>
    <t>COST</t>
  </si>
  <si>
    <t>US 3M</t>
  </si>
  <si>
    <t>DDM</t>
  </si>
  <si>
    <t>Implied Return</t>
  </si>
  <si>
    <t>Implied GR</t>
  </si>
  <si>
    <t>Expected Market Return</t>
  </si>
  <si>
    <t>Y1</t>
  </si>
  <si>
    <t>Y2</t>
  </si>
  <si>
    <t>Y3</t>
  </si>
  <si>
    <t>Implied Rate</t>
  </si>
  <si>
    <t>growth</t>
  </si>
  <si>
    <t>Terminal</t>
  </si>
  <si>
    <t>CF</t>
  </si>
  <si>
    <t>Discount Factor</t>
  </si>
  <si>
    <t>PV</t>
  </si>
  <si>
    <t>Gordan Growth Formula</t>
  </si>
  <si>
    <t>Terminal Value</t>
  </si>
  <si>
    <t>PV TV</t>
  </si>
  <si>
    <t>Total Value</t>
  </si>
  <si>
    <t>What-if-analysis&gt; goal seek&gt;C21 set to stock price, changing implied rate</t>
  </si>
  <si>
    <t>implied rate</t>
  </si>
  <si>
    <t>This is the cost of equity from the market</t>
  </si>
  <si>
    <t>This project attempted to answer the question as to how much COST should pay to aquire WDFC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</si>
</sst>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8" formatCode="&quot;$&quot;#,##0.00_);[Red]\(&quot;$&quot;#,##0.00\)"/>
    <numFmt numFmtId="43" formatCode="_(* #,##0.00_);_(* \(#,##0.00\);_(* &quot;-&quot;??_);_(@_)"/>
    <numFmt numFmtId="164" formatCode="_(* #,##0_);_(* \(#,##0\);_(* &quot;-&quot;??_);_(@_)"/>
    <numFmt numFmtId="165" formatCode="&quot;$&quot;#,##0"/>
    <numFmt numFmtId="166" formatCode="&quot;$&quot;#,##0.00"/>
    <numFmt numFmtId="167" formatCode="0.000%"/>
    <numFmt numFmtId="168" formatCode="_(* #,##0.00000_);_(* \(#,##0.00000\);_(* &quot;-&quot;??_);_(@_)"/>
    <numFmt numFmtId="169" formatCode="_(* #,##0_);_(* \(#,##0\);_(* &quot;-&quot;?_);_(@_)"/>
    <numFmt numFmtId="170" formatCode="&quot;$&quot;#,##0.000"/>
  </numFmts>
  <fonts count="19">
    <font>
      <sz val="12"/>
      <color theme="1"/>
      <name val="Aptos Narrow"/>
      <family val="2"/>
      <scheme val="minor"/>
    </font>
    <font>
      <b/>
      <sz val="12"/>
      <color theme="1"/>
      <name val="Aptos Narrow"/>
      <family val="2"/>
      <scheme val="minor"/>
    </font>
    <font>
      <b/>
      <sz val="12"/>
      <color rgb="FF000000"/>
      <name val="Aptos Narrow"/>
      <scheme val="minor"/>
    </font>
    <font>
      <b/>
      <sz val="12"/>
      <color rgb="FF000000"/>
      <name val="Aptos Narrow"/>
      <family val="2"/>
      <scheme val="minor"/>
    </font>
    <font>
      <u/>
      <sz val="12"/>
      <color theme="1"/>
      <name val="Aptos Narrow"/>
      <family val="2"/>
      <scheme val="minor"/>
    </font>
    <font>
      <sz val="12"/>
      <color theme="1"/>
      <name val="Aptos Narrow"/>
      <family val="2"/>
      <scheme val="minor"/>
    </font>
    <font>
      <b/>
      <sz val="12"/>
      <color theme="1"/>
      <name val="Aptos Narrow"/>
      <scheme val="minor"/>
    </font>
    <font>
      <b/>
      <sz val="16"/>
      <color theme="1"/>
      <name val="Aptos Narrow"/>
      <scheme val="minor"/>
    </font>
    <font>
      <sz val="12"/>
      <color theme="1"/>
      <name val="Aptos Narrow"/>
      <scheme val="minor"/>
    </font>
    <font>
      <sz val="12"/>
      <color rgb="FF000000"/>
      <name val="Aptos Narrow"/>
      <family val="2"/>
    </font>
    <font>
      <sz val="12"/>
      <color rgb="FF000000"/>
      <name val="Helvetica Neue"/>
      <family val="2"/>
    </font>
    <font>
      <b/>
      <sz val="12"/>
      <color rgb="FF000000"/>
      <name val="Helvetica Neue"/>
      <family val="2"/>
    </font>
    <font>
      <sz val="11"/>
      <color rgb="FFE3E3E3"/>
      <name val="GT America"/>
      <charset val="1"/>
    </font>
    <font>
      <b/>
      <sz val="12"/>
      <color rgb="FF1F1F1F"/>
      <name val="Aptos Narrow"/>
      <scheme val="minor"/>
    </font>
    <font>
      <i/>
      <sz val="12"/>
      <color rgb="FF1F1F1F"/>
      <name val="Aptos Narrow"/>
      <scheme val="minor"/>
    </font>
    <font>
      <b/>
      <sz val="12"/>
      <color rgb="FF1F1F1F"/>
      <name val="Aptos Narrow"/>
      <family val="2"/>
      <scheme val="minor"/>
    </font>
    <font>
      <i/>
      <sz val="12"/>
      <color rgb="FF1F1F1F"/>
      <name val="Aptos Narrow"/>
      <family val="2"/>
      <scheme val="minor"/>
    </font>
    <font>
      <sz val="12"/>
      <color rgb="FF1F1F1F"/>
      <name val="Aptos Narrow"/>
      <family val="2"/>
      <scheme val="minor"/>
    </font>
    <font>
      <sz val="11"/>
      <color rgb="FF000000"/>
      <name val="Aptos Narrow"/>
      <scheme val="minor"/>
    </font>
  </fonts>
  <fills count="3">
    <fill>
      <patternFill patternType="none"/>
    </fill>
    <fill>
      <patternFill patternType="gray125"/>
    </fill>
    <fill>
      <patternFill patternType="solid">
        <fgColor theme="6" tint="0.79998168889431442"/>
        <bgColor indexed="64"/>
      </patternFill>
    </fill>
  </fills>
  <borders count="11">
    <border>
      <left/>
      <right/>
      <top/>
      <bottom/>
      <diagonal/>
    </border>
    <border>
      <left/>
      <right/>
      <top style="thin">
        <color rgb="FF000000"/>
      </top>
      <bottom/>
      <diagonal/>
    </border>
    <border>
      <left/>
      <right/>
      <top/>
      <bottom style="thin">
        <color indexed="64"/>
      </bottom>
      <diagonal/>
    </border>
    <border>
      <left/>
      <right/>
      <top/>
      <bottom style="thin">
        <color rgb="FF000000"/>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rgb="FF1F1F1F"/>
      </left>
      <right style="thin">
        <color rgb="FF1F1F1F"/>
      </right>
      <top style="thin">
        <color rgb="FF1F1F1F"/>
      </top>
      <bottom style="thin">
        <color rgb="FF1F1F1F"/>
      </bottom>
      <diagonal/>
    </border>
  </borders>
  <cellStyleXfs count="3">
    <xf numFmtId="0" fontId="0" fillId="0" borderId="0"/>
    <xf numFmtId="9" fontId="5" fillId="0" borderId="0" applyFont="0" applyFill="0" applyBorder="0" applyAlignment="0" applyProtection="0"/>
    <xf numFmtId="43" fontId="5" fillId="0" borderId="0" applyFont="0" applyFill="0" applyBorder="0" applyAlignment="0" applyProtection="0"/>
  </cellStyleXfs>
  <cellXfs count="58">
    <xf numFmtId="0" fontId="0" fillId="0" borderId="0" xfId="0"/>
    <xf numFmtId="3" fontId="0" fillId="0" borderId="0" xfId="0" applyNumberFormat="1"/>
    <xf numFmtId="164" fontId="0" fillId="0" borderId="0" xfId="0" applyNumberFormat="1"/>
    <xf numFmtId="0" fontId="1" fillId="0" borderId="0" xfId="0" applyFont="1"/>
    <xf numFmtId="165" fontId="0" fillId="0" borderId="0" xfId="0" applyNumberFormat="1"/>
    <xf numFmtId="0" fontId="2" fillId="0" borderId="0" xfId="0" applyFont="1"/>
    <xf numFmtId="14" fontId="0" fillId="0" borderId="0" xfId="0" applyNumberFormat="1"/>
    <xf numFmtId="0" fontId="3" fillId="0" borderId="0" xfId="0" applyFont="1"/>
    <xf numFmtId="0" fontId="4" fillId="0" borderId="0" xfId="0" applyFont="1"/>
    <xf numFmtId="0" fontId="0" fillId="0" borderId="1" xfId="0" applyBorder="1"/>
    <xf numFmtId="166" fontId="0" fillId="0" borderId="0" xfId="0" applyNumberFormat="1"/>
    <xf numFmtId="0" fontId="6" fillId="0" borderId="0" xfId="0" applyFont="1"/>
    <xf numFmtId="6" fontId="0" fillId="0" borderId="0" xfId="0" applyNumberFormat="1"/>
    <xf numFmtId="10" fontId="0" fillId="0" borderId="0" xfId="1" applyNumberFormat="1" applyFont="1"/>
    <xf numFmtId="0" fontId="7" fillId="0" borderId="0" xfId="0" applyFont="1"/>
    <xf numFmtId="0" fontId="8" fillId="0" borderId="0" xfId="0" applyFont="1"/>
    <xf numFmtId="0" fontId="0" fillId="0" borderId="2" xfId="0" applyBorder="1"/>
    <xf numFmtId="0" fontId="0" fillId="0" borderId="3" xfId="0" applyBorder="1"/>
    <xf numFmtId="2" fontId="0" fillId="0" borderId="2" xfId="0" applyNumberFormat="1" applyBorder="1"/>
    <xf numFmtId="0" fontId="1" fillId="0" borderId="3" xfId="0" applyFont="1" applyBorder="1"/>
    <xf numFmtId="167" fontId="0" fillId="0" borderId="0" xfId="1" applyNumberFormat="1" applyFont="1"/>
    <xf numFmtId="43" fontId="0" fillId="0" borderId="0" xfId="2" applyFont="1"/>
    <xf numFmtId="164" fontId="0" fillId="0" borderId="0" xfId="2" applyNumberFormat="1" applyFont="1"/>
    <xf numFmtId="0" fontId="0" fillId="0" borderId="0" xfId="0" applyAlignment="1">
      <alignment horizontal="center"/>
    </xf>
    <xf numFmtId="164" fontId="0" fillId="0" borderId="4" xfId="2" applyNumberFormat="1" applyFont="1" applyBorder="1"/>
    <xf numFmtId="164" fontId="0" fillId="0" borderId="4" xfId="0" applyNumberFormat="1" applyBorder="1"/>
    <xf numFmtId="43" fontId="0" fillId="0" borderId="0" xfId="0" applyNumberFormat="1"/>
    <xf numFmtId="169" fontId="0" fillId="0" borderId="0" xfId="0" applyNumberFormat="1"/>
    <xf numFmtId="0" fontId="0" fillId="2" borderId="0" xfId="0" applyFill="1"/>
    <xf numFmtId="6" fontId="1" fillId="0" borderId="0" xfId="0" applyNumberFormat="1" applyFont="1"/>
    <xf numFmtId="168" fontId="0" fillId="2" borderId="0" xfId="0" applyNumberFormat="1" applyFill="1"/>
    <xf numFmtId="0" fontId="10" fillId="0" borderId="5" xfId="0" applyFont="1" applyBorder="1"/>
    <xf numFmtId="0" fontId="11" fillId="0" borderId="6" xfId="0" applyFont="1" applyBorder="1"/>
    <xf numFmtId="0" fontId="10" fillId="0" borderId="7" xfId="0" applyFont="1" applyBorder="1"/>
    <xf numFmtId="0" fontId="10" fillId="0" borderId="0" xfId="0" applyFont="1"/>
    <xf numFmtId="0" fontId="10" fillId="0" borderId="8" xfId="0" applyFont="1" applyBorder="1"/>
    <xf numFmtId="0" fontId="10" fillId="0" borderId="9" xfId="0" applyFont="1" applyBorder="1"/>
    <xf numFmtId="0" fontId="11" fillId="0" borderId="7" xfId="0" applyFont="1" applyBorder="1"/>
    <xf numFmtId="0" fontId="11" fillId="0" borderId="0" xfId="0" applyFont="1"/>
    <xf numFmtId="8" fontId="10" fillId="0" borderId="9" xfId="0" applyNumberFormat="1" applyFont="1" applyBorder="1"/>
    <xf numFmtId="164" fontId="1" fillId="0" borderId="0" xfId="0" applyNumberFormat="1" applyFont="1"/>
    <xf numFmtId="167" fontId="0" fillId="0" borderId="0" xfId="0" applyNumberFormat="1"/>
    <xf numFmtId="10" fontId="0" fillId="0" borderId="0" xfId="0" applyNumberFormat="1"/>
    <xf numFmtId="9" fontId="0" fillId="0" borderId="0" xfId="0" applyNumberFormat="1"/>
    <xf numFmtId="3" fontId="12" fillId="0" borderId="0" xfId="0" applyNumberFormat="1" applyFont="1"/>
    <xf numFmtId="0" fontId="15" fillId="0" borderId="10" xfId="0" quotePrefix="1" applyFont="1" applyBorder="1" applyAlignment="1">
      <alignment readingOrder="1"/>
    </xf>
    <xf numFmtId="0" fontId="17" fillId="0" borderId="10" xfId="0" applyFont="1" applyBorder="1" applyAlignment="1">
      <alignment readingOrder="1"/>
    </xf>
    <xf numFmtId="0" fontId="16" fillId="0" borderId="10" xfId="0" applyFont="1" applyBorder="1" applyAlignment="1">
      <alignment readingOrder="1"/>
    </xf>
    <xf numFmtId="0" fontId="15" fillId="0" borderId="10" xfId="0" applyFont="1" applyBorder="1" applyAlignment="1">
      <alignment readingOrder="1"/>
    </xf>
    <xf numFmtId="2" fontId="14" fillId="0" borderId="10" xfId="0" applyNumberFormat="1" applyFont="1" applyBorder="1" applyAlignment="1">
      <alignment readingOrder="1"/>
    </xf>
    <xf numFmtId="2" fontId="16" fillId="0" borderId="10" xfId="0" applyNumberFormat="1" applyFont="1" applyBorder="1" applyAlignment="1">
      <alignment readingOrder="1"/>
    </xf>
    <xf numFmtId="2" fontId="13" fillId="0" borderId="10" xfId="0" applyNumberFormat="1" applyFont="1" applyBorder="1" applyAlignment="1">
      <alignment readingOrder="1"/>
    </xf>
    <xf numFmtId="2" fontId="15" fillId="0" borderId="10" xfId="0" applyNumberFormat="1" applyFont="1" applyBorder="1" applyAlignment="1">
      <alignment readingOrder="1"/>
    </xf>
    <xf numFmtId="2" fontId="14" fillId="0" borderId="10" xfId="0" quotePrefix="1" applyNumberFormat="1" applyFont="1" applyBorder="1" applyAlignment="1">
      <alignment readingOrder="1"/>
    </xf>
    <xf numFmtId="8" fontId="0" fillId="0" borderId="0" xfId="0" applyNumberFormat="1"/>
    <xf numFmtId="170" fontId="0" fillId="0" borderId="0" xfId="0" applyNumberFormat="1"/>
    <xf numFmtId="8" fontId="1" fillId="0" borderId="0" xfId="0" applyNumberFormat="1" applyFont="1"/>
    <xf numFmtId="0" fontId="18" fillId="0" borderId="0" xfId="0" applyFont="1"/>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xdr:from>
      <xdr:col>0</xdr:col>
      <xdr:colOff>647700</xdr:colOff>
      <xdr:row>5</xdr:row>
      <xdr:rowOff>190500</xdr:rowOff>
    </xdr:from>
    <xdr:to>
      <xdr:col>10</xdr:col>
      <xdr:colOff>190500</xdr:colOff>
      <xdr:row>16</xdr:row>
      <xdr:rowOff>152400</xdr:rowOff>
    </xdr:to>
    <xdr:sp macro="" textlink="">
      <xdr:nvSpPr>
        <xdr:cNvPr id="12" name="TextBox 1">
          <a:extLst>
            <a:ext uri="{FF2B5EF4-FFF2-40B4-BE49-F238E27FC236}">
              <a16:creationId xmlns:a16="http://schemas.microsoft.com/office/drawing/2014/main" id="{4E6B4602-B4CB-8AC9-A3F4-6E91D2A2CA45}"/>
            </a:ext>
          </a:extLst>
        </xdr:cNvPr>
        <xdr:cNvSpPr txBox="1"/>
      </xdr:nvSpPr>
      <xdr:spPr>
        <a:xfrm>
          <a:off x="647700" y="1190625"/>
          <a:ext cx="6400800" cy="21621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Strat 1</a:t>
          </a:r>
          <a:endParaRPr lang="en-US" sz="1100" b="0" i="0" u="none" strike="noStrike">
            <a:solidFill>
              <a:srgbClr val="000000"/>
            </a:solidFill>
            <a:latin typeface="+mn-lt"/>
            <a:ea typeface="+mn-lt"/>
            <a:cs typeface="+mn-lt"/>
          </a:endParaRPr>
        </a:p>
        <a:p>
          <a:pPr marL="0" indent="0" algn="l"/>
          <a:r>
            <a:rPr lang="en-US" sz="1100">
              <a:latin typeface="+mn-lt"/>
              <a:ea typeface="+mn-lt"/>
              <a:cs typeface="+mn-lt"/>
            </a:rPr>
            <a:t>Discount base business - steady cf at WACC, these are known realiable cf</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Discount synergies (cost savings and revenue uplifts) at higher rates as this reflections execution risk </a:t>
          </a:r>
        </a:p>
        <a:p>
          <a:pPr marL="0" indent="0" algn="l"/>
          <a:r>
            <a:rPr lang="en-US" sz="1100" b="0" i="0" u="none" strike="noStrike">
              <a:solidFill>
                <a:srgbClr val="000000"/>
              </a:solidFill>
              <a:latin typeface="Aptos Narrow" panose="020B0004020202020204" pitchFamily="34" charset="0"/>
            </a:rPr>
            <a:t>prevents us from overpaying for the optimistic parts of the deal</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Strat 2</a:t>
          </a:r>
        </a:p>
        <a:p>
          <a:pPr marL="0" indent="0" algn="l"/>
          <a:r>
            <a:rPr lang="en-US" sz="1100" b="0" i="0" u="none" strike="noStrike">
              <a:solidFill>
                <a:srgbClr val="000000"/>
              </a:solidFill>
              <a:latin typeface="Aptos Narrow" panose="020B0004020202020204" pitchFamily="34" charset="0"/>
            </a:rPr>
            <a:t>Risk is not constant. Use a higher discount rate the first 1-2y as this is the chaotic phase and then a steady rate onward</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Strat 3</a:t>
          </a:r>
        </a:p>
        <a:p>
          <a:pPr marL="0" indent="0" algn="l"/>
          <a:r>
            <a:rPr lang="en-US" sz="1100" b="0" i="0" u="none" strike="noStrike">
              <a:solidFill>
                <a:srgbClr val="000000"/>
              </a:solidFill>
              <a:latin typeface="Aptos Narrow" panose="020B0004020202020204" pitchFamily="34" charset="0"/>
            </a:rPr>
            <a:t>Reverse egineer the markets discount rate</a:t>
          </a:r>
        </a:p>
      </xdr:txBody>
    </xdr:sp>
    <xdr:clientData/>
  </xdr:twoCellAnchor>
  <xdr:twoCellAnchor>
    <xdr:from>
      <xdr:col>16</xdr:col>
      <xdr:colOff>19390</xdr:colOff>
      <xdr:row>1</xdr:row>
      <xdr:rowOff>9695</xdr:rowOff>
    </xdr:from>
    <xdr:to>
      <xdr:col>21</xdr:col>
      <xdr:colOff>261756</xdr:colOff>
      <xdr:row>6</xdr:row>
      <xdr:rowOff>19389</xdr:rowOff>
    </xdr:to>
    <xdr:sp macro="" textlink="">
      <xdr:nvSpPr>
        <xdr:cNvPr id="2" name="TextBox 1">
          <a:extLst>
            <a:ext uri="{FF2B5EF4-FFF2-40B4-BE49-F238E27FC236}">
              <a16:creationId xmlns:a16="http://schemas.microsoft.com/office/drawing/2014/main" id="{7F286788-0C23-863F-136E-CDD625BB4DF0}"/>
            </a:ext>
          </a:extLst>
        </xdr:cNvPr>
        <xdr:cNvSpPr txBox="1"/>
      </xdr:nvSpPr>
      <xdr:spPr>
        <a:xfrm>
          <a:off x="12942367" y="213283"/>
          <a:ext cx="3587023" cy="10276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a:t>
          </a:r>
          <a:r>
            <a:rPr lang="en-US" sz="1100" baseline="0"/>
            <a:t> ratio - COST = 50, WDFC = 29. So investors are paying $50 for $1 of COST earnings. or a premium to WDFC. THis means that COSCO doesnt need many shares to absorb WDFC and will increase the EPS. This is an Accretive Aquisition. COST will add more profit than the "cost" of adding more shares. </a:t>
          </a:r>
          <a:endParaRPr lang="en-US" sz="1100"/>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https://www.bing.com/financeapi/forcetrigger?t=a1q6k2&amp;q=XNAS%3aCOST&amp;form=skydnc</v>
    <v>Learn more on Bing</v>
  </rv>
  <rv s="1">
    <v>0</v>
    <v>COSTCO WHOLESALE CORPORATION (XNAS:COST)</v>
    <v>2</v>
    <v>3</v>
    <v>Finance</v>
    <v>4</v>
    <v>en-US</v>
    <v>a1q6k2</v>
    <v>268435456</v>
    <v>1</v>
    <v>Powered by Refinitiv</v>
    <v>1067.08</v>
    <v>844.06</v>
    <v>1.0036</v>
    <v>-8.02</v>
    <v>-7.9340000000000001E-3</v>
    <v>-0.27500000000000002</v>
    <v>-2.742E-4</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1020.82</v>
    <v>Diversified Retail</v>
    <v>Stock</v>
    <v>46083.967697383596</v>
    <v>0</v>
    <v>1002.49</v>
    <v>445098918238</v>
    <v>COSTCO WHOLESALE CORPORATION</v>
    <v>COSTCO WHOLESALE CORPORATION</v>
    <v>1010.91</v>
    <v>54.145099999999999</v>
    <v>1010.79</v>
    <v>1002.77</v>
    <v>1002.495</v>
    <v>443869400</v>
    <v>COST</v>
    <v>COSTCO WHOLESALE CORPORATION (XNAS:COST)</v>
    <v>1986902</v>
    <v>2194967</v>
    <v>1987</v>
  </rv>
  <rv s="2">
    <v>1</v>
  </rv>
  <rv s="0">
    <v>https://www.bing.com/financeapi/forcetrigger?t=a25rqh&amp;q=XNAS%3aWDFC&amp;form=skydnc</v>
    <v>Learn more on Bing</v>
  </rv>
  <rv s="1">
    <v>0</v>
    <v>WD-40 COMPANY (XNAS:WDFC)</v>
    <v>2</v>
    <v>3</v>
    <v>Finance</v>
    <v>5</v>
    <v>en-US</v>
    <v>a25rqh</v>
    <v>268435456</v>
    <v>1</v>
    <v>Powered by Refinitiv</v>
    <v>253.48009999999999</v>
    <v>175.38</v>
    <v>0.16700000000000001</v>
    <v>1.97</v>
    <v>8.2699999999999996E-3</v>
    <v>0</v>
    <v>0</v>
    <v>USD</v>
    <v>WD-40 Company is a global marketing company. The Company develops and sells products that solve problems in workshops, factories, and homes around the world. The Company owns a range of brands that include maintenance products and homecare and cleaning products: WD-40 Multi-Use Product, WD-40 Specialist, 3-IN-ONE, GT85, 2000 Flushes, no vac, Spot Shot, Lava, Solvol, X-14, and Carpet Fresh. The WD-40 Multi-Use Product is a maintenance product which acts as a lubricant, rust preventative, penetrant and moisture displacer. The Company markets and sells its products primarily through hardware stores, automotive parts outlets, industrial distributors and suppliers, mass retail and home center stores, farm supply and others. Its maintenance products are sold worldwide in markets throughout North, Central and South America, Asia, Australia, Europe, India, the Middle East and Africa. Its homecare and cleaning products are sold primarily in North America, the United Kingdom and Australia.</v>
    <v>714</v>
    <v>Nasdaq Stock Market</v>
    <v>XNAS</v>
    <v>XNAS</v>
    <v>9715 Businesspark Avenue, SAN DIEGO, CA, 92131 US</v>
    <v>241.09</v>
    <v>Personal &amp; Household Products &amp; Services</v>
    <v>Stock</v>
    <v>46083.888892638279</v>
    <v>3</v>
    <v>235.11</v>
    <v>3239004671</v>
    <v>WD-40 COMPANY</v>
    <v>WD-40 COMPANY</v>
    <v>238.2</v>
    <v>36.1875</v>
    <v>238.2</v>
    <v>240.17</v>
    <v>240.17</v>
    <v>13486300</v>
    <v>WDFC</v>
    <v>WD-40 COMPANY (XNAS:WDFC)</v>
    <v>133425</v>
    <v>158257</v>
    <v>1999</v>
  </rv>
  <rv s="2">
    <v>4</v>
  </rv>
</rvData>
</file>

<file path=xl/richData/rdrichvaluestructure.xml><?xml version="1.0" encoding="utf-8"?>
<rvStructures xmlns="http://schemas.microsoft.com/office/spreadsheetml/2017/richdata" count="3">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6">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m/d/yy\ h:mm"/>
    </x:dxf>
    <x:dxf>
      <x:numFmt numFmtId="1" formatCode="0"/>
    </x:dxf>
    <x:dxf>
      <x:numFmt numFmtId="2" formatCode="0.00"/>
    </x:dxf>
  </dxfs>
  <richProperties>
    <rPr n="NumberFormat" t="s"/>
    <rPr n="IsTitle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6667-C1C2-4440-9AED-B5563C5F2A1E}">
  <dimension ref="A1:F12"/>
  <sheetViews>
    <sheetView tabSelected="1" zoomScale="170" zoomScaleNormal="170" workbookViewId="0">
      <selection activeCell="F6" sqref="F6"/>
    </sheetView>
  </sheetViews>
  <sheetFormatPr baseColWidth="10" defaultColWidth="11" defaultRowHeight="16"/>
  <cols>
    <col min="1" max="1" width="15.83203125" bestFit="1" customWidth="1"/>
    <col min="2" max="2" width="12.6640625" customWidth="1"/>
    <col min="4" max="4" width="10.1640625" bestFit="1" customWidth="1"/>
  </cols>
  <sheetData>
    <row r="1" spans="1:6">
      <c r="A1" s="11" t="s">
        <v>0</v>
      </c>
    </row>
    <row r="3" spans="1:6">
      <c r="A3" t="s">
        <v>1</v>
      </c>
      <c r="B3">
        <f>DCF!C3</f>
        <v>190.73</v>
      </c>
      <c r="F3" s="57" t="s">
        <v>214</v>
      </c>
    </row>
    <row r="4" spans="1:6">
      <c r="A4" t="s">
        <v>2</v>
      </c>
      <c r="B4">
        <f>DCF!B3</f>
        <v>894.77</v>
      </c>
    </row>
    <row r="6" spans="1:6">
      <c r="B6" t="s">
        <v>0</v>
      </c>
      <c r="C6" t="s">
        <v>3</v>
      </c>
      <c r="D6" t="s">
        <v>4</v>
      </c>
    </row>
    <row r="7" spans="1:6">
      <c r="A7" t="s">
        <v>5</v>
      </c>
      <c r="B7">
        <f>'Relative Valuation'!E28</f>
        <v>0.28557178302977543</v>
      </c>
      <c r="C7">
        <f>'Relative Valuation'!C28</f>
        <v>255.52106430155214</v>
      </c>
      <c r="D7" s="20">
        <f>(C7/B3)-1</f>
        <v>0.33970043675117778</v>
      </c>
    </row>
    <row r="8" spans="1:6">
      <c r="A8" t="s">
        <v>6</v>
      </c>
      <c r="B8">
        <f>Synergies!J21</f>
        <v>0.26032790649963272</v>
      </c>
      <c r="C8" s="26">
        <f>Synergies!J20</f>
        <v>232.93360089867636</v>
      </c>
      <c r="D8" s="20">
        <f>(C8/B3)-1</f>
        <v>0.22127405703704905</v>
      </c>
    </row>
    <row r="9" spans="1:6">
      <c r="A9" t="s">
        <v>7</v>
      </c>
      <c r="B9">
        <f>DCF!F25/'Exchange Ratio'!B4</f>
        <v>0.13364432341703242</v>
      </c>
      <c r="C9">
        <f>DCF!F25</f>
        <v>119.5809312638581</v>
      </c>
      <c r="D9" s="41">
        <f>(C9/B3)-1</f>
        <v>-0.37303554100635394</v>
      </c>
    </row>
    <row r="11" spans="1:6">
      <c r="A11" s="3" t="s">
        <v>8</v>
      </c>
      <c r="C11">
        <v>0.49</v>
      </c>
    </row>
    <row r="12" spans="1:6">
      <c r="A12" s="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AB25-4F63-2C46-8446-438EC3864029}">
  <dimension ref="A1:K27"/>
  <sheetViews>
    <sheetView zoomScale="125" workbookViewId="0">
      <selection activeCell="I23" sqref="I23"/>
    </sheetView>
  </sheetViews>
  <sheetFormatPr baseColWidth="10" defaultColWidth="11" defaultRowHeight="16"/>
  <cols>
    <col min="1" max="1" width="16.6640625" bestFit="1" customWidth="1"/>
    <col min="2" max="2" width="21.1640625" customWidth="1"/>
    <col min="3" max="3" width="20.1640625" customWidth="1"/>
    <col min="6" max="6" width="17" customWidth="1"/>
    <col min="7" max="7" width="13.1640625" customWidth="1"/>
    <col min="8" max="8" width="14" customWidth="1"/>
    <col min="9" max="10" width="13.1640625" bestFit="1" customWidth="1"/>
  </cols>
  <sheetData>
    <row r="1" spans="1:11">
      <c r="A1" t="s">
        <v>10</v>
      </c>
      <c r="B1" s="6">
        <f ca="1">TODAY()</f>
        <v>46083</v>
      </c>
      <c r="C1" s="1">
        <v>1000000</v>
      </c>
      <c r="D1" s="6">
        <f ca="1">EDATE(B1,-0.05)</f>
        <v>46083</v>
      </c>
    </row>
    <row r="2" spans="1:11">
      <c r="B2" t="e" vm="1">
        <v>#VALUE!</v>
      </c>
      <c r="C2" t="e" vm="2">
        <v>#VALUE!</v>
      </c>
      <c r="K2" s="7"/>
    </row>
    <row r="3" spans="1:11">
      <c r="A3" t="s">
        <v>11</v>
      </c>
      <c r="B3">
        <v>894.77</v>
      </c>
      <c r="C3">
        <v>190.73</v>
      </c>
    </row>
    <row r="4" spans="1:11">
      <c r="A4" t="s">
        <v>12</v>
      </c>
      <c r="B4" s="2">
        <f>443.18*C1</f>
        <v>443180000</v>
      </c>
      <c r="C4" s="2">
        <f>13.53*C1</f>
        <v>13530000</v>
      </c>
    </row>
    <row r="5" spans="1:11">
      <c r="A5" t="s">
        <v>13</v>
      </c>
      <c r="B5" s="4">
        <f>8173*C1</f>
        <v>8173000000</v>
      </c>
      <c r="C5" s="4">
        <f>94.6*C1</f>
        <v>94600000</v>
      </c>
    </row>
    <row r="6" spans="1:11">
      <c r="A6" t="s">
        <v>14</v>
      </c>
      <c r="B6" s="4">
        <f>14161*C1</f>
        <v>14161000000</v>
      </c>
      <c r="C6" s="4">
        <f>58.1*C1</f>
        <v>58100000</v>
      </c>
    </row>
    <row r="7" spans="1:11">
      <c r="A7" t="s">
        <v>15</v>
      </c>
      <c r="B7" s="4">
        <f>396235.3*C1</f>
        <v>396235300000</v>
      </c>
      <c r="C7" s="4">
        <f>2702.1*C1</f>
        <v>2702100000</v>
      </c>
    </row>
    <row r="8" spans="1:11">
      <c r="A8" t="s">
        <v>16</v>
      </c>
      <c r="B8" s="4">
        <f>275235*C1</f>
        <v>275235000000</v>
      </c>
      <c r="C8" s="4">
        <f>620*C1</f>
        <v>620000000</v>
      </c>
    </row>
    <row r="9" spans="1:11">
      <c r="A9" t="s">
        <v>17</v>
      </c>
      <c r="B9" s="4">
        <f>12809*C1</f>
        <v>12809000000</v>
      </c>
      <c r="C9" s="4">
        <f>112*C1</f>
        <v>112000000</v>
      </c>
    </row>
    <row r="10" spans="1:11">
      <c r="A10" t="s">
        <v>18</v>
      </c>
      <c r="B10" s="4">
        <f>7586*C1</f>
        <v>7586000000</v>
      </c>
      <c r="C10" s="4">
        <f>91*C1</f>
        <v>91000000</v>
      </c>
    </row>
    <row r="11" spans="1:11">
      <c r="A11" t="s">
        <v>19</v>
      </c>
      <c r="C11">
        <v>16.12</v>
      </c>
    </row>
    <row r="12" spans="1:11" ht="17" thickBot="1">
      <c r="A12" t="s">
        <v>20</v>
      </c>
    </row>
    <row r="13" spans="1:11">
      <c r="A13" s="5" t="s">
        <v>21</v>
      </c>
      <c r="B13" t="s">
        <v>22</v>
      </c>
      <c r="C13" t="s">
        <v>23</v>
      </c>
      <c r="D13" t="s">
        <v>24</v>
      </c>
      <c r="F13" s="31" t="s">
        <v>25</v>
      </c>
      <c r="G13" s="32" t="s">
        <v>26</v>
      </c>
      <c r="H13" s="32" t="s">
        <v>22</v>
      </c>
      <c r="I13" s="32" t="s">
        <v>27</v>
      </c>
      <c r="J13" s="32" t="s">
        <v>24</v>
      </c>
    </row>
    <row r="14" spans="1:11">
      <c r="A14" s="8" t="s">
        <v>10</v>
      </c>
      <c r="B14" s="8">
        <v>28.5</v>
      </c>
      <c r="C14" s="8">
        <v>1.34</v>
      </c>
      <c r="D14" s="8">
        <v>50.58</v>
      </c>
      <c r="F14" s="33" t="s">
        <v>28</v>
      </c>
      <c r="G14" s="34">
        <v>0.62</v>
      </c>
      <c r="H14" s="34">
        <v>2.67</v>
      </c>
      <c r="I14" s="34">
        <v>3.57</v>
      </c>
      <c r="J14" s="34">
        <v>7</v>
      </c>
    </row>
    <row r="15" spans="1:11">
      <c r="A15" t="s">
        <v>29</v>
      </c>
      <c r="B15">
        <v>22.27</v>
      </c>
      <c r="C15">
        <v>1.29</v>
      </c>
      <c r="D15">
        <v>43.41</v>
      </c>
      <c r="F15" s="33" t="s">
        <v>30</v>
      </c>
      <c r="G15" s="34">
        <v>3.68</v>
      </c>
      <c r="H15" s="34">
        <v>19.559999999999999</v>
      </c>
      <c r="I15" s="34">
        <v>48.16</v>
      </c>
      <c r="J15" s="34">
        <v>102</v>
      </c>
    </row>
    <row r="16" spans="1:11">
      <c r="A16" t="s">
        <v>31</v>
      </c>
      <c r="B16">
        <v>12.97</v>
      </c>
      <c r="C16">
        <v>0.64</v>
      </c>
      <c r="D16">
        <v>20.04</v>
      </c>
      <c r="F16" s="33" t="s">
        <v>32</v>
      </c>
      <c r="G16" s="34">
        <v>4.3499999999999996</v>
      </c>
      <c r="H16" s="34">
        <v>21.9</v>
      </c>
      <c r="I16" s="34">
        <v>322.36</v>
      </c>
      <c r="J16" s="34">
        <v>106</v>
      </c>
    </row>
    <row r="17" spans="1:10">
      <c r="A17" t="s">
        <v>33</v>
      </c>
      <c r="B17">
        <v>6.98</v>
      </c>
      <c r="C17">
        <v>0.56000000000000005</v>
      </c>
      <c r="D17">
        <v>12.12</v>
      </c>
      <c r="F17" s="33" t="s">
        <v>34</v>
      </c>
      <c r="G17" s="34">
        <v>24.24</v>
      </c>
      <c r="H17" s="34">
        <v>-1022.5</v>
      </c>
      <c r="I17" s="34">
        <v>-456.98</v>
      </c>
      <c r="J17" s="34">
        <v>-783</v>
      </c>
    </row>
    <row r="18" spans="1:10" ht="17" thickBot="1">
      <c r="A18" t="s">
        <v>35</v>
      </c>
      <c r="B18">
        <v>16.89</v>
      </c>
      <c r="C18">
        <v>3.31</v>
      </c>
      <c r="D18">
        <v>34.979999999999997</v>
      </c>
      <c r="F18" s="35" t="s">
        <v>36</v>
      </c>
      <c r="G18" s="36">
        <v>5.94</v>
      </c>
      <c r="H18" s="36">
        <v>70.05</v>
      </c>
      <c r="I18" s="36">
        <v>494.07</v>
      </c>
      <c r="J18" s="36">
        <v>803</v>
      </c>
    </row>
    <row r="19" spans="1:10">
      <c r="A19" t="s">
        <v>37</v>
      </c>
      <c r="B19">
        <v>8.9499999999999993</v>
      </c>
      <c r="C19">
        <v>0.43</v>
      </c>
      <c r="D19">
        <v>14.97</v>
      </c>
      <c r="F19" s="37" t="s">
        <v>38</v>
      </c>
      <c r="G19" s="38">
        <v>7.83</v>
      </c>
      <c r="H19" s="38">
        <v>-128.9</v>
      </c>
      <c r="I19" s="38">
        <v>182.1</v>
      </c>
      <c r="J19" s="38">
        <v>186.2</v>
      </c>
    </row>
    <row r="20" spans="1:10" ht="17" thickBot="1">
      <c r="A20" s="9" t="s">
        <v>39</v>
      </c>
      <c r="B20" s="9">
        <f>AVERAGE(B15:B19)</f>
        <v>13.612</v>
      </c>
      <c r="C20" s="9">
        <f>AVERAGE(C15:C19)</f>
        <v>1.246</v>
      </c>
      <c r="D20" s="9">
        <f>AVERAGE(D15:D19)</f>
        <v>25.103999999999996</v>
      </c>
      <c r="F20" s="35" t="s">
        <v>40</v>
      </c>
      <c r="G20" s="39">
        <v>1493.97</v>
      </c>
      <c r="H20" s="39">
        <v>-5366.31</v>
      </c>
      <c r="I20" s="39">
        <v>5828.39</v>
      </c>
      <c r="J20" s="39">
        <v>5410.37</v>
      </c>
    </row>
    <row r="23" spans="1:10">
      <c r="A23" s="8" t="s">
        <v>41</v>
      </c>
      <c r="B23" s="8">
        <v>26.4</v>
      </c>
      <c r="C23" s="8">
        <v>4.1900000000000004</v>
      </c>
      <c r="D23" s="8">
        <v>32.29</v>
      </c>
    </row>
    <row r="24" spans="1:10">
      <c r="A24" t="s">
        <v>10</v>
      </c>
    </row>
    <row r="25" spans="1:10">
      <c r="A25" t="s">
        <v>41</v>
      </c>
      <c r="B25" s="10">
        <f>((C11*$C$9)-$C$5+$C$6)/$C$4</f>
        <v>130.74205469327421</v>
      </c>
      <c r="C25" s="10">
        <f>((C11*$C$8)-$C$5+$C$6)/$C$4</f>
        <v>735.98669623059868</v>
      </c>
      <c r="D25" s="10">
        <f>(C10/C4)*C11</f>
        <v>108.41980783444198</v>
      </c>
      <c r="F25" s="10">
        <f>AVERAGE(D25,B25)</f>
        <v>119.5809312638581</v>
      </c>
    </row>
    <row r="26" spans="1:10">
      <c r="A26" t="s">
        <v>42</v>
      </c>
      <c r="B26" s="10">
        <f>((B20*$B$9)-$B$5+$B$6)/$B$4</f>
        <v>406.93196443882846</v>
      </c>
      <c r="C26" s="10">
        <f>((C20*$B$8)-$B$5+$B$6)/$B$4</f>
        <v>787.33428855092734</v>
      </c>
      <c r="D26" s="10">
        <f>(B10/B4)*D20</f>
        <v>429.71014937497171</v>
      </c>
    </row>
    <row r="27" spans="1:10">
      <c r="A27" t="s">
        <v>43</v>
      </c>
      <c r="B27"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BCEA-3E77-47FE-A4D5-7E8AEB0CA8E4}">
  <dimension ref="A1:Q29"/>
  <sheetViews>
    <sheetView zoomScale="130" zoomScaleNormal="130" workbookViewId="0">
      <selection activeCell="E26" sqref="E26"/>
    </sheetView>
  </sheetViews>
  <sheetFormatPr baseColWidth="10" defaultColWidth="11" defaultRowHeight="16"/>
  <cols>
    <col min="1" max="1" width="18" customWidth="1"/>
    <col min="4" max="4" width="24.6640625" bestFit="1" customWidth="1"/>
    <col min="5" max="5" width="10.6640625" customWidth="1"/>
    <col min="6" max="6" width="14" customWidth="1"/>
    <col min="7" max="12" width="10.6640625" customWidth="1"/>
  </cols>
  <sheetData>
    <row r="1" spans="1:17">
      <c r="A1" s="3" t="s">
        <v>45</v>
      </c>
      <c r="B1" t="s">
        <v>46</v>
      </c>
      <c r="D1" s="3" t="s">
        <v>47</v>
      </c>
      <c r="E1" s="3">
        <v>2022</v>
      </c>
      <c r="F1" s="3">
        <v>2023</v>
      </c>
      <c r="G1" s="3">
        <v>2024</v>
      </c>
      <c r="H1" s="3">
        <v>2025</v>
      </c>
      <c r="I1" s="3"/>
      <c r="J1" s="3"/>
      <c r="K1" s="3">
        <v>2022</v>
      </c>
      <c r="L1" s="3">
        <v>2023</v>
      </c>
      <c r="M1" s="3">
        <v>2024</v>
      </c>
      <c r="N1" s="3">
        <v>2025</v>
      </c>
      <c r="P1" t="s">
        <v>48</v>
      </c>
      <c r="Q1" s="42">
        <v>6.6390000000000005E-2</v>
      </c>
    </row>
    <row r="2" spans="1:17">
      <c r="A2" t="s">
        <v>16</v>
      </c>
      <c r="B2">
        <v>619.99</v>
      </c>
      <c r="D2" s="3" t="s">
        <v>49</v>
      </c>
      <c r="E2">
        <v>518.82000000000005</v>
      </c>
      <c r="F2">
        <v>537.26</v>
      </c>
      <c r="G2">
        <v>590.55999999999995</v>
      </c>
      <c r="H2">
        <f>B2</f>
        <v>619.99</v>
      </c>
      <c r="J2" t="s">
        <v>50</v>
      </c>
      <c r="K2" s="44">
        <v>249640</v>
      </c>
      <c r="L2" s="44">
        <v>248525</v>
      </c>
      <c r="M2" s="44">
        <v>255441</v>
      </c>
      <c r="N2" s="44">
        <v>284956</v>
      </c>
    </row>
    <row r="3" spans="1:17">
      <c r="A3" t="s">
        <v>51</v>
      </c>
      <c r="B3">
        <v>105.07</v>
      </c>
      <c r="D3" s="3" t="s">
        <v>51</v>
      </c>
      <c r="E3">
        <v>86.85</v>
      </c>
      <c r="F3">
        <v>90.78</v>
      </c>
      <c r="G3">
        <v>95.8</v>
      </c>
      <c r="H3">
        <f>B3</f>
        <v>105.07</v>
      </c>
      <c r="J3" t="s">
        <v>52</v>
      </c>
      <c r="K3" s="44">
        <v>110820</v>
      </c>
      <c r="L3" s="44">
        <v>88842</v>
      </c>
      <c r="M3" s="44">
        <v>103500</v>
      </c>
      <c r="N3" s="44">
        <v>102257</v>
      </c>
    </row>
    <row r="4" spans="1:17">
      <c r="A4" t="s">
        <v>18</v>
      </c>
      <c r="B4">
        <v>90.73</v>
      </c>
      <c r="D4" s="3" t="s">
        <v>53</v>
      </c>
      <c r="E4">
        <v>-5.7</v>
      </c>
      <c r="F4">
        <v>91.52</v>
      </c>
      <c r="G4">
        <v>87.83</v>
      </c>
      <c r="H4">
        <v>83.4</v>
      </c>
      <c r="J4" t="s">
        <v>54</v>
      </c>
      <c r="K4" s="1">
        <f>K2-K3</f>
        <v>138820</v>
      </c>
      <c r="L4" s="1">
        <f>L2-L3</f>
        <v>159683</v>
      </c>
      <c r="M4" s="1">
        <f>M2-M3</f>
        <v>151941</v>
      </c>
      <c r="N4" s="1">
        <f>N2-N3</f>
        <v>182699</v>
      </c>
    </row>
    <row r="5" spans="1:17">
      <c r="A5" t="s">
        <v>55</v>
      </c>
      <c r="B5">
        <v>97.7</v>
      </c>
      <c r="J5" t="s">
        <v>56</v>
      </c>
      <c r="K5" t="s">
        <v>57</v>
      </c>
      <c r="L5" s="1">
        <f>K4-L4</f>
        <v>-20863</v>
      </c>
      <c r="M5" s="1">
        <f>L4-M4</f>
        <v>7742</v>
      </c>
      <c r="N5" s="1">
        <f>M4-N4</f>
        <v>-30758</v>
      </c>
    </row>
    <row r="6" spans="1:17">
      <c r="A6" t="s">
        <v>14</v>
      </c>
      <c r="B6">
        <v>58.13</v>
      </c>
    </row>
    <row r="7" spans="1:17">
      <c r="A7" t="s">
        <v>58</v>
      </c>
      <c r="B7">
        <v>182.7</v>
      </c>
      <c r="D7" s="48" t="s">
        <v>59</v>
      </c>
      <c r="E7" s="48" t="s">
        <v>60</v>
      </c>
      <c r="F7" s="48" t="s">
        <v>61</v>
      </c>
      <c r="G7" s="48" t="s">
        <v>62</v>
      </c>
      <c r="H7" s="48" t="s">
        <v>63</v>
      </c>
      <c r="I7" s="48" t="s">
        <v>64</v>
      </c>
      <c r="J7" s="48" t="s">
        <v>65</v>
      </c>
    </row>
    <row r="8" spans="1:17">
      <c r="A8" t="s">
        <v>66</v>
      </c>
      <c r="B8">
        <v>183</v>
      </c>
      <c r="D8" s="48" t="s">
        <v>16</v>
      </c>
      <c r="E8" s="51">
        <v>619.99</v>
      </c>
      <c r="F8" s="51">
        <v>657.19</v>
      </c>
      <c r="G8" s="51">
        <v>696.62</v>
      </c>
      <c r="H8" s="51">
        <v>738.42</v>
      </c>
      <c r="I8" s="51">
        <v>782.72</v>
      </c>
      <c r="J8" s="52">
        <v>829.69</v>
      </c>
    </row>
    <row r="9" spans="1:17">
      <c r="A9" t="s">
        <v>67</v>
      </c>
      <c r="B9">
        <v>4.53</v>
      </c>
      <c r="D9" s="47" t="s">
        <v>68</v>
      </c>
      <c r="E9" s="53" t="s">
        <v>69</v>
      </c>
      <c r="F9" s="49">
        <v>0.06</v>
      </c>
      <c r="G9" s="49">
        <v>0.06</v>
      </c>
      <c r="H9" s="49">
        <v>0.06</v>
      </c>
      <c r="I9" s="49">
        <v>0.06</v>
      </c>
      <c r="J9" s="50">
        <v>0.06</v>
      </c>
    </row>
    <row r="10" spans="1:17">
      <c r="A10" t="s">
        <v>56</v>
      </c>
      <c r="D10" s="48" t="s">
        <v>70</v>
      </c>
      <c r="E10" s="51">
        <v>105.07</v>
      </c>
      <c r="F10" s="51">
        <v>111.72</v>
      </c>
      <c r="G10" s="51">
        <v>118.43</v>
      </c>
      <c r="H10" s="51">
        <v>125.53</v>
      </c>
      <c r="I10" s="51">
        <v>133.06</v>
      </c>
      <c r="J10" s="52">
        <v>141.05000000000001</v>
      </c>
    </row>
    <row r="11" spans="1:17">
      <c r="A11" t="s">
        <v>12</v>
      </c>
      <c r="B11">
        <f>'Relative Valuation'!C20</f>
        <v>13.53</v>
      </c>
      <c r="D11" s="47" t="s">
        <v>71</v>
      </c>
      <c r="E11" s="49">
        <v>0.17</v>
      </c>
      <c r="F11" s="49">
        <v>0.17</v>
      </c>
      <c r="G11" s="49">
        <v>0.17</v>
      </c>
      <c r="H11" s="49">
        <v>0.17</v>
      </c>
      <c r="I11" s="49">
        <v>0.17</v>
      </c>
      <c r="J11" s="50">
        <v>0.17</v>
      </c>
    </row>
    <row r="12" spans="1:17">
      <c r="A12" t="s">
        <v>72</v>
      </c>
      <c r="B12" s="43">
        <v>0.25</v>
      </c>
      <c r="D12" s="46" t="s">
        <v>73</v>
      </c>
      <c r="E12" s="49">
        <v>0.25</v>
      </c>
      <c r="F12" s="50">
        <f>$E$12</f>
        <v>0.25</v>
      </c>
      <c r="G12" s="50">
        <f>$E$12</f>
        <v>0.25</v>
      </c>
      <c r="H12" s="50">
        <f>$E$12</f>
        <v>0.25</v>
      </c>
      <c r="I12" s="50">
        <f>$E$12</f>
        <v>0.25</v>
      </c>
      <c r="J12" s="50">
        <f>$E$12</f>
        <v>0.25</v>
      </c>
    </row>
    <row r="13" spans="1:17">
      <c r="A13" t="s">
        <v>74</v>
      </c>
      <c r="B13" s="42">
        <v>8.3699999999999997E-2</v>
      </c>
      <c r="D13" s="45" t="s">
        <v>75</v>
      </c>
      <c r="E13" s="51">
        <f t="shared" ref="E13:J13" si="0">E10-(E10*E12)</f>
        <v>78.802499999999995</v>
      </c>
      <c r="F13" s="51">
        <f t="shared" si="0"/>
        <v>83.789999999999992</v>
      </c>
      <c r="G13" s="51">
        <f t="shared" si="0"/>
        <v>88.822500000000005</v>
      </c>
      <c r="H13" s="51">
        <f t="shared" si="0"/>
        <v>94.147500000000008</v>
      </c>
      <c r="I13" s="51">
        <f t="shared" si="0"/>
        <v>99.795000000000002</v>
      </c>
      <c r="J13" s="52">
        <f t="shared" si="0"/>
        <v>105.78750000000001</v>
      </c>
    </row>
    <row r="14" spans="1:17">
      <c r="A14" t="s">
        <v>76</v>
      </c>
      <c r="B14">
        <v>0.16</v>
      </c>
      <c r="D14" s="46" t="s">
        <v>77</v>
      </c>
      <c r="E14" s="49">
        <v>8.19</v>
      </c>
      <c r="F14" s="49">
        <f>E14+(E14*$B$16)</f>
        <v>8.6814</v>
      </c>
      <c r="G14" s="49">
        <f>F14+(F14*$B$16)</f>
        <v>9.2022840000000006</v>
      </c>
      <c r="H14" s="49">
        <f>G14+(G14*$B$16)</f>
        <v>9.7544210400000004</v>
      </c>
      <c r="I14" s="49">
        <f>H14+(H14*$B$16)</f>
        <v>10.339686302400001</v>
      </c>
      <c r="J14" s="50">
        <f>I14+(I14*$B$16)</f>
        <v>10.960067480544</v>
      </c>
    </row>
    <row r="15" spans="1:17">
      <c r="A15" t="s">
        <v>78</v>
      </c>
      <c r="B15" s="42">
        <v>4.5969999999999997E-2</v>
      </c>
      <c r="D15" s="46" t="s">
        <v>79</v>
      </c>
      <c r="E15" s="49">
        <f>-B9</f>
        <v>-4.53</v>
      </c>
      <c r="F15" s="49">
        <f>E15+(E15*B$16)</f>
        <v>-4.8018000000000001</v>
      </c>
      <c r="G15" s="49">
        <f>F15+(F15*$B$16)</f>
        <v>-5.0899080000000003</v>
      </c>
      <c r="H15" s="49">
        <f>G15+(G15*$B$16)</f>
        <v>-5.3953024800000007</v>
      </c>
      <c r="I15" s="49">
        <f>H15+(H15*$B$16)</f>
        <v>-5.7190206288000009</v>
      </c>
      <c r="J15" s="50">
        <f>I15+(I15*$B$16)</f>
        <v>-6.062161866528001</v>
      </c>
    </row>
    <row r="16" spans="1:17">
      <c r="A16" t="s">
        <v>80</v>
      </c>
      <c r="B16" s="43">
        <v>0.06</v>
      </c>
      <c r="D16" s="46"/>
      <c r="E16" s="49"/>
      <c r="F16" s="49"/>
      <c r="G16" s="49"/>
      <c r="H16" s="49"/>
      <c r="I16" s="49"/>
      <c r="J16" s="50"/>
    </row>
    <row r="17" spans="1:13">
      <c r="A17" s="3" t="s">
        <v>11</v>
      </c>
      <c r="B17">
        <f>DCF!C3</f>
        <v>190.73</v>
      </c>
      <c r="D17" s="45" t="s">
        <v>81</v>
      </c>
      <c r="E17" s="52">
        <f t="shared" ref="E17:J17" si="1">E13+E14+E15+E16</f>
        <v>82.462499999999991</v>
      </c>
      <c r="F17" s="52">
        <f t="shared" si="1"/>
        <v>87.669599999999988</v>
      </c>
      <c r="G17" s="52">
        <f t="shared" si="1"/>
        <v>92.934876000000017</v>
      </c>
      <c r="H17" s="52">
        <f t="shared" si="1"/>
        <v>98.506618560000007</v>
      </c>
      <c r="I17" s="52">
        <f t="shared" si="1"/>
        <v>104.4156656736</v>
      </c>
      <c r="J17" s="52">
        <f t="shared" si="1"/>
        <v>110.68540561401601</v>
      </c>
    </row>
    <row r="20" spans="1:13">
      <c r="D20" s="3"/>
      <c r="E20" s="3"/>
      <c r="F20" s="3" t="s">
        <v>47</v>
      </c>
      <c r="G20" s="3">
        <v>2025</v>
      </c>
      <c r="H20" s="3">
        <v>2026</v>
      </c>
      <c r="I20" s="3">
        <v>2027</v>
      </c>
      <c r="J20" s="3">
        <v>2028</v>
      </c>
      <c r="K20" s="3">
        <v>2029</v>
      </c>
      <c r="L20" s="3">
        <v>2030</v>
      </c>
    </row>
    <row r="21" spans="1:13">
      <c r="D21" s="3"/>
      <c r="F21" s="3" t="s">
        <v>82</v>
      </c>
      <c r="G21" s="4">
        <v>86</v>
      </c>
      <c r="H21" s="4">
        <v>80</v>
      </c>
      <c r="I21" s="4">
        <v>83</v>
      </c>
      <c r="J21" s="4">
        <v>109</v>
      </c>
      <c r="K21" s="4">
        <v>111</v>
      </c>
      <c r="L21" s="4">
        <v>114</v>
      </c>
      <c r="M21">
        <v>119</v>
      </c>
    </row>
    <row r="22" spans="1:13">
      <c r="F22" s="56">
        <f>NPV(Q1,G21:M21)</f>
        <v>537.61580892138682</v>
      </c>
      <c r="G22" s="54"/>
    </row>
    <row r="23" spans="1:13">
      <c r="F23" s="3"/>
      <c r="G23" s="55"/>
    </row>
    <row r="26" spans="1:13">
      <c r="E26">
        <f>3495/'Relative Valuation'!C20</f>
        <v>258.31485587583148</v>
      </c>
    </row>
    <row r="29" spans="1:13">
      <c r="G29"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1A53-EABF-FA46-A7E2-3835EBF3ABD3}">
  <dimension ref="A1:K36"/>
  <sheetViews>
    <sheetView zoomScale="143" workbookViewId="0">
      <selection activeCell="D18" sqref="D18"/>
    </sheetView>
  </sheetViews>
  <sheetFormatPr baseColWidth="10" defaultColWidth="11.5" defaultRowHeight="16"/>
  <cols>
    <col min="2" max="2" width="30" bestFit="1" customWidth="1"/>
    <col min="3" max="3" width="11.1640625" bestFit="1" customWidth="1"/>
    <col min="10" max="10" width="16.5" customWidth="1"/>
  </cols>
  <sheetData>
    <row r="1" spans="1:11" ht="22">
      <c r="A1" s="14" t="s">
        <v>5</v>
      </c>
    </row>
    <row r="3" spans="1:11">
      <c r="B3" s="11" t="s">
        <v>84</v>
      </c>
      <c r="C3" s="12">
        <v>289</v>
      </c>
      <c r="D3" t="s">
        <v>85</v>
      </c>
    </row>
    <row r="4" spans="1:11">
      <c r="B4" t="s">
        <v>86</v>
      </c>
      <c r="C4" s="13">
        <f>C3/'ER Current Market'!B3-1</f>
        <v>0.51523095475279201</v>
      </c>
    </row>
    <row r="5" spans="1:11">
      <c r="B5" t="s">
        <v>87</v>
      </c>
      <c r="C5">
        <f>C23*C4</f>
        <v>1.3292958632622034</v>
      </c>
    </row>
    <row r="6" spans="1:11">
      <c r="B6" t="s">
        <v>88</v>
      </c>
      <c r="C6">
        <f>C5+C23</f>
        <v>3.9092958632622032</v>
      </c>
    </row>
    <row r="7" spans="1:11">
      <c r="B7" s="3" t="s">
        <v>89</v>
      </c>
      <c r="C7" s="3">
        <f>C6/C20*1000</f>
        <v>288.93539270230622</v>
      </c>
    </row>
    <row r="9" spans="1:11">
      <c r="B9" s="11" t="s">
        <v>90</v>
      </c>
      <c r="D9" t="s">
        <v>91</v>
      </c>
    </row>
    <row r="10" spans="1:11">
      <c r="B10" s="15" t="s">
        <v>92</v>
      </c>
      <c r="D10" t="s">
        <v>93</v>
      </c>
    </row>
    <row r="12" spans="1:11">
      <c r="B12" s="16" t="s">
        <v>94</v>
      </c>
      <c r="C12" s="16" t="s">
        <v>86</v>
      </c>
      <c r="D12" s="16" t="s">
        <v>95</v>
      </c>
    </row>
    <row r="13" spans="1:11">
      <c r="B13" t="s">
        <v>96</v>
      </c>
      <c r="C13">
        <v>0.44</v>
      </c>
      <c r="D13">
        <v>16.399999999999999</v>
      </c>
    </row>
    <row r="14" spans="1:11">
      <c r="B14" t="s">
        <v>97</v>
      </c>
      <c r="C14">
        <v>0.28000000000000003</v>
      </c>
      <c r="D14">
        <v>19.8</v>
      </c>
      <c r="E14" t="s">
        <v>93</v>
      </c>
    </row>
    <row r="15" spans="1:11">
      <c r="B15" t="s">
        <v>98</v>
      </c>
      <c r="C15">
        <v>0.38</v>
      </c>
      <c r="D15">
        <v>18.399999999999999</v>
      </c>
    </row>
    <row r="16" spans="1:11">
      <c r="B16" t="s">
        <v>99</v>
      </c>
      <c r="C16">
        <v>0.4</v>
      </c>
      <c r="D16">
        <v>18</v>
      </c>
      <c r="J16" t="s">
        <v>100</v>
      </c>
      <c r="K16">
        <v>0.34</v>
      </c>
    </row>
    <row r="17" spans="2:11">
      <c r="B17" t="s">
        <v>101</v>
      </c>
      <c r="C17" s="16">
        <v>0.2</v>
      </c>
      <c r="D17" s="16">
        <v>8</v>
      </c>
      <c r="J17" t="s">
        <v>1</v>
      </c>
      <c r="K17">
        <f>C22</f>
        <v>190.73</v>
      </c>
    </row>
    <row r="18" spans="2:11">
      <c r="B18" s="3" t="s">
        <v>39</v>
      </c>
      <c r="C18" s="3">
        <f>(C13+C14+C15+C16+C17)/5</f>
        <v>0.33999999999999997</v>
      </c>
      <c r="D18" s="3">
        <f>(D13+D14+D15+D16+D17)/5</f>
        <v>16.119999999999997</v>
      </c>
      <c r="J18" s="3" t="s">
        <v>102</v>
      </c>
      <c r="K18" s="3">
        <f>(K16+1)*K17</f>
        <v>255.57820000000001</v>
      </c>
    </row>
    <row r="19" spans="2:11">
      <c r="B19" s="3"/>
    </row>
    <row r="20" spans="2:11">
      <c r="B20" t="s">
        <v>103</v>
      </c>
      <c r="C20">
        <v>13.53</v>
      </c>
    </row>
    <row r="21" spans="2:11">
      <c r="B21" t="s">
        <v>104</v>
      </c>
      <c r="C21" s="1">
        <f>DCF!B3</f>
        <v>894.77</v>
      </c>
    </row>
    <row r="22" spans="2:11">
      <c r="B22" t="s">
        <v>1</v>
      </c>
      <c r="C22">
        <f>DCF!C3</f>
        <v>190.73</v>
      </c>
      <c r="D22">
        <v>190.73</v>
      </c>
    </row>
    <row r="23" spans="2:11">
      <c r="B23" t="s">
        <v>105</v>
      </c>
      <c r="C23">
        <v>2.58</v>
      </c>
    </row>
    <row r="24" spans="2:11">
      <c r="B24" t="s">
        <v>106</v>
      </c>
      <c r="C24">
        <v>113.26</v>
      </c>
    </row>
    <row r="25" spans="2:11">
      <c r="B25" t="s">
        <v>107</v>
      </c>
      <c r="C25">
        <f>C24*D18</f>
        <v>1825.7511999999997</v>
      </c>
    </row>
    <row r="26" spans="2:11">
      <c r="B26" t="s">
        <v>87</v>
      </c>
      <c r="C26">
        <f>C23*C18</f>
        <v>0.87719999999999998</v>
      </c>
    </row>
    <row r="27" spans="2:11">
      <c r="B27" t="s">
        <v>88</v>
      </c>
      <c r="C27">
        <f>C26+C23</f>
        <v>3.4572000000000003</v>
      </c>
      <c r="E27" t="s">
        <v>108</v>
      </c>
    </row>
    <row r="28" spans="2:11">
      <c r="B28" s="3" t="s">
        <v>89</v>
      </c>
      <c r="C28" s="3">
        <f>C27/C20*1000</f>
        <v>255.52106430155214</v>
      </c>
      <c r="E28" s="28">
        <f>C28/DCF!B3</f>
        <v>0.28557178302977543</v>
      </c>
    </row>
    <row r="30" spans="2:11">
      <c r="B30" s="3" t="s">
        <v>40</v>
      </c>
      <c r="C30" s="3" t="s">
        <v>109</v>
      </c>
    </row>
    <row r="31" spans="2:11">
      <c r="B31" t="s">
        <v>110</v>
      </c>
      <c r="C31" t="s">
        <v>111</v>
      </c>
    </row>
    <row r="32" spans="2:11">
      <c r="B32" t="s">
        <v>112</v>
      </c>
      <c r="C32" t="s">
        <v>113</v>
      </c>
    </row>
    <row r="33" spans="2:3">
      <c r="B33" t="s">
        <v>114</v>
      </c>
      <c r="C33" t="s">
        <v>115</v>
      </c>
    </row>
    <row r="35" spans="2:3">
      <c r="B35" s="3" t="s">
        <v>116</v>
      </c>
      <c r="C35" s="29">
        <v>260</v>
      </c>
    </row>
    <row r="36" spans="2:3">
      <c r="B36" s="7" t="s">
        <v>117</v>
      </c>
      <c r="C36" s="29">
        <f>C35*C20</f>
        <v>3517.7999999999997</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12BF3-7A77-8C48-A4B1-91FAD10AC15B}">
  <dimension ref="A1:L43"/>
  <sheetViews>
    <sheetView topLeftCell="A9" zoomScale="150" zoomScaleNormal="150" workbookViewId="0">
      <selection activeCell="L4" sqref="L4"/>
    </sheetView>
  </sheetViews>
  <sheetFormatPr baseColWidth="10" defaultColWidth="11" defaultRowHeight="16"/>
  <cols>
    <col min="2" max="2" width="21.83203125" customWidth="1"/>
    <col min="3" max="4" width="16.1640625" customWidth="1"/>
    <col min="5" max="5" width="15.6640625" bestFit="1" customWidth="1"/>
    <col min="9" max="9" width="20.83203125" bestFit="1" customWidth="1"/>
    <col min="10" max="10" width="14.6640625" bestFit="1" customWidth="1"/>
    <col min="11" max="11" width="23" bestFit="1" customWidth="1"/>
    <col min="12" max="12" width="20.33203125" bestFit="1" customWidth="1"/>
  </cols>
  <sheetData>
    <row r="1" spans="1:12">
      <c r="B1" t="s">
        <v>118</v>
      </c>
    </row>
    <row r="2" spans="1:12">
      <c r="K2">
        <f>'Valuation Multplier'!C6</f>
        <v>22.72727272727273</v>
      </c>
      <c r="L2" t="s">
        <v>119</v>
      </c>
    </row>
    <row r="3" spans="1:12">
      <c r="I3" s="16" t="s">
        <v>120</v>
      </c>
      <c r="J3" s="16" t="s">
        <v>121</v>
      </c>
      <c r="K3" s="16" t="s">
        <v>122</v>
      </c>
      <c r="L3" s="16" t="s">
        <v>123</v>
      </c>
    </row>
    <row r="4" spans="1:12">
      <c r="B4" t="s">
        <v>124</v>
      </c>
      <c r="C4">
        <f>'ER Current Market'!B4</f>
        <v>0.21316092403634454</v>
      </c>
      <c r="E4" t="s">
        <v>125</v>
      </c>
      <c r="I4" t="s">
        <v>126</v>
      </c>
      <c r="J4" s="2">
        <f>C11</f>
        <v>23800000</v>
      </c>
      <c r="K4" s="23">
        <f>$K$2</f>
        <v>22.72727272727273</v>
      </c>
      <c r="L4" s="22">
        <f>PRODUCT(J4:K4)</f>
        <v>540909090.909091</v>
      </c>
    </row>
    <row r="5" spans="1:12">
      <c r="I5" t="s">
        <v>127</v>
      </c>
      <c r="J5" s="2">
        <f>C17</f>
        <v>11702964</v>
      </c>
      <c r="K5" s="23">
        <f>$K$2</f>
        <v>22.72727272727273</v>
      </c>
      <c r="L5" s="22">
        <f t="shared" ref="L5:L9" si="0">PRODUCT(J5:K5)</f>
        <v>265976454.54545459</v>
      </c>
    </row>
    <row r="6" spans="1:12">
      <c r="I6" t="s">
        <v>128</v>
      </c>
      <c r="J6" s="2">
        <f>C20</f>
        <v>5000000</v>
      </c>
      <c r="K6" s="23">
        <f>$K$2</f>
        <v>22.72727272727273</v>
      </c>
      <c r="L6" s="22">
        <f t="shared" si="0"/>
        <v>113636363.63636366</v>
      </c>
    </row>
    <row r="7" spans="1:12">
      <c r="A7" t="s">
        <v>129</v>
      </c>
      <c r="I7" t="s">
        <v>13</v>
      </c>
      <c r="J7" s="2">
        <f>C29</f>
        <v>1500000</v>
      </c>
      <c r="K7" s="23">
        <f>$K$2</f>
        <v>22.72727272727273</v>
      </c>
      <c r="L7" s="22">
        <f t="shared" si="0"/>
        <v>34090909.090909094</v>
      </c>
    </row>
    <row r="8" spans="1:12">
      <c r="B8" s="16" t="s">
        <v>130</v>
      </c>
      <c r="I8" t="s">
        <v>131</v>
      </c>
      <c r="J8" s="27">
        <f>C34</f>
        <v>4179630</v>
      </c>
      <c r="K8" s="23">
        <f t="shared" ref="K8:K9" si="1">$K$2</f>
        <v>22.72727272727273</v>
      </c>
      <c r="L8" s="22">
        <f t="shared" si="0"/>
        <v>94991590.909090921</v>
      </c>
    </row>
    <row r="9" spans="1:12">
      <c r="B9" t="s">
        <v>132</v>
      </c>
      <c r="C9">
        <v>34000000</v>
      </c>
      <c r="I9" t="s">
        <v>133</v>
      </c>
      <c r="J9" s="26">
        <f>C40</f>
        <v>2966701.3740000003</v>
      </c>
      <c r="K9" s="23">
        <f t="shared" si="1"/>
        <v>22.72727272727273</v>
      </c>
      <c r="L9" s="22">
        <f t="shared" si="0"/>
        <v>67425031.227272749</v>
      </c>
    </row>
    <row r="10" spans="1:12" ht="17" thickBot="1">
      <c r="B10" t="s">
        <v>134</v>
      </c>
      <c r="C10">
        <v>0.7</v>
      </c>
      <c r="D10" t="s">
        <v>135</v>
      </c>
      <c r="I10" t="s">
        <v>136</v>
      </c>
      <c r="J10" s="2">
        <f>C25</f>
        <v>25000000</v>
      </c>
      <c r="K10" s="23" t="s">
        <v>137</v>
      </c>
      <c r="L10" s="24">
        <f>PRODUCT(J10:K10)</f>
        <v>25000000</v>
      </c>
    </row>
    <row r="11" spans="1:12" ht="17" thickTop="1">
      <c r="B11" t="s">
        <v>138</v>
      </c>
      <c r="C11" s="22">
        <f>C10*C9</f>
        <v>23800000</v>
      </c>
      <c r="L11" s="2">
        <f>SUM(L4:L10)</f>
        <v>1142029440.318182</v>
      </c>
    </row>
    <row r="13" spans="1:12">
      <c r="B13" s="16" t="s">
        <v>127</v>
      </c>
      <c r="I13" t="s">
        <v>139</v>
      </c>
      <c r="J13" s="22">
        <f>J18*DCF!C3</f>
        <v>2580576900</v>
      </c>
    </row>
    <row r="14" spans="1:12" ht="17" thickBot="1">
      <c r="B14" t="s">
        <v>140</v>
      </c>
      <c r="C14" s="22">
        <v>278642000</v>
      </c>
      <c r="I14" t="s">
        <v>141</v>
      </c>
      <c r="J14" s="25">
        <f>L11</f>
        <v>1142029440.318182</v>
      </c>
    </row>
    <row r="15" spans="1:12" ht="17" thickTop="1">
      <c r="B15" t="s">
        <v>142</v>
      </c>
      <c r="C15" s="21">
        <v>0.14000000000000001</v>
      </c>
      <c r="D15" t="s">
        <v>143</v>
      </c>
      <c r="I15" t="s">
        <v>144</v>
      </c>
      <c r="J15" s="2">
        <f>SUM(J13:J14)</f>
        <v>3722606340.318182</v>
      </c>
    </row>
    <row r="16" spans="1:12">
      <c r="B16" t="s">
        <v>134</v>
      </c>
      <c r="C16">
        <v>0.3</v>
      </c>
      <c r="D16" t="s">
        <v>145</v>
      </c>
      <c r="I16" t="s">
        <v>146</v>
      </c>
      <c r="J16" s="26">
        <f>J15/J18</f>
        <v>275.1372017973527</v>
      </c>
    </row>
    <row r="17" spans="2:10">
      <c r="B17" t="s">
        <v>147</v>
      </c>
      <c r="C17" s="22">
        <f>(C14*C15)*C16</f>
        <v>11702964</v>
      </c>
      <c r="D17" t="s">
        <v>148</v>
      </c>
    </row>
    <row r="18" spans="2:10">
      <c r="I18" t="s">
        <v>149</v>
      </c>
      <c r="J18">
        <f>DCF!C4</f>
        <v>13530000</v>
      </c>
    </row>
    <row r="19" spans="2:10">
      <c r="B19" s="16" t="s">
        <v>150</v>
      </c>
      <c r="C19" s="22">
        <v>5000000</v>
      </c>
      <c r="D19" t="s">
        <v>151</v>
      </c>
      <c r="I19" t="s">
        <v>152</v>
      </c>
      <c r="J19">
        <v>0.5</v>
      </c>
    </row>
    <row r="20" spans="2:10">
      <c r="B20" t="s">
        <v>147</v>
      </c>
      <c r="C20" s="2">
        <f>C19</f>
        <v>5000000</v>
      </c>
      <c r="I20" t="s">
        <v>153</v>
      </c>
      <c r="J20" s="26">
        <f>(J13+J14*J19)/J18</f>
        <v>232.93360089867636</v>
      </c>
    </row>
    <row r="21" spans="2:10">
      <c r="I21" t="s">
        <v>154</v>
      </c>
      <c r="J21" s="30">
        <f>J20/DCF!B3</f>
        <v>0.26032790649963272</v>
      </c>
    </row>
    <row r="22" spans="2:10">
      <c r="B22" s="16" t="s">
        <v>155</v>
      </c>
    </row>
    <row r="23" spans="2:10">
      <c r="B23" t="s">
        <v>156</v>
      </c>
      <c r="C23" s="22">
        <v>125000000</v>
      </c>
      <c r="D23" t="s">
        <v>157</v>
      </c>
      <c r="I23" t="s">
        <v>158</v>
      </c>
      <c r="J23" s="1">
        <v>3518000000</v>
      </c>
    </row>
    <row r="24" spans="2:10">
      <c r="B24" t="s">
        <v>159</v>
      </c>
      <c r="C24">
        <v>0.2</v>
      </c>
      <c r="D24" t="s">
        <v>160</v>
      </c>
      <c r="I24" t="s">
        <v>161</v>
      </c>
      <c r="J24" s="2">
        <f>J15</f>
        <v>3722606340.318182</v>
      </c>
    </row>
    <row r="25" spans="2:10">
      <c r="B25" t="s">
        <v>162</v>
      </c>
      <c r="C25" s="2">
        <f>C23*C24</f>
        <v>25000000</v>
      </c>
      <c r="D25" t="s">
        <v>163</v>
      </c>
      <c r="I25" s="3" t="s">
        <v>164</v>
      </c>
      <c r="J25" s="40">
        <f>J24-J23</f>
        <v>204606340.31818199</v>
      </c>
    </row>
    <row r="27" spans="2:10">
      <c r="B27" s="16" t="s">
        <v>13</v>
      </c>
    </row>
    <row r="28" spans="2:10">
      <c r="B28" t="s">
        <v>165</v>
      </c>
      <c r="C28" s="22">
        <v>87000000</v>
      </c>
    </row>
    <row r="29" spans="2:10">
      <c r="B29" t="s">
        <v>166</v>
      </c>
      <c r="C29" s="22">
        <v>1500000</v>
      </c>
      <c r="D29" t="s">
        <v>167</v>
      </c>
    </row>
    <row r="31" spans="2:10">
      <c r="B31" s="16" t="s">
        <v>168</v>
      </c>
    </row>
    <row r="32" spans="2:10">
      <c r="B32" t="s">
        <v>169</v>
      </c>
      <c r="C32" s="27">
        <f>0.3*C14</f>
        <v>83592600</v>
      </c>
      <c r="D32" t="s">
        <v>170</v>
      </c>
    </row>
    <row r="33" spans="2:4">
      <c r="B33" t="s">
        <v>171</v>
      </c>
      <c r="C33">
        <v>0.05</v>
      </c>
      <c r="D33" t="s">
        <v>172</v>
      </c>
    </row>
    <row r="34" spans="2:4">
      <c r="B34" t="s">
        <v>147</v>
      </c>
      <c r="C34" s="27">
        <f>C32*C33</f>
        <v>4179630</v>
      </c>
      <c r="D34" t="s">
        <v>173</v>
      </c>
    </row>
    <row r="36" spans="2:4">
      <c r="B36" s="16" t="s">
        <v>174</v>
      </c>
    </row>
    <row r="37" spans="2:4">
      <c r="B37" t="s">
        <v>175</v>
      </c>
      <c r="C37" s="26">
        <f>0.39*C14</f>
        <v>108670380</v>
      </c>
    </row>
    <row r="38" spans="2:4">
      <c r="B38" t="s">
        <v>176</v>
      </c>
      <c r="C38" s="26">
        <f>0.39*C37</f>
        <v>42381448.200000003</v>
      </c>
      <c r="D38" t="s">
        <v>177</v>
      </c>
    </row>
    <row r="39" spans="2:4">
      <c r="B39" t="s">
        <v>178</v>
      </c>
      <c r="C39">
        <v>7.0000000000000007E-2</v>
      </c>
    </row>
    <row r="40" spans="2:4">
      <c r="B40" t="s">
        <v>147</v>
      </c>
      <c r="C40" s="26">
        <f>C38*C39</f>
        <v>2966701.3740000003</v>
      </c>
    </row>
    <row r="43" spans="2:4">
      <c r="C43" s="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348CA-C309-FC4F-BB0B-1CA06402FF46}">
  <dimension ref="B2:C14"/>
  <sheetViews>
    <sheetView zoomScale="160" zoomScaleNormal="160" workbookViewId="0">
      <selection activeCell="D7" sqref="D7"/>
    </sheetView>
  </sheetViews>
  <sheetFormatPr baseColWidth="10" defaultColWidth="11" defaultRowHeight="16"/>
  <cols>
    <col min="2" max="2" width="18.5" bestFit="1" customWidth="1"/>
  </cols>
  <sheetData>
    <row r="2" spans="2:3">
      <c r="B2" s="16" t="s">
        <v>179</v>
      </c>
    </row>
    <row r="3" spans="2:3">
      <c r="B3" t="s">
        <v>180</v>
      </c>
      <c r="C3">
        <f>'Discount Rate'!F3</f>
        <v>6.4000000000000001E-2</v>
      </c>
    </row>
    <row r="4" spans="2:3">
      <c r="B4" t="s">
        <v>181</v>
      </c>
      <c r="C4">
        <v>0.02</v>
      </c>
    </row>
    <row r="6" spans="2:3">
      <c r="B6" t="s">
        <v>95</v>
      </c>
      <c r="C6" s="28">
        <f>1/(C3-C4)</f>
        <v>22.72727272727273</v>
      </c>
    </row>
    <row r="11" spans="2:3">
      <c r="B11" s="16" t="s">
        <v>182</v>
      </c>
    </row>
    <row r="12" spans="2:3">
      <c r="B12" t="s">
        <v>183</v>
      </c>
      <c r="C12">
        <f>DCF!D14</f>
        <v>50.58</v>
      </c>
    </row>
    <row r="13" spans="2:3">
      <c r="B13" t="s">
        <v>184</v>
      </c>
      <c r="C13">
        <f>DCF!D23</f>
        <v>32.29</v>
      </c>
    </row>
    <row r="14" spans="2:3">
      <c r="B14" t="s">
        <v>185</v>
      </c>
      <c r="C14">
        <v>18.5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78D5D-7068-2E4B-BBB9-BB77D36FEFD2}">
  <dimension ref="A1:D4"/>
  <sheetViews>
    <sheetView zoomScale="170" zoomScaleNormal="170" workbookViewId="0">
      <selection activeCell="B4" sqref="B4"/>
    </sheetView>
  </sheetViews>
  <sheetFormatPr baseColWidth="10" defaultColWidth="11.5" defaultRowHeight="16"/>
  <cols>
    <col min="1" max="1" width="39.83203125" bestFit="1" customWidth="1"/>
    <col min="2" max="2" width="12.1640625" bestFit="1" customWidth="1"/>
    <col min="3" max="3" width="19.6640625" bestFit="1" customWidth="1"/>
  </cols>
  <sheetData>
    <row r="1" spans="1:4">
      <c r="A1" s="11" t="s">
        <v>186</v>
      </c>
      <c r="D1" t="s">
        <v>187</v>
      </c>
    </row>
    <row r="2" spans="1:4">
      <c r="A2" t="s">
        <v>2</v>
      </c>
      <c r="B2">
        <f>DCF!B3</f>
        <v>894.77</v>
      </c>
    </row>
    <row r="3" spans="1:4">
      <c r="A3" t="s">
        <v>1</v>
      </c>
      <c r="B3">
        <f>DCF!C3</f>
        <v>190.73</v>
      </c>
    </row>
    <row r="4" spans="1:4">
      <c r="A4" t="s">
        <v>188</v>
      </c>
      <c r="B4">
        <f>B3/B2</f>
        <v>0.21316092403634454</v>
      </c>
      <c r="C4" t="s">
        <v>189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9EA5-CEEE-4659-923B-04394618B2FE}">
  <dimension ref="B2:O8"/>
  <sheetViews>
    <sheetView zoomScale="125" workbookViewId="0">
      <selection activeCell="M16" sqref="M16"/>
    </sheetView>
  </sheetViews>
  <sheetFormatPr baseColWidth="10" defaultColWidth="8.6640625" defaultRowHeight="16"/>
  <cols>
    <col min="2" max="2" width="11" bestFit="1" customWidth="1"/>
    <col min="3" max="3" width="10.6640625" customWidth="1"/>
    <col min="4" max="4" width="10.33203125" customWidth="1"/>
    <col min="13" max="13" width="24.1640625" bestFit="1" customWidth="1"/>
    <col min="14" max="14" width="14.6640625" customWidth="1"/>
    <col min="15" max="15" width="15.6640625" bestFit="1" customWidth="1"/>
  </cols>
  <sheetData>
    <row r="2" spans="2:15">
      <c r="B2" s="3" t="s">
        <v>190</v>
      </c>
      <c r="E2" s="3" t="s">
        <v>74</v>
      </c>
    </row>
    <row r="3" spans="2:15">
      <c r="B3" t="s">
        <v>191</v>
      </c>
      <c r="C3">
        <v>4.088E-2</v>
      </c>
      <c r="E3" t="s">
        <v>41</v>
      </c>
      <c r="F3">
        <v>6.4000000000000001E-2</v>
      </c>
      <c r="N3" t="s">
        <v>41</v>
      </c>
      <c r="O3" t="s">
        <v>192</v>
      </c>
    </row>
    <row r="4" spans="2:15">
      <c r="B4" t="s">
        <v>193</v>
      </c>
      <c r="C4">
        <v>3.8800000000000001E-2</v>
      </c>
      <c r="E4" t="s">
        <v>192</v>
      </c>
      <c r="F4">
        <v>8.5000000000000006E-2</v>
      </c>
      <c r="M4" t="s">
        <v>15</v>
      </c>
      <c r="N4" s="4">
        <v>2702100000</v>
      </c>
      <c r="O4" s="4">
        <v>396235300000</v>
      </c>
    </row>
    <row r="5" spans="2:15">
      <c r="L5" t="s">
        <v>194</v>
      </c>
      <c r="M5" t="s">
        <v>195</v>
      </c>
      <c r="O5">
        <v>5.9859999999999997E-2</v>
      </c>
    </row>
    <row r="6" spans="2:15">
      <c r="M6" t="s">
        <v>196</v>
      </c>
      <c r="O6">
        <v>0.19974</v>
      </c>
    </row>
    <row r="7" spans="2:15">
      <c r="M7" t="s">
        <v>197</v>
      </c>
      <c r="O7">
        <v>0.10249</v>
      </c>
    </row>
    <row r="8" spans="2:15">
      <c r="M8" t="s">
        <v>76</v>
      </c>
      <c r="O8">
        <v>0.72699999999999998</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2620B-6F8E-48B2-A335-BFBC3028AEED}">
  <dimension ref="B2:M25"/>
  <sheetViews>
    <sheetView zoomScale="120" zoomScaleNormal="120" workbookViewId="0">
      <selection activeCell="L30" sqref="L30"/>
    </sheetView>
  </sheetViews>
  <sheetFormatPr baseColWidth="10" defaultColWidth="8.83203125" defaultRowHeight="16"/>
  <cols>
    <col min="2" max="2" width="14.6640625" customWidth="1"/>
    <col min="3" max="3" width="10.83203125" customWidth="1"/>
    <col min="9" max="9" width="13.83203125" customWidth="1"/>
  </cols>
  <sheetData>
    <row r="2" spans="2:13">
      <c r="B2" s="11" t="s">
        <v>192</v>
      </c>
      <c r="I2" s="11" t="s">
        <v>41</v>
      </c>
    </row>
    <row r="3" spans="2:13">
      <c r="C3" t="s">
        <v>3</v>
      </c>
      <c r="D3" t="e" cm="1">
        <f t="array" aca="1" ref="D3" ca="1">_xll.BDP("COST US Equity", "PX_LAST")</f>
        <v>#NAME?</v>
      </c>
      <c r="E3">
        <v>919.41499999999996</v>
      </c>
      <c r="J3" t="s">
        <v>3</v>
      </c>
      <c r="K3" t="e" cm="1">
        <f t="array" aca="1" ref="K3" ca="1">_xll.BDP("COST US Equity", "PX_LAST")</f>
        <v>#NAME?</v>
      </c>
      <c r="L3">
        <v>196.63</v>
      </c>
    </row>
    <row r="4" spans="2:13">
      <c r="C4" t="s">
        <v>198</v>
      </c>
      <c r="D4" t="e" cm="1">
        <f t="array" aca="1" ref="D4" ca="1">_xll.BDP("COST US Equity","BEST_EPS","BEST_FPERIOD_OVERRIDE", "1FY")</f>
        <v>#NAME?</v>
      </c>
      <c r="E4">
        <v>20.074999999999999</v>
      </c>
      <c r="J4" t="s">
        <v>198</v>
      </c>
      <c r="K4" t="e" cm="1">
        <f t="array" aca="1" ref="K4" ca="1">_xll.BDP("COST US Equity","BEST_EPS","BEST_FPERIOD_OVERRIDE", "1FY")</f>
        <v>#NAME?</v>
      </c>
      <c r="L4">
        <v>6.0750000000000002</v>
      </c>
    </row>
    <row r="5" spans="2:13">
      <c r="C5" t="s">
        <v>199</v>
      </c>
      <c r="D5" t="e" cm="1">
        <f t="array" aca="1" ref="D5" ca="1">_xll.BDP("COST US Equity","BEST_EPS","BEST_FPERIOD_OVERRIDE", "2FY")</f>
        <v>#NAME?</v>
      </c>
      <c r="E5">
        <v>22.096</v>
      </c>
      <c r="J5" t="s">
        <v>199</v>
      </c>
      <c r="K5" t="e" cm="1">
        <f t="array" aca="1" ref="K5" ca="1">_xll.BDP("COST US Equity","BEST_EPS","BEST_FPERIOD_OVERRIDE", "2FY")</f>
        <v>#NAME?</v>
      </c>
      <c r="L5">
        <v>6.5350000000000001</v>
      </c>
    </row>
    <row r="6" spans="2:13">
      <c r="C6" t="s">
        <v>200</v>
      </c>
      <c r="D6" t="e" cm="1">
        <f t="array" aca="1" ref="D6" ca="1">_xll.BDP("COST US Equity","BEST_EPS","BEST_FPERIOD_OVERRIDE", "3FY")</f>
        <v>#NAME?</v>
      </c>
      <c r="E6">
        <v>24.417000000000002</v>
      </c>
      <c r="J6" t="s">
        <v>200</v>
      </c>
      <c r="K6" t="e" cm="1">
        <f t="array" aca="1" ref="K6" ca="1">_xll.BDP("COST US Equity","BEST_EPS","BEST_FPERIOD_OVERRIDE", "3FY")</f>
        <v>#NAME?</v>
      </c>
      <c r="L6">
        <v>7.3500000000000005</v>
      </c>
    </row>
    <row r="8" spans="2:13">
      <c r="C8" t="s">
        <v>201</v>
      </c>
      <c r="D8">
        <v>0.09</v>
      </c>
      <c r="E8">
        <v>5.0152171267446775E-2</v>
      </c>
      <c r="J8" t="s">
        <v>201</v>
      </c>
      <c r="K8">
        <v>0.09</v>
      </c>
      <c r="L8">
        <v>6.0321101883478577E-2</v>
      </c>
    </row>
    <row r="9" spans="2:13">
      <c r="C9" t="s">
        <v>202</v>
      </c>
      <c r="E9">
        <f>0.025</f>
        <v>2.5000000000000001E-2</v>
      </c>
      <c r="J9" t="s">
        <v>202</v>
      </c>
      <c r="L9">
        <f>0.025</f>
        <v>2.5000000000000001E-2</v>
      </c>
    </row>
    <row r="11" spans="2:13">
      <c r="C11" s="16" t="s">
        <v>198</v>
      </c>
      <c r="D11" s="16" t="s">
        <v>199</v>
      </c>
      <c r="E11" s="16" t="s">
        <v>200</v>
      </c>
      <c r="F11" s="16" t="s">
        <v>203</v>
      </c>
      <c r="J11" s="16" t="s">
        <v>198</v>
      </c>
      <c r="K11" s="16" t="s">
        <v>199</v>
      </c>
      <c r="L11" s="16" t="s">
        <v>200</v>
      </c>
      <c r="M11" s="16" t="s">
        <v>203</v>
      </c>
    </row>
    <row r="12" spans="2:13">
      <c r="B12" t="s">
        <v>204</v>
      </c>
      <c r="C12">
        <f>E4</f>
        <v>20.074999999999999</v>
      </c>
      <c r="D12">
        <f>E5</f>
        <v>22.096</v>
      </c>
      <c r="E12">
        <f>E6</f>
        <v>24.417000000000002</v>
      </c>
      <c r="F12">
        <f>E6*(1+E9)</f>
        <v>25.027425000000001</v>
      </c>
      <c r="I12" t="s">
        <v>204</v>
      </c>
      <c r="J12">
        <f>L4</f>
        <v>6.0750000000000002</v>
      </c>
      <c r="K12">
        <f>L5</f>
        <v>6.5350000000000001</v>
      </c>
      <c r="L12">
        <f>L6</f>
        <v>7.3500000000000005</v>
      </c>
      <c r="M12">
        <f>L6*(1+L9)</f>
        <v>7.5337499999999995</v>
      </c>
    </row>
    <row r="13" spans="2:13">
      <c r="B13" t="s">
        <v>205</v>
      </c>
      <c r="C13" s="18">
        <f>(1+$E$8)^1</f>
        <v>1.0501521712674469</v>
      </c>
      <c r="D13" s="18">
        <f>(1+$E$8)^2</f>
        <v>1.102819582817733</v>
      </c>
      <c r="E13" s="18">
        <f>(1+$E$8)^3</f>
        <v>1.1581283794123023</v>
      </c>
      <c r="F13" s="18">
        <f>(1+$E$8)^3</f>
        <v>1.1581283794123023</v>
      </c>
      <c r="I13" t="s">
        <v>205</v>
      </c>
      <c r="J13" s="18">
        <f>(1+$L$8)^1</f>
        <v>1.0603211018834786</v>
      </c>
      <c r="K13" s="18">
        <f>(1+$L$8)^2</f>
        <v>1.1242808390993941</v>
      </c>
      <c r="L13" s="18">
        <f>(1+$L$8)^3</f>
        <v>1.1920986981403514</v>
      </c>
      <c r="M13" s="18">
        <f>(1+$L$8)^3</f>
        <v>1.1920986981403514</v>
      </c>
    </row>
    <row r="14" spans="2:13">
      <c r="B14" t="s">
        <v>206</v>
      </c>
      <c r="C14" s="3">
        <f>C12/C13</f>
        <v>19.116277192257893</v>
      </c>
      <c r="D14" s="3">
        <f>D12/D13</f>
        <v>20.035915524408935</v>
      </c>
      <c r="E14" s="3">
        <f>E12/E13</f>
        <v>21.083154885117764</v>
      </c>
      <c r="F14">
        <f>F12/F13</f>
        <v>21.610233757245709</v>
      </c>
      <c r="I14" t="s">
        <v>206</v>
      </c>
      <c r="J14" s="3">
        <f>J12/J13</f>
        <v>5.7293964905619665</v>
      </c>
      <c r="K14" s="3">
        <f>K12/K13</f>
        <v>5.8126046204210562</v>
      </c>
      <c r="L14" s="3">
        <f>L12/L13</f>
        <v>6.1655968683346805</v>
      </c>
      <c r="M14">
        <f>M12/M13</f>
        <v>6.3197367900430468</v>
      </c>
    </row>
    <row r="17" spans="2:13">
      <c r="B17" s="17" t="s">
        <v>207</v>
      </c>
      <c r="C17" s="17"/>
      <c r="D17" s="17"/>
      <c r="E17" s="17"/>
      <c r="F17" s="17"/>
      <c r="I17" s="17" t="s">
        <v>207</v>
      </c>
      <c r="J17" s="17"/>
      <c r="K17" s="17"/>
      <c r="L17" s="17"/>
      <c r="M17" s="17"/>
    </row>
    <row r="18" spans="2:13">
      <c r="B18" t="s">
        <v>208</v>
      </c>
      <c r="C18">
        <f>F12/(E8-E9)</f>
        <v>995.04033802408833</v>
      </c>
      <c r="I18" t="s">
        <v>208</v>
      </c>
      <c r="J18">
        <f>M12/(L8-L9)</f>
        <v>213.29317598452121</v>
      </c>
    </row>
    <row r="19" spans="2:13">
      <c r="B19" t="s">
        <v>209</v>
      </c>
      <c r="C19" s="19">
        <f>C18/(1+E8)^3</f>
        <v>859.17965202530161</v>
      </c>
      <c r="I19" t="s">
        <v>209</v>
      </c>
      <c r="J19" s="19">
        <f>J18/(1+L8)^3</f>
        <v>178.92241331800298</v>
      </c>
    </row>
    <row r="21" spans="2:13">
      <c r="B21" t="s">
        <v>210</v>
      </c>
      <c r="C21" s="3">
        <f>SUM(C14:E14,C19)</f>
        <v>919.41499962708622</v>
      </c>
      <c r="I21" t="s">
        <v>210</v>
      </c>
      <c r="J21" s="3">
        <f>SUM(J14:L14,J19)</f>
        <v>196.63001129732069</v>
      </c>
    </row>
    <row r="23" spans="2:13">
      <c r="B23" t="s">
        <v>211</v>
      </c>
    </row>
    <row r="25" spans="2:13">
      <c r="B25" t="s">
        <v>212</v>
      </c>
      <c r="C25" s="20">
        <f>E8</f>
        <v>5.0152171267446775E-2</v>
      </c>
      <c r="D25" t="s">
        <v>213</v>
      </c>
      <c r="I25" t="s">
        <v>212</v>
      </c>
      <c r="J25" s="20">
        <f>L8</f>
        <v>6.0321101883478577E-2</v>
      </c>
      <c r="K25"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Exchange Ratio</vt:lpstr>
      <vt:lpstr>DCF</vt:lpstr>
      <vt:lpstr>DCF Real</vt:lpstr>
      <vt:lpstr>Relative Valuation</vt:lpstr>
      <vt:lpstr>Synergies</vt:lpstr>
      <vt:lpstr>Valuation Multplier</vt:lpstr>
      <vt:lpstr>ER Current Market</vt:lpstr>
      <vt:lpstr>Discount Rate</vt:lpstr>
      <vt:lpstr>Reverse Engineering DR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Brody Blanchard</dc:creator>
  <cp:keywords/>
  <dc:description/>
  <cp:lastModifiedBy>Brody Blanchard</cp:lastModifiedBy>
  <cp:revision/>
  <dcterms:created xsi:type="dcterms:W3CDTF">2025-12-01T20:28:03Z</dcterms:created>
  <dcterms:modified xsi:type="dcterms:W3CDTF">2026-03-03T03:40:29Z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3188ad8-4875-42e6-925c-bd11f6824504_Enabled">
    <vt:lpwstr>true</vt:lpwstr>
  </property>
  <property fmtid="{D5CDD505-2E9C-101B-9397-08002B2CF9AE}" pid="3" name="MSIP_Label_33188ad8-4875-42e6-925c-bd11f6824504_SetDate">
    <vt:lpwstr>2025-12-01T20:28:08Z</vt:lpwstr>
  </property>
  <property fmtid="{D5CDD505-2E9C-101B-9397-08002B2CF9AE}" pid="4" name="MSIP_Label_33188ad8-4875-42e6-925c-bd11f6824504_Method">
    <vt:lpwstr>Standard</vt:lpwstr>
  </property>
  <property fmtid="{D5CDD505-2E9C-101B-9397-08002B2CF9AE}" pid="5" name="MSIP_Label_33188ad8-4875-42e6-925c-bd11f6824504_Name">
    <vt:lpwstr>defa4170-0d19-0005-0004-bc88714345d2</vt:lpwstr>
  </property>
  <property fmtid="{D5CDD505-2E9C-101B-9397-08002B2CF9AE}" pid="6" name="MSIP_Label_33188ad8-4875-42e6-925c-bd11f6824504_SiteId">
    <vt:lpwstr>8143a300-2c64-4dd4-bb14-bcd3f04c1963</vt:lpwstr>
  </property>
  <property fmtid="{D5CDD505-2E9C-101B-9397-08002B2CF9AE}" pid="7" name="MSIP_Label_33188ad8-4875-42e6-925c-bd11f6824504_ActionId">
    <vt:lpwstr>3a3b3f0b-636b-49e8-b66f-d7d28d096bd3</vt:lpwstr>
  </property>
  <property fmtid="{D5CDD505-2E9C-101B-9397-08002B2CF9AE}" pid="8" name="MSIP_Label_33188ad8-4875-42e6-925c-bd11f6824504_ContentBits">
    <vt:lpwstr>0</vt:lpwstr>
  </property>
  <property fmtid="{D5CDD505-2E9C-101B-9397-08002B2CF9AE}" pid="9" name="MSIP_Label_33188ad8-4875-42e6-925c-bd11f6824504_Tag">
    <vt:lpwstr>50, 3, 0, 1</vt:lpwstr>
  </property>
</Properties>
</file>