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tus/Documents/Education/OLD/Business Analytics/Chatt Coffee/"/>
    </mc:Choice>
  </mc:AlternateContent>
  <xr:revisionPtr revIDLastSave="0" documentId="13_ncr:1_{F180CF6C-8D86-3F48-941E-FE55BA211A7F}" xr6:coauthVersionLast="47" xr6:coauthVersionMax="47" xr10:uidLastSave="{00000000-0000-0000-0000-000000000000}"/>
  <bookViews>
    <workbookView xWindow="-66620" yWindow="700" windowWidth="24600" windowHeight="15200" activeTab="1" xr2:uid="{D8BCC1E8-7623-4155-BFE5-2BE2CD1BA607}"/>
  </bookViews>
  <sheets>
    <sheet name="Juice Start" sheetId="2" r:id="rId1"/>
    <sheet name="Juice Start (2)" sheetId="3" r:id="rId2"/>
    <sheet name="Juice Start (3)" sheetId="4" r:id="rId3"/>
    <sheet name="Juice Start (4)" sheetId="5" r:id="rId4"/>
  </sheets>
  <definedNames>
    <definedName name="_xlnm._FilterDatabase" localSheetId="0" hidden="1">'Juice Start'!$A$7:$K$57</definedName>
    <definedName name="_xlnm._FilterDatabase" localSheetId="1" hidden="1">'Juice Start (2)'!$A$7:$K$47</definedName>
    <definedName name="_xlnm._FilterDatabase" localSheetId="2" hidden="1">'Juice Start (3)'!$R$8:$R$26</definedName>
    <definedName name="_xlnm._FilterDatabase" localSheetId="3" hidden="1">'Juice Start (4)'!$T$2:$T$19</definedName>
    <definedName name="Brand" localSheetId="3">'Juice Start (4)'!$P$2</definedName>
    <definedName name="Brand">'Juice Start (3)'!$P$2</definedName>
    <definedName name="UnitCutof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5" l="1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H6" i="5"/>
  <c r="R8" i="5" a="1"/>
  <c r="R8" i="5" s="1"/>
  <c r="K58" i="5"/>
  <c r="L58" i="5" s="1"/>
  <c r="K57" i="5"/>
  <c r="L57" i="5" s="1"/>
  <c r="K56" i="5"/>
  <c r="L56" i="5" s="1"/>
  <c r="K55" i="5"/>
  <c r="L55" i="5" s="1"/>
  <c r="K54" i="5"/>
  <c r="L54" i="5" s="1"/>
  <c r="K53" i="5"/>
  <c r="L53" i="5" s="1"/>
  <c r="K52" i="5"/>
  <c r="L52" i="5" s="1"/>
  <c r="K51" i="5"/>
  <c r="L51" i="5" s="1"/>
  <c r="K50" i="5"/>
  <c r="L50" i="5" s="1"/>
  <c r="K49" i="5"/>
  <c r="L49" i="5" s="1"/>
  <c r="K48" i="5"/>
  <c r="L48" i="5" s="1"/>
  <c r="K47" i="5"/>
  <c r="L47" i="5" s="1"/>
  <c r="K46" i="5"/>
  <c r="L46" i="5" s="1"/>
  <c r="K45" i="5"/>
  <c r="L45" i="5" s="1"/>
  <c r="K44" i="5"/>
  <c r="L44" i="5" s="1"/>
  <c r="K43" i="5"/>
  <c r="L43" i="5" s="1"/>
  <c r="K42" i="5"/>
  <c r="L42" i="5" s="1"/>
  <c r="K41" i="5"/>
  <c r="L41" i="5" s="1"/>
  <c r="K40" i="5"/>
  <c r="L40" i="5" s="1"/>
  <c r="K39" i="5"/>
  <c r="L39" i="5" s="1"/>
  <c r="K38" i="5"/>
  <c r="L38" i="5" s="1"/>
  <c r="K37" i="5"/>
  <c r="L37" i="5" s="1"/>
  <c r="K36" i="5"/>
  <c r="L36" i="5" s="1"/>
  <c r="K35" i="5"/>
  <c r="L35" i="5" s="1"/>
  <c r="K34" i="5"/>
  <c r="L34" i="5" s="1"/>
  <c r="K33" i="5"/>
  <c r="L33" i="5" s="1"/>
  <c r="K32" i="5"/>
  <c r="L32" i="5" s="1"/>
  <c r="K31" i="5"/>
  <c r="L31" i="5" s="1"/>
  <c r="K30" i="5"/>
  <c r="L30" i="5" s="1"/>
  <c r="K29" i="5"/>
  <c r="L29" i="5" s="1"/>
  <c r="K28" i="5"/>
  <c r="L28" i="5" s="1"/>
  <c r="K27" i="5"/>
  <c r="L27" i="5" s="1"/>
  <c r="P26" i="5"/>
  <c r="O26" i="5"/>
  <c r="K26" i="5"/>
  <c r="L26" i="5" s="1"/>
  <c r="P25" i="5"/>
  <c r="O25" i="5"/>
  <c r="K25" i="5"/>
  <c r="L25" i="5" s="1"/>
  <c r="P24" i="5"/>
  <c r="O24" i="5"/>
  <c r="K24" i="5"/>
  <c r="L24" i="5" s="1"/>
  <c r="P23" i="5"/>
  <c r="O23" i="5"/>
  <c r="K23" i="5"/>
  <c r="L23" i="5" s="1"/>
  <c r="P22" i="5"/>
  <c r="O22" i="5"/>
  <c r="K22" i="5"/>
  <c r="L22" i="5" s="1"/>
  <c r="P21" i="5"/>
  <c r="O21" i="5"/>
  <c r="K21" i="5"/>
  <c r="L21" i="5" s="1"/>
  <c r="P20" i="5"/>
  <c r="O20" i="5"/>
  <c r="K20" i="5"/>
  <c r="L20" i="5" s="1"/>
  <c r="P19" i="5"/>
  <c r="O19" i="5"/>
  <c r="K19" i="5"/>
  <c r="L19" i="5" s="1"/>
  <c r="P18" i="5"/>
  <c r="O18" i="5"/>
  <c r="K18" i="5"/>
  <c r="L18" i="5" s="1"/>
  <c r="P17" i="5"/>
  <c r="O17" i="5"/>
  <c r="K17" i="5"/>
  <c r="L17" i="5" s="1"/>
  <c r="P16" i="5"/>
  <c r="O16" i="5"/>
  <c r="K16" i="5"/>
  <c r="L16" i="5" s="1"/>
  <c r="P15" i="5"/>
  <c r="O15" i="5"/>
  <c r="K15" i="5"/>
  <c r="L15" i="5" s="1"/>
  <c r="P14" i="5"/>
  <c r="O14" i="5"/>
  <c r="K14" i="5"/>
  <c r="L14" i="5" s="1"/>
  <c r="P13" i="5"/>
  <c r="O13" i="5"/>
  <c r="K13" i="5"/>
  <c r="L13" i="5" s="1"/>
  <c r="P12" i="5"/>
  <c r="O12" i="5"/>
  <c r="K12" i="5"/>
  <c r="L12" i="5" s="1"/>
  <c r="P11" i="5"/>
  <c r="O11" i="5"/>
  <c r="K11" i="5"/>
  <c r="L11" i="5" s="1"/>
  <c r="P10" i="5"/>
  <c r="O10" i="5"/>
  <c r="K10" i="5"/>
  <c r="P9" i="5"/>
  <c r="O9" i="5"/>
  <c r="K9" i="5"/>
  <c r="L9" i="5" s="1"/>
  <c r="P5" i="5"/>
  <c r="J5" i="5"/>
  <c r="I5" i="5"/>
  <c r="H5" i="5"/>
  <c r="A5" i="5"/>
  <c r="J4" i="5"/>
  <c r="I4" i="5"/>
  <c r="H4" i="5"/>
  <c r="J3" i="5"/>
  <c r="I3" i="5"/>
  <c r="H3" i="5"/>
  <c r="J2" i="5"/>
  <c r="I2" i="5"/>
  <c r="H2" i="5"/>
  <c r="O9" i="4"/>
  <c r="P11" i="4"/>
  <c r="P19" i="4"/>
  <c r="P24" i="4"/>
  <c r="P22" i="4"/>
  <c r="P26" i="4"/>
  <c r="P25" i="4"/>
  <c r="P14" i="4"/>
  <c r="P17" i="4"/>
  <c r="P23" i="4"/>
  <c r="P18" i="4"/>
  <c r="P13" i="4"/>
  <c r="P21" i="4"/>
  <c r="P20" i="4"/>
  <c r="P16" i="4"/>
  <c r="P9" i="4"/>
  <c r="P10" i="4"/>
  <c r="P15" i="4"/>
  <c r="P12" i="4"/>
  <c r="A5" i="4"/>
  <c r="O11" i="4"/>
  <c r="O19" i="4"/>
  <c r="O24" i="4"/>
  <c r="O22" i="4"/>
  <c r="O26" i="4"/>
  <c r="O25" i="4"/>
  <c r="O14" i="4"/>
  <c r="O17" i="4"/>
  <c r="O23" i="4"/>
  <c r="O18" i="4"/>
  <c r="O13" i="4"/>
  <c r="O21" i="4"/>
  <c r="O20" i="4"/>
  <c r="O16" i="4"/>
  <c r="O10" i="4"/>
  <c r="O15" i="4"/>
  <c r="O12" i="4"/>
  <c r="P5" i="4"/>
  <c r="H6" i="4"/>
  <c r="H5" i="4"/>
  <c r="H4" i="4"/>
  <c r="H3" i="4"/>
  <c r="H2" i="4"/>
  <c r="L12" i="4"/>
  <c r="L19" i="4"/>
  <c r="L20" i="4"/>
  <c r="L44" i="4"/>
  <c r="L45" i="4"/>
  <c r="L48" i="4"/>
  <c r="L57" i="4"/>
  <c r="K9" i="4"/>
  <c r="L9" i="4" s="1"/>
  <c r="K58" i="4"/>
  <c r="L58" i="4" s="1"/>
  <c r="K57" i="4"/>
  <c r="K56" i="4"/>
  <c r="L56" i="4" s="1"/>
  <c r="K55" i="4"/>
  <c r="L55" i="4" s="1"/>
  <c r="K54" i="4"/>
  <c r="L54" i="4" s="1"/>
  <c r="K53" i="4"/>
  <c r="L53" i="4" s="1"/>
  <c r="K52" i="4"/>
  <c r="L52" i="4" s="1"/>
  <c r="K51" i="4"/>
  <c r="L51" i="4" s="1"/>
  <c r="K50" i="4"/>
  <c r="L50" i="4" s="1"/>
  <c r="K49" i="4"/>
  <c r="L49" i="4" s="1"/>
  <c r="K48" i="4"/>
  <c r="K47" i="4"/>
  <c r="L47" i="4" s="1"/>
  <c r="K46" i="4"/>
  <c r="L46" i="4" s="1"/>
  <c r="K45" i="4"/>
  <c r="K44" i="4"/>
  <c r="K43" i="4"/>
  <c r="L43" i="4" s="1"/>
  <c r="K42" i="4"/>
  <c r="L42" i="4" s="1"/>
  <c r="K41" i="4"/>
  <c r="L41" i="4" s="1"/>
  <c r="K40" i="4"/>
  <c r="L40" i="4" s="1"/>
  <c r="K39" i="4"/>
  <c r="L39" i="4" s="1"/>
  <c r="K38" i="4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K19" i="4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K11" i="4"/>
  <c r="L11" i="4" s="1"/>
  <c r="K10" i="4"/>
  <c r="L10" i="4" s="1"/>
  <c r="J5" i="4"/>
  <c r="I5" i="4"/>
  <c r="J4" i="4"/>
  <c r="I4" i="4"/>
  <c r="J3" i="4"/>
  <c r="I3" i="4"/>
  <c r="J2" i="4"/>
  <c r="I2" i="4"/>
  <c r="P12" i="3"/>
  <c r="P9" i="3"/>
  <c r="N8" i="3"/>
  <c r="P8" i="3"/>
  <c r="P4" i="3"/>
  <c r="P5" i="3"/>
  <c r="P6" i="3"/>
  <c r="P7" i="3"/>
  <c r="P3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H6" i="3"/>
  <c r="J5" i="3"/>
  <c r="I5" i="3"/>
  <c r="H5" i="3"/>
  <c r="J4" i="3"/>
  <c r="I4" i="3"/>
  <c r="H4" i="3"/>
  <c r="J3" i="3"/>
  <c r="I3" i="3"/>
  <c r="H3" i="3"/>
  <c r="J2" i="3"/>
  <c r="I2" i="3"/>
  <c r="H2" i="3"/>
  <c r="H6" i="2"/>
  <c r="I3" i="2"/>
  <c r="J3" i="2"/>
  <c r="I4" i="2"/>
  <c r="J4" i="2"/>
  <c r="I5" i="2"/>
  <c r="J5" i="2"/>
  <c r="H5" i="2"/>
  <c r="H4" i="2"/>
  <c r="H3" i="2"/>
  <c r="I2" i="2"/>
  <c r="J2" i="2"/>
  <c r="H2" i="2"/>
  <c r="K50" i="2"/>
  <c r="K9" i="2"/>
  <c r="K11" i="2"/>
  <c r="K10" i="2"/>
  <c r="K39" i="2"/>
  <c r="K41" i="2"/>
  <c r="K42" i="2"/>
  <c r="K40" i="2"/>
  <c r="K36" i="2"/>
  <c r="K8" i="2"/>
  <c r="K24" i="2"/>
  <c r="K53" i="2"/>
  <c r="K19" i="2"/>
  <c r="K31" i="2"/>
  <c r="K45" i="2"/>
  <c r="K49" i="2"/>
  <c r="K57" i="2"/>
  <c r="K34" i="2"/>
  <c r="K20" i="2"/>
  <c r="K23" i="2"/>
  <c r="K32" i="2"/>
  <c r="K35" i="2"/>
  <c r="K33" i="2"/>
  <c r="K51" i="2"/>
  <c r="K12" i="2"/>
  <c r="K14" i="2"/>
  <c r="K15" i="2"/>
  <c r="K56" i="2"/>
  <c r="K46" i="2"/>
  <c r="K29" i="2"/>
  <c r="K27" i="2"/>
  <c r="K28" i="2"/>
  <c r="K55" i="2"/>
  <c r="K16" i="2"/>
  <c r="K21" i="2"/>
  <c r="K44" i="2"/>
  <c r="K30" i="2"/>
  <c r="K47" i="2"/>
  <c r="K25" i="2"/>
  <c r="K52" i="2"/>
  <c r="K13" i="2"/>
  <c r="K26" i="2"/>
  <c r="K43" i="2"/>
  <c r="K18" i="2"/>
  <c r="K22" i="2"/>
  <c r="K37" i="2"/>
  <c r="K48" i="2"/>
  <c r="K54" i="2"/>
  <c r="K17" i="2"/>
  <c r="K38" i="2"/>
  <c r="Q5" i="5"/>
  <c r="Q5" i="4"/>
  <c r="N32" i="5" l="1" a="1"/>
  <c r="N32" i="5" s="1"/>
  <c r="K4" i="5"/>
  <c r="K3" i="5"/>
  <c r="K5" i="5"/>
  <c r="L10" i="5"/>
  <c r="K2" i="5"/>
  <c r="K4" i="4"/>
  <c r="K5" i="4"/>
  <c r="K2" i="4"/>
  <c r="K3" i="4"/>
  <c r="K4" i="3"/>
  <c r="K5" i="3"/>
  <c r="K3" i="3"/>
  <c r="K2" i="3"/>
  <c r="K3" i="2"/>
  <c r="K5" i="2"/>
  <c r="K4" i="2"/>
  <c r="K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<sst xmlns="http://schemas.openxmlformats.org/spreadsheetml/2006/main" count="943" uniqueCount="115">
  <si>
    <t>Product_Description</t>
  </si>
  <si>
    <t>Brand</t>
  </si>
  <si>
    <t>Pack</t>
  </si>
  <si>
    <t>Flavor</t>
  </si>
  <si>
    <t>Size_oz</t>
  </si>
  <si>
    <t>Concentrate</t>
  </si>
  <si>
    <t>Status</t>
  </si>
  <si>
    <t>Sales</t>
  </si>
  <si>
    <t>COGS</t>
  </si>
  <si>
    <t>Units</t>
  </si>
  <si>
    <t>Lakewood Fruit Punch</t>
  </si>
  <si>
    <t>Lakewood</t>
  </si>
  <si>
    <t>Punch</t>
  </si>
  <si>
    <t>Removed</t>
  </si>
  <si>
    <t>Biotta Natural Beet Juice</t>
  </si>
  <si>
    <t>Biotta</t>
  </si>
  <si>
    <t>Beet</t>
  </si>
  <si>
    <t>Jose Cuervo Lime</t>
  </si>
  <si>
    <t>Jose Cuervo</t>
  </si>
  <si>
    <t>Lime</t>
  </si>
  <si>
    <t>Active</t>
  </si>
  <si>
    <t>Dole 100% Prune</t>
  </si>
  <si>
    <t>Dole</t>
  </si>
  <si>
    <t>Prune</t>
  </si>
  <si>
    <t>Ocean Spray 100% Fruit Punch</t>
  </si>
  <si>
    <t xml:space="preserve">Ocean Spray </t>
  </si>
  <si>
    <t>V8 Fusion Energy</t>
  </si>
  <si>
    <t>V8</t>
  </si>
  <si>
    <t>Mixed</t>
  </si>
  <si>
    <t>Lakewood Black Cherry</t>
  </si>
  <si>
    <t>Black Cherry</t>
  </si>
  <si>
    <t>Inactive</t>
  </si>
  <si>
    <t>Dynamic Black Cherry</t>
  </si>
  <si>
    <t>Dynamic</t>
  </si>
  <si>
    <t>BigTex 100% Orange Pineapple</t>
  </si>
  <si>
    <t>BigTex</t>
  </si>
  <si>
    <t>Pineapple</t>
  </si>
  <si>
    <t>Jumex Coconut</t>
  </si>
  <si>
    <t>Jumex</t>
  </si>
  <si>
    <t>Coconut</t>
  </si>
  <si>
    <t>Lakewood Coconut</t>
  </si>
  <si>
    <t>Dole 100% Orange Peach Mango</t>
  </si>
  <si>
    <t>Orange</t>
  </si>
  <si>
    <t>Lakewood Organic Pure Pineapple</t>
  </si>
  <si>
    <t>Capri Sun Fruit Punch</t>
  </si>
  <si>
    <t>Capri Sun</t>
  </si>
  <si>
    <t>Great Value 100% Lemon</t>
  </si>
  <si>
    <t>Great Value</t>
  </si>
  <si>
    <t>Lemon</t>
  </si>
  <si>
    <t>Great Value Lemonade</t>
  </si>
  <si>
    <t>Lemonade</t>
  </si>
  <si>
    <t>V8 Prune Juice</t>
  </si>
  <si>
    <t>Capri Sun Strawberry Kiwi</t>
  </si>
  <si>
    <t>Strawberry Mix</t>
  </si>
  <si>
    <t>V8 Fusion Strawberry</t>
  </si>
  <si>
    <t>Ocean Spray Lemonade</t>
  </si>
  <si>
    <t>Ocean Spray</t>
  </si>
  <si>
    <t>Great Value 100% Apple 6-pack</t>
  </si>
  <si>
    <t>Apple</t>
  </si>
  <si>
    <t>Motts 100% Orange</t>
  </si>
  <si>
    <t>Motts</t>
  </si>
  <si>
    <t>Dole 100% Strawberry Banana</t>
  </si>
  <si>
    <t>Naked Protein Zone</t>
  </si>
  <si>
    <t>Naked</t>
  </si>
  <si>
    <t>Dole 100% Orange</t>
  </si>
  <si>
    <t>Naked Green Machine Smoothie</t>
  </si>
  <si>
    <t>V8 100% Vegetable 10oz</t>
  </si>
  <si>
    <t>Tomato</t>
  </si>
  <si>
    <t>Ocean Spray Ruby Red Grapefruit</t>
  </si>
  <si>
    <t>Grapefruit</t>
  </si>
  <si>
    <t>Dole Pineapple Juice 6-pack</t>
  </si>
  <si>
    <t>Welchs Grape 6-pack</t>
  </si>
  <si>
    <t>Welchs</t>
  </si>
  <si>
    <t>Grape</t>
  </si>
  <si>
    <t>Capri Sun 100% Apple</t>
  </si>
  <si>
    <t>Ocean Spray 100% Cranberry</t>
  </si>
  <si>
    <t>Cranberry</t>
  </si>
  <si>
    <t>Motts 100% Apple 64oz</t>
  </si>
  <si>
    <t>Tropicana Lemonade</t>
  </si>
  <si>
    <t>Tropicana</t>
  </si>
  <si>
    <t>Hawaiian Punch Fruit</t>
  </si>
  <si>
    <t>Hawaiian Punch</t>
  </si>
  <si>
    <t>Tropicana 100% Apple</t>
  </si>
  <si>
    <t>Great Value 100% Orange</t>
  </si>
  <si>
    <t>Minute Maid Juices to Go 100% Grape</t>
  </si>
  <si>
    <t>Minute Maid</t>
  </si>
  <si>
    <t>Minute Maid Juices to Go 100% Cranberry</t>
  </si>
  <si>
    <t xml:space="preserve">Dole Pineapple Juice </t>
  </si>
  <si>
    <t>Minute Maid Juices to Go 100% Apple</t>
  </si>
  <si>
    <t>Welchs 100% Grape</t>
  </si>
  <si>
    <t>Motts 100% Apple</t>
  </si>
  <si>
    <t>Tropicana 100% Orange</t>
  </si>
  <si>
    <t>Ocean Spray 100% Grape</t>
  </si>
  <si>
    <t>Great Value 100% Apple</t>
  </si>
  <si>
    <t>V8 100% Vegetable</t>
  </si>
  <si>
    <t>Minute Maid 100% Orange</t>
  </si>
  <si>
    <t>Net Revenue</t>
  </si>
  <si>
    <t>Max</t>
  </si>
  <si>
    <t>Min</t>
  </si>
  <si>
    <t>Average</t>
  </si>
  <si>
    <t>Sum</t>
  </si>
  <si>
    <t>Subtotal (Avg)</t>
  </si>
  <si>
    <t>Hours</t>
  </si>
  <si>
    <t>Grade Point</t>
  </si>
  <si>
    <t>GPA Calculation</t>
  </si>
  <si>
    <t>Product</t>
  </si>
  <si>
    <t>GPA</t>
  </si>
  <si>
    <t>NetRevenue/Unit</t>
  </si>
  <si>
    <t>Subtotal (SUM)</t>
  </si>
  <si>
    <t>&lt;&gt;Minute Maid</t>
  </si>
  <si>
    <t>&lt;=96</t>
  </si>
  <si>
    <t>Count of Products</t>
  </si>
  <si>
    <t>UNIQUE()</t>
  </si>
  <si>
    <t>DEDUPLICATE</t>
  </si>
  <si>
    <t>Average Sales by Brand and Flavor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</si>
</sst>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164" formatCode="&quot;$&quot;#,##0"/>
    <numFmt numFmtId="165" formatCode="&quot;$&quot;#,##0.00"/>
    <numFmt numFmtId="166" formatCode="_([$$-409]* #,##0.00_);_([$$-409]* \(#,##0.00\);_([$$-409]* &quot;-&quot;??_);_(@_)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164" fontId="3" fillId="0" borderId="0" xfId="1" applyNumberFormat="1"/>
    <xf numFmtId="0" fontId="3" fillId="0" borderId="0" xfId="0" applyFont="1"/>
    <xf numFmtId="0" fontId="4" fillId="0" borderId="0" xfId="0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9" fontId="0" fillId="0" borderId="0" xfId="2" applyFont="1"/>
    <xf numFmtId="165" fontId="0" fillId="0" borderId="0" xfId="0" applyNumberFormat="1"/>
    <xf numFmtId="164" fontId="2" fillId="0" borderId="0" xfId="1" applyNumberFormat="1" applyFont="1"/>
    <xf numFmtId="0" fontId="3" fillId="0" borderId="0" xfId="1" applyNumberFormat="1"/>
    <xf numFmtId="0" fontId="0" fillId="2" borderId="0" xfId="0" applyFill="1" applyAlignment="1">
      <alignment horizontal="right"/>
    </xf>
    <xf numFmtId="164" fontId="3" fillId="2" borderId="0" xfId="1" applyNumberForma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3" fillId="0" borderId="0" xfId="0" applyNumberFormat="1" applyFont="1"/>
    <xf numFmtId="0" fontId="0" fillId="0" borderId="9" xfId="0" applyBorder="1"/>
    <xf numFmtId="166" fontId="0" fillId="0" borderId="10" xfId="1" applyNumberFormat="1" applyFont="1" applyBorder="1"/>
    <xf numFmtId="164" fontId="0" fillId="2" borderId="0" xfId="1" applyNumberFormat="1" applyFont="1" applyFill="1"/>
    <xf numFmtId="164" fontId="0" fillId="0" borderId="0" xfId="1" applyNumberFormat="1" applyFont="1"/>
    <xf numFmtId="0" fontId="0" fillId="0" borderId="0" xfId="0" applyAlignment="1">
      <alignment textRotation="90"/>
    </xf>
    <xf numFmtId="5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6"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79998168889431442"/>
        </patternFill>
      </fill>
    </dxf>
    <dxf>
      <numFmt numFmtId="0" formatCode="General"/>
    </dxf>
    <dxf>
      <numFmt numFmtId="166" formatCode="_([$$-409]* #,##0.00_);_([$$-409]* \(#,##0.00\);_([$$-409]* &quot;-&quot;??_);_(@_)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</dxf>
    <dxf>
      <numFmt numFmtId="166" formatCode="_([$$-409]* #,##0.00_);_([$$-409]* \(#,##0.00\);_([$$-409]* &quot;-&quot;??_);_(@_)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7AF03-B8E2-4BE1-853B-DC0B0DF1574B}" name="Data" displayName="Data" ref="A8:L58" totalsRowShown="0" headerRowDxfId="25">
  <autoFilter ref="A8:L58" xr:uid="{C197AF03-B8E2-4BE1-853B-DC0B0DF1574B}"/>
  <tableColumns count="12">
    <tableColumn id="1" xr3:uid="{3A7F7AA3-927C-4F58-91F4-D0A032D6A016}" name="Product_Description" dataDxfId="24"/>
    <tableColumn id="2" xr3:uid="{F05FAC57-D0E6-494D-AB41-217062EC32E9}" name="Brand" dataDxfId="23"/>
    <tableColumn id="3" xr3:uid="{AAE504E9-A953-43A7-B523-5D97AE1C9AC9}" name="Pack"/>
    <tableColumn id="4" xr3:uid="{448C3378-5BC8-492D-B509-F1B6270B1C59}" name="Flavor" dataDxfId="22"/>
    <tableColumn id="5" xr3:uid="{EFAD5B4F-2797-4E53-AAF2-86896E80840A}" name="Size_oz"/>
    <tableColumn id="6" xr3:uid="{CF437AAF-6142-40CB-8A81-42FE59A4564D}" name="Concentrate"/>
    <tableColumn id="7" xr3:uid="{1FAB46C0-1065-4CC8-91E9-EA1CCDE481C0}" name="Status"/>
    <tableColumn id="8" xr3:uid="{01790FEF-4C4F-476B-809A-09ED2239721B}" name="Sales" dataDxfId="21" dataCellStyle="Currency"/>
    <tableColumn id="9" xr3:uid="{30F203B6-7E00-4536-806A-6E9B3767FD7F}" name="COGS" dataDxfId="20" dataCellStyle="Currency"/>
    <tableColumn id="10" xr3:uid="{FC327962-8D50-4499-B930-DAA6C52A8AEB}" name="Units"/>
    <tableColumn id="11" xr3:uid="{23417F4A-6CE1-4ADD-8BEA-D2A08DC51FA7}" name="Net Revenue" dataDxfId="19">
      <calculatedColumnFormula>H9-I9</calculatedColumnFormula>
    </tableColumn>
    <tableColumn id="13" xr3:uid="{81E5D0F0-5236-4EAF-A294-EF6EBD0FABB7}" name="NetRevenue/Unit" dataDxfId="18">
      <calculatedColumnFormula>Data[[#This Row],[Net Revenue]]/Data[[#This Row],[Units]]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6CA7D0-0AB4-4D98-AC18-75AF593F2DB7}" name="Table2" displayName="Table2" ref="N8:P26" totalsRowShown="0" headerRowDxfId="17">
  <autoFilter ref="N8:P26" xr:uid="{182822AC-CF91-4653-A10A-51AFCDB20BBC}"/>
  <sortState xmlns:xlrd2="http://schemas.microsoft.com/office/spreadsheetml/2017/richdata2" ref="N9:P26">
    <sortCondition ref="N8:N26"/>
  </sortState>
  <tableColumns count="3">
    <tableColumn id="1" xr3:uid="{89EB28B0-2030-471F-BC4E-8B0A51FBDC2E}" name="Brand"/>
    <tableColumn id="2" xr3:uid="{1D627CC0-3C3C-452B-8E2E-8CBB871B7654}" name="Sales" dataDxfId="16" dataCellStyle="Currency">
      <calculatedColumnFormula>SUMIFS($H$9:$H$58,$B$9:$B$58,N9)</calculatedColumnFormula>
    </tableColumn>
    <tableColumn id="3" xr3:uid="{EEBDCE29-B0A3-403E-B4D1-6FC8CD749424}" name="Count of Products" dataDxfId="15">
      <calculatedColumnFormula>COUNTIFS($B$9:$B$58,N9)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27C7EE-56CE-4A43-8EF6-A53EE0407940}" name="Data4" displayName="Data4" ref="A8:L58" totalsRowShown="0" headerRowDxfId="14">
  <autoFilter ref="A8:L58" xr:uid="{C197AF03-B8E2-4BE1-853B-DC0B0DF1574B}"/>
  <tableColumns count="12">
    <tableColumn id="1" xr3:uid="{AAC018EA-BDC0-4FE2-A1A7-026AE176A93A}" name="Product_Description" dataDxfId="13"/>
    <tableColumn id="2" xr3:uid="{B14D01BC-8CB5-4D9B-B94D-5E7915A95815}" name="Brand" dataDxfId="12"/>
    <tableColumn id="3" xr3:uid="{2E4F5849-8B53-480B-BFD9-4365CA5E6527}" name="Pack"/>
    <tableColumn id="4" xr3:uid="{917DD0D2-2880-4120-BB4B-174B517CEC9F}" name="Flavor" dataDxfId="11"/>
    <tableColumn id="5" xr3:uid="{46BF6B26-DAAC-4E4E-B794-D1D67C58755F}" name="Size_oz"/>
    <tableColumn id="6" xr3:uid="{3471590D-BA22-4CE4-AD91-1BA88121A2A9}" name="Concentrate"/>
    <tableColumn id="7" xr3:uid="{14DCA685-9BCE-454D-8424-15335EE156C3}" name="Status"/>
    <tableColumn id="8" xr3:uid="{3F07B053-F858-4177-B9C8-014357DCEEEF}" name="Sales" dataDxfId="10" dataCellStyle="Currency"/>
    <tableColumn id="9" xr3:uid="{BB5C3464-3D42-4B03-9B73-6EF74FE08938}" name="COGS" dataDxfId="9" dataCellStyle="Currency"/>
    <tableColumn id="10" xr3:uid="{659C7371-2744-431F-938A-D38E0AB708E6}" name="Units"/>
    <tableColumn id="11" xr3:uid="{61E3918D-6DF3-46CC-BF85-0FCF02B61B10}" name="Net Revenue" dataDxfId="8">
      <calculatedColumnFormula>H9-I9</calculatedColumnFormula>
    </tableColumn>
    <tableColumn id="13" xr3:uid="{8FB386FA-F5CB-4F0A-84C4-B6AAB6612045}" name="NetRevenue/Unit" dataDxfId="7">
      <calculatedColumnFormula>Data4[[#This Row],[Net Revenue]]/Data4[[#This Row],[Units]]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ECD61C-76EC-4D74-AFFD-E7E675C21804}" name="Table25" displayName="Table25" ref="N8:P26" totalsRowShown="0" headerRowDxfId="6">
  <autoFilter ref="N8:P26" xr:uid="{182822AC-CF91-4653-A10A-51AFCDB20BBC}"/>
  <sortState xmlns:xlrd2="http://schemas.microsoft.com/office/spreadsheetml/2017/richdata2" ref="N9:P26">
    <sortCondition ref="N8:N26"/>
  </sortState>
  <tableColumns count="3">
    <tableColumn id="1" xr3:uid="{D50651AD-8548-49EB-989E-FC24AB9ECEC2}" name="Brand"/>
    <tableColumn id="2" xr3:uid="{2B89AC5D-CA60-485A-BB34-7DEA21A5BD9F}" name="Sales" dataDxfId="5" dataCellStyle="Currency">
      <calculatedColumnFormula>SUMIFS($H$9:$H$58,$B$9:$B$58,N9)</calculatedColumnFormula>
    </tableColumn>
    <tableColumn id="3" xr3:uid="{14AB99D2-E023-4CED-B95A-267F29F114F4}" name="Count of Products" dataDxfId="4">
      <calculatedColumnFormula>COUNTIFS($B$9:$B$58,N9)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6617A1-34A7-4D80-9637-46C6AB88D796}">
  <we:reference id="wa104379190" version="2.0.0.0" store="en-US" storeType="OMEX"/>
  <we:alternateReferences>
    <we:reference id="WA104379190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7734-1E44-437F-89CD-57A0F0FC17AF}">
  <dimension ref="A2:Q65"/>
  <sheetViews>
    <sheetView zoomScale="140" zoomScaleNormal="110" workbookViewId="0">
      <selection activeCell="B3" sqref="B3"/>
    </sheetView>
  </sheetViews>
  <sheetFormatPr baseColWidth="10" defaultColWidth="16.33203125" defaultRowHeight="13" x14ac:dyDescent="0.15"/>
  <cols>
    <col min="1" max="1" width="25.33203125" customWidth="1"/>
    <col min="2" max="2" width="14" customWidth="1"/>
    <col min="3" max="3" width="10.33203125" bestFit="1" customWidth="1"/>
    <col min="4" max="4" width="12.1640625" customWidth="1"/>
    <col min="5" max="5" width="7.5" bestFit="1" customWidth="1"/>
    <col min="6" max="6" width="11.33203125" bestFit="1" customWidth="1"/>
    <col min="7" max="7" width="8.33203125" bestFit="1" customWidth="1"/>
    <col min="8" max="8" width="12.33203125" style="2" customWidth="1"/>
    <col min="9" max="9" width="11" style="2" customWidth="1"/>
    <col min="10" max="10" width="13.1640625" customWidth="1"/>
    <col min="11" max="11" width="28.6640625" customWidth="1"/>
    <col min="12" max="12" width="13.6640625" customWidth="1"/>
    <col min="13" max="13" width="16.83203125" customWidth="1"/>
    <col min="16" max="16" width="17" bestFit="1" customWidth="1"/>
  </cols>
  <sheetData>
    <row r="2" spans="1:17" x14ac:dyDescent="0.15">
      <c r="G2" t="s">
        <v>97</v>
      </c>
      <c r="H2" s="2">
        <f>MAX(H8:H57)</f>
        <v>1107428.77</v>
      </c>
      <c r="I2" s="2">
        <f t="shared" ref="I2:K2" si="0">MAX(I8:I57)</f>
        <v>557768.15</v>
      </c>
      <c r="J2" s="11">
        <f t="shared" si="0"/>
        <v>311767</v>
      </c>
      <c r="K2" s="2">
        <f t="shared" si="0"/>
        <v>549660.62</v>
      </c>
    </row>
    <row r="3" spans="1:17" x14ac:dyDescent="0.15">
      <c r="G3" t="s">
        <v>98</v>
      </c>
      <c r="H3" s="2">
        <f>MIN(H8:H57)</f>
        <v>36.909999999999997</v>
      </c>
      <c r="I3" s="2">
        <f t="shared" ref="I3:K3" si="1">MIN(I8:I57)</f>
        <v>18.149999999999999</v>
      </c>
      <c r="J3" s="11">
        <f t="shared" si="1"/>
        <v>15</v>
      </c>
      <c r="K3" s="2">
        <f t="shared" si="1"/>
        <v>18.759999999999998</v>
      </c>
    </row>
    <row r="4" spans="1:17" x14ac:dyDescent="0.15">
      <c r="G4" t="s">
        <v>99</v>
      </c>
      <c r="H4" s="2">
        <f>AVERAGE(H8:H57)</f>
        <v>194920.67480000001</v>
      </c>
      <c r="I4" s="2">
        <f t="shared" ref="I4:K4" si="2">AVERAGE(I8:I57)</f>
        <v>97319.782599999991</v>
      </c>
      <c r="J4" s="11">
        <f t="shared" si="2"/>
        <v>80386.399999999994</v>
      </c>
      <c r="K4" s="2">
        <f t="shared" si="2"/>
        <v>97600.892199999973</v>
      </c>
    </row>
    <row r="5" spans="1:17" x14ac:dyDescent="0.15">
      <c r="G5" t="s">
        <v>100</v>
      </c>
      <c r="H5" s="2">
        <f>SUM(H8:H57)</f>
        <v>9746033.7400000002</v>
      </c>
      <c r="I5" s="2">
        <f t="shared" ref="I5:K5" si="3">SUM(I8:I57)</f>
        <v>4865989.13</v>
      </c>
      <c r="J5" s="11">
        <f t="shared" si="3"/>
        <v>4019320</v>
      </c>
      <c r="K5" s="2">
        <f t="shared" si="3"/>
        <v>4880044.6099999985</v>
      </c>
    </row>
    <row r="6" spans="1:17" x14ac:dyDescent="0.15">
      <c r="F6" s="14"/>
      <c r="G6" s="12" t="s">
        <v>101</v>
      </c>
      <c r="H6" s="13">
        <f>SUBTOTAL(1,H8:H57)</f>
        <v>194920.67480000001</v>
      </c>
    </row>
    <row r="7" spans="1:17" x14ac:dyDescent="0.1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0" t="s">
        <v>7</v>
      </c>
      <c r="I7" s="10" t="s">
        <v>8</v>
      </c>
      <c r="J7" s="1" t="s">
        <v>9</v>
      </c>
      <c r="K7" s="1" t="s">
        <v>96</v>
      </c>
      <c r="L7" s="1"/>
    </row>
    <row r="8" spans="1:17" x14ac:dyDescent="0.15">
      <c r="A8" s="3" t="s">
        <v>70</v>
      </c>
      <c r="B8" s="3" t="s">
        <v>22</v>
      </c>
      <c r="C8">
        <v>6</v>
      </c>
      <c r="D8" s="3" t="s">
        <v>36</v>
      </c>
      <c r="E8">
        <v>6</v>
      </c>
      <c r="F8">
        <v>1</v>
      </c>
      <c r="G8" t="s">
        <v>31</v>
      </c>
      <c r="H8" s="2">
        <v>144690.89000000001</v>
      </c>
      <c r="I8" s="2">
        <v>68767.259999999995</v>
      </c>
      <c r="J8">
        <v>59869</v>
      </c>
      <c r="K8" s="6">
        <f t="shared" ref="K8:K39" si="4">H8-I8</f>
        <v>75923.630000000019</v>
      </c>
      <c r="N8" s="6"/>
      <c r="P8" s="3"/>
      <c r="Q8" s="9"/>
    </row>
    <row r="9" spans="1:17" x14ac:dyDescent="0.15">
      <c r="A9" s="3" t="s">
        <v>74</v>
      </c>
      <c r="B9" s="3" t="s">
        <v>45</v>
      </c>
      <c r="C9">
        <v>6</v>
      </c>
      <c r="D9" s="3" t="s">
        <v>58</v>
      </c>
      <c r="E9">
        <v>6</v>
      </c>
      <c r="F9">
        <v>1</v>
      </c>
      <c r="G9" t="s">
        <v>20</v>
      </c>
      <c r="H9" s="2">
        <v>166890.54999999999</v>
      </c>
      <c r="I9" s="2">
        <v>97470.080000000002</v>
      </c>
      <c r="J9">
        <v>88211</v>
      </c>
      <c r="K9" s="6">
        <f t="shared" si="4"/>
        <v>69420.469999999987</v>
      </c>
      <c r="N9" s="6"/>
      <c r="P9" s="3"/>
    </row>
    <row r="10" spans="1:17" x14ac:dyDescent="0.15">
      <c r="A10" s="3" t="s">
        <v>52</v>
      </c>
      <c r="B10" s="3" t="s">
        <v>45</v>
      </c>
      <c r="C10">
        <v>30</v>
      </c>
      <c r="D10" s="3" t="s">
        <v>53</v>
      </c>
      <c r="E10">
        <v>6</v>
      </c>
      <c r="F10">
        <v>1</v>
      </c>
      <c r="G10" t="s">
        <v>31</v>
      </c>
      <c r="H10" s="2">
        <v>21091.39</v>
      </c>
      <c r="I10" s="2">
        <v>12020.32</v>
      </c>
      <c r="J10">
        <v>12122</v>
      </c>
      <c r="K10" s="6">
        <f t="shared" si="4"/>
        <v>9071.07</v>
      </c>
      <c r="N10" s="6"/>
      <c r="P10" s="3"/>
    </row>
    <row r="11" spans="1:17" x14ac:dyDescent="0.15">
      <c r="A11" s="3" t="s">
        <v>44</v>
      </c>
      <c r="B11" s="3" t="s">
        <v>45</v>
      </c>
      <c r="C11">
        <v>30</v>
      </c>
      <c r="D11" s="3" t="s">
        <v>12</v>
      </c>
      <c r="E11">
        <v>6</v>
      </c>
      <c r="F11">
        <v>1</v>
      </c>
      <c r="G11" t="s">
        <v>31</v>
      </c>
      <c r="H11" s="2">
        <v>2926.62</v>
      </c>
      <c r="I11" s="2">
        <v>1380.45</v>
      </c>
      <c r="J11">
        <v>1182</v>
      </c>
      <c r="K11" s="6">
        <f t="shared" si="4"/>
        <v>1546.1699999999998</v>
      </c>
      <c r="N11" s="6"/>
      <c r="P11" s="3"/>
    </row>
    <row r="12" spans="1:17" x14ac:dyDescent="0.15">
      <c r="A12" s="3" t="s">
        <v>88</v>
      </c>
      <c r="B12" s="3" t="s">
        <v>85</v>
      </c>
      <c r="C12">
        <v>6</v>
      </c>
      <c r="D12" s="3" t="s">
        <v>58</v>
      </c>
      <c r="E12">
        <v>10</v>
      </c>
      <c r="F12" s="3">
        <v>1</v>
      </c>
      <c r="G12" t="s">
        <v>20</v>
      </c>
      <c r="H12" s="2">
        <v>428059.74</v>
      </c>
      <c r="I12" s="2">
        <v>190667.97</v>
      </c>
      <c r="J12">
        <v>180951</v>
      </c>
      <c r="K12" s="6">
        <f t="shared" si="4"/>
        <v>237391.77</v>
      </c>
    </row>
    <row r="13" spans="1:17" x14ac:dyDescent="0.15">
      <c r="A13" s="3" t="s">
        <v>91</v>
      </c>
      <c r="B13" s="3" t="s">
        <v>79</v>
      </c>
      <c r="C13">
        <v>6</v>
      </c>
      <c r="D13" s="3" t="s">
        <v>42</v>
      </c>
      <c r="E13">
        <v>10</v>
      </c>
      <c r="F13">
        <v>1</v>
      </c>
      <c r="G13" t="s">
        <v>20</v>
      </c>
      <c r="H13" s="2">
        <v>503654.42</v>
      </c>
      <c r="I13" s="2">
        <v>292277.98</v>
      </c>
      <c r="J13">
        <v>264881</v>
      </c>
      <c r="K13" s="6">
        <f t="shared" si="4"/>
        <v>211376.44</v>
      </c>
      <c r="N13" s="6"/>
    </row>
    <row r="14" spans="1:17" x14ac:dyDescent="0.15">
      <c r="A14" s="3" t="s">
        <v>86</v>
      </c>
      <c r="B14" s="3" t="s">
        <v>85</v>
      </c>
      <c r="C14">
        <v>6</v>
      </c>
      <c r="D14" s="3" t="s">
        <v>76</v>
      </c>
      <c r="E14">
        <v>10</v>
      </c>
      <c r="F14" s="3">
        <v>1</v>
      </c>
      <c r="G14" t="s">
        <v>20</v>
      </c>
      <c r="H14" s="2">
        <v>382723.4</v>
      </c>
      <c r="I14" s="2">
        <v>180961.83</v>
      </c>
      <c r="J14">
        <v>135970</v>
      </c>
      <c r="K14" s="6">
        <f t="shared" si="4"/>
        <v>201761.57000000004</v>
      </c>
    </row>
    <row r="15" spans="1:17" x14ac:dyDescent="0.15">
      <c r="A15" s="3" t="s">
        <v>84</v>
      </c>
      <c r="B15" s="3" t="s">
        <v>85</v>
      </c>
      <c r="C15">
        <v>6</v>
      </c>
      <c r="D15" s="3" t="s">
        <v>73</v>
      </c>
      <c r="E15">
        <v>10</v>
      </c>
      <c r="F15" s="3">
        <v>1</v>
      </c>
      <c r="G15" t="s">
        <v>20</v>
      </c>
      <c r="H15" s="2">
        <v>363765.36</v>
      </c>
      <c r="I15" s="2">
        <v>213633.91</v>
      </c>
      <c r="J15">
        <v>192778</v>
      </c>
      <c r="K15" s="6">
        <f t="shared" si="4"/>
        <v>150131.44999999998</v>
      </c>
    </row>
    <row r="16" spans="1:17" x14ac:dyDescent="0.15">
      <c r="A16" s="3" t="s">
        <v>75</v>
      </c>
      <c r="B16" s="3" t="s">
        <v>56</v>
      </c>
      <c r="C16">
        <v>6</v>
      </c>
      <c r="D16" s="3" t="s">
        <v>76</v>
      </c>
      <c r="E16">
        <v>10</v>
      </c>
      <c r="F16">
        <v>1</v>
      </c>
      <c r="G16" t="s">
        <v>20</v>
      </c>
      <c r="H16" s="2">
        <v>167532.73000000001</v>
      </c>
      <c r="I16" s="2">
        <v>77854.67</v>
      </c>
      <c r="J16">
        <v>63149</v>
      </c>
      <c r="K16" s="6">
        <f t="shared" si="4"/>
        <v>89678.060000000012</v>
      </c>
    </row>
    <row r="17" spans="1:11" x14ac:dyDescent="0.15">
      <c r="A17" s="3" t="s">
        <v>71</v>
      </c>
      <c r="B17" s="3" t="s">
        <v>72</v>
      </c>
      <c r="C17">
        <v>6</v>
      </c>
      <c r="D17" s="3" t="s">
        <v>73</v>
      </c>
      <c r="E17">
        <v>10</v>
      </c>
      <c r="F17">
        <v>1</v>
      </c>
      <c r="G17" t="s">
        <v>20</v>
      </c>
      <c r="H17" s="2">
        <v>154836.73000000001</v>
      </c>
      <c r="I17" s="2">
        <v>72220.759999999995</v>
      </c>
      <c r="J17">
        <v>56869</v>
      </c>
      <c r="K17" s="6">
        <f t="shared" si="4"/>
        <v>82615.970000000016</v>
      </c>
    </row>
    <row r="18" spans="1:11" x14ac:dyDescent="0.15">
      <c r="A18" s="3" t="s">
        <v>66</v>
      </c>
      <c r="B18" s="3" t="s">
        <v>27</v>
      </c>
      <c r="C18">
        <v>1</v>
      </c>
      <c r="D18" s="3" t="s">
        <v>67</v>
      </c>
      <c r="E18">
        <v>10</v>
      </c>
      <c r="F18">
        <v>0</v>
      </c>
      <c r="G18" t="s">
        <v>20</v>
      </c>
      <c r="H18" s="2">
        <v>123458.28</v>
      </c>
      <c r="I18" s="2">
        <v>60396.54</v>
      </c>
      <c r="J18">
        <v>41590</v>
      </c>
      <c r="K18" s="6">
        <f t="shared" si="4"/>
        <v>63061.74</v>
      </c>
    </row>
    <row r="19" spans="1:11" x14ac:dyDescent="0.15">
      <c r="A19" s="3" t="s">
        <v>57</v>
      </c>
      <c r="B19" s="3" t="s">
        <v>47</v>
      </c>
      <c r="C19">
        <v>6</v>
      </c>
      <c r="D19" s="3" t="s">
        <v>58</v>
      </c>
      <c r="E19">
        <v>10</v>
      </c>
      <c r="F19">
        <v>1</v>
      </c>
      <c r="G19" t="s">
        <v>20</v>
      </c>
      <c r="H19" s="2">
        <v>41735.4</v>
      </c>
      <c r="I19" s="2">
        <v>29246.02</v>
      </c>
      <c r="J19">
        <v>23223</v>
      </c>
      <c r="K19" s="6">
        <f t="shared" si="4"/>
        <v>12489.380000000001</v>
      </c>
    </row>
    <row r="20" spans="1:11" x14ac:dyDescent="0.15">
      <c r="A20" s="3" t="s">
        <v>37</v>
      </c>
      <c r="B20" s="3" t="s">
        <v>38</v>
      </c>
      <c r="C20">
        <v>24</v>
      </c>
      <c r="D20" s="3" t="s">
        <v>39</v>
      </c>
      <c r="E20">
        <v>10</v>
      </c>
      <c r="F20">
        <v>1</v>
      </c>
      <c r="G20" t="s">
        <v>20</v>
      </c>
      <c r="H20" s="2">
        <v>2283.61</v>
      </c>
      <c r="I20" s="2">
        <v>1201.77</v>
      </c>
      <c r="J20">
        <v>962</v>
      </c>
      <c r="K20" s="6">
        <f t="shared" si="4"/>
        <v>1081.8400000000001</v>
      </c>
    </row>
    <row r="21" spans="1:11" x14ac:dyDescent="0.15">
      <c r="A21" s="3" t="s">
        <v>24</v>
      </c>
      <c r="B21" s="3" t="s">
        <v>25</v>
      </c>
      <c r="C21">
        <v>6</v>
      </c>
      <c r="D21" s="3" t="s">
        <v>12</v>
      </c>
      <c r="E21">
        <v>10</v>
      </c>
      <c r="F21">
        <v>1</v>
      </c>
      <c r="G21" t="s">
        <v>20</v>
      </c>
      <c r="H21" s="2">
        <v>1105.79</v>
      </c>
      <c r="I21" s="2">
        <v>587.08000000000004</v>
      </c>
      <c r="J21">
        <v>466</v>
      </c>
      <c r="K21" s="6">
        <f t="shared" si="4"/>
        <v>518.70999999999992</v>
      </c>
    </row>
    <row r="22" spans="1:11" x14ac:dyDescent="0.15">
      <c r="A22" s="3" t="s">
        <v>26</v>
      </c>
      <c r="B22" s="3" t="s">
        <v>27</v>
      </c>
      <c r="C22">
        <v>6</v>
      </c>
      <c r="D22" s="3" t="s">
        <v>28</v>
      </c>
      <c r="E22">
        <v>16</v>
      </c>
      <c r="F22">
        <v>0</v>
      </c>
      <c r="G22" t="s">
        <v>13</v>
      </c>
      <c r="H22" s="2">
        <v>1132.26</v>
      </c>
      <c r="I22" s="2">
        <v>762.81</v>
      </c>
      <c r="J22">
        <v>602</v>
      </c>
      <c r="K22" s="6">
        <f t="shared" si="4"/>
        <v>369.45000000000005</v>
      </c>
    </row>
    <row r="23" spans="1:11" x14ac:dyDescent="0.15">
      <c r="A23" s="3" t="s">
        <v>29</v>
      </c>
      <c r="B23" s="3" t="s">
        <v>11</v>
      </c>
      <c r="C23">
        <v>1</v>
      </c>
      <c r="D23" s="3" t="s">
        <v>30</v>
      </c>
      <c r="E23">
        <v>16</v>
      </c>
      <c r="F23">
        <v>1</v>
      </c>
      <c r="G23" t="s">
        <v>31</v>
      </c>
      <c r="H23" s="2">
        <v>1134.76</v>
      </c>
      <c r="I23" s="2">
        <v>884.7</v>
      </c>
      <c r="J23">
        <v>607</v>
      </c>
      <c r="K23" s="6">
        <f t="shared" si="4"/>
        <v>250.05999999999995</v>
      </c>
    </row>
    <row r="24" spans="1:11" x14ac:dyDescent="0.15">
      <c r="A24" s="3" t="s">
        <v>32</v>
      </c>
      <c r="B24" s="3" t="s">
        <v>33</v>
      </c>
      <c r="C24">
        <v>1</v>
      </c>
      <c r="D24" s="3" t="s">
        <v>30</v>
      </c>
      <c r="E24">
        <v>16</v>
      </c>
      <c r="F24">
        <v>1</v>
      </c>
      <c r="G24" t="s">
        <v>31</v>
      </c>
      <c r="H24" s="2">
        <v>1138.81</v>
      </c>
      <c r="I24" s="2">
        <v>915.77</v>
      </c>
      <c r="J24">
        <v>678</v>
      </c>
      <c r="K24" s="6">
        <f t="shared" si="4"/>
        <v>223.03999999999996</v>
      </c>
    </row>
    <row r="25" spans="1:11" x14ac:dyDescent="0.15">
      <c r="A25" s="3" t="s">
        <v>82</v>
      </c>
      <c r="B25" s="3" t="s">
        <v>79</v>
      </c>
      <c r="C25">
        <v>6</v>
      </c>
      <c r="D25" s="3" t="s">
        <v>58</v>
      </c>
      <c r="E25">
        <v>32</v>
      </c>
      <c r="F25">
        <v>1</v>
      </c>
      <c r="G25" t="s">
        <v>20</v>
      </c>
      <c r="H25" s="2">
        <v>299662.09000000003</v>
      </c>
      <c r="I25" s="2">
        <v>143100.4</v>
      </c>
      <c r="J25">
        <v>126489</v>
      </c>
      <c r="K25" s="6">
        <f t="shared" si="4"/>
        <v>156561.69000000003</v>
      </c>
    </row>
    <row r="26" spans="1:11" x14ac:dyDescent="0.15">
      <c r="A26" s="3" t="s">
        <v>78</v>
      </c>
      <c r="B26" s="3" t="s">
        <v>79</v>
      </c>
      <c r="C26">
        <v>6</v>
      </c>
      <c r="D26" s="3" t="s">
        <v>50</v>
      </c>
      <c r="E26">
        <v>32</v>
      </c>
      <c r="F26">
        <v>1</v>
      </c>
      <c r="G26" t="s">
        <v>20</v>
      </c>
      <c r="H26" s="2">
        <v>232707.01</v>
      </c>
      <c r="I26" s="2">
        <v>107914.06</v>
      </c>
      <c r="J26">
        <v>78417</v>
      </c>
      <c r="K26" s="6">
        <f t="shared" si="4"/>
        <v>124792.95000000001</v>
      </c>
    </row>
    <row r="27" spans="1:11" x14ac:dyDescent="0.15">
      <c r="A27" s="3" t="s">
        <v>65</v>
      </c>
      <c r="B27" s="3" t="s">
        <v>63</v>
      </c>
      <c r="C27">
        <v>1</v>
      </c>
      <c r="D27" s="3" t="s">
        <v>28</v>
      </c>
      <c r="E27">
        <v>32</v>
      </c>
      <c r="F27">
        <v>0</v>
      </c>
      <c r="G27" t="s">
        <v>20</v>
      </c>
      <c r="H27" s="2">
        <v>111925.47</v>
      </c>
      <c r="I27" s="2">
        <v>54379.55</v>
      </c>
      <c r="J27">
        <v>56606</v>
      </c>
      <c r="K27" s="6">
        <f t="shared" si="4"/>
        <v>57545.919999999998</v>
      </c>
    </row>
    <row r="28" spans="1:11" x14ac:dyDescent="0.15">
      <c r="A28" s="3" t="s">
        <v>62</v>
      </c>
      <c r="B28" s="3" t="s">
        <v>63</v>
      </c>
      <c r="C28">
        <v>1</v>
      </c>
      <c r="D28" s="3" t="s">
        <v>28</v>
      </c>
      <c r="E28">
        <v>32</v>
      </c>
      <c r="F28">
        <v>0</v>
      </c>
      <c r="G28" t="s">
        <v>20</v>
      </c>
      <c r="H28" s="2">
        <v>69188.479999999996</v>
      </c>
      <c r="I28" s="2">
        <v>32534.240000000002</v>
      </c>
      <c r="J28">
        <v>25524</v>
      </c>
      <c r="K28" s="6">
        <f t="shared" si="4"/>
        <v>36654.239999999991</v>
      </c>
    </row>
    <row r="29" spans="1:11" x14ac:dyDescent="0.15">
      <c r="A29" s="3" t="s">
        <v>59</v>
      </c>
      <c r="B29" s="3" t="s">
        <v>60</v>
      </c>
      <c r="C29">
        <v>6</v>
      </c>
      <c r="D29" s="3" t="s">
        <v>42</v>
      </c>
      <c r="E29">
        <v>32</v>
      </c>
      <c r="F29">
        <v>1</v>
      </c>
      <c r="G29" t="s">
        <v>31</v>
      </c>
      <c r="H29" s="2">
        <v>47535.040000000001</v>
      </c>
      <c r="I29" s="2">
        <v>23220.49</v>
      </c>
      <c r="J29">
        <v>18265</v>
      </c>
      <c r="K29" s="6">
        <f t="shared" si="4"/>
        <v>24314.55</v>
      </c>
    </row>
    <row r="30" spans="1:11" x14ac:dyDescent="0.15">
      <c r="A30" s="3" t="s">
        <v>55</v>
      </c>
      <c r="B30" s="3" t="s">
        <v>56</v>
      </c>
      <c r="C30">
        <v>6</v>
      </c>
      <c r="D30" s="3" t="s">
        <v>50</v>
      </c>
      <c r="E30">
        <v>32</v>
      </c>
      <c r="F30">
        <v>1</v>
      </c>
      <c r="G30" t="s">
        <v>13</v>
      </c>
      <c r="H30" s="2">
        <v>35136.78</v>
      </c>
      <c r="I30" s="2">
        <v>17170.349999999999</v>
      </c>
      <c r="J30">
        <v>18360</v>
      </c>
      <c r="K30" s="6">
        <f t="shared" si="4"/>
        <v>17966.43</v>
      </c>
    </row>
    <row r="31" spans="1:11" x14ac:dyDescent="0.15">
      <c r="A31" s="3" t="s">
        <v>46</v>
      </c>
      <c r="B31" s="3" t="s">
        <v>47</v>
      </c>
      <c r="C31">
        <v>1</v>
      </c>
      <c r="D31" s="3" t="s">
        <v>48</v>
      </c>
      <c r="E31">
        <v>32</v>
      </c>
      <c r="F31">
        <v>1</v>
      </c>
      <c r="G31" t="s">
        <v>20</v>
      </c>
      <c r="H31" s="2">
        <v>3021.91</v>
      </c>
      <c r="I31" s="2">
        <v>1721</v>
      </c>
      <c r="J31">
        <v>2910</v>
      </c>
      <c r="K31" s="6">
        <f t="shared" si="4"/>
        <v>1300.9099999999999</v>
      </c>
    </row>
    <row r="32" spans="1:11" x14ac:dyDescent="0.15">
      <c r="A32" s="3" t="s">
        <v>40</v>
      </c>
      <c r="B32" s="3" t="s">
        <v>11</v>
      </c>
      <c r="C32">
        <v>6</v>
      </c>
      <c r="D32" s="3" t="s">
        <v>39</v>
      </c>
      <c r="E32">
        <v>32</v>
      </c>
      <c r="F32">
        <v>1</v>
      </c>
      <c r="G32" t="s">
        <v>13</v>
      </c>
      <c r="H32" s="2">
        <v>2546.85</v>
      </c>
      <c r="I32" s="2">
        <v>1379.67</v>
      </c>
      <c r="J32">
        <v>135</v>
      </c>
      <c r="K32" s="6">
        <f t="shared" si="4"/>
        <v>1167.1799999999998</v>
      </c>
    </row>
    <row r="33" spans="1:15" x14ac:dyDescent="0.15">
      <c r="A33" s="3" t="s">
        <v>43</v>
      </c>
      <c r="B33" s="3" t="s">
        <v>11</v>
      </c>
      <c r="C33">
        <v>6</v>
      </c>
      <c r="D33" s="3" t="s">
        <v>36</v>
      </c>
      <c r="E33">
        <v>32</v>
      </c>
      <c r="F33">
        <v>1</v>
      </c>
      <c r="G33" t="s">
        <v>31</v>
      </c>
      <c r="H33" s="2">
        <v>2877.89</v>
      </c>
      <c r="I33" s="2">
        <v>1815.09</v>
      </c>
      <c r="J33">
        <v>1354</v>
      </c>
      <c r="K33" s="6">
        <f t="shared" si="4"/>
        <v>1062.8</v>
      </c>
    </row>
    <row r="34" spans="1:15" ht="14" x14ac:dyDescent="0.15">
      <c r="A34" s="3" t="s">
        <v>17</v>
      </c>
      <c r="B34" s="3" t="s">
        <v>18</v>
      </c>
      <c r="C34">
        <v>1</v>
      </c>
      <c r="D34" s="3" t="s">
        <v>19</v>
      </c>
      <c r="E34">
        <v>32</v>
      </c>
      <c r="F34">
        <v>1</v>
      </c>
      <c r="G34" t="s">
        <v>20</v>
      </c>
      <c r="H34" s="2">
        <v>402.26</v>
      </c>
      <c r="I34" s="2">
        <v>161.19</v>
      </c>
      <c r="J34">
        <v>203</v>
      </c>
      <c r="K34" s="6">
        <f t="shared" si="4"/>
        <v>241.07</v>
      </c>
      <c r="N34" s="4"/>
      <c r="O34" s="5"/>
    </row>
    <row r="35" spans="1:15" x14ac:dyDescent="0.15">
      <c r="A35" s="3" t="s">
        <v>10</v>
      </c>
      <c r="B35" s="3" t="s">
        <v>11</v>
      </c>
      <c r="C35">
        <v>1</v>
      </c>
      <c r="D35" s="3" t="s">
        <v>12</v>
      </c>
      <c r="E35">
        <v>32</v>
      </c>
      <c r="F35">
        <v>1</v>
      </c>
      <c r="G35" t="s">
        <v>13</v>
      </c>
      <c r="H35" s="2">
        <v>36.909999999999997</v>
      </c>
      <c r="I35" s="2">
        <v>18.149999999999999</v>
      </c>
      <c r="J35">
        <v>15</v>
      </c>
      <c r="K35" s="6">
        <f t="shared" si="4"/>
        <v>18.759999999999998</v>
      </c>
    </row>
    <row r="36" spans="1:15" x14ac:dyDescent="0.15">
      <c r="A36" s="3" t="s">
        <v>87</v>
      </c>
      <c r="B36" s="3" t="s">
        <v>22</v>
      </c>
      <c r="C36">
        <v>1</v>
      </c>
      <c r="D36" s="3" t="s">
        <v>36</v>
      </c>
      <c r="E36">
        <v>46</v>
      </c>
      <c r="F36" s="3">
        <v>0</v>
      </c>
      <c r="G36" t="s">
        <v>20</v>
      </c>
      <c r="H36" s="2">
        <v>399949.13</v>
      </c>
      <c r="I36" s="2">
        <v>205741.56</v>
      </c>
      <c r="J36">
        <v>140840</v>
      </c>
      <c r="K36" s="6">
        <f t="shared" si="4"/>
        <v>194207.57</v>
      </c>
    </row>
    <row r="37" spans="1:15" x14ac:dyDescent="0.15">
      <c r="A37" s="3" t="s">
        <v>54</v>
      </c>
      <c r="B37" s="3" t="s">
        <v>27</v>
      </c>
      <c r="C37">
        <v>1</v>
      </c>
      <c r="D37" s="3" t="s">
        <v>53</v>
      </c>
      <c r="E37">
        <v>46</v>
      </c>
      <c r="F37">
        <v>0</v>
      </c>
      <c r="G37" t="s">
        <v>31</v>
      </c>
      <c r="H37" s="2">
        <v>33118.230000000003</v>
      </c>
      <c r="I37" s="2">
        <v>16835.900000000001</v>
      </c>
      <c r="J37">
        <v>11578</v>
      </c>
      <c r="K37" s="6">
        <f t="shared" si="4"/>
        <v>16282.330000000002</v>
      </c>
    </row>
    <row r="38" spans="1:15" x14ac:dyDescent="0.15">
      <c r="A38" s="3" t="s">
        <v>34</v>
      </c>
      <c r="B38" s="3" t="s">
        <v>35</v>
      </c>
      <c r="C38">
        <v>1</v>
      </c>
      <c r="D38" s="3" t="s">
        <v>36</v>
      </c>
      <c r="E38">
        <v>48</v>
      </c>
      <c r="F38">
        <v>1</v>
      </c>
      <c r="G38" t="s">
        <v>20</v>
      </c>
      <c r="H38" s="2">
        <v>1175.32</v>
      </c>
      <c r="I38" s="2">
        <v>471.19</v>
      </c>
      <c r="J38">
        <v>566</v>
      </c>
      <c r="K38" s="6">
        <f t="shared" si="4"/>
        <v>704.12999999999988</v>
      </c>
    </row>
    <row r="39" spans="1:15" x14ac:dyDescent="0.15">
      <c r="A39" s="3" t="s">
        <v>64</v>
      </c>
      <c r="B39" s="3" t="s">
        <v>22</v>
      </c>
      <c r="C39">
        <v>1</v>
      </c>
      <c r="D39" s="3" t="s">
        <v>42</v>
      </c>
      <c r="E39">
        <v>59</v>
      </c>
      <c r="F39">
        <v>1</v>
      </c>
      <c r="G39" t="s">
        <v>20</v>
      </c>
      <c r="H39" s="2">
        <v>83504.78</v>
      </c>
      <c r="I39" s="2">
        <v>37603.43</v>
      </c>
      <c r="J39">
        <v>34048</v>
      </c>
      <c r="K39" s="6">
        <f t="shared" si="4"/>
        <v>45901.35</v>
      </c>
    </row>
    <row r="40" spans="1:15" x14ac:dyDescent="0.15">
      <c r="A40" s="3" t="s">
        <v>61</v>
      </c>
      <c r="B40" s="3" t="s">
        <v>22</v>
      </c>
      <c r="C40">
        <v>1</v>
      </c>
      <c r="D40" s="3" t="s">
        <v>53</v>
      </c>
      <c r="E40">
        <v>59</v>
      </c>
      <c r="F40">
        <v>1</v>
      </c>
      <c r="G40" t="s">
        <v>20</v>
      </c>
      <c r="H40" s="2">
        <v>63960.05</v>
      </c>
      <c r="I40" s="2">
        <v>31328.03</v>
      </c>
      <c r="J40">
        <v>21534</v>
      </c>
      <c r="K40" s="6">
        <f t="shared" ref="K40:K57" si="5">H40-I40</f>
        <v>32632.020000000004</v>
      </c>
    </row>
    <row r="41" spans="1:15" x14ac:dyDescent="0.15">
      <c r="A41" s="3" t="s">
        <v>41</v>
      </c>
      <c r="B41" s="3" t="s">
        <v>22</v>
      </c>
      <c r="C41">
        <v>1</v>
      </c>
      <c r="D41" s="3" t="s">
        <v>42</v>
      </c>
      <c r="E41">
        <v>59</v>
      </c>
      <c r="F41">
        <v>1</v>
      </c>
      <c r="G41" t="s">
        <v>31</v>
      </c>
      <c r="H41" s="2">
        <v>2876.34</v>
      </c>
      <c r="I41" s="2">
        <v>1826.67</v>
      </c>
      <c r="J41">
        <v>1305</v>
      </c>
      <c r="K41" s="6">
        <f t="shared" si="5"/>
        <v>1049.67</v>
      </c>
    </row>
    <row r="42" spans="1:15" x14ac:dyDescent="0.15">
      <c r="A42" s="3" t="s">
        <v>21</v>
      </c>
      <c r="B42" s="3" t="s">
        <v>22</v>
      </c>
      <c r="C42">
        <v>1</v>
      </c>
      <c r="D42" s="3" t="s">
        <v>23</v>
      </c>
      <c r="E42">
        <v>59</v>
      </c>
      <c r="F42">
        <v>1</v>
      </c>
      <c r="G42" t="s">
        <v>20</v>
      </c>
      <c r="H42" s="2">
        <v>1078.73</v>
      </c>
      <c r="I42" s="2">
        <v>621.97</v>
      </c>
      <c r="J42">
        <v>454</v>
      </c>
      <c r="K42" s="6">
        <f t="shared" si="5"/>
        <v>456.76</v>
      </c>
    </row>
    <row r="43" spans="1:15" x14ac:dyDescent="0.15">
      <c r="A43" s="3" t="s">
        <v>94</v>
      </c>
      <c r="B43" s="3" t="s">
        <v>27</v>
      </c>
      <c r="C43">
        <v>1</v>
      </c>
      <c r="D43" s="3" t="s">
        <v>67</v>
      </c>
      <c r="E43">
        <v>64</v>
      </c>
      <c r="F43">
        <v>0</v>
      </c>
      <c r="G43" t="s">
        <v>20</v>
      </c>
      <c r="H43" s="2">
        <v>542060.85</v>
      </c>
      <c r="I43" s="2">
        <v>266218.65000000002</v>
      </c>
      <c r="J43">
        <v>225033</v>
      </c>
      <c r="K43" s="6">
        <f t="shared" si="5"/>
        <v>275842.19999999995</v>
      </c>
    </row>
    <row r="44" spans="1:15" x14ac:dyDescent="0.15">
      <c r="A44" s="3" t="s">
        <v>92</v>
      </c>
      <c r="B44" s="3" t="s">
        <v>56</v>
      </c>
      <c r="C44">
        <v>1</v>
      </c>
      <c r="D44" s="3" t="s">
        <v>73</v>
      </c>
      <c r="E44">
        <v>64</v>
      </c>
      <c r="F44">
        <v>0</v>
      </c>
      <c r="G44" t="s">
        <v>20</v>
      </c>
      <c r="H44" s="2">
        <v>513207.92</v>
      </c>
      <c r="I44" s="2">
        <v>251876.45</v>
      </c>
      <c r="J44">
        <v>219432</v>
      </c>
      <c r="K44" s="6">
        <f t="shared" si="5"/>
        <v>261331.46999999997</v>
      </c>
    </row>
    <row r="45" spans="1:15" x14ac:dyDescent="0.15">
      <c r="A45" s="3" t="s">
        <v>83</v>
      </c>
      <c r="B45" s="3" t="s">
        <v>47</v>
      </c>
      <c r="C45">
        <v>1</v>
      </c>
      <c r="D45" s="3" t="s">
        <v>42</v>
      </c>
      <c r="E45">
        <v>64</v>
      </c>
      <c r="F45" s="3">
        <v>1</v>
      </c>
      <c r="G45" t="s">
        <v>20</v>
      </c>
      <c r="H45" s="2">
        <v>342292.4</v>
      </c>
      <c r="I45" s="2">
        <v>152073.01</v>
      </c>
      <c r="J45">
        <v>144506</v>
      </c>
      <c r="K45" s="6">
        <f t="shared" si="5"/>
        <v>190219.39</v>
      </c>
    </row>
    <row r="46" spans="1:15" x14ac:dyDescent="0.15">
      <c r="A46" s="3" t="s">
        <v>77</v>
      </c>
      <c r="B46" s="3" t="s">
        <v>60</v>
      </c>
      <c r="C46">
        <v>1</v>
      </c>
      <c r="D46" s="3" t="s">
        <v>58</v>
      </c>
      <c r="E46">
        <v>64</v>
      </c>
      <c r="F46">
        <v>1</v>
      </c>
      <c r="G46" t="s">
        <v>20</v>
      </c>
      <c r="H46" s="2">
        <v>226723.71</v>
      </c>
      <c r="I46" s="2">
        <v>111744.89</v>
      </c>
      <c r="J46">
        <v>97453</v>
      </c>
      <c r="K46" s="6">
        <f t="shared" si="5"/>
        <v>114978.81999999999</v>
      </c>
    </row>
    <row r="47" spans="1:15" x14ac:dyDescent="0.15">
      <c r="A47" s="3" t="s">
        <v>68</v>
      </c>
      <c r="B47" s="3" t="s">
        <v>56</v>
      </c>
      <c r="C47">
        <v>1</v>
      </c>
      <c r="D47" s="3" t="s">
        <v>69</v>
      </c>
      <c r="E47">
        <v>64</v>
      </c>
      <c r="F47" s="3">
        <v>1</v>
      </c>
      <c r="G47" t="s">
        <v>20</v>
      </c>
      <c r="H47" s="2">
        <v>125759.9</v>
      </c>
      <c r="I47" s="2">
        <v>82487.100000000006</v>
      </c>
      <c r="J47">
        <v>67431</v>
      </c>
      <c r="K47" s="6">
        <f t="shared" si="5"/>
        <v>43272.799999999988</v>
      </c>
    </row>
    <row r="48" spans="1:15" x14ac:dyDescent="0.15">
      <c r="A48" s="3" t="s">
        <v>51</v>
      </c>
      <c r="B48" s="3" t="s">
        <v>27</v>
      </c>
      <c r="C48">
        <v>1</v>
      </c>
      <c r="D48" s="3" t="s">
        <v>23</v>
      </c>
      <c r="E48">
        <v>64</v>
      </c>
      <c r="F48">
        <v>0</v>
      </c>
      <c r="G48" t="s">
        <v>13</v>
      </c>
      <c r="H48" s="2">
        <v>12007.5</v>
      </c>
      <c r="I48" s="2">
        <v>6159.54</v>
      </c>
      <c r="J48">
        <v>4858</v>
      </c>
      <c r="K48" s="6">
        <f t="shared" si="5"/>
        <v>5847.96</v>
      </c>
    </row>
    <row r="49" spans="1:15" x14ac:dyDescent="0.15">
      <c r="A49" s="3" t="s">
        <v>49</v>
      </c>
      <c r="B49" s="3" t="s">
        <v>47</v>
      </c>
      <c r="C49">
        <v>1</v>
      </c>
      <c r="D49" s="3" t="s">
        <v>50</v>
      </c>
      <c r="E49">
        <v>64</v>
      </c>
      <c r="F49">
        <v>1</v>
      </c>
      <c r="G49" t="s">
        <v>31</v>
      </c>
      <c r="H49" s="2">
        <v>3233.89</v>
      </c>
      <c r="I49" s="2">
        <v>1954.3</v>
      </c>
      <c r="J49">
        <v>1466</v>
      </c>
      <c r="K49" s="6">
        <f t="shared" si="5"/>
        <v>1279.5899999999999</v>
      </c>
    </row>
    <row r="50" spans="1:15" x14ac:dyDescent="0.15">
      <c r="A50" s="3" t="s">
        <v>14</v>
      </c>
      <c r="B50" s="3" t="s">
        <v>15</v>
      </c>
      <c r="C50">
        <v>1</v>
      </c>
      <c r="D50" s="3" t="s">
        <v>16</v>
      </c>
      <c r="E50">
        <v>64</v>
      </c>
      <c r="F50">
        <v>0</v>
      </c>
      <c r="G50" t="s">
        <v>13</v>
      </c>
      <c r="H50" s="2">
        <v>91.78</v>
      </c>
      <c r="I50" s="2">
        <v>45</v>
      </c>
      <c r="J50">
        <v>31</v>
      </c>
      <c r="K50" s="6">
        <f t="shared" si="5"/>
        <v>46.78</v>
      </c>
    </row>
    <row r="51" spans="1:15" x14ac:dyDescent="0.15">
      <c r="A51" s="3" t="s">
        <v>95</v>
      </c>
      <c r="B51" s="3" t="s">
        <v>85</v>
      </c>
      <c r="C51">
        <v>1</v>
      </c>
      <c r="D51" s="3" t="s">
        <v>42</v>
      </c>
      <c r="E51">
        <v>96</v>
      </c>
      <c r="F51">
        <v>0</v>
      </c>
      <c r="G51" t="s">
        <v>20</v>
      </c>
      <c r="H51" s="2">
        <v>1107428.77</v>
      </c>
      <c r="I51" s="2">
        <v>557768.15</v>
      </c>
      <c r="J51">
        <v>301667</v>
      </c>
      <c r="K51" s="6">
        <f t="shared" si="5"/>
        <v>549660.62</v>
      </c>
    </row>
    <row r="52" spans="1:15" x14ac:dyDescent="0.15">
      <c r="A52" s="3" t="s">
        <v>91</v>
      </c>
      <c r="B52" s="3" t="s">
        <v>79</v>
      </c>
      <c r="C52">
        <v>1</v>
      </c>
      <c r="D52" s="3" t="s">
        <v>42</v>
      </c>
      <c r="E52">
        <v>96</v>
      </c>
      <c r="F52">
        <v>0</v>
      </c>
      <c r="G52" t="s">
        <v>20</v>
      </c>
      <c r="H52" s="2">
        <v>661578.37</v>
      </c>
      <c r="I52" s="2">
        <v>320563.3</v>
      </c>
      <c r="J52">
        <v>311767</v>
      </c>
      <c r="K52" s="6">
        <f t="shared" si="5"/>
        <v>341015.07</v>
      </c>
    </row>
    <row r="53" spans="1:15" x14ac:dyDescent="0.15">
      <c r="A53" s="3" t="s">
        <v>93</v>
      </c>
      <c r="B53" s="3" t="s">
        <v>47</v>
      </c>
      <c r="C53">
        <v>1</v>
      </c>
      <c r="D53" s="3" t="s">
        <v>58</v>
      </c>
      <c r="E53">
        <v>96</v>
      </c>
      <c r="F53">
        <v>1</v>
      </c>
      <c r="G53" t="s">
        <v>20</v>
      </c>
      <c r="H53" s="2">
        <v>538409.41</v>
      </c>
      <c r="I53" s="2">
        <v>246833.19</v>
      </c>
      <c r="J53">
        <v>231284</v>
      </c>
      <c r="K53" s="6">
        <f t="shared" si="5"/>
        <v>291576.22000000003</v>
      </c>
    </row>
    <row r="54" spans="1:15" ht="14" x14ac:dyDescent="0.15">
      <c r="A54" s="3" t="s">
        <v>89</v>
      </c>
      <c r="B54" s="3" t="s">
        <v>72</v>
      </c>
      <c r="C54">
        <v>1</v>
      </c>
      <c r="D54" s="3" t="s">
        <v>73</v>
      </c>
      <c r="E54">
        <v>96</v>
      </c>
      <c r="F54">
        <v>1</v>
      </c>
      <c r="G54" t="s">
        <v>20</v>
      </c>
      <c r="H54" s="2">
        <v>459302.59</v>
      </c>
      <c r="I54" s="2">
        <v>226777.36</v>
      </c>
      <c r="J54">
        <v>197596</v>
      </c>
      <c r="K54" s="6">
        <f t="shared" si="5"/>
        <v>232525.23000000004</v>
      </c>
      <c r="N54" s="4"/>
      <c r="O54" s="5"/>
    </row>
    <row r="55" spans="1:15" x14ac:dyDescent="0.15">
      <c r="A55" s="3" t="s">
        <v>75</v>
      </c>
      <c r="B55" s="3" t="s">
        <v>25</v>
      </c>
      <c r="C55">
        <v>1</v>
      </c>
      <c r="D55" s="3" t="s">
        <v>76</v>
      </c>
      <c r="E55">
        <v>128</v>
      </c>
      <c r="F55">
        <v>1</v>
      </c>
      <c r="G55" t="s">
        <v>20</v>
      </c>
      <c r="H55" s="2">
        <v>559499.29</v>
      </c>
      <c r="I55" s="2">
        <v>274788.36</v>
      </c>
      <c r="J55">
        <v>232125</v>
      </c>
      <c r="K55" s="6">
        <f t="shared" si="5"/>
        <v>284710.93000000005</v>
      </c>
    </row>
    <row r="56" spans="1:15" x14ac:dyDescent="0.15">
      <c r="A56" s="3" t="s">
        <v>90</v>
      </c>
      <c r="B56" s="3" t="s">
        <v>60</v>
      </c>
      <c r="C56">
        <v>1</v>
      </c>
      <c r="D56" s="3" t="s">
        <v>58</v>
      </c>
      <c r="E56">
        <v>128</v>
      </c>
      <c r="F56">
        <v>1</v>
      </c>
      <c r="G56" t="s">
        <v>20</v>
      </c>
      <c r="H56" s="2">
        <v>474409.1</v>
      </c>
      <c r="I56" s="2">
        <v>249628.51</v>
      </c>
      <c r="J56">
        <v>201608</v>
      </c>
      <c r="K56" s="6">
        <f t="shared" si="5"/>
        <v>224780.58999999997</v>
      </c>
    </row>
    <row r="57" spans="1:15" x14ac:dyDescent="0.15">
      <c r="A57" s="3" t="s">
        <v>80</v>
      </c>
      <c r="B57" s="3" t="s">
        <v>81</v>
      </c>
      <c r="C57">
        <v>1</v>
      </c>
      <c r="D57" s="3" t="s">
        <v>12</v>
      </c>
      <c r="E57">
        <v>128</v>
      </c>
      <c r="F57">
        <v>1</v>
      </c>
      <c r="G57" t="s">
        <v>20</v>
      </c>
      <c r="H57" s="2">
        <v>281164.25</v>
      </c>
      <c r="I57" s="2">
        <v>137978.46</v>
      </c>
      <c r="J57">
        <v>120350</v>
      </c>
      <c r="K57" s="6">
        <f t="shared" si="5"/>
        <v>143185.79</v>
      </c>
    </row>
    <row r="61" spans="1:15" x14ac:dyDescent="0.15">
      <c r="C61" s="7"/>
      <c r="E61" s="8"/>
      <c r="F61" s="8"/>
    </row>
    <row r="62" spans="1:15" x14ac:dyDescent="0.15">
      <c r="B62" s="7"/>
      <c r="C62" s="7"/>
      <c r="E62" s="8"/>
      <c r="F62" s="8"/>
    </row>
    <row r="63" spans="1:15" x14ac:dyDescent="0.15">
      <c r="B63" s="7"/>
      <c r="C63" s="7"/>
      <c r="E63" s="8"/>
      <c r="F63" s="8"/>
    </row>
    <row r="64" spans="1:15" x14ac:dyDescent="0.15">
      <c r="B64" s="7"/>
      <c r="C64" s="7"/>
      <c r="E64" s="8"/>
      <c r="F64" s="8"/>
    </row>
    <row r="65" spans="2:6" x14ac:dyDescent="0.15">
      <c r="B65" s="7"/>
      <c r="C65" s="7"/>
      <c r="E65" s="8"/>
      <c r="F65" s="8"/>
    </row>
  </sheetData>
  <autoFilter ref="A7:K57" xr:uid="{B2B57734-1E44-437F-89CD-57A0F0FC17AF}"/>
  <conditionalFormatting sqref="A8:A57">
    <cfRule type="expression" dxfId="3" priority="2">
      <formula>G8="Inactive"</formula>
    </cfRule>
  </conditionalFormatting>
  <conditionalFormatting sqref="K9:K5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{8010857E-9765-416E-B239-E1E24D580A36}</x14:id>
        </ext>
      </extLst>
    </cfRule>
  </conditionalFormatting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10857E-9765-416E-B239-E1E24D580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K9:K57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3482-D907-403F-9E82-3B422F4E3D54}">
  <dimension ref="A1:Q55"/>
  <sheetViews>
    <sheetView tabSelected="1" topLeftCell="B1" zoomScale="140" zoomScaleNormal="110" workbookViewId="0">
      <selection activeCell="G21" sqref="G21"/>
    </sheetView>
  </sheetViews>
  <sheetFormatPr baseColWidth="10" defaultColWidth="16.33203125" defaultRowHeight="13" x14ac:dyDescent="0.15"/>
  <cols>
    <col min="1" max="1" width="25.33203125" customWidth="1"/>
    <col min="2" max="2" width="14" customWidth="1"/>
    <col min="3" max="3" width="10.33203125" bestFit="1" customWidth="1"/>
    <col min="4" max="4" width="12.1640625" customWidth="1"/>
    <col min="5" max="5" width="7.5" bestFit="1" customWidth="1"/>
    <col min="6" max="6" width="11.33203125" bestFit="1" customWidth="1"/>
    <col min="7" max="7" width="8.33203125" bestFit="1" customWidth="1"/>
    <col min="8" max="8" width="12.33203125" style="2" customWidth="1"/>
    <col min="9" max="9" width="11" style="2" customWidth="1"/>
    <col min="10" max="10" width="13.1640625" customWidth="1"/>
    <col min="11" max="11" width="28.6640625" customWidth="1"/>
    <col min="12" max="12" width="13.6640625" customWidth="1"/>
    <col min="13" max="13" width="16.83203125" customWidth="1"/>
    <col min="16" max="16" width="17" bestFit="1" customWidth="1"/>
  </cols>
  <sheetData>
    <row r="1" spans="1:17" x14ac:dyDescent="0.15">
      <c r="N1" s="3" t="s">
        <v>104</v>
      </c>
    </row>
    <row r="2" spans="1:17" ht="14" thickBot="1" x14ac:dyDescent="0.2">
      <c r="G2" t="s">
        <v>97</v>
      </c>
      <c r="H2" s="2">
        <f>MAX(H8:H47)</f>
        <v>1107428.77</v>
      </c>
      <c r="I2" s="2">
        <f>MAX(I8:I47)</f>
        <v>557768.15</v>
      </c>
      <c r="J2" s="11">
        <f>MAX(J8:J47)</f>
        <v>311767</v>
      </c>
      <c r="K2" s="2">
        <f>MAX(K8:K47)</f>
        <v>549660.62</v>
      </c>
      <c r="N2" s="3" t="s">
        <v>102</v>
      </c>
      <c r="O2" s="3" t="s">
        <v>103</v>
      </c>
      <c r="P2" s="3" t="s">
        <v>105</v>
      </c>
    </row>
    <row r="3" spans="1:17" x14ac:dyDescent="0.15">
      <c r="G3" t="s">
        <v>98</v>
      </c>
      <c r="H3" s="2">
        <f>MIN(H8:H47)</f>
        <v>36.909999999999997</v>
      </c>
      <c r="I3" s="2">
        <f>MIN(I8:I47)</f>
        <v>18.149999999999999</v>
      </c>
      <c r="J3" s="11">
        <f>MIN(J8:J47)</f>
        <v>15</v>
      </c>
      <c r="K3" s="2">
        <f>MIN(K8:K47)</f>
        <v>18.759999999999998</v>
      </c>
      <c r="N3" s="15">
        <v>3</v>
      </c>
      <c r="O3" s="16">
        <v>4</v>
      </c>
      <c r="P3" s="17">
        <f>N3*O3</f>
        <v>12</v>
      </c>
    </row>
    <row r="4" spans="1:17" x14ac:dyDescent="0.15">
      <c r="G4" t="s">
        <v>99</v>
      </c>
      <c r="H4" s="2">
        <f>AVERAGE(H8:H47)</f>
        <v>237135.24699999997</v>
      </c>
      <c r="I4" s="2">
        <f>AVERAGE(I8:I47)</f>
        <v>118409.20449999999</v>
      </c>
      <c r="J4" s="11">
        <f>AVERAGE(J8:J47)</f>
        <v>97772.35</v>
      </c>
      <c r="K4" s="2">
        <f>AVERAGE(K8:K47)</f>
        <v>118726.04249999998</v>
      </c>
      <c r="N4" s="18">
        <v>3</v>
      </c>
      <c r="O4">
        <v>2.7</v>
      </c>
      <c r="P4" s="19">
        <f t="shared" ref="P4:P7" si="0">N4*O4</f>
        <v>8.1000000000000014</v>
      </c>
    </row>
    <row r="5" spans="1:17" x14ac:dyDescent="0.15">
      <c r="G5" t="s">
        <v>100</v>
      </c>
      <c r="H5" s="2">
        <f>SUM(H8:H47)</f>
        <v>9485409.879999999</v>
      </c>
      <c r="I5" s="2">
        <f>SUM(I8:I47)</f>
        <v>4736368.18</v>
      </c>
      <c r="J5" s="11">
        <f>SUM(J8:J47)</f>
        <v>3910894</v>
      </c>
      <c r="K5" s="2">
        <f>SUM(K8:K47)</f>
        <v>4749041.6999999993</v>
      </c>
      <c r="N5" s="18">
        <v>2</v>
      </c>
      <c r="O5">
        <v>3.3</v>
      </c>
      <c r="P5" s="19">
        <f t="shared" si="0"/>
        <v>6.6</v>
      </c>
    </row>
    <row r="6" spans="1:17" x14ac:dyDescent="0.15">
      <c r="F6" s="14"/>
      <c r="G6" s="12" t="s">
        <v>101</v>
      </c>
      <c r="H6" s="13">
        <f>SUBTOTAL(1,H8:H47)</f>
        <v>237135.24699999997</v>
      </c>
      <c r="N6" s="18">
        <v>1</v>
      </c>
      <c r="O6">
        <v>3.7</v>
      </c>
      <c r="P6" s="19">
        <f t="shared" si="0"/>
        <v>3.7</v>
      </c>
    </row>
    <row r="7" spans="1:17" ht="14" thickBot="1" x14ac:dyDescent="0.2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0" t="s">
        <v>7</v>
      </c>
      <c r="I7" s="10" t="s">
        <v>8</v>
      </c>
      <c r="J7" s="1" t="s">
        <v>9</v>
      </c>
      <c r="K7" s="1" t="s">
        <v>96</v>
      </c>
      <c r="L7" s="1"/>
      <c r="N7" s="20">
        <v>4</v>
      </c>
      <c r="O7" s="21">
        <v>3</v>
      </c>
      <c r="P7" s="22">
        <f t="shared" si="0"/>
        <v>12</v>
      </c>
    </row>
    <row r="8" spans="1:17" x14ac:dyDescent="0.15">
      <c r="A8" s="3" t="s">
        <v>74</v>
      </c>
      <c r="B8" s="3" t="s">
        <v>45</v>
      </c>
      <c r="C8">
        <v>6</v>
      </c>
      <c r="D8" s="3" t="s">
        <v>58</v>
      </c>
      <c r="E8">
        <v>6</v>
      </c>
      <c r="F8">
        <v>1</v>
      </c>
      <c r="G8" t="s">
        <v>20</v>
      </c>
      <c r="H8" s="2">
        <v>166890.54999999999</v>
      </c>
      <c r="I8" s="2">
        <v>97470.080000000002</v>
      </c>
      <c r="J8">
        <v>88211</v>
      </c>
      <c r="K8" s="6">
        <f t="shared" ref="K8:K47" si="1">H8-I8</f>
        <v>69420.469999999987</v>
      </c>
      <c r="N8" s="3">
        <f>SUM(N3:N7)</f>
        <v>13</v>
      </c>
      <c r="P8" s="3">
        <f>SUM(P3:P7)</f>
        <v>42.400000000000006</v>
      </c>
      <c r="Q8" s="3" t="s">
        <v>100</v>
      </c>
    </row>
    <row r="9" spans="1:17" x14ac:dyDescent="0.15">
      <c r="A9" s="3" t="s">
        <v>88</v>
      </c>
      <c r="B9" s="3" t="s">
        <v>85</v>
      </c>
      <c r="C9">
        <v>6</v>
      </c>
      <c r="D9" s="3" t="s">
        <v>58</v>
      </c>
      <c r="E9">
        <v>10</v>
      </c>
      <c r="F9" s="3">
        <v>1</v>
      </c>
      <c r="G9" t="s">
        <v>20</v>
      </c>
      <c r="H9" s="2">
        <v>428059.74</v>
      </c>
      <c r="I9" s="2">
        <v>190667.97</v>
      </c>
      <c r="J9">
        <v>180951</v>
      </c>
      <c r="K9" s="6">
        <f t="shared" si="1"/>
        <v>237391.77</v>
      </c>
      <c r="P9" s="23">
        <f>P8/N8</f>
        <v>3.2615384615384619</v>
      </c>
      <c r="Q9" s="3" t="s">
        <v>99</v>
      </c>
    </row>
    <row r="10" spans="1:17" x14ac:dyDescent="0.15">
      <c r="A10" s="3" t="s">
        <v>91</v>
      </c>
      <c r="B10" s="3" t="s">
        <v>79</v>
      </c>
      <c r="C10">
        <v>6</v>
      </c>
      <c r="D10" s="3" t="s">
        <v>42</v>
      </c>
      <c r="E10">
        <v>10</v>
      </c>
      <c r="F10">
        <v>1</v>
      </c>
      <c r="G10" t="s">
        <v>20</v>
      </c>
      <c r="H10" s="2">
        <v>503654.42</v>
      </c>
      <c r="I10" s="2">
        <v>292277.98</v>
      </c>
      <c r="J10">
        <v>264881</v>
      </c>
      <c r="K10" s="6">
        <f t="shared" si="1"/>
        <v>211376.44</v>
      </c>
      <c r="N10" s="6"/>
    </row>
    <row r="11" spans="1:17" x14ac:dyDescent="0.15">
      <c r="A11" s="3" t="s">
        <v>86</v>
      </c>
      <c r="B11" s="3" t="s">
        <v>85</v>
      </c>
      <c r="C11">
        <v>6</v>
      </c>
      <c r="D11" s="3" t="s">
        <v>76</v>
      </c>
      <c r="E11">
        <v>10</v>
      </c>
      <c r="F11" s="3">
        <v>1</v>
      </c>
      <c r="G11" t="s">
        <v>20</v>
      </c>
      <c r="H11" s="2">
        <v>382723.4</v>
      </c>
      <c r="I11" s="2">
        <v>180961.83</v>
      </c>
      <c r="J11">
        <v>135970</v>
      </c>
      <c r="K11" s="6">
        <f t="shared" si="1"/>
        <v>201761.57000000004</v>
      </c>
    </row>
    <row r="12" spans="1:17" x14ac:dyDescent="0.15">
      <c r="A12" s="3" t="s">
        <v>84</v>
      </c>
      <c r="B12" s="3" t="s">
        <v>85</v>
      </c>
      <c r="C12">
        <v>6</v>
      </c>
      <c r="D12" s="3" t="s">
        <v>73</v>
      </c>
      <c r="E12">
        <v>10</v>
      </c>
      <c r="F12" s="3">
        <v>1</v>
      </c>
      <c r="G12" t="s">
        <v>20</v>
      </c>
      <c r="H12" s="2">
        <v>363765.36</v>
      </c>
      <c r="I12" s="2">
        <v>213633.91</v>
      </c>
      <c r="J12">
        <v>192778</v>
      </c>
      <c r="K12" s="6">
        <f t="shared" si="1"/>
        <v>150131.44999999998</v>
      </c>
      <c r="P12">
        <f>SUMPRODUCT(N3:N7,O3:O7)/SUM(N3:N7)</f>
        <v>3.2615384615384619</v>
      </c>
      <c r="Q12" s="3" t="s">
        <v>106</v>
      </c>
    </row>
    <row r="13" spans="1:17" x14ac:dyDescent="0.15">
      <c r="A13" s="3" t="s">
        <v>75</v>
      </c>
      <c r="B13" s="3" t="s">
        <v>56</v>
      </c>
      <c r="C13">
        <v>6</v>
      </c>
      <c r="D13" s="3" t="s">
        <v>76</v>
      </c>
      <c r="E13">
        <v>10</v>
      </c>
      <c r="F13">
        <v>1</v>
      </c>
      <c r="G13" t="s">
        <v>20</v>
      </c>
      <c r="H13" s="2">
        <v>167532.73000000001</v>
      </c>
      <c r="I13" s="2">
        <v>77854.67</v>
      </c>
      <c r="J13">
        <v>63149</v>
      </c>
      <c r="K13" s="6">
        <f t="shared" si="1"/>
        <v>89678.060000000012</v>
      </c>
    </row>
    <row r="14" spans="1:17" x14ac:dyDescent="0.15">
      <c r="A14" s="3" t="s">
        <v>71</v>
      </c>
      <c r="B14" s="3" t="s">
        <v>72</v>
      </c>
      <c r="C14">
        <v>6</v>
      </c>
      <c r="D14" s="3" t="s">
        <v>73</v>
      </c>
      <c r="E14">
        <v>10</v>
      </c>
      <c r="F14">
        <v>1</v>
      </c>
      <c r="G14" t="s">
        <v>20</v>
      </c>
      <c r="H14" s="2">
        <v>154836.73000000001</v>
      </c>
      <c r="I14" s="2">
        <v>72220.759999999995</v>
      </c>
      <c r="J14">
        <v>56869</v>
      </c>
      <c r="K14" s="6">
        <f t="shared" si="1"/>
        <v>82615.970000000016</v>
      </c>
    </row>
    <row r="15" spans="1:17" x14ac:dyDescent="0.15">
      <c r="A15" s="3" t="s">
        <v>66</v>
      </c>
      <c r="B15" s="3" t="s">
        <v>27</v>
      </c>
      <c r="C15">
        <v>1</v>
      </c>
      <c r="D15" s="3" t="s">
        <v>67</v>
      </c>
      <c r="E15">
        <v>10</v>
      </c>
      <c r="F15">
        <v>0</v>
      </c>
      <c r="G15" t="s">
        <v>20</v>
      </c>
      <c r="H15" s="2">
        <v>123458.28</v>
      </c>
      <c r="I15" s="2">
        <v>60396.54</v>
      </c>
      <c r="J15">
        <v>41590</v>
      </c>
      <c r="K15" s="6">
        <f t="shared" si="1"/>
        <v>63061.74</v>
      </c>
    </row>
    <row r="16" spans="1:17" x14ac:dyDescent="0.15">
      <c r="A16" s="3" t="s">
        <v>57</v>
      </c>
      <c r="B16" s="3" t="s">
        <v>47</v>
      </c>
      <c r="C16">
        <v>6</v>
      </c>
      <c r="D16" s="3" t="s">
        <v>58</v>
      </c>
      <c r="E16">
        <v>10</v>
      </c>
      <c r="F16">
        <v>1</v>
      </c>
      <c r="G16" t="s">
        <v>20</v>
      </c>
      <c r="H16" s="2">
        <v>41735.4</v>
      </c>
      <c r="I16" s="2">
        <v>29246.02</v>
      </c>
      <c r="J16">
        <v>23223</v>
      </c>
      <c r="K16" s="6">
        <f t="shared" si="1"/>
        <v>12489.380000000001</v>
      </c>
    </row>
    <row r="17" spans="1:15" x14ac:dyDescent="0.15">
      <c r="A17" s="3" t="s">
        <v>37</v>
      </c>
      <c r="B17" s="3" t="s">
        <v>38</v>
      </c>
      <c r="C17">
        <v>24</v>
      </c>
      <c r="D17" s="3" t="s">
        <v>39</v>
      </c>
      <c r="E17">
        <v>10</v>
      </c>
      <c r="F17">
        <v>1</v>
      </c>
      <c r="G17" t="s">
        <v>20</v>
      </c>
      <c r="H17" s="2">
        <v>2283.61</v>
      </c>
      <c r="I17" s="2">
        <v>1201.77</v>
      </c>
      <c r="J17">
        <v>962</v>
      </c>
      <c r="K17" s="6">
        <f t="shared" si="1"/>
        <v>1081.8400000000001</v>
      </c>
    </row>
    <row r="18" spans="1:15" x14ac:dyDescent="0.15">
      <c r="A18" s="3" t="s">
        <v>24</v>
      </c>
      <c r="B18" s="3" t="s">
        <v>25</v>
      </c>
      <c r="C18">
        <v>6</v>
      </c>
      <c r="D18" s="3" t="s">
        <v>12</v>
      </c>
      <c r="E18">
        <v>10</v>
      </c>
      <c r="F18">
        <v>1</v>
      </c>
      <c r="G18" t="s">
        <v>20</v>
      </c>
      <c r="H18" s="2">
        <v>1105.79</v>
      </c>
      <c r="I18" s="2">
        <v>587.08000000000004</v>
      </c>
      <c r="J18">
        <v>466</v>
      </c>
      <c r="K18" s="6">
        <f t="shared" si="1"/>
        <v>518.70999999999992</v>
      </c>
    </row>
    <row r="19" spans="1:15" x14ac:dyDescent="0.15">
      <c r="A19" s="3" t="s">
        <v>26</v>
      </c>
      <c r="B19" s="3" t="s">
        <v>27</v>
      </c>
      <c r="C19">
        <v>6</v>
      </c>
      <c r="D19" s="3" t="s">
        <v>28</v>
      </c>
      <c r="E19">
        <v>16</v>
      </c>
      <c r="F19">
        <v>0</v>
      </c>
      <c r="G19" t="s">
        <v>13</v>
      </c>
      <c r="H19" s="2">
        <v>1132.26</v>
      </c>
      <c r="I19" s="2">
        <v>762.81</v>
      </c>
      <c r="J19">
        <v>602</v>
      </c>
      <c r="K19" s="6">
        <f t="shared" si="1"/>
        <v>369.45000000000005</v>
      </c>
    </row>
    <row r="20" spans="1:15" x14ac:dyDescent="0.15">
      <c r="A20" s="3" t="s">
        <v>82</v>
      </c>
      <c r="B20" s="3" t="s">
        <v>79</v>
      </c>
      <c r="C20">
        <v>6</v>
      </c>
      <c r="D20" s="3" t="s">
        <v>58</v>
      </c>
      <c r="E20">
        <v>32</v>
      </c>
      <c r="F20">
        <v>1</v>
      </c>
      <c r="G20" t="s">
        <v>20</v>
      </c>
      <c r="H20" s="2">
        <v>299662.09000000003</v>
      </c>
      <c r="I20" s="2">
        <v>143100.4</v>
      </c>
      <c r="J20">
        <v>126489</v>
      </c>
      <c r="K20" s="6">
        <f t="shared" si="1"/>
        <v>156561.69000000003</v>
      </c>
    </row>
    <row r="21" spans="1:15" x14ac:dyDescent="0.15">
      <c r="A21" s="3" t="s">
        <v>78</v>
      </c>
      <c r="B21" s="3" t="s">
        <v>79</v>
      </c>
      <c r="C21">
        <v>6</v>
      </c>
      <c r="D21" s="3" t="s">
        <v>50</v>
      </c>
      <c r="E21">
        <v>32</v>
      </c>
      <c r="F21">
        <v>1</v>
      </c>
      <c r="G21" t="s">
        <v>20</v>
      </c>
      <c r="H21" s="2">
        <v>232707.01</v>
      </c>
      <c r="I21" s="2">
        <v>107914.06</v>
      </c>
      <c r="J21">
        <v>78417</v>
      </c>
      <c r="K21" s="6">
        <f t="shared" si="1"/>
        <v>124792.95000000001</v>
      </c>
    </row>
    <row r="22" spans="1:15" x14ac:dyDescent="0.15">
      <c r="A22" s="3" t="s">
        <v>65</v>
      </c>
      <c r="B22" s="3" t="s">
        <v>63</v>
      </c>
      <c r="C22">
        <v>1</v>
      </c>
      <c r="D22" s="3" t="s">
        <v>28</v>
      </c>
      <c r="E22">
        <v>32</v>
      </c>
      <c r="F22">
        <v>0</v>
      </c>
      <c r="G22" t="s">
        <v>20</v>
      </c>
      <c r="H22" s="2">
        <v>111925.47</v>
      </c>
      <c r="I22" s="2">
        <v>54379.55</v>
      </c>
      <c r="J22">
        <v>56606</v>
      </c>
      <c r="K22" s="6">
        <f t="shared" si="1"/>
        <v>57545.919999999998</v>
      </c>
    </row>
    <row r="23" spans="1:15" x14ac:dyDescent="0.15">
      <c r="A23" s="3" t="s">
        <v>62</v>
      </c>
      <c r="B23" s="3" t="s">
        <v>63</v>
      </c>
      <c r="C23">
        <v>1</v>
      </c>
      <c r="D23" s="3" t="s">
        <v>28</v>
      </c>
      <c r="E23">
        <v>32</v>
      </c>
      <c r="F23">
        <v>0</v>
      </c>
      <c r="G23" t="s">
        <v>20</v>
      </c>
      <c r="H23" s="2">
        <v>69188.479999999996</v>
      </c>
      <c r="I23" s="2">
        <v>32534.240000000002</v>
      </c>
      <c r="J23">
        <v>25524</v>
      </c>
      <c r="K23" s="6">
        <f t="shared" si="1"/>
        <v>36654.239999999991</v>
      </c>
    </row>
    <row r="24" spans="1:15" x14ac:dyDescent="0.15">
      <c r="A24" s="3" t="s">
        <v>55</v>
      </c>
      <c r="B24" s="3" t="s">
        <v>56</v>
      </c>
      <c r="C24">
        <v>6</v>
      </c>
      <c r="D24" s="3" t="s">
        <v>50</v>
      </c>
      <c r="E24">
        <v>32</v>
      </c>
      <c r="F24">
        <v>1</v>
      </c>
      <c r="G24" t="s">
        <v>13</v>
      </c>
      <c r="H24" s="2">
        <v>35136.78</v>
      </c>
      <c r="I24" s="2">
        <v>17170.349999999999</v>
      </c>
      <c r="J24">
        <v>18360</v>
      </c>
      <c r="K24" s="6">
        <f t="shared" si="1"/>
        <v>17966.43</v>
      </c>
    </row>
    <row r="25" spans="1:15" x14ac:dyDescent="0.15">
      <c r="A25" s="3" t="s">
        <v>46</v>
      </c>
      <c r="B25" s="3" t="s">
        <v>47</v>
      </c>
      <c r="C25">
        <v>1</v>
      </c>
      <c r="D25" s="3" t="s">
        <v>48</v>
      </c>
      <c r="E25">
        <v>32</v>
      </c>
      <c r="F25">
        <v>1</v>
      </c>
      <c r="G25" t="s">
        <v>20</v>
      </c>
      <c r="H25" s="2">
        <v>3021.91</v>
      </c>
      <c r="I25" s="2">
        <v>1721</v>
      </c>
      <c r="J25">
        <v>2910</v>
      </c>
      <c r="K25" s="6">
        <f t="shared" si="1"/>
        <v>1300.9099999999999</v>
      </c>
    </row>
    <row r="26" spans="1:15" x14ac:dyDescent="0.15">
      <c r="A26" s="3" t="s">
        <v>40</v>
      </c>
      <c r="B26" s="3" t="s">
        <v>11</v>
      </c>
      <c r="C26">
        <v>6</v>
      </c>
      <c r="D26" s="3" t="s">
        <v>39</v>
      </c>
      <c r="E26">
        <v>32</v>
      </c>
      <c r="F26">
        <v>1</v>
      </c>
      <c r="G26" t="s">
        <v>13</v>
      </c>
      <c r="H26" s="2">
        <v>2546.85</v>
      </c>
      <c r="I26" s="2">
        <v>1379.67</v>
      </c>
      <c r="J26">
        <v>135</v>
      </c>
      <c r="K26" s="6">
        <f t="shared" si="1"/>
        <v>1167.1799999999998</v>
      </c>
    </row>
    <row r="27" spans="1:15" ht="14" x14ac:dyDescent="0.15">
      <c r="A27" s="3" t="s">
        <v>17</v>
      </c>
      <c r="B27" s="3" t="s">
        <v>18</v>
      </c>
      <c r="C27">
        <v>1</v>
      </c>
      <c r="D27" s="3" t="s">
        <v>19</v>
      </c>
      <c r="E27">
        <v>32</v>
      </c>
      <c r="F27">
        <v>1</v>
      </c>
      <c r="G27" t="s">
        <v>20</v>
      </c>
      <c r="H27" s="2">
        <v>402.26</v>
      </c>
      <c r="I27" s="2">
        <v>161.19</v>
      </c>
      <c r="J27">
        <v>203</v>
      </c>
      <c r="K27" s="6">
        <f t="shared" si="1"/>
        <v>241.07</v>
      </c>
      <c r="N27" s="4"/>
      <c r="O27" s="5"/>
    </row>
    <row r="28" spans="1:15" x14ac:dyDescent="0.15">
      <c r="A28" s="3" t="s">
        <v>10</v>
      </c>
      <c r="B28" s="3" t="s">
        <v>11</v>
      </c>
      <c r="C28">
        <v>1</v>
      </c>
      <c r="D28" s="3" t="s">
        <v>12</v>
      </c>
      <c r="E28">
        <v>32</v>
      </c>
      <c r="F28">
        <v>1</v>
      </c>
      <c r="G28" t="s">
        <v>13</v>
      </c>
      <c r="H28" s="2">
        <v>36.909999999999997</v>
      </c>
      <c r="I28" s="2">
        <v>18.149999999999999</v>
      </c>
      <c r="J28">
        <v>15</v>
      </c>
      <c r="K28" s="6">
        <f t="shared" si="1"/>
        <v>18.759999999999998</v>
      </c>
    </row>
    <row r="29" spans="1:15" x14ac:dyDescent="0.15">
      <c r="A29" s="3" t="s">
        <v>87</v>
      </c>
      <c r="B29" s="3" t="s">
        <v>22</v>
      </c>
      <c r="C29">
        <v>1</v>
      </c>
      <c r="D29" s="3" t="s">
        <v>36</v>
      </c>
      <c r="E29">
        <v>46</v>
      </c>
      <c r="F29" s="3">
        <v>0</v>
      </c>
      <c r="G29" t="s">
        <v>20</v>
      </c>
      <c r="H29" s="2">
        <v>399949.13</v>
      </c>
      <c r="I29" s="2">
        <v>205741.56</v>
      </c>
      <c r="J29">
        <v>140840</v>
      </c>
      <c r="K29" s="6">
        <f t="shared" si="1"/>
        <v>194207.57</v>
      </c>
    </row>
    <row r="30" spans="1:15" x14ac:dyDescent="0.15">
      <c r="A30" s="3" t="s">
        <v>34</v>
      </c>
      <c r="B30" s="3" t="s">
        <v>35</v>
      </c>
      <c r="C30">
        <v>1</v>
      </c>
      <c r="D30" s="3" t="s">
        <v>36</v>
      </c>
      <c r="E30">
        <v>48</v>
      </c>
      <c r="F30">
        <v>1</v>
      </c>
      <c r="G30" t="s">
        <v>20</v>
      </c>
      <c r="H30" s="2">
        <v>1175.32</v>
      </c>
      <c r="I30" s="2">
        <v>471.19</v>
      </c>
      <c r="J30">
        <v>566</v>
      </c>
      <c r="K30" s="6">
        <f t="shared" si="1"/>
        <v>704.12999999999988</v>
      </c>
    </row>
    <row r="31" spans="1:15" x14ac:dyDescent="0.15">
      <c r="A31" s="3" t="s">
        <v>64</v>
      </c>
      <c r="B31" s="3" t="s">
        <v>22</v>
      </c>
      <c r="C31">
        <v>1</v>
      </c>
      <c r="D31" s="3" t="s">
        <v>42</v>
      </c>
      <c r="E31">
        <v>59</v>
      </c>
      <c r="F31">
        <v>1</v>
      </c>
      <c r="G31" t="s">
        <v>20</v>
      </c>
      <c r="H31" s="2">
        <v>83504.78</v>
      </c>
      <c r="I31" s="2">
        <v>37603.43</v>
      </c>
      <c r="J31">
        <v>34048</v>
      </c>
      <c r="K31" s="6">
        <f t="shared" si="1"/>
        <v>45901.35</v>
      </c>
    </row>
    <row r="32" spans="1:15" x14ac:dyDescent="0.15">
      <c r="A32" s="3" t="s">
        <v>61</v>
      </c>
      <c r="B32" s="3" t="s">
        <v>22</v>
      </c>
      <c r="C32">
        <v>1</v>
      </c>
      <c r="D32" s="3" t="s">
        <v>53</v>
      </c>
      <c r="E32">
        <v>59</v>
      </c>
      <c r="F32">
        <v>1</v>
      </c>
      <c r="G32" t="s">
        <v>20</v>
      </c>
      <c r="H32" s="2">
        <v>63960.05</v>
      </c>
      <c r="I32" s="2">
        <v>31328.03</v>
      </c>
      <c r="J32">
        <v>21534</v>
      </c>
      <c r="K32" s="6">
        <f t="shared" si="1"/>
        <v>32632.020000000004</v>
      </c>
    </row>
    <row r="33" spans="1:15" x14ac:dyDescent="0.15">
      <c r="A33" s="3" t="s">
        <v>21</v>
      </c>
      <c r="B33" s="3" t="s">
        <v>22</v>
      </c>
      <c r="C33">
        <v>1</v>
      </c>
      <c r="D33" s="3" t="s">
        <v>23</v>
      </c>
      <c r="E33">
        <v>59</v>
      </c>
      <c r="F33">
        <v>1</v>
      </c>
      <c r="G33" t="s">
        <v>20</v>
      </c>
      <c r="H33" s="2">
        <v>1078.73</v>
      </c>
      <c r="I33" s="2">
        <v>621.97</v>
      </c>
      <c r="J33">
        <v>454</v>
      </c>
      <c r="K33" s="6">
        <f t="shared" si="1"/>
        <v>456.76</v>
      </c>
    </row>
    <row r="34" spans="1:15" x14ac:dyDescent="0.15">
      <c r="A34" s="3" t="s">
        <v>94</v>
      </c>
      <c r="B34" s="3" t="s">
        <v>27</v>
      </c>
      <c r="C34">
        <v>1</v>
      </c>
      <c r="D34" s="3" t="s">
        <v>67</v>
      </c>
      <c r="E34">
        <v>64</v>
      </c>
      <c r="F34">
        <v>0</v>
      </c>
      <c r="G34" t="s">
        <v>20</v>
      </c>
      <c r="H34" s="2">
        <v>542060.85</v>
      </c>
      <c r="I34" s="2">
        <v>266218.65000000002</v>
      </c>
      <c r="J34">
        <v>225033</v>
      </c>
      <c r="K34" s="6">
        <f t="shared" si="1"/>
        <v>275842.19999999995</v>
      </c>
    </row>
    <row r="35" spans="1:15" x14ac:dyDescent="0.15">
      <c r="A35" s="3" t="s">
        <v>92</v>
      </c>
      <c r="B35" s="3" t="s">
        <v>56</v>
      </c>
      <c r="C35">
        <v>1</v>
      </c>
      <c r="D35" s="3" t="s">
        <v>73</v>
      </c>
      <c r="E35">
        <v>64</v>
      </c>
      <c r="F35">
        <v>0</v>
      </c>
      <c r="G35" t="s">
        <v>20</v>
      </c>
      <c r="H35" s="2">
        <v>513207.92</v>
      </c>
      <c r="I35" s="2">
        <v>251876.45</v>
      </c>
      <c r="J35">
        <v>219432</v>
      </c>
      <c r="K35" s="6">
        <f t="shared" si="1"/>
        <v>261331.46999999997</v>
      </c>
    </row>
    <row r="36" spans="1:15" x14ac:dyDescent="0.15">
      <c r="A36" s="3" t="s">
        <v>83</v>
      </c>
      <c r="B36" s="3" t="s">
        <v>47</v>
      </c>
      <c r="C36">
        <v>1</v>
      </c>
      <c r="D36" s="3" t="s">
        <v>42</v>
      </c>
      <c r="E36">
        <v>64</v>
      </c>
      <c r="F36" s="3">
        <v>1</v>
      </c>
      <c r="G36" t="s">
        <v>20</v>
      </c>
      <c r="H36" s="2">
        <v>342292.4</v>
      </c>
      <c r="I36" s="2">
        <v>152073.01</v>
      </c>
      <c r="J36">
        <v>144506</v>
      </c>
      <c r="K36" s="6">
        <f t="shared" si="1"/>
        <v>190219.39</v>
      </c>
    </row>
    <row r="37" spans="1:15" x14ac:dyDescent="0.15">
      <c r="A37" s="3" t="s">
        <v>77</v>
      </c>
      <c r="B37" s="3" t="s">
        <v>60</v>
      </c>
      <c r="C37">
        <v>1</v>
      </c>
      <c r="D37" s="3" t="s">
        <v>58</v>
      </c>
      <c r="E37">
        <v>64</v>
      </c>
      <c r="F37">
        <v>1</v>
      </c>
      <c r="G37" t="s">
        <v>20</v>
      </c>
      <c r="H37" s="2">
        <v>226723.71</v>
      </c>
      <c r="I37" s="2">
        <v>111744.89</v>
      </c>
      <c r="J37">
        <v>97453</v>
      </c>
      <c r="K37" s="6">
        <f t="shared" si="1"/>
        <v>114978.81999999999</v>
      </c>
    </row>
    <row r="38" spans="1:15" x14ac:dyDescent="0.15">
      <c r="A38" s="3" t="s">
        <v>68</v>
      </c>
      <c r="B38" s="3" t="s">
        <v>56</v>
      </c>
      <c r="C38">
        <v>1</v>
      </c>
      <c r="D38" s="3" t="s">
        <v>69</v>
      </c>
      <c r="E38">
        <v>64</v>
      </c>
      <c r="F38" s="3">
        <v>1</v>
      </c>
      <c r="G38" t="s">
        <v>20</v>
      </c>
      <c r="H38" s="2">
        <v>125759.9</v>
      </c>
      <c r="I38" s="2">
        <v>82487.100000000006</v>
      </c>
      <c r="J38">
        <v>67431</v>
      </c>
      <c r="K38" s="6">
        <f t="shared" si="1"/>
        <v>43272.799999999988</v>
      </c>
    </row>
    <row r="39" spans="1:15" x14ac:dyDescent="0.15">
      <c r="A39" s="3" t="s">
        <v>51</v>
      </c>
      <c r="B39" s="3" t="s">
        <v>27</v>
      </c>
      <c r="C39">
        <v>1</v>
      </c>
      <c r="D39" s="3" t="s">
        <v>23</v>
      </c>
      <c r="E39">
        <v>64</v>
      </c>
      <c r="F39">
        <v>0</v>
      </c>
      <c r="G39" t="s">
        <v>13</v>
      </c>
      <c r="H39" s="2">
        <v>12007.5</v>
      </c>
      <c r="I39" s="2">
        <v>6159.54</v>
      </c>
      <c r="J39">
        <v>4858</v>
      </c>
      <c r="K39" s="6">
        <f t="shared" si="1"/>
        <v>5847.96</v>
      </c>
    </row>
    <row r="40" spans="1:15" x14ac:dyDescent="0.15">
      <c r="A40" s="3" t="s">
        <v>14</v>
      </c>
      <c r="B40" s="3" t="s">
        <v>15</v>
      </c>
      <c r="C40">
        <v>1</v>
      </c>
      <c r="D40" s="3" t="s">
        <v>16</v>
      </c>
      <c r="E40">
        <v>64</v>
      </c>
      <c r="F40">
        <v>0</v>
      </c>
      <c r="G40" t="s">
        <v>13</v>
      </c>
      <c r="H40" s="2">
        <v>91.78</v>
      </c>
      <c r="I40" s="2">
        <v>45</v>
      </c>
      <c r="J40">
        <v>31</v>
      </c>
      <c r="K40" s="6">
        <f t="shared" si="1"/>
        <v>46.78</v>
      </c>
    </row>
    <row r="41" spans="1:15" x14ac:dyDescent="0.15">
      <c r="A41" s="3" t="s">
        <v>95</v>
      </c>
      <c r="B41" s="3" t="s">
        <v>85</v>
      </c>
      <c r="C41">
        <v>1</v>
      </c>
      <c r="D41" s="3" t="s">
        <v>42</v>
      </c>
      <c r="E41">
        <v>96</v>
      </c>
      <c r="F41">
        <v>0</v>
      </c>
      <c r="G41" t="s">
        <v>20</v>
      </c>
      <c r="H41" s="2">
        <v>1107428.77</v>
      </c>
      <c r="I41" s="2">
        <v>557768.15</v>
      </c>
      <c r="J41">
        <v>301667</v>
      </c>
      <c r="K41" s="6">
        <f t="shared" si="1"/>
        <v>549660.62</v>
      </c>
    </row>
    <row r="42" spans="1:15" x14ac:dyDescent="0.15">
      <c r="A42" s="3" t="s">
        <v>91</v>
      </c>
      <c r="B42" s="3" t="s">
        <v>79</v>
      </c>
      <c r="C42">
        <v>1</v>
      </c>
      <c r="D42" s="3" t="s">
        <v>42</v>
      </c>
      <c r="E42">
        <v>96</v>
      </c>
      <c r="F42">
        <v>0</v>
      </c>
      <c r="G42" t="s">
        <v>20</v>
      </c>
      <c r="H42" s="2">
        <v>661578.37</v>
      </c>
      <c r="I42" s="2">
        <v>320563.3</v>
      </c>
      <c r="J42">
        <v>311767</v>
      </c>
      <c r="K42" s="6">
        <f t="shared" si="1"/>
        <v>341015.07</v>
      </c>
    </row>
    <row r="43" spans="1:15" x14ac:dyDescent="0.15">
      <c r="A43" s="3" t="s">
        <v>93</v>
      </c>
      <c r="B43" s="3" t="s">
        <v>47</v>
      </c>
      <c r="C43">
        <v>1</v>
      </c>
      <c r="D43" s="3" t="s">
        <v>58</v>
      </c>
      <c r="E43">
        <v>96</v>
      </c>
      <c r="F43">
        <v>1</v>
      </c>
      <c r="G43" t="s">
        <v>20</v>
      </c>
      <c r="H43" s="2">
        <v>538409.41</v>
      </c>
      <c r="I43" s="2">
        <v>246833.19</v>
      </c>
      <c r="J43">
        <v>231284</v>
      </c>
      <c r="K43" s="6">
        <f t="shared" si="1"/>
        <v>291576.22000000003</v>
      </c>
    </row>
    <row r="44" spans="1:15" ht="14" x14ac:dyDescent="0.15">
      <c r="A44" s="3" t="s">
        <v>89</v>
      </c>
      <c r="B44" s="3" t="s">
        <v>72</v>
      </c>
      <c r="C44">
        <v>1</v>
      </c>
      <c r="D44" s="3" t="s">
        <v>73</v>
      </c>
      <c r="E44">
        <v>96</v>
      </c>
      <c r="F44">
        <v>1</v>
      </c>
      <c r="G44" t="s">
        <v>20</v>
      </c>
      <c r="H44" s="2">
        <v>459302.59</v>
      </c>
      <c r="I44" s="2">
        <v>226777.36</v>
      </c>
      <c r="J44">
        <v>197596</v>
      </c>
      <c r="K44" s="6">
        <f t="shared" si="1"/>
        <v>232525.23000000004</v>
      </c>
      <c r="N44" s="4"/>
      <c r="O44" s="5"/>
    </row>
    <row r="45" spans="1:15" x14ac:dyDescent="0.15">
      <c r="A45" s="3" t="s">
        <v>75</v>
      </c>
      <c r="B45" s="3" t="s">
        <v>25</v>
      </c>
      <c r="C45">
        <v>1</v>
      </c>
      <c r="D45" s="3" t="s">
        <v>76</v>
      </c>
      <c r="E45">
        <v>128</v>
      </c>
      <c r="F45">
        <v>1</v>
      </c>
      <c r="G45" t="s">
        <v>20</v>
      </c>
      <c r="H45" s="2">
        <v>559499.29</v>
      </c>
      <c r="I45" s="2">
        <v>274788.36</v>
      </c>
      <c r="J45">
        <v>232125</v>
      </c>
      <c r="K45" s="6">
        <f t="shared" si="1"/>
        <v>284710.93000000005</v>
      </c>
    </row>
    <row r="46" spans="1:15" x14ac:dyDescent="0.15">
      <c r="A46" s="3" t="s">
        <v>90</v>
      </c>
      <c r="B46" s="3" t="s">
        <v>60</v>
      </c>
      <c r="C46">
        <v>1</v>
      </c>
      <c r="D46" s="3" t="s">
        <v>58</v>
      </c>
      <c r="E46">
        <v>128</v>
      </c>
      <c r="F46">
        <v>1</v>
      </c>
      <c r="G46" t="s">
        <v>20</v>
      </c>
      <c r="H46" s="2">
        <v>474409.1</v>
      </c>
      <c r="I46" s="2">
        <v>249628.51</v>
      </c>
      <c r="J46">
        <v>201608</v>
      </c>
      <c r="K46" s="6">
        <f t="shared" si="1"/>
        <v>224780.58999999997</v>
      </c>
    </row>
    <row r="47" spans="1:15" x14ac:dyDescent="0.15">
      <c r="A47" s="3" t="s">
        <v>80</v>
      </c>
      <c r="B47" s="3" t="s">
        <v>81</v>
      </c>
      <c r="C47">
        <v>1</v>
      </c>
      <c r="D47" s="3" t="s">
        <v>12</v>
      </c>
      <c r="E47">
        <v>128</v>
      </c>
      <c r="F47">
        <v>1</v>
      </c>
      <c r="G47" t="s">
        <v>20</v>
      </c>
      <c r="H47" s="2">
        <v>281164.25</v>
      </c>
      <c r="I47" s="2">
        <v>137978.46</v>
      </c>
      <c r="J47">
        <v>120350</v>
      </c>
      <c r="K47" s="6">
        <f t="shared" si="1"/>
        <v>143185.79</v>
      </c>
    </row>
    <row r="51" spans="2:6" x14ac:dyDescent="0.15">
      <c r="C51" s="7"/>
      <c r="E51" s="8"/>
      <c r="F51" s="8"/>
    </row>
    <row r="52" spans="2:6" x14ac:dyDescent="0.15">
      <c r="B52" s="7"/>
      <c r="C52" s="7"/>
      <c r="E52" s="8"/>
      <c r="F52" s="8"/>
    </row>
    <row r="53" spans="2:6" x14ac:dyDescent="0.15">
      <c r="B53" s="7"/>
      <c r="C53" s="7"/>
      <c r="E53" s="8"/>
      <c r="F53" s="8"/>
    </row>
    <row r="54" spans="2:6" x14ac:dyDescent="0.15">
      <c r="B54" s="7"/>
      <c r="C54" s="7"/>
      <c r="E54" s="8"/>
      <c r="F54" s="8"/>
    </row>
    <row r="55" spans="2:6" x14ac:dyDescent="0.15">
      <c r="B55" s="7"/>
      <c r="C55" s="7"/>
      <c r="E55" s="8"/>
      <c r="F55" s="8"/>
    </row>
  </sheetData>
  <autoFilter ref="A7:K47" xr:uid="{B2B57734-1E44-437F-89CD-57A0F0FC17AF}"/>
  <conditionalFormatting sqref="A8:A47">
    <cfRule type="expression" dxfId="2" priority="2">
      <formula>G8="Inactive"</formula>
    </cfRule>
  </conditionalFormatting>
  <conditionalFormatting sqref="K8:K4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{E70AF303-23AE-481B-B1FD-A49B4FF2C0CD}</x14:id>
        </ext>
      </extLst>
    </cfRule>
  </conditionalFormatting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0AF303-23AE-481B-B1FD-A49B4FF2C0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K8:K47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22AC-CF91-4653-A10A-51AFCDB20BBC}">
  <dimension ref="A2:R65"/>
  <sheetViews>
    <sheetView topLeftCell="L1" zoomScale="122" zoomScaleNormal="110" workbookViewId="0">
      <selection activeCell="R14" sqref="R14"/>
    </sheetView>
  </sheetViews>
  <sheetFormatPr baseColWidth="10" defaultColWidth="16.33203125" defaultRowHeight="13" x14ac:dyDescent="0.15"/>
  <cols>
    <col min="1" max="1" width="25.33203125" customWidth="1"/>
    <col min="2" max="2" width="14" customWidth="1"/>
    <col min="3" max="3" width="10.33203125" bestFit="1" customWidth="1"/>
    <col min="4" max="4" width="12.1640625" customWidth="1"/>
    <col min="5" max="5" width="8.83203125" customWidth="1"/>
    <col min="6" max="6" width="12.6640625" customWidth="1"/>
    <col min="7" max="7" width="8.33203125" bestFit="1" customWidth="1"/>
    <col min="8" max="8" width="12.33203125" style="2" customWidth="1"/>
    <col min="9" max="9" width="11" style="2" customWidth="1"/>
    <col min="10" max="10" width="13.1640625" customWidth="1"/>
    <col min="11" max="12" width="28.6640625" customWidth="1"/>
    <col min="13" max="13" width="16.83203125" customWidth="1"/>
    <col min="16" max="16" width="17" bestFit="1" customWidth="1"/>
    <col min="17" max="17" width="18" customWidth="1"/>
  </cols>
  <sheetData>
    <row r="2" spans="1:18" x14ac:dyDescent="0.15">
      <c r="G2" t="s">
        <v>97</v>
      </c>
      <c r="H2" s="27">
        <f>MAX(H9:H58)</f>
        <v>1107428.77</v>
      </c>
      <c r="I2" s="2">
        <f t="shared" ref="I2:K2" si="0">MAX(I9:I58)</f>
        <v>557768.15</v>
      </c>
      <c r="J2" s="11">
        <f t="shared" si="0"/>
        <v>311767</v>
      </c>
      <c r="K2" s="2">
        <f t="shared" si="0"/>
        <v>549660.62</v>
      </c>
      <c r="L2" s="2"/>
      <c r="O2" t="s">
        <v>1</v>
      </c>
      <c r="P2" s="3" t="s">
        <v>109</v>
      </c>
    </row>
    <row r="3" spans="1:18" x14ac:dyDescent="0.15">
      <c r="G3" t="s">
        <v>98</v>
      </c>
      <c r="H3" s="27">
        <f>MIN(H9:H58)</f>
        <v>36.909999999999997</v>
      </c>
      <c r="I3" s="2">
        <f t="shared" ref="I3:K3" si="1">MIN(I9:I58)</f>
        <v>18.149999999999999</v>
      </c>
      <c r="J3" s="11">
        <f t="shared" si="1"/>
        <v>15</v>
      </c>
      <c r="K3" s="2">
        <f t="shared" si="1"/>
        <v>18.759999999999998</v>
      </c>
      <c r="L3" s="2"/>
      <c r="O3" t="s">
        <v>2</v>
      </c>
      <c r="P3" t="s">
        <v>110</v>
      </c>
    </row>
    <row r="4" spans="1:18" ht="14" thickBot="1" x14ac:dyDescent="0.2">
      <c r="G4" t="s">
        <v>99</v>
      </c>
      <c r="H4" s="27">
        <f>AVERAGE(H9:H58)</f>
        <v>194920.67480000001</v>
      </c>
      <c r="I4" s="2">
        <f t="shared" ref="I4:K4" si="2">AVERAGE(I9:I58)</f>
        <v>97319.782599999991</v>
      </c>
      <c r="J4" s="11">
        <f t="shared" si="2"/>
        <v>80386.399999999994</v>
      </c>
      <c r="K4" s="2">
        <f t="shared" si="2"/>
        <v>97600.892199999973</v>
      </c>
      <c r="L4" s="2"/>
    </row>
    <row r="5" spans="1:18" ht="14" thickBot="1" x14ac:dyDescent="0.2">
      <c r="A5">
        <f>COUNTA(A9:A58)</f>
        <v>50</v>
      </c>
      <c r="G5" t="s">
        <v>100</v>
      </c>
      <c r="H5" s="27">
        <f>SUM(H9:H58)</f>
        <v>9746033.7400000002</v>
      </c>
      <c r="I5" s="2">
        <f t="shared" ref="I5:K5" si="3">SUM(I9:I58)</f>
        <v>4865989.13</v>
      </c>
      <c r="J5" s="11">
        <f t="shared" si="3"/>
        <v>4019320</v>
      </c>
      <c r="K5" s="2">
        <f t="shared" si="3"/>
        <v>4880044.6099999985</v>
      </c>
      <c r="L5" s="2"/>
      <c r="O5" s="24" t="s">
        <v>7</v>
      </c>
      <c r="P5" s="25">
        <f>SUMIFS(H9:H58,B9:B58,Brand,E9:E58,P3)</f>
        <v>6148983.8300000001</v>
      </c>
      <c r="Q5" t="str">
        <f ca="1">_xlfn.FORMULATEXT(P5)</f>
        <v>=SUMIFS(H9:H58,B9:B58,Brand,E9:E58,P3)</v>
      </c>
    </row>
    <row r="6" spans="1:18" x14ac:dyDescent="0.15">
      <c r="F6" s="14"/>
      <c r="G6" s="12" t="s">
        <v>108</v>
      </c>
      <c r="H6" s="26">
        <f>SUBTOTAL(9,H9:H58)</f>
        <v>9746033.7400000002</v>
      </c>
    </row>
    <row r="7" spans="1:18" x14ac:dyDescent="0.15">
      <c r="F7" s="14"/>
      <c r="G7" s="12"/>
      <c r="H7" s="26"/>
      <c r="N7" s="1" t="s">
        <v>113</v>
      </c>
      <c r="R7" s="1" t="s">
        <v>112</v>
      </c>
    </row>
    <row r="8" spans="1:18" ht="14" thickBot="1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0" t="s">
        <v>7</v>
      </c>
      <c r="I8" s="10" t="s">
        <v>8</v>
      </c>
      <c r="J8" s="1" t="s">
        <v>9</v>
      </c>
      <c r="K8" s="1" t="s">
        <v>96</v>
      </c>
      <c r="L8" s="1" t="s">
        <v>107</v>
      </c>
      <c r="N8" s="1" t="s">
        <v>1</v>
      </c>
      <c r="O8" s="1" t="s">
        <v>7</v>
      </c>
      <c r="P8" s="1" t="s">
        <v>111</v>
      </c>
      <c r="R8" s="1" t="s">
        <v>1</v>
      </c>
    </row>
    <row r="9" spans="1:18" ht="14" thickBot="1" x14ac:dyDescent="0.2">
      <c r="A9" s="3" t="s">
        <v>70</v>
      </c>
      <c r="B9" s="3" t="s">
        <v>22</v>
      </c>
      <c r="C9">
        <v>6</v>
      </c>
      <c r="D9" s="3" t="s">
        <v>36</v>
      </c>
      <c r="E9">
        <v>6</v>
      </c>
      <c r="F9">
        <v>1</v>
      </c>
      <c r="G9" t="s">
        <v>31</v>
      </c>
      <c r="H9" s="2">
        <v>144690.89000000001</v>
      </c>
      <c r="I9" s="2">
        <v>68767.259999999995</v>
      </c>
      <c r="J9">
        <v>59869</v>
      </c>
      <c r="K9" s="6">
        <f>H9-I9</f>
        <v>75923.630000000019</v>
      </c>
      <c r="L9">
        <f>Data[[#This Row],[Net Revenue]]/Data[[#This Row],[Units]]</f>
        <v>1.2681626551303682</v>
      </c>
      <c r="M9" s="6"/>
      <c r="N9" t="s">
        <v>35</v>
      </c>
      <c r="O9" s="25">
        <f t="shared" ref="O9:O26" si="4">SUMIFS($H$9:$H$58,$B$9:$B$58,N9)</f>
        <v>1175.32</v>
      </c>
      <c r="P9">
        <f t="shared" ref="P9:P26" si="5">COUNTIFS($B$9:$B$58,N9)</f>
        <v>1</v>
      </c>
      <c r="R9" t="s">
        <v>35</v>
      </c>
    </row>
    <row r="10" spans="1:18" ht="14" thickBot="1" x14ac:dyDescent="0.2">
      <c r="A10" s="3" t="s">
        <v>74</v>
      </c>
      <c r="B10" s="3" t="s">
        <v>45</v>
      </c>
      <c r="C10">
        <v>6</v>
      </c>
      <c r="D10" s="3" t="s">
        <v>58</v>
      </c>
      <c r="E10">
        <v>6</v>
      </c>
      <c r="F10">
        <v>1</v>
      </c>
      <c r="G10" t="s">
        <v>20</v>
      </c>
      <c r="H10" s="2">
        <v>166890.54999999999</v>
      </c>
      <c r="I10" s="2">
        <v>97470.080000000002</v>
      </c>
      <c r="J10">
        <v>88211</v>
      </c>
      <c r="K10" s="6">
        <f t="shared" ref="K10:K58" si="6">H10-I10</f>
        <v>69420.469999999987</v>
      </c>
      <c r="L10">
        <f>Data[[#This Row],[Net Revenue]]/Data[[#This Row],[Units]]</f>
        <v>0.78698200904649063</v>
      </c>
      <c r="M10" s="6"/>
      <c r="N10" t="s">
        <v>15</v>
      </c>
      <c r="O10" s="25">
        <f t="shared" si="4"/>
        <v>91.78</v>
      </c>
      <c r="P10">
        <f t="shared" si="5"/>
        <v>1</v>
      </c>
      <c r="R10" t="s">
        <v>15</v>
      </c>
    </row>
    <row r="11" spans="1:18" ht="14" thickBot="1" x14ac:dyDescent="0.2">
      <c r="A11" s="3" t="s">
        <v>52</v>
      </c>
      <c r="B11" s="3" t="s">
        <v>45</v>
      </c>
      <c r="C11">
        <v>30</v>
      </c>
      <c r="D11" s="3" t="s">
        <v>53</v>
      </c>
      <c r="E11">
        <v>6</v>
      </c>
      <c r="F11">
        <v>1</v>
      </c>
      <c r="G11" t="s">
        <v>31</v>
      </c>
      <c r="H11" s="2">
        <v>21091.39</v>
      </c>
      <c r="I11" s="2">
        <v>12020.32</v>
      </c>
      <c r="J11">
        <v>12122</v>
      </c>
      <c r="K11" s="6">
        <f t="shared" si="6"/>
        <v>9071.07</v>
      </c>
      <c r="L11">
        <f>Data[[#This Row],[Net Revenue]]/Data[[#This Row],[Units]]</f>
        <v>0.74831463454875435</v>
      </c>
      <c r="M11" s="6"/>
      <c r="N11" t="s">
        <v>45</v>
      </c>
      <c r="O11" s="25">
        <f t="shared" si="4"/>
        <v>190908.56</v>
      </c>
      <c r="P11">
        <f t="shared" si="5"/>
        <v>3</v>
      </c>
      <c r="R11" t="s">
        <v>45</v>
      </c>
    </row>
    <row r="12" spans="1:18" ht="14" thickBot="1" x14ac:dyDescent="0.2">
      <c r="A12" s="3" t="s">
        <v>44</v>
      </c>
      <c r="B12" s="3" t="s">
        <v>45</v>
      </c>
      <c r="C12">
        <v>30</v>
      </c>
      <c r="D12" s="3" t="s">
        <v>12</v>
      </c>
      <c r="E12">
        <v>6</v>
      </c>
      <c r="F12">
        <v>1</v>
      </c>
      <c r="G12" t="s">
        <v>31</v>
      </c>
      <c r="H12" s="2">
        <v>2926.62</v>
      </c>
      <c r="I12" s="2">
        <v>1380.45</v>
      </c>
      <c r="J12">
        <v>1182</v>
      </c>
      <c r="K12" s="6">
        <f t="shared" si="6"/>
        <v>1546.1699999999998</v>
      </c>
      <c r="L12">
        <f>Data[[#This Row],[Net Revenue]]/Data[[#This Row],[Units]]</f>
        <v>1.3080964467005074</v>
      </c>
      <c r="M12" s="6"/>
      <c r="N12" t="s">
        <v>22</v>
      </c>
      <c r="O12" s="25">
        <f t="shared" si="4"/>
        <v>696059.92</v>
      </c>
      <c r="P12">
        <f t="shared" si="5"/>
        <v>6</v>
      </c>
      <c r="R12" t="s">
        <v>22</v>
      </c>
    </row>
    <row r="13" spans="1:18" ht="14" thickBot="1" x14ac:dyDescent="0.2">
      <c r="A13" s="3" t="s">
        <v>88</v>
      </c>
      <c r="B13" s="3" t="s">
        <v>85</v>
      </c>
      <c r="C13">
        <v>6</v>
      </c>
      <c r="D13" s="3" t="s">
        <v>58</v>
      </c>
      <c r="E13">
        <v>10</v>
      </c>
      <c r="F13" s="3">
        <v>1</v>
      </c>
      <c r="G13" t="s">
        <v>20</v>
      </c>
      <c r="H13" s="2">
        <v>428059.74</v>
      </c>
      <c r="I13" s="2">
        <v>190667.97</v>
      </c>
      <c r="J13">
        <v>180951</v>
      </c>
      <c r="K13" s="6">
        <f t="shared" si="6"/>
        <v>237391.77</v>
      </c>
      <c r="L13">
        <f>Data[[#This Row],[Net Revenue]]/Data[[#This Row],[Units]]</f>
        <v>1.311911898801333</v>
      </c>
      <c r="N13" t="s">
        <v>33</v>
      </c>
      <c r="O13" s="25">
        <f t="shared" si="4"/>
        <v>1138.81</v>
      </c>
      <c r="P13">
        <f t="shared" si="5"/>
        <v>1</v>
      </c>
      <c r="R13" t="s">
        <v>33</v>
      </c>
    </row>
    <row r="14" spans="1:18" ht="14" thickBot="1" x14ac:dyDescent="0.2">
      <c r="A14" s="3" t="s">
        <v>91</v>
      </c>
      <c r="B14" s="3" t="s">
        <v>79</v>
      </c>
      <c r="C14">
        <v>6</v>
      </c>
      <c r="D14" s="3" t="s">
        <v>42</v>
      </c>
      <c r="E14">
        <v>10</v>
      </c>
      <c r="F14">
        <v>1</v>
      </c>
      <c r="G14" t="s">
        <v>20</v>
      </c>
      <c r="H14" s="2">
        <v>503654.42</v>
      </c>
      <c r="I14" s="2">
        <v>292277.98</v>
      </c>
      <c r="J14">
        <v>264881</v>
      </c>
      <c r="K14" s="6">
        <f t="shared" si="6"/>
        <v>211376.44</v>
      </c>
      <c r="L14">
        <f>Data[[#This Row],[Net Revenue]]/Data[[#This Row],[Units]]</f>
        <v>0.7980052929428687</v>
      </c>
      <c r="M14" s="6"/>
      <c r="N14" t="s">
        <v>47</v>
      </c>
      <c r="O14" s="25">
        <f t="shared" si="4"/>
        <v>928693.01</v>
      </c>
      <c r="P14">
        <f t="shared" si="5"/>
        <v>5</v>
      </c>
      <c r="R14" t="s">
        <v>47</v>
      </c>
    </row>
    <row r="15" spans="1:18" ht="14" thickBot="1" x14ac:dyDescent="0.2">
      <c r="A15" s="3" t="s">
        <v>86</v>
      </c>
      <c r="B15" s="3" t="s">
        <v>85</v>
      </c>
      <c r="C15">
        <v>6</v>
      </c>
      <c r="D15" s="3" t="s">
        <v>76</v>
      </c>
      <c r="E15">
        <v>10</v>
      </c>
      <c r="F15" s="3">
        <v>1</v>
      </c>
      <c r="G15" t="s">
        <v>20</v>
      </c>
      <c r="H15" s="2">
        <v>382723.4</v>
      </c>
      <c r="I15" s="2">
        <v>180961.83</v>
      </c>
      <c r="J15">
        <v>135970</v>
      </c>
      <c r="K15" s="6">
        <f t="shared" si="6"/>
        <v>201761.57000000004</v>
      </c>
      <c r="L15">
        <f>Data[[#This Row],[Net Revenue]]/Data[[#This Row],[Units]]</f>
        <v>1.4838682797675962</v>
      </c>
      <c r="N15" t="s">
        <v>81</v>
      </c>
      <c r="O15" s="25">
        <f t="shared" si="4"/>
        <v>281164.25</v>
      </c>
      <c r="P15">
        <f t="shared" si="5"/>
        <v>1</v>
      </c>
      <c r="R15" t="s">
        <v>81</v>
      </c>
    </row>
    <row r="16" spans="1:18" ht="16" thickBot="1" x14ac:dyDescent="0.2">
      <c r="A16" s="3" t="s">
        <v>84</v>
      </c>
      <c r="B16" s="3" t="s">
        <v>85</v>
      </c>
      <c r="C16">
        <v>6</v>
      </c>
      <c r="D16" s="3" t="s">
        <v>73</v>
      </c>
      <c r="E16">
        <v>10</v>
      </c>
      <c r="F16" s="3">
        <v>1</v>
      </c>
      <c r="G16" t="s">
        <v>20</v>
      </c>
      <c r="H16" s="2">
        <v>363765.36</v>
      </c>
      <c r="I16" s="2">
        <v>213633.91</v>
      </c>
      <c r="J16">
        <v>192778</v>
      </c>
      <c r="K16" s="6">
        <f t="shared" si="6"/>
        <v>150131.44999999998</v>
      </c>
      <c r="L16">
        <f>Data[[#This Row],[Net Revenue]]/Data[[#This Row],[Units]]</f>
        <v>0.77877895817987519</v>
      </c>
      <c r="N16" s="5" t="s">
        <v>18</v>
      </c>
      <c r="O16" s="25">
        <f t="shared" si="4"/>
        <v>402.26</v>
      </c>
      <c r="P16">
        <f t="shared" si="5"/>
        <v>1</v>
      </c>
      <c r="R16" t="s">
        <v>18</v>
      </c>
    </row>
    <row r="17" spans="1:18" ht="14" thickBot="1" x14ac:dyDescent="0.2">
      <c r="A17" s="3" t="s">
        <v>75</v>
      </c>
      <c r="B17" s="3" t="s">
        <v>56</v>
      </c>
      <c r="C17">
        <v>6</v>
      </c>
      <c r="D17" s="3" t="s">
        <v>76</v>
      </c>
      <c r="E17">
        <v>10</v>
      </c>
      <c r="F17">
        <v>1</v>
      </c>
      <c r="G17" t="s">
        <v>20</v>
      </c>
      <c r="H17" s="2">
        <v>167532.73000000001</v>
      </c>
      <c r="I17" s="2">
        <v>77854.67</v>
      </c>
      <c r="J17">
        <v>63149</v>
      </c>
      <c r="K17" s="6">
        <f t="shared" si="6"/>
        <v>89678.060000000012</v>
      </c>
      <c r="L17">
        <f>Data[[#This Row],[Net Revenue]]/Data[[#This Row],[Units]]</f>
        <v>1.4201026144515354</v>
      </c>
      <c r="N17" t="s">
        <v>38</v>
      </c>
      <c r="O17" s="25">
        <f t="shared" si="4"/>
        <v>2283.61</v>
      </c>
      <c r="P17">
        <f t="shared" si="5"/>
        <v>1</v>
      </c>
      <c r="R17" t="s">
        <v>38</v>
      </c>
    </row>
    <row r="18" spans="1:18" ht="14" thickBot="1" x14ac:dyDescent="0.2">
      <c r="A18" s="3" t="s">
        <v>71</v>
      </c>
      <c r="B18" s="3" t="s">
        <v>72</v>
      </c>
      <c r="C18">
        <v>6</v>
      </c>
      <c r="D18" s="3" t="s">
        <v>73</v>
      </c>
      <c r="E18">
        <v>10</v>
      </c>
      <c r="F18">
        <v>1</v>
      </c>
      <c r="G18" t="s">
        <v>20</v>
      </c>
      <c r="H18" s="2">
        <v>154836.73000000001</v>
      </c>
      <c r="I18" s="2">
        <v>72220.759999999995</v>
      </c>
      <c r="J18">
        <v>56869</v>
      </c>
      <c r="K18" s="6">
        <f t="shared" si="6"/>
        <v>82615.970000000016</v>
      </c>
      <c r="L18">
        <f>Data[[#This Row],[Net Revenue]]/Data[[#This Row],[Units]]</f>
        <v>1.4527417397879339</v>
      </c>
      <c r="N18" t="s">
        <v>11</v>
      </c>
      <c r="O18" s="25">
        <f t="shared" si="4"/>
        <v>6596.41</v>
      </c>
      <c r="P18">
        <f t="shared" si="5"/>
        <v>4</v>
      </c>
      <c r="R18" t="s">
        <v>11</v>
      </c>
    </row>
    <row r="19" spans="1:18" ht="14" thickBot="1" x14ac:dyDescent="0.2">
      <c r="A19" s="3" t="s">
        <v>66</v>
      </c>
      <c r="B19" s="3" t="s">
        <v>27</v>
      </c>
      <c r="C19">
        <v>1</v>
      </c>
      <c r="D19" s="3" t="s">
        <v>67</v>
      </c>
      <c r="E19">
        <v>10</v>
      </c>
      <c r="F19">
        <v>0</v>
      </c>
      <c r="G19" t="s">
        <v>20</v>
      </c>
      <c r="H19" s="2">
        <v>123458.28</v>
      </c>
      <c r="I19" s="2">
        <v>60396.54</v>
      </c>
      <c r="J19">
        <v>41590</v>
      </c>
      <c r="K19" s="6">
        <f t="shared" si="6"/>
        <v>63061.74</v>
      </c>
      <c r="L19">
        <f>Data[[#This Row],[Net Revenue]]/Data[[#This Row],[Units]]</f>
        <v>1.5162716999278671</v>
      </c>
      <c r="N19" t="s">
        <v>85</v>
      </c>
      <c r="O19" s="25">
        <f t="shared" si="4"/>
        <v>2281977.27</v>
      </c>
      <c r="P19">
        <f t="shared" si="5"/>
        <v>4</v>
      </c>
      <c r="R19" t="s">
        <v>85</v>
      </c>
    </row>
    <row r="20" spans="1:18" ht="14" thickBot="1" x14ac:dyDescent="0.2">
      <c r="A20" s="3" t="s">
        <v>57</v>
      </c>
      <c r="B20" s="3" t="s">
        <v>47</v>
      </c>
      <c r="C20">
        <v>6</v>
      </c>
      <c r="D20" s="3" t="s">
        <v>58</v>
      </c>
      <c r="E20">
        <v>10</v>
      </c>
      <c r="F20">
        <v>1</v>
      </c>
      <c r="G20" t="s">
        <v>20</v>
      </c>
      <c r="H20" s="2">
        <v>41735.4</v>
      </c>
      <c r="I20" s="2">
        <v>29246.02</v>
      </c>
      <c r="J20">
        <v>23223</v>
      </c>
      <c r="K20" s="6">
        <f t="shared" si="6"/>
        <v>12489.380000000001</v>
      </c>
      <c r="L20">
        <f>Data[[#This Row],[Net Revenue]]/Data[[#This Row],[Units]]</f>
        <v>0.53780217887439186</v>
      </c>
      <c r="N20" t="s">
        <v>60</v>
      </c>
      <c r="O20" s="25">
        <f t="shared" si="4"/>
        <v>748667.85</v>
      </c>
      <c r="P20">
        <f t="shared" si="5"/>
        <v>3</v>
      </c>
      <c r="R20" t="s">
        <v>60</v>
      </c>
    </row>
    <row r="21" spans="1:18" ht="14" thickBot="1" x14ac:dyDescent="0.2">
      <c r="A21" s="3" t="s">
        <v>37</v>
      </c>
      <c r="B21" s="3" t="s">
        <v>38</v>
      </c>
      <c r="C21">
        <v>24</v>
      </c>
      <c r="D21" s="3" t="s">
        <v>39</v>
      </c>
      <c r="E21">
        <v>10</v>
      </c>
      <c r="F21">
        <v>1</v>
      </c>
      <c r="G21" t="s">
        <v>20</v>
      </c>
      <c r="H21" s="2">
        <v>2283.61</v>
      </c>
      <c r="I21" s="2">
        <v>1201.77</v>
      </c>
      <c r="J21">
        <v>962</v>
      </c>
      <c r="K21" s="6">
        <f t="shared" si="6"/>
        <v>1081.8400000000001</v>
      </c>
      <c r="L21">
        <f>Data[[#This Row],[Net Revenue]]/Data[[#This Row],[Units]]</f>
        <v>1.1245738045738047</v>
      </c>
      <c r="N21" t="s">
        <v>63</v>
      </c>
      <c r="O21" s="25">
        <f t="shared" si="4"/>
        <v>181113.95</v>
      </c>
      <c r="P21">
        <f t="shared" si="5"/>
        <v>2</v>
      </c>
      <c r="R21" t="s">
        <v>63</v>
      </c>
    </row>
    <row r="22" spans="1:18" ht="14" thickBot="1" x14ac:dyDescent="0.2">
      <c r="A22" s="3" t="s">
        <v>24</v>
      </c>
      <c r="B22" s="3" t="s">
        <v>25</v>
      </c>
      <c r="C22">
        <v>6</v>
      </c>
      <c r="D22" s="3" t="s">
        <v>12</v>
      </c>
      <c r="E22">
        <v>10</v>
      </c>
      <c r="F22">
        <v>1</v>
      </c>
      <c r="G22" t="s">
        <v>20</v>
      </c>
      <c r="H22" s="2">
        <v>1105.79</v>
      </c>
      <c r="I22" s="2">
        <v>587.08000000000004</v>
      </c>
      <c r="J22">
        <v>466</v>
      </c>
      <c r="K22" s="6">
        <f t="shared" si="6"/>
        <v>518.70999999999992</v>
      </c>
      <c r="L22">
        <f>Data[[#This Row],[Net Revenue]]/Data[[#This Row],[Units]]</f>
        <v>1.1131115879828324</v>
      </c>
      <c r="N22" t="s">
        <v>56</v>
      </c>
      <c r="O22" s="25">
        <f t="shared" si="4"/>
        <v>841637.33</v>
      </c>
      <c r="P22">
        <f t="shared" si="5"/>
        <v>4</v>
      </c>
      <c r="R22" t="s">
        <v>56</v>
      </c>
    </row>
    <row r="23" spans="1:18" ht="14" thickBot="1" x14ac:dyDescent="0.2">
      <c r="A23" s="3" t="s">
        <v>26</v>
      </c>
      <c r="B23" s="3" t="s">
        <v>27</v>
      </c>
      <c r="C23">
        <v>6</v>
      </c>
      <c r="D23" s="3" t="s">
        <v>28</v>
      </c>
      <c r="E23">
        <v>16</v>
      </c>
      <c r="F23">
        <v>0</v>
      </c>
      <c r="G23" t="s">
        <v>13</v>
      </c>
      <c r="H23" s="2">
        <v>1132.26</v>
      </c>
      <c r="I23" s="2">
        <v>762.81</v>
      </c>
      <c r="J23">
        <v>602</v>
      </c>
      <c r="K23" s="6">
        <f t="shared" si="6"/>
        <v>369.45000000000005</v>
      </c>
      <c r="L23">
        <f>Data[[#This Row],[Net Revenue]]/Data[[#This Row],[Units]]</f>
        <v>0.61370431893687716</v>
      </c>
      <c r="N23" t="s">
        <v>25</v>
      </c>
      <c r="O23" s="25">
        <f t="shared" si="4"/>
        <v>560605.08000000007</v>
      </c>
      <c r="P23">
        <f t="shared" si="5"/>
        <v>2</v>
      </c>
      <c r="R23" t="s">
        <v>25</v>
      </c>
    </row>
    <row r="24" spans="1:18" ht="14" thickBot="1" x14ac:dyDescent="0.2">
      <c r="A24" s="3" t="s">
        <v>29</v>
      </c>
      <c r="B24" s="3" t="s">
        <v>11</v>
      </c>
      <c r="C24">
        <v>1</v>
      </c>
      <c r="D24" s="3" t="s">
        <v>30</v>
      </c>
      <c r="E24">
        <v>16</v>
      </c>
      <c r="F24">
        <v>1</v>
      </c>
      <c r="G24" t="s">
        <v>31</v>
      </c>
      <c r="H24" s="2">
        <v>1134.76</v>
      </c>
      <c r="I24" s="2">
        <v>884.7</v>
      </c>
      <c r="J24">
        <v>607</v>
      </c>
      <c r="K24" s="6">
        <f t="shared" si="6"/>
        <v>250.05999999999995</v>
      </c>
      <c r="L24">
        <f>Data[[#This Row],[Net Revenue]]/Data[[#This Row],[Units]]</f>
        <v>0.41196046128500813</v>
      </c>
      <c r="N24" t="s">
        <v>79</v>
      </c>
      <c r="O24" s="25">
        <f t="shared" si="4"/>
        <v>1697601.8900000001</v>
      </c>
      <c r="P24">
        <f t="shared" si="5"/>
        <v>4</v>
      </c>
      <c r="R24" t="s">
        <v>79</v>
      </c>
    </row>
    <row r="25" spans="1:18" ht="14" thickBot="1" x14ac:dyDescent="0.2">
      <c r="A25" s="3" t="s">
        <v>32</v>
      </c>
      <c r="B25" s="3" t="s">
        <v>33</v>
      </c>
      <c r="C25">
        <v>1</v>
      </c>
      <c r="D25" s="3" t="s">
        <v>30</v>
      </c>
      <c r="E25">
        <v>16</v>
      </c>
      <c r="F25">
        <v>1</v>
      </c>
      <c r="G25" t="s">
        <v>31</v>
      </c>
      <c r="H25" s="2">
        <v>1138.81</v>
      </c>
      <c r="I25" s="2">
        <v>915.77</v>
      </c>
      <c r="J25">
        <v>678</v>
      </c>
      <c r="K25" s="6">
        <f t="shared" si="6"/>
        <v>223.03999999999996</v>
      </c>
      <c r="L25">
        <f>Data[[#This Row],[Net Revenue]]/Data[[#This Row],[Units]]</f>
        <v>0.32896755162241881</v>
      </c>
      <c r="N25" t="s">
        <v>27</v>
      </c>
      <c r="O25" s="25">
        <f t="shared" si="4"/>
        <v>711777.12</v>
      </c>
      <c r="P25">
        <f t="shared" si="5"/>
        <v>5</v>
      </c>
      <c r="R25" t="s">
        <v>27</v>
      </c>
    </row>
    <row r="26" spans="1:18" ht="14" thickBot="1" x14ac:dyDescent="0.2">
      <c r="A26" s="3" t="s">
        <v>82</v>
      </c>
      <c r="B26" s="3" t="s">
        <v>79</v>
      </c>
      <c r="C26">
        <v>6</v>
      </c>
      <c r="D26" s="3" t="s">
        <v>58</v>
      </c>
      <c r="E26">
        <v>32</v>
      </c>
      <c r="F26">
        <v>1</v>
      </c>
      <c r="G26" t="s">
        <v>20</v>
      </c>
      <c r="H26" s="2">
        <v>299662.09000000003</v>
      </c>
      <c r="I26" s="2">
        <v>143100.4</v>
      </c>
      <c r="J26">
        <v>126489</v>
      </c>
      <c r="K26" s="6">
        <f t="shared" si="6"/>
        <v>156561.69000000003</v>
      </c>
      <c r="L26">
        <f>Data[[#This Row],[Net Revenue]]/Data[[#This Row],[Units]]</f>
        <v>1.2377494485686504</v>
      </c>
      <c r="N26" t="s">
        <v>72</v>
      </c>
      <c r="O26" s="25">
        <f t="shared" si="4"/>
        <v>614139.32000000007</v>
      </c>
      <c r="P26">
        <f t="shared" si="5"/>
        <v>2</v>
      </c>
      <c r="R26" t="s">
        <v>72</v>
      </c>
    </row>
    <row r="27" spans="1:18" x14ac:dyDescent="0.15">
      <c r="A27" s="3" t="s">
        <v>78</v>
      </c>
      <c r="B27" s="3" t="s">
        <v>79</v>
      </c>
      <c r="C27">
        <v>6</v>
      </c>
      <c r="D27" s="3" t="s">
        <v>50</v>
      </c>
      <c r="E27">
        <v>32</v>
      </c>
      <c r="F27">
        <v>1</v>
      </c>
      <c r="G27" t="s">
        <v>20</v>
      </c>
      <c r="H27" s="2">
        <v>232707.01</v>
      </c>
      <c r="I27" s="2">
        <v>107914.06</v>
      </c>
      <c r="J27">
        <v>78417</v>
      </c>
      <c r="K27" s="6">
        <f t="shared" si="6"/>
        <v>124792.95000000001</v>
      </c>
      <c r="L27">
        <f>Data[[#This Row],[Net Revenue]]/Data[[#This Row],[Units]]</f>
        <v>1.5914017368682813</v>
      </c>
    </row>
    <row r="28" spans="1:18" x14ac:dyDescent="0.15">
      <c r="A28" s="3" t="s">
        <v>65</v>
      </c>
      <c r="B28" s="3" t="s">
        <v>63</v>
      </c>
      <c r="C28">
        <v>1</v>
      </c>
      <c r="D28" s="3" t="s">
        <v>28</v>
      </c>
      <c r="E28">
        <v>32</v>
      </c>
      <c r="F28">
        <v>0</v>
      </c>
      <c r="G28" t="s">
        <v>20</v>
      </c>
      <c r="H28" s="2">
        <v>111925.47</v>
      </c>
      <c r="I28" s="2">
        <v>54379.55</v>
      </c>
      <c r="J28">
        <v>56606</v>
      </c>
      <c r="K28" s="6">
        <f t="shared" si="6"/>
        <v>57545.919999999998</v>
      </c>
      <c r="L28">
        <f>Data[[#This Row],[Net Revenue]]/Data[[#This Row],[Units]]</f>
        <v>1.0166046002190581</v>
      </c>
    </row>
    <row r="29" spans="1:18" x14ac:dyDescent="0.15">
      <c r="A29" s="3" t="s">
        <v>62</v>
      </c>
      <c r="B29" s="3" t="s">
        <v>63</v>
      </c>
      <c r="C29">
        <v>1</v>
      </c>
      <c r="D29" s="3" t="s">
        <v>28</v>
      </c>
      <c r="E29">
        <v>32</v>
      </c>
      <c r="F29">
        <v>0</v>
      </c>
      <c r="G29" t="s">
        <v>20</v>
      </c>
      <c r="H29" s="2">
        <v>69188.479999999996</v>
      </c>
      <c r="I29" s="2">
        <v>32534.240000000002</v>
      </c>
      <c r="J29">
        <v>25524</v>
      </c>
      <c r="K29" s="6">
        <f t="shared" si="6"/>
        <v>36654.239999999991</v>
      </c>
      <c r="L29">
        <f>Data[[#This Row],[Net Revenue]]/Data[[#This Row],[Units]]</f>
        <v>1.4360695815702864</v>
      </c>
    </row>
    <row r="30" spans="1:18" x14ac:dyDescent="0.15">
      <c r="A30" s="3" t="s">
        <v>59</v>
      </c>
      <c r="B30" s="3" t="s">
        <v>60</v>
      </c>
      <c r="C30">
        <v>6</v>
      </c>
      <c r="D30" s="3" t="s">
        <v>42</v>
      </c>
      <c r="E30">
        <v>32</v>
      </c>
      <c r="F30">
        <v>1</v>
      </c>
      <c r="G30" t="s">
        <v>31</v>
      </c>
      <c r="H30" s="2">
        <v>47535.040000000001</v>
      </c>
      <c r="I30" s="2">
        <v>23220.49</v>
      </c>
      <c r="J30">
        <v>18265</v>
      </c>
      <c r="K30" s="6">
        <f t="shared" si="6"/>
        <v>24314.55</v>
      </c>
      <c r="L30">
        <f>Data[[#This Row],[Net Revenue]]/Data[[#This Row],[Units]]</f>
        <v>1.3312099644128113</v>
      </c>
    </row>
    <row r="31" spans="1:18" x14ac:dyDescent="0.15">
      <c r="A31" s="3" t="s">
        <v>55</v>
      </c>
      <c r="B31" s="3" t="s">
        <v>56</v>
      </c>
      <c r="C31">
        <v>6</v>
      </c>
      <c r="D31" s="3" t="s">
        <v>50</v>
      </c>
      <c r="E31">
        <v>32</v>
      </c>
      <c r="F31">
        <v>1</v>
      </c>
      <c r="G31" t="s">
        <v>13</v>
      </c>
      <c r="H31" s="2">
        <v>35136.78</v>
      </c>
      <c r="I31" s="2">
        <v>17170.349999999999</v>
      </c>
      <c r="J31">
        <v>18360</v>
      </c>
      <c r="K31" s="6">
        <f t="shared" si="6"/>
        <v>17966.43</v>
      </c>
      <c r="L31">
        <f>Data[[#This Row],[Net Revenue]]/Data[[#This Row],[Units]]</f>
        <v>0.9785637254901961</v>
      </c>
    </row>
    <row r="32" spans="1:18" x14ac:dyDescent="0.15">
      <c r="A32" s="3" t="s">
        <v>46</v>
      </c>
      <c r="B32" s="3" t="s">
        <v>47</v>
      </c>
      <c r="C32">
        <v>1</v>
      </c>
      <c r="D32" s="3" t="s">
        <v>48</v>
      </c>
      <c r="E32">
        <v>32</v>
      </c>
      <c r="F32">
        <v>1</v>
      </c>
      <c r="G32" t="s">
        <v>20</v>
      </c>
      <c r="H32" s="2">
        <v>3021.91</v>
      </c>
      <c r="I32" s="2">
        <v>1721</v>
      </c>
      <c r="J32">
        <v>2910</v>
      </c>
      <c r="K32" s="6">
        <f t="shared" si="6"/>
        <v>1300.9099999999999</v>
      </c>
      <c r="L32">
        <f>Data[[#This Row],[Net Revenue]]/Data[[#This Row],[Units]]</f>
        <v>0.44704810996563571</v>
      </c>
    </row>
    <row r="33" spans="1:13" x14ac:dyDescent="0.15">
      <c r="A33" s="3" t="s">
        <v>40</v>
      </c>
      <c r="B33" s="3" t="s">
        <v>11</v>
      </c>
      <c r="C33">
        <v>6</v>
      </c>
      <c r="D33" s="3" t="s">
        <v>39</v>
      </c>
      <c r="E33">
        <v>32</v>
      </c>
      <c r="F33">
        <v>1</v>
      </c>
      <c r="G33" t="s">
        <v>13</v>
      </c>
      <c r="H33" s="2">
        <v>2546.85</v>
      </c>
      <c r="I33" s="2">
        <v>1379.67</v>
      </c>
      <c r="J33">
        <v>135</v>
      </c>
      <c r="K33" s="6">
        <f t="shared" si="6"/>
        <v>1167.1799999999998</v>
      </c>
      <c r="L33">
        <f>Data[[#This Row],[Net Revenue]]/Data[[#This Row],[Units]]</f>
        <v>8.6457777777777771</v>
      </c>
    </row>
    <row r="34" spans="1:13" x14ac:dyDescent="0.15">
      <c r="A34" s="3" t="s">
        <v>43</v>
      </c>
      <c r="B34" s="3" t="s">
        <v>11</v>
      </c>
      <c r="C34">
        <v>6</v>
      </c>
      <c r="D34" s="3" t="s">
        <v>36</v>
      </c>
      <c r="E34">
        <v>32</v>
      </c>
      <c r="F34">
        <v>1</v>
      </c>
      <c r="G34" t="s">
        <v>31</v>
      </c>
      <c r="H34" s="2">
        <v>2877.89</v>
      </c>
      <c r="I34" s="2">
        <v>1815.09</v>
      </c>
      <c r="J34">
        <v>1354</v>
      </c>
      <c r="K34" s="6">
        <f t="shared" si="6"/>
        <v>1062.8</v>
      </c>
      <c r="L34">
        <f>Data[[#This Row],[Net Revenue]]/Data[[#This Row],[Units]]</f>
        <v>0.78493353028064994</v>
      </c>
    </row>
    <row r="35" spans="1:13" ht="14" x14ac:dyDescent="0.15">
      <c r="A35" s="3" t="s">
        <v>17</v>
      </c>
      <c r="B35" s="3" t="s">
        <v>18</v>
      </c>
      <c r="C35">
        <v>1</v>
      </c>
      <c r="D35" s="3" t="s">
        <v>19</v>
      </c>
      <c r="E35">
        <v>32</v>
      </c>
      <c r="F35">
        <v>1</v>
      </c>
      <c r="G35" t="s">
        <v>20</v>
      </c>
      <c r="H35" s="2">
        <v>402.26</v>
      </c>
      <c r="I35" s="2">
        <v>161.19</v>
      </c>
      <c r="J35">
        <v>203</v>
      </c>
      <c r="K35" s="6">
        <f t="shared" si="6"/>
        <v>241.07</v>
      </c>
      <c r="L35">
        <f>Data[[#This Row],[Net Revenue]]/Data[[#This Row],[Units]]</f>
        <v>1.1875369458128078</v>
      </c>
      <c r="M35" s="4"/>
    </row>
    <row r="36" spans="1:13" x14ac:dyDescent="0.15">
      <c r="A36" s="3" t="s">
        <v>10</v>
      </c>
      <c r="B36" s="3" t="s">
        <v>11</v>
      </c>
      <c r="C36">
        <v>1</v>
      </c>
      <c r="D36" s="3" t="s">
        <v>12</v>
      </c>
      <c r="E36">
        <v>32</v>
      </c>
      <c r="F36">
        <v>1</v>
      </c>
      <c r="G36" t="s">
        <v>13</v>
      </c>
      <c r="H36" s="2">
        <v>36.909999999999997</v>
      </c>
      <c r="I36" s="2">
        <v>18.149999999999999</v>
      </c>
      <c r="J36">
        <v>15</v>
      </c>
      <c r="K36" s="6">
        <f t="shared" si="6"/>
        <v>18.759999999999998</v>
      </c>
      <c r="L36">
        <f>Data[[#This Row],[Net Revenue]]/Data[[#This Row],[Units]]</f>
        <v>1.2506666666666666</v>
      </c>
    </row>
    <row r="37" spans="1:13" x14ac:dyDescent="0.15">
      <c r="A37" s="3" t="s">
        <v>87</v>
      </c>
      <c r="B37" s="3" t="s">
        <v>22</v>
      </c>
      <c r="C37">
        <v>1</v>
      </c>
      <c r="D37" s="3" t="s">
        <v>36</v>
      </c>
      <c r="E37">
        <v>46</v>
      </c>
      <c r="F37" s="3">
        <v>0</v>
      </c>
      <c r="G37" t="s">
        <v>20</v>
      </c>
      <c r="H37" s="2">
        <v>399949.13</v>
      </c>
      <c r="I37" s="2">
        <v>205741.56</v>
      </c>
      <c r="J37">
        <v>140840</v>
      </c>
      <c r="K37" s="6">
        <f t="shared" si="6"/>
        <v>194207.57</v>
      </c>
      <c r="L37">
        <f>Data[[#This Row],[Net Revenue]]/Data[[#This Row],[Units]]</f>
        <v>1.3789233882419767</v>
      </c>
    </row>
    <row r="38" spans="1:13" x14ac:dyDescent="0.15">
      <c r="A38" s="3" t="s">
        <v>54</v>
      </c>
      <c r="B38" s="3" t="s">
        <v>27</v>
      </c>
      <c r="C38">
        <v>1</v>
      </c>
      <c r="D38" s="3" t="s">
        <v>53</v>
      </c>
      <c r="E38">
        <v>46</v>
      </c>
      <c r="F38">
        <v>0</v>
      </c>
      <c r="G38" t="s">
        <v>31</v>
      </c>
      <c r="H38" s="2">
        <v>33118.230000000003</v>
      </c>
      <c r="I38" s="2">
        <v>16835.900000000001</v>
      </c>
      <c r="J38">
        <v>11578</v>
      </c>
      <c r="K38" s="6">
        <f t="shared" si="6"/>
        <v>16282.330000000002</v>
      </c>
      <c r="L38">
        <f>Data[[#This Row],[Net Revenue]]/Data[[#This Row],[Units]]</f>
        <v>1.4063162895145969</v>
      </c>
    </row>
    <row r="39" spans="1:13" x14ac:dyDescent="0.15">
      <c r="A39" s="3" t="s">
        <v>34</v>
      </c>
      <c r="B39" s="3" t="s">
        <v>35</v>
      </c>
      <c r="C39">
        <v>1</v>
      </c>
      <c r="D39" s="3" t="s">
        <v>36</v>
      </c>
      <c r="E39">
        <v>48</v>
      </c>
      <c r="F39">
        <v>1</v>
      </c>
      <c r="G39" t="s">
        <v>20</v>
      </c>
      <c r="H39" s="2">
        <v>1175.32</v>
      </c>
      <c r="I39" s="2">
        <v>471.19</v>
      </c>
      <c r="J39">
        <v>566</v>
      </c>
      <c r="K39" s="6">
        <f t="shared" si="6"/>
        <v>704.12999999999988</v>
      </c>
      <c r="L39">
        <f>Data[[#This Row],[Net Revenue]]/Data[[#This Row],[Units]]</f>
        <v>1.2440459363957594</v>
      </c>
    </row>
    <row r="40" spans="1:13" x14ac:dyDescent="0.15">
      <c r="A40" s="3" t="s">
        <v>64</v>
      </c>
      <c r="B40" s="3" t="s">
        <v>22</v>
      </c>
      <c r="C40">
        <v>1</v>
      </c>
      <c r="D40" s="3" t="s">
        <v>42</v>
      </c>
      <c r="E40">
        <v>59</v>
      </c>
      <c r="F40">
        <v>1</v>
      </c>
      <c r="G40" t="s">
        <v>20</v>
      </c>
      <c r="H40" s="2">
        <v>83504.78</v>
      </c>
      <c r="I40" s="2">
        <v>37603.43</v>
      </c>
      <c r="J40">
        <v>34048</v>
      </c>
      <c r="K40" s="6">
        <f t="shared" si="6"/>
        <v>45901.35</v>
      </c>
      <c r="L40">
        <f>Data[[#This Row],[Net Revenue]]/Data[[#This Row],[Units]]</f>
        <v>1.3481364544172931</v>
      </c>
    </row>
    <row r="41" spans="1:13" x14ac:dyDescent="0.15">
      <c r="A41" s="3" t="s">
        <v>61</v>
      </c>
      <c r="B41" s="3" t="s">
        <v>22</v>
      </c>
      <c r="C41">
        <v>1</v>
      </c>
      <c r="D41" s="3" t="s">
        <v>53</v>
      </c>
      <c r="E41">
        <v>59</v>
      </c>
      <c r="F41">
        <v>1</v>
      </c>
      <c r="G41" t="s">
        <v>20</v>
      </c>
      <c r="H41" s="2">
        <v>63960.05</v>
      </c>
      <c r="I41" s="2">
        <v>31328.03</v>
      </c>
      <c r="J41">
        <v>21534</v>
      </c>
      <c r="K41" s="6">
        <f t="shared" si="6"/>
        <v>32632.020000000004</v>
      </c>
      <c r="L41">
        <f>Data[[#This Row],[Net Revenue]]/Data[[#This Row],[Units]]</f>
        <v>1.5153719699080526</v>
      </c>
    </row>
    <row r="42" spans="1:13" x14ac:dyDescent="0.15">
      <c r="A42" s="3" t="s">
        <v>41</v>
      </c>
      <c r="B42" s="3" t="s">
        <v>22</v>
      </c>
      <c r="C42">
        <v>1</v>
      </c>
      <c r="D42" s="3" t="s">
        <v>42</v>
      </c>
      <c r="E42">
        <v>59</v>
      </c>
      <c r="F42">
        <v>1</v>
      </c>
      <c r="G42" t="s">
        <v>31</v>
      </c>
      <c r="H42" s="2">
        <v>2876.34</v>
      </c>
      <c r="I42" s="2">
        <v>1826.67</v>
      </c>
      <c r="J42">
        <v>1305</v>
      </c>
      <c r="K42" s="6">
        <f t="shared" si="6"/>
        <v>1049.67</v>
      </c>
      <c r="L42">
        <f>Data[[#This Row],[Net Revenue]]/Data[[#This Row],[Units]]</f>
        <v>0.80434482758620696</v>
      </c>
    </row>
    <row r="43" spans="1:13" x14ac:dyDescent="0.15">
      <c r="A43" s="3" t="s">
        <v>21</v>
      </c>
      <c r="B43" s="3" t="s">
        <v>22</v>
      </c>
      <c r="C43">
        <v>1</v>
      </c>
      <c r="D43" s="3" t="s">
        <v>23</v>
      </c>
      <c r="E43">
        <v>59</v>
      </c>
      <c r="F43">
        <v>1</v>
      </c>
      <c r="G43" t="s">
        <v>20</v>
      </c>
      <c r="H43" s="2">
        <v>1078.73</v>
      </c>
      <c r="I43" s="2">
        <v>621.97</v>
      </c>
      <c r="J43">
        <v>454</v>
      </c>
      <c r="K43" s="6">
        <f t="shared" si="6"/>
        <v>456.76</v>
      </c>
      <c r="L43">
        <f>Data[[#This Row],[Net Revenue]]/Data[[#This Row],[Units]]</f>
        <v>1.006079295154185</v>
      </c>
    </row>
    <row r="44" spans="1:13" x14ac:dyDescent="0.15">
      <c r="A44" s="3" t="s">
        <v>94</v>
      </c>
      <c r="B44" s="3" t="s">
        <v>27</v>
      </c>
      <c r="C44">
        <v>1</v>
      </c>
      <c r="D44" s="3" t="s">
        <v>67</v>
      </c>
      <c r="E44">
        <v>64</v>
      </c>
      <c r="F44">
        <v>0</v>
      </c>
      <c r="G44" t="s">
        <v>20</v>
      </c>
      <c r="H44" s="2">
        <v>542060.85</v>
      </c>
      <c r="I44" s="2">
        <v>266218.65000000002</v>
      </c>
      <c r="J44">
        <v>225033</v>
      </c>
      <c r="K44" s="6">
        <f t="shared" si="6"/>
        <v>275842.19999999995</v>
      </c>
      <c r="L44">
        <f>Data[[#This Row],[Net Revenue]]/Data[[#This Row],[Units]]</f>
        <v>1.2257855514524534</v>
      </c>
    </row>
    <row r="45" spans="1:13" x14ac:dyDescent="0.15">
      <c r="A45" s="3" t="s">
        <v>92</v>
      </c>
      <c r="B45" s="3" t="s">
        <v>56</v>
      </c>
      <c r="C45">
        <v>1</v>
      </c>
      <c r="D45" s="3" t="s">
        <v>73</v>
      </c>
      <c r="E45">
        <v>64</v>
      </c>
      <c r="F45">
        <v>0</v>
      </c>
      <c r="G45" t="s">
        <v>20</v>
      </c>
      <c r="H45" s="2">
        <v>513207.92</v>
      </c>
      <c r="I45" s="2">
        <v>251876.45</v>
      </c>
      <c r="J45">
        <v>219432</v>
      </c>
      <c r="K45" s="6">
        <f t="shared" si="6"/>
        <v>261331.46999999997</v>
      </c>
      <c r="L45">
        <f>Data[[#This Row],[Net Revenue]]/Data[[#This Row],[Units]]</f>
        <v>1.1909451219512195</v>
      </c>
    </row>
    <row r="46" spans="1:13" x14ac:dyDescent="0.15">
      <c r="A46" s="3" t="s">
        <v>83</v>
      </c>
      <c r="B46" s="3" t="s">
        <v>47</v>
      </c>
      <c r="C46">
        <v>1</v>
      </c>
      <c r="D46" s="3" t="s">
        <v>42</v>
      </c>
      <c r="E46">
        <v>64</v>
      </c>
      <c r="F46" s="3">
        <v>1</v>
      </c>
      <c r="G46" t="s">
        <v>20</v>
      </c>
      <c r="H46" s="2">
        <v>342292.4</v>
      </c>
      <c r="I46" s="2">
        <v>152073.01</v>
      </c>
      <c r="J46">
        <v>144506</v>
      </c>
      <c r="K46" s="6">
        <f t="shared" si="6"/>
        <v>190219.39</v>
      </c>
      <c r="L46">
        <f>Data[[#This Row],[Net Revenue]]/Data[[#This Row],[Units]]</f>
        <v>1.316342504809489</v>
      </c>
    </row>
    <row r="47" spans="1:13" x14ac:dyDescent="0.15">
      <c r="A47" s="3" t="s">
        <v>77</v>
      </c>
      <c r="B47" s="3" t="s">
        <v>60</v>
      </c>
      <c r="C47">
        <v>1</v>
      </c>
      <c r="D47" s="3" t="s">
        <v>58</v>
      </c>
      <c r="E47">
        <v>64</v>
      </c>
      <c r="F47">
        <v>1</v>
      </c>
      <c r="G47" t="s">
        <v>20</v>
      </c>
      <c r="H47" s="2">
        <v>226723.71</v>
      </c>
      <c r="I47" s="2">
        <v>111744.89</v>
      </c>
      <c r="J47">
        <v>97453</v>
      </c>
      <c r="K47" s="6">
        <f t="shared" si="6"/>
        <v>114978.81999999999</v>
      </c>
      <c r="L47">
        <f>Data[[#This Row],[Net Revenue]]/Data[[#This Row],[Units]]</f>
        <v>1.1798386914717862</v>
      </c>
    </row>
    <row r="48" spans="1:13" x14ac:dyDescent="0.15">
      <c r="A48" s="3" t="s">
        <v>68</v>
      </c>
      <c r="B48" s="3" t="s">
        <v>56</v>
      </c>
      <c r="C48">
        <v>1</v>
      </c>
      <c r="D48" s="3" t="s">
        <v>69</v>
      </c>
      <c r="E48">
        <v>64</v>
      </c>
      <c r="F48" s="3">
        <v>1</v>
      </c>
      <c r="G48" t="s">
        <v>20</v>
      </c>
      <c r="H48" s="2">
        <v>125759.9</v>
      </c>
      <c r="I48" s="2">
        <v>82487.100000000006</v>
      </c>
      <c r="J48">
        <v>67431</v>
      </c>
      <c r="K48" s="6">
        <f t="shared" si="6"/>
        <v>43272.799999999988</v>
      </c>
      <c r="L48">
        <f>Data[[#This Row],[Net Revenue]]/Data[[#This Row],[Units]]</f>
        <v>0.64173451379929092</v>
      </c>
    </row>
    <row r="49" spans="1:13" x14ac:dyDescent="0.15">
      <c r="A49" s="3" t="s">
        <v>51</v>
      </c>
      <c r="B49" s="3" t="s">
        <v>27</v>
      </c>
      <c r="C49">
        <v>1</v>
      </c>
      <c r="D49" s="3" t="s">
        <v>23</v>
      </c>
      <c r="E49">
        <v>64</v>
      </c>
      <c r="F49">
        <v>0</v>
      </c>
      <c r="G49" t="s">
        <v>13</v>
      </c>
      <c r="H49" s="2">
        <v>12007.5</v>
      </c>
      <c r="I49" s="2">
        <v>6159.54</v>
      </c>
      <c r="J49">
        <v>4858</v>
      </c>
      <c r="K49" s="6">
        <f t="shared" si="6"/>
        <v>5847.96</v>
      </c>
      <c r="L49">
        <f>Data[[#This Row],[Net Revenue]]/Data[[#This Row],[Units]]</f>
        <v>1.203779333058872</v>
      </c>
    </row>
    <row r="50" spans="1:13" x14ac:dyDescent="0.15">
      <c r="A50" s="3" t="s">
        <v>49</v>
      </c>
      <c r="B50" s="3" t="s">
        <v>47</v>
      </c>
      <c r="C50">
        <v>1</v>
      </c>
      <c r="D50" s="3" t="s">
        <v>50</v>
      </c>
      <c r="E50">
        <v>64</v>
      </c>
      <c r="F50">
        <v>1</v>
      </c>
      <c r="G50" t="s">
        <v>31</v>
      </c>
      <c r="H50" s="2">
        <v>3233.89</v>
      </c>
      <c r="I50" s="2">
        <v>1954.3</v>
      </c>
      <c r="J50">
        <v>1466</v>
      </c>
      <c r="K50" s="6">
        <f t="shared" si="6"/>
        <v>1279.5899999999999</v>
      </c>
      <c r="L50">
        <f>Data[[#This Row],[Net Revenue]]/Data[[#This Row],[Units]]</f>
        <v>0.87284447476125504</v>
      </c>
    </row>
    <row r="51" spans="1:13" x14ac:dyDescent="0.15">
      <c r="A51" s="3" t="s">
        <v>14</v>
      </c>
      <c r="B51" s="3" t="s">
        <v>15</v>
      </c>
      <c r="C51">
        <v>1</v>
      </c>
      <c r="D51" s="3" t="s">
        <v>16</v>
      </c>
      <c r="E51">
        <v>64</v>
      </c>
      <c r="F51">
        <v>0</v>
      </c>
      <c r="G51" t="s">
        <v>13</v>
      </c>
      <c r="H51" s="2">
        <v>91.78</v>
      </c>
      <c r="I51" s="2">
        <v>45</v>
      </c>
      <c r="J51">
        <v>31</v>
      </c>
      <c r="K51" s="6">
        <f t="shared" si="6"/>
        <v>46.78</v>
      </c>
      <c r="L51">
        <f>Data[[#This Row],[Net Revenue]]/Data[[#This Row],[Units]]</f>
        <v>1.5090322580645161</v>
      </c>
    </row>
    <row r="52" spans="1:13" x14ac:dyDescent="0.15">
      <c r="A52" s="3" t="s">
        <v>95</v>
      </c>
      <c r="B52" s="3" t="s">
        <v>85</v>
      </c>
      <c r="C52">
        <v>1</v>
      </c>
      <c r="D52" s="3" t="s">
        <v>42</v>
      </c>
      <c r="E52">
        <v>96</v>
      </c>
      <c r="F52">
        <v>0</v>
      </c>
      <c r="G52" t="s">
        <v>20</v>
      </c>
      <c r="H52" s="2">
        <v>1107428.77</v>
      </c>
      <c r="I52" s="2">
        <v>557768.15</v>
      </c>
      <c r="J52">
        <v>301667</v>
      </c>
      <c r="K52" s="6">
        <f t="shared" si="6"/>
        <v>549660.62</v>
      </c>
      <c r="L52">
        <f>Data[[#This Row],[Net Revenue]]/Data[[#This Row],[Units]]</f>
        <v>1.8220773899697349</v>
      </c>
    </row>
    <row r="53" spans="1:13" x14ac:dyDescent="0.15">
      <c r="A53" s="3" t="s">
        <v>91</v>
      </c>
      <c r="B53" s="3" t="s">
        <v>79</v>
      </c>
      <c r="C53">
        <v>1</v>
      </c>
      <c r="D53" s="3" t="s">
        <v>42</v>
      </c>
      <c r="E53">
        <v>96</v>
      </c>
      <c r="F53">
        <v>0</v>
      </c>
      <c r="G53" t="s">
        <v>20</v>
      </c>
      <c r="H53" s="2">
        <v>661578.37</v>
      </c>
      <c r="I53" s="2">
        <v>320563.3</v>
      </c>
      <c r="J53">
        <v>311767</v>
      </c>
      <c r="K53" s="6">
        <f t="shared" si="6"/>
        <v>341015.07</v>
      </c>
      <c r="L53">
        <f>Data[[#This Row],[Net Revenue]]/Data[[#This Row],[Units]]</f>
        <v>1.0938138738224379</v>
      </c>
    </row>
    <row r="54" spans="1:13" x14ac:dyDescent="0.15">
      <c r="A54" s="3" t="s">
        <v>93</v>
      </c>
      <c r="B54" s="3" t="s">
        <v>47</v>
      </c>
      <c r="C54">
        <v>1</v>
      </c>
      <c r="D54" s="3" t="s">
        <v>58</v>
      </c>
      <c r="E54">
        <v>96</v>
      </c>
      <c r="F54">
        <v>1</v>
      </c>
      <c r="G54" t="s">
        <v>20</v>
      </c>
      <c r="H54" s="2">
        <v>538409.41</v>
      </c>
      <c r="I54" s="2">
        <v>246833.19</v>
      </c>
      <c r="J54">
        <v>231284</v>
      </c>
      <c r="K54" s="6">
        <f t="shared" si="6"/>
        <v>291576.22000000003</v>
      </c>
      <c r="L54">
        <f>Data[[#This Row],[Net Revenue]]/Data[[#This Row],[Units]]</f>
        <v>1.2606847858044656</v>
      </c>
    </row>
    <row r="55" spans="1:13" ht="14" x14ac:dyDescent="0.15">
      <c r="A55" s="3" t="s">
        <v>89</v>
      </c>
      <c r="B55" s="3" t="s">
        <v>72</v>
      </c>
      <c r="C55">
        <v>1</v>
      </c>
      <c r="D55" s="3" t="s">
        <v>73</v>
      </c>
      <c r="E55">
        <v>96</v>
      </c>
      <c r="F55">
        <v>1</v>
      </c>
      <c r="G55" t="s">
        <v>20</v>
      </c>
      <c r="H55" s="2">
        <v>459302.59</v>
      </c>
      <c r="I55" s="2">
        <v>226777.36</v>
      </c>
      <c r="J55">
        <v>197596</v>
      </c>
      <c r="K55" s="6">
        <f t="shared" si="6"/>
        <v>232525.23000000004</v>
      </c>
      <c r="L55">
        <f>Data[[#This Row],[Net Revenue]]/Data[[#This Row],[Units]]</f>
        <v>1.176770936658637</v>
      </c>
      <c r="M55" s="4"/>
    </row>
    <row r="56" spans="1:13" x14ac:dyDescent="0.15">
      <c r="A56" s="3" t="s">
        <v>75</v>
      </c>
      <c r="B56" s="3" t="s">
        <v>25</v>
      </c>
      <c r="C56">
        <v>1</v>
      </c>
      <c r="D56" s="3" t="s">
        <v>76</v>
      </c>
      <c r="E56">
        <v>128</v>
      </c>
      <c r="F56">
        <v>1</v>
      </c>
      <c r="G56" t="s">
        <v>20</v>
      </c>
      <c r="H56" s="2">
        <v>559499.29</v>
      </c>
      <c r="I56" s="2">
        <v>274788.36</v>
      </c>
      <c r="J56">
        <v>232125</v>
      </c>
      <c r="K56" s="6">
        <f t="shared" si="6"/>
        <v>284710.93000000005</v>
      </c>
      <c r="L56">
        <f>Data[[#This Row],[Net Revenue]]/Data[[#This Row],[Units]]</f>
        <v>1.2265414324178785</v>
      </c>
    </row>
    <row r="57" spans="1:13" x14ac:dyDescent="0.15">
      <c r="A57" s="3" t="s">
        <v>90</v>
      </c>
      <c r="B57" s="3" t="s">
        <v>60</v>
      </c>
      <c r="C57">
        <v>1</v>
      </c>
      <c r="D57" s="3" t="s">
        <v>58</v>
      </c>
      <c r="E57">
        <v>128</v>
      </c>
      <c r="F57">
        <v>1</v>
      </c>
      <c r="G57" t="s">
        <v>20</v>
      </c>
      <c r="H57" s="2">
        <v>474409.1</v>
      </c>
      <c r="I57" s="2">
        <v>249628.51</v>
      </c>
      <c r="J57">
        <v>201608</v>
      </c>
      <c r="K57" s="6">
        <f t="shared" si="6"/>
        <v>224780.58999999997</v>
      </c>
      <c r="L57">
        <f>Data[[#This Row],[Net Revenue]]/Data[[#This Row],[Units]]</f>
        <v>1.1149388417126302</v>
      </c>
    </row>
    <row r="58" spans="1:13" x14ac:dyDescent="0.15">
      <c r="A58" s="3" t="s">
        <v>80</v>
      </c>
      <c r="B58" s="3" t="s">
        <v>81</v>
      </c>
      <c r="C58">
        <v>1</v>
      </c>
      <c r="D58" s="3" t="s">
        <v>12</v>
      </c>
      <c r="E58">
        <v>128</v>
      </c>
      <c r="F58">
        <v>1</v>
      </c>
      <c r="G58" t="s">
        <v>20</v>
      </c>
      <c r="H58" s="2">
        <v>281164.25</v>
      </c>
      <c r="I58" s="2">
        <v>137978.46</v>
      </c>
      <c r="J58">
        <v>120350</v>
      </c>
      <c r="K58" s="6">
        <f t="shared" si="6"/>
        <v>143185.79</v>
      </c>
      <c r="L58">
        <f>Data[[#This Row],[Net Revenue]]/Data[[#This Row],[Units]]</f>
        <v>1.189744827586207</v>
      </c>
    </row>
    <row r="61" spans="1:13" x14ac:dyDescent="0.15">
      <c r="C61" s="7"/>
      <c r="E61" s="8"/>
      <c r="F61" s="8"/>
    </row>
    <row r="62" spans="1:13" x14ac:dyDescent="0.15">
      <c r="B62" s="7"/>
      <c r="C62" s="7"/>
      <c r="E62" s="8"/>
      <c r="F62" s="8"/>
    </row>
    <row r="63" spans="1:13" x14ac:dyDescent="0.15">
      <c r="B63" s="7"/>
      <c r="C63" s="7"/>
      <c r="E63" s="8"/>
      <c r="F63" s="8"/>
    </row>
    <row r="64" spans="1:13" x14ac:dyDescent="0.15">
      <c r="B64" s="7"/>
      <c r="C64" s="7"/>
      <c r="E64" s="8"/>
      <c r="F64" s="8"/>
    </row>
    <row r="65" spans="2:6" x14ac:dyDescent="0.15">
      <c r="B65" s="7"/>
      <c r="C65" s="7"/>
      <c r="E65" s="8"/>
      <c r="F65" s="8"/>
    </row>
  </sheetData>
  <autoFilter ref="R8:R26" xr:uid="{182822AC-CF91-4653-A10A-51AFCDB20BBC}"/>
  <conditionalFormatting sqref="A9:A58">
    <cfRule type="expression" dxfId="1" priority="2">
      <formula>G9="Inactive"</formula>
    </cfRule>
  </conditionalFormatting>
  <conditionalFormatting sqref="K10:L5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{91FBC9A7-57CA-4D04-A421-23409438F1A0}</x14:id>
        </ext>
      </extLst>
    </cfRule>
  </conditionalFormatting>
  <pageMargins left="0.7" right="0.7" top="0.75" bottom="0.75" header="0.3" footer="0.3"/>
  <pageSetup orientation="portrait" horizontalDpi="4294967295" verticalDpi="4294967295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FBC9A7-57CA-4D04-A421-23409438F1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K10:L58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C491-A7CB-4C57-8338-D865C9106444}">
  <dimension ref="A1:AK65"/>
  <sheetViews>
    <sheetView topLeftCell="K3" zoomScale="122" zoomScaleNormal="110" workbookViewId="0">
      <selection activeCell="L24" sqref="L24"/>
    </sheetView>
  </sheetViews>
  <sheetFormatPr baseColWidth="10" defaultColWidth="16.33203125" defaultRowHeight="13" x14ac:dyDescent="0.15"/>
  <cols>
    <col min="1" max="1" width="25.33203125" customWidth="1"/>
    <col min="2" max="2" width="14" customWidth="1"/>
    <col min="3" max="3" width="10.33203125" bestFit="1" customWidth="1"/>
    <col min="4" max="4" width="12.1640625" customWidth="1"/>
    <col min="5" max="5" width="8.83203125" customWidth="1"/>
    <col min="6" max="6" width="12.6640625" customWidth="1"/>
    <col min="7" max="7" width="8.33203125" bestFit="1" customWidth="1"/>
    <col min="8" max="8" width="12.33203125" style="2" customWidth="1"/>
    <col min="9" max="9" width="11" style="2" customWidth="1"/>
    <col min="10" max="10" width="13.1640625" customWidth="1"/>
    <col min="11" max="12" width="28.6640625" customWidth="1"/>
    <col min="13" max="13" width="16.83203125" customWidth="1"/>
    <col min="16" max="16" width="17" bestFit="1" customWidth="1"/>
    <col min="17" max="17" width="18" customWidth="1"/>
    <col min="20" max="20" width="20.83203125" customWidth="1"/>
    <col min="21" max="37" width="11.6640625" customWidth="1"/>
  </cols>
  <sheetData>
    <row r="1" spans="1:37" x14ac:dyDescent="0.15">
      <c r="T1" t="s">
        <v>114</v>
      </c>
    </row>
    <row r="2" spans="1:37" ht="74" x14ac:dyDescent="0.15">
      <c r="G2" t="s">
        <v>97</v>
      </c>
      <c r="H2" s="27">
        <f>MAX(H9:H58)</f>
        <v>1107428.77</v>
      </c>
      <c r="I2" s="2">
        <f t="shared" ref="I2:K2" si="0">MAX(I9:I58)</f>
        <v>557768.15</v>
      </c>
      <c r="J2" s="11">
        <f t="shared" si="0"/>
        <v>311767</v>
      </c>
      <c r="K2" s="2">
        <f t="shared" si="0"/>
        <v>549660.62</v>
      </c>
      <c r="L2" s="2"/>
      <c r="O2" t="s">
        <v>1</v>
      </c>
      <c r="P2" s="3" t="s">
        <v>109</v>
      </c>
      <c r="T2" s="1" t="s">
        <v>1</v>
      </c>
      <c r="U2" s="28" t="s">
        <v>36</v>
      </c>
      <c r="V2" s="28" t="s">
        <v>58</v>
      </c>
      <c r="W2" s="28" t="s">
        <v>53</v>
      </c>
      <c r="X2" s="28" t="s">
        <v>12</v>
      </c>
      <c r="Y2" s="28" t="s">
        <v>42</v>
      </c>
      <c r="Z2" s="28" t="s">
        <v>76</v>
      </c>
      <c r="AA2" s="28" t="s">
        <v>73</v>
      </c>
      <c r="AB2" s="28" t="s">
        <v>67</v>
      </c>
      <c r="AC2" s="28" t="s">
        <v>39</v>
      </c>
      <c r="AD2" s="28" t="s">
        <v>28</v>
      </c>
      <c r="AE2" s="28" t="s">
        <v>30</v>
      </c>
      <c r="AF2" s="28" t="s">
        <v>50</v>
      </c>
      <c r="AG2" s="28" t="s">
        <v>48</v>
      </c>
      <c r="AH2" s="28" t="s">
        <v>19</v>
      </c>
      <c r="AI2" s="28" t="s">
        <v>23</v>
      </c>
      <c r="AJ2" s="28" t="s">
        <v>69</v>
      </c>
      <c r="AK2" s="28" t="s">
        <v>16</v>
      </c>
    </row>
    <row r="3" spans="1:37" x14ac:dyDescent="0.15">
      <c r="G3" t="s">
        <v>98</v>
      </c>
      <c r="H3" s="27">
        <f>MIN(H9:H58)</f>
        <v>36.909999999999997</v>
      </c>
      <c r="I3" s="2">
        <f t="shared" ref="I3:K3" si="1">MIN(I9:I58)</f>
        <v>18.149999999999999</v>
      </c>
      <c r="J3" s="11">
        <f t="shared" si="1"/>
        <v>15</v>
      </c>
      <c r="K3" s="2">
        <f t="shared" si="1"/>
        <v>18.759999999999998</v>
      </c>
      <c r="L3" s="2"/>
      <c r="O3" t="s">
        <v>2</v>
      </c>
      <c r="P3" t="s">
        <v>110</v>
      </c>
      <c r="T3" t="s">
        <v>35</v>
      </c>
      <c r="U3" s="29">
        <f>IFERROR(AVERAGEIFS(Data4[Sales],Data4[Brand],$T3,Data4[Flavor],U$2),"")</f>
        <v>1175.32</v>
      </c>
      <c r="V3" s="29" t="str">
        <f>IFERROR(AVERAGEIFS(Data4[Sales],Data4[Brand],$T3,Data4[Flavor],V$2),"")</f>
        <v/>
      </c>
      <c r="W3" s="29" t="str">
        <f>IFERROR(AVERAGEIFS(Data4[Sales],Data4[Brand],$T3,Data4[Flavor],W$2),"")</f>
        <v/>
      </c>
      <c r="X3" s="29" t="str">
        <f>IFERROR(AVERAGEIFS(Data4[Sales],Data4[Brand],$T3,Data4[Flavor],X$2),"")</f>
        <v/>
      </c>
      <c r="Y3" s="29" t="str">
        <f>IFERROR(AVERAGEIFS(Data4[Sales],Data4[Brand],$T3,Data4[Flavor],Y$2),"")</f>
        <v/>
      </c>
      <c r="Z3" s="29" t="str">
        <f>IFERROR(AVERAGEIFS(Data4[Sales],Data4[Brand],$T3,Data4[Flavor],Z$2),"")</f>
        <v/>
      </c>
      <c r="AA3" s="29" t="str">
        <f>IFERROR(AVERAGEIFS(Data4[Sales],Data4[Brand],$T3,Data4[Flavor],AA$2),"")</f>
        <v/>
      </c>
      <c r="AB3" s="29" t="str">
        <f>IFERROR(AVERAGEIFS(Data4[Sales],Data4[Brand],$T3,Data4[Flavor],AB$2),"")</f>
        <v/>
      </c>
      <c r="AC3" s="29" t="str">
        <f>IFERROR(AVERAGEIFS(Data4[Sales],Data4[Brand],$T3,Data4[Flavor],AC$2),"")</f>
        <v/>
      </c>
      <c r="AD3" s="29" t="str">
        <f>IFERROR(AVERAGEIFS(Data4[Sales],Data4[Brand],$T3,Data4[Flavor],AD$2),"")</f>
        <v/>
      </c>
      <c r="AE3" s="29" t="str">
        <f>IFERROR(AVERAGEIFS(Data4[Sales],Data4[Brand],$T3,Data4[Flavor],AE$2),"")</f>
        <v/>
      </c>
      <c r="AF3" s="29" t="str">
        <f>IFERROR(AVERAGEIFS(Data4[Sales],Data4[Brand],$T3,Data4[Flavor],AF$2),"")</f>
        <v/>
      </c>
      <c r="AG3" s="29" t="str">
        <f>IFERROR(AVERAGEIFS(Data4[Sales],Data4[Brand],$T3,Data4[Flavor],AG$2),"")</f>
        <v/>
      </c>
      <c r="AH3" s="29" t="str">
        <f>IFERROR(AVERAGEIFS(Data4[Sales],Data4[Brand],$T3,Data4[Flavor],AH$2),"")</f>
        <v/>
      </c>
      <c r="AI3" s="29" t="str">
        <f>IFERROR(AVERAGEIFS(Data4[Sales],Data4[Brand],$T3,Data4[Flavor],AI$2),"")</f>
        <v/>
      </c>
      <c r="AJ3" s="29" t="str">
        <f>IFERROR(AVERAGEIFS(Data4[Sales],Data4[Brand],$T3,Data4[Flavor],AJ$2),"")</f>
        <v/>
      </c>
      <c r="AK3" s="29" t="str">
        <f>IFERROR(AVERAGEIFS(Data4[Sales],Data4[Brand],$T3,Data4[Flavor],AK$2),"")</f>
        <v/>
      </c>
    </row>
    <row r="4" spans="1:37" ht="14" thickBot="1" x14ac:dyDescent="0.2">
      <c r="G4" t="s">
        <v>99</v>
      </c>
      <c r="H4" s="27">
        <f>AVERAGE(H9:H58)</f>
        <v>194920.67480000001</v>
      </c>
      <c r="I4" s="2">
        <f t="shared" ref="I4:K4" si="2">AVERAGE(I9:I58)</f>
        <v>97319.782599999991</v>
      </c>
      <c r="J4" s="11">
        <f t="shared" si="2"/>
        <v>80386.399999999994</v>
      </c>
      <c r="K4" s="2">
        <f t="shared" si="2"/>
        <v>97600.892199999973</v>
      </c>
      <c r="L4" s="2"/>
      <c r="T4" t="s">
        <v>15</v>
      </c>
      <c r="U4" s="29" t="str">
        <f>IFERROR(AVERAGEIFS(Data4[Sales],Data4[Brand],$T4,Data4[Flavor],U$2),"")</f>
        <v/>
      </c>
      <c r="V4" s="29" t="str">
        <f>IFERROR(AVERAGEIFS(Data4[Sales],Data4[Brand],$T4,Data4[Flavor],V$2),"")</f>
        <v/>
      </c>
      <c r="W4" s="29" t="str">
        <f>IFERROR(AVERAGEIFS(Data4[Sales],Data4[Brand],$T4,Data4[Flavor],W$2),"")</f>
        <v/>
      </c>
      <c r="X4" s="29" t="str">
        <f>IFERROR(AVERAGEIFS(Data4[Sales],Data4[Brand],$T4,Data4[Flavor],X$2),"")</f>
        <v/>
      </c>
      <c r="Y4" s="29" t="str">
        <f>IFERROR(AVERAGEIFS(Data4[Sales],Data4[Brand],$T4,Data4[Flavor],Y$2),"")</f>
        <v/>
      </c>
      <c r="Z4" s="29" t="str">
        <f>IFERROR(AVERAGEIFS(Data4[Sales],Data4[Brand],$T4,Data4[Flavor],Z$2),"")</f>
        <v/>
      </c>
      <c r="AA4" s="29" t="str">
        <f>IFERROR(AVERAGEIFS(Data4[Sales],Data4[Brand],$T4,Data4[Flavor],AA$2),"")</f>
        <v/>
      </c>
      <c r="AB4" s="29" t="str">
        <f>IFERROR(AVERAGEIFS(Data4[Sales],Data4[Brand],$T4,Data4[Flavor],AB$2),"")</f>
        <v/>
      </c>
      <c r="AC4" s="29" t="str">
        <f>IFERROR(AVERAGEIFS(Data4[Sales],Data4[Brand],$T4,Data4[Flavor],AC$2),"")</f>
        <v/>
      </c>
      <c r="AD4" s="29" t="str">
        <f>IFERROR(AVERAGEIFS(Data4[Sales],Data4[Brand],$T4,Data4[Flavor],AD$2),"")</f>
        <v/>
      </c>
      <c r="AE4" s="29" t="str">
        <f>IFERROR(AVERAGEIFS(Data4[Sales],Data4[Brand],$T4,Data4[Flavor],AE$2),"")</f>
        <v/>
      </c>
      <c r="AF4" s="29" t="str">
        <f>IFERROR(AVERAGEIFS(Data4[Sales],Data4[Brand],$T4,Data4[Flavor],AF$2),"")</f>
        <v/>
      </c>
      <c r="AG4" s="29" t="str">
        <f>IFERROR(AVERAGEIFS(Data4[Sales],Data4[Brand],$T4,Data4[Flavor],AG$2),"")</f>
        <v/>
      </c>
      <c r="AH4" s="29" t="str">
        <f>IFERROR(AVERAGEIFS(Data4[Sales],Data4[Brand],$T4,Data4[Flavor],AH$2),"")</f>
        <v/>
      </c>
      <c r="AI4" s="29" t="str">
        <f>IFERROR(AVERAGEIFS(Data4[Sales],Data4[Brand],$T4,Data4[Flavor],AI$2),"")</f>
        <v/>
      </c>
      <c r="AJ4" s="29" t="str">
        <f>IFERROR(AVERAGEIFS(Data4[Sales],Data4[Brand],$T4,Data4[Flavor],AJ$2),"")</f>
        <v/>
      </c>
      <c r="AK4" s="29">
        <f>IFERROR(AVERAGEIFS(Data4[Sales],Data4[Brand],$T4,Data4[Flavor],AK$2),"")</f>
        <v>91.78</v>
      </c>
    </row>
    <row r="5" spans="1:37" ht="14" thickBot="1" x14ac:dyDescent="0.2">
      <c r="A5">
        <f>COUNTA(A9:A58)</f>
        <v>50</v>
      </c>
      <c r="G5" t="s">
        <v>100</v>
      </c>
      <c r="H5" s="27">
        <f>SUM(H9:H58)</f>
        <v>9746033.7400000002</v>
      </c>
      <c r="I5" s="2">
        <f t="shared" ref="I5:K5" si="3">SUM(I9:I58)</f>
        <v>4865989.13</v>
      </c>
      <c r="J5" s="11">
        <f t="shared" si="3"/>
        <v>4019320</v>
      </c>
      <c r="K5" s="2">
        <f t="shared" si="3"/>
        <v>4880044.6099999985</v>
      </c>
      <c r="L5" s="2"/>
      <c r="O5" s="24" t="s">
        <v>7</v>
      </c>
      <c r="P5" s="25">
        <f>SUMIFS(H9:H58,B9:B58,Brand,E9:E58,P3)</f>
        <v>6148983.8300000001</v>
      </c>
      <c r="Q5" t="str">
        <f ca="1">_xlfn.FORMULATEXT(P5)</f>
        <v>=SUMIFS(H9:H58,B9:B58,Brand,E9:E58,P3)</v>
      </c>
      <c r="T5" t="s">
        <v>45</v>
      </c>
      <c r="U5" s="29" t="str">
        <f>IFERROR(AVERAGEIFS(Data4[Sales],Data4[Brand],$T5,Data4[Flavor],U$2),"")</f>
        <v/>
      </c>
      <c r="V5" s="29">
        <f>IFERROR(AVERAGEIFS(Data4[Sales],Data4[Brand],$T5,Data4[Flavor],V$2),"")</f>
        <v>166890.54999999999</v>
      </c>
      <c r="W5" s="29">
        <f>IFERROR(AVERAGEIFS(Data4[Sales],Data4[Brand],$T5,Data4[Flavor],W$2),"")</f>
        <v>21091.39</v>
      </c>
      <c r="X5" s="29">
        <f>IFERROR(AVERAGEIFS(Data4[Sales],Data4[Brand],$T5,Data4[Flavor],X$2),"")</f>
        <v>2926.62</v>
      </c>
      <c r="Y5" s="29" t="str">
        <f>IFERROR(AVERAGEIFS(Data4[Sales],Data4[Brand],$T5,Data4[Flavor],Y$2),"")</f>
        <v/>
      </c>
      <c r="Z5" s="29" t="str">
        <f>IFERROR(AVERAGEIFS(Data4[Sales],Data4[Brand],$T5,Data4[Flavor],Z$2),"")</f>
        <v/>
      </c>
      <c r="AA5" s="29" t="str">
        <f>IFERROR(AVERAGEIFS(Data4[Sales],Data4[Brand],$T5,Data4[Flavor],AA$2),"")</f>
        <v/>
      </c>
      <c r="AB5" s="29" t="str">
        <f>IFERROR(AVERAGEIFS(Data4[Sales],Data4[Brand],$T5,Data4[Flavor],AB$2),"")</f>
        <v/>
      </c>
      <c r="AC5" s="29" t="str">
        <f>IFERROR(AVERAGEIFS(Data4[Sales],Data4[Brand],$T5,Data4[Flavor],AC$2),"")</f>
        <v/>
      </c>
      <c r="AD5" s="29" t="str">
        <f>IFERROR(AVERAGEIFS(Data4[Sales],Data4[Brand],$T5,Data4[Flavor],AD$2),"")</f>
        <v/>
      </c>
      <c r="AE5" s="29" t="str">
        <f>IFERROR(AVERAGEIFS(Data4[Sales],Data4[Brand],$T5,Data4[Flavor],AE$2),"")</f>
        <v/>
      </c>
      <c r="AF5" s="29" t="str">
        <f>IFERROR(AVERAGEIFS(Data4[Sales],Data4[Brand],$T5,Data4[Flavor],AF$2),"")</f>
        <v/>
      </c>
      <c r="AG5" s="29" t="str">
        <f>IFERROR(AVERAGEIFS(Data4[Sales],Data4[Brand],$T5,Data4[Flavor],AG$2),"")</f>
        <v/>
      </c>
      <c r="AH5" s="29" t="str">
        <f>IFERROR(AVERAGEIFS(Data4[Sales],Data4[Brand],$T5,Data4[Flavor],AH$2),"")</f>
        <v/>
      </c>
      <c r="AI5" s="29" t="str">
        <f>IFERROR(AVERAGEIFS(Data4[Sales],Data4[Brand],$T5,Data4[Flavor],AI$2),"")</f>
        <v/>
      </c>
      <c r="AJ5" s="29" t="str">
        <f>IFERROR(AVERAGEIFS(Data4[Sales],Data4[Brand],$T5,Data4[Flavor],AJ$2),"")</f>
        <v/>
      </c>
      <c r="AK5" s="29" t="str">
        <f>IFERROR(AVERAGEIFS(Data4[Sales],Data4[Brand],$T5,Data4[Flavor],AK$2),"")</f>
        <v/>
      </c>
    </row>
    <row r="6" spans="1:37" x14ac:dyDescent="0.15">
      <c r="F6" s="14"/>
      <c r="G6" s="12" t="s">
        <v>108</v>
      </c>
      <c r="H6" s="26">
        <f>SUBTOTAL(1,H9:H58)</f>
        <v>194920.67480000001</v>
      </c>
      <c r="T6" t="s">
        <v>22</v>
      </c>
      <c r="U6" s="29">
        <f>IFERROR(AVERAGEIFS(Data4[Sales],Data4[Brand],$T6,Data4[Flavor],U$2),"")</f>
        <v>272320.01</v>
      </c>
      <c r="V6" s="29" t="str">
        <f>IFERROR(AVERAGEIFS(Data4[Sales],Data4[Brand],$T6,Data4[Flavor],V$2),"")</f>
        <v/>
      </c>
      <c r="W6" s="29">
        <f>IFERROR(AVERAGEIFS(Data4[Sales],Data4[Brand],$T6,Data4[Flavor],W$2),"")</f>
        <v>63960.05</v>
      </c>
      <c r="X6" s="29" t="str">
        <f>IFERROR(AVERAGEIFS(Data4[Sales],Data4[Brand],$T6,Data4[Flavor],X$2),"")</f>
        <v/>
      </c>
      <c r="Y6" s="29">
        <f>IFERROR(AVERAGEIFS(Data4[Sales],Data4[Brand],$T6,Data4[Flavor],Y$2),"")</f>
        <v>43190.559999999998</v>
      </c>
      <c r="Z6" s="29" t="str">
        <f>IFERROR(AVERAGEIFS(Data4[Sales],Data4[Brand],$T6,Data4[Flavor],Z$2),"")</f>
        <v/>
      </c>
      <c r="AA6" s="29" t="str">
        <f>IFERROR(AVERAGEIFS(Data4[Sales],Data4[Brand],$T6,Data4[Flavor],AA$2),"")</f>
        <v/>
      </c>
      <c r="AB6" s="29" t="str">
        <f>IFERROR(AVERAGEIFS(Data4[Sales],Data4[Brand],$T6,Data4[Flavor],AB$2),"")</f>
        <v/>
      </c>
      <c r="AC6" s="29" t="str">
        <f>IFERROR(AVERAGEIFS(Data4[Sales],Data4[Brand],$T6,Data4[Flavor],AC$2),"")</f>
        <v/>
      </c>
      <c r="AD6" s="29" t="str">
        <f>IFERROR(AVERAGEIFS(Data4[Sales],Data4[Brand],$T6,Data4[Flavor],AD$2),"")</f>
        <v/>
      </c>
      <c r="AE6" s="29" t="str">
        <f>IFERROR(AVERAGEIFS(Data4[Sales],Data4[Brand],$T6,Data4[Flavor],AE$2),"")</f>
        <v/>
      </c>
      <c r="AF6" s="29" t="str">
        <f>IFERROR(AVERAGEIFS(Data4[Sales],Data4[Brand],$T6,Data4[Flavor],AF$2),"")</f>
        <v/>
      </c>
      <c r="AG6" s="29" t="str">
        <f>IFERROR(AVERAGEIFS(Data4[Sales],Data4[Brand],$T6,Data4[Flavor],AG$2),"")</f>
        <v/>
      </c>
      <c r="AH6" s="29" t="str">
        <f>IFERROR(AVERAGEIFS(Data4[Sales],Data4[Brand],$T6,Data4[Flavor],AH$2),"")</f>
        <v/>
      </c>
      <c r="AI6" s="29">
        <f>IFERROR(AVERAGEIFS(Data4[Sales],Data4[Brand],$T6,Data4[Flavor],AI$2),"")</f>
        <v>1078.73</v>
      </c>
      <c r="AJ6" s="29" t="str">
        <f>IFERROR(AVERAGEIFS(Data4[Sales],Data4[Brand],$T6,Data4[Flavor],AJ$2),"")</f>
        <v/>
      </c>
      <c r="AK6" s="29" t="str">
        <f>IFERROR(AVERAGEIFS(Data4[Sales],Data4[Brand],$T6,Data4[Flavor],AK$2),"")</f>
        <v/>
      </c>
    </row>
    <row r="7" spans="1:37" x14ac:dyDescent="0.15">
      <c r="F7" s="14"/>
      <c r="G7" s="12"/>
      <c r="H7" s="26"/>
      <c r="N7" s="1" t="s">
        <v>113</v>
      </c>
      <c r="T7" t="s">
        <v>33</v>
      </c>
      <c r="U7" s="29" t="str">
        <f>IFERROR(AVERAGEIFS(Data4[Sales],Data4[Brand],$T7,Data4[Flavor],U$2),"")</f>
        <v/>
      </c>
      <c r="V7" s="29" t="str">
        <f>IFERROR(AVERAGEIFS(Data4[Sales],Data4[Brand],$T7,Data4[Flavor],V$2),"")</f>
        <v/>
      </c>
      <c r="W7" s="29" t="str">
        <f>IFERROR(AVERAGEIFS(Data4[Sales],Data4[Brand],$T7,Data4[Flavor],W$2),"")</f>
        <v/>
      </c>
      <c r="X7" s="29" t="str">
        <f>IFERROR(AVERAGEIFS(Data4[Sales],Data4[Brand],$T7,Data4[Flavor],X$2),"")</f>
        <v/>
      </c>
      <c r="Y7" s="29" t="str">
        <f>IFERROR(AVERAGEIFS(Data4[Sales],Data4[Brand],$T7,Data4[Flavor],Y$2),"")</f>
        <v/>
      </c>
      <c r="Z7" s="29" t="str">
        <f>IFERROR(AVERAGEIFS(Data4[Sales],Data4[Brand],$T7,Data4[Flavor],Z$2),"")</f>
        <v/>
      </c>
      <c r="AA7" s="29" t="str">
        <f>IFERROR(AVERAGEIFS(Data4[Sales],Data4[Brand],$T7,Data4[Flavor],AA$2),"")</f>
        <v/>
      </c>
      <c r="AB7" s="29" t="str">
        <f>IFERROR(AVERAGEIFS(Data4[Sales],Data4[Brand],$T7,Data4[Flavor],AB$2),"")</f>
        <v/>
      </c>
      <c r="AC7" s="29" t="str">
        <f>IFERROR(AVERAGEIFS(Data4[Sales],Data4[Brand],$T7,Data4[Flavor],AC$2),"")</f>
        <v/>
      </c>
      <c r="AD7" s="29" t="str">
        <f>IFERROR(AVERAGEIFS(Data4[Sales],Data4[Brand],$T7,Data4[Flavor],AD$2),"")</f>
        <v/>
      </c>
      <c r="AE7" s="29">
        <f>IFERROR(AVERAGEIFS(Data4[Sales],Data4[Brand],$T7,Data4[Flavor],AE$2),"")</f>
        <v>1138.81</v>
      </c>
      <c r="AF7" s="29" t="str">
        <f>IFERROR(AVERAGEIFS(Data4[Sales],Data4[Brand],$T7,Data4[Flavor],AF$2),"")</f>
        <v/>
      </c>
      <c r="AG7" s="29" t="str">
        <f>IFERROR(AVERAGEIFS(Data4[Sales],Data4[Brand],$T7,Data4[Flavor],AG$2),"")</f>
        <v/>
      </c>
      <c r="AH7" s="29" t="str">
        <f>IFERROR(AVERAGEIFS(Data4[Sales],Data4[Brand],$T7,Data4[Flavor],AH$2),"")</f>
        <v/>
      </c>
      <c r="AI7" s="29" t="str">
        <f>IFERROR(AVERAGEIFS(Data4[Sales],Data4[Brand],$T7,Data4[Flavor],AI$2),"")</f>
        <v/>
      </c>
      <c r="AJ7" s="29" t="str">
        <f>IFERROR(AVERAGEIFS(Data4[Sales],Data4[Brand],$T7,Data4[Flavor],AJ$2),"")</f>
        <v/>
      </c>
      <c r="AK7" s="29" t="str">
        <f>IFERROR(AVERAGEIFS(Data4[Sales],Data4[Brand],$T7,Data4[Flavor],AK$2),"")</f>
        <v/>
      </c>
    </row>
    <row r="8" spans="1:37" ht="14" thickBot="1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0" t="s">
        <v>7</v>
      </c>
      <c r="I8" s="10" t="s">
        <v>8</v>
      </c>
      <c r="J8" s="1" t="s">
        <v>9</v>
      </c>
      <c r="K8" s="1" t="s">
        <v>96</v>
      </c>
      <c r="L8" s="1" t="s">
        <v>107</v>
      </c>
      <c r="N8" s="1" t="s">
        <v>1</v>
      </c>
      <c r="O8" s="1" t="s">
        <v>7</v>
      </c>
      <c r="P8" s="1" t="s">
        <v>111</v>
      </c>
      <c r="R8" t="str" cm="1">
        <f t="array" ref="R8:R24">_xlfn.UNIQUE(Data4[Flavor])</f>
        <v>Pineapple</v>
      </c>
      <c r="T8" t="s">
        <v>47</v>
      </c>
      <c r="U8" s="29" t="str">
        <f>IFERROR(AVERAGEIFS(Data4[Sales],Data4[Brand],$T8,Data4[Flavor],U$2),"")</f>
        <v/>
      </c>
      <c r="V8" s="29">
        <f>IFERROR(AVERAGEIFS(Data4[Sales],Data4[Brand],$T8,Data4[Flavor],V$2),"")</f>
        <v>290072.40500000003</v>
      </c>
      <c r="W8" s="29" t="str">
        <f>IFERROR(AVERAGEIFS(Data4[Sales],Data4[Brand],$T8,Data4[Flavor],W$2),"")</f>
        <v/>
      </c>
      <c r="X8" s="29" t="str">
        <f>IFERROR(AVERAGEIFS(Data4[Sales],Data4[Brand],$T8,Data4[Flavor],X$2),"")</f>
        <v/>
      </c>
      <c r="Y8" s="29">
        <f>IFERROR(AVERAGEIFS(Data4[Sales],Data4[Brand],$T8,Data4[Flavor],Y$2),"")</f>
        <v>342292.4</v>
      </c>
      <c r="Z8" s="29" t="str">
        <f>IFERROR(AVERAGEIFS(Data4[Sales],Data4[Brand],$T8,Data4[Flavor],Z$2),"")</f>
        <v/>
      </c>
      <c r="AA8" s="29" t="str">
        <f>IFERROR(AVERAGEIFS(Data4[Sales],Data4[Brand],$T8,Data4[Flavor],AA$2),"")</f>
        <v/>
      </c>
      <c r="AB8" s="29" t="str">
        <f>IFERROR(AVERAGEIFS(Data4[Sales],Data4[Brand],$T8,Data4[Flavor],AB$2),"")</f>
        <v/>
      </c>
      <c r="AC8" s="29" t="str">
        <f>IFERROR(AVERAGEIFS(Data4[Sales],Data4[Brand],$T8,Data4[Flavor],AC$2),"")</f>
        <v/>
      </c>
      <c r="AD8" s="29" t="str">
        <f>IFERROR(AVERAGEIFS(Data4[Sales],Data4[Brand],$T8,Data4[Flavor],AD$2),"")</f>
        <v/>
      </c>
      <c r="AE8" s="29" t="str">
        <f>IFERROR(AVERAGEIFS(Data4[Sales],Data4[Brand],$T8,Data4[Flavor],AE$2),"")</f>
        <v/>
      </c>
      <c r="AF8" s="29">
        <f>IFERROR(AVERAGEIFS(Data4[Sales],Data4[Brand],$T8,Data4[Flavor],AF$2),"")</f>
        <v>3233.89</v>
      </c>
      <c r="AG8" s="29">
        <f>IFERROR(AVERAGEIFS(Data4[Sales],Data4[Brand],$T8,Data4[Flavor],AG$2),"")</f>
        <v>3021.91</v>
      </c>
      <c r="AH8" s="29" t="str">
        <f>IFERROR(AVERAGEIFS(Data4[Sales],Data4[Brand],$T8,Data4[Flavor],AH$2),"")</f>
        <v/>
      </c>
      <c r="AI8" s="29" t="str">
        <f>IFERROR(AVERAGEIFS(Data4[Sales],Data4[Brand],$T8,Data4[Flavor],AI$2),"")</f>
        <v/>
      </c>
      <c r="AJ8" s="29" t="str">
        <f>IFERROR(AVERAGEIFS(Data4[Sales],Data4[Brand],$T8,Data4[Flavor],AJ$2),"")</f>
        <v/>
      </c>
      <c r="AK8" s="29" t="str">
        <f>IFERROR(AVERAGEIFS(Data4[Sales],Data4[Brand],$T8,Data4[Flavor],AK$2),"")</f>
        <v/>
      </c>
    </row>
    <row r="9" spans="1:37" ht="14" thickBot="1" x14ac:dyDescent="0.2">
      <c r="A9" s="3" t="s">
        <v>70</v>
      </c>
      <c r="B9" s="3" t="s">
        <v>22</v>
      </c>
      <c r="C9">
        <v>6</v>
      </c>
      <c r="D9" s="3" t="s">
        <v>36</v>
      </c>
      <c r="E9">
        <v>6</v>
      </c>
      <c r="F9">
        <v>1</v>
      </c>
      <c r="G9" t="s">
        <v>31</v>
      </c>
      <c r="H9" s="2">
        <v>144690.89000000001</v>
      </c>
      <c r="I9" s="2">
        <v>68767.259999999995</v>
      </c>
      <c r="J9">
        <v>59869</v>
      </c>
      <c r="K9" s="6">
        <f>H9-I9</f>
        <v>75923.630000000019</v>
      </c>
      <c r="L9">
        <f>Data4[[#This Row],[Net Revenue]]/Data4[[#This Row],[Units]]</f>
        <v>1.2681626551303682</v>
      </c>
      <c r="M9" s="6"/>
      <c r="N9" t="s">
        <v>35</v>
      </c>
      <c r="O9" s="25">
        <f t="shared" ref="O9:O26" si="4">SUMIFS($H$9:$H$58,$B$9:$B$58,N9)</f>
        <v>1175.32</v>
      </c>
      <c r="P9">
        <f t="shared" ref="P9:P26" si="5">COUNTIFS($B$9:$B$58,N9)</f>
        <v>1</v>
      </c>
      <c r="R9" t="str">
        <v>Apple</v>
      </c>
      <c r="T9" t="s">
        <v>81</v>
      </c>
      <c r="U9" s="29" t="str">
        <f>IFERROR(AVERAGEIFS(Data4[Sales],Data4[Brand],$T9,Data4[Flavor],U$2),"")</f>
        <v/>
      </c>
      <c r="V9" s="29" t="str">
        <f>IFERROR(AVERAGEIFS(Data4[Sales],Data4[Brand],$T9,Data4[Flavor],V$2),"")</f>
        <v/>
      </c>
      <c r="W9" s="29" t="str">
        <f>IFERROR(AVERAGEIFS(Data4[Sales],Data4[Brand],$T9,Data4[Flavor],W$2),"")</f>
        <v/>
      </c>
      <c r="X9" s="29">
        <f>IFERROR(AVERAGEIFS(Data4[Sales],Data4[Brand],$T9,Data4[Flavor],X$2),"")</f>
        <v>281164.25</v>
      </c>
      <c r="Y9" s="29" t="str">
        <f>IFERROR(AVERAGEIFS(Data4[Sales],Data4[Brand],$T9,Data4[Flavor],Y$2),"")</f>
        <v/>
      </c>
      <c r="Z9" s="29" t="str">
        <f>IFERROR(AVERAGEIFS(Data4[Sales],Data4[Brand],$T9,Data4[Flavor],Z$2),"")</f>
        <v/>
      </c>
      <c r="AA9" s="29" t="str">
        <f>IFERROR(AVERAGEIFS(Data4[Sales],Data4[Brand],$T9,Data4[Flavor],AA$2),"")</f>
        <v/>
      </c>
      <c r="AB9" s="29" t="str">
        <f>IFERROR(AVERAGEIFS(Data4[Sales],Data4[Brand],$T9,Data4[Flavor],AB$2),"")</f>
        <v/>
      </c>
      <c r="AC9" s="29" t="str">
        <f>IFERROR(AVERAGEIFS(Data4[Sales],Data4[Brand],$T9,Data4[Flavor],AC$2),"")</f>
        <v/>
      </c>
      <c r="AD9" s="29" t="str">
        <f>IFERROR(AVERAGEIFS(Data4[Sales],Data4[Brand],$T9,Data4[Flavor],AD$2),"")</f>
        <v/>
      </c>
      <c r="AE9" s="29" t="str">
        <f>IFERROR(AVERAGEIFS(Data4[Sales],Data4[Brand],$T9,Data4[Flavor],AE$2),"")</f>
        <v/>
      </c>
      <c r="AF9" s="29" t="str">
        <f>IFERROR(AVERAGEIFS(Data4[Sales],Data4[Brand],$T9,Data4[Flavor],AF$2),"")</f>
        <v/>
      </c>
      <c r="AG9" s="29" t="str">
        <f>IFERROR(AVERAGEIFS(Data4[Sales],Data4[Brand],$T9,Data4[Flavor],AG$2),"")</f>
        <v/>
      </c>
      <c r="AH9" s="29" t="str">
        <f>IFERROR(AVERAGEIFS(Data4[Sales],Data4[Brand],$T9,Data4[Flavor],AH$2),"")</f>
        <v/>
      </c>
      <c r="AI9" s="29" t="str">
        <f>IFERROR(AVERAGEIFS(Data4[Sales],Data4[Brand],$T9,Data4[Flavor],AI$2),"")</f>
        <v/>
      </c>
      <c r="AJ9" s="29" t="str">
        <f>IFERROR(AVERAGEIFS(Data4[Sales],Data4[Brand],$T9,Data4[Flavor],AJ$2),"")</f>
        <v/>
      </c>
      <c r="AK9" s="29" t="str">
        <f>IFERROR(AVERAGEIFS(Data4[Sales],Data4[Brand],$T9,Data4[Flavor],AK$2),"")</f>
        <v/>
      </c>
    </row>
    <row r="10" spans="1:37" ht="14" thickBot="1" x14ac:dyDescent="0.2">
      <c r="A10" s="3" t="s">
        <v>74</v>
      </c>
      <c r="B10" s="3" t="s">
        <v>45</v>
      </c>
      <c r="C10">
        <v>6</v>
      </c>
      <c r="D10" s="3" t="s">
        <v>58</v>
      </c>
      <c r="E10">
        <v>6</v>
      </c>
      <c r="F10">
        <v>1</v>
      </c>
      <c r="G10" t="s">
        <v>20</v>
      </c>
      <c r="H10" s="2">
        <v>166890.54999999999</v>
      </c>
      <c r="I10" s="2">
        <v>97470.080000000002</v>
      </c>
      <c r="J10">
        <v>88211</v>
      </c>
      <c r="K10" s="6">
        <f t="shared" ref="K10:K58" si="6">H10-I10</f>
        <v>69420.469999999987</v>
      </c>
      <c r="L10">
        <f>Data4[[#This Row],[Net Revenue]]/Data4[[#This Row],[Units]]</f>
        <v>0.78698200904649063</v>
      </c>
      <c r="M10" s="6"/>
      <c r="N10" t="s">
        <v>15</v>
      </c>
      <c r="O10" s="25">
        <f t="shared" si="4"/>
        <v>91.78</v>
      </c>
      <c r="P10">
        <f t="shared" si="5"/>
        <v>1</v>
      </c>
      <c r="R10" t="str">
        <v>Strawberry Mix</v>
      </c>
      <c r="T10" t="s">
        <v>18</v>
      </c>
      <c r="U10" s="29" t="str">
        <f>IFERROR(AVERAGEIFS(Data4[Sales],Data4[Brand],$T10,Data4[Flavor],U$2),"")</f>
        <v/>
      </c>
      <c r="V10" s="29" t="str">
        <f>IFERROR(AVERAGEIFS(Data4[Sales],Data4[Brand],$T10,Data4[Flavor],V$2),"")</f>
        <v/>
      </c>
      <c r="W10" s="29" t="str">
        <f>IFERROR(AVERAGEIFS(Data4[Sales],Data4[Brand],$T10,Data4[Flavor],W$2),"")</f>
        <v/>
      </c>
      <c r="X10" s="29" t="str">
        <f>IFERROR(AVERAGEIFS(Data4[Sales],Data4[Brand],$T10,Data4[Flavor],X$2),"")</f>
        <v/>
      </c>
      <c r="Y10" s="29" t="str">
        <f>IFERROR(AVERAGEIFS(Data4[Sales],Data4[Brand],$T10,Data4[Flavor],Y$2),"")</f>
        <v/>
      </c>
      <c r="Z10" s="29" t="str">
        <f>IFERROR(AVERAGEIFS(Data4[Sales],Data4[Brand],$T10,Data4[Flavor],Z$2),"")</f>
        <v/>
      </c>
      <c r="AA10" s="29" t="str">
        <f>IFERROR(AVERAGEIFS(Data4[Sales],Data4[Brand],$T10,Data4[Flavor],AA$2),"")</f>
        <v/>
      </c>
      <c r="AB10" s="29" t="str">
        <f>IFERROR(AVERAGEIFS(Data4[Sales],Data4[Brand],$T10,Data4[Flavor],AB$2),"")</f>
        <v/>
      </c>
      <c r="AC10" s="29" t="str">
        <f>IFERROR(AVERAGEIFS(Data4[Sales],Data4[Brand],$T10,Data4[Flavor],AC$2),"")</f>
        <v/>
      </c>
      <c r="AD10" s="29" t="str">
        <f>IFERROR(AVERAGEIFS(Data4[Sales],Data4[Brand],$T10,Data4[Flavor],AD$2),"")</f>
        <v/>
      </c>
      <c r="AE10" s="29" t="str">
        <f>IFERROR(AVERAGEIFS(Data4[Sales],Data4[Brand],$T10,Data4[Flavor],AE$2),"")</f>
        <v/>
      </c>
      <c r="AF10" s="29" t="str">
        <f>IFERROR(AVERAGEIFS(Data4[Sales],Data4[Brand],$T10,Data4[Flavor],AF$2),"")</f>
        <v/>
      </c>
      <c r="AG10" s="29" t="str">
        <f>IFERROR(AVERAGEIFS(Data4[Sales],Data4[Brand],$T10,Data4[Flavor],AG$2),"")</f>
        <v/>
      </c>
      <c r="AH10" s="29">
        <f>IFERROR(AVERAGEIFS(Data4[Sales],Data4[Brand],$T10,Data4[Flavor],AH$2),"")</f>
        <v>402.26</v>
      </c>
      <c r="AI10" s="29" t="str">
        <f>IFERROR(AVERAGEIFS(Data4[Sales],Data4[Brand],$T10,Data4[Flavor],AI$2),"")</f>
        <v/>
      </c>
      <c r="AJ10" s="29" t="str">
        <f>IFERROR(AVERAGEIFS(Data4[Sales],Data4[Brand],$T10,Data4[Flavor],AJ$2),"")</f>
        <v/>
      </c>
      <c r="AK10" s="29" t="str">
        <f>IFERROR(AVERAGEIFS(Data4[Sales],Data4[Brand],$T10,Data4[Flavor],AK$2),"")</f>
        <v/>
      </c>
    </row>
    <row r="11" spans="1:37" ht="14" thickBot="1" x14ac:dyDescent="0.2">
      <c r="A11" s="3" t="s">
        <v>52</v>
      </c>
      <c r="B11" s="3" t="s">
        <v>45</v>
      </c>
      <c r="C11">
        <v>30</v>
      </c>
      <c r="D11" s="3" t="s">
        <v>53</v>
      </c>
      <c r="E11">
        <v>6</v>
      </c>
      <c r="F11">
        <v>1</v>
      </c>
      <c r="G11" t="s">
        <v>31</v>
      </c>
      <c r="H11" s="2">
        <v>21091.39</v>
      </c>
      <c r="I11" s="2">
        <v>12020.32</v>
      </c>
      <c r="J11">
        <v>12122</v>
      </c>
      <c r="K11" s="6">
        <f t="shared" si="6"/>
        <v>9071.07</v>
      </c>
      <c r="L11">
        <f>Data4[[#This Row],[Net Revenue]]/Data4[[#This Row],[Units]]</f>
        <v>0.74831463454875435</v>
      </c>
      <c r="M11" s="6"/>
      <c r="N11" t="s">
        <v>45</v>
      </c>
      <c r="O11" s="25">
        <f t="shared" si="4"/>
        <v>190908.56</v>
      </c>
      <c r="P11">
        <f t="shared" si="5"/>
        <v>3</v>
      </c>
      <c r="R11" t="str">
        <v>Punch</v>
      </c>
      <c r="T11" t="s">
        <v>38</v>
      </c>
      <c r="U11" s="29" t="str">
        <f>IFERROR(AVERAGEIFS(Data4[Sales],Data4[Brand],$T11,Data4[Flavor],U$2),"")</f>
        <v/>
      </c>
      <c r="V11" s="29" t="str">
        <f>IFERROR(AVERAGEIFS(Data4[Sales],Data4[Brand],$T11,Data4[Flavor],V$2),"")</f>
        <v/>
      </c>
      <c r="W11" s="29" t="str">
        <f>IFERROR(AVERAGEIFS(Data4[Sales],Data4[Brand],$T11,Data4[Flavor],W$2),"")</f>
        <v/>
      </c>
      <c r="X11" s="29" t="str">
        <f>IFERROR(AVERAGEIFS(Data4[Sales],Data4[Brand],$T11,Data4[Flavor],X$2),"")</f>
        <v/>
      </c>
      <c r="Y11" s="29" t="str">
        <f>IFERROR(AVERAGEIFS(Data4[Sales],Data4[Brand],$T11,Data4[Flavor],Y$2),"")</f>
        <v/>
      </c>
      <c r="Z11" s="29" t="str">
        <f>IFERROR(AVERAGEIFS(Data4[Sales],Data4[Brand],$T11,Data4[Flavor],Z$2),"")</f>
        <v/>
      </c>
      <c r="AA11" s="29" t="str">
        <f>IFERROR(AVERAGEIFS(Data4[Sales],Data4[Brand],$T11,Data4[Flavor],AA$2),"")</f>
        <v/>
      </c>
      <c r="AB11" s="29" t="str">
        <f>IFERROR(AVERAGEIFS(Data4[Sales],Data4[Brand],$T11,Data4[Flavor],AB$2),"")</f>
        <v/>
      </c>
      <c r="AC11" s="29">
        <f>IFERROR(AVERAGEIFS(Data4[Sales],Data4[Brand],$T11,Data4[Flavor],AC$2),"")</f>
        <v>2283.61</v>
      </c>
      <c r="AD11" s="29" t="str">
        <f>IFERROR(AVERAGEIFS(Data4[Sales],Data4[Brand],$T11,Data4[Flavor],AD$2),"")</f>
        <v/>
      </c>
      <c r="AE11" s="29" t="str">
        <f>IFERROR(AVERAGEIFS(Data4[Sales],Data4[Brand],$T11,Data4[Flavor],AE$2),"")</f>
        <v/>
      </c>
      <c r="AF11" s="29" t="str">
        <f>IFERROR(AVERAGEIFS(Data4[Sales],Data4[Brand],$T11,Data4[Flavor],AF$2),"")</f>
        <v/>
      </c>
      <c r="AG11" s="29" t="str">
        <f>IFERROR(AVERAGEIFS(Data4[Sales],Data4[Brand],$T11,Data4[Flavor],AG$2),"")</f>
        <v/>
      </c>
      <c r="AH11" s="29" t="str">
        <f>IFERROR(AVERAGEIFS(Data4[Sales],Data4[Brand],$T11,Data4[Flavor],AH$2),"")</f>
        <v/>
      </c>
      <c r="AI11" s="29" t="str">
        <f>IFERROR(AVERAGEIFS(Data4[Sales],Data4[Brand],$T11,Data4[Flavor],AI$2),"")</f>
        <v/>
      </c>
      <c r="AJ11" s="29" t="str">
        <f>IFERROR(AVERAGEIFS(Data4[Sales],Data4[Brand],$T11,Data4[Flavor],AJ$2),"")</f>
        <v/>
      </c>
      <c r="AK11" s="29" t="str">
        <f>IFERROR(AVERAGEIFS(Data4[Sales],Data4[Brand],$T11,Data4[Flavor],AK$2),"")</f>
        <v/>
      </c>
    </row>
    <row r="12" spans="1:37" ht="14" thickBot="1" x14ac:dyDescent="0.2">
      <c r="A12" s="3" t="s">
        <v>44</v>
      </c>
      <c r="B12" s="3" t="s">
        <v>45</v>
      </c>
      <c r="C12">
        <v>30</v>
      </c>
      <c r="D12" s="3" t="s">
        <v>12</v>
      </c>
      <c r="E12">
        <v>6</v>
      </c>
      <c r="F12">
        <v>1</v>
      </c>
      <c r="G12" t="s">
        <v>31</v>
      </c>
      <c r="H12" s="2">
        <v>2926.62</v>
      </c>
      <c r="I12" s="2">
        <v>1380.45</v>
      </c>
      <c r="J12">
        <v>1182</v>
      </c>
      <c r="K12" s="6">
        <f t="shared" si="6"/>
        <v>1546.1699999999998</v>
      </c>
      <c r="L12">
        <f>Data4[[#This Row],[Net Revenue]]/Data4[[#This Row],[Units]]</f>
        <v>1.3080964467005074</v>
      </c>
      <c r="M12" s="6"/>
      <c r="N12" t="s">
        <v>22</v>
      </c>
      <c r="O12" s="25">
        <f t="shared" si="4"/>
        <v>696059.92</v>
      </c>
      <c r="P12">
        <f t="shared" si="5"/>
        <v>6</v>
      </c>
      <c r="R12" t="str">
        <v>Orange</v>
      </c>
      <c r="T12" t="s">
        <v>11</v>
      </c>
      <c r="U12" s="29">
        <f>IFERROR(AVERAGEIFS(Data4[Sales],Data4[Brand],$T12,Data4[Flavor],U$2),"")</f>
        <v>2877.89</v>
      </c>
      <c r="V12" s="29" t="str">
        <f>IFERROR(AVERAGEIFS(Data4[Sales],Data4[Brand],$T12,Data4[Flavor],V$2),"")</f>
        <v/>
      </c>
      <c r="W12" s="29" t="str">
        <f>IFERROR(AVERAGEIFS(Data4[Sales],Data4[Brand],$T12,Data4[Flavor],W$2),"")</f>
        <v/>
      </c>
      <c r="X12" s="29">
        <f>IFERROR(AVERAGEIFS(Data4[Sales],Data4[Brand],$T12,Data4[Flavor],X$2),"")</f>
        <v>36.909999999999997</v>
      </c>
      <c r="Y12" s="29" t="str">
        <f>IFERROR(AVERAGEIFS(Data4[Sales],Data4[Brand],$T12,Data4[Flavor],Y$2),"")</f>
        <v/>
      </c>
      <c r="Z12" s="29" t="str">
        <f>IFERROR(AVERAGEIFS(Data4[Sales],Data4[Brand],$T12,Data4[Flavor],Z$2),"")</f>
        <v/>
      </c>
      <c r="AA12" s="29" t="str">
        <f>IFERROR(AVERAGEIFS(Data4[Sales],Data4[Brand],$T12,Data4[Flavor],AA$2),"")</f>
        <v/>
      </c>
      <c r="AB12" s="29" t="str">
        <f>IFERROR(AVERAGEIFS(Data4[Sales],Data4[Brand],$T12,Data4[Flavor],AB$2),"")</f>
        <v/>
      </c>
      <c r="AC12" s="29">
        <f>IFERROR(AVERAGEIFS(Data4[Sales],Data4[Brand],$T12,Data4[Flavor],AC$2),"")</f>
        <v>2546.85</v>
      </c>
      <c r="AD12" s="29" t="str">
        <f>IFERROR(AVERAGEIFS(Data4[Sales],Data4[Brand],$T12,Data4[Flavor],AD$2),"")</f>
        <v/>
      </c>
      <c r="AE12" s="29">
        <f>IFERROR(AVERAGEIFS(Data4[Sales],Data4[Brand],$T12,Data4[Flavor],AE$2),"")</f>
        <v>1134.76</v>
      </c>
      <c r="AF12" s="29" t="str">
        <f>IFERROR(AVERAGEIFS(Data4[Sales],Data4[Brand],$T12,Data4[Flavor],AF$2),"")</f>
        <v/>
      </c>
      <c r="AG12" s="29" t="str">
        <f>IFERROR(AVERAGEIFS(Data4[Sales],Data4[Brand],$T12,Data4[Flavor],AG$2),"")</f>
        <v/>
      </c>
      <c r="AH12" s="29" t="str">
        <f>IFERROR(AVERAGEIFS(Data4[Sales],Data4[Brand],$T12,Data4[Flavor],AH$2),"")</f>
        <v/>
      </c>
      <c r="AI12" s="29" t="str">
        <f>IFERROR(AVERAGEIFS(Data4[Sales],Data4[Brand],$T12,Data4[Flavor],AI$2),"")</f>
        <v/>
      </c>
      <c r="AJ12" s="29" t="str">
        <f>IFERROR(AVERAGEIFS(Data4[Sales],Data4[Brand],$T12,Data4[Flavor],AJ$2),"")</f>
        <v/>
      </c>
      <c r="AK12" s="29" t="str">
        <f>IFERROR(AVERAGEIFS(Data4[Sales],Data4[Brand],$T12,Data4[Flavor],AK$2),"")</f>
        <v/>
      </c>
    </row>
    <row r="13" spans="1:37" ht="14" thickBot="1" x14ac:dyDescent="0.2">
      <c r="A13" s="3" t="s">
        <v>88</v>
      </c>
      <c r="B13" s="3" t="s">
        <v>85</v>
      </c>
      <c r="C13">
        <v>6</v>
      </c>
      <c r="D13" s="3" t="s">
        <v>58</v>
      </c>
      <c r="E13">
        <v>10</v>
      </c>
      <c r="F13" s="3">
        <v>1</v>
      </c>
      <c r="G13" t="s">
        <v>20</v>
      </c>
      <c r="H13" s="2">
        <v>428059.74</v>
      </c>
      <c r="I13" s="2">
        <v>190667.97</v>
      </c>
      <c r="J13">
        <v>180951</v>
      </c>
      <c r="K13" s="6">
        <f t="shared" si="6"/>
        <v>237391.77</v>
      </c>
      <c r="L13">
        <f>Data4[[#This Row],[Net Revenue]]/Data4[[#This Row],[Units]]</f>
        <v>1.311911898801333</v>
      </c>
      <c r="N13" t="s">
        <v>33</v>
      </c>
      <c r="O13" s="25">
        <f t="shared" si="4"/>
        <v>1138.81</v>
      </c>
      <c r="P13">
        <f t="shared" si="5"/>
        <v>1</v>
      </c>
      <c r="R13" t="str">
        <v>Cranberry</v>
      </c>
      <c r="T13" t="s">
        <v>85</v>
      </c>
      <c r="U13" s="29" t="str">
        <f>IFERROR(AVERAGEIFS(Data4[Sales],Data4[Brand],$T13,Data4[Flavor],U$2),"")</f>
        <v/>
      </c>
      <c r="V13" s="29">
        <f>IFERROR(AVERAGEIFS(Data4[Sales],Data4[Brand],$T13,Data4[Flavor],V$2),"")</f>
        <v>428059.74</v>
      </c>
      <c r="W13" s="29" t="str">
        <f>IFERROR(AVERAGEIFS(Data4[Sales],Data4[Brand],$T13,Data4[Flavor],W$2),"")</f>
        <v/>
      </c>
      <c r="X13" s="29" t="str">
        <f>IFERROR(AVERAGEIFS(Data4[Sales],Data4[Brand],$T13,Data4[Flavor],X$2),"")</f>
        <v/>
      </c>
      <c r="Y13" s="29">
        <f>IFERROR(AVERAGEIFS(Data4[Sales],Data4[Brand],$T13,Data4[Flavor],Y$2),"")</f>
        <v>1107428.77</v>
      </c>
      <c r="Z13" s="29">
        <f>IFERROR(AVERAGEIFS(Data4[Sales],Data4[Brand],$T13,Data4[Flavor],Z$2),"")</f>
        <v>382723.4</v>
      </c>
      <c r="AA13" s="29">
        <f>IFERROR(AVERAGEIFS(Data4[Sales],Data4[Brand],$T13,Data4[Flavor],AA$2),"")</f>
        <v>363765.36</v>
      </c>
      <c r="AB13" s="29" t="str">
        <f>IFERROR(AVERAGEIFS(Data4[Sales],Data4[Brand],$T13,Data4[Flavor],AB$2),"")</f>
        <v/>
      </c>
      <c r="AC13" s="29" t="str">
        <f>IFERROR(AVERAGEIFS(Data4[Sales],Data4[Brand],$T13,Data4[Flavor],AC$2),"")</f>
        <v/>
      </c>
      <c r="AD13" s="29" t="str">
        <f>IFERROR(AVERAGEIFS(Data4[Sales],Data4[Brand],$T13,Data4[Flavor],AD$2),"")</f>
        <v/>
      </c>
      <c r="AE13" s="29" t="str">
        <f>IFERROR(AVERAGEIFS(Data4[Sales],Data4[Brand],$T13,Data4[Flavor],AE$2),"")</f>
        <v/>
      </c>
      <c r="AF13" s="29" t="str">
        <f>IFERROR(AVERAGEIFS(Data4[Sales],Data4[Brand],$T13,Data4[Flavor],AF$2),"")</f>
        <v/>
      </c>
      <c r="AG13" s="29" t="str">
        <f>IFERROR(AVERAGEIFS(Data4[Sales],Data4[Brand],$T13,Data4[Flavor],AG$2),"")</f>
        <v/>
      </c>
      <c r="AH13" s="29" t="str">
        <f>IFERROR(AVERAGEIFS(Data4[Sales],Data4[Brand],$T13,Data4[Flavor],AH$2),"")</f>
        <v/>
      </c>
      <c r="AI13" s="29" t="str">
        <f>IFERROR(AVERAGEIFS(Data4[Sales],Data4[Brand],$T13,Data4[Flavor],AI$2),"")</f>
        <v/>
      </c>
      <c r="AJ13" s="29" t="str">
        <f>IFERROR(AVERAGEIFS(Data4[Sales],Data4[Brand],$T13,Data4[Flavor],AJ$2),"")</f>
        <v/>
      </c>
      <c r="AK13" s="29" t="str">
        <f>IFERROR(AVERAGEIFS(Data4[Sales],Data4[Brand],$T13,Data4[Flavor],AK$2),"")</f>
        <v/>
      </c>
    </row>
    <row r="14" spans="1:37" ht="14" thickBot="1" x14ac:dyDescent="0.2">
      <c r="A14" s="3" t="s">
        <v>91</v>
      </c>
      <c r="B14" s="3" t="s">
        <v>79</v>
      </c>
      <c r="C14">
        <v>6</v>
      </c>
      <c r="D14" s="3" t="s">
        <v>42</v>
      </c>
      <c r="E14">
        <v>10</v>
      </c>
      <c r="F14">
        <v>1</v>
      </c>
      <c r="G14" t="s">
        <v>20</v>
      </c>
      <c r="H14" s="2">
        <v>503654.42</v>
      </c>
      <c r="I14" s="2">
        <v>292277.98</v>
      </c>
      <c r="J14">
        <v>264881</v>
      </c>
      <c r="K14" s="6">
        <f t="shared" si="6"/>
        <v>211376.44</v>
      </c>
      <c r="L14">
        <f>Data4[[#This Row],[Net Revenue]]/Data4[[#This Row],[Units]]</f>
        <v>0.7980052929428687</v>
      </c>
      <c r="M14" s="6"/>
      <c r="N14" t="s">
        <v>47</v>
      </c>
      <c r="O14" s="25">
        <f t="shared" si="4"/>
        <v>928693.01</v>
      </c>
      <c r="P14">
        <f t="shared" si="5"/>
        <v>5</v>
      </c>
      <c r="R14" t="str">
        <v>Grape</v>
      </c>
      <c r="T14" t="s">
        <v>60</v>
      </c>
      <c r="U14" s="29" t="str">
        <f>IFERROR(AVERAGEIFS(Data4[Sales],Data4[Brand],$T14,Data4[Flavor],U$2),"")</f>
        <v/>
      </c>
      <c r="V14" s="29">
        <f>IFERROR(AVERAGEIFS(Data4[Sales],Data4[Brand],$T14,Data4[Flavor],V$2),"")</f>
        <v>350566.40499999997</v>
      </c>
      <c r="W14" s="29" t="str">
        <f>IFERROR(AVERAGEIFS(Data4[Sales],Data4[Brand],$T14,Data4[Flavor],W$2),"")</f>
        <v/>
      </c>
      <c r="X14" s="29" t="str">
        <f>IFERROR(AVERAGEIFS(Data4[Sales],Data4[Brand],$T14,Data4[Flavor],X$2),"")</f>
        <v/>
      </c>
      <c r="Y14" s="29">
        <f>IFERROR(AVERAGEIFS(Data4[Sales],Data4[Brand],$T14,Data4[Flavor],Y$2),"")</f>
        <v>47535.040000000001</v>
      </c>
      <c r="Z14" s="29" t="str">
        <f>IFERROR(AVERAGEIFS(Data4[Sales],Data4[Brand],$T14,Data4[Flavor],Z$2),"")</f>
        <v/>
      </c>
      <c r="AA14" s="29" t="str">
        <f>IFERROR(AVERAGEIFS(Data4[Sales],Data4[Brand],$T14,Data4[Flavor],AA$2),"")</f>
        <v/>
      </c>
      <c r="AB14" s="29" t="str">
        <f>IFERROR(AVERAGEIFS(Data4[Sales],Data4[Brand],$T14,Data4[Flavor],AB$2),"")</f>
        <v/>
      </c>
      <c r="AC14" s="29" t="str">
        <f>IFERROR(AVERAGEIFS(Data4[Sales],Data4[Brand],$T14,Data4[Flavor],AC$2),"")</f>
        <v/>
      </c>
      <c r="AD14" s="29" t="str">
        <f>IFERROR(AVERAGEIFS(Data4[Sales],Data4[Brand],$T14,Data4[Flavor],AD$2),"")</f>
        <v/>
      </c>
      <c r="AE14" s="29" t="str">
        <f>IFERROR(AVERAGEIFS(Data4[Sales],Data4[Brand],$T14,Data4[Flavor],AE$2),"")</f>
        <v/>
      </c>
      <c r="AF14" s="29" t="str">
        <f>IFERROR(AVERAGEIFS(Data4[Sales],Data4[Brand],$T14,Data4[Flavor],AF$2),"")</f>
        <v/>
      </c>
      <c r="AG14" s="29" t="str">
        <f>IFERROR(AVERAGEIFS(Data4[Sales],Data4[Brand],$T14,Data4[Flavor],AG$2),"")</f>
        <v/>
      </c>
      <c r="AH14" s="29" t="str">
        <f>IFERROR(AVERAGEIFS(Data4[Sales],Data4[Brand],$T14,Data4[Flavor],AH$2),"")</f>
        <v/>
      </c>
      <c r="AI14" s="29" t="str">
        <f>IFERROR(AVERAGEIFS(Data4[Sales],Data4[Brand],$T14,Data4[Flavor],AI$2),"")</f>
        <v/>
      </c>
      <c r="AJ14" s="29" t="str">
        <f>IFERROR(AVERAGEIFS(Data4[Sales],Data4[Brand],$T14,Data4[Flavor],AJ$2),"")</f>
        <v/>
      </c>
      <c r="AK14" s="29" t="str">
        <f>IFERROR(AVERAGEIFS(Data4[Sales],Data4[Brand],$T14,Data4[Flavor],AK$2),"")</f>
        <v/>
      </c>
    </row>
    <row r="15" spans="1:37" ht="14" thickBot="1" x14ac:dyDescent="0.2">
      <c r="A15" s="3" t="s">
        <v>86</v>
      </c>
      <c r="B15" s="3" t="s">
        <v>85</v>
      </c>
      <c r="C15">
        <v>6</v>
      </c>
      <c r="D15" s="3" t="s">
        <v>76</v>
      </c>
      <c r="E15">
        <v>10</v>
      </c>
      <c r="F15" s="3">
        <v>1</v>
      </c>
      <c r="G15" t="s">
        <v>20</v>
      </c>
      <c r="H15" s="2">
        <v>382723.4</v>
      </c>
      <c r="I15" s="2">
        <v>180961.83</v>
      </c>
      <c r="J15">
        <v>135970</v>
      </c>
      <c r="K15" s="6">
        <f t="shared" si="6"/>
        <v>201761.57000000004</v>
      </c>
      <c r="L15">
        <f>Data4[[#This Row],[Net Revenue]]/Data4[[#This Row],[Units]]</f>
        <v>1.4838682797675962</v>
      </c>
      <c r="N15" t="s">
        <v>81</v>
      </c>
      <c r="O15" s="25">
        <f t="shared" si="4"/>
        <v>281164.25</v>
      </c>
      <c r="P15">
        <f t="shared" si="5"/>
        <v>1</v>
      </c>
      <c r="R15" t="str">
        <v>Tomato</v>
      </c>
      <c r="T15" t="s">
        <v>63</v>
      </c>
      <c r="U15" s="29" t="str">
        <f>IFERROR(AVERAGEIFS(Data4[Sales],Data4[Brand],$T15,Data4[Flavor],U$2),"")</f>
        <v/>
      </c>
      <c r="V15" s="29" t="str">
        <f>IFERROR(AVERAGEIFS(Data4[Sales],Data4[Brand],$T15,Data4[Flavor],V$2),"")</f>
        <v/>
      </c>
      <c r="W15" s="29" t="str">
        <f>IFERROR(AVERAGEIFS(Data4[Sales],Data4[Brand],$T15,Data4[Flavor],W$2),"")</f>
        <v/>
      </c>
      <c r="X15" s="29" t="str">
        <f>IFERROR(AVERAGEIFS(Data4[Sales],Data4[Brand],$T15,Data4[Flavor],X$2),"")</f>
        <v/>
      </c>
      <c r="Y15" s="29" t="str">
        <f>IFERROR(AVERAGEIFS(Data4[Sales],Data4[Brand],$T15,Data4[Flavor],Y$2),"")</f>
        <v/>
      </c>
      <c r="Z15" s="29" t="str">
        <f>IFERROR(AVERAGEIFS(Data4[Sales],Data4[Brand],$T15,Data4[Flavor],Z$2),"")</f>
        <v/>
      </c>
      <c r="AA15" s="29" t="str">
        <f>IFERROR(AVERAGEIFS(Data4[Sales],Data4[Brand],$T15,Data4[Flavor],AA$2),"")</f>
        <v/>
      </c>
      <c r="AB15" s="29" t="str">
        <f>IFERROR(AVERAGEIFS(Data4[Sales],Data4[Brand],$T15,Data4[Flavor],AB$2),"")</f>
        <v/>
      </c>
      <c r="AC15" s="29" t="str">
        <f>IFERROR(AVERAGEIFS(Data4[Sales],Data4[Brand],$T15,Data4[Flavor],AC$2),"")</f>
        <v/>
      </c>
      <c r="AD15" s="29">
        <f>IFERROR(AVERAGEIFS(Data4[Sales],Data4[Brand],$T15,Data4[Flavor],AD$2),"")</f>
        <v>90556.975000000006</v>
      </c>
      <c r="AE15" s="29" t="str">
        <f>IFERROR(AVERAGEIFS(Data4[Sales],Data4[Brand],$T15,Data4[Flavor],AE$2),"")</f>
        <v/>
      </c>
      <c r="AF15" s="29" t="str">
        <f>IFERROR(AVERAGEIFS(Data4[Sales],Data4[Brand],$T15,Data4[Flavor],AF$2),"")</f>
        <v/>
      </c>
      <c r="AG15" s="29" t="str">
        <f>IFERROR(AVERAGEIFS(Data4[Sales],Data4[Brand],$T15,Data4[Flavor],AG$2),"")</f>
        <v/>
      </c>
      <c r="AH15" s="29" t="str">
        <f>IFERROR(AVERAGEIFS(Data4[Sales],Data4[Brand],$T15,Data4[Flavor],AH$2),"")</f>
        <v/>
      </c>
      <c r="AI15" s="29" t="str">
        <f>IFERROR(AVERAGEIFS(Data4[Sales],Data4[Brand],$T15,Data4[Flavor],AI$2),"")</f>
        <v/>
      </c>
      <c r="AJ15" s="29" t="str">
        <f>IFERROR(AVERAGEIFS(Data4[Sales],Data4[Brand],$T15,Data4[Flavor],AJ$2),"")</f>
        <v/>
      </c>
      <c r="AK15" s="29" t="str">
        <f>IFERROR(AVERAGEIFS(Data4[Sales],Data4[Brand],$T15,Data4[Flavor],AK$2),"")</f>
        <v/>
      </c>
    </row>
    <row r="16" spans="1:37" ht="16" thickBot="1" x14ac:dyDescent="0.2">
      <c r="A16" s="3" t="s">
        <v>84</v>
      </c>
      <c r="B16" s="3" t="s">
        <v>85</v>
      </c>
      <c r="C16">
        <v>6</v>
      </c>
      <c r="D16" s="3" t="s">
        <v>73</v>
      </c>
      <c r="E16">
        <v>10</v>
      </c>
      <c r="F16" s="3">
        <v>1</v>
      </c>
      <c r="G16" t="s">
        <v>20</v>
      </c>
      <c r="H16" s="2">
        <v>363765.36</v>
      </c>
      <c r="I16" s="2">
        <v>213633.91</v>
      </c>
      <c r="J16">
        <v>192778</v>
      </c>
      <c r="K16" s="6">
        <f t="shared" si="6"/>
        <v>150131.44999999998</v>
      </c>
      <c r="L16">
        <f>Data4[[#This Row],[Net Revenue]]/Data4[[#This Row],[Units]]</f>
        <v>0.77877895817987519</v>
      </c>
      <c r="N16" s="5" t="s">
        <v>18</v>
      </c>
      <c r="O16" s="25">
        <f t="shared" si="4"/>
        <v>402.26</v>
      </c>
      <c r="P16">
        <f t="shared" si="5"/>
        <v>1</v>
      </c>
      <c r="R16" t="str">
        <v>Coconut</v>
      </c>
      <c r="T16" t="s">
        <v>56</v>
      </c>
      <c r="U16" s="29" t="str">
        <f>IFERROR(AVERAGEIFS(Data4[Sales],Data4[Brand],$T16,Data4[Flavor],U$2),"")</f>
        <v/>
      </c>
      <c r="V16" s="29" t="str">
        <f>IFERROR(AVERAGEIFS(Data4[Sales],Data4[Brand],$T16,Data4[Flavor],V$2),"")</f>
        <v/>
      </c>
      <c r="W16" s="29" t="str">
        <f>IFERROR(AVERAGEIFS(Data4[Sales],Data4[Brand],$T16,Data4[Flavor],W$2),"")</f>
        <v/>
      </c>
      <c r="X16" s="29">
        <f>IFERROR(AVERAGEIFS(Data4[Sales],Data4[Brand],$T16,Data4[Flavor],X$2),"")</f>
        <v>1105.79</v>
      </c>
      <c r="Y16" s="29" t="str">
        <f>IFERROR(AVERAGEIFS(Data4[Sales],Data4[Brand],$T16,Data4[Flavor],Y$2),"")</f>
        <v/>
      </c>
      <c r="Z16" s="29">
        <f>IFERROR(AVERAGEIFS(Data4[Sales],Data4[Brand],$T16,Data4[Flavor],Z$2),"")</f>
        <v>363516.01</v>
      </c>
      <c r="AA16" s="29">
        <f>IFERROR(AVERAGEIFS(Data4[Sales],Data4[Brand],$T16,Data4[Flavor],AA$2),"")</f>
        <v>513207.92</v>
      </c>
      <c r="AB16" s="29" t="str">
        <f>IFERROR(AVERAGEIFS(Data4[Sales],Data4[Brand],$T16,Data4[Flavor],AB$2),"")</f>
        <v/>
      </c>
      <c r="AC16" s="29" t="str">
        <f>IFERROR(AVERAGEIFS(Data4[Sales],Data4[Brand],$T16,Data4[Flavor],AC$2),"")</f>
        <v/>
      </c>
      <c r="AD16" s="29" t="str">
        <f>IFERROR(AVERAGEIFS(Data4[Sales],Data4[Brand],$T16,Data4[Flavor],AD$2),"")</f>
        <v/>
      </c>
      <c r="AE16" s="29" t="str">
        <f>IFERROR(AVERAGEIFS(Data4[Sales],Data4[Brand],$T16,Data4[Flavor],AE$2),"")</f>
        <v/>
      </c>
      <c r="AF16" s="29">
        <f>IFERROR(AVERAGEIFS(Data4[Sales],Data4[Brand],$T16,Data4[Flavor],AF$2),"")</f>
        <v>35136.78</v>
      </c>
      <c r="AG16" s="29" t="str">
        <f>IFERROR(AVERAGEIFS(Data4[Sales],Data4[Brand],$T16,Data4[Flavor],AG$2),"")</f>
        <v/>
      </c>
      <c r="AH16" s="29" t="str">
        <f>IFERROR(AVERAGEIFS(Data4[Sales],Data4[Brand],$T16,Data4[Flavor],AH$2),"")</f>
        <v/>
      </c>
      <c r="AI16" s="29" t="str">
        <f>IFERROR(AVERAGEIFS(Data4[Sales],Data4[Brand],$T16,Data4[Flavor],AI$2),"")</f>
        <v/>
      </c>
      <c r="AJ16" s="29">
        <f>IFERROR(AVERAGEIFS(Data4[Sales],Data4[Brand],$T16,Data4[Flavor],AJ$2),"")</f>
        <v>125759.9</v>
      </c>
      <c r="AK16" s="29" t="str">
        <f>IFERROR(AVERAGEIFS(Data4[Sales],Data4[Brand],$T16,Data4[Flavor],AK$2),"")</f>
        <v/>
      </c>
    </row>
    <row r="17" spans="1:37" ht="14" thickBot="1" x14ac:dyDescent="0.2">
      <c r="A17" s="3" t="s">
        <v>75</v>
      </c>
      <c r="B17" s="3" t="s">
        <v>56</v>
      </c>
      <c r="C17">
        <v>6</v>
      </c>
      <c r="D17" s="3" t="s">
        <v>76</v>
      </c>
      <c r="E17">
        <v>10</v>
      </c>
      <c r="F17">
        <v>1</v>
      </c>
      <c r="G17" t="s">
        <v>20</v>
      </c>
      <c r="H17" s="2">
        <v>167532.73000000001</v>
      </c>
      <c r="I17" s="2">
        <v>77854.67</v>
      </c>
      <c r="J17">
        <v>63149</v>
      </c>
      <c r="K17" s="6">
        <f t="shared" si="6"/>
        <v>89678.060000000012</v>
      </c>
      <c r="L17">
        <f>Data4[[#This Row],[Net Revenue]]/Data4[[#This Row],[Units]]</f>
        <v>1.4201026144515354</v>
      </c>
      <c r="N17" t="s">
        <v>38</v>
      </c>
      <c r="O17" s="25">
        <f t="shared" si="4"/>
        <v>2283.61</v>
      </c>
      <c r="P17">
        <f t="shared" si="5"/>
        <v>1</v>
      </c>
      <c r="R17" t="str">
        <v>Mixed</v>
      </c>
      <c r="T17" t="s">
        <v>79</v>
      </c>
      <c r="U17" s="29" t="str">
        <f>IFERROR(AVERAGEIFS(Data4[Sales],Data4[Brand],$T17,Data4[Flavor],U$2),"")</f>
        <v/>
      </c>
      <c r="V17" s="29">
        <f>IFERROR(AVERAGEIFS(Data4[Sales],Data4[Brand],$T17,Data4[Flavor],V$2),"")</f>
        <v>299662.09000000003</v>
      </c>
      <c r="W17" s="29" t="str">
        <f>IFERROR(AVERAGEIFS(Data4[Sales],Data4[Brand],$T17,Data4[Flavor],W$2),"")</f>
        <v/>
      </c>
      <c r="X17" s="29" t="str">
        <f>IFERROR(AVERAGEIFS(Data4[Sales],Data4[Brand],$T17,Data4[Flavor],X$2),"")</f>
        <v/>
      </c>
      <c r="Y17" s="29">
        <f>IFERROR(AVERAGEIFS(Data4[Sales],Data4[Brand],$T17,Data4[Flavor],Y$2),"")</f>
        <v>582616.39500000002</v>
      </c>
      <c r="Z17" s="29" t="str">
        <f>IFERROR(AVERAGEIFS(Data4[Sales],Data4[Brand],$T17,Data4[Flavor],Z$2),"")</f>
        <v/>
      </c>
      <c r="AA17" s="29" t="str">
        <f>IFERROR(AVERAGEIFS(Data4[Sales],Data4[Brand],$T17,Data4[Flavor],AA$2),"")</f>
        <v/>
      </c>
      <c r="AB17" s="29" t="str">
        <f>IFERROR(AVERAGEIFS(Data4[Sales],Data4[Brand],$T17,Data4[Flavor],AB$2),"")</f>
        <v/>
      </c>
      <c r="AC17" s="29" t="str">
        <f>IFERROR(AVERAGEIFS(Data4[Sales],Data4[Brand],$T17,Data4[Flavor],AC$2),"")</f>
        <v/>
      </c>
      <c r="AD17" s="29" t="str">
        <f>IFERROR(AVERAGEIFS(Data4[Sales],Data4[Brand],$T17,Data4[Flavor],AD$2),"")</f>
        <v/>
      </c>
      <c r="AE17" s="29" t="str">
        <f>IFERROR(AVERAGEIFS(Data4[Sales],Data4[Brand],$T17,Data4[Flavor],AE$2),"")</f>
        <v/>
      </c>
      <c r="AF17" s="29">
        <f>IFERROR(AVERAGEIFS(Data4[Sales],Data4[Brand],$T17,Data4[Flavor],AF$2),"")</f>
        <v>232707.01</v>
      </c>
      <c r="AG17" s="29" t="str">
        <f>IFERROR(AVERAGEIFS(Data4[Sales],Data4[Brand],$T17,Data4[Flavor],AG$2),"")</f>
        <v/>
      </c>
      <c r="AH17" s="29" t="str">
        <f>IFERROR(AVERAGEIFS(Data4[Sales],Data4[Brand],$T17,Data4[Flavor],AH$2),"")</f>
        <v/>
      </c>
      <c r="AI17" s="29" t="str">
        <f>IFERROR(AVERAGEIFS(Data4[Sales],Data4[Brand],$T17,Data4[Flavor],AI$2),"")</f>
        <v/>
      </c>
      <c r="AJ17" s="29" t="str">
        <f>IFERROR(AVERAGEIFS(Data4[Sales],Data4[Brand],$T17,Data4[Flavor],AJ$2),"")</f>
        <v/>
      </c>
      <c r="AK17" s="29" t="str">
        <f>IFERROR(AVERAGEIFS(Data4[Sales],Data4[Brand],$T17,Data4[Flavor],AK$2),"")</f>
        <v/>
      </c>
    </row>
    <row r="18" spans="1:37" ht="14" thickBot="1" x14ac:dyDescent="0.2">
      <c r="A18" s="3" t="s">
        <v>71</v>
      </c>
      <c r="B18" s="3" t="s">
        <v>72</v>
      </c>
      <c r="C18">
        <v>6</v>
      </c>
      <c r="D18" s="3" t="s">
        <v>73</v>
      </c>
      <c r="E18">
        <v>10</v>
      </c>
      <c r="F18">
        <v>1</v>
      </c>
      <c r="G18" t="s">
        <v>20</v>
      </c>
      <c r="H18" s="2">
        <v>154836.73000000001</v>
      </c>
      <c r="I18" s="2">
        <v>72220.759999999995</v>
      </c>
      <c r="J18">
        <v>56869</v>
      </c>
      <c r="K18" s="6">
        <f t="shared" si="6"/>
        <v>82615.970000000016</v>
      </c>
      <c r="L18">
        <f>Data4[[#This Row],[Net Revenue]]/Data4[[#This Row],[Units]]</f>
        <v>1.4527417397879339</v>
      </c>
      <c r="N18" t="s">
        <v>11</v>
      </c>
      <c r="O18" s="25">
        <f t="shared" si="4"/>
        <v>6596.41</v>
      </c>
      <c r="P18">
        <f t="shared" si="5"/>
        <v>4</v>
      </c>
      <c r="R18" t="str">
        <v>Black Cherry</v>
      </c>
      <c r="T18" t="s">
        <v>27</v>
      </c>
      <c r="U18" s="29" t="str">
        <f>IFERROR(AVERAGEIFS(Data4[Sales],Data4[Brand],$T18,Data4[Flavor],U$2),"")</f>
        <v/>
      </c>
      <c r="V18" s="29" t="str">
        <f>IFERROR(AVERAGEIFS(Data4[Sales],Data4[Brand],$T18,Data4[Flavor],V$2),"")</f>
        <v/>
      </c>
      <c r="W18" s="29">
        <f>IFERROR(AVERAGEIFS(Data4[Sales],Data4[Brand],$T18,Data4[Flavor],W$2),"")</f>
        <v>33118.230000000003</v>
      </c>
      <c r="X18" s="29" t="str">
        <f>IFERROR(AVERAGEIFS(Data4[Sales],Data4[Brand],$T18,Data4[Flavor],X$2),"")</f>
        <v/>
      </c>
      <c r="Y18" s="29" t="str">
        <f>IFERROR(AVERAGEIFS(Data4[Sales],Data4[Brand],$T18,Data4[Flavor],Y$2),"")</f>
        <v/>
      </c>
      <c r="Z18" s="29" t="str">
        <f>IFERROR(AVERAGEIFS(Data4[Sales],Data4[Brand],$T18,Data4[Flavor],Z$2),"")</f>
        <v/>
      </c>
      <c r="AA18" s="29" t="str">
        <f>IFERROR(AVERAGEIFS(Data4[Sales],Data4[Brand],$T18,Data4[Flavor],AA$2),"")</f>
        <v/>
      </c>
      <c r="AB18" s="29">
        <f>IFERROR(AVERAGEIFS(Data4[Sales],Data4[Brand],$T18,Data4[Flavor],AB$2),"")</f>
        <v>332759.565</v>
      </c>
      <c r="AC18" s="29" t="str">
        <f>IFERROR(AVERAGEIFS(Data4[Sales],Data4[Brand],$T18,Data4[Flavor],AC$2),"")</f>
        <v/>
      </c>
      <c r="AD18" s="29">
        <f>IFERROR(AVERAGEIFS(Data4[Sales],Data4[Brand],$T18,Data4[Flavor],AD$2),"")</f>
        <v>1132.26</v>
      </c>
      <c r="AE18" s="29" t="str">
        <f>IFERROR(AVERAGEIFS(Data4[Sales],Data4[Brand],$T18,Data4[Flavor],AE$2),"")</f>
        <v/>
      </c>
      <c r="AF18" s="29" t="str">
        <f>IFERROR(AVERAGEIFS(Data4[Sales],Data4[Brand],$T18,Data4[Flavor],AF$2),"")</f>
        <v/>
      </c>
      <c r="AG18" s="29" t="str">
        <f>IFERROR(AVERAGEIFS(Data4[Sales],Data4[Brand],$T18,Data4[Flavor],AG$2),"")</f>
        <v/>
      </c>
      <c r="AH18" s="29" t="str">
        <f>IFERROR(AVERAGEIFS(Data4[Sales],Data4[Brand],$T18,Data4[Flavor],AH$2),"")</f>
        <v/>
      </c>
      <c r="AI18" s="29">
        <f>IFERROR(AVERAGEIFS(Data4[Sales],Data4[Brand],$T18,Data4[Flavor],AI$2),"")</f>
        <v>12007.5</v>
      </c>
      <c r="AJ18" s="29" t="str">
        <f>IFERROR(AVERAGEIFS(Data4[Sales],Data4[Brand],$T18,Data4[Flavor],AJ$2),"")</f>
        <v/>
      </c>
      <c r="AK18" s="29" t="str">
        <f>IFERROR(AVERAGEIFS(Data4[Sales],Data4[Brand],$T18,Data4[Flavor],AK$2),"")</f>
        <v/>
      </c>
    </row>
    <row r="19" spans="1:37" ht="14" thickBot="1" x14ac:dyDescent="0.2">
      <c r="A19" s="3" t="s">
        <v>66</v>
      </c>
      <c r="B19" s="3" t="s">
        <v>27</v>
      </c>
      <c r="C19">
        <v>1</v>
      </c>
      <c r="D19" s="3" t="s">
        <v>67</v>
      </c>
      <c r="E19">
        <v>10</v>
      </c>
      <c r="F19">
        <v>0</v>
      </c>
      <c r="G19" t="s">
        <v>20</v>
      </c>
      <c r="H19" s="2">
        <v>123458.28</v>
      </c>
      <c r="I19" s="2">
        <v>60396.54</v>
      </c>
      <c r="J19">
        <v>41590</v>
      </c>
      <c r="K19" s="6">
        <f t="shared" si="6"/>
        <v>63061.74</v>
      </c>
      <c r="L19">
        <f>Data4[[#This Row],[Net Revenue]]/Data4[[#This Row],[Units]]</f>
        <v>1.5162716999278671</v>
      </c>
      <c r="N19" t="s">
        <v>85</v>
      </c>
      <c r="O19" s="25">
        <f t="shared" si="4"/>
        <v>2281977.27</v>
      </c>
      <c r="P19">
        <f t="shared" si="5"/>
        <v>4</v>
      </c>
      <c r="R19" t="str">
        <v>Lemonade</v>
      </c>
      <c r="T19" t="s">
        <v>72</v>
      </c>
      <c r="U19" s="29" t="str">
        <f>IFERROR(AVERAGEIFS(Data4[Sales],Data4[Brand],$T19,Data4[Flavor],U$2),"")</f>
        <v/>
      </c>
      <c r="V19" s="29" t="str">
        <f>IFERROR(AVERAGEIFS(Data4[Sales],Data4[Brand],$T19,Data4[Flavor],V$2),"")</f>
        <v/>
      </c>
      <c r="W19" s="29" t="str">
        <f>IFERROR(AVERAGEIFS(Data4[Sales],Data4[Brand],$T19,Data4[Flavor],W$2),"")</f>
        <v/>
      </c>
      <c r="X19" s="29" t="str">
        <f>IFERROR(AVERAGEIFS(Data4[Sales],Data4[Brand],$T19,Data4[Flavor],X$2),"")</f>
        <v/>
      </c>
      <c r="Y19" s="29" t="str">
        <f>IFERROR(AVERAGEIFS(Data4[Sales],Data4[Brand],$T19,Data4[Flavor],Y$2),"")</f>
        <v/>
      </c>
      <c r="Z19" s="29" t="str">
        <f>IFERROR(AVERAGEIFS(Data4[Sales],Data4[Brand],$T19,Data4[Flavor],Z$2),"")</f>
        <v/>
      </c>
      <c r="AA19" s="29">
        <f>IFERROR(AVERAGEIFS(Data4[Sales],Data4[Brand],$T19,Data4[Flavor],AA$2),"")</f>
        <v>307069.66000000003</v>
      </c>
      <c r="AB19" s="29" t="str">
        <f>IFERROR(AVERAGEIFS(Data4[Sales],Data4[Brand],$T19,Data4[Flavor],AB$2),"")</f>
        <v/>
      </c>
      <c r="AC19" s="29" t="str">
        <f>IFERROR(AVERAGEIFS(Data4[Sales],Data4[Brand],$T19,Data4[Flavor],AC$2),"")</f>
        <v/>
      </c>
      <c r="AD19" s="29" t="str">
        <f>IFERROR(AVERAGEIFS(Data4[Sales],Data4[Brand],$T19,Data4[Flavor],AD$2),"")</f>
        <v/>
      </c>
      <c r="AE19" s="29" t="str">
        <f>IFERROR(AVERAGEIFS(Data4[Sales],Data4[Brand],$T19,Data4[Flavor],AE$2),"")</f>
        <v/>
      </c>
      <c r="AF19" s="29" t="str">
        <f>IFERROR(AVERAGEIFS(Data4[Sales],Data4[Brand],$T19,Data4[Flavor],AF$2),"")</f>
        <v/>
      </c>
      <c r="AG19" s="29" t="str">
        <f>IFERROR(AVERAGEIFS(Data4[Sales],Data4[Brand],$T19,Data4[Flavor],AG$2),"")</f>
        <v/>
      </c>
      <c r="AH19" s="29" t="str">
        <f>IFERROR(AVERAGEIFS(Data4[Sales],Data4[Brand],$T19,Data4[Flavor],AH$2),"")</f>
        <v/>
      </c>
      <c r="AI19" s="29" t="str">
        <f>IFERROR(AVERAGEIFS(Data4[Sales],Data4[Brand],$T19,Data4[Flavor],AI$2),"")</f>
        <v/>
      </c>
      <c r="AJ19" s="29" t="str">
        <f>IFERROR(AVERAGEIFS(Data4[Sales],Data4[Brand],$T19,Data4[Flavor],AJ$2),"")</f>
        <v/>
      </c>
      <c r="AK19" s="29" t="str">
        <f>IFERROR(AVERAGEIFS(Data4[Sales],Data4[Brand],$T19,Data4[Flavor],AK$2),"")</f>
        <v/>
      </c>
    </row>
    <row r="20" spans="1:37" ht="14" thickBot="1" x14ac:dyDescent="0.2">
      <c r="A20" s="3" t="s">
        <v>57</v>
      </c>
      <c r="B20" s="3" t="s">
        <v>47</v>
      </c>
      <c r="C20">
        <v>6</v>
      </c>
      <c r="D20" s="3" t="s">
        <v>58</v>
      </c>
      <c r="E20">
        <v>10</v>
      </c>
      <c r="F20">
        <v>1</v>
      </c>
      <c r="G20" t="s">
        <v>20</v>
      </c>
      <c r="H20" s="2">
        <v>41735.4</v>
      </c>
      <c r="I20" s="2">
        <v>29246.02</v>
      </c>
      <c r="J20">
        <v>23223</v>
      </c>
      <c r="K20" s="6">
        <f t="shared" si="6"/>
        <v>12489.380000000001</v>
      </c>
      <c r="L20">
        <f>Data4[[#This Row],[Net Revenue]]/Data4[[#This Row],[Units]]</f>
        <v>0.53780217887439186</v>
      </c>
      <c r="N20" t="s">
        <v>60</v>
      </c>
      <c r="O20" s="25">
        <f t="shared" si="4"/>
        <v>748667.85</v>
      </c>
      <c r="P20">
        <f t="shared" si="5"/>
        <v>3</v>
      </c>
      <c r="R20" t="str">
        <v>Lemon</v>
      </c>
    </row>
    <row r="21" spans="1:37" ht="14" thickBot="1" x14ac:dyDescent="0.2">
      <c r="A21" s="3" t="s">
        <v>37</v>
      </c>
      <c r="B21" s="3" t="s">
        <v>38</v>
      </c>
      <c r="C21">
        <v>24</v>
      </c>
      <c r="D21" s="3" t="s">
        <v>39</v>
      </c>
      <c r="E21">
        <v>10</v>
      </c>
      <c r="F21">
        <v>1</v>
      </c>
      <c r="G21" t="s">
        <v>20</v>
      </c>
      <c r="H21" s="2">
        <v>2283.61</v>
      </c>
      <c r="I21" s="2">
        <v>1201.77</v>
      </c>
      <c r="J21">
        <v>962</v>
      </c>
      <c r="K21" s="6">
        <f t="shared" si="6"/>
        <v>1081.8400000000001</v>
      </c>
      <c r="L21">
        <f>Data4[[#This Row],[Net Revenue]]/Data4[[#This Row],[Units]]</f>
        <v>1.1245738045738047</v>
      </c>
      <c r="N21" t="s">
        <v>63</v>
      </c>
      <c r="O21" s="25">
        <f t="shared" si="4"/>
        <v>181113.95</v>
      </c>
      <c r="P21">
        <f t="shared" si="5"/>
        <v>2</v>
      </c>
      <c r="R21" t="str">
        <v>Lime</v>
      </c>
    </row>
    <row r="22" spans="1:37" ht="14" thickBot="1" x14ac:dyDescent="0.2">
      <c r="A22" s="3" t="s">
        <v>24</v>
      </c>
      <c r="B22" s="3" t="s">
        <v>56</v>
      </c>
      <c r="C22">
        <v>6</v>
      </c>
      <c r="D22" s="3" t="s">
        <v>12</v>
      </c>
      <c r="E22">
        <v>10</v>
      </c>
      <c r="F22">
        <v>1</v>
      </c>
      <c r="G22" t="s">
        <v>20</v>
      </c>
      <c r="H22" s="2">
        <v>1105.79</v>
      </c>
      <c r="I22" s="2">
        <v>587.08000000000004</v>
      </c>
      <c r="J22">
        <v>466</v>
      </c>
      <c r="K22" s="6">
        <f t="shared" si="6"/>
        <v>518.70999999999992</v>
      </c>
      <c r="L22">
        <f>Data4[[#This Row],[Net Revenue]]/Data4[[#This Row],[Units]]</f>
        <v>1.1131115879828324</v>
      </c>
      <c r="N22" t="s">
        <v>56</v>
      </c>
      <c r="O22" s="25">
        <f t="shared" si="4"/>
        <v>1402242.4100000001</v>
      </c>
      <c r="P22">
        <f t="shared" si="5"/>
        <v>6</v>
      </c>
      <c r="R22" t="str">
        <v>Prune</v>
      </c>
    </row>
    <row r="23" spans="1:37" ht="14" thickBot="1" x14ac:dyDescent="0.2">
      <c r="A23" s="3" t="s">
        <v>26</v>
      </c>
      <c r="B23" s="3" t="s">
        <v>27</v>
      </c>
      <c r="C23">
        <v>6</v>
      </c>
      <c r="D23" s="3" t="s">
        <v>28</v>
      </c>
      <c r="E23">
        <v>16</v>
      </c>
      <c r="F23">
        <v>0</v>
      </c>
      <c r="G23" t="s">
        <v>13</v>
      </c>
      <c r="H23" s="2">
        <v>1132.26</v>
      </c>
      <c r="I23" s="2">
        <v>762.81</v>
      </c>
      <c r="J23">
        <v>602</v>
      </c>
      <c r="K23" s="6">
        <f t="shared" si="6"/>
        <v>369.45000000000005</v>
      </c>
      <c r="L23">
        <f>Data4[[#This Row],[Net Revenue]]/Data4[[#This Row],[Units]]</f>
        <v>0.61370431893687716</v>
      </c>
      <c r="N23" t="s">
        <v>25</v>
      </c>
      <c r="O23" s="25">
        <f t="shared" si="4"/>
        <v>0</v>
      </c>
      <c r="P23">
        <f t="shared" si="5"/>
        <v>0</v>
      </c>
      <c r="R23" t="str">
        <v>Grapefruit</v>
      </c>
    </row>
    <row r="24" spans="1:37" ht="14" thickBot="1" x14ac:dyDescent="0.2">
      <c r="A24" s="3" t="s">
        <v>29</v>
      </c>
      <c r="B24" s="3" t="s">
        <v>11</v>
      </c>
      <c r="C24">
        <v>1</v>
      </c>
      <c r="D24" s="3" t="s">
        <v>30</v>
      </c>
      <c r="E24">
        <v>16</v>
      </c>
      <c r="F24">
        <v>1</v>
      </c>
      <c r="G24" t="s">
        <v>31</v>
      </c>
      <c r="H24" s="2">
        <v>1134.76</v>
      </c>
      <c r="I24" s="2">
        <v>884.7</v>
      </c>
      <c r="J24">
        <v>607</v>
      </c>
      <c r="K24" s="6">
        <f t="shared" si="6"/>
        <v>250.05999999999995</v>
      </c>
      <c r="L24">
        <f>Data4[[#This Row],[Net Revenue]]/Data4[[#This Row],[Units]]</f>
        <v>0.41196046128500813</v>
      </c>
      <c r="N24" t="s">
        <v>79</v>
      </c>
      <c r="O24" s="25">
        <f t="shared" si="4"/>
        <v>1697601.8900000001</v>
      </c>
      <c r="P24">
        <f t="shared" si="5"/>
        <v>4</v>
      </c>
      <c r="R24" t="str">
        <v>Beet</v>
      </c>
    </row>
    <row r="25" spans="1:37" ht="14" thickBot="1" x14ac:dyDescent="0.2">
      <c r="A25" s="3" t="s">
        <v>32</v>
      </c>
      <c r="B25" s="3" t="s">
        <v>33</v>
      </c>
      <c r="C25">
        <v>1</v>
      </c>
      <c r="D25" s="3" t="s">
        <v>30</v>
      </c>
      <c r="E25">
        <v>16</v>
      </c>
      <c r="F25">
        <v>1</v>
      </c>
      <c r="G25" t="s">
        <v>31</v>
      </c>
      <c r="H25" s="2">
        <v>1138.81</v>
      </c>
      <c r="I25" s="2">
        <v>915.77</v>
      </c>
      <c r="J25">
        <v>678</v>
      </c>
      <c r="K25" s="6">
        <f t="shared" si="6"/>
        <v>223.03999999999996</v>
      </c>
      <c r="L25">
        <f>Data4[[#This Row],[Net Revenue]]/Data4[[#This Row],[Units]]</f>
        <v>0.32896755162241881</v>
      </c>
      <c r="N25" t="s">
        <v>27</v>
      </c>
      <c r="O25" s="25">
        <f t="shared" si="4"/>
        <v>711777.12</v>
      </c>
      <c r="P25">
        <f t="shared" si="5"/>
        <v>5</v>
      </c>
    </row>
    <row r="26" spans="1:37" ht="14" thickBot="1" x14ac:dyDescent="0.2">
      <c r="A26" s="3" t="s">
        <v>82</v>
      </c>
      <c r="B26" s="3" t="s">
        <v>79</v>
      </c>
      <c r="C26">
        <v>6</v>
      </c>
      <c r="D26" s="3" t="s">
        <v>58</v>
      </c>
      <c r="E26">
        <v>32</v>
      </c>
      <c r="F26">
        <v>1</v>
      </c>
      <c r="G26" t="s">
        <v>20</v>
      </c>
      <c r="H26" s="2">
        <v>299662.09000000003</v>
      </c>
      <c r="I26" s="2">
        <v>143100.4</v>
      </c>
      <c r="J26">
        <v>126489</v>
      </c>
      <c r="K26" s="6">
        <f t="shared" si="6"/>
        <v>156561.69000000003</v>
      </c>
      <c r="L26">
        <f>Data4[[#This Row],[Net Revenue]]/Data4[[#This Row],[Units]]</f>
        <v>1.2377494485686504</v>
      </c>
      <c r="N26" t="s">
        <v>72</v>
      </c>
      <c r="O26" s="25">
        <f t="shared" si="4"/>
        <v>614139.32000000007</v>
      </c>
      <c r="P26">
        <f t="shared" si="5"/>
        <v>2</v>
      </c>
    </row>
    <row r="27" spans="1:37" x14ac:dyDescent="0.15">
      <c r="A27" s="3" t="s">
        <v>78</v>
      </c>
      <c r="B27" s="3" t="s">
        <v>79</v>
      </c>
      <c r="C27">
        <v>6</v>
      </c>
      <c r="D27" s="3" t="s">
        <v>50</v>
      </c>
      <c r="E27">
        <v>32</v>
      </c>
      <c r="F27">
        <v>1</v>
      </c>
      <c r="G27" t="s">
        <v>20</v>
      </c>
      <c r="H27" s="2">
        <v>232707.01</v>
      </c>
      <c r="I27" s="2">
        <v>107914.06</v>
      </c>
      <c r="J27">
        <v>78417</v>
      </c>
      <c r="K27" s="6">
        <f t="shared" si="6"/>
        <v>124792.95000000001</v>
      </c>
      <c r="L27">
        <f>Data4[[#This Row],[Net Revenue]]/Data4[[#This Row],[Units]]</f>
        <v>1.5914017368682813</v>
      </c>
    </row>
    <row r="28" spans="1:37" x14ac:dyDescent="0.15">
      <c r="A28" s="3" t="s">
        <v>65</v>
      </c>
      <c r="B28" s="3" t="s">
        <v>63</v>
      </c>
      <c r="C28">
        <v>1</v>
      </c>
      <c r="D28" s="3" t="s">
        <v>28</v>
      </c>
      <c r="E28">
        <v>32</v>
      </c>
      <c r="F28">
        <v>0</v>
      </c>
      <c r="G28" t="s">
        <v>20</v>
      </c>
      <c r="H28" s="2">
        <v>111925.47</v>
      </c>
      <c r="I28" s="2">
        <v>54379.55</v>
      </c>
      <c r="J28">
        <v>56606</v>
      </c>
      <c r="K28" s="6">
        <f t="shared" si="6"/>
        <v>57545.919999999998</v>
      </c>
      <c r="L28">
        <f>Data4[[#This Row],[Net Revenue]]/Data4[[#This Row],[Units]]</f>
        <v>1.0166046002190581</v>
      </c>
    </row>
    <row r="29" spans="1:37" x14ac:dyDescent="0.15">
      <c r="A29" s="3" t="s">
        <v>62</v>
      </c>
      <c r="B29" s="3" t="s">
        <v>63</v>
      </c>
      <c r="C29">
        <v>1</v>
      </c>
      <c r="D29" s="3" t="s">
        <v>28</v>
      </c>
      <c r="E29">
        <v>32</v>
      </c>
      <c r="F29">
        <v>0</v>
      </c>
      <c r="G29" t="s">
        <v>20</v>
      </c>
      <c r="H29" s="2">
        <v>69188.479999999996</v>
      </c>
      <c r="I29" s="2">
        <v>32534.240000000002</v>
      </c>
      <c r="J29">
        <v>25524</v>
      </c>
      <c r="K29" s="6">
        <f t="shared" si="6"/>
        <v>36654.239999999991</v>
      </c>
      <c r="L29">
        <f>Data4[[#This Row],[Net Revenue]]/Data4[[#This Row],[Units]]</f>
        <v>1.4360695815702864</v>
      </c>
    </row>
    <row r="30" spans="1:37" x14ac:dyDescent="0.15">
      <c r="A30" s="3" t="s">
        <v>59</v>
      </c>
      <c r="B30" s="3" t="s">
        <v>60</v>
      </c>
      <c r="C30">
        <v>6</v>
      </c>
      <c r="D30" s="3" t="s">
        <v>42</v>
      </c>
      <c r="E30">
        <v>32</v>
      </c>
      <c r="F30">
        <v>1</v>
      </c>
      <c r="G30" t="s">
        <v>31</v>
      </c>
      <c r="H30" s="2">
        <v>47535.040000000001</v>
      </c>
      <c r="I30" s="2">
        <v>23220.49</v>
      </c>
      <c r="J30">
        <v>18265</v>
      </c>
      <c r="K30" s="6">
        <f t="shared" si="6"/>
        <v>24314.55</v>
      </c>
      <c r="L30">
        <f>Data4[[#This Row],[Net Revenue]]/Data4[[#This Row],[Units]]</f>
        <v>1.3312099644128113</v>
      </c>
    </row>
    <row r="31" spans="1:37" x14ac:dyDescent="0.15">
      <c r="A31" s="3" t="s">
        <v>55</v>
      </c>
      <c r="B31" s="3" t="s">
        <v>56</v>
      </c>
      <c r="C31">
        <v>6</v>
      </c>
      <c r="D31" s="3" t="s">
        <v>50</v>
      </c>
      <c r="E31">
        <v>32</v>
      </c>
      <c r="F31">
        <v>1</v>
      </c>
      <c r="G31" t="s">
        <v>13</v>
      </c>
      <c r="H31" s="2">
        <v>35136.78</v>
      </c>
      <c r="I31" s="2">
        <v>17170.349999999999</v>
      </c>
      <c r="J31">
        <v>18360</v>
      </c>
      <c r="K31" s="6">
        <f t="shared" si="6"/>
        <v>17966.43</v>
      </c>
      <c r="L31">
        <f>Data4[[#This Row],[Net Revenue]]/Data4[[#This Row],[Units]]</f>
        <v>0.9785637254901961</v>
      </c>
    </row>
    <row r="32" spans="1:37" x14ac:dyDescent="0.15">
      <c r="A32" s="3" t="s">
        <v>46</v>
      </c>
      <c r="B32" s="3" t="s">
        <v>47</v>
      </c>
      <c r="C32">
        <v>1</v>
      </c>
      <c r="D32" s="3" t="s">
        <v>48</v>
      </c>
      <c r="E32">
        <v>32</v>
      </c>
      <c r="F32">
        <v>1</v>
      </c>
      <c r="G32" t="s">
        <v>20</v>
      </c>
      <c r="H32" s="2">
        <v>3021.91</v>
      </c>
      <c r="I32" s="2">
        <v>1721</v>
      </c>
      <c r="J32">
        <v>2910</v>
      </c>
      <c r="K32" s="6">
        <f t="shared" si="6"/>
        <v>1300.9099999999999</v>
      </c>
      <c r="L32">
        <f>Data4[[#This Row],[Net Revenue]]/Data4[[#This Row],[Units]]</f>
        <v>0.44704810996563571</v>
      </c>
      <c r="N32" t="str" cm="1">
        <f t="array" ref="N32:AF34">TRANSPOSE(Table25[#All])</f>
        <v>Brand</v>
      </c>
      <c r="O32" t="str">
        <v>BigTex</v>
      </c>
      <c r="P32" t="str">
        <v>Biotta</v>
      </c>
      <c r="Q32" t="str">
        <v>Capri Sun</v>
      </c>
      <c r="R32" t="str">
        <v>Dole</v>
      </c>
      <c r="S32" t="str">
        <v>Dynamic</v>
      </c>
      <c r="T32" t="str">
        <v>Great Value</v>
      </c>
      <c r="U32" t="str">
        <v>Hawaiian Punch</v>
      </c>
      <c r="V32" t="str">
        <v>Jose Cuervo</v>
      </c>
      <c r="W32" t="str">
        <v>Jumex</v>
      </c>
      <c r="X32" t="str">
        <v>Lakewood</v>
      </c>
      <c r="Y32" t="str">
        <v>Minute Maid</v>
      </c>
      <c r="Z32" t="str">
        <v>Motts</v>
      </c>
      <c r="AA32" t="str">
        <v>Naked</v>
      </c>
      <c r="AB32" t="str">
        <v>Ocean Spray</v>
      </c>
      <c r="AC32" t="str">
        <v xml:space="preserve">Ocean Spray </v>
      </c>
      <c r="AD32" t="str">
        <v>Tropicana</v>
      </c>
      <c r="AE32" t="str">
        <v>V8</v>
      </c>
      <c r="AF32" t="str">
        <v>Welchs</v>
      </c>
    </row>
    <row r="33" spans="1:32" x14ac:dyDescent="0.15">
      <c r="A33" s="3" t="s">
        <v>40</v>
      </c>
      <c r="B33" s="3" t="s">
        <v>11</v>
      </c>
      <c r="C33">
        <v>6</v>
      </c>
      <c r="D33" s="3" t="s">
        <v>39</v>
      </c>
      <c r="E33">
        <v>32</v>
      </c>
      <c r="F33">
        <v>1</v>
      </c>
      <c r="G33" t="s">
        <v>13</v>
      </c>
      <c r="H33" s="2">
        <v>2546.85</v>
      </c>
      <c r="I33" s="2">
        <v>1379.67</v>
      </c>
      <c r="J33">
        <v>135</v>
      </c>
      <c r="K33" s="6">
        <f t="shared" si="6"/>
        <v>1167.1799999999998</v>
      </c>
      <c r="L33">
        <f>Data4[[#This Row],[Net Revenue]]/Data4[[#This Row],[Units]]</f>
        <v>8.6457777777777771</v>
      </c>
      <c r="N33" t="str">
        <v>Sales</v>
      </c>
      <c r="O33">
        <v>1175.32</v>
      </c>
      <c r="P33">
        <v>91.78</v>
      </c>
      <c r="Q33">
        <v>190908.56</v>
      </c>
      <c r="R33">
        <v>696059.92</v>
      </c>
      <c r="S33">
        <v>1138.81</v>
      </c>
      <c r="T33">
        <v>928693.01</v>
      </c>
      <c r="U33">
        <v>281164.25</v>
      </c>
      <c r="V33">
        <v>402.26</v>
      </c>
      <c r="W33">
        <v>2283.61</v>
      </c>
      <c r="X33">
        <v>6596.41</v>
      </c>
      <c r="Y33">
        <v>2281977.27</v>
      </c>
      <c r="Z33">
        <v>748667.85</v>
      </c>
      <c r="AA33">
        <v>181113.95</v>
      </c>
      <c r="AB33">
        <v>1402242.4100000001</v>
      </c>
      <c r="AC33">
        <v>0</v>
      </c>
      <c r="AD33">
        <v>1697601.8900000001</v>
      </c>
      <c r="AE33">
        <v>711777.12</v>
      </c>
      <c r="AF33">
        <v>614139.32000000007</v>
      </c>
    </row>
    <row r="34" spans="1:32" x14ac:dyDescent="0.15">
      <c r="A34" s="3" t="s">
        <v>43</v>
      </c>
      <c r="B34" s="3" t="s">
        <v>11</v>
      </c>
      <c r="C34">
        <v>6</v>
      </c>
      <c r="D34" s="3" t="s">
        <v>36</v>
      </c>
      <c r="E34">
        <v>32</v>
      </c>
      <c r="F34">
        <v>1</v>
      </c>
      <c r="G34" t="s">
        <v>31</v>
      </c>
      <c r="H34" s="2">
        <v>2877.89</v>
      </c>
      <c r="I34" s="2">
        <v>1815.09</v>
      </c>
      <c r="J34">
        <v>1354</v>
      </c>
      <c r="K34" s="6">
        <f t="shared" si="6"/>
        <v>1062.8</v>
      </c>
      <c r="L34">
        <f>Data4[[#This Row],[Net Revenue]]/Data4[[#This Row],[Units]]</f>
        <v>0.78493353028064994</v>
      </c>
      <c r="N34" t="str">
        <v>Count of Products</v>
      </c>
      <c r="O34">
        <v>1</v>
      </c>
      <c r="P34">
        <v>1</v>
      </c>
      <c r="Q34">
        <v>3</v>
      </c>
      <c r="R34">
        <v>6</v>
      </c>
      <c r="S34">
        <v>1</v>
      </c>
      <c r="T34">
        <v>5</v>
      </c>
      <c r="U34">
        <v>1</v>
      </c>
      <c r="V34">
        <v>1</v>
      </c>
      <c r="W34">
        <v>1</v>
      </c>
      <c r="X34">
        <v>4</v>
      </c>
      <c r="Y34">
        <v>4</v>
      </c>
      <c r="Z34">
        <v>3</v>
      </c>
      <c r="AA34">
        <v>2</v>
      </c>
      <c r="AB34">
        <v>6</v>
      </c>
      <c r="AC34">
        <v>0</v>
      </c>
      <c r="AD34">
        <v>4</v>
      </c>
      <c r="AE34">
        <v>5</v>
      </c>
      <c r="AF34">
        <v>2</v>
      </c>
    </row>
    <row r="35" spans="1:32" ht="14" x14ac:dyDescent="0.15">
      <c r="A35" s="3" t="s">
        <v>17</v>
      </c>
      <c r="B35" s="3" t="s">
        <v>18</v>
      </c>
      <c r="C35">
        <v>1</v>
      </c>
      <c r="D35" s="3" t="s">
        <v>19</v>
      </c>
      <c r="E35">
        <v>32</v>
      </c>
      <c r="F35">
        <v>1</v>
      </c>
      <c r="G35" t="s">
        <v>20</v>
      </c>
      <c r="H35" s="2">
        <v>402.26</v>
      </c>
      <c r="I35" s="2">
        <v>161.19</v>
      </c>
      <c r="J35">
        <v>203</v>
      </c>
      <c r="K35" s="6">
        <f t="shared" si="6"/>
        <v>241.07</v>
      </c>
      <c r="L35">
        <f>Data4[[#This Row],[Net Revenue]]/Data4[[#This Row],[Units]]</f>
        <v>1.1875369458128078</v>
      </c>
      <c r="M35" s="4"/>
    </row>
    <row r="36" spans="1:32" x14ac:dyDescent="0.15">
      <c r="A36" s="3" t="s">
        <v>10</v>
      </c>
      <c r="B36" s="3" t="s">
        <v>11</v>
      </c>
      <c r="C36">
        <v>1</v>
      </c>
      <c r="D36" s="3" t="s">
        <v>12</v>
      </c>
      <c r="E36">
        <v>32</v>
      </c>
      <c r="F36">
        <v>1</v>
      </c>
      <c r="G36" t="s">
        <v>13</v>
      </c>
      <c r="H36" s="2">
        <v>36.909999999999997</v>
      </c>
      <c r="I36" s="2">
        <v>18.149999999999999</v>
      </c>
      <c r="J36">
        <v>15</v>
      </c>
      <c r="K36" s="6">
        <f t="shared" si="6"/>
        <v>18.759999999999998</v>
      </c>
      <c r="L36">
        <f>Data4[[#This Row],[Net Revenue]]/Data4[[#This Row],[Units]]</f>
        <v>1.2506666666666666</v>
      </c>
    </row>
    <row r="37" spans="1:32" x14ac:dyDescent="0.15">
      <c r="A37" s="3" t="s">
        <v>87</v>
      </c>
      <c r="B37" s="3" t="s">
        <v>22</v>
      </c>
      <c r="C37">
        <v>1</v>
      </c>
      <c r="D37" s="3" t="s">
        <v>36</v>
      </c>
      <c r="E37">
        <v>46</v>
      </c>
      <c r="F37" s="3">
        <v>0</v>
      </c>
      <c r="G37" t="s">
        <v>20</v>
      </c>
      <c r="H37" s="2">
        <v>399949.13</v>
      </c>
      <c r="I37" s="2">
        <v>205741.56</v>
      </c>
      <c r="J37">
        <v>140840</v>
      </c>
      <c r="K37" s="6">
        <f t="shared" si="6"/>
        <v>194207.57</v>
      </c>
      <c r="L37">
        <f>Data4[[#This Row],[Net Revenue]]/Data4[[#This Row],[Units]]</f>
        <v>1.3789233882419767</v>
      </c>
    </row>
    <row r="38" spans="1:32" x14ac:dyDescent="0.15">
      <c r="A38" s="3" t="s">
        <v>54</v>
      </c>
      <c r="B38" s="3" t="s">
        <v>27</v>
      </c>
      <c r="C38">
        <v>1</v>
      </c>
      <c r="D38" s="3" t="s">
        <v>53</v>
      </c>
      <c r="E38">
        <v>46</v>
      </c>
      <c r="F38">
        <v>0</v>
      </c>
      <c r="G38" t="s">
        <v>31</v>
      </c>
      <c r="H38" s="2">
        <v>33118.230000000003</v>
      </c>
      <c r="I38" s="2">
        <v>16835.900000000001</v>
      </c>
      <c r="J38">
        <v>11578</v>
      </c>
      <c r="K38" s="6">
        <f t="shared" si="6"/>
        <v>16282.330000000002</v>
      </c>
      <c r="L38">
        <f>Data4[[#This Row],[Net Revenue]]/Data4[[#This Row],[Units]]</f>
        <v>1.4063162895145969</v>
      </c>
    </row>
    <row r="39" spans="1:32" x14ac:dyDescent="0.15">
      <c r="A39" s="3" t="s">
        <v>34</v>
      </c>
      <c r="B39" s="3" t="s">
        <v>35</v>
      </c>
      <c r="C39">
        <v>1</v>
      </c>
      <c r="D39" s="3" t="s">
        <v>36</v>
      </c>
      <c r="E39">
        <v>48</v>
      </c>
      <c r="F39">
        <v>1</v>
      </c>
      <c r="G39" t="s">
        <v>20</v>
      </c>
      <c r="H39" s="2">
        <v>1175.32</v>
      </c>
      <c r="I39" s="2">
        <v>471.19</v>
      </c>
      <c r="J39">
        <v>566</v>
      </c>
      <c r="K39" s="6">
        <f t="shared" si="6"/>
        <v>704.12999999999988</v>
      </c>
      <c r="L39">
        <f>Data4[[#This Row],[Net Revenue]]/Data4[[#This Row],[Units]]</f>
        <v>1.2440459363957594</v>
      </c>
    </row>
    <row r="40" spans="1:32" x14ac:dyDescent="0.15">
      <c r="A40" s="3" t="s">
        <v>64</v>
      </c>
      <c r="B40" s="3" t="s">
        <v>22</v>
      </c>
      <c r="C40">
        <v>1</v>
      </c>
      <c r="D40" s="3" t="s">
        <v>42</v>
      </c>
      <c r="E40">
        <v>59</v>
      </c>
      <c r="F40">
        <v>1</v>
      </c>
      <c r="G40" t="s">
        <v>20</v>
      </c>
      <c r="H40" s="2">
        <v>83504.78</v>
      </c>
      <c r="I40" s="2">
        <v>37603.43</v>
      </c>
      <c r="J40">
        <v>34048</v>
      </c>
      <c r="K40" s="6">
        <f t="shared" si="6"/>
        <v>45901.35</v>
      </c>
      <c r="L40">
        <f>Data4[[#This Row],[Net Revenue]]/Data4[[#This Row],[Units]]</f>
        <v>1.3481364544172931</v>
      </c>
    </row>
    <row r="41" spans="1:32" x14ac:dyDescent="0.15">
      <c r="A41" s="3" t="s">
        <v>61</v>
      </c>
      <c r="B41" s="3" t="s">
        <v>22</v>
      </c>
      <c r="C41">
        <v>1</v>
      </c>
      <c r="D41" s="3" t="s">
        <v>53</v>
      </c>
      <c r="E41">
        <v>59</v>
      </c>
      <c r="F41">
        <v>1</v>
      </c>
      <c r="G41" t="s">
        <v>20</v>
      </c>
      <c r="H41" s="2">
        <v>63960.05</v>
      </c>
      <c r="I41" s="2">
        <v>31328.03</v>
      </c>
      <c r="J41">
        <v>21534</v>
      </c>
      <c r="K41" s="6">
        <f t="shared" si="6"/>
        <v>32632.020000000004</v>
      </c>
      <c r="L41">
        <f>Data4[[#This Row],[Net Revenue]]/Data4[[#This Row],[Units]]</f>
        <v>1.5153719699080526</v>
      </c>
    </row>
    <row r="42" spans="1:32" x14ac:dyDescent="0.15">
      <c r="A42" s="3" t="s">
        <v>41</v>
      </c>
      <c r="B42" s="3" t="s">
        <v>22</v>
      </c>
      <c r="C42">
        <v>1</v>
      </c>
      <c r="D42" s="3" t="s">
        <v>42</v>
      </c>
      <c r="E42">
        <v>59</v>
      </c>
      <c r="F42">
        <v>1</v>
      </c>
      <c r="G42" t="s">
        <v>31</v>
      </c>
      <c r="H42" s="2">
        <v>2876.34</v>
      </c>
      <c r="I42" s="2">
        <v>1826.67</v>
      </c>
      <c r="J42">
        <v>1305</v>
      </c>
      <c r="K42" s="6">
        <f t="shared" si="6"/>
        <v>1049.67</v>
      </c>
      <c r="L42">
        <f>Data4[[#This Row],[Net Revenue]]/Data4[[#This Row],[Units]]</f>
        <v>0.80434482758620696</v>
      </c>
    </row>
    <row r="43" spans="1:32" x14ac:dyDescent="0.15">
      <c r="A43" s="3" t="s">
        <v>21</v>
      </c>
      <c r="B43" s="3" t="s">
        <v>22</v>
      </c>
      <c r="C43">
        <v>1</v>
      </c>
      <c r="D43" s="3" t="s">
        <v>23</v>
      </c>
      <c r="E43">
        <v>59</v>
      </c>
      <c r="F43">
        <v>1</v>
      </c>
      <c r="G43" t="s">
        <v>20</v>
      </c>
      <c r="H43" s="2">
        <v>1078.73</v>
      </c>
      <c r="I43" s="2">
        <v>621.97</v>
      </c>
      <c r="J43">
        <v>454</v>
      </c>
      <c r="K43" s="6">
        <f t="shared" si="6"/>
        <v>456.76</v>
      </c>
      <c r="L43">
        <f>Data4[[#This Row],[Net Revenue]]/Data4[[#This Row],[Units]]</f>
        <v>1.006079295154185</v>
      </c>
    </row>
    <row r="44" spans="1:32" x14ac:dyDescent="0.15">
      <c r="A44" s="3" t="s">
        <v>94</v>
      </c>
      <c r="B44" s="3" t="s">
        <v>27</v>
      </c>
      <c r="C44">
        <v>1</v>
      </c>
      <c r="D44" s="3" t="s">
        <v>67</v>
      </c>
      <c r="E44">
        <v>64</v>
      </c>
      <c r="F44">
        <v>0</v>
      </c>
      <c r="G44" t="s">
        <v>20</v>
      </c>
      <c r="H44" s="2">
        <v>542060.85</v>
      </c>
      <c r="I44" s="2">
        <v>266218.65000000002</v>
      </c>
      <c r="J44">
        <v>225033</v>
      </c>
      <c r="K44" s="6">
        <f t="shared" si="6"/>
        <v>275842.19999999995</v>
      </c>
      <c r="L44">
        <f>Data4[[#This Row],[Net Revenue]]/Data4[[#This Row],[Units]]</f>
        <v>1.2257855514524534</v>
      </c>
    </row>
    <row r="45" spans="1:32" x14ac:dyDescent="0.15">
      <c r="A45" s="3" t="s">
        <v>92</v>
      </c>
      <c r="B45" s="3" t="s">
        <v>56</v>
      </c>
      <c r="C45">
        <v>1</v>
      </c>
      <c r="D45" s="3" t="s">
        <v>73</v>
      </c>
      <c r="E45">
        <v>64</v>
      </c>
      <c r="F45">
        <v>0</v>
      </c>
      <c r="G45" t="s">
        <v>20</v>
      </c>
      <c r="H45" s="2">
        <v>513207.92</v>
      </c>
      <c r="I45" s="2">
        <v>251876.45</v>
      </c>
      <c r="J45">
        <v>219432</v>
      </c>
      <c r="K45" s="6">
        <f t="shared" si="6"/>
        <v>261331.46999999997</v>
      </c>
      <c r="L45">
        <f>Data4[[#This Row],[Net Revenue]]/Data4[[#This Row],[Units]]</f>
        <v>1.1909451219512195</v>
      </c>
    </row>
    <row r="46" spans="1:32" x14ac:dyDescent="0.15">
      <c r="A46" s="3" t="s">
        <v>83</v>
      </c>
      <c r="B46" s="3" t="s">
        <v>47</v>
      </c>
      <c r="C46">
        <v>1</v>
      </c>
      <c r="D46" s="3" t="s">
        <v>42</v>
      </c>
      <c r="E46">
        <v>64</v>
      </c>
      <c r="F46" s="3">
        <v>1</v>
      </c>
      <c r="G46" t="s">
        <v>20</v>
      </c>
      <c r="H46" s="2">
        <v>342292.4</v>
      </c>
      <c r="I46" s="2">
        <v>152073.01</v>
      </c>
      <c r="J46">
        <v>144506</v>
      </c>
      <c r="K46" s="6">
        <f t="shared" si="6"/>
        <v>190219.39</v>
      </c>
      <c r="L46">
        <f>Data4[[#This Row],[Net Revenue]]/Data4[[#This Row],[Units]]</f>
        <v>1.316342504809489</v>
      </c>
    </row>
    <row r="47" spans="1:32" x14ac:dyDescent="0.15">
      <c r="A47" s="3" t="s">
        <v>77</v>
      </c>
      <c r="B47" s="3" t="s">
        <v>60</v>
      </c>
      <c r="C47">
        <v>1</v>
      </c>
      <c r="D47" s="3" t="s">
        <v>58</v>
      </c>
      <c r="E47">
        <v>64</v>
      </c>
      <c r="F47">
        <v>1</v>
      </c>
      <c r="G47" t="s">
        <v>20</v>
      </c>
      <c r="H47" s="2">
        <v>226723.71</v>
      </c>
      <c r="I47" s="2">
        <v>111744.89</v>
      </c>
      <c r="J47">
        <v>97453</v>
      </c>
      <c r="K47" s="6">
        <f t="shared" si="6"/>
        <v>114978.81999999999</v>
      </c>
      <c r="L47">
        <f>Data4[[#This Row],[Net Revenue]]/Data4[[#This Row],[Units]]</f>
        <v>1.1798386914717862</v>
      </c>
    </row>
    <row r="48" spans="1:32" x14ac:dyDescent="0.15">
      <c r="A48" s="3" t="s">
        <v>68</v>
      </c>
      <c r="B48" s="3" t="s">
        <v>56</v>
      </c>
      <c r="C48">
        <v>1</v>
      </c>
      <c r="D48" s="3" t="s">
        <v>69</v>
      </c>
      <c r="E48">
        <v>64</v>
      </c>
      <c r="F48" s="3">
        <v>1</v>
      </c>
      <c r="G48" t="s">
        <v>20</v>
      </c>
      <c r="H48" s="2">
        <v>125759.9</v>
      </c>
      <c r="I48" s="2">
        <v>82487.100000000006</v>
      </c>
      <c r="J48">
        <v>67431</v>
      </c>
      <c r="K48" s="6">
        <f t="shared" si="6"/>
        <v>43272.799999999988</v>
      </c>
      <c r="L48">
        <f>Data4[[#This Row],[Net Revenue]]/Data4[[#This Row],[Units]]</f>
        <v>0.64173451379929092</v>
      </c>
    </row>
    <row r="49" spans="1:13" x14ac:dyDescent="0.15">
      <c r="A49" s="3" t="s">
        <v>51</v>
      </c>
      <c r="B49" s="3" t="s">
        <v>27</v>
      </c>
      <c r="C49">
        <v>1</v>
      </c>
      <c r="D49" s="3" t="s">
        <v>23</v>
      </c>
      <c r="E49">
        <v>64</v>
      </c>
      <c r="F49">
        <v>0</v>
      </c>
      <c r="G49" t="s">
        <v>13</v>
      </c>
      <c r="H49" s="2">
        <v>12007.5</v>
      </c>
      <c r="I49" s="2">
        <v>6159.54</v>
      </c>
      <c r="J49">
        <v>4858</v>
      </c>
      <c r="K49" s="6">
        <f t="shared" si="6"/>
        <v>5847.96</v>
      </c>
      <c r="L49">
        <f>Data4[[#This Row],[Net Revenue]]/Data4[[#This Row],[Units]]</f>
        <v>1.203779333058872</v>
      </c>
    </row>
    <row r="50" spans="1:13" x14ac:dyDescent="0.15">
      <c r="A50" s="3" t="s">
        <v>49</v>
      </c>
      <c r="B50" s="3" t="s">
        <v>47</v>
      </c>
      <c r="C50">
        <v>1</v>
      </c>
      <c r="D50" s="3" t="s">
        <v>50</v>
      </c>
      <c r="E50">
        <v>64</v>
      </c>
      <c r="F50">
        <v>1</v>
      </c>
      <c r="G50" t="s">
        <v>31</v>
      </c>
      <c r="H50" s="2">
        <v>3233.89</v>
      </c>
      <c r="I50" s="2">
        <v>1954.3</v>
      </c>
      <c r="J50">
        <v>1466</v>
      </c>
      <c r="K50" s="6">
        <f t="shared" si="6"/>
        <v>1279.5899999999999</v>
      </c>
      <c r="L50">
        <f>Data4[[#This Row],[Net Revenue]]/Data4[[#This Row],[Units]]</f>
        <v>0.87284447476125504</v>
      </c>
    </row>
    <row r="51" spans="1:13" x14ac:dyDescent="0.15">
      <c r="A51" s="3" t="s">
        <v>14</v>
      </c>
      <c r="B51" s="3" t="s">
        <v>15</v>
      </c>
      <c r="C51">
        <v>1</v>
      </c>
      <c r="D51" s="3" t="s">
        <v>16</v>
      </c>
      <c r="E51">
        <v>64</v>
      </c>
      <c r="F51">
        <v>0</v>
      </c>
      <c r="G51" t="s">
        <v>13</v>
      </c>
      <c r="H51" s="2">
        <v>91.78</v>
      </c>
      <c r="I51" s="2">
        <v>45</v>
      </c>
      <c r="J51">
        <v>31</v>
      </c>
      <c r="K51" s="6">
        <f t="shared" si="6"/>
        <v>46.78</v>
      </c>
      <c r="L51">
        <f>Data4[[#This Row],[Net Revenue]]/Data4[[#This Row],[Units]]</f>
        <v>1.5090322580645161</v>
      </c>
    </row>
    <row r="52" spans="1:13" x14ac:dyDescent="0.15">
      <c r="A52" s="3" t="s">
        <v>95</v>
      </c>
      <c r="B52" s="3" t="s">
        <v>85</v>
      </c>
      <c r="C52">
        <v>1</v>
      </c>
      <c r="D52" s="3" t="s">
        <v>42</v>
      </c>
      <c r="E52">
        <v>96</v>
      </c>
      <c r="F52">
        <v>0</v>
      </c>
      <c r="G52" t="s">
        <v>20</v>
      </c>
      <c r="H52" s="2">
        <v>1107428.77</v>
      </c>
      <c r="I52" s="2">
        <v>557768.15</v>
      </c>
      <c r="J52">
        <v>301667</v>
      </c>
      <c r="K52" s="6">
        <f t="shared" si="6"/>
        <v>549660.62</v>
      </c>
      <c r="L52">
        <f>Data4[[#This Row],[Net Revenue]]/Data4[[#This Row],[Units]]</f>
        <v>1.8220773899697349</v>
      </c>
    </row>
    <row r="53" spans="1:13" x14ac:dyDescent="0.15">
      <c r="A53" s="3" t="s">
        <v>91</v>
      </c>
      <c r="B53" s="3" t="s">
        <v>79</v>
      </c>
      <c r="C53">
        <v>1</v>
      </c>
      <c r="D53" s="3" t="s">
        <v>42</v>
      </c>
      <c r="E53">
        <v>96</v>
      </c>
      <c r="F53">
        <v>0</v>
      </c>
      <c r="G53" t="s">
        <v>20</v>
      </c>
      <c r="H53" s="2">
        <v>661578.37</v>
      </c>
      <c r="I53" s="2">
        <v>320563.3</v>
      </c>
      <c r="J53">
        <v>311767</v>
      </c>
      <c r="K53" s="6">
        <f t="shared" si="6"/>
        <v>341015.07</v>
      </c>
      <c r="L53">
        <f>Data4[[#This Row],[Net Revenue]]/Data4[[#This Row],[Units]]</f>
        <v>1.0938138738224379</v>
      </c>
    </row>
    <row r="54" spans="1:13" x14ac:dyDescent="0.15">
      <c r="A54" s="3" t="s">
        <v>93</v>
      </c>
      <c r="B54" s="3" t="s">
        <v>47</v>
      </c>
      <c r="C54">
        <v>1</v>
      </c>
      <c r="D54" s="3" t="s">
        <v>58</v>
      </c>
      <c r="E54">
        <v>96</v>
      </c>
      <c r="F54">
        <v>1</v>
      </c>
      <c r="G54" t="s">
        <v>20</v>
      </c>
      <c r="H54" s="2">
        <v>538409.41</v>
      </c>
      <c r="I54" s="2">
        <v>246833.19</v>
      </c>
      <c r="J54">
        <v>231284</v>
      </c>
      <c r="K54" s="6">
        <f t="shared" si="6"/>
        <v>291576.22000000003</v>
      </c>
      <c r="L54">
        <f>Data4[[#This Row],[Net Revenue]]/Data4[[#This Row],[Units]]</f>
        <v>1.2606847858044656</v>
      </c>
    </row>
    <row r="55" spans="1:13" ht="14" x14ac:dyDescent="0.15">
      <c r="A55" s="3" t="s">
        <v>89</v>
      </c>
      <c r="B55" s="3" t="s">
        <v>72</v>
      </c>
      <c r="C55">
        <v>1</v>
      </c>
      <c r="D55" s="3" t="s">
        <v>73</v>
      </c>
      <c r="E55">
        <v>96</v>
      </c>
      <c r="F55">
        <v>1</v>
      </c>
      <c r="G55" t="s">
        <v>20</v>
      </c>
      <c r="H55" s="2">
        <v>459302.59</v>
      </c>
      <c r="I55" s="2">
        <v>226777.36</v>
      </c>
      <c r="J55">
        <v>197596</v>
      </c>
      <c r="K55" s="6">
        <f t="shared" si="6"/>
        <v>232525.23000000004</v>
      </c>
      <c r="L55">
        <f>Data4[[#This Row],[Net Revenue]]/Data4[[#This Row],[Units]]</f>
        <v>1.176770936658637</v>
      </c>
      <c r="M55" s="4"/>
    </row>
    <row r="56" spans="1:13" x14ac:dyDescent="0.15">
      <c r="A56" s="3" t="s">
        <v>75</v>
      </c>
      <c r="B56" s="3" t="s">
        <v>56</v>
      </c>
      <c r="C56">
        <v>1</v>
      </c>
      <c r="D56" s="3" t="s">
        <v>76</v>
      </c>
      <c r="E56">
        <v>128</v>
      </c>
      <c r="F56">
        <v>1</v>
      </c>
      <c r="G56" t="s">
        <v>20</v>
      </c>
      <c r="H56" s="2">
        <v>559499.29</v>
      </c>
      <c r="I56" s="2">
        <v>274788.36</v>
      </c>
      <c r="J56">
        <v>232125</v>
      </c>
      <c r="K56" s="6">
        <f t="shared" si="6"/>
        <v>284710.93000000005</v>
      </c>
      <c r="L56">
        <f>Data4[[#This Row],[Net Revenue]]/Data4[[#This Row],[Units]]</f>
        <v>1.2265414324178785</v>
      </c>
    </row>
    <row r="57" spans="1:13" x14ac:dyDescent="0.15">
      <c r="A57" s="3" t="s">
        <v>90</v>
      </c>
      <c r="B57" s="3" t="s">
        <v>60</v>
      </c>
      <c r="C57">
        <v>1</v>
      </c>
      <c r="D57" s="3" t="s">
        <v>58</v>
      </c>
      <c r="E57">
        <v>128</v>
      </c>
      <c r="F57">
        <v>1</v>
      </c>
      <c r="G57" t="s">
        <v>20</v>
      </c>
      <c r="H57" s="2">
        <v>474409.1</v>
      </c>
      <c r="I57" s="2">
        <v>249628.51</v>
      </c>
      <c r="J57">
        <v>201608</v>
      </c>
      <c r="K57" s="6">
        <f t="shared" si="6"/>
        <v>224780.58999999997</v>
      </c>
      <c r="L57">
        <f>Data4[[#This Row],[Net Revenue]]/Data4[[#This Row],[Units]]</f>
        <v>1.1149388417126302</v>
      </c>
    </row>
    <row r="58" spans="1:13" x14ac:dyDescent="0.15">
      <c r="A58" s="3" t="s">
        <v>80</v>
      </c>
      <c r="B58" s="3" t="s">
        <v>81</v>
      </c>
      <c r="C58">
        <v>1</v>
      </c>
      <c r="D58" s="3" t="s">
        <v>12</v>
      </c>
      <c r="E58">
        <v>128</v>
      </c>
      <c r="F58">
        <v>1</v>
      </c>
      <c r="G58" t="s">
        <v>20</v>
      </c>
      <c r="H58" s="2">
        <v>281164.25</v>
      </c>
      <c r="I58" s="2">
        <v>137978.46</v>
      </c>
      <c r="J58">
        <v>120350</v>
      </c>
      <c r="K58" s="6">
        <f t="shared" si="6"/>
        <v>143185.79</v>
      </c>
      <c r="L58">
        <f>Data4[[#This Row],[Net Revenue]]/Data4[[#This Row],[Units]]</f>
        <v>1.189744827586207</v>
      </c>
    </row>
    <row r="61" spans="1:13" x14ac:dyDescent="0.15">
      <c r="C61" s="7"/>
      <c r="E61" s="8"/>
      <c r="F61" s="8"/>
    </row>
    <row r="62" spans="1:13" x14ac:dyDescent="0.15">
      <c r="B62" s="7"/>
      <c r="C62" s="7"/>
      <c r="E62" s="8"/>
      <c r="F62" s="8"/>
    </row>
    <row r="63" spans="1:13" x14ac:dyDescent="0.15">
      <c r="B63" s="7"/>
      <c r="C63" s="7"/>
      <c r="E63" s="8"/>
      <c r="F63" s="8"/>
    </row>
    <row r="64" spans="1:13" x14ac:dyDescent="0.15">
      <c r="B64" s="7"/>
      <c r="C64" s="7"/>
      <c r="E64" s="8"/>
      <c r="F64" s="8"/>
    </row>
    <row r="65" spans="2:6" x14ac:dyDescent="0.15">
      <c r="B65" s="7"/>
      <c r="C65" s="7"/>
      <c r="E65" s="8"/>
      <c r="F65" s="8"/>
    </row>
  </sheetData>
  <conditionalFormatting sqref="A9:A58">
    <cfRule type="expression" dxfId="0" priority="2">
      <formula>G9="Inactive"</formula>
    </cfRule>
  </conditionalFormatting>
  <conditionalFormatting sqref="K10:L5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{15144179-4AC7-4793-BE88-2E3F90D404B6}</x14:id>
        </ext>
      </extLst>
    </cfRule>
  </conditionalFormatting>
  <pageMargins left="0.7" right="0.7" top="0.75" bottom="0.75" header="0.3" footer="0.3"/>
  <pageSetup orientation="portrait" horizontalDpi="4294967295" verticalDpi="4294967295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144179-4AC7-4793-BE88-2E3F90D404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K10:L58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Juice Start</vt:lpstr>
      <vt:lpstr>Juice Start (2)</vt:lpstr>
      <vt:lpstr>Juice Start (3)</vt:lpstr>
      <vt:lpstr>Juice Start (4)</vt:lpstr>
      <vt:lpstr>'Juice Start (4)'!Brand</vt:lpstr>
      <vt:lpstr>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McClung</dc:creator>
  <cp:lastModifiedBy>Brody Blanchard</cp:lastModifiedBy>
  <dcterms:created xsi:type="dcterms:W3CDTF">2021-10-27T13:51:51Z</dcterms:created>
  <dcterms:modified xsi:type="dcterms:W3CDTF">2026-03-03T03:16:49Z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88ad8-4875-42e6-925c-bd11f6824504_Enabled">
    <vt:lpwstr>true</vt:lpwstr>
  </property>
  <property fmtid="{D5CDD505-2E9C-101B-9397-08002B2CF9AE}" pid="3" name="MSIP_Label_33188ad8-4875-42e6-925c-bd11f6824504_SetDate">
    <vt:lpwstr>2024-09-06T12:28:56Z</vt:lpwstr>
  </property>
  <property fmtid="{D5CDD505-2E9C-101B-9397-08002B2CF9AE}" pid="4" name="MSIP_Label_33188ad8-4875-42e6-925c-bd11f6824504_Method">
    <vt:lpwstr>Standard</vt:lpwstr>
  </property>
  <property fmtid="{D5CDD505-2E9C-101B-9397-08002B2CF9AE}" pid="5" name="MSIP_Label_33188ad8-4875-42e6-925c-bd11f6824504_Name">
    <vt:lpwstr>defa4170-0d19-0005-0004-bc88714345d2</vt:lpwstr>
  </property>
  <property fmtid="{D5CDD505-2E9C-101B-9397-08002B2CF9AE}" pid="6" name="MSIP_Label_33188ad8-4875-42e6-925c-bd11f6824504_SiteId">
    <vt:lpwstr>8143a300-2c64-4dd4-bb14-bcd3f04c1963</vt:lpwstr>
  </property>
  <property fmtid="{D5CDD505-2E9C-101B-9397-08002B2CF9AE}" pid="7" name="MSIP_Label_33188ad8-4875-42e6-925c-bd11f6824504_ActionId">
    <vt:lpwstr>60cf9161-5e03-492c-9284-7906969cb3a8</vt:lpwstr>
  </property>
  <property fmtid="{D5CDD505-2E9C-101B-9397-08002B2CF9AE}" pid="8" name="MSIP_Label_33188ad8-4875-42e6-925c-bd11f6824504_ContentBits">
    <vt:lpwstr>0</vt:lpwstr>
  </property>
</Properties>
</file>