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filterPrivacy="1"/>
  <xr:revisionPtr revIDLastSave="0" documentId="13_ncr:1_{36A8AAFA-6AAF-0C41-B4C1-DDF3E64A43C4}" xr6:coauthVersionLast="47" xr6:coauthVersionMax="47" xr10:uidLastSave="{00000000-0000-0000-0000-000000000000}"/>
  <bookViews>
    <workbookView xWindow="0" yWindow="0" windowWidth="38400" windowHeight="21600" xr2:uid="{00000000-000D-0000-FFFF-FFFF00000000}"/>
  </bookViews>
  <sheets>
    <sheet name="1-computers" sheetId="1" r:id="rId1"/>
    <sheet name="2-investments" sheetId="2" r:id="rId2"/>
    <sheet name="3-projects" sheetId="3" r:id="rId3"/>
    <sheet name="4-hours" sheetId="4" r:id="rId4"/>
    <sheet name="5-portfolio" sheetId="5" r:id="rId5"/>
    <sheet name="6-shipping" sheetId="7" r:id="rId6"/>
  </sheets>
  <definedNames>
    <definedName name="solver_adj" localSheetId="0" hidden="1">'1-computers'!$E$3:$E$4</definedName>
    <definedName name="solver_adj" localSheetId="1" hidden="1">'2-investments'!$D$3:$D$8</definedName>
    <definedName name="solver_adj" localSheetId="2" hidden="1">'3-projects'!$E$3:$E$8</definedName>
    <definedName name="solver_adj" localSheetId="3" hidden="1">'4-hours'!$E$3:$E$5</definedName>
    <definedName name="solver_adj" localSheetId="4" hidden="1">'5-portfolio'!$F$3:$F$7</definedName>
    <definedName name="solver_adj" localSheetId="5" hidden="1">'6-shipping'!$I$3:$K$4</definedName>
    <definedName name="solver_cvg" localSheetId="0" hidden="1">0.0001</definedName>
    <definedName name="solver_cvg" localSheetId="1" hidden="1">0.0001</definedName>
    <definedName name="solver_cvg" localSheetId="3" hidden="1">0.0001</definedName>
    <definedName name="solver_cvg" localSheetId="4" hidden="1">0.0001</definedName>
    <definedName name="solver_cvg" localSheetId="5" hidden="1">0.0001</definedName>
    <definedName name="solver_drv" localSheetId="0" hidden="1">1</definedName>
    <definedName name="solver_drv" localSheetId="1" hidden="1">1</definedName>
    <definedName name="solver_drv" localSheetId="3" hidden="1">1</definedName>
    <definedName name="solver_drv" localSheetId="4" hidden="1">2</definedName>
    <definedName name="solver_drv" localSheetId="5" hidden="1">1</definedName>
    <definedName name="solver_eng" localSheetId="0" hidden="1">2</definedName>
    <definedName name="solver_eng" localSheetId="1" hidden="1">2</definedName>
    <definedName name="solver_eng" localSheetId="2" hidden="1">1</definedName>
    <definedName name="solver_eng" localSheetId="3" hidden="1">1</definedName>
    <definedName name="solver_eng" localSheetId="4" hidden="1">1</definedName>
    <definedName name="solver_eng" localSheetId="5" hidden="1">2</definedName>
    <definedName name="solver_est" localSheetId="0" hidden="1">1</definedName>
    <definedName name="solver_est" localSheetId="1" hidden="1">1</definedName>
    <definedName name="solver_est" localSheetId="3" hidden="1">1</definedName>
    <definedName name="solver_est" localSheetId="4" hidden="1">1</definedName>
    <definedName name="solver_est" localSheetId="5" hidden="1">1</definedName>
    <definedName name="solver_itr" localSheetId="0" hidden="1">2147483647</definedName>
    <definedName name="solver_itr" localSheetId="1" hidden="1">2147483647</definedName>
    <definedName name="solver_itr" localSheetId="3" hidden="1">2147483647</definedName>
    <definedName name="solver_itr" localSheetId="4" hidden="1">2147483647</definedName>
    <definedName name="solver_itr" localSheetId="5" hidden="1">2147483647</definedName>
    <definedName name="solver_lhs1" localSheetId="0" hidden="1">'1-computers'!$H$13:$H$14</definedName>
    <definedName name="solver_lhs1" localSheetId="1" hidden="1">'2-investments'!$H$12</definedName>
    <definedName name="solver_lhs1" localSheetId="2" hidden="1">'3-projects'!$G$16</definedName>
    <definedName name="solver_lhs1" localSheetId="3" hidden="1">'4-hours'!$E$3:$E$5</definedName>
    <definedName name="solver_lhs1" localSheetId="4" hidden="1">'5-portfolio'!$H$14</definedName>
    <definedName name="solver_lhs1" localSheetId="5" hidden="1">'6-shipping'!$I$3:$K$4</definedName>
    <definedName name="solver_lhs2" localSheetId="0" hidden="1">'1-computers'!$E$3:$E$4</definedName>
    <definedName name="solver_lhs2" localSheetId="1" hidden="1">'2-investments'!$D$3:$D$8</definedName>
    <definedName name="solver_lhs2" localSheetId="2" hidden="1">'3-projects'!$G$17</definedName>
    <definedName name="solver_lhs2" localSheetId="3" hidden="1">'4-hours'!$G$13</definedName>
    <definedName name="solver_lhs2" localSheetId="4" hidden="1">'5-portfolio'!$F$3:$F$7</definedName>
    <definedName name="solver_lhs2" localSheetId="5" hidden="1">'6-shipping'!$I$5:$K$5</definedName>
    <definedName name="solver_lhs3" localSheetId="0" hidden="1">'1-computers'!$G$5</definedName>
    <definedName name="solver_lhs3" localSheetId="2" hidden="1">'3-projects'!$E$3:$E$8</definedName>
    <definedName name="solver_lhs3" localSheetId="3" hidden="1">'4-hours'!$E$3:$E$5</definedName>
    <definedName name="solver_lhs3" localSheetId="4" hidden="1">'5-portfolio'!$F$3:$F$7</definedName>
    <definedName name="solver_lhs3" localSheetId="5" hidden="1">'6-shipping'!$L$3:$L$4</definedName>
    <definedName name="solver_lhs4" localSheetId="4" hidden="1">'5-portfolio'!$F$3:$F$7</definedName>
    <definedName name="solver_mip" localSheetId="0" hidden="1">2147483647</definedName>
    <definedName name="solver_mip" localSheetId="1" hidden="1">2147483647</definedName>
    <definedName name="solver_mip" localSheetId="3" hidden="1">2147483647</definedName>
    <definedName name="solver_mip" localSheetId="4" hidden="1">2147483647</definedName>
    <definedName name="solver_mip" localSheetId="5" hidden="1">2147483647</definedName>
    <definedName name="solver_mni" localSheetId="0" hidden="1">30</definedName>
    <definedName name="solver_mni" localSheetId="1" hidden="1">30</definedName>
    <definedName name="solver_mni" localSheetId="3" hidden="1">30</definedName>
    <definedName name="solver_mni" localSheetId="4" hidden="1">30</definedName>
    <definedName name="solver_mni" localSheetId="5" hidden="1">30</definedName>
    <definedName name="solver_mrt" localSheetId="0" hidden="1">0.075</definedName>
    <definedName name="solver_mrt" localSheetId="1" hidden="1">0.075</definedName>
    <definedName name="solver_mrt" localSheetId="3" hidden="1">0.075</definedName>
    <definedName name="solver_mrt" localSheetId="4" hidden="1">0.075</definedName>
    <definedName name="solver_mrt" localSheetId="5" hidden="1">0.075</definedName>
    <definedName name="solver_msl" localSheetId="0" hidden="1">2</definedName>
    <definedName name="solver_msl" localSheetId="1" hidden="1">2</definedName>
    <definedName name="solver_msl" localSheetId="3" hidden="1">2</definedName>
    <definedName name="solver_msl" localSheetId="4" hidden="1">2</definedName>
    <definedName name="solver_msl" localSheetId="5" hidden="1">2</definedName>
    <definedName name="solver_neg" localSheetId="0" hidden="1">1</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od" localSheetId="0" hidden="1">2147483647</definedName>
    <definedName name="solver_nod" localSheetId="1" hidden="1">2147483647</definedName>
    <definedName name="solver_nod" localSheetId="3" hidden="1">2147483647</definedName>
    <definedName name="solver_nod" localSheetId="4" hidden="1">2147483647</definedName>
    <definedName name="solver_nod" localSheetId="5" hidden="1">2147483647</definedName>
    <definedName name="solver_num" localSheetId="0" hidden="1">2</definedName>
    <definedName name="solver_num" localSheetId="1" hidden="1">2</definedName>
    <definedName name="solver_num" localSheetId="2" hidden="1">3</definedName>
    <definedName name="solver_num" localSheetId="3" hidden="1">3</definedName>
    <definedName name="solver_num" localSheetId="4" hidden="1">4</definedName>
    <definedName name="solver_num" localSheetId="5" hidden="1">3</definedName>
    <definedName name="solver_nwt" localSheetId="0" hidden="1">1</definedName>
    <definedName name="solver_nwt" localSheetId="1" hidden="1">1</definedName>
    <definedName name="solver_nwt" localSheetId="3" hidden="1">1</definedName>
    <definedName name="solver_nwt" localSheetId="4" hidden="1">1</definedName>
    <definedName name="solver_nwt" localSheetId="5" hidden="1">1</definedName>
    <definedName name="solver_opt" localSheetId="0" hidden="1">'1-computers'!$H$5</definedName>
    <definedName name="solver_opt" localSheetId="1" hidden="1">'2-investments'!$F$9</definedName>
    <definedName name="solver_opt" localSheetId="2" hidden="1">'3-projects'!$H$9</definedName>
    <definedName name="solver_opt" localSheetId="3" hidden="1">'4-hours'!$G$6</definedName>
    <definedName name="solver_opt" localSheetId="4" hidden="1">'5-portfolio'!$G$8</definedName>
    <definedName name="solver_opt" localSheetId="5" hidden="1">'6-shipping'!$J$11</definedName>
    <definedName name="solver_pre" localSheetId="0" hidden="1">0.000001</definedName>
    <definedName name="solver_pre" localSheetId="1" hidden="1">0.000001</definedName>
    <definedName name="solver_pre" localSheetId="3" hidden="1">0.000001</definedName>
    <definedName name="solver_pre" localSheetId="4" hidden="1">0.000001</definedName>
    <definedName name="solver_pre" localSheetId="5" hidden="1">0.000001</definedName>
    <definedName name="solver_rbv" localSheetId="0" hidden="1">1</definedName>
    <definedName name="solver_rbv" localSheetId="1" hidden="1">1</definedName>
    <definedName name="solver_rbv" localSheetId="3" hidden="1">1</definedName>
    <definedName name="solver_rbv" localSheetId="4" hidden="1">2</definedName>
    <definedName name="solver_rbv" localSheetId="5" hidden="1">1</definedName>
    <definedName name="solver_rel1" localSheetId="0" hidden="1">1</definedName>
    <definedName name="solver_rel1" localSheetId="1" hidden="1">1</definedName>
    <definedName name="solver_rel1" localSheetId="2" hidden="1">1</definedName>
    <definedName name="solver_rel1" localSheetId="3" hidden="1">1</definedName>
    <definedName name="solver_rel1" localSheetId="4" hidden="1">2</definedName>
    <definedName name="solver_rel1" localSheetId="5" hidden="1">4</definedName>
    <definedName name="solver_rel2" localSheetId="0" hidden="1">4</definedName>
    <definedName name="solver_rel2" localSheetId="1" hidden="1">5</definedName>
    <definedName name="solver_rel2" localSheetId="2" hidden="1">1</definedName>
    <definedName name="solver_rel2" localSheetId="3" hidden="1">2</definedName>
    <definedName name="solver_rel2" localSheetId="4" hidden="1">4</definedName>
    <definedName name="solver_rel2" localSheetId="5" hidden="1">3</definedName>
    <definedName name="solver_rel3" localSheetId="0" hidden="1">1</definedName>
    <definedName name="solver_rel3" localSheetId="2" hidden="1">5</definedName>
    <definedName name="solver_rel3" localSheetId="3" hidden="1">4</definedName>
    <definedName name="solver_rel3" localSheetId="4" hidden="1">1</definedName>
    <definedName name="solver_rel3" localSheetId="5" hidden="1">1</definedName>
    <definedName name="solver_rel4" localSheetId="4" hidden="1">3</definedName>
    <definedName name="solver_rhs1" localSheetId="0" hidden="1">'1-computers'!$G$13:$G$14</definedName>
    <definedName name="solver_rhs1" localSheetId="1" hidden="1">'2-investments'!$G$12</definedName>
    <definedName name="solver_rhs1" localSheetId="2" hidden="1">'3-projects'!$F$16</definedName>
    <definedName name="solver_rhs1" localSheetId="3" hidden="1">'4-hours'!$D$3:$D$5</definedName>
    <definedName name="solver_rhs1" localSheetId="4" hidden="1">'5-portfolio'!$G$14</definedName>
    <definedName name="solver_rhs2" localSheetId="2" hidden="1">'3-projects'!$F$17</definedName>
    <definedName name="solver_rhs2" localSheetId="3" hidden="1">'4-hours'!$F$13</definedName>
    <definedName name="solver_rhs2" localSheetId="5" hidden="1">'6-shipping'!$B$5:$D$5</definedName>
    <definedName name="solver_rhs3" localSheetId="0" hidden="1">'1-computers'!$C$5</definedName>
    <definedName name="solver_rhs3" localSheetId="4" hidden="1">'5-portfolio'!$E$3:$E$7</definedName>
    <definedName name="solver_rhs3" localSheetId="5" hidden="1">'6-shipping'!$E$3:$E$4</definedName>
    <definedName name="solver_rhs4" localSheetId="4" hidden="1">'5-portfolio'!$D$3:$D$7</definedName>
    <definedName name="solver_rlx" localSheetId="0" hidden="1">2</definedName>
    <definedName name="solver_rlx" localSheetId="1" hidden="1">2</definedName>
    <definedName name="solver_rlx" localSheetId="3" hidden="1">2</definedName>
    <definedName name="solver_rlx" localSheetId="4" hidden="1">2</definedName>
    <definedName name="solver_rlx" localSheetId="5" hidden="1">2</definedName>
    <definedName name="solver_rsd" localSheetId="0" hidden="1">0</definedName>
    <definedName name="solver_rsd" localSheetId="1" hidden="1">0</definedName>
    <definedName name="solver_rsd" localSheetId="3" hidden="1">0</definedName>
    <definedName name="solver_rsd" localSheetId="4" hidden="1">0</definedName>
    <definedName name="solver_rsd" localSheetId="5" hidden="1">0</definedName>
    <definedName name="solver_rxc1" localSheetId="0" hidden="1">1</definedName>
    <definedName name="solver_rxc1" localSheetId="1" hidden="1">1</definedName>
    <definedName name="solver_rxc1" localSheetId="2" hidden="1">1</definedName>
    <definedName name="solver_rxc1" localSheetId="3" hidden="1">1</definedName>
    <definedName name="solver_rxc1" localSheetId="4" hidden="1">1</definedName>
    <definedName name="solver_rxc1" localSheetId="5" hidden="1">1</definedName>
    <definedName name="solver_rxc2" localSheetId="2" hidden="1">1</definedName>
    <definedName name="solver_rxc2" localSheetId="4" hidden="1">1</definedName>
    <definedName name="solver_rxc2" localSheetId="5" hidden="1">1</definedName>
    <definedName name="solver_rxc3" localSheetId="4" hidden="1">1</definedName>
    <definedName name="solver_rxv" localSheetId="0" hidden="1">1</definedName>
    <definedName name="solver_rxv" localSheetId="1" hidden="1">1</definedName>
    <definedName name="solver_rxv" localSheetId="2" hidden="1">1</definedName>
    <definedName name="solver_rxv" localSheetId="3" hidden="1">1</definedName>
    <definedName name="solver_rxv" localSheetId="4" hidden="1">1</definedName>
    <definedName name="solver_rxv" localSheetId="5" hidden="1">1</definedName>
    <definedName name="solver_scl" localSheetId="0" hidden="1">1</definedName>
    <definedName name="solver_scl" localSheetId="1" hidden="1">1</definedName>
    <definedName name="solver_scl" localSheetId="3" hidden="1">1</definedName>
    <definedName name="solver_scl" localSheetId="4" hidden="1">2</definedName>
    <definedName name="solver_scl" localSheetId="5" hidden="1">1</definedName>
    <definedName name="solver_sho" localSheetId="0" hidden="1">2</definedName>
    <definedName name="solver_sho" localSheetId="1" hidden="1">2</definedName>
    <definedName name="solver_sho" localSheetId="3" hidden="1">2</definedName>
    <definedName name="solver_sho" localSheetId="4" hidden="1">2</definedName>
    <definedName name="solver_sho" localSheetId="5" hidden="1">2</definedName>
    <definedName name="solver_ssz" localSheetId="0" hidden="1">100</definedName>
    <definedName name="solver_ssz" localSheetId="1" hidden="1">100</definedName>
    <definedName name="solver_ssz" localSheetId="3" hidden="1">100</definedName>
    <definedName name="solver_ssz" localSheetId="4" hidden="1">100</definedName>
    <definedName name="solver_ssz" localSheetId="5" hidden="1">100</definedName>
    <definedName name="solver_tim" localSheetId="0" hidden="1">2147483647</definedName>
    <definedName name="solver_tim" localSheetId="1" hidden="1">2147483647</definedName>
    <definedName name="solver_tim" localSheetId="3" hidden="1">2147483647</definedName>
    <definedName name="solver_tim" localSheetId="4" hidden="1">2147483647</definedName>
    <definedName name="solver_tim" localSheetId="5" hidden="1">2147483647</definedName>
    <definedName name="solver_tol" localSheetId="0" hidden="1">0.01</definedName>
    <definedName name="solver_tol" localSheetId="1" hidden="1">0.01</definedName>
    <definedName name="solver_tol" localSheetId="3" hidden="1">0.01</definedName>
    <definedName name="solver_tol" localSheetId="4" hidden="1">0.01</definedName>
    <definedName name="solver_tol" localSheetId="5" hidden="1">0.01</definedName>
    <definedName name="solver_typ" localSheetId="0" hidden="1">1</definedName>
    <definedName name="solver_typ" localSheetId="1" hidden="1">1</definedName>
    <definedName name="solver_typ" localSheetId="2" hidden="1">1</definedName>
    <definedName name="solver_typ" localSheetId="3" hidden="1">2</definedName>
    <definedName name="solver_typ" localSheetId="4" hidden="1">2</definedName>
    <definedName name="solver_typ" localSheetId="5" hidden="1">2</definedName>
    <definedName name="solver_val" localSheetId="0" hidden="1">0</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er" localSheetId="0" hidden="1">3</definedName>
    <definedName name="solver_ver" localSheetId="1" hidden="1">3</definedName>
    <definedName name="solver_ver" localSheetId="2" hidden="1">3</definedName>
    <definedName name="solver_ver" localSheetId="3" hidden="1">3</definedName>
    <definedName name="solver_ver" localSheetId="4" hidden="1">3</definedName>
    <definedName name="solver_ver" localSheetId="5"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7" l="1"/>
  <c r="K5" i="7"/>
  <c r="J5" i="7"/>
  <c r="I5" i="7"/>
  <c r="L4" i="7"/>
  <c r="L3" i="7"/>
  <c r="H14" i="5"/>
  <c r="G4" i="5"/>
  <c r="G5" i="5"/>
  <c r="G6" i="5"/>
  <c r="G7" i="5"/>
  <c r="G3" i="5"/>
  <c r="G8" i="5" s="1"/>
  <c r="F4" i="4"/>
  <c r="G4" i="4"/>
  <c r="F5" i="4"/>
  <c r="G5" i="4"/>
  <c r="G3" i="4"/>
  <c r="G6" i="4" s="1"/>
  <c r="F3" i="4"/>
  <c r="G13" i="4" s="1"/>
  <c r="H4" i="3"/>
  <c r="H5" i="3"/>
  <c r="H6" i="3"/>
  <c r="H7" i="3"/>
  <c r="H8" i="3"/>
  <c r="H3" i="3"/>
  <c r="G4" i="3"/>
  <c r="G5" i="3"/>
  <c r="G6" i="3"/>
  <c r="G7" i="3"/>
  <c r="G8" i="3"/>
  <c r="G3" i="3"/>
  <c r="F5" i="3"/>
  <c r="F6" i="3"/>
  <c r="F7" i="3"/>
  <c r="F8" i="3"/>
  <c r="F4" i="3"/>
  <c r="F3" i="3"/>
  <c r="F4" i="2"/>
  <c r="F5" i="2"/>
  <c r="F6" i="2"/>
  <c r="F7" i="2"/>
  <c r="F8" i="2"/>
  <c r="F3" i="2"/>
  <c r="E4" i="2"/>
  <c r="E5" i="2"/>
  <c r="E6" i="2"/>
  <c r="E7" i="2"/>
  <c r="E8" i="2"/>
  <c r="E3" i="2"/>
  <c r="H4" i="1"/>
  <c r="H3" i="1"/>
  <c r="H5" i="1" s="1"/>
  <c r="G4" i="1"/>
  <c r="G3" i="1"/>
  <c r="H14" i="1" s="1"/>
  <c r="F4" i="1"/>
  <c r="H13" i="1" s="1"/>
  <c r="F3" i="1"/>
  <c r="G9" i="3" l="1"/>
  <c r="G17" i="3" s="1"/>
  <c r="F9" i="3"/>
  <c r="G16" i="3" s="1"/>
  <c r="H9" i="3"/>
  <c r="F9" i="2"/>
  <c r="H12" i="2"/>
</calcChain>
</file>

<file path=xl/sharedStrings.xml><?xml version="1.0" encoding="utf-8"?>
<sst xmlns="http://schemas.openxmlformats.org/spreadsheetml/2006/main" count="136" uniqueCount="99">
  <si>
    <t>Memory</t>
  </si>
  <si>
    <t>Processors</t>
  </si>
  <si>
    <t>Profit / Unit</t>
  </si>
  <si>
    <t>Comp 1</t>
  </si>
  <si>
    <t>Comp 2</t>
  </si>
  <si>
    <t>Investment</t>
  </si>
  <si>
    <t>NPV</t>
  </si>
  <si>
    <t>Project Hours</t>
  </si>
  <si>
    <t>A</t>
  </si>
  <si>
    <t>B</t>
  </si>
  <si>
    <t>C</t>
  </si>
  <si>
    <t>D</t>
  </si>
  <si>
    <t>E</t>
  </si>
  <si>
    <t>F</t>
  </si>
  <si>
    <t>Goal</t>
  </si>
  <si>
    <t>Constraints</t>
  </si>
  <si>
    <t>Decision Variables</t>
  </si>
  <si>
    <t>Project</t>
  </si>
  <si>
    <t>Return</t>
  </si>
  <si>
    <t>Cash Needed</t>
  </si>
  <si>
    <t>Personnel Needed</t>
  </si>
  <si>
    <t>#1</t>
  </si>
  <si>
    <t>#2</t>
  </si>
  <si>
    <t>#3</t>
  </si>
  <si>
    <t>#4</t>
  </si>
  <si>
    <t>#5</t>
  </si>
  <si>
    <t>#6</t>
  </si>
  <si>
    <t>Available resources</t>
  </si>
  <si>
    <t>Rate / Hr</t>
  </si>
  <si>
    <t>Productivity</t>
  </si>
  <si>
    <t>Worker 1</t>
  </si>
  <si>
    <t>Worker 2</t>
  </si>
  <si>
    <t>Worker 3</t>
  </si>
  <si>
    <t>Fund</t>
  </si>
  <si>
    <t>Risk</t>
  </si>
  <si>
    <t>Stock A</t>
  </si>
  <si>
    <t>Income Equity</t>
  </si>
  <si>
    <t>Balanced Fund</t>
  </si>
  <si>
    <t>Mid Cap</t>
  </si>
  <si>
    <t>Technology</t>
  </si>
  <si>
    <t>Demand</t>
  </si>
  <si>
    <t>Greenland</t>
  </si>
  <si>
    <t>Rochester</t>
  </si>
  <si>
    <t>Portsmouth</t>
  </si>
  <si>
    <t>Durham</t>
  </si>
  <si>
    <t>Dover</t>
  </si>
  <si>
    <t>Capacity</t>
  </si>
  <si>
    <t>Shipping costs</t>
  </si>
  <si>
    <t>How many?</t>
  </si>
  <si>
    <t>Num of Mem</t>
  </si>
  <si>
    <t>Num of Processor</t>
  </si>
  <si>
    <t>Profit</t>
  </si>
  <si>
    <t>Which?</t>
  </si>
  <si>
    <t>Limits</t>
  </si>
  <si>
    <t>Actual</t>
  </si>
  <si>
    <t>Proj Hr</t>
  </si>
  <si>
    <t>Max $</t>
  </si>
  <si>
    <t>Min $</t>
  </si>
  <si>
    <t>Limit</t>
  </si>
  <si>
    <t>Risk amount</t>
  </si>
  <si>
    <t>Average</t>
  </si>
  <si>
    <t>Hours Worked</t>
  </si>
  <si>
    <t>Max Hrs</t>
  </si>
  <si>
    <t>Prod hrs</t>
  </si>
  <si>
    <t>Payroll</t>
  </si>
  <si>
    <t>Shipped from</t>
  </si>
  <si>
    <t>Delivered to</t>
  </si>
  <si>
    <t>Resources</t>
  </si>
  <si>
    <t>Total Available</t>
  </si>
  <si>
    <t>How much?</t>
  </si>
  <si>
    <t>Max Profit</t>
  </si>
  <si>
    <t>how many computers to make</t>
  </si>
  <si>
    <t>memory &lt;=200</t>
  </si>
  <si>
    <t xml:space="preserve">Processors &lt;= 50 </t>
  </si>
  <si>
    <t>Column1</t>
  </si>
  <si>
    <t>Max NPV</t>
  </si>
  <si>
    <t>If one will take the investment or not</t>
  </si>
  <si>
    <t>10,000 hrs max</t>
  </si>
  <si>
    <t>Maximize Profit</t>
  </si>
  <si>
    <t>Project taken or not</t>
  </si>
  <si>
    <t>&lt;=300000</t>
  </si>
  <si>
    <t>&lt;=26</t>
  </si>
  <si>
    <t>Project status</t>
  </si>
  <si>
    <t>Cash</t>
  </si>
  <si>
    <t>Personnel</t>
  </si>
  <si>
    <t>Minimize Payroll</t>
  </si>
  <si>
    <t>Hours worked</t>
  </si>
  <si>
    <t>Productivity Hrs</t>
  </si>
  <si>
    <t>=60h'</t>
  </si>
  <si>
    <t>Minimize Risk</t>
  </si>
  <si>
    <t>How much money to spend on each fund</t>
  </si>
  <si>
    <t>spend 350,000</t>
  </si>
  <si>
    <t>cannot purchase more than max and less than min</t>
  </si>
  <si>
    <t>Amount Spent</t>
  </si>
  <si>
    <t>Minimize shipping Costs</t>
  </si>
  <si>
    <t>Costs of shipping from factories to Locations</t>
  </si>
  <si>
    <t>&lt;=Capacities</t>
  </si>
  <si>
    <t>&gt;=Demand</t>
  </si>
  <si>
    <t>Shipping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</si>
</sst>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43" formatCode="_(* #,##0.00_);_(* \(#,##0.00\);_(* &quot;-&quot;??_);_(@_)"/>
    <numFmt numFmtId="164" formatCode="&quot;$&quot;#,##0"/>
    <numFmt numFmtId="165" formatCode="_(&quot;$&quot;* #,##0_);_(&quot;$&quot;* \(#,##0\);_(&quot;$&quot;* &quot;-&quot;??_);_(@_)"/>
    <numFmt numFmtId="171" formatCode="_(* #,##0_);_(* \(#,##0\);_(* &quot;-&quot;??_);_(@_)"/>
  </numFmts>
  <fonts count="15" x14ac:knownFonts="1">
    <font>
      <sz val="11"/>
      <color theme="1"/>
      <name val="Calibri"/>
      <family val="2"/>
      <scheme val="minor"/>
    </font>
    <font>
      <b/>
      <sz val="11"/>
      <color theme="1"/>
      <name val="Cambria"/>
      <family val="1"/>
    </font>
    <font>
      <sz val="11"/>
      <color theme="1"/>
      <name val="Cambria"/>
      <family val="1"/>
    </font>
    <font>
      <b/>
      <sz val="18"/>
      <color theme="1"/>
      <name val="Calibri"/>
      <family val="2"/>
      <scheme val="minor"/>
    </font>
    <font>
      <b/>
      <sz val="11"/>
      <color theme="1"/>
      <name val="Times New Roman"/>
      <family val="1"/>
    </font>
    <font>
      <sz val="11"/>
      <color theme="1"/>
      <name val="Times New Roman"/>
      <family val="1"/>
    </font>
    <font>
      <sz val="12"/>
      <color theme="1"/>
      <name val="Cambria"/>
      <family val="1"/>
    </font>
    <font>
      <b/>
      <sz val="10"/>
      <color theme="1"/>
      <name val="Verdana"/>
      <family val="2"/>
    </font>
    <font>
      <sz val="10"/>
      <color theme="1"/>
      <name val="Verdana"/>
      <family val="2"/>
    </font>
    <font>
      <sz val="12"/>
      <color theme="1"/>
      <name val="Times New Roman"/>
      <family val="1"/>
    </font>
    <font>
      <b/>
      <sz val="12"/>
      <color theme="1"/>
      <name val="Times New Roman"/>
      <family val="1"/>
    </font>
    <font>
      <sz val="11"/>
      <color theme="1"/>
      <name val="Calibri"/>
      <family val="2"/>
      <scheme val="minor"/>
    </font>
    <font>
      <b/>
      <sz val="11"/>
      <color theme="1"/>
      <name val="Calibri"/>
      <family val="2"/>
      <scheme val="minor"/>
    </font>
    <font>
      <sz val="12"/>
      <color rgb="FF006100"/>
      <name val="Calibri"/>
      <family val="2"/>
      <scheme val="minor"/>
    </font>
    <font>
      <b/>
      <sz val="12"/>
      <color rgb="FFFA7D00"/>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C6EFCE"/>
      </patternFill>
    </fill>
    <fill>
      <patternFill patternType="solid">
        <fgColor rgb="FFF2F2F2"/>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s>
  <cellStyleXfs count="5">
    <xf numFmtId="0" fontId="0" fillId="0" borderId="0"/>
    <xf numFmtId="44" fontId="11" fillId="0" borderId="0" applyFont="0" applyFill="0" applyBorder="0" applyAlignment="0" applyProtection="0"/>
    <xf numFmtId="43" fontId="11" fillId="0" borderId="0" applyFont="0" applyFill="0" applyBorder="0" applyAlignment="0" applyProtection="0"/>
    <xf numFmtId="0" fontId="13" fillId="6" borderId="0" applyNumberFormat="0" applyBorder="0" applyAlignment="0" applyProtection="0"/>
    <xf numFmtId="0" fontId="14" fillId="7" borderId="14" applyNumberFormat="0" applyAlignment="0" applyProtection="0"/>
  </cellStyleXfs>
  <cellXfs count="79">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1" fillId="0" borderId="4" xfId="0" applyFont="1" applyBorder="1" applyAlignment="1">
      <alignment vertical="center"/>
    </xf>
    <xf numFmtId="3" fontId="0" fillId="0" borderId="0" xfId="0" applyNumberFormat="1"/>
    <xf numFmtId="0" fontId="3" fillId="0" borderId="0" xfId="0" applyFont="1" applyAlignment="1">
      <alignment vertical="center"/>
    </xf>
    <xf numFmtId="0" fontId="0" fillId="0" borderId="0" xfId="0" applyAlignment="1">
      <alignment wrapText="1"/>
    </xf>
    <xf numFmtId="0" fontId="0" fillId="0" borderId="0" xfId="0" applyAlignment="1">
      <alignment vertical="center"/>
    </xf>
    <xf numFmtId="0" fontId="0" fillId="2" borderId="0" xfId="0" applyFill="1" applyAlignment="1">
      <alignment horizontal="right" vertical="center"/>
    </xf>
    <xf numFmtId="0" fontId="0" fillId="3" borderId="0" xfId="0" applyFill="1" applyAlignment="1">
      <alignment horizontal="right" vertical="center"/>
    </xf>
    <xf numFmtId="0" fontId="0" fillId="0" borderId="0" xfId="0" applyAlignment="1">
      <alignment horizontal="right" vertical="center"/>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3" xfId="0" applyFont="1" applyBorder="1" applyAlignment="1">
      <alignment vertical="center" wrapText="1"/>
    </xf>
    <xf numFmtId="6" fontId="5" fillId="0" borderId="4" xfId="0" applyNumberFormat="1"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6" fontId="4" fillId="0" borderId="4" xfId="0" applyNumberFormat="1" applyFont="1" applyBorder="1" applyAlignment="1">
      <alignment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4" xfId="0" applyFont="1" applyBorder="1" applyAlignment="1">
      <alignment vertical="center" wrapText="1"/>
    </xf>
    <xf numFmtId="0" fontId="5" fillId="0" borderId="4" xfId="0" applyFont="1" applyBorder="1" applyAlignment="1">
      <alignment horizontal="center" vertical="center" wrapText="1"/>
    </xf>
    <xf numFmtId="0" fontId="4" fillId="0" borderId="4" xfId="0" applyFont="1" applyBorder="1" applyAlignment="1">
      <alignment horizontal="center" vertical="center" wrapText="1"/>
    </xf>
    <xf numFmtId="0" fontId="6" fillId="0" borderId="4" xfId="0" applyFont="1" applyBorder="1"/>
    <xf numFmtId="0" fontId="8" fillId="0" borderId="3" xfId="0" applyFont="1" applyBorder="1" applyAlignment="1">
      <alignment horizontal="left" vertical="center"/>
    </xf>
    <xf numFmtId="0" fontId="10" fillId="0" borderId="4" xfId="0" applyFont="1" applyBorder="1" applyAlignment="1">
      <alignment horizontal="right" vertical="center" wrapText="1"/>
    </xf>
    <xf numFmtId="0" fontId="9"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1" xfId="0" applyFont="1" applyBorder="1" applyAlignment="1">
      <alignment horizontal="left" vertical="center" wrapText="1"/>
    </xf>
    <xf numFmtId="0" fontId="7" fillId="0" borderId="4" xfId="0" applyFont="1" applyBorder="1" applyAlignment="1">
      <alignment horizontal="center" vertical="center"/>
    </xf>
    <xf numFmtId="0" fontId="9" fillId="3" borderId="4" xfId="0" applyFont="1" applyFill="1" applyBorder="1" applyAlignment="1">
      <alignment horizontal="center" vertical="center" wrapText="1"/>
    </xf>
    <xf numFmtId="0" fontId="1" fillId="0" borderId="5" xfId="0" applyFont="1" applyBorder="1" applyAlignment="1">
      <alignment vertical="center"/>
    </xf>
    <xf numFmtId="0" fontId="0" fillId="3" borderId="0" xfId="0" applyFill="1"/>
    <xf numFmtId="0" fontId="0" fillId="0" borderId="0" xfId="0" applyAlignment="1">
      <alignment horizontal="center"/>
    </xf>
    <xf numFmtId="0" fontId="0" fillId="0" borderId="6" xfId="0" applyBorder="1" applyAlignment="1">
      <alignment horizontal="center"/>
    </xf>
    <xf numFmtId="0" fontId="4" fillId="0" borderId="5" xfId="0" applyFont="1" applyBorder="1" applyAlignment="1">
      <alignment vertical="center" wrapText="1"/>
    </xf>
    <xf numFmtId="0" fontId="5" fillId="0" borderId="0" xfId="0" applyFont="1" applyAlignment="1">
      <alignment vertical="center" wrapText="1"/>
    </xf>
    <xf numFmtId="164" fontId="5" fillId="0" borderId="0" xfId="0" applyNumberFormat="1" applyFont="1" applyAlignment="1">
      <alignment vertical="center" wrapText="1"/>
    </xf>
    <xf numFmtId="164" fontId="0" fillId="0" borderId="0" xfId="0" applyNumberFormat="1"/>
    <xf numFmtId="2" fontId="0" fillId="4" borderId="0" xfId="0" applyNumberFormat="1" applyFill="1"/>
    <xf numFmtId="165" fontId="0" fillId="0" borderId="0" xfId="1" applyNumberFormat="1" applyFont="1"/>
    <xf numFmtId="2" fontId="0" fillId="3" borderId="0" xfId="0" applyNumberFormat="1" applyFill="1"/>
    <xf numFmtId="44" fontId="0" fillId="4" borderId="0" xfId="1" applyFont="1" applyFill="1"/>
    <xf numFmtId="0" fontId="12" fillId="0" borderId="0" xfId="0" applyFont="1"/>
    <xf numFmtId="0" fontId="12" fillId="0" borderId="0" xfId="0" applyFont="1" applyAlignment="1">
      <alignment horizontal="center"/>
    </xf>
    <xf numFmtId="0" fontId="4" fillId="0" borderId="0" xfId="0" applyFont="1" applyAlignment="1">
      <alignment vertical="center" wrapText="1"/>
    </xf>
    <xf numFmtId="0" fontId="9" fillId="0" borderId="4" xfId="0" applyFont="1" applyBorder="1" applyAlignment="1">
      <alignment horizontal="center" vertical="center" wrapText="1"/>
    </xf>
    <xf numFmtId="0" fontId="12" fillId="5" borderId="0" xfId="0" applyFont="1" applyFill="1" applyAlignment="1">
      <alignment horizontal="centerContinuous"/>
    </xf>
    <xf numFmtId="0" fontId="0" fillId="5" borderId="0" xfId="0" applyFill="1" applyAlignment="1">
      <alignment horizontal="centerContinuous"/>
    </xf>
    <xf numFmtId="0" fontId="1" fillId="0" borderId="5" xfId="0" applyFont="1" applyBorder="1" applyAlignment="1">
      <alignment horizontal="center" vertical="center"/>
    </xf>
    <xf numFmtId="0" fontId="0" fillId="5" borderId="0" xfId="0" applyFill="1"/>
    <xf numFmtId="0" fontId="1" fillId="0" borderId="3" xfId="0" applyFont="1" applyBorder="1" applyAlignment="1">
      <alignment vertical="center" wrapText="1"/>
    </xf>
    <xf numFmtId="0" fontId="0" fillId="0" borderId="7" xfId="0" applyBorder="1"/>
    <xf numFmtId="0" fontId="0" fillId="0" borderId="8" xfId="0" applyBorder="1"/>
    <xf numFmtId="0" fontId="0" fillId="0" borderId="10" xfId="0" applyBorder="1"/>
    <xf numFmtId="0" fontId="0" fillId="0" borderId="12" xfId="0" applyBorder="1"/>
    <xf numFmtId="0" fontId="4" fillId="0" borderId="0" xfId="0" applyFont="1" applyAlignment="1">
      <alignment horizontal="center" vertical="center" wrapText="1"/>
    </xf>
    <xf numFmtId="0" fontId="0" fillId="0" borderId="0" xfId="0" applyAlignment="1">
      <alignment horizontal="right"/>
    </xf>
    <xf numFmtId="0" fontId="7" fillId="0" borderId="3" xfId="0" applyFont="1" applyBorder="1" applyAlignment="1">
      <alignment horizontal="right" vertical="center"/>
    </xf>
    <xf numFmtId="0" fontId="10" fillId="0" borderId="2" xfId="0" applyFont="1" applyBorder="1" applyAlignment="1">
      <alignment horizontal="left" vertical="center" wrapText="1"/>
    </xf>
    <xf numFmtId="0" fontId="0" fillId="5" borderId="0" xfId="0" applyFill="1" applyAlignment="1">
      <alignment horizontal="center"/>
    </xf>
    <xf numFmtId="165" fontId="0" fillId="4" borderId="6" xfId="1" applyNumberFormat="1" applyFont="1" applyFill="1" applyBorder="1" applyAlignment="1">
      <alignment horizontal="center"/>
    </xf>
    <xf numFmtId="171" fontId="0" fillId="0" borderId="0" xfId="2" applyNumberFormat="1" applyFont="1"/>
    <xf numFmtId="171" fontId="0" fillId="0" borderId="15" xfId="2" applyNumberFormat="1" applyFont="1" applyBorder="1"/>
    <xf numFmtId="171" fontId="0" fillId="4" borderId="0" xfId="2" applyNumberFormat="1" applyFont="1" applyFill="1" applyBorder="1"/>
    <xf numFmtId="0" fontId="0" fillId="3" borderId="0" xfId="0" applyFill="1" applyAlignment="1">
      <alignment horizontal="center"/>
    </xf>
    <xf numFmtId="0" fontId="14" fillId="7" borderId="14" xfId="4"/>
    <xf numFmtId="6" fontId="0" fillId="0" borderId="9" xfId="0" applyNumberFormat="1" applyBorder="1"/>
    <xf numFmtId="6" fontId="0" fillId="0" borderId="13" xfId="0" applyNumberFormat="1" applyBorder="1"/>
    <xf numFmtId="6" fontId="0" fillId="0" borderId="11" xfId="0" applyNumberFormat="1" applyBorder="1"/>
    <xf numFmtId="0" fontId="0" fillId="0" borderId="11" xfId="0" applyNumberFormat="1" applyBorder="1"/>
    <xf numFmtId="6" fontId="13" fillId="6" borderId="11" xfId="3" applyNumberFormat="1" applyBorder="1"/>
    <xf numFmtId="0" fontId="0" fillId="0" borderId="0" xfId="0" quotePrefix="1"/>
    <xf numFmtId="0" fontId="0" fillId="0" borderId="0" xfId="0" applyAlignment="1">
      <alignment horizontal="center" wrapText="1"/>
    </xf>
    <xf numFmtId="0" fontId="0" fillId="3" borderId="6" xfId="0" applyFill="1" applyBorder="1"/>
    <xf numFmtId="165" fontId="13" fillId="4" borderId="0" xfId="3" applyNumberFormat="1" applyFill="1"/>
    <xf numFmtId="0" fontId="0" fillId="0" borderId="0" xfId="0" applyFill="1"/>
  </cellXfs>
  <cellStyles count="5">
    <cellStyle name="Calculation" xfId="4" builtinId="22"/>
    <cellStyle name="Comma" xfId="2" builtinId="3"/>
    <cellStyle name="Currency" xfId="1" builtinId="4"/>
    <cellStyle name="Good" xfId="3" builtinId="26"/>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276463</xdr:colOff>
      <xdr:row>15</xdr:row>
      <xdr:rowOff>181429</xdr:rowOff>
    </xdr:from>
    <xdr:to>
      <xdr:col>4</xdr:col>
      <xdr:colOff>38879</xdr:colOff>
      <xdr:row>28</xdr:row>
      <xdr:rowOff>12959</xdr:rowOff>
    </xdr:to>
    <xdr:sp macro="" textlink="">
      <xdr:nvSpPr>
        <xdr:cNvPr id="2" name="TextBox 1">
          <a:extLst>
            <a:ext uri="{FF2B5EF4-FFF2-40B4-BE49-F238E27FC236}">
              <a16:creationId xmlns:a16="http://schemas.microsoft.com/office/drawing/2014/main" id="{A4B358E5-22E4-BB3A-18C1-88E07E89EE85}"/>
            </a:ext>
          </a:extLst>
        </xdr:cNvPr>
        <xdr:cNvSpPr txBox="1"/>
      </xdr:nvSpPr>
      <xdr:spPr>
        <a:xfrm>
          <a:off x="276463" y="2980613"/>
          <a:ext cx="2984933" cy="22462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Computer configurations for two machines are given above</a:t>
          </a:r>
          <a:r>
            <a:rPr lang="en-US" sz="1100" baseline="0"/>
            <a:t> as well as</a:t>
          </a:r>
          <a:r>
            <a:rPr lang="en-US" sz="1100"/>
            <a:t> the profit made from each machine.  Assume no constraints from demand (consumers will buy whatever you make!) and determine how many of each computer should be build to maximize profit.  Constraints on the number of memory chips</a:t>
          </a:r>
          <a:r>
            <a:rPr lang="en-US" sz="1100" baseline="0"/>
            <a:t> and number of processors are given in the line labeled </a:t>
          </a:r>
          <a:r>
            <a:rPr lang="en-US" sz="1100" i="1" baseline="0"/>
            <a:t>Total Available</a:t>
          </a:r>
          <a:r>
            <a:rPr lang="en-US" sz="1100" i="0" baseline="0"/>
            <a:t>.</a:t>
          </a:r>
        </a:p>
        <a:p>
          <a:endParaRPr lang="en-US" sz="1100" i="0" baseline="0"/>
        </a:p>
        <a:p>
          <a:r>
            <a:rPr lang="en-US" sz="1100" i="0" baseline="0"/>
            <a:t>[Remember to </a:t>
          </a:r>
          <a:r>
            <a:rPr lang="en-US" sz="1100" b="1" i="0" baseline="0"/>
            <a:t>start</a:t>
          </a:r>
          <a:r>
            <a:rPr lang="en-US" sz="1100" b="0" i="0" baseline="0"/>
            <a:t> by stating the Goal, the Decision Variables, and the Constraints.]</a:t>
          </a:r>
          <a:endParaRPr lang="en-US" sz="1100"/>
        </a:p>
      </xdr:txBody>
    </xdr:sp>
    <xdr:clientData/>
  </xdr:twoCellAnchor>
  <xdr:twoCellAnchor>
    <xdr:from>
      <xdr:col>4</xdr:col>
      <xdr:colOff>679823</xdr:colOff>
      <xdr:row>17</xdr:row>
      <xdr:rowOff>14942</xdr:rowOff>
    </xdr:from>
    <xdr:to>
      <xdr:col>6</xdr:col>
      <xdr:colOff>1172881</xdr:colOff>
      <xdr:row>24</xdr:row>
      <xdr:rowOff>59765</xdr:rowOff>
    </xdr:to>
    <xdr:sp macro="" textlink="">
      <xdr:nvSpPr>
        <xdr:cNvPr id="3" name="TextBox 2">
          <a:extLst>
            <a:ext uri="{FF2B5EF4-FFF2-40B4-BE49-F238E27FC236}">
              <a16:creationId xmlns:a16="http://schemas.microsoft.com/office/drawing/2014/main" id="{4EFCD510-7AAC-8897-6CBF-AFD2561A89A7}"/>
            </a:ext>
          </a:extLst>
        </xdr:cNvPr>
        <xdr:cNvSpPr txBox="1"/>
      </xdr:nvSpPr>
      <xdr:spPr>
        <a:xfrm>
          <a:off x="4190999" y="3324413"/>
          <a:ext cx="2450353" cy="1404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Goal:</a:t>
          </a:r>
          <a:r>
            <a:rPr lang="en-US"/>
            <a:t> </a:t>
          </a:r>
          <a:r>
            <a:rPr lang="en-US" sz="1100" b="0" i="0" u="none" strike="noStrike">
              <a:solidFill>
                <a:schemeClr val="dk1"/>
              </a:solidFill>
              <a:effectLst/>
              <a:latin typeface="+mn-lt"/>
              <a:ea typeface="+mn-ea"/>
              <a:cs typeface="+mn-cs"/>
            </a:rPr>
            <a:t>Max Profit</a:t>
          </a:r>
        </a:p>
        <a:p>
          <a:r>
            <a:rPr lang="en-US" sz="1100" b="0" i="0" u="none" strike="noStrike">
              <a:solidFill>
                <a:schemeClr val="dk1"/>
              </a:solidFill>
              <a:effectLst/>
              <a:latin typeface="+mn-lt"/>
              <a:ea typeface="+mn-ea"/>
              <a:cs typeface="+mn-cs"/>
            </a:rPr>
            <a:t>Decision: Variables</a:t>
          </a:r>
          <a:r>
            <a:rPr lang="en-US"/>
            <a:t> </a:t>
          </a:r>
          <a:r>
            <a:rPr lang="en-US" sz="1100" b="0" i="0" u="none" strike="noStrike">
              <a:solidFill>
                <a:schemeClr val="dk1"/>
              </a:solidFill>
              <a:effectLst/>
              <a:latin typeface="+mn-lt"/>
              <a:ea typeface="+mn-ea"/>
              <a:cs typeface="+mn-cs"/>
            </a:rPr>
            <a:t>how many computers to make</a:t>
          </a:r>
          <a:r>
            <a:rPr lang="en-US"/>
            <a:t> </a:t>
          </a:r>
        </a:p>
        <a:p>
          <a:r>
            <a:rPr lang="en-US" sz="1100" b="0" i="0" u="none" strike="noStrike">
              <a:solidFill>
                <a:schemeClr val="dk1"/>
              </a:solidFill>
              <a:effectLst/>
              <a:latin typeface="+mn-lt"/>
              <a:ea typeface="+mn-ea"/>
              <a:cs typeface="+mn-cs"/>
            </a:rPr>
            <a:t>Constraints:</a:t>
          </a:r>
        </a:p>
        <a:p>
          <a:r>
            <a:rPr lang="en-US" sz="1100" b="0" i="0" u="none" strike="noStrike">
              <a:solidFill>
                <a:schemeClr val="dk1"/>
              </a:solidFill>
              <a:effectLst/>
              <a:latin typeface="+mn-lt"/>
              <a:ea typeface="+mn-ea"/>
              <a:cs typeface="+mn-cs"/>
            </a:rPr>
            <a:t>memory &lt;=200</a:t>
          </a:r>
          <a:r>
            <a:rPr lang="en-US"/>
            <a:t> </a:t>
          </a:r>
        </a:p>
        <a:p>
          <a:r>
            <a:rPr lang="en-US" sz="1100" b="0" i="0" u="none" strike="noStrike">
              <a:solidFill>
                <a:schemeClr val="dk1"/>
              </a:solidFill>
              <a:effectLst/>
              <a:latin typeface="+mn-lt"/>
              <a:ea typeface="+mn-ea"/>
              <a:cs typeface="+mn-cs"/>
            </a:rPr>
            <a:t>Processors &lt;= 50 </a:t>
          </a:r>
          <a:r>
            <a:rPr lang="en-US"/>
            <a: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516194</xdr:colOff>
      <xdr:row>15</xdr:row>
      <xdr:rowOff>147483</xdr:rowOff>
    </xdr:from>
    <xdr:to>
      <xdr:col>4</xdr:col>
      <xdr:colOff>110613</xdr:colOff>
      <xdr:row>24</xdr:row>
      <xdr:rowOff>32774</xdr:rowOff>
    </xdr:to>
    <xdr:sp macro="" textlink="">
      <xdr:nvSpPr>
        <xdr:cNvPr id="2" name="TextBox 1">
          <a:extLst>
            <a:ext uri="{FF2B5EF4-FFF2-40B4-BE49-F238E27FC236}">
              <a16:creationId xmlns:a16="http://schemas.microsoft.com/office/drawing/2014/main" id="{743BD4BD-ACB9-CD50-0AD6-B50ACF571465}"/>
            </a:ext>
          </a:extLst>
        </xdr:cNvPr>
        <xdr:cNvSpPr txBox="1"/>
      </xdr:nvSpPr>
      <xdr:spPr>
        <a:xfrm>
          <a:off x="516194" y="2912806"/>
          <a:ext cx="2482645" cy="15444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Given the facts shown above (NPV = net present value or the return of the investment), select investments that will maximize NPV given a maximum</a:t>
          </a:r>
          <a:r>
            <a:rPr lang="en-US" sz="1100" baseline="0"/>
            <a:t> of 10,000 project hourse available.  You can select or not select each investment (Hint: use 1 or 0 to designate selected or not selected).</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36735</xdr:colOff>
      <xdr:row>19</xdr:row>
      <xdr:rowOff>177048</xdr:rowOff>
    </xdr:from>
    <xdr:to>
      <xdr:col>3</xdr:col>
      <xdr:colOff>279037</xdr:colOff>
      <xdr:row>28</xdr:row>
      <xdr:rowOff>81101</xdr:rowOff>
    </xdr:to>
    <xdr:sp macro="" textlink="">
      <xdr:nvSpPr>
        <xdr:cNvPr id="2" name="TextBox 1">
          <a:extLst>
            <a:ext uri="{FF2B5EF4-FFF2-40B4-BE49-F238E27FC236}">
              <a16:creationId xmlns:a16="http://schemas.microsoft.com/office/drawing/2014/main" id="{EDDECFC5-51E3-C362-9ECD-5CFDBED9632B}"/>
            </a:ext>
          </a:extLst>
        </xdr:cNvPr>
        <xdr:cNvSpPr txBox="1"/>
      </xdr:nvSpPr>
      <xdr:spPr>
        <a:xfrm>
          <a:off x="36735" y="4060519"/>
          <a:ext cx="2598624" cy="1557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From the list of possible projects, you must select which projects to work on in</a:t>
          </a:r>
          <a:r>
            <a:rPr lang="en-US" sz="1100" baseline="0"/>
            <a:t> order to maximize return on projects completed.  The cash and personnel needed for each project are shown.  Available resources are a total of $300,000 cash and twenty-six personnel.</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251047</xdr:colOff>
      <xdr:row>16</xdr:row>
      <xdr:rowOff>77529</xdr:rowOff>
    </xdr:from>
    <xdr:to>
      <xdr:col>5</xdr:col>
      <xdr:colOff>19690</xdr:colOff>
      <xdr:row>26</xdr:row>
      <xdr:rowOff>44302</xdr:rowOff>
    </xdr:to>
    <xdr:sp macro="" textlink="">
      <xdr:nvSpPr>
        <xdr:cNvPr id="2" name="TextBox 1">
          <a:extLst>
            <a:ext uri="{FF2B5EF4-FFF2-40B4-BE49-F238E27FC236}">
              <a16:creationId xmlns:a16="http://schemas.microsoft.com/office/drawing/2014/main" id="{982F64AC-1594-F8AC-C5F0-7F4096CCE8BC}"/>
            </a:ext>
          </a:extLst>
        </xdr:cNvPr>
        <xdr:cNvSpPr txBox="1"/>
      </xdr:nvSpPr>
      <xdr:spPr>
        <a:xfrm>
          <a:off x="251047" y="3040862"/>
          <a:ext cx="3662325" cy="1788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Given the rate/hour</a:t>
          </a:r>
          <a:r>
            <a:rPr lang="en-US" sz="1100" baseline="0"/>
            <a:t> for each worker and their productivity index (shown above), minimize overall payroll while meeting the job requirement of hiring workers to work a total of sixty productivity hours*.</a:t>
          </a:r>
        </a:p>
        <a:p>
          <a:endParaRPr lang="en-US" sz="1100" baseline="0"/>
        </a:p>
        <a:p>
          <a:r>
            <a:rPr lang="en-US" sz="1100" baseline="0"/>
            <a:t>The job cannot go more than two calendar days, so you cannot hire an individual worker for more than sixteen hours.</a:t>
          </a:r>
        </a:p>
        <a:p>
          <a:endParaRPr lang="en-US" sz="1100" baseline="0"/>
        </a:p>
        <a:p>
          <a:r>
            <a:rPr lang="en-US" sz="1100"/>
            <a:t>*Productivity</a:t>
          </a:r>
          <a:r>
            <a:rPr lang="en-US" sz="1100" baseline="0"/>
            <a:t> hours = hours worked * productivity index</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331033</xdr:colOff>
      <xdr:row>17</xdr:row>
      <xdr:rowOff>54068</xdr:rowOff>
    </xdr:from>
    <xdr:to>
      <xdr:col>5</xdr:col>
      <xdr:colOff>627713</xdr:colOff>
      <xdr:row>33</xdr:row>
      <xdr:rowOff>185846</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C23026F1-A04F-828F-BD23-5B203B3AB97C}"/>
                </a:ext>
              </a:extLst>
            </xdr:cNvPr>
            <xdr:cNvSpPr txBox="1"/>
          </xdr:nvSpPr>
          <xdr:spPr>
            <a:xfrm>
              <a:off x="331033" y="3415833"/>
              <a:ext cx="4607209" cy="32395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Determine how much</a:t>
              </a:r>
              <a:r>
                <a:rPr lang="en-US" sz="1100" baseline="0"/>
                <a:t> to invest in each fund in the portfolio shown.  You must invest </a:t>
              </a:r>
              <a:r>
                <a:rPr lang="en-US" sz="1100" b="1" baseline="0"/>
                <a:t>exactly</a:t>
              </a:r>
              <a:r>
                <a:rPr lang="en-US" sz="1100" b="0" baseline="0"/>
                <a:t> $350,000 while minimizing average risk per dollar invested*.  Risk, return, minimum, and maximum required investment amounts are shown in the table above.  Purchase at least the minimum amount for each fund, but do not purchase more than the maximum amount.</a:t>
              </a:r>
            </a:p>
            <a:p>
              <a:endParaRPr lang="en-US" sz="1100" b="0" baseline="0"/>
            </a:p>
            <a:p>
              <a:r>
                <a:rPr lang="en-US" sz="1100"/>
                <a:t>* Average risk is calculated by</a:t>
              </a:r>
              <a:r>
                <a:rPr lang="en-US" sz="1100" baseline="0"/>
                <a:t> "weighting" the risk value for each fund by the amount invested in that fund, summing together the weighted risks, and dividing by the total amount invested. </a:t>
              </a:r>
            </a:p>
            <a:p>
              <a:endParaRPr lang="en-US" sz="1100" baseline="0"/>
            </a:p>
            <a:p>
              <a14:m>
                <m:oMath xmlns:m="http://schemas.openxmlformats.org/officeDocument/2006/math">
                  <m:r>
                    <a:rPr lang="en-US" sz="1100" b="0" i="0">
                      <a:latin typeface="Cambria Math" panose="02040503050406030204" pitchFamily="18" charset="0"/>
                    </a:rPr>
                    <m:t> </m:t>
                  </m:r>
                  <m:r>
                    <m:rPr>
                      <m:sty m:val="p"/>
                    </m:rPr>
                    <a:rPr lang="en-US" sz="1100" b="0" i="0">
                      <a:latin typeface="Cambria Math" panose="02040503050406030204" pitchFamily="18" charset="0"/>
                    </a:rPr>
                    <m:t>Av</m:t>
                  </m:r>
                  <m:r>
                    <a:rPr lang="en-US" sz="1100" b="0" i="1">
                      <a:latin typeface="Cambria Math" panose="02040503050406030204" pitchFamily="18" charset="0"/>
                    </a:rPr>
                    <m:t>𝑔</m:t>
                  </m:r>
                  <m:r>
                    <a:rPr lang="en-US" sz="1100" b="0" i="1">
                      <a:latin typeface="Cambria Math" panose="02040503050406030204" pitchFamily="18" charset="0"/>
                    </a:rPr>
                    <m:t>_</m:t>
                  </m:r>
                  <m:r>
                    <a:rPr lang="en-US" sz="1100" b="0" i="1">
                      <a:latin typeface="Cambria Math" panose="02040503050406030204" pitchFamily="18" charset="0"/>
                    </a:rPr>
                    <m:t>𝑟𝑖𝑠𝑘</m:t>
                  </m:r>
                  <m:r>
                    <a:rPr lang="en-US" sz="1100" b="0" i="1">
                      <a:latin typeface="Cambria Math" panose="02040503050406030204" pitchFamily="18" charset="0"/>
                    </a:rPr>
                    <m:t>=</m:t>
                  </m:r>
                  <m:f>
                    <m:fPr>
                      <m:ctrlPr>
                        <a:rPr lang="en-US" sz="1100" b="0" i="1">
                          <a:latin typeface="Cambria Math" panose="02040503050406030204" pitchFamily="18" charset="0"/>
                        </a:rPr>
                      </m:ctrlPr>
                    </m:fPr>
                    <m:num>
                      <m:nary>
                        <m:naryPr>
                          <m:chr m:val="∑"/>
                          <m:supHide m:val="on"/>
                          <m:ctrlPr>
                            <a:rPr lang="en-US" sz="1100" b="0" i="1">
                              <a:latin typeface="Cambria Math" panose="02040503050406030204" pitchFamily="18" charset="0"/>
                            </a:rPr>
                          </m:ctrlPr>
                        </m:naryPr>
                        <m:sub>
                          <m:r>
                            <a:rPr lang="en-US" sz="1100" b="0" i="1">
                              <a:latin typeface="Cambria Math" panose="02040503050406030204" pitchFamily="18" charset="0"/>
                            </a:rPr>
                            <m:t>𝑖</m:t>
                          </m:r>
                        </m:sub>
                        <m:sup/>
                        <m:e>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𝑖</m:t>
                              </m:r>
                            </m:sub>
                          </m:sSub>
                          <m:sSub>
                            <m:sSubPr>
                              <m:ctrlPr>
                                <a:rPr lang="en-US" sz="1100" b="0" i="1">
                                  <a:latin typeface="Cambria Math" panose="02040503050406030204" pitchFamily="18" charset="0"/>
                                </a:rPr>
                              </m:ctrlPr>
                            </m:sSubPr>
                            <m:e>
                              <m:r>
                                <a:rPr lang="en-US" sz="1100" b="0" i="1">
                                  <a:latin typeface="Cambria Math" panose="02040503050406030204" pitchFamily="18" charset="0"/>
                                </a:rPr>
                                <m:t>𝑥</m:t>
                              </m:r>
                            </m:e>
                            <m:sub>
                              <m:r>
                                <a:rPr lang="en-US" sz="1100" b="0" i="1">
                                  <a:latin typeface="Cambria Math" panose="02040503050406030204" pitchFamily="18" charset="0"/>
                                </a:rPr>
                                <m:t>𝑖</m:t>
                              </m:r>
                            </m:sub>
                          </m:sSub>
                        </m:e>
                      </m:nary>
                    </m:num>
                    <m:den>
                      <m:r>
                        <a:rPr lang="en-US" sz="1100" b="0" i="1">
                          <a:latin typeface="Cambria Math" panose="02040503050406030204" pitchFamily="18" charset="0"/>
                        </a:rPr>
                        <m:t>$350,000</m:t>
                      </m:r>
                    </m:den>
                  </m:f>
                  <m:r>
                    <a:rPr lang="en-US" sz="1100" b="0" i="0">
                      <a:latin typeface="Cambria Math" panose="02040503050406030204" pitchFamily="18" charset="0"/>
                    </a:rPr>
                    <m:t>=</m:t>
                  </m:r>
                  <m:f>
                    <m:fPr>
                      <m:ctrlPr>
                        <a:rPr lang="en-US" sz="1100" b="0" i="1">
                          <a:latin typeface="Cambria Math" panose="02040503050406030204" pitchFamily="18" charset="0"/>
                        </a:rPr>
                      </m:ctrlPr>
                    </m:fPr>
                    <m:num>
                      <m:r>
                        <a:rPr lang="en-US" sz="1100" b="0" i="0">
                          <a:latin typeface="Cambria Math" panose="02040503050406030204" pitchFamily="18" charset="0"/>
                        </a:rPr>
                        <m:t>8.7∗</m:t>
                      </m:r>
                      <m:sSub>
                        <m:sSubPr>
                          <m:ctrlPr>
                            <a:rPr lang="en-US" sz="1100" b="0" i="1">
                              <a:latin typeface="Cambria Math" panose="02040503050406030204" pitchFamily="18" charset="0"/>
                            </a:rPr>
                          </m:ctrlPr>
                        </m:sSubPr>
                        <m:e>
                          <m:r>
                            <m:rPr>
                              <m:sty m:val="p"/>
                            </m:rPr>
                            <a:rPr lang="en-US" sz="1100" b="0" i="0">
                              <a:latin typeface="Cambria Math" panose="02040503050406030204" pitchFamily="18" charset="0"/>
                            </a:rPr>
                            <m:t>x</m:t>
                          </m:r>
                        </m:e>
                        <m:sub>
                          <m:r>
                            <a:rPr lang="en-US" sz="1100" b="0" i="0">
                              <a:latin typeface="Cambria Math" panose="02040503050406030204" pitchFamily="18" charset="0"/>
                            </a:rPr>
                            <m:t>1</m:t>
                          </m:r>
                        </m:sub>
                      </m:sSub>
                      <m:r>
                        <a:rPr lang="en-US" sz="1100" b="0" i="0">
                          <a:latin typeface="Cambria Math" panose="02040503050406030204" pitchFamily="18" charset="0"/>
                        </a:rPr>
                        <m:t>+2.9∗</m:t>
                      </m:r>
                      <m:sSub>
                        <m:sSubPr>
                          <m:ctrlPr>
                            <a:rPr lang="en-US" sz="1100" b="0" i="1">
                              <a:latin typeface="Cambria Math" panose="02040503050406030204" pitchFamily="18" charset="0"/>
                            </a:rPr>
                          </m:ctrlPr>
                        </m:sSubPr>
                        <m:e>
                          <m:r>
                            <m:rPr>
                              <m:sty m:val="p"/>
                            </m:rPr>
                            <a:rPr lang="en-US" sz="1100" b="0" i="0">
                              <a:latin typeface="Cambria Math" panose="02040503050406030204" pitchFamily="18" charset="0"/>
                            </a:rPr>
                            <m:t>x</m:t>
                          </m:r>
                        </m:e>
                        <m:sub>
                          <m:r>
                            <a:rPr lang="en-US" sz="1100" b="0" i="0">
                              <a:latin typeface="Cambria Math" panose="02040503050406030204" pitchFamily="18" charset="0"/>
                            </a:rPr>
                            <m:t>2</m:t>
                          </m:r>
                        </m:sub>
                      </m:sSub>
                      <m:r>
                        <a:rPr lang="en-US" sz="1100" b="0" i="0">
                          <a:latin typeface="Cambria Math" panose="02040503050406030204" pitchFamily="18" charset="0"/>
                        </a:rPr>
                        <m:t>+ …</m:t>
                      </m:r>
                    </m:num>
                    <m:den>
                      <m:r>
                        <a:rPr lang="en-US" sz="1100" b="0" i="1">
                          <a:latin typeface="Cambria Math" panose="02040503050406030204" pitchFamily="18" charset="0"/>
                        </a:rPr>
                        <m:t>$350,000</m:t>
                      </m:r>
                    </m:den>
                  </m:f>
                </m:oMath>
              </a14:m>
              <a:r>
                <a:rPr lang="en-US" sz="1100"/>
                <a:t>, where </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𝑥</m:t>
                      </m:r>
                    </m:e>
                    <m:sub>
                      <m:r>
                        <a:rPr lang="en-US" sz="1100" b="0" i="1">
                          <a:latin typeface="Cambria Math" panose="02040503050406030204" pitchFamily="18" charset="0"/>
                        </a:rPr>
                        <m:t>𝑖</m:t>
                      </m:r>
                    </m:sub>
                  </m:sSub>
                </m:oMath>
              </a14:m>
              <a:r>
                <a:rPr lang="en-US" sz="1100"/>
                <a:t> is the amount</a:t>
              </a:r>
              <a:br>
                <a:rPr lang="en-US" sz="1100"/>
              </a:br>
              <a:endParaRPr lang="en-US" sz="1100"/>
            </a:p>
            <a:p>
              <a:r>
                <a:rPr lang="en-US" sz="1100"/>
                <a:t> invested in the</a:t>
              </a:r>
              <a:r>
                <a:rPr lang="en-US" sz="1100" baseline="0"/>
                <a:t> </a:t>
              </a:r>
              <a14:m>
                <m:oMath xmlns:m="http://schemas.openxmlformats.org/officeDocument/2006/math">
                  <m:sSup>
                    <m:sSupPr>
                      <m:ctrlPr>
                        <a:rPr lang="en-US" sz="1100" b="0" i="1" baseline="0">
                          <a:latin typeface="Cambria Math" panose="02040503050406030204" pitchFamily="18" charset="0"/>
                        </a:rPr>
                      </m:ctrlPr>
                    </m:sSupPr>
                    <m:e>
                      <m:r>
                        <a:rPr lang="en-US" sz="1100" b="0" i="1" baseline="0">
                          <a:latin typeface="Cambria Math" panose="02040503050406030204" pitchFamily="18" charset="0"/>
                        </a:rPr>
                        <m:t>𝑖</m:t>
                      </m:r>
                    </m:e>
                    <m:sup>
                      <m:r>
                        <a:rPr lang="en-US" sz="1100" b="0" i="1" baseline="0">
                          <a:latin typeface="Cambria Math" panose="02040503050406030204" pitchFamily="18" charset="0"/>
                        </a:rPr>
                        <m:t>𝑡h</m:t>
                      </m:r>
                    </m:sup>
                  </m:sSup>
                </m:oMath>
              </a14:m>
              <a:r>
                <a:rPr lang="en-US" sz="1100"/>
                <a:t> fund.</a:t>
              </a:r>
            </a:p>
          </xdr:txBody>
        </xdr:sp>
      </mc:Choice>
      <mc:Fallback>
        <xdr:sp macro="" textlink="">
          <xdr:nvSpPr>
            <xdr:cNvPr id="2" name="TextBox 1">
              <a:extLst>
                <a:ext uri="{FF2B5EF4-FFF2-40B4-BE49-F238E27FC236}">
                  <a16:creationId xmlns:a16="http://schemas.microsoft.com/office/drawing/2014/main" id="{C23026F1-A04F-828F-BD23-5B203B3AB97C}"/>
                </a:ext>
              </a:extLst>
            </xdr:cNvPr>
            <xdr:cNvSpPr txBox="1"/>
          </xdr:nvSpPr>
          <xdr:spPr>
            <a:xfrm>
              <a:off x="331033" y="3415833"/>
              <a:ext cx="4607209" cy="32395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Determine how much</a:t>
              </a:r>
              <a:r>
                <a:rPr lang="en-US" sz="1100" baseline="0"/>
                <a:t> to invest in each fund in the portfolio shown.  You must invest </a:t>
              </a:r>
              <a:r>
                <a:rPr lang="en-US" sz="1100" b="1" baseline="0"/>
                <a:t>exactly</a:t>
              </a:r>
              <a:r>
                <a:rPr lang="en-US" sz="1100" b="0" baseline="0"/>
                <a:t> $350,000 while minimizing average risk per dollar invested*.  Risk, return, minimum, and maximum required investment amounts are shown in the table above.  Purchase at least the minimum amount for each fund, but do not purchase more than the maximum amount.</a:t>
              </a:r>
            </a:p>
            <a:p>
              <a:endParaRPr lang="en-US" sz="1100" b="0" baseline="0"/>
            </a:p>
            <a:p>
              <a:r>
                <a:rPr lang="en-US" sz="1100"/>
                <a:t>* Average risk is calculated by</a:t>
              </a:r>
              <a:r>
                <a:rPr lang="en-US" sz="1100" baseline="0"/>
                <a:t> "weighting" the risk value for each fund by the amount invested in that fund, summing together the weighted risks, and dividing by the total amount invested. </a:t>
              </a:r>
            </a:p>
            <a:p>
              <a:endParaRPr lang="en-US" sz="1100" baseline="0"/>
            </a:p>
            <a:p>
              <a:r>
                <a:rPr lang="en-US" sz="1100" b="0" i="0">
                  <a:latin typeface="Cambria Math" panose="02040503050406030204" pitchFamily="18" charset="0"/>
                </a:rPr>
                <a:t> Av𝑔_𝑟𝑖𝑠𝑘=(∑_𝑖▒〖𝑟_𝑖 𝑥_𝑖 〗)/$350,000=(8.7∗x_1+2.9∗x_2+ …)/$350,000</a:t>
              </a:r>
              <a:r>
                <a:rPr lang="en-US" sz="1100"/>
                <a:t>, where </a:t>
              </a:r>
              <a:r>
                <a:rPr lang="en-US" sz="1100" b="0" i="0">
                  <a:latin typeface="Cambria Math" panose="02040503050406030204" pitchFamily="18" charset="0"/>
                </a:rPr>
                <a:t>𝑥_𝑖</a:t>
              </a:r>
              <a:r>
                <a:rPr lang="en-US" sz="1100"/>
                <a:t> is the amount</a:t>
              </a:r>
              <a:br>
                <a:rPr lang="en-US" sz="1100"/>
              </a:br>
              <a:endParaRPr lang="en-US" sz="1100"/>
            </a:p>
            <a:p>
              <a:r>
                <a:rPr lang="en-US" sz="1100"/>
                <a:t> invested in the</a:t>
              </a:r>
              <a:r>
                <a:rPr lang="en-US" sz="1100" baseline="0"/>
                <a:t> </a:t>
              </a:r>
              <a:r>
                <a:rPr lang="en-US" sz="1100" b="0" i="0" baseline="0">
                  <a:latin typeface="Cambria Math" panose="02040503050406030204" pitchFamily="18" charset="0"/>
                </a:rPr>
                <a:t>𝑖^𝑡ℎ</a:t>
              </a:r>
              <a:r>
                <a:rPr lang="en-US" sz="1100"/>
                <a:t> fund.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125882</xdr:colOff>
      <xdr:row>16</xdr:row>
      <xdr:rowOff>8707</xdr:rowOff>
    </xdr:from>
    <xdr:to>
      <xdr:col>7</xdr:col>
      <xdr:colOff>214263</xdr:colOff>
      <xdr:row>22</xdr:row>
      <xdr:rowOff>65857</xdr:rowOff>
    </xdr:to>
    <xdr:sp macro="" textlink="">
      <xdr:nvSpPr>
        <xdr:cNvPr id="2" name="TextBox 1">
          <a:extLst>
            <a:ext uri="{FF2B5EF4-FFF2-40B4-BE49-F238E27FC236}">
              <a16:creationId xmlns:a16="http://schemas.microsoft.com/office/drawing/2014/main" id="{FDF5DA45-A6A6-C9E7-315F-9FC2EDD5A5F3}"/>
            </a:ext>
          </a:extLst>
        </xdr:cNvPr>
        <xdr:cNvSpPr txBox="1"/>
      </xdr:nvSpPr>
      <xdr:spPr>
        <a:xfrm>
          <a:off x="125882" y="4022386"/>
          <a:ext cx="4381620" cy="1159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the shipping</a:t>
          </a:r>
          <a:r>
            <a:rPr lang="en-US" sz="1100" baseline="0"/>
            <a:t> cost facts in the table to minimize the total cost of shipping from factories in Rochester and Greenland to locations in Dover, Durham, and Portsmouth, given the factory capcity and location sales demand constraints shown.</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14A1DF-4E31-024E-BB0D-1D4C7E54122D}" name="Table1" displayName="Table1" ref="F12:H14" totalsRowShown="0">
  <autoFilter ref="F12:H14" xr:uid="{0B14A1DF-4E31-024E-BB0D-1D4C7E54122D}"/>
  <tableColumns count="3">
    <tableColumn id="1" xr3:uid="{5262995B-F084-BE43-8F70-175928D2C80C}" name="Column1"/>
    <tableColumn id="2" xr3:uid="{9FCECD86-3D53-3D42-A1F5-A665EE4020B7}" name="Limits"/>
    <tableColumn id="3" xr3:uid="{DFC1BC12-0CBB-4042-B55E-322F13A23AE4}" name="Actual">
      <calculatedColumnFormula>SUM(G2:G3)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3186883-A688-4E0C-B42D-4E72EAB8A522}">
  <we:reference id="wa104100404" version="3.0.0.1" store="en-US" storeType="OMEX"/>
  <we:alternateReferences>
    <we:reference id="wa104100404" version="3.0.0.1" store="wa104100404" storeType="OMEX"/>
  </we:alternateReferences>
  <we:properties>
    <we:property name="UniqueID" value="&quot;2025224174282748746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zoomScale="170" zoomScaleNormal="170" workbookViewId="0">
      <selection activeCell="G10" sqref="G10"/>
    </sheetView>
  </sheetViews>
  <sheetFormatPr baseColWidth="10" defaultColWidth="8.83203125" defaultRowHeight="15" x14ac:dyDescent="0.2"/>
  <cols>
    <col min="1" max="1" width="12.6640625" customWidth="1"/>
    <col min="2" max="2" width="9.1640625" bestFit="1" customWidth="1"/>
    <col min="3" max="3" width="11.6640625" bestFit="1" customWidth="1"/>
    <col min="4" max="4" width="12.5" bestFit="1" customWidth="1"/>
    <col min="5" max="5" width="12.1640625" bestFit="1" customWidth="1"/>
    <col min="6" max="6" width="13.5" customWidth="1"/>
    <col min="7" max="7" width="18.1640625" bestFit="1" customWidth="1"/>
    <col min="8" max="8" width="8.6640625" bestFit="1" customWidth="1"/>
  </cols>
  <sheetData>
    <row r="1" spans="1:8" ht="16" thickBot="1" x14ac:dyDescent="0.25">
      <c r="F1" s="49" t="s">
        <v>67</v>
      </c>
      <c r="G1" s="50"/>
    </row>
    <row r="2" spans="1:8" ht="16" thickBot="1" x14ac:dyDescent="0.25">
      <c r="A2" s="1"/>
      <c r="B2" s="2" t="s">
        <v>0</v>
      </c>
      <c r="C2" s="2" t="s">
        <v>1</v>
      </c>
      <c r="D2" s="2" t="s">
        <v>2</v>
      </c>
      <c r="E2" s="33" t="s">
        <v>48</v>
      </c>
      <c r="F2" s="33" t="s">
        <v>49</v>
      </c>
      <c r="G2" s="33" t="s">
        <v>50</v>
      </c>
      <c r="H2" s="51" t="s">
        <v>51</v>
      </c>
    </row>
    <row r="3" spans="1:8" ht="16" thickBot="1" x14ac:dyDescent="0.25">
      <c r="A3" s="3" t="s">
        <v>3</v>
      </c>
      <c r="B3" s="4">
        <v>4</v>
      </c>
      <c r="C3" s="4">
        <v>1</v>
      </c>
      <c r="D3" s="4">
        <v>100</v>
      </c>
      <c r="E3" s="34">
        <v>2</v>
      </c>
      <c r="F3" s="35">
        <f>B3*E3</f>
        <v>8</v>
      </c>
      <c r="G3" s="35">
        <f>C3*E3</f>
        <v>2</v>
      </c>
      <c r="H3" s="35">
        <f>D3*E3</f>
        <v>200</v>
      </c>
    </row>
    <row r="4" spans="1:8" ht="16" thickBot="1" x14ac:dyDescent="0.25">
      <c r="A4" s="3" t="s">
        <v>4</v>
      </c>
      <c r="B4" s="4">
        <v>16</v>
      </c>
      <c r="C4" s="4">
        <v>4</v>
      </c>
      <c r="D4" s="4">
        <v>1000</v>
      </c>
      <c r="E4" s="34">
        <v>12</v>
      </c>
      <c r="F4" s="35">
        <f>B4*E4</f>
        <v>192</v>
      </c>
      <c r="G4" s="35">
        <f>C4*E4</f>
        <v>48</v>
      </c>
      <c r="H4" s="35">
        <f>D4*E4</f>
        <v>12000</v>
      </c>
    </row>
    <row r="5" spans="1:8" ht="29" customHeight="1" thickBot="1" x14ac:dyDescent="0.25">
      <c r="A5" s="53" t="s">
        <v>68</v>
      </c>
      <c r="B5" s="5">
        <v>200</v>
      </c>
      <c r="C5" s="5">
        <v>50</v>
      </c>
      <c r="D5" s="5"/>
      <c r="F5" s="36"/>
      <c r="G5" s="36"/>
      <c r="H5" s="63">
        <f>SUM(H3:H4)</f>
        <v>12200</v>
      </c>
    </row>
    <row r="9" spans="1:8" ht="24" hidden="1" x14ac:dyDescent="0.2">
      <c r="B9" s="7"/>
      <c r="C9" s="8"/>
    </row>
    <row r="10" spans="1:8" x14ac:dyDescent="0.2">
      <c r="B10" s="9"/>
      <c r="C10" s="8"/>
    </row>
    <row r="11" spans="1:8" x14ac:dyDescent="0.2">
      <c r="C11" s="10" t="s">
        <v>14</v>
      </c>
      <c r="D11" s="9" t="s">
        <v>70</v>
      </c>
    </row>
    <row r="12" spans="1:8" x14ac:dyDescent="0.2">
      <c r="C12" s="11" t="s">
        <v>16</v>
      </c>
      <c r="D12" s="9" t="s">
        <v>71</v>
      </c>
      <c r="F12" t="s">
        <v>74</v>
      </c>
      <c r="G12" s="46" t="s">
        <v>53</v>
      </c>
      <c r="H12" s="46" t="s">
        <v>54</v>
      </c>
    </row>
    <row r="13" spans="1:8" x14ac:dyDescent="0.2">
      <c r="C13" s="12" t="s">
        <v>15</v>
      </c>
      <c r="D13" s="9" t="s">
        <v>72</v>
      </c>
      <c r="F13" t="s">
        <v>0</v>
      </c>
      <c r="G13">
        <v>200</v>
      </c>
      <c r="H13">
        <f>SUM(F3:F4)</f>
        <v>200</v>
      </c>
    </row>
    <row r="14" spans="1:8" x14ac:dyDescent="0.2">
      <c r="C14" s="9"/>
      <c r="D14" s="9" t="s">
        <v>73</v>
      </c>
      <c r="F14" t="s">
        <v>1</v>
      </c>
      <c r="G14">
        <v>50</v>
      </c>
      <c r="H14">
        <f>SUM(G3:G4)</f>
        <v>50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2F563-5CE9-498E-AA63-79CA2A455529}">
  <dimension ref="A2:H14"/>
  <sheetViews>
    <sheetView zoomScale="200" zoomScaleNormal="200" workbookViewId="0">
      <selection activeCell="G15" sqref="G15"/>
    </sheetView>
  </sheetViews>
  <sheetFormatPr baseColWidth="10" defaultColWidth="8.83203125" defaultRowHeight="15" x14ac:dyDescent="0.2"/>
  <cols>
    <col min="1" max="1" width="10.6640625" bestFit="1" customWidth="1"/>
    <col min="2" max="2" width="9.6640625" bestFit="1" customWidth="1"/>
    <col min="3" max="3" width="12.33203125" bestFit="1" customWidth="1"/>
    <col min="6" max="6" width="14.6640625" bestFit="1" customWidth="1"/>
  </cols>
  <sheetData>
    <row r="2" spans="1:8" x14ac:dyDescent="0.2">
      <c r="A2" t="s">
        <v>5</v>
      </c>
      <c r="B2" t="s">
        <v>6</v>
      </c>
      <c r="C2" t="s">
        <v>7</v>
      </c>
      <c r="D2" t="s">
        <v>52</v>
      </c>
      <c r="E2" s="52" t="s">
        <v>55</v>
      </c>
      <c r="F2" t="s">
        <v>6</v>
      </c>
    </row>
    <row r="3" spans="1:8" x14ac:dyDescent="0.2">
      <c r="A3" t="s">
        <v>8</v>
      </c>
      <c r="B3" s="6">
        <v>10000000</v>
      </c>
      <c r="C3">
        <v>7000</v>
      </c>
      <c r="D3" s="67">
        <v>0</v>
      </c>
      <c r="E3">
        <f>D3*C3</f>
        <v>0</v>
      </c>
      <c r="F3" s="64">
        <f>D3*B3</f>
        <v>0</v>
      </c>
    </row>
    <row r="4" spans="1:8" x14ac:dyDescent="0.2">
      <c r="A4" t="s">
        <v>9</v>
      </c>
      <c r="B4" s="6">
        <v>7000000</v>
      </c>
      <c r="C4">
        <v>3000</v>
      </c>
      <c r="D4" s="67">
        <v>1</v>
      </c>
      <c r="E4">
        <f t="shared" ref="E4:E8" si="0">D4*C4</f>
        <v>3000</v>
      </c>
      <c r="F4" s="64">
        <f t="shared" ref="F4:F8" si="1">D4*B4</f>
        <v>7000000</v>
      </c>
    </row>
    <row r="5" spans="1:8" x14ac:dyDescent="0.2">
      <c r="A5" t="s">
        <v>10</v>
      </c>
      <c r="B5" s="6">
        <v>6000000</v>
      </c>
      <c r="C5">
        <v>2000</v>
      </c>
      <c r="D5" s="67">
        <v>1</v>
      </c>
      <c r="E5">
        <f t="shared" si="0"/>
        <v>2000</v>
      </c>
      <c r="F5" s="64">
        <f t="shared" si="1"/>
        <v>6000000</v>
      </c>
    </row>
    <row r="6" spans="1:8" x14ac:dyDescent="0.2">
      <c r="A6" t="s">
        <v>11</v>
      </c>
      <c r="B6" s="6">
        <v>5000000</v>
      </c>
      <c r="C6">
        <v>2500</v>
      </c>
      <c r="D6" s="67">
        <v>1</v>
      </c>
      <c r="E6">
        <f t="shared" si="0"/>
        <v>2500</v>
      </c>
      <c r="F6" s="64">
        <f t="shared" si="1"/>
        <v>5000000</v>
      </c>
    </row>
    <row r="7" spans="1:8" x14ac:dyDescent="0.2">
      <c r="A7" t="s">
        <v>12</v>
      </c>
      <c r="B7" s="6">
        <v>3500000</v>
      </c>
      <c r="C7">
        <v>1500</v>
      </c>
      <c r="D7" s="67">
        <v>1</v>
      </c>
      <c r="E7">
        <f t="shared" si="0"/>
        <v>1500</v>
      </c>
      <c r="F7" s="64">
        <f t="shared" si="1"/>
        <v>3500000</v>
      </c>
    </row>
    <row r="8" spans="1:8" x14ac:dyDescent="0.2">
      <c r="A8" t="s">
        <v>13</v>
      </c>
      <c r="B8" s="6">
        <v>2500000</v>
      </c>
      <c r="C8">
        <v>1500</v>
      </c>
      <c r="D8" s="67">
        <v>0</v>
      </c>
      <c r="E8">
        <f t="shared" si="0"/>
        <v>0</v>
      </c>
      <c r="F8" s="65">
        <f t="shared" si="1"/>
        <v>0</v>
      </c>
    </row>
    <row r="9" spans="1:8" x14ac:dyDescent="0.2">
      <c r="F9" s="66">
        <f>SUM(F3:F8)</f>
        <v>21500000</v>
      </c>
    </row>
    <row r="11" spans="1:8" x14ac:dyDescent="0.2">
      <c r="G11" s="46" t="s">
        <v>53</v>
      </c>
      <c r="H11" s="46" t="s">
        <v>54</v>
      </c>
    </row>
    <row r="12" spans="1:8" ht="16" x14ac:dyDescent="0.2">
      <c r="B12" s="10" t="s">
        <v>14</v>
      </c>
      <c r="C12" t="s">
        <v>75</v>
      </c>
      <c r="G12" s="68">
        <v>10000</v>
      </c>
      <c r="H12" s="68">
        <f>SUM(E3:E8)</f>
        <v>9000</v>
      </c>
    </row>
    <row r="13" spans="1:8" x14ac:dyDescent="0.2">
      <c r="B13" s="11" t="s">
        <v>16</v>
      </c>
      <c r="C13" t="s">
        <v>76</v>
      </c>
    </row>
    <row r="14" spans="1:8" x14ac:dyDescent="0.2">
      <c r="B14" s="12" t="s">
        <v>15</v>
      </c>
      <c r="C14" t="s">
        <v>77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0775-2CDE-4DE8-96B2-8966306E44AD}">
  <dimension ref="A1:H17"/>
  <sheetViews>
    <sheetView zoomScale="160" zoomScaleNormal="160" workbookViewId="0">
      <selection activeCell="H15" sqref="H15"/>
    </sheetView>
  </sheetViews>
  <sheetFormatPr baseColWidth="10" defaultColWidth="8.83203125" defaultRowHeight="15" x14ac:dyDescent="0.2"/>
  <cols>
    <col min="1" max="1" width="11.33203125" customWidth="1"/>
    <col min="2" max="2" width="12.5" customWidth="1"/>
    <col min="3" max="3" width="13.6640625" customWidth="1"/>
    <col min="4" max="4" width="10.6640625" customWidth="1"/>
    <col min="6" max="6" width="11.1640625" bestFit="1" customWidth="1"/>
    <col min="8" max="8" width="11" bestFit="1" customWidth="1"/>
  </cols>
  <sheetData>
    <row r="1" spans="1:8" ht="16" thickBot="1" x14ac:dyDescent="0.25">
      <c r="F1" s="62" t="s">
        <v>67</v>
      </c>
      <c r="G1" s="62"/>
      <c r="H1" s="35" t="s">
        <v>18</v>
      </c>
    </row>
    <row r="2" spans="1:8" ht="31" thickBot="1" x14ac:dyDescent="0.25">
      <c r="A2" s="13" t="s">
        <v>17</v>
      </c>
      <c r="B2" s="14" t="s">
        <v>18</v>
      </c>
      <c r="C2" s="14" t="s">
        <v>19</v>
      </c>
      <c r="D2" s="14" t="s">
        <v>20</v>
      </c>
      <c r="E2" s="58" t="s">
        <v>82</v>
      </c>
      <c r="F2" s="54" t="s">
        <v>83</v>
      </c>
      <c r="G2" s="55" t="s">
        <v>84</v>
      </c>
      <c r="H2" s="57" t="s">
        <v>18</v>
      </c>
    </row>
    <row r="3" spans="1:8" ht="16" thickBot="1" x14ac:dyDescent="0.25">
      <c r="A3" s="15" t="s">
        <v>21</v>
      </c>
      <c r="B3" s="16">
        <v>100000</v>
      </c>
      <c r="C3" s="16">
        <v>50000</v>
      </c>
      <c r="D3" s="23">
        <v>5</v>
      </c>
      <c r="E3">
        <v>0</v>
      </c>
      <c r="F3" s="69">
        <f>E3*C3</f>
        <v>0</v>
      </c>
      <c r="G3" s="56">
        <f>D3*E3</f>
        <v>0</v>
      </c>
      <c r="H3" s="70">
        <f>E3*B3</f>
        <v>0</v>
      </c>
    </row>
    <row r="4" spans="1:8" ht="16" thickBot="1" x14ac:dyDescent="0.25">
      <c r="A4" s="15" t="s">
        <v>22</v>
      </c>
      <c r="B4" s="16">
        <v>150000</v>
      </c>
      <c r="C4" s="16">
        <v>100000</v>
      </c>
      <c r="D4" s="23">
        <v>12</v>
      </c>
      <c r="E4">
        <v>0</v>
      </c>
      <c r="F4" s="69">
        <f>E4*C4</f>
        <v>0</v>
      </c>
      <c r="G4" s="56">
        <f t="shared" ref="G4:G8" si="0">D4*E4</f>
        <v>0</v>
      </c>
      <c r="H4" s="70">
        <f t="shared" ref="H4:H8" si="1">E4*B4</f>
        <v>0</v>
      </c>
    </row>
    <row r="5" spans="1:8" ht="16" thickBot="1" x14ac:dyDescent="0.25">
      <c r="A5" s="15" t="s">
        <v>23</v>
      </c>
      <c r="B5" s="16">
        <v>350000</v>
      </c>
      <c r="C5" s="16">
        <v>150000</v>
      </c>
      <c r="D5" s="23">
        <v>20</v>
      </c>
      <c r="E5">
        <v>0</v>
      </c>
      <c r="F5" s="69">
        <f t="shared" ref="F5:F8" si="2">E5*C5</f>
        <v>0</v>
      </c>
      <c r="G5" s="56">
        <f t="shared" si="0"/>
        <v>0</v>
      </c>
      <c r="H5" s="70">
        <f t="shared" si="1"/>
        <v>0</v>
      </c>
    </row>
    <row r="6" spans="1:8" ht="16" thickBot="1" x14ac:dyDescent="0.25">
      <c r="A6" s="15" t="s">
        <v>24</v>
      </c>
      <c r="B6" s="16">
        <v>200000</v>
      </c>
      <c r="C6" s="16">
        <v>120000</v>
      </c>
      <c r="D6" s="23">
        <v>7</v>
      </c>
      <c r="E6">
        <v>1</v>
      </c>
      <c r="F6" s="69">
        <f t="shared" si="2"/>
        <v>120000</v>
      </c>
      <c r="G6" s="56">
        <f t="shared" si="0"/>
        <v>7</v>
      </c>
      <c r="H6" s="70">
        <f t="shared" si="1"/>
        <v>200000</v>
      </c>
    </row>
    <row r="7" spans="1:8" ht="16" thickBot="1" x14ac:dyDescent="0.25">
      <c r="A7" s="15" t="s">
        <v>25</v>
      </c>
      <c r="B7" s="16">
        <v>180000</v>
      </c>
      <c r="C7" s="16">
        <v>75000</v>
      </c>
      <c r="D7" s="23">
        <v>8</v>
      </c>
      <c r="E7">
        <v>1</v>
      </c>
      <c r="F7" s="69">
        <f t="shared" si="2"/>
        <v>75000</v>
      </c>
      <c r="G7" s="56">
        <f t="shared" si="0"/>
        <v>8</v>
      </c>
      <c r="H7" s="70">
        <f t="shared" si="1"/>
        <v>180000</v>
      </c>
    </row>
    <row r="8" spans="1:8" ht="16" thickBot="1" x14ac:dyDescent="0.25">
      <c r="A8" s="15" t="s">
        <v>26</v>
      </c>
      <c r="B8" s="16">
        <v>400000</v>
      </c>
      <c r="C8" s="16">
        <v>100000</v>
      </c>
      <c r="D8" s="23">
        <v>10</v>
      </c>
      <c r="E8">
        <v>1</v>
      </c>
      <c r="F8" s="69">
        <f t="shared" si="2"/>
        <v>100000</v>
      </c>
      <c r="G8" s="56">
        <f t="shared" si="0"/>
        <v>10</v>
      </c>
      <c r="H8" s="70">
        <f t="shared" si="1"/>
        <v>400000</v>
      </c>
    </row>
    <row r="9" spans="1:8" ht="31" thickBot="1" x14ac:dyDescent="0.25">
      <c r="A9" s="17" t="s">
        <v>27</v>
      </c>
      <c r="B9" s="18"/>
      <c r="C9" s="19">
        <v>300000</v>
      </c>
      <c r="D9" s="24">
        <v>26</v>
      </c>
      <c r="F9" s="71">
        <f>SUM(F3:F8)</f>
        <v>295000</v>
      </c>
      <c r="G9" s="72">
        <f t="shared" ref="G9:H9" si="3">SUM(G3:G8)</f>
        <v>25</v>
      </c>
      <c r="H9" s="73">
        <f t="shared" si="3"/>
        <v>780000</v>
      </c>
    </row>
    <row r="14" spans="1:8" x14ac:dyDescent="0.2">
      <c r="B14" s="10" t="s">
        <v>14</v>
      </c>
      <c r="C14" t="s">
        <v>78</v>
      </c>
    </row>
    <row r="15" spans="1:8" x14ac:dyDescent="0.2">
      <c r="B15" s="11" t="s">
        <v>16</v>
      </c>
      <c r="C15" t="s">
        <v>79</v>
      </c>
      <c r="F15" s="46" t="s">
        <v>58</v>
      </c>
      <c r="G15" s="46" t="s">
        <v>54</v>
      </c>
    </row>
    <row r="16" spans="1:8" x14ac:dyDescent="0.2">
      <c r="B16" s="12" t="s">
        <v>15</v>
      </c>
      <c r="C16" t="s">
        <v>80</v>
      </c>
      <c r="E16" t="s">
        <v>83</v>
      </c>
      <c r="F16" s="64">
        <v>300000</v>
      </c>
      <c r="G16" s="64">
        <f>F9</f>
        <v>295000</v>
      </c>
    </row>
    <row r="17" spans="3:7" x14ac:dyDescent="0.2">
      <c r="C17" t="s">
        <v>81</v>
      </c>
      <c r="E17" t="s">
        <v>84</v>
      </c>
      <c r="F17">
        <v>26</v>
      </c>
      <c r="G17">
        <f>G9</f>
        <v>25</v>
      </c>
    </row>
  </sheetData>
  <mergeCells count="1">
    <mergeCell ref="F1:G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E369-1EB2-46FA-A0A1-1EEF41D250B0}">
  <dimension ref="A1:G13"/>
  <sheetViews>
    <sheetView zoomScale="150" zoomScaleNormal="150" workbookViewId="0">
      <selection activeCell="K18" sqref="K18"/>
    </sheetView>
  </sheetViews>
  <sheetFormatPr baseColWidth="10" defaultColWidth="8.83203125" defaultRowHeight="15" x14ac:dyDescent="0.2"/>
  <cols>
    <col min="2" max="2" width="10.6640625" customWidth="1"/>
    <col min="3" max="4" width="11.6640625" customWidth="1"/>
    <col min="5" max="5" width="13.1640625" bestFit="1" customWidth="1"/>
    <col min="6" max="6" width="9.33203125" customWidth="1"/>
  </cols>
  <sheetData>
    <row r="1" spans="1:7" ht="16" thickBot="1" x14ac:dyDescent="0.25"/>
    <row r="2" spans="1:7" ht="16" thickBot="1" x14ac:dyDescent="0.25">
      <c r="A2" s="20"/>
      <c r="B2" s="21" t="s">
        <v>28</v>
      </c>
      <c r="C2" s="21" t="s">
        <v>29</v>
      </c>
      <c r="D2" s="38" t="s">
        <v>62</v>
      </c>
      <c r="E2" s="45" t="s">
        <v>61</v>
      </c>
      <c r="F2" s="47" t="s">
        <v>63</v>
      </c>
      <c r="G2" s="47" t="s">
        <v>64</v>
      </c>
    </row>
    <row r="3" spans="1:7" ht="16" thickBot="1" x14ac:dyDescent="0.25">
      <c r="A3" s="15" t="s">
        <v>30</v>
      </c>
      <c r="B3" s="22">
        <v>15</v>
      </c>
      <c r="C3" s="22">
        <v>1</v>
      </c>
      <c r="D3" s="38">
        <v>16</v>
      </c>
      <c r="E3" s="43">
        <v>15</v>
      </c>
      <c r="F3">
        <f>C3*E3</f>
        <v>15</v>
      </c>
      <c r="G3" s="42">
        <f>E3*B3</f>
        <v>225</v>
      </c>
    </row>
    <row r="4" spans="1:7" ht="16" thickBot="1" x14ac:dyDescent="0.25">
      <c r="A4" s="15" t="s">
        <v>31</v>
      </c>
      <c r="B4" s="22">
        <v>20</v>
      </c>
      <c r="C4" s="22">
        <v>1.35</v>
      </c>
      <c r="D4" s="38">
        <v>16</v>
      </c>
      <c r="E4" s="43">
        <v>12</v>
      </c>
      <c r="F4">
        <f t="shared" ref="F4:F5" si="0">C4*E4</f>
        <v>16.200000000000003</v>
      </c>
      <c r="G4" s="42">
        <f t="shared" ref="G4:G5" si="1">E4*B4</f>
        <v>240</v>
      </c>
    </row>
    <row r="5" spans="1:7" ht="16" thickBot="1" x14ac:dyDescent="0.25">
      <c r="A5" s="15" t="s">
        <v>32</v>
      </c>
      <c r="B5" s="22">
        <v>40</v>
      </c>
      <c r="C5" s="22">
        <v>2.4</v>
      </c>
      <c r="D5" s="38">
        <v>16</v>
      </c>
      <c r="E5" s="43">
        <v>12</v>
      </c>
      <c r="F5">
        <f t="shared" si="0"/>
        <v>28.799999999999997</v>
      </c>
      <c r="G5" s="42">
        <f t="shared" si="1"/>
        <v>480</v>
      </c>
    </row>
    <row r="6" spans="1:7" x14ac:dyDescent="0.2">
      <c r="C6" s="38"/>
      <c r="G6" s="44">
        <f>SUM(G3:G5)</f>
        <v>945</v>
      </c>
    </row>
    <row r="11" spans="1:7" x14ac:dyDescent="0.2">
      <c r="B11" s="10" t="s">
        <v>14</v>
      </c>
      <c r="C11" t="s">
        <v>85</v>
      </c>
    </row>
    <row r="12" spans="1:7" x14ac:dyDescent="0.2">
      <c r="B12" s="11" t="s">
        <v>16</v>
      </c>
      <c r="C12" t="s">
        <v>86</v>
      </c>
      <c r="F12" s="46" t="s">
        <v>58</v>
      </c>
      <c r="G12" s="46" t="s">
        <v>54</v>
      </c>
    </row>
    <row r="13" spans="1:7" x14ac:dyDescent="0.2">
      <c r="B13" s="12" t="s">
        <v>15</v>
      </c>
      <c r="C13" s="74" t="s">
        <v>88</v>
      </c>
      <c r="E13" t="s">
        <v>87</v>
      </c>
      <c r="F13" s="35">
        <v>60</v>
      </c>
      <c r="G13" s="35">
        <f>SUM(F3:F5)</f>
        <v>60</v>
      </c>
    </row>
  </sheetData>
  <conditionalFormatting sqref="G13">
    <cfRule type="cellIs" dxfId="1" priority="1" operator="equal">
      <formula>$F$13</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4774C-FBF8-473E-9251-7487F228A798}">
  <dimension ref="A1:H17"/>
  <sheetViews>
    <sheetView zoomScale="170" zoomScaleNormal="170" workbookViewId="0">
      <selection activeCell="H14" sqref="H14"/>
    </sheetView>
  </sheetViews>
  <sheetFormatPr baseColWidth="10" defaultColWidth="8.83203125" defaultRowHeight="15" x14ac:dyDescent="0.2"/>
  <cols>
    <col min="1" max="1" width="14" customWidth="1"/>
    <col min="2" max="2" width="10.33203125" customWidth="1"/>
    <col min="3" max="4" width="9.6640625" customWidth="1"/>
    <col min="5" max="5" width="12.83203125" bestFit="1" customWidth="1"/>
    <col min="6" max="6" width="13.5" customWidth="1"/>
    <col min="7" max="7" width="11.33203125" bestFit="1" customWidth="1"/>
  </cols>
  <sheetData>
    <row r="1" spans="1:8" ht="16" thickBot="1" x14ac:dyDescent="0.25"/>
    <row r="2" spans="1:8" ht="16" thickBot="1" x14ac:dyDescent="0.25">
      <c r="A2" s="13" t="s">
        <v>33</v>
      </c>
      <c r="B2" s="14" t="s">
        <v>18</v>
      </c>
      <c r="C2" s="14" t="s">
        <v>34</v>
      </c>
      <c r="D2" s="37" t="s">
        <v>57</v>
      </c>
      <c r="E2" s="37" t="s">
        <v>56</v>
      </c>
      <c r="F2" s="37" t="s">
        <v>69</v>
      </c>
      <c r="G2" s="37" t="s">
        <v>59</v>
      </c>
    </row>
    <row r="3" spans="1:8" ht="16" thickBot="1" x14ac:dyDescent="0.25">
      <c r="A3" s="15" t="s">
        <v>35</v>
      </c>
      <c r="B3" s="22">
        <v>3.5</v>
      </c>
      <c r="C3" s="22">
        <v>8.6999999999999993</v>
      </c>
      <c r="D3" s="39">
        <v>0</v>
      </c>
      <c r="E3" s="39">
        <v>200000</v>
      </c>
      <c r="F3" s="76">
        <v>185000</v>
      </c>
      <c r="G3">
        <f>F3*C3</f>
        <v>1609499.9999999998</v>
      </c>
    </row>
    <row r="4" spans="1:8" ht="16" thickBot="1" x14ac:dyDescent="0.25">
      <c r="A4" s="15" t="s">
        <v>36</v>
      </c>
      <c r="B4" s="22">
        <v>1</v>
      </c>
      <c r="C4" s="22">
        <v>2.9</v>
      </c>
      <c r="D4" s="39">
        <v>30000</v>
      </c>
      <c r="E4" s="39">
        <v>150000</v>
      </c>
      <c r="F4" s="76">
        <v>150000</v>
      </c>
      <c r="G4">
        <f t="shared" ref="G4:G7" si="0">F4*C4</f>
        <v>435000</v>
      </c>
    </row>
    <row r="5" spans="1:8" ht="16" thickBot="1" x14ac:dyDescent="0.25">
      <c r="A5" s="15" t="s">
        <v>37</v>
      </c>
      <c r="B5" s="22">
        <v>4.5</v>
      </c>
      <c r="C5" s="22">
        <v>7.4</v>
      </c>
      <c r="D5" s="39">
        <v>0</v>
      </c>
      <c r="E5" s="39">
        <v>300000</v>
      </c>
      <c r="F5" s="76">
        <v>0</v>
      </c>
      <c r="G5">
        <f t="shared" si="0"/>
        <v>0</v>
      </c>
    </row>
    <row r="6" spans="1:8" ht="16" thickBot="1" x14ac:dyDescent="0.25">
      <c r="A6" s="15" t="s">
        <v>38</v>
      </c>
      <c r="B6" s="22">
        <v>8.5</v>
      </c>
      <c r="C6" s="22">
        <v>12</v>
      </c>
      <c r="D6" s="39">
        <v>0</v>
      </c>
      <c r="E6" s="39">
        <v>300000</v>
      </c>
      <c r="F6" s="76">
        <v>0</v>
      </c>
      <c r="G6">
        <f t="shared" si="0"/>
        <v>0</v>
      </c>
    </row>
    <row r="7" spans="1:8" ht="16" thickBot="1" x14ac:dyDescent="0.25">
      <c r="A7" s="15" t="s">
        <v>39</v>
      </c>
      <c r="B7" s="22">
        <v>10.199999999999999</v>
      </c>
      <c r="C7" s="22">
        <v>15</v>
      </c>
      <c r="D7" s="39">
        <v>15000</v>
      </c>
      <c r="E7" s="39">
        <v>200000</v>
      </c>
      <c r="F7" s="76">
        <v>15000</v>
      </c>
      <c r="G7">
        <f t="shared" si="0"/>
        <v>225000</v>
      </c>
    </row>
    <row r="8" spans="1:8" x14ac:dyDescent="0.2">
      <c r="F8" s="59" t="s">
        <v>60</v>
      </c>
      <c r="G8" s="41">
        <f>(SUM(G3:G7))/G14</f>
        <v>6.484285714285714</v>
      </c>
    </row>
    <row r="12" spans="1:8" x14ac:dyDescent="0.2">
      <c r="B12" s="10" t="s">
        <v>14</v>
      </c>
      <c r="C12" t="s">
        <v>89</v>
      </c>
    </row>
    <row r="13" spans="1:8" x14ac:dyDescent="0.2">
      <c r="B13" s="11" t="s">
        <v>16</v>
      </c>
      <c r="C13" t="s">
        <v>90</v>
      </c>
      <c r="G13" s="46" t="s">
        <v>58</v>
      </c>
      <c r="H13" s="46" t="s">
        <v>54</v>
      </c>
    </row>
    <row r="14" spans="1:8" ht="16" customHeight="1" x14ac:dyDescent="0.2">
      <c r="B14" s="12" t="s">
        <v>15</v>
      </c>
      <c r="C14" t="s">
        <v>91</v>
      </c>
      <c r="F14" t="s">
        <v>93</v>
      </c>
      <c r="G14">
        <v>350000</v>
      </c>
      <c r="H14">
        <f>SUM(F3:F7)</f>
        <v>350000</v>
      </c>
    </row>
    <row r="15" spans="1:8" ht="15" customHeight="1" x14ac:dyDescent="0.2">
      <c r="C15" s="75" t="s">
        <v>92</v>
      </c>
      <c r="D15" s="75"/>
    </row>
    <row r="16" spans="1:8" x14ac:dyDescent="0.2">
      <c r="C16" s="75"/>
      <c r="D16" s="75"/>
      <c r="G16" s="40"/>
      <c r="H16" s="40"/>
    </row>
    <row r="17" spans="3:4" x14ac:dyDescent="0.2">
      <c r="C17" s="75"/>
      <c r="D17" s="75"/>
    </row>
  </sheetData>
  <mergeCells count="1">
    <mergeCell ref="C15:D17"/>
  </mergeCells>
  <conditionalFormatting sqref="H14">
    <cfRule type="cellIs" dxfId="0" priority="1" operator="equal">
      <formula>$G$14</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7763D-D45E-4564-878E-6DA8AB50DB41}">
  <dimension ref="A1:L15"/>
  <sheetViews>
    <sheetView zoomScale="159" zoomScaleNormal="100" workbookViewId="0">
      <selection activeCell="J15" sqref="J15"/>
    </sheetView>
  </sheetViews>
  <sheetFormatPr baseColWidth="10" defaultColWidth="8.83203125" defaultRowHeight="15" x14ac:dyDescent="0.2"/>
  <cols>
    <col min="1" max="1" width="11.6640625" customWidth="1"/>
    <col min="4" max="4" width="11.5" customWidth="1"/>
    <col min="5" max="5" width="9.6640625" customWidth="1"/>
    <col min="6" max="6" width="2.33203125" customWidth="1"/>
    <col min="8" max="8" width="12.33203125" customWidth="1"/>
    <col min="9" max="12" width="11.33203125" customWidth="1"/>
  </cols>
  <sheetData>
    <row r="1" spans="1:12" ht="16" thickBot="1" x14ac:dyDescent="0.25"/>
    <row r="2" spans="1:12" ht="35" thickBot="1" x14ac:dyDescent="0.25">
      <c r="A2" s="30" t="s">
        <v>47</v>
      </c>
      <c r="B2" s="29" t="s">
        <v>45</v>
      </c>
      <c r="C2" s="29" t="s">
        <v>44</v>
      </c>
      <c r="D2" s="29" t="s">
        <v>43</v>
      </c>
      <c r="E2" s="61" t="s">
        <v>46</v>
      </c>
      <c r="H2" s="30" t="s">
        <v>47</v>
      </c>
      <c r="I2" s="29" t="s">
        <v>45</v>
      </c>
      <c r="J2" s="29" t="s">
        <v>44</v>
      </c>
      <c r="K2" s="29" t="s">
        <v>43</v>
      </c>
      <c r="L2" s="29" t="s">
        <v>65</v>
      </c>
    </row>
    <row r="3" spans="1:12" ht="20.75" customHeight="1" thickBot="1" x14ac:dyDescent="0.25">
      <c r="A3" s="28" t="s">
        <v>42</v>
      </c>
      <c r="B3" s="48">
        <v>1.25</v>
      </c>
      <c r="C3" s="48">
        <v>2.25</v>
      </c>
      <c r="D3" s="48">
        <v>3</v>
      </c>
      <c r="E3" s="27">
        <v>5000</v>
      </c>
      <c r="H3" s="28" t="s">
        <v>42</v>
      </c>
      <c r="I3" s="32">
        <v>3500</v>
      </c>
      <c r="J3" s="32">
        <v>1000</v>
      </c>
      <c r="K3" s="32">
        <v>0</v>
      </c>
      <c r="L3" s="27">
        <f>SUM(I3:K3)</f>
        <v>4500</v>
      </c>
    </row>
    <row r="4" spans="1:12" ht="18" thickBot="1" x14ac:dyDescent="0.25">
      <c r="A4" s="28" t="s">
        <v>41</v>
      </c>
      <c r="B4" s="48">
        <v>2.1</v>
      </c>
      <c r="C4" s="48">
        <v>1.5</v>
      </c>
      <c r="D4" s="48">
        <v>1</v>
      </c>
      <c r="E4" s="27">
        <v>8000</v>
      </c>
      <c r="H4" s="28" t="s">
        <v>41</v>
      </c>
      <c r="I4" s="32">
        <v>0</v>
      </c>
      <c r="J4" s="32">
        <v>0</v>
      </c>
      <c r="K4" s="32">
        <v>8000</v>
      </c>
      <c r="L4" s="27">
        <f>SUM(I4:K4)</f>
        <v>8000</v>
      </c>
    </row>
    <row r="5" spans="1:12" ht="17" thickBot="1" x14ac:dyDescent="0.25">
      <c r="A5" s="60" t="s">
        <v>40</v>
      </c>
      <c r="B5" s="31">
        <v>3500</v>
      </c>
      <c r="C5" s="31">
        <v>1000</v>
      </c>
      <c r="D5" s="31">
        <v>8000</v>
      </c>
      <c r="E5" s="25"/>
      <c r="H5" s="26" t="s">
        <v>66</v>
      </c>
      <c r="I5" s="31">
        <f>SUM(I3:I4)</f>
        <v>3500</v>
      </c>
      <c r="J5" s="31">
        <f>SUM(J3:J4)</f>
        <v>1000</v>
      </c>
      <c r="K5" s="31">
        <f>SUM(K3:K4)</f>
        <v>8000</v>
      </c>
      <c r="L5" s="25"/>
    </row>
    <row r="11" spans="1:12" ht="16" x14ac:dyDescent="0.2">
      <c r="I11" t="s">
        <v>98</v>
      </c>
      <c r="J11" s="77">
        <f>SUMPRODUCT(B3:D4,I3:K4)</f>
        <v>14625</v>
      </c>
    </row>
    <row r="12" spans="1:12" x14ac:dyDescent="0.2">
      <c r="B12" s="10" t="s">
        <v>14</v>
      </c>
      <c r="C12" t="s">
        <v>94</v>
      </c>
    </row>
    <row r="13" spans="1:12" x14ac:dyDescent="0.2">
      <c r="B13" s="11" t="s">
        <v>16</v>
      </c>
      <c r="C13" t="s">
        <v>95</v>
      </c>
      <c r="J13" s="78"/>
    </row>
    <row r="14" spans="1:12" x14ac:dyDescent="0.2">
      <c r="B14" s="12" t="s">
        <v>15</v>
      </c>
      <c r="C14" t="s">
        <v>96</v>
      </c>
    </row>
    <row r="15" spans="1:12" x14ac:dyDescent="0.2">
      <c r="C15" t="s">
        <v>97</v>
      </c>
    </row>
  </sheetData>
  <pageMargins left="0.7" right="0.7" top="0.75" bottom="0.75" header="0.3" footer="0.3"/>
  <pageSetup orientation="portrait" verticalDpi="36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1-computers</vt:lpstr>
      <vt:lpstr>2-investments</vt:lpstr>
      <vt:lpstr>3-projects</vt:lpstr>
      <vt:lpstr>4-hours</vt:lpstr>
      <vt:lpstr>5-portfolio</vt:lpstr>
      <vt:lpstr>6-shipping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2025-03-25T15:25:25Z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3188ad8-4875-42e6-925c-bd11f6824504_Enabled">
    <vt:lpwstr>true</vt:lpwstr>
  </property>
  <property fmtid="{D5CDD505-2E9C-101B-9397-08002B2CF9AE}" pid="3" name="MSIP_Label_33188ad8-4875-42e6-925c-bd11f6824504_SetDate">
    <vt:lpwstr>2024-03-17T17:12:12Z</vt:lpwstr>
  </property>
  <property fmtid="{D5CDD505-2E9C-101B-9397-08002B2CF9AE}" pid="4" name="MSIP_Label_33188ad8-4875-42e6-925c-bd11f6824504_Method">
    <vt:lpwstr>Standard</vt:lpwstr>
  </property>
  <property fmtid="{D5CDD505-2E9C-101B-9397-08002B2CF9AE}" pid="5" name="MSIP_Label_33188ad8-4875-42e6-925c-bd11f6824504_Name">
    <vt:lpwstr>defa4170-0d19-0005-0004-bc88714345d2</vt:lpwstr>
  </property>
  <property fmtid="{D5CDD505-2E9C-101B-9397-08002B2CF9AE}" pid="6" name="MSIP_Label_33188ad8-4875-42e6-925c-bd11f6824504_SiteId">
    <vt:lpwstr>8143a300-2c64-4dd4-bb14-bcd3f04c1963</vt:lpwstr>
  </property>
  <property fmtid="{D5CDD505-2E9C-101B-9397-08002B2CF9AE}" pid="7" name="MSIP_Label_33188ad8-4875-42e6-925c-bd11f6824504_ActionId">
    <vt:lpwstr>0bf31d68-2eb9-40f5-9408-119bb13f3c25</vt:lpwstr>
  </property>
  <property fmtid="{D5CDD505-2E9C-101B-9397-08002B2CF9AE}" pid="8" name="MSIP_Label_33188ad8-4875-42e6-925c-bd11f6824504_ContentBits">
    <vt:lpwstr>0</vt:lpwstr>
  </property>
</Properties>
</file>