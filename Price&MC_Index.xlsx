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ratus/Documents/Education/Fund of Investment/Section 1/Chapter 3/"/>
    </mc:Choice>
  </mc:AlternateContent>
  <xr:revisionPtr revIDLastSave="0" documentId="13_ncr:1_{CDF0BA08-3729-D84B-B56D-9C2C8C4CA8C2}" xr6:coauthVersionLast="47" xr6:coauthVersionMax="47" xr10:uidLastSave="{00000000-0000-0000-0000-000000000000}"/>
  <bookViews>
    <workbookView xWindow="-70200" yWindow="-1040" windowWidth="28800" windowHeight="17400" xr2:uid="{F7397ADC-2EFA-1E46-B2CD-80CCDAD6CBF5}"/>
  </bookViews>
  <sheets>
    <sheet name="Price Weighted" sheetId="1" r:id="rId1"/>
    <sheet name="Market-cap Weighte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6" i="2" l="1" a="1"/>
  <c r="C156" i="2" s="1"/>
  <c r="C8" i="2" a="1"/>
  <c r="C8" i="2" s="1"/>
  <c r="C9" i="2" a="1"/>
  <c r="C9" i="2" s="1"/>
  <c r="C10" i="2" a="1"/>
  <c r="C10" i="2" s="1"/>
  <c r="C11" i="2" a="1"/>
  <c r="C11" i="2" s="1"/>
  <c r="C12" i="2" a="1"/>
  <c r="C12" i="2" s="1"/>
  <c r="C13" i="2" a="1"/>
  <c r="C13" i="2" s="1"/>
  <c r="C14" i="2" a="1"/>
  <c r="C14" i="2" s="1"/>
  <c r="C15" i="2" a="1"/>
  <c r="C15" i="2" s="1"/>
  <c r="C16" i="2" a="1"/>
  <c r="C16" i="2" s="1"/>
  <c r="C17" i="2" a="1"/>
  <c r="C17" i="2" s="1"/>
  <c r="C18" i="2" a="1"/>
  <c r="C18" i="2" s="1"/>
  <c r="C19" i="2" a="1"/>
  <c r="C19" i="2" s="1"/>
  <c r="C20" i="2" a="1"/>
  <c r="C20" i="2" s="1"/>
  <c r="C21" i="2" a="1"/>
  <c r="C21" i="2" s="1"/>
  <c r="C22" i="2" a="1"/>
  <c r="C22" i="2" s="1"/>
  <c r="C23" i="2" a="1"/>
  <c r="C23" i="2" s="1"/>
  <c r="C24" i="2" a="1"/>
  <c r="C24" i="2" s="1"/>
  <c r="C25" i="2" a="1"/>
  <c r="C25" i="2" s="1"/>
  <c r="C26" i="2" a="1"/>
  <c r="C26" i="2" s="1"/>
  <c r="C27" i="2" a="1"/>
  <c r="C27" i="2" s="1"/>
  <c r="C28" i="2" a="1"/>
  <c r="C28" i="2" s="1"/>
  <c r="C29" i="2" a="1"/>
  <c r="C29" i="2" s="1"/>
  <c r="C30" i="2" a="1"/>
  <c r="C30" i="2" s="1"/>
  <c r="C31" i="2" a="1"/>
  <c r="C31" i="2" s="1"/>
  <c r="C32" i="2" a="1"/>
  <c r="C32" i="2" s="1"/>
  <c r="C33" i="2" a="1"/>
  <c r="C33" i="2" s="1"/>
  <c r="C34" i="2" a="1"/>
  <c r="C34" i="2" s="1"/>
  <c r="C35" i="2" a="1"/>
  <c r="C35" i="2" s="1"/>
  <c r="C36" i="2" a="1"/>
  <c r="C36" i="2" s="1"/>
  <c r="C37" i="2" a="1"/>
  <c r="C37" i="2" s="1"/>
  <c r="C38" i="2" a="1"/>
  <c r="C38" i="2" s="1"/>
  <c r="C39" i="2" a="1"/>
  <c r="C39" i="2" s="1"/>
  <c r="C40" i="2" a="1"/>
  <c r="C40" i="2" s="1"/>
  <c r="C41" i="2" a="1"/>
  <c r="C41" i="2" s="1"/>
  <c r="C42" i="2" a="1"/>
  <c r="C42" i="2" s="1"/>
  <c r="C43" i="2" a="1"/>
  <c r="C43" i="2" s="1"/>
  <c r="C44" i="2" a="1"/>
  <c r="C44" i="2" s="1"/>
  <c r="C45" i="2" a="1"/>
  <c r="C45" i="2" s="1"/>
  <c r="C46" i="2" a="1"/>
  <c r="C46" i="2" s="1"/>
  <c r="C47" i="2" a="1"/>
  <c r="C47" i="2" s="1"/>
  <c r="C48" i="2" a="1"/>
  <c r="C48" i="2" s="1"/>
  <c r="C49" i="2" a="1"/>
  <c r="C49" i="2" s="1"/>
  <c r="C50" i="2" a="1"/>
  <c r="C50" i="2" s="1"/>
  <c r="C51" i="2" a="1"/>
  <c r="C51" i="2" s="1"/>
  <c r="C52" i="2" a="1"/>
  <c r="C52" i="2" s="1"/>
  <c r="C53" i="2" a="1"/>
  <c r="C53" i="2" s="1"/>
  <c r="C54" i="2" a="1"/>
  <c r="C54" i="2" s="1"/>
  <c r="C55" i="2" a="1"/>
  <c r="C55" i="2" s="1"/>
  <c r="C56" i="2" a="1"/>
  <c r="C56" i="2" s="1"/>
  <c r="C57" i="2" a="1"/>
  <c r="C57" i="2" s="1"/>
  <c r="C58" i="2" a="1"/>
  <c r="C58" i="2" s="1"/>
  <c r="C59" i="2" a="1"/>
  <c r="C59" i="2" s="1"/>
  <c r="C60" i="2" a="1"/>
  <c r="C60" i="2" s="1"/>
  <c r="C61" i="2" a="1"/>
  <c r="C61" i="2" s="1"/>
  <c r="C62" i="2" a="1"/>
  <c r="C62" i="2" s="1"/>
  <c r="C63" i="2" a="1"/>
  <c r="C63" i="2" s="1"/>
  <c r="C64" i="2" a="1"/>
  <c r="C64" i="2" s="1"/>
  <c r="C65" i="2" a="1"/>
  <c r="C65" i="2" s="1"/>
  <c r="C66" i="2" a="1"/>
  <c r="C66" i="2" s="1"/>
  <c r="C67" i="2" a="1"/>
  <c r="C67" i="2" s="1"/>
  <c r="C68" i="2" a="1"/>
  <c r="C68" i="2" s="1"/>
  <c r="C69" i="2" a="1"/>
  <c r="C69" i="2" s="1"/>
  <c r="C70" i="2" a="1"/>
  <c r="C70" i="2" s="1"/>
  <c r="C71" i="2" a="1"/>
  <c r="C71" i="2" s="1"/>
  <c r="C72" i="2" a="1"/>
  <c r="C72" i="2" s="1"/>
  <c r="C73" i="2" a="1"/>
  <c r="C73" i="2" s="1"/>
  <c r="C74" i="2" a="1"/>
  <c r="C74" i="2" s="1"/>
  <c r="C75" i="2" a="1"/>
  <c r="C75" i="2" s="1"/>
  <c r="C76" i="2" a="1"/>
  <c r="C76" i="2" s="1"/>
  <c r="C77" i="2" a="1"/>
  <c r="C77" i="2" s="1"/>
  <c r="C78" i="2" a="1"/>
  <c r="C78" i="2" s="1"/>
  <c r="C79" i="2" a="1"/>
  <c r="C79" i="2" s="1"/>
  <c r="C80" i="2" a="1"/>
  <c r="C80" i="2" s="1"/>
  <c r="C81" i="2" a="1"/>
  <c r="C81" i="2" s="1"/>
  <c r="C82" i="2" a="1"/>
  <c r="C82" i="2" s="1"/>
  <c r="C83" i="2" a="1"/>
  <c r="C83" i="2" s="1"/>
  <c r="C84" i="2" a="1"/>
  <c r="C84" i="2" s="1"/>
  <c r="C85" i="2" a="1"/>
  <c r="C85" i="2" s="1"/>
  <c r="C86" i="2" a="1"/>
  <c r="C86" i="2" s="1"/>
  <c r="C87" i="2" a="1"/>
  <c r="C87" i="2" s="1"/>
  <c r="C88" i="2" a="1"/>
  <c r="C88" i="2" s="1"/>
  <c r="C89" i="2" a="1"/>
  <c r="C89" i="2" s="1"/>
  <c r="C90" i="2" a="1"/>
  <c r="C90" i="2" s="1"/>
  <c r="C91" i="2" a="1"/>
  <c r="C91" i="2" s="1"/>
  <c r="C92" i="2" a="1"/>
  <c r="C92" i="2" s="1"/>
  <c r="C93" i="2" a="1"/>
  <c r="C93" i="2" s="1"/>
  <c r="C94" i="2" a="1"/>
  <c r="C94" i="2" s="1"/>
  <c r="C95" i="2" a="1"/>
  <c r="C95" i="2" s="1"/>
  <c r="C96" i="2" a="1"/>
  <c r="C96" i="2" s="1"/>
  <c r="C97" i="2" a="1"/>
  <c r="C97" i="2" s="1"/>
  <c r="C98" i="2" a="1"/>
  <c r="C98" i="2" s="1"/>
  <c r="C99" i="2" a="1"/>
  <c r="C99" i="2" s="1"/>
  <c r="C100" i="2" a="1"/>
  <c r="C100" i="2" s="1"/>
  <c r="C101" i="2" a="1"/>
  <c r="C101" i="2" s="1"/>
  <c r="C102" i="2" a="1"/>
  <c r="C102" i="2" s="1"/>
  <c r="C103" i="2" a="1"/>
  <c r="C103" i="2" s="1"/>
  <c r="C104" i="2" a="1"/>
  <c r="C104" i="2" s="1"/>
  <c r="C105" i="2" a="1"/>
  <c r="C105" i="2" s="1"/>
  <c r="C106" i="2" a="1"/>
  <c r="C106" i="2" s="1"/>
  <c r="C107" i="2" a="1"/>
  <c r="C107" i="2" s="1"/>
  <c r="C108" i="2" a="1"/>
  <c r="C108" i="2" s="1"/>
  <c r="C109" i="2" a="1"/>
  <c r="C109" i="2" s="1"/>
  <c r="C110" i="2" a="1"/>
  <c r="C110" i="2" s="1"/>
  <c r="C111" i="2" a="1"/>
  <c r="C111" i="2" s="1"/>
  <c r="C112" i="2" a="1"/>
  <c r="C112" i="2" s="1"/>
  <c r="C113" i="2" a="1"/>
  <c r="C113" i="2" s="1"/>
  <c r="C114" i="2" a="1"/>
  <c r="C114" i="2" s="1"/>
  <c r="C115" i="2" a="1"/>
  <c r="C115" i="2" s="1"/>
  <c r="C116" i="2" a="1"/>
  <c r="C116" i="2" s="1"/>
  <c r="C117" i="2" a="1"/>
  <c r="C117" i="2" s="1"/>
  <c r="C118" i="2" a="1"/>
  <c r="C118" i="2" s="1"/>
  <c r="C119" i="2" a="1"/>
  <c r="C119" i="2" s="1"/>
  <c r="C120" i="2" a="1"/>
  <c r="C120" i="2" s="1"/>
  <c r="C121" i="2" a="1"/>
  <c r="C121" i="2" s="1"/>
  <c r="C122" i="2" a="1"/>
  <c r="C122" i="2" s="1"/>
  <c r="C123" i="2" a="1"/>
  <c r="C123" i="2" s="1"/>
  <c r="C124" i="2" a="1"/>
  <c r="C124" i="2" s="1"/>
  <c r="C125" i="2" a="1"/>
  <c r="C125" i="2" s="1"/>
  <c r="C126" i="2" a="1"/>
  <c r="C126" i="2" s="1"/>
  <c r="C127" i="2" a="1"/>
  <c r="C127" i="2" s="1"/>
  <c r="C128" i="2" a="1"/>
  <c r="C128" i="2" s="1"/>
  <c r="C129" i="2" a="1"/>
  <c r="C129" i="2" s="1"/>
  <c r="C130" i="2" a="1"/>
  <c r="C130" i="2" s="1"/>
  <c r="C131" i="2" a="1"/>
  <c r="C131" i="2" s="1"/>
  <c r="C132" i="2" a="1"/>
  <c r="C132" i="2" s="1"/>
  <c r="C133" i="2" a="1"/>
  <c r="C133" i="2" s="1"/>
  <c r="C134" i="2" a="1"/>
  <c r="C134" i="2" s="1"/>
  <c r="C135" i="2" a="1"/>
  <c r="C135" i="2" s="1"/>
  <c r="C136" i="2" a="1"/>
  <c r="C136" i="2" s="1"/>
  <c r="C137" i="2" a="1"/>
  <c r="C137" i="2" s="1"/>
  <c r="C138" i="2" a="1"/>
  <c r="C138" i="2" s="1"/>
  <c r="C139" i="2" a="1"/>
  <c r="C139" i="2" s="1"/>
  <c r="C140" i="2" a="1"/>
  <c r="C140" i="2" s="1"/>
  <c r="C141" i="2" a="1"/>
  <c r="C141" i="2" s="1"/>
  <c r="C142" i="2" a="1"/>
  <c r="C142" i="2" s="1"/>
  <c r="C143" i="2" a="1"/>
  <c r="C143" i="2" s="1"/>
  <c r="C144" i="2" a="1"/>
  <c r="C144" i="2" s="1"/>
  <c r="C145" i="2" a="1"/>
  <c r="C145" i="2" s="1"/>
  <c r="C146" i="2" a="1"/>
  <c r="C146" i="2" s="1"/>
  <c r="C147" i="2" a="1"/>
  <c r="C147" i="2" s="1"/>
  <c r="C148" i="2" a="1"/>
  <c r="C148" i="2" s="1"/>
  <c r="C149" i="2" a="1"/>
  <c r="C149" i="2" s="1"/>
  <c r="C150" i="2" a="1"/>
  <c r="C150" i="2" s="1"/>
  <c r="C151" i="2" a="1"/>
  <c r="C151" i="2" s="1"/>
  <c r="C152" i="2" a="1"/>
  <c r="C152" i="2" s="1"/>
  <c r="C153" i="2" a="1"/>
  <c r="C153" i="2" s="1"/>
  <c r="C154" i="2" a="1"/>
  <c r="C154" i="2" s="1"/>
  <c r="C155" i="2" a="1"/>
  <c r="C155" i="2" s="1"/>
  <c r="C157" i="2" a="1"/>
  <c r="C157" i="2" s="1"/>
  <c r="C158" i="2" a="1"/>
  <c r="C158" i="2" s="1"/>
  <c r="C159" i="2" a="1"/>
  <c r="C159" i="2" s="1"/>
  <c r="C160" i="2" a="1"/>
  <c r="C160" i="2" s="1"/>
  <c r="C161" i="2" a="1"/>
  <c r="C161" i="2" s="1"/>
  <c r="C162" i="2" a="1"/>
  <c r="C162" i="2" s="1"/>
  <c r="C163" i="2" a="1"/>
  <c r="C163" i="2" s="1"/>
  <c r="C164" i="2" a="1"/>
  <c r="C164" i="2" s="1"/>
  <c r="C165" i="2" a="1"/>
  <c r="C165" i="2" s="1"/>
  <c r="C166" i="2" a="1"/>
  <c r="C166" i="2" s="1"/>
  <c r="C167" i="2" a="1"/>
  <c r="C167" i="2" s="1"/>
  <c r="C168" i="2" a="1"/>
  <c r="C168" i="2" s="1"/>
  <c r="C169" i="2" a="1"/>
  <c r="C169" i="2" s="1"/>
  <c r="C170" i="2" a="1"/>
  <c r="C170" i="2" s="1"/>
  <c r="C171" i="2" a="1"/>
  <c r="C171" i="2" s="1"/>
  <c r="C172" i="2" a="1"/>
  <c r="C172" i="2" s="1"/>
  <c r="C173" i="2" a="1"/>
  <c r="C173" i="2" s="1"/>
  <c r="C174" i="2" a="1"/>
  <c r="C174" i="2" s="1"/>
  <c r="C175" i="2" a="1"/>
  <c r="C175" i="2" s="1"/>
  <c r="C176" i="2" a="1"/>
  <c r="C176" i="2" s="1"/>
  <c r="C177" i="2" a="1"/>
  <c r="C177" i="2" s="1"/>
  <c r="C178" i="2" a="1"/>
  <c r="C178" i="2" s="1"/>
  <c r="C179" i="2" a="1"/>
  <c r="C179" i="2" s="1"/>
  <c r="C180" i="2" a="1"/>
  <c r="C180" i="2" s="1"/>
  <c r="C181" i="2" a="1"/>
  <c r="C181" i="2" s="1"/>
  <c r="C182" i="2" a="1"/>
  <c r="C182" i="2" s="1"/>
  <c r="C183" i="2" a="1"/>
  <c r="C183" i="2" s="1"/>
  <c r="C184" i="2" a="1"/>
  <c r="C184" i="2" s="1"/>
  <c r="C185" i="2" a="1"/>
  <c r="C185" i="2" s="1"/>
  <c r="C186" i="2" a="1"/>
  <c r="C186" i="2" s="1"/>
  <c r="C187" i="2" a="1"/>
  <c r="C187" i="2" s="1"/>
  <c r="C188" i="2" a="1"/>
  <c r="C188" i="2" s="1"/>
  <c r="C189" i="2" a="1"/>
  <c r="C189" i="2" s="1"/>
  <c r="C190" i="2" a="1"/>
  <c r="C190" i="2" s="1"/>
  <c r="C191" i="2" a="1"/>
  <c r="C191" i="2" s="1"/>
  <c r="C192" i="2" a="1"/>
  <c r="C192" i="2" s="1"/>
  <c r="C193" i="2" a="1"/>
  <c r="C193" i="2" s="1"/>
  <c r="C194" i="2" a="1"/>
  <c r="C194" i="2" s="1"/>
  <c r="C195" i="2" a="1"/>
  <c r="C195" i="2" s="1"/>
  <c r="C196" i="2" a="1"/>
  <c r="C196" i="2" s="1"/>
  <c r="C197" i="2" a="1"/>
  <c r="C197" i="2" s="1"/>
  <c r="C198" i="2" a="1"/>
  <c r="C198" i="2" s="1"/>
  <c r="C199" i="2" a="1"/>
  <c r="C199" i="2" s="1"/>
  <c r="C200" i="2" a="1"/>
  <c r="C200" i="2" s="1"/>
  <c r="C201" i="2" a="1"/>
  <c r="C201" i="2" s="1"/>
  <c r="C202" i="2" a="1"/>
  <c r="C202" i="2" s="1"/>
  <c r="C203" i="2" a="1"/>
  <c r="C203" i="2" s="1"/>
  <c r="C204" i="2" a="1"/>
  <c r="C204" i="2" s="1"/>
  <c r="C205" i="2" a="1"/>
  <c r="C205" i="2" s="1"/>
  <c r="C206" i="2" a="1"/>
  <c r="C206" i="2" s="1"/>
  <c r="C207" i="2" a="1"/>
  <c r="C207" i="2" s="1"/>
  <c r="C208" i="2" a="1"/>
  <c r="C208" i="2" s="1"/>
  <c r="C209" i="2" a="1"/>
  <c r="C209" i="2" s="1"/>
  <c r="C210" i="2" a="1"/>
  <c r="C210" i="2" s="1"/>
  <c r="C211" i="2" a="1"/>
  <c r="C211" i="2" s="1"/>
  <c r="C212" i="2" a="1"/>
  <c r="C212" i="2" s="1"/>
  <c r="C213" i="2" a="1"/>
  <c r="C213" i="2" s="1"/>
  <c r="C214" i="2" a="1"/>
  <c r="C214" i="2" s="1"/>
  <c r="C215" i="2" a="1"/>
  <c r="C215" i="2" s="1"/>
  <c r="C216" i="2" a="1"/>
  <c r="C216" i="2" s="1"/>
  <c r="C217" i="2" a="1"/>
  <c r="C217" i="2" s="1"/>
  <c r="C218" i="2" a="1"/>
  <c r="C218" i="2" s="1"/>
  <c r="C219" i="2" a="1"/>
  <c r="C219" i="2" s="1"/>
  <c r="C220" i="2" a="1"/>
  <c r="C220" i="2" s="1"/>
  <c r="C221" i="2" a="1"/>
  <c r="C221" i="2" s="1"/>
  <c r="C222" i="2" a="1"/>
  <c r="C222" i="2" s="1"/>
  <c r="C223" i="2" a="1"/>
  <c r="C223" i="2" s="1"/>
  <c r="C224" i="2" a="1"/>
  <c r="C224" i="2" s="1"/>
  <c r="C225" i="2" a="1"/>
  <c r="C225" i="2" s="1"/>
  <c r="C226" i="2" a="1"/>
  <c r="C226" i="2" s="1"/>
  <c r="C227" i="2" a="1"/>
  <c r="C227" i="2" s="1"/>
  <c r="C228" i="2" a="1"/>
  <c r="C228" i="2" s="1"/>
  <c r="C229" i="2" a="1"/>
  <c r="C229" i="2" s="1"/>
  <c r="C230" i="2" a="1"/>
  <c r="C230" i="2" s="1"/>
  <c r="C231" i="2" a="1"/>
  <c r="C231" i="2" s="1"/>
  <c r="C232" i="2" a="1"/>
  <c r="C232" i="2" s="1"/>
  <c r="C233" i="2" a="1"/>
  <c r="C233" i="2" s="1"/>
  <c r="C234" i="2" a="1"/>
  <c r="C234" i="2" s="1"/>
  <c r="C235" i="2" a="1"/>
  <c r="C235" i="2" s="1"/>
  <c r="C236" i="2" a="1"/>
  <c r="C236" i="2" s="1"/>
  <c r="C237" i="2" a="1"/>
  <c r="C237" i="2" s="1"/>
  <c r="C238" i="2" a="1"/>
  <c r="C238" i="2" s="1"/>
  <c r="C239" i="2" a="1"/>
  <c r="C239" i="2" s="1"/>
  <c r="C240" i="2" a="1"/>
  <c r="C240" i="2" s="1"/>
  <c r="C241" i="2" a="1"/>
  <c r="C241" i="2" s="1"/>
  <c r="C242" i="2" a="1"/>
  <c r="C242" i="2" s="1"/>
  <c r="C243" i="2" a="1"/>
  <c r="C243" i="2" s="1"/>
  <c r="C244" i="2" a="1"/>
  <c r="C244" i="2" s="1"/>
  <c r="C245" i="2" a="1"/>
  <c r="C245" i="2" s="1"/>
  <c r="C246" i="2" a="1"/>
  <c r="C246" i="2" s="1"/>
  <c r="C247" i="2" a="1"/>
  <c r="C247" i="2" s="1"/>
  <c r="C248" i="2" a="1"/>
  <c r="C248" i="2" s="1"/>
  <c r="C249" i="2" a="1"/>
  <c r="C249" i="2" s="1"/>
  <c r="C250" i="2" a="1"/>
  <c r="C250" i="2" s="1"/>
  <c r="C251" i="2" a="1"/>
  <c r="C251" i="2" s="1"/>
  <c r="C252" i="2" a="1"/>
  <c r="C252" i="2" s="1"/>
  <c r="C253" i="2" a="1"/>
  <c r="C253" i="2" s="1"/>
  <c r="C254" i="2" a="1"/>
  <c r="C254" i="2" s="1"/>
  <c r="C255" i="2" a="1"/>
  <c r="C255" i="2" s="1"/>
  <c r="C256" i="2" a="1"/>
  <c r="C256" i="2" s="1"/>
  <c r="C257" i="2" a="1"/>
  <c r="C257" i="2" s="1"/>
  <c r="C258" i="2" a="1"/>
  <c r="C258" i="2" s="1"/>
  <c r="C259" i="2" a="1"/>
  <c r="C259" i="2" s="1"/>
  <c r="C260" i="2" a="1"/>
  <c r="C260" i="2" s="1"/>
  <c r="C261" i="2" a="1"/>
  <c r="C261" i="2" s="1"/>
  <c r="C262" i="2" a="1"/>
  <c r="C262" i="2" s="1"/>
  <c r="C263" i="2" a="1"/>
  <c r="C263" i="2" s="1"/>
  <c r="C264" i="2" a="1"/>
  <c r="C264" i="2" s="1"/>
  <c r="C265" i="2" a="1"/>
  <c r="C265" i="2" s="1"/>
  <c r="C266" i="2" a="1"/>
  <c r="C266" i="2" s="1"/>
  <c r="C267" i="2" a="1"/>
  <c r="C267" i="2" s="1"/>
  <c r="C268" i="2" a="1"/>
  <c r="C268" i="2" s="1"/>
  <c r="C269" i="2" a="1"/>
  <c r="C269" i="2" s="1"/>
  <c r="C270" i="2" a="1"/>
  <c r="C270" i="2" s="1"/>
  <c r="C271" i="2" a="1"/>
  <c r="C271" i="2" s="1"/>
  <c r="C272" i="2" a="1"/>
  <c r="C272" i="2" s="1"/>
  <c r="C273" i="2" a="1"/>
  <c r="C273" i="2" s="1"/>
  <c r="C274" i="2" a="1"/>
  <c r="C274" i="2" s="1"/>
  <c r="C275" i="2" a="1"/>
  <c r="C275" i="2" s="1"/>
  <c r="C276" i="2" a="1"/>
  <c r="C276" i="2" s="1"/>
  <c r="C277" i="2" a="1"/>
  <c r="C277" i="2" s="1"/>
  <c r="C278" i="2" a="1"/>
  <c r="C278" i="2" s="1"/>
  <c r="C279" i="2" a="1"/>
  <c r="C279" i="2" s="1"/>
  <c r="C280" i="2" a="1"/>
  <c r="C280" i="2" s="1"/>
  <c r="C281" i="2" a="1"/>
  <c r="C281" i="2" s="1"/>
  <c r="C282" i="2" a="1"/>
  <c r="C282" i="2" s="1"/>
  <c r="C283" i="2" a="1"/>
  <c r="C283" i="2" s="1"/>
  <c r="C284" i="2" a="1"/>
  <c r="C284" i="2" s="1"/>
  <c r="C285" i="2" a="1"/>
  <c r="C285" i="2" s="1"/>
  <c r="C286" i="2" a="1"/>
  <c r="C286" i="2" s="1"/>
  <c r="C287" i="2" a="1"/>
  <c r="C287" i="2" s="1"/>
  <c r="C288" i="2" a="1"/>
  <c r="C288" i="2" s="1"/>
  <c r="C289" i="2" a="1"/>
  <c r="C289" i="2" s="1"/>
  <c r="C290" i="2" a="1"/>
  <c r="C290" i="2" s="1"/>
  <c r="C291" i="2" a="1"/>
  <c r="C291" i="2" s="1"/>
  <c r="C292" i="2" a="1"/>
  <c r="C292" i="2" s="1"/>
  <c r="C293" i="2" a="1"/>
  <c r="C293" i="2" s="1"/>
  <c r="C294" i="2" a="1"/>
  <c r="C294" i="2" s="1"/>
  <c r="C295" i="2" a="1"/>
  <c r="C295" i="2" s="1"/>
  <c r="C296" i="2" a="1"/>
  <c r="C296" i="2" s="1"/>
  <c r="C297" i="2" a="1"/>
  <c r="C297" i="2" s="1"/>
  <c r="C298" i="2" a="1"/>
  <c r="C298" i="2" s="1"/>
  <c r="C299" i="2" a="1"/>
  <c r="C299" i="2" s="1"/>
  <c r="C300" i="2" a="1"/>
  <c r="C300" i="2" s="1"/>
  <c r="C301" i="2" a="1"/>
  <c r="C301" i="2" s="1"/>
  <c r="C302" i="2" a="1"/>
  <c r="C302" i="2" s="1"/>
  <c r="C303" i="2" a="1"/>
  <c r="C303" i="2" s="1"/>
  <c r="C304" i="2" a="1"/>
  <c r="C304" i="2" s="1"/>
  <c r="C305" i="2" a="1"/>
  <c r="C305" i="2" s="1"/>
  <c r="C306" i="2" a="1"/>
  <c r="C306" i="2" s="1"/>
  <c r="C307" i="2" a="1"/>
  <c r="C307" i="2" s="1"/>
  <c r="C308" i="2" a="1"/>
  <c r="C308" i="2" s="1"/>
  <c r="C309" i="2" a="1"/>
  <c r="C309" i="2" s="1"/>
  <c r="C310" i="2" a="1"/>
  <c r="C310" i="2" s="1"/>
  <c r="C311" i="2" a="1"/>
  <c r="C311" i="2" s="1"/>
  <c r="C312" i="2" a="1"/>
  <c r="C312" i="2" s="1"/>
  <c r="C313" i="2" a="1"/>
  <c r="C313" i="2" s="1"/>
  <c r="C314" i="2" a="1"/>
  <c r="C314" i="2" s="1"/>
  <c r="C315" i="2" a="1"/>
  <c r="C315" i="2" s="1"/>
  <c r="C316" i="2" a="1"/>
  <c r="C316" i="2" s="1"/>
  <c r="C317" i="2" a="1"/>
  <c r="C317" i="2" s="1"/>
  <c r="C318" i="2" a="1"/>
  <c r="C318" i="2" s="1"/>
  <c r="C319" i="2" a="1"/>
  <c r="C319" i="2" s="1"/>
  <c r="C320" i="2" a="1"/>
  <c r="C320" i="2" s="1"/>
  <c r="C321" i="2" a="1"/>
  <c r="C321" i="2" s="1"/>
  <c r="C322" i="2" a="1"/>
  <c r="C322" i="2" s="1"/>
  <c r="C323" i="2" a="1"/>
  <c r="C323" i="2" s="1"/>
  <c r="C7" i="2" a="1"/>
  <c r="C7" i="2" s="1"/>
  <c r="B11" i="1"/>
  <c r="E72" i="2" a="1"/>
  <c r="E37" i="2" a="1"/>
  <c r="E55" i="2" a="1"/>
  <c r="E259" i="2" a="1"/>
  <c r="B84" i="2" a="1"/>
  <c r="B94" i="2" a="1"/>
  <c r="B214" i="2" a="1"/>
  <c r="E144" i="2" a="1"/>
  <c r="E290" i="2" a="1"/>
  <c r="B179" i="2" a="1"/>
  <c r="E73" i="2" a="1"/>
  <c r="E251" i="2" a="1"/>
  <c r="B120" i="2" a="1"/>
  <c r="B314" i="2" a="1"/>
  <c r="E122" i="2" a="1"/>
  <c r="E217" i="2" a="1"/>
  <c r="E7" i="2" a="1"/>
  <c r="B123" i="2" a="1"/>
  <c r="E60" i="2" a="1"/>
  <c r="B193" i="2" a="1"/>
  <c r="E233" i="2" a="1"/>
  <c r="E11" i="2" a="1"/>
  <c r="B296" i="2" a="1"/>
  <c r="E29" i="2" a="1"/>
  <c r="E38" i="2" a="1"/>
  <c r="E319" i="2" a="1"/>
  <c r="B16" i="2" a="1"/>
  <c r="B26" i="2" a="1"/>
  <c r="B313" i="2" a="1"/>
  <c r="B92" i="2" a="1"/>
  <c r="B158" i="2" a="1"/>
  <c r="E307" i="2" a="1"/>
  <c r="B74" i="2" a="1"/>
  <c r="B54" i="2" a="1"/>
  <c r="B246" i="2" a="1"/>
  <c r="B278" i="2" a="1"/>
  <c r="E136" i="2" a="1"/>
  <c r="B155" i="2" a="1"/>
  <c r="E127" i="2" a="1"/>
  <c r="B205" i="2" a="1"/>
  <c r="E137" i="2" a="1"/>
  <c r="E104" i="2" a="1"/>
  <c r="E69" i="2" a="1"/>
  <c r="E87" i="2" a="1"/>
  <c r="E194" i="2" a="1"/>
  <c r="E158" i="2" a="1"/>
  <c r="B116" i="2" a="1"/>
  <c r="B37" i="2" a="1"/>
  <c r="B126" i="2" a="1"/>
  <c r="B290" i="2" a="1"/>
  <c r="B303" i="2" a="1"/>
  <c r="E176" i="2" a="1"/>
  <c r="E63" i="2" a="1"/>
  <c r="E286" i="2" a="1"/>
  <c r="B109" i="2" a="1"/>
  <c r="B227" i="2" a="1"/>
  <c r="E140" i="2" a="1"/>
  <c r="E105" i="2" a="1"/>
  <c r="E123" i="2" a="1"/>
  <c r="E135" i="2" a="1"/>
  <c r="E276" i="2" a="1"/>
  <c r="B152" i="2" a="1"/>
  <c r="B73" i="2" a="1"/>
  <c r="B15" i="2" a="1"/>
  <c r="B163" i="2" a="1"/>
  <c r="B273" i="2" a="1"/>
  <c r="E24" i="2" a="1"/>
  <c r="E245" i="2" a="1"/>
  <c r="E10" i="2" a="1"/>
  <c r="E270" i="2" a="1"/>
  <c r="E175" i="2" a="1"/>
  <c r="B36" i="2" a="1"/>
  <c r="B292" i="2" a="1"/>
  <c r="B46" i="2" a="1"/>
  <c r="B217" i="2" a="1"/>
  <c r="B174" i="2" a="1"/>
  <c r="E156" i="2" a="1"/>
  <c r="E46" i="2" a="1"/>
  <c r="E247" i="2" a="1"/>
  <c r="B57" i="2" a="1"/>
  <c r="B251" i="2" a="1"/>
  <c r="E111" i="2" a="1"/>
  <c r="E92" i="2" a="1"/>
  <c r="E43" i="2" a="1"/>
  <c r="E313" i="2" a="1"/>
  <c r="B25" i="2" a="1"/>
  <c r="B234" i="2" a="1"/>
  <c r="E96" i="2" a="1"/>
  <c r="E61" i="2" a="1"/>
  <c r="E62" i="2" a="1"/>
  <c r="E36" i="2" a="1"/>
  <c r="E265" i="2" a="1"/>
  <c r="E19" i="2" a="1"/>
  <c r="E50" i="2" a="1"/>
  <c r="E285" i="2" a="1"/>
  <c r="B48" i="2" a="1"/>
  <c r="B304" i="2" a="1"/>
  <c r="B58" i="2" a="1"/>
  <c r="B249" i="2" a="1"/>
  <c r="B198" i="2" a="1"/>
  <c r="E141" i="2" a="1"/>
  <c r="E142" i="2" a="1"/>
  <c r="B156" i="2" a="1"/>
  <c r="B19" i="2" a="1"/>
  <c r="B239" i="2" a="1"/>
  <c r="E102" i="2" a="1"/>
  <c r="B150" i="2" a="1"/>
  <c r="E295" i="2" a="1"/>
  <c r="B166" i="2" a="1"/>
  <c r="B211" i="2" a="1"/>
  <c r="B287" i="2" a="1"/>
  <c r="B204" i="2" a="1"/>
  <c r="B270" i="2" a="1"/>
  <c r="B230" i="2" a="1"/>
  <c r="B202" i="2" a="1"/>
  <c r="B224" i="2" a="1"/>
  <c r="B293" i="2" a="1"/>
  <c r="B236" i="2" a="1"/>
  <c r="B311" i="2" a="1"/>
  <c r="B256" i="2" a="1"/>
  <c r="E119" i="2" a="1"/>
  <c r="E54" i="2" a="1"/>
  <c r="E271" i="2" a="1"/>
  <c r="B69" i="2" a="1"/>
  <c r="B11" i="2" a="1"/>
  <c r="B254" i="2" a="1"/>
  <c r="E294" i="2" a="1"/>
  <c r="E172" i="2" a="1"/>
  <c r="E263" i="2" a="1"/>
  <c r="B148" i="2" a="1"/>
  <c r="E168" i="2" a="1"/>
  <c r="E133" i="2" a="1"/>
  <c r="E78" i="2" a="1"/>
  <c r="E238" i="2" a="1"/>
  <c r="E139" i="2" a="1"/>
  <c r="B180" i="2" a="1"/>
  <c r="B101" i="2" a="1"/>
  <c r="B43" i="2" a="1"/>
  <c r="B237" i="2" a="1"/>
  <c r="B178" i="2" a="1"/>
  <c r="E229" i="2" a="1"/>
  <c r="E191" i="2" a="1"/>
  <c r="B60" i="2" a="1"/>
  <c r="B70" i="2" a="1"/>
  <c r="B221" i="2" a="1"/>
  <c r="E204" i="2" a="1"/>
  <c r="E169" i="2" a="1"/>
  <c r="E166" i="2" a="1"/>
  <c r="E320" i="2" a="1"/>
  <c r="E291" i="2" a="1"/>
  <c r="B216" i="2" a="1"/>
  <c r="B137" i="2" a="1"/>
  <c r="B79" i="2" a="1"/>
  <c r="B199" i="2" a="1"/>
  <c r="B267" i="2" a="1"/>
  <c r="E88" i="2" a="1"/>
  <c r="E53" i="2" a="1"/>
  <c r="E71" i="2" a="1"/>
  <c r="E315" i="2" a="1"/>
  <c r="E308" i="2" a="1"/>
  <c r="B100" i="2" a="1"/>
  <c r="B21" i="2" a="1"/>
  <c r="B110" i="2" a="1"/>
  <c r="B219" i="2" a="1"/>
  <c r="B265" i="2" a="1"/>
  <c r="E253" i="2" a="1"/>
  <c r="E303" i="2" a="1"/>
  <c r="B40" i="2" a="1"/>
  <c r="B157" i="2" a="1"/>
  <c r="B320" i="2" a="1"/>
  <c r="E310" i="2" a="1"/>
  <c r="E188" i="2" a="1"/>
  <c r="E118" i="2" a="1"/>
  <c r="E210" i="2" a="1"/>
  <c r="B18" i="2" a="1"/>
  <c r="B295" i="2" a="1"/>
  <c r="E160" i="2" a="1"/>
  <c r="E125" i="2" a="1"/>
  <c r="E18" i="2" a="1"/>
  <c r="E100" i="2" a="1"/>
  <c r="E65" i="2" a="1"/>
  <c r="E83" i="2" a="1"/>
  <c r="E187" i="2" a="1"/>
  <c r="E151" i="2" a="1"/>
  <c r="B112" i="2" a="1"/>
  <c r="B33" i="2" a="1"/>
  <c r="B122" i="2" a="1"/>
  <c r="B277" i="2" a="1"/>
  <c r="B297" i="2" a="1"/>
  <c r="E31" i="2" a="1"/>
  <c r="E163" i="2" a="1"/>
  <c r="B284" i="2" a="1"/>
  <c r="B115" i="2" a="1"/>
  <c r="B274" i="2" a="1"/>
  <c r="E254" i="2" a="1"/>
  <c r="B291" i="2" a="1"/>
  <c r="B160" i="2" a="1"/>
  <c r="E213" i="2" a="1"/>
  <c r="E277" i="2" a="1"/>
  <c r="E17" i="2" a="1"/>
  <c r="B86" i="2" a="1"/>
  <c r="B42" i="2" a="1"/>
  <c r="E237" i="2" a="1"/>
  <c r="E49" i="2" a="1"/>
  <c r="B145" i="2" a="1"/>
  <c r="E81" i="2" a="1"/>
  <c r="B161" i="2" a="1"/>
  <c r="E113" i="2" a="1"/>
  <c r="B10" i="2" a="1"/>
  <c r="E200" i="2" a="1"/>
  <c r="E165" i="2" a="1"/>
  <c r="E159" i="2" a="1"/>
  <c r="E311" i="2" a="1"/>
  <c r="E282" i="2" a="1"/>
  <c r="B212" i="2" a="1"/>
  <c r="B133" i="2" a="1"/>
  <c r="B75" i="2" a="1"/>
  <c r="B183" i="2" a="1"/>
  <c r="B261" i="2" a="1"/>
  <c r="E13" i="2" a="1"/>
  <c r="E179" i="2" a="1"/>
  <c r="B124" i="2" a="1"/>
  <c r="B134" i="2" a="1"/>
  <c r="B194" i="2" a="1"/>
  <c r="E236" i="2" a="1"/>
  <c r="E205" i="2" a="1"/>
  <c r="E272" i="2" a="1"/>
  <c r="E30" i="2" a="1"/>
  <c r="E264" i="2" a="1"/>
  <c r="B248" i="2" a="1"/>
  <c r="B189" i="2" a="1"/>
  <c r="B111" i="2" a="1"/>
  <c r="B257" i="2" a="1"/>
  <c r="B7" i="2" a="1"/>
  <c r="E120" i="2" a="1"/>
  <c r="E85" i="2" a="1"/>
  <c r="E103" i="2" a="1"/>
  <c r="E246" i="2" a="1"/>
  <c r="E222" i="2" a="1"/>
  <c r="B132" i="2" a="1"/>
  <c r="B53" i="2" a="1"/>
  <c r="B142" i="2" a="1"/>
  <c r="B207" i="2" a="1"/>
  <c r="B215" i="2" a="1"/>
  <c r="E57" i="2" a="1"/>
  <c r="E26" i="2" a="1"/>
  <c r="B72" i="2" a="1"/>
  <c r="B82" i="2" a="1"/>
  <c r="B182" i="2" a="1"/>
  <c r="E243" i="2" a="1"/>
  <c r="E252" i="2" a="1"/>
  <c r="E301" i="2" a="1"/>
  <c r="B8" i="2" a="1"/>
  <c r="B50" i="2" a="1"/>
  <c r="B319" i="2" a="1"/>
  <c r="E192" i="2" a="1"/>
  <c r="E157" i="2" a="1"/>
  <c r="E162" i="2" a="1"/>
  <c r="E132" i="2" a="1"/>
  <c r="E97" i="2" a="1"/>
  <c r="E115" i="2" a="1"/>
  <c r="E22" i="2" a="1"/>
  <c r="E266" i="2" a="1"/>
  <c r="B144" i="2" a="1"/>
  <c r="B65" i="2" a="1"/>
  <c r="B154" i="2" a="1"/>
  <c r="B310" i="2" a="1"/>
  <c r="B247" i="2" a="1"/>
  <c r="E95" i="2" a="1"/>
  <c r="E190" i="2" a="1"/>
  <c r="B13" i="2" a="1"/>
  <c r="B281" i="2" a="1"/>
  <c r="E20" i="2" a="1"/>
  <c r="B12" i="2" a="1"/>
  <c r="B302" i="2" a="1"/>
  <c r="B288" i="2" a="1"/>
  <c r="E66" i="2" a="1"/>
  <c r="E130" i="2" a="1"/>
  <c r="E35" i="2" a="1"/>
  <c r="B67" i="2" a="1"/>
  <c r="E244" i="2" a="1"/>
  <c r="E207" i="2" a="1"/>
  <c r="E67" i="2" a="1"/>
  <c r="B106" i="2" a="1"/>
  <c r="E99" i="2" a="1"/>
  <c r="B118" i="2" a="1"/>
  <c r="E131" i="2" a="1"/>
  <c r="B138" i="2" a="1"/>
  <c r="E40" i="2" a="1"/>
  <c r="E273" i="2" a="1"/>
  <c r="E23" i="2" a="1"/>
  <c r="E147" i="2" a="1"/>
  <c r="E34" i="2" a="1"/>
  <c r="B52" i="2" a="1"/>
  <c r="B153" i="2" a="1"/>
  <c r="B62" i="2" a="1"/>
  <c r="B255" i="2" a="1"/>
  <c r="B206" i="2" a="1"/>
  <c r="E80" i="2" a="1"/>
  <c r="E173" i="2" a="1"/>
  <c r="E58" i="2" a="1"/>
  <c r="B177" i="2" a="1"/>
  <c r="B307" i="2" a="1"/>
  <c r="E76" i="2" a="1"/>
  <c r="E41" i="2" a="1"/>
  <c r="E59" i="2" a="1"/>
  <c r="E292" i="2" a="1"/>
  <c r="E281" i="2" a="1"/>
  <c r="B88" i="2" a="1"/>
  <c r="B9" i="2" a="1"/>
  <c r="B98" i="2" a="1"/>
  <c r="B282" i="2" a="1"/>
  <c r="B233" i="2" a="1"/>
  <c r="E77" i="2" a="1"/>
  <c r="E216" i="2" a="1"/>
  <c r="E181" i="2" a="1"/>
  <c r="E223" i="2" a="1"/>
  <c r="E239" i="2" a="1"/>
  <c r="E314" i="2" a="1"/>
  <c r="B228" i="2" a="1"/>
  <c r="B149" i="2" a="1"/>
  <c r="B91" i="2" a="1"/>
  <c r="B285" i="2" a="1"/>
  <c r="B299" i="2" a="1"/>
  <c r="E225" i="2" a="1"/>
  <c r="E182" i="2" a="1"/>
  <c r="B264" i="2" a="1"/>
  <c r="B95" i="2" a="1"/>
  <c r="B229" i="2" a="1"/>
  <c r="E90" i="2" a="1"/>
  <c r="E153" i="2" a="1"/>
  <c r="E288" i="2" a="1"/>
  <c r="B232" i="2" a="1"/>
  <c r="B127" i="2" a="1"/>
  <c r="E32" i="2" a="1"/>
  <c r="E257" i="2" a="1"/>
  <c r="E47" i="2" a="1"/>
  <c r="E214" i="2" a="1"/>
  <c r="E228" i="2" a="1"/>
  <c r="E193" i="2" a="1"/>
  <c r="E262" i="2" a="1"/>
  <c r="E155" i="2" a="1"/>
  <c r="E316" i="2" a="1"/>
  <c r="B240" i="2" a="1"/>
  <c r="B165" i="2" a="1"/>
  <c r="B103" i="2" a="1"/>
  <c r="B231" i="2" a="1"/>
  <c r="B316" i="2" a="1"/>
  <c r="E321" i="2" a="1"/>
  <c r="B28" i="2" a="1"/>
  <c r="B38" i="2" a="1"/>
  <c r="B263" i="2" a="1"/>
  <c r="E180" i="2" a="1"/>
  <c r="B61" i="2" a="1"/>
  <c r="E177" i="2" a="1"/>
  <c r="B151" i="2" a="1"/>
  <c r="B93" i="2" a="1"/>
  <c r="B113" i="2" a="1"/>
  <c r="E235" i="2" a="1"/>
  <c r="B175" i="2" a="1"/>
  <c r="B172" i="2" a="1"/>
  <c r="B55" i="2" a="1"/>
  <c r="E305" i="2" a="1"/>
  <c r="B253" i="2" a="1"/>
  <c r="E289" i="2" a="1"/>
  <c r="B225" i="2" a="1"/>
  <c r="E322" i="2" a="1"/>
  <c r="B298" i="2" a="1"/>
  <c r="E283" i="2" a="1"/>
  <c r="B209" i="2" a="1"/>
  <c r="B275" i="2" a="1"/>
  <c r="E269" i="2" a="1"/>
  <c r="B45" i="2" a="1"/>
  <c r="E108" i="2" a="1"/>
  <c r="E91" i="2" a="1"/>
  <c r="E183" i="2" a="1"/>
  <c r="B41" i="2" a="1"/>
  <c r="B130" i="2" a="1"/>
  <c r="B309" i="2" a="1"/>
  <c r="E248" i="2" a="1"/>
  <c r="E296" i="2" a="1"/>
  <c r="E74" i="2" a="1"/>
  <c r="B260" i="2" a="1"/>
  <c r="B14" i="2" a="1"/>
  <c r="B289" i="2" a="1"/>
  <c r="E75" i="2" a="1"/>
  <c r="E202" i="2" a="1"/>
  <c r="B223" i="2" a="1"/>
  <c r="E28" i="2" a="1"/>
  <c r="E82" i="2" a="1"/>
  <c r="B317" i="2" a="1"/>
  <c r="E64" i="2" a="1"/>
  <c r="E79" i="2" a="1"/>
  <c r="E260" i="2" a="1"/>
  <c r="E241" i="2" a="1"/>
  <c r="E98" i="2" a="1"/>
  <c r="B272" i="2" a="1"/>
  <c r="B135" i="2" a="1"/>
  <c r="E208" i="2" a="1"/>
  <c r="E297" i="2" a="1"/>
  <c r="B102" i="2" a="1"/>
  <c r="E145" i="2" a="1"/>
  <c r="B22" i="2" a="1"/>
  <c r="B187" i="2" a="1"/>
  <c r="B35" i="2" a="1"/>
  <c r="B76" i="2" a="1"/>
  <c r="B235" i="2" a="1"/>
  <c r="B301" i="2" a="1"/>
  <c r="B96" i="2" a="1"/>
  <c r="B108" i="2" a="1"/>
  <c r="B128" i="2" a="1"/>
  <c r="E101" i="2" a="1"/>
  <c r="E240" i="2" a="1"/>
  <c r="B226" i="2" a="1"/>
  <c r="E86" i="2" a="1"/>
  <c r="E258" i="2" a="1"/>
  <c r="B107" i="2" a="1"/>
  <c r="E284" i="2" a="1"/>
  <c r="E221" i="2" a="1"/>
  <c r="E146" i="2" a="1"/>
  <c r="B66" i="2" a="1"/>
  <c r="E16" i="2" a="1"/>
  <c r="E39" i="2" a="1"/>
  <c r="E203" i="2" a="1"/>
  <c r="B27" i="2" a="1"/>
  <c r="E220" i="2" a="1"/>
  <c r="B200" i="2" a="1"/>
  <c r="E317" i="2" a="1"/>
  <c r="E309" i="2" a="1"/>
  <c r="B306" i="2" a="1"/>
  <c r="E206" i="2" a="1"/>
  <c r="E51" i="2" a="1"/>
  <c r="E242" i="2" a="1"/>
  <c r="B39" i="2" a="1"/>
  <c r="E209" i="2" a="1"/>
  <c r="B141" i="2" a="1"/>
  <c r="B140" i="2" a="1"/>
  <c r="B286" i="2" a="1"/>
  <c r="E170" i="2" a="1"/>
  <c r="E178" i="2" a="1"/>
  <c r="E116" i="2" a="1"/>
  <c r="E215" i="2" a="1"/>
  <c r="E106" i="2" a="1"/>
  <c r="E268" i="2" a="1"/>
  <c r="E9" i="2" a="1"/>
  <c r="B47" i="2" a="1"/>
  <c r="E112" i="2" a="1"/>
  <c r="B68" i="2" a="1"/>
  <c r="B59" i="2" a="1"/>
  <c r="B89" i="2" a="1"/>
  <c r="E293" i="2" a="1"/>
  <c r="E70" i="2" a="1"/>
  <c r="B268" i="2" a="1"/>
  <c r="B49" i="2" a="1"/>
  <c r="E8" i="2" a="1"/>
  <c r="B139" i="2" a="1"/>
  <c r="B24" i="2" a="1"/>
  <c r="E14" i="2" a="1"/>
  <c r="E121" i="2" a="1"/>
  <c r="B104" i="2" a="1"/>
  <c r="E94" i="2" a="1"/>
  <c r="B181" i="2" a="1"/>
  <c r="E232" i="2" a="1"/>
  <c r="E143" i="2" a="1"/>
  <c r="B238" i="2" a="1"/>
  <c r="B188" i="2" a="1"/>
  <c r="E261" i="2" a="1"/>
  <c r="B56" i="2" a="1"/>
  <c r="B143" i="2" a="1"/>
  <c r="E56" i="2" a="1"/>
  <c r="E110" i="2" a="1"/>
  <c r="B164" i="2" a="1"/>
  <c r="B294" i="2" a="1"/>
  <c r="E185" i="2" a="1"/>
  <c r="B146" i="2" a="1"/>
  <c r="E124" i="2" a="1"/>
  <c r="B168" i="2" a="1"/>
  <c r="E224" i="2" a="1"/>
  <c r="E68" i="2" a="1"/>
  <c r="E134" i="2" a="1"/>
  <c r="B176" i="2" a="1"/>
  <c r="B243" i="2" a="1"/>
  <c r="E278" i="2" a="1"/>
  <c r="B159" i="2" a="1"/>
  <c r="B131" i="2" a="1"/>
  <c r="B300" i="2" a="1"/>
  <c r="B171" i="2" a="1"/>
  <c r="B125" i="2" a="1"/>
  <c r="E299" i="2" a="1"/>
  <c r="B119" i="2" a="1"/>
  <c r="B280" i="2" a="1"/>
  <c r="B185" i="2" a="1"/>
  <c r="E199" i="2" a="1"/>
  <c r="E89" i="2" a="1"/>
  <c r="E93" i="2" a="1"/>
  <c r="B201" i="2" a="1"/>
  <c r="E171" i="2" a="1"/>
  <c r="E212" i="2" a="1"/>
  <c r="E198" i="2" a="1"/>
  <c r="B99" i="2" a="1"/>
  <c r="E249" i="2" a="1"/>
  <c r="B147" i="2" a="1"/>
  <c r="B169" i="2" a="1"/>
  <c r="E21" i="2" a="1"/>
  <c r="B283" i="2" a="1"/>
  <c r="B271" i="2" a="1"/>
  <c r="B31" i="2" a="1"/>
  <c r="E33" i="2" a="1"/>
  <c r="B97" i="2" a="1"/>
  <c r="E300" i="2" a="1"/>
  <c r="B32" i="2" a="1"/>
  <c r="E287" i="2" a="1"/>
  <c r="B258" i="2" a="1"/>
  <c r="B173" i="2" a="1"/>
  <c r="E45" i="2" a="1"/>
  <c r="E114" i="2" a="1"/>
  <c r="B213" i="2" a="1"/>
  <c r="E195" i="2" a="1"/>
  <c r="B305" i="2" a="1"/>
  <c r="B321" i="2" a="1"/>
  <c r="B323" i="2" a="1"/>
  <c r="E129" i="2" a="1"/>
  <c r="B129" i="2" a="1"/>
  <c r="B220" i="2" a="1"/>
  <c r="B81" i="2" a="1"/>
  <c r="E318" i="2" a="1"/>
  <c r="B30" i="2" a="1"/>
  <c r="E44" i="2" a="1"/>
  <c r="B34" i="2" a="1"/>
  <c r="E149" i="2" a="1"/>
  <c r="B78" i="2" a="1"/>
  <c r="B136" i="2" a="1"/>
  <c r="E280" i="2" a="1"/>
  <c r="E255" i="2" a="1"/>
  <c r="E42" i="2" a="1"/>
  <c r="B242" i="2" a="1"/>
  <c r="E274" i="2" a="1"/>
  <c r="E186" i="2" a="1"/>
  <c r="B318" i="2" a="1"/>
  <c r="E128" i="2" a="1"/>
  <c r="B80" i="2" a="1"/>
  <c r="B51" i="2" a="1"/>
  <c r="B197" i="2" a="1"/>
  <c r="E197" i="2" a="1"/>
  <c r="B20" i="2" a="1"/>
  <c r="B266" i="2" a="1"/>
  <c r="B252" i="2" a="1"/>
  <c r="E27" i="2" a="1"/>
  <c r="B184" i="2" a="1"/>
  <c r="B262" i="2" a="1"/>
  <c r="E152" i="2" a="1"/>
  <c r="E211" i="2" a="1"/>
  <c r="B196" i="2" a="1"/>
  <c r="B195" i="2" a="1"/>
  <c r="E230" i="2" a="1"/>
  <c r="B63" i="2" a="1"/>
  <c r="E25" i="2" a="1"/>
  <c r="B121" i="2" a="1"/>
  <c r="E256" i="2" a="1"/>
  <c r="E164" i="2" a="1"/>
  <c r="E250" i="2" a="1"/>
  <c r="B208" i="2" a="1"/>
  <c r="B218" i="2" a="1"/>
  <c r="E219" i="2" a="1"/>
  <c r="B269" i="2" a="1"/>
  <c r="B241" i="2" a="1"/>
  <c r="B162" i="2" a="1"/>
  <c r="B308" i="2" a="1"/>
  <c r="E306" i="2" a="1"/>
  <c r="B29" i="2" a="1"/>
  <c r="B191" i="2" a="1"/>
  <c r="E201" i="2" a="1"/>
  <c r="B244" i="2" a="1"/>
  <c r="B322" i="2" a="1"/>
  <c r="B83" i="2" a="1"/>
  <c r="E298" i="2" a="1"/>
  <c r="B250" i="2" a="1"/>
  <c r="E184" i="2" a="1"/>
  <c r="E174" i="2" a="1"/>
  <c r="B312" i="2" a="1"/>
  <c r="B203" i="2" a="1"/>
  <c r="B114" i="2" a="1"/>
  <c r="E196" i="2" a="1"/>
  <c r="E231" i="2" a="1"/>
  <c r="B167" i="2" a="1"/>
  <c r="B279" i="2" a="1"/>
  <c r="B64" i="2" a="1"/>
  <c r="E227" i="2" a="1"/>
  <c r="B276" i="2" a="1"/>
  <c r="E48" i="2" a="1"/>
  <c r="E154" i="2" a="1"/>
  <c r="B315" i="2" a="1"/>
  <c r="E279" i="2" a="1"/>
  <c r="B85" i="2" a="1"/>
  <c r="E275" i="2" a="1"/>
  <c r="E107" i="2" a="1"/>
  <c r="E189" i="2" a="1"/>
  <c r="E302" i="2" a="1"/>
  <c r="B259" i="2" a="1"/>
  <c r="E52" i="2" a="1"/>
  <c r="B192" i="2" a="1"/>
  <c r="B17" i="2" a="1"/>
  <c r="E267" i="2" a="1"/>
  <c r="E12" i="2" a="1"/>
  <c r="B105" i="2" a="1"/>
  <c r="E117" i="2" a="1"/>
  <c r="B117" i="2" a="1"/>
  <c r="E323" i="2" a="1"/>
  <c r="E218" i="2" a="1"/>
  <c r="E15" i="2" a="1"/>
  <c r="E234" i="2" a="1"/>
  <c r="B170" i="2" a="1"/>
  <c r="E84" i="2" a="1"/>
  <c r="B245" i="2" a="1"/>
  <c r="B87" i="2" a="1"/>
  <c r="E148" i="2" a="1"/>
  <c r="E226" i="2" a="1"/>
  <c r="E109" i="2" a="1"/>
  <c r="E138" i="2" a="1"/>
  <c r="B186" i="2" a="1"/>
  <c r="E304" i="2" a="1"/>
  <c r="B210" i="2" a="1"/>
  <c r="E126" i="2" a="1"/>
  <c r="B222" i="2" a="1"/>
  <c r="E161" i="2" a="1"/>
  <c r="B90" i="2" a="1"/>
  <c r="B77" i="2" a="1"/>
  <c r="B23" i="2" a="1"/>
  <c r="B190" i="2" a="1"/>
  <c r="E167" i="2" a="1"/>
  <c r="E312" i="2" a="1"/>
  <c r="B71" i="2" a="1"/>
  <c r="B44" i="2" a="1"/>
  <c r="E150" i="2" a="1"/>
  <c r="B3" i="2" l="1"/>
  <c r="E322" i="2"/>
  <c r="F322" i="2" s="1"/>
  <c r="E294" i="2"/>
  <c r="F294" i="2" s="1"/>
  <c r="E264" i="2"/>
  <c r="F264" i="2" s="1"/>
  <c r="E143" i="2"/>
  <c r="F143" i="2" s="1"/>
  <c r="E316" i="2"/>
  <c r="F316" i="2" s="1"/>
  <c r="E289" i="2"/>
  <c r="F289" i="2" s="1"/>
  <c r="E323" i="2"/>
  <c r="F323" i="2" s="1"/>
  <c r="E314" i="2"/>
  <c r="F314" i="2" s="1"/>
  <c r="E305" i="2"/>
  <c r="F305" i="2" s="1"/>
  <c r="E300" i="2"/>
  <c r="F300" i="2" s="1"/>
  <c r="E291" i="2"/>
  <c r="F291" i="2" s="1"/>
  <c r="E282" i="2"/>
  <c r="F282" i="2" s="1"/>
  <c r="E242" i="2"/>
  <c r="F242" i="2" s="1"/>
  <c r="E235" i="2"/>
  <c r="F235" i="2" s="1"/>
  <c r="E210" i="2"/>
  <c r="F210" i="2" s="1"/>
  <c r="E203" i="2"/>
  <c r="F203" i="2" s="1"/>
  <c r="E178" i="2"/>
  <c r="F178" i="2" s="1"/>
  <c r="E171" i="2"/>
  <c r="F171" i="2" s="1"/>
  <c r="E146" i="2"/>
  <c r="F146" i="2" s="1"/>
  <c r="E139" i="2"/>
  <c r="F139" i="2" s="1"/>
  <c r="E42" i="2"/>
  <c r="F42" i="2" s="1"/>
  <c r="E318" i="2"/>
  <c r="F318" i="2" s="1"/>
  <c r="E309" i="2"/>
  <c r="F309" i="2" s="1"/>
  <c r="E304" i="2"/>
  <c r="F304" i="2" s="1"/>
  <c r="E295" i="2"/>
  <c r="F295" i="2" s="1"/>
  <c r="E286" i="2"/>
  <c r="F286" i="2" s="1"/>
  <c r="E276" i="2"/>
  <c r="F276" i="2" s="1"/>
  <c r="E271" i="2"/>
  <c r="F271" i="2" s="1"/>
  <c r="E266" i="2"/>
  <c r="F266" i="2" s="1"/>
  <c r="E254" i="2"/>
  <c r="F254" i="2" s="1"/>
  <c r="E247" i="2"/>
  <c r="F247" i="2" s="1"/>
  <c r="E222" i="2"/>
  <c r="F222" i="2" s="1"/>
  <c r="E215" i="2"/>
  <c r="F215" i="2" s="1"/>
  <c r="E190" i="2"/>
  <c r="F190" i="2" s="1"/>
  <c r="E183" i="2"/>
  <c r="F183" i="2" s="1"/>
  <c r="E158" i="2"/>
  <c r="F158" i="2" s="1"/>
  <c r="E151" i="2"/>
  <c r="F151" i="2" s="1"/>
  <c r="E38" i="2"/>
  <c r="F38" i="2" s="1"/>
  <c r="E313" i="2"/>
  <c r="F313" i="2" s="1"/>
  <c r="E308" i="2"/>
  <c r="F308" i="2" s="1"/>
  <c r="E299" i="2"/>
  <c r="F299" i="2" s="1"/>
  <c r="E290" i="2"/>
  <c r="F290" i="2" s="1"/>
  <c r="E281" i="2"/>
  <c r="F281" i="2" s="1"/>
  <c r="E259" i="2"/>
  <c r="F259" i="2" s="1"/>
  <c r="E234" i="2"/>
  <c r="F234" i="2" s="1"/>
  <c r="E227" i="2"/>
  <c r="F227" i="2" s="1"/>
  <c r="E202" i="2"/>
  <c r="F202" i="2" s="1"/>
  <c r="E195" i="2"/>
  <c r="F195" i="2" s="1"/>
  <c r="E170" i="2"/>
  <c r="F170" i="2" s="1"/>
  <c r="E163" i="2"/>
  <c r="F163" i="2" s="1"/>
  <c r="E138" i="2"/>
  <c r="F138" i="2" s="1"/>
  <c r="E34" i="2"/>
  <c r="F34" i="2" s="1"/>
  <c r="E285" i="2"/>
  <c r="F285" i="2" s="1"/>
  <c r="E214" i="2"/>
  <c r="F214" i="2" s="1"/>
  <c r="E182" i="2"/>
  <c r="F182" i="2" s="1"/>
  <c r="E175" i="2"/>
  <c r="F175" i="2" s="1"/>
  <c r="E130" i="2"/>
  <c r="F130" i="2" s="1"/>
  <c r="E122" i="2"/>
  <c r="F122" i="2" s="1"/>
  <c r="E114" i="2"/>
  <c r="F114" i="2" s="1"/>
  <c r="E106" i="2"/>
  <c r="F106" i="2" s="1"/>
  <c r="E98" i="2"/>
  <c r="F98" i="2" s="1"/>
  <c r="E90" i="2"/>
  <c r="F90" i="2" s="1"/>
  <c r="E82" i="2"/>
  <c r="F82" i="2" s="1"/>
  <c r="E74" i="2"/>
  <c r="F74" i="2" s="1"/>
  <c r="E66" i="2"/>
  <c r="F66" i="2" s="1"/>
  <c r="E58" i="2"/>
  <c r="F58" i="2" s="1"/>
  <c r="E30" i="2"/>
  <c r="F30" i="2" s="1"/>
  <c r="E258" i="2"/>
  <c r="F258" i="2" s="1"/>
  <c r="E155" i="2"/>
  <c r="F155" i="2" s="1"/>
  <c r="E312" i="2"/>
  <c r="F312" i="2" s="1"/>
  <c r="E275" i="2"/>
  <c r="F275" i="2" s="1"/>
  <c r="E239" i="2"/>
  <c r="F239" i="2" s="1"/>
  <c r="E307" i="2"/>
  <c r="F307" i="2" s="1"/>
  <c r="E219" i="2"/>
  <c r="F219" i="2" s="1"/>
  <c r="E320" i="2"/>
  <c r="F320" i="2" s="1"/>
  <c r="E311" i="2"/>
  <c r="F311" i="2" s="1"/>
  <c r="E302" i="2"/>
  <c r="F302" i="2" s="1"/>
  <c r="E293" i="2"/>
  <c r="F293" i="2" s="1"/>
  <c r="E288" i="2"/>
  <c r="F288" i="2" s="1"/>
  <c r="E279" i="2"/>
  <c r="F279" i="2" s="1"/>
  <c r="E274" i="2"/>
  <c r="F274" i="2" s="1"/>
  <c r="E268" i="2"/>
  <c r="F268" i="2" s="1"/>
  <c r="E263" i="2"/>
  <c r="F263" i="2" s="1"/>
  <c r="E238" i="2"/>
  <c r="F238" i="2" s="1"/>
  <c r="E231" i="2"/>
  <c r="F231" i="2" s="1"/>
  <c r="E206" i="2"/>
  <c r="F206" i="2" s="1"/>
  <c r="E199" i="2"/>
  <c r="F199" i="2" s="1"/>
  <c r="E174" i="2"/>
  <c r="F174" i="2" s="1"/>
  <c r="E167" i="2"/>
  <c r="F167" i="2" s="1"/>
  <c r="E142" i="2"/>
  <c r="F142" i="2" s="1"/>
  <c r="E135" i="2"/>
  <c r="F135" i="2" s="1"/>
  <c r="E54" i="2"/>
  <c r="F54" i="2" s="1"/>
  <c r="E22" i="2"/>
  <c r="F22" i="2" s="1"/>
  <c r="E317" i="2"/>
  <c r="F317" i="2" s="1"/>
  <c r="E280" i="2"/>
  <c r="F280" i="2" s="1"/>
  <c r="E246" i="2"/>
  <c r="F246" i="2" s="1"/>
  <c r="E150" i="2"/>
  <c r="F150" i="2" s="1"/>
  <c r="E284" i="2"/>
  <c r="F284" i="2" s="1"/>
  <c r="E251" i="2"/>
  <c r="F251" i="2" s="1"/>
  <c r="E194" i="2"/>
  <c r="F194" i="2" s="1"/>
  <c r="E187" i="2"/>
  <c r="F187" i="2" s="1"/>
  <c r="E162" i="2"/>
  <c r="F162" i="2" s="1"/>
  <c r="E26" i="2"/>
  <c r="F26" i="2" s="1"/>
  <c r="E315" i="2"/>
  <c r="F315" i="2" s="1"/>
  <c r="E306" i="2"/>
  <c r="F306" i="2" s="1"/>
  <c r="E297" i="2"/>
  <c r="F297" i="2" s="1"/>
  <c r="E292" i="2"/>
  <c r="F292" i="2" s="1"/>
  <c r="E283" i="2"/>
  <c r="F283" i="2" s="1"/>
  <c r="E250" i="2"/>
  <c r="F250" i="2" s="1"/>
  <c r="E243" i="2"/>
  <c r="F243" i="2" s="1"/>
  <c r="E218" i="2"/>
  <c r="F218" i="2" s="1"/>
  <c r="E211" i="2"/>
  <c r="F211" i="2" s="1"/>
  <c r="E186" i="2"/>
  <c r="F186" i="2" s="1"/>
  <c r="E179" i="2"/>
  <c r="F179" i="2" s="1"/>
  <c r="E154" i="2"/>
  <c r="F154" i="2" s="1"/>
  <c r="E147" i="2"/>
  <c r="F147" i="2" s="1"/>
  <c r="E50" i="2"/>
  <c r="F50" i="2" s="1"/>
  <c r="E18" i="2"/>
  <c r="F18" i="2" s="1"/>
  <c r="E303" i="2"/>
  <c r="F303" i="2" s="1"/>
  <c r="E270" i="2"/>
  <c r="F270" i="2" s="1"/>
  <c r="E207" i="2"/>
  <c r="F207" i="2" s="1"/>
  <c r="E321" i="2"/>
  <c r="F321" i="2" s="1"/>
  <c r="E298" i="2"/>
  <c r="F298" i="2" s="1"/>
  <c r="E226" i="2"/>
  <c r="F226" i="2" s="1"/>
  <c r="E319" i="2"/>
  <c r="F319" i="2" s="1"/>
  <c r="E310" i="2"/>
  <c r="F310" i="2" s="1"/>
  <c r="E301" i="2"/>
  <c r="F301" i="2" s="1"/>
  <c r="E296" i="2"/>
  <c r="F296" i="2" s="1"/>
  <c r="E287" i="2"/>
  <c r="F287" i="2" s="1"/>
  <c r="E278" i="2"/>
  <c r="F278" i="2" s="1"/>
  <c r="E272" i="2"/>
  <c r="F272" i="2" s="1"/>
  <c r="E267" i="2"/>
  <c r="F267" i="2" s="1"/>
  <c r="E262" i="2"/>
  <c r="F262" i="2" s="1"/>
  <c r="E255" i="2"/>
  <c r="F255" i="2" s="1"/>
  <c r="E230" i="2"/>
  <c r="F230" i="2" s="1"/>
  <c r="E223" i="2"/>
  <c r="F223" i="2" s="1"/>
  <c r="E198" i="2"/>
  <c r="F198" i="2" s="1"/>
  <c r="E191" i="2"/>
  <c r="F191" i="2" s="1"/>
  <c r="E166" i="2"/>
  <c r="F166" i="2" s="1"/>
  <c r="E159" i="2"/>
  <c r="F159" i="2" s="1"/>
  <c r="E134" i="2"/>
  <c r="F134" i="2" s="1"/>
  <c r="E126" i="2"/>
  <c r="F126" i="2" s="1"/>
  <c r="E118" i="2"/>
  <c r="F118" i="2" s="1"/>
  <c r="E110" i="2"/>
  <c r="F110" i="2" s="1"/>
  <c r="E102" i="2"/>
  <c r="F102" i="2" s="1"/>
  <c r="E94" i="2"/>
  <c r="F94" i="2" s="1"/>
  <c r="E86" i="2"/>
  <c r="F86" i="2" s="1"/>
  <c r="E78" i="2"/>
  <c r="F78" i="2" s="1"/>
  <c r="E70" i="2"/>
  <c r="F70" i="2" s="1"/>
  <c r="E62" i="2"/>
  <c r="F62" i="2" s="1"/>
  <c r="E46" i="2"/>
  <c r="F46" i="2" s="1"/>
  <c r="E14" i="2"/>
  <c r="F14" i="2" s="1"/>
  <c r="E131" i="2"/>
  <c r="F131" i="2" s="1"/>
  <c r="E127" i="2"/>
  <c r="F127" i="2" s="1"/>
  <c r="E123" i="2"/>
  <c r="F123" i="2" s="1"/>
  <c r="E119" i="2"/>
  <c r="F119" i="2" s="1"/>
  <c r="E115" i="2"/>
  <c r="F115" i="2" s="1"/>
  <c r="E111" i="2"/>
  <c r="F111" i="2" s="1"/>
  <c r="E107" i="2"/>
  <c r="F107" i="2" s="1"/>
  <c r="E103" i="2"/>
  <c r="F103" i="2" s="1"/>
  <c r="E99" i="2"/>
  <c r="F99" i="2" s="1"/>
  <c r="E95" i="2"/>
  <c r="F95" i="2" s="1"/>
  <c r="E91" i="2"/>
  <c r="F91" i="2" s="1"/>
  <c r="E87" i="2"/>
  <c r="F87" i="2" s="1"/>
  <c r="E83" i="2"/>
  <c r="F83" i="2" s="1"/>
  <c r="E79" i="2"/>
  <c r="F79" i="2" s="1"/>
  <c r="E75" i="2"/>
  <c r="F75" i="2" s="1"/>
  <c r="E71" i="2"/>
  <c r="F71" i="2" s="1"/>
  <c r="E67" i="2"/>
  <c r="F67" i="2" s="1"/>
  <c r="E63" i="2"/>
  <c r="F63" i="2" s="1"/>
  <c r="E59" i="2"/>
  <c r="F59" i="2" s="1"/>
  <c r="E55" i="2"/>
  <c r="F55" i="2" s="1"/>
  <c r="E51" i="2"/>
  <c r="F51" i="2" s="1"/>
  <c r="E47" i="2"/>
  <c r="F47" i="2" s="1"/>
  <c r="E43" i="2"/>
  <c r="F43" i="2" s="1"/>
  <c r="E39" i="2"/>
  <c r="F39" i="2" s="1"/>
  <c r="E35" i="2"/>
  <c r="F35" i="2" s="1"/>
  <c r="E31" i="2"/>
  <c r="F31" i="2" s="1"/>
  <c r="E27" i="2"/>
  <c r="F27" i="2" s="1"/>
  <c r="E23" i="2"/>
  <c r="F23" i="2" s="1"/>
  <c r="E19" i="2"/>
  <c r="F19" i="2" s="1"/>
  <c r="E15" i="2"/>
  <c r="F15" i="2" s="1"/>
  <c r="E11" i="2"/>
  <c r="F11" i="2" s="1"/>
  <c r="E10" i="2"/>
  <c r="F10" i="2" s="1"/>
  <c r="E277" i="2"/>
  <c r="F277" i="2" s="1"/>
  <c r="E269" i="2"/>
  <c r="F269" i="2" s="1"/>
  <c r="E261" i="2"/>
  <c r="F261" i="2" s="1"/>
  <c r="E249" i="2"/>
  <c r="F249" i="2" s="1"/>
  <c r="E241" i="2"/>
  <c r="F241" i="2" s="1"/>
  <c r="E233" i="2"/>
  <c r="F233" i="2" s="1"/>
  <c r="E225" i="2"/>
  <c r="F225" i="2" s="1"/>
  <c r="E217" i="2"/>
  <c r="F217" i="2" s="1"/>
  <c r="E213" i="2"/>
  <c r="F213" i="2" s="1"/>
  <c r="E209" i="2"/>
  <c r="F209" i="2" s="1"/>
  <c r="E205" i="2"/>
  <c r="F205" i="2" s="1"/>
  <c r="E201" i="2"/>
  <c r="F201" i="2" s="1"/>
  <c r="E193" i="2"/>
  <c r="F193" i="2" s="1"/>
  <c r="E189" i="2"/>
  <c r="F189" i="2" s="1"/>
  <c r="E185" i="2"/>
  <c r="F185" i="2" s="1"/>
  <c r="E181" i="2"/>
  <c r="F181" i="2" s="1"/>
  <c r="E177" i="2"/>
  <c r="F177" i="2" s="1"/>
  <c r="E173" i="2"/>
  <c r="F173" i="2" s="1"/>
  <c r="E169" i="2"/>
  <c r="F169" i="2" s="1"/>
  <c r="E165" i="2"/>
  <c r="F165" i="2" s="1"/>
  <c r="E161" i="2"/>
  <c r="F161" i="2" s="1"/>
  <c r="E157" i="2"/>
  <c r="F157" i="2" s="1"/>
  <c r="E153" i="2"/>
  <c r="F153" i="2" s="1"/>
  <c r="E149" i="2"/>
  <c r="F149" i="2" s="1"/>
  <c r="E145" i="2"/>
  <c r="F145" i="2" s="1"/>
  <c r="E141" i="2"/>
  <c r="F141" i="2" s="1"/>
  <c r="E137" i="2"/>
  <c r="F137" i="2" s="1"/>
  <c r="E133" i="2"/>
  <c r="F133" i="2" s="1"/>
  <c r="E129" i="2"/>
  <c r="F129" i="2" s="1"/>
  <c r="E125" i="2"/>
  <c r="F125" i="2" s="1"/>
  <c r="E121" i="2"/>
  <c r="F121" i="2" s="1"/>
  <c r="E117" i="2"/>
  <c r="F117" i="2" s="1"/>
  <c r="E113" i="2"/>
  <c r="F113" i="2" s="1"/>
  <c r="E109" i="2"/>
  <c r="F109" i="2" s="1"/>
  <c r="E105" i="2"/>
  <c r="F105" i="2" s="1"/>
  <c r="E101" i="2"/>
  <c r="F101" i="2" s="1"/>
  <c r="E97" i="2"/>
  <c r="F97" i="2" s="1"/>
  <c r="E93" i="2"/>
  <c r="F93" i="2" s="1"/>
  <c r="E89" i="2"/>
  <c r="F89" i="2" s="1"/>
  <c r="E85" i="2"/>
  <c r="F85" i="2" s="1"/>
  <c r="E81" i="2"/>
  <c r="F81" i="2" s="1"/>
  <c r="E77" i="2"/>
  <c r="F77" i="2" s="1"/>
  <c r="E73" i="2"/>
  <c r="F73" i="2" s="1"/>
  <c r="E69" i="2"/>
  <c r="F69" i="2" s="1"/>
  <c r="E65" i="2"/>
  <c r="F65" i="2" s="1"/>
  <c r="E61" i="2"/>
  <c r="F61" i="2" s="1"/>
  <c r="E57" i="2"/>
  <c r="F57" i="2" s="1"/>
  <c r="E53" i="2"/>
  <c r="F53" i="2" s="1"/>
  <c r="E49" i="2"/>
  <c r="F49" i="2" s="1"/>
  <c r="E45" i="2"/>
  <c r="F45" i="2" s="1"/>
  <c r="E41" i="2"/>
  <c r="F41" i="2" s="1"/>
  <c r="E37" i="2"/>
  <c r="F37" i="2" s="1"/>
  <c r="E33" i="2"/>
  <c r="F33" i="2" s="1"/>
  <c r="E29" i="2"/>
  <c r="F29" i="2" s="1"/>
  <c r="E25" i="2"/>
  <c r="F25" i="2" s="1"/>
  <c r="E21" i="2"/>
  <c r="F21" i="2" s="1"/>
  <c r="E17" i="2"/>
  <c r="F17" i="2" s="1"/>
  <c r="E13" i="2"/>
  <c r="F13" i="2" s="1"/>
  <c r="E9" i="2"/>
  <c r="F9" i="2" s="1"/>
  <c r="E273" i="2"/>
  <c r="F273" i="2" s="1"/>
  <c r="E265" i="2"/>
  <c r="F265" i="2" s="1"/>
  <c r="E257" i="2"/>
  <c r="F257" i="2" s="1"/>
  <c r="E253" i="2"/>
  <c r="F253" i="2" s="1"/>
  <c r="E245" i="2"/>
  <c r="F245" i="2" s="1"/>
  <c r="E237" i="2"/>
  <c r="F237" i="2" s="1"/>
  <c r="E229" i="2"/>
  <c r="F229" i="2" s="1"/>
  <c r="E221" i="2"/>
  <c r="F221" i="2" s="1"/>
  <c r="E197" i="2"/>
  <c r="F197" i="2" s="1"/>
  <c r="E260" i="2"/>
  <c r="F260" i="2" s="1"/>
  <c r="E256" i="2"/>
  <c r="F256" i="2" s="1"/>
  <c r="E252" i="2"/>
  <c r="F252" i="2" s="1"/>
  <c r="E248" i="2"/>
  <c r="F248" i="2" s="1"/>
  <c r="E244" i="2"/>
  <c r="F244" i="2" s="1"/>
  <c r="E240" i="2"/>
  <c r="F240" i="2" s="1"/>
  <c r="E236" i="2"/>
  <c r="F236" i="2" s="1"/>
  <c r="E232" i="2"/>
  <c r="F232" i="2" s="1"/>
  <c r="E228" i="2"/>
  <c r="F228" i="2" s="1"/>
  <c r="E224" i="2"/>
  <c r="F224" i="2" s="1"/>
  <c r="E220" i="2"/>
  <c r="F220" i="2" s="1"/>
  <c r="E216" i="2"/>
  <c r="F216" i="2" s="1"/>
  <c r="E212" i="2"/>
  <c r="F212" i="2" s="1"/>
  <c r="E208" i="2"/>
  <c r="F208" i="2" s="1"/>
  <c r="E204" i="2"/>
  <c r="F204" i="2" s="1"/>
  <c r="E200" i="2"/>
  <c r="F200" i="2" s="1"/>
  <c r="E196" i="2"/>
  <c r="F196" i="2" s="1"/>
  <c r="E192" i="2"/>
  <c r="F192" i="2" s="1"/>
  <c r="E188" i="2"/>
  <c r="F188" i="2" s="1"/>
  <c r="E184" i="2"/>
  <c r="F184" i="2" s="1"/>
  <c r="E180" i="2"/>
  <c r="F180" i="2" s="1"/>
  <c r="E176" i="2"/>
  <c r="F176" i="2" s="1"/>
  <c r="E172" i="2"/>
  <c r="F172" i="2" s="1"/>
  <c r="E168" i="2"/>
  <c r="F168" i="2" s="1"/>
  <c r="E164" i="2"/>
  <c r="F164" i="2" s="1"/>
  <c r="E160" i="2"/>
  <c r="F160" i="2" s="1"/>
  <c r="E156" i="2"/>
  <c r="F156" i="2" s="1"/>
  <c r="E152" i="2"/>
  <c r="F152" i="2" s="1"/>
  <c r="E148" i="2"/>
  <c r="F148" i="2" s="1"/>
  <c r="E144" i="2"/>
  <c r="F144" i="2" s="1"/>
  <c r="E140" i="2"/>
  <c r="F140" i="2" s="1"/>
  <c r="E136" i="2"/>
  <c r="F136" i="2" s="1"/>
  <c r="E132" i="2"/>
  <c r="F132" i="2" s="1"/>
  <c r="E128" i="2"/>
  <c r="F128" i="2" s="1"/>
  <c r="E124" i="2"/>
  <c r="F124" i="2" s="1"/>
  <c r="E120" i="2"/>
  <c r="F120" i="2" s="1"/>
  <c r="E116" i="2"/>
  <c r="F116" i="2" s="1"/>
  <c r="E112" i="2"/>
  <c r="F112" i="2" s="1"/>
  <c r="E108" i="2"/>
  <c r="F108" i="2" s="1"/>
  <c r="E104" i="2"/>
  <c r="F104" i="2" s="1"/>
  <c r="E100" i="2"/>
  <c r="F100" i="2" s="1"/>
  <c r="E96" i="2"/>
  <c r="F96" i="2" s="1"/>
  <c r="E92" i="2"/>
  <c r="F92" i="2" s="1"/>
  <c r="E88" i="2"/>
  <c r="F88" i="2" s="1"/>
  <c r="E84" i="2"/>
  <c r="F84" i="2" s="1"/>
  <c r="E80" i="2"/>
  <c r="F80" i="2" s="1"/>
  <c r="E76" i="2"/>
  <c r="F76" i="2" s="1"/>
  <c r="E72" i="2"/>
  <c r="F72" i="2" s="1"/>
  <c r="E68" i="2"/>
  <c r="F68" i="2" s="1"/>
  <c r="E64" i="2"/>
  <c r="F64" i="2" s="1"/>
  <c r="E60" i="2"/>
  <c r="F60" i="2" s="1"/>
  <c r="E56" i="2"/>
  <c r="F56" i="2" s="1"/>
  <c r="E52" i="2"/>
  <c r="F52" i="2" s="1"/>
  <c r="E48" i="2"/>
  <c r="F48" i="2" s="1"/>
  <c r="E44" i="2"/>
  <c r="F44" i="2" s="1"/>
  <c r="E40" i="2"/>
  <c r="F40" i="2" s="1"/>
  <c r="E36" i="2"/>
  <c r="F36" i="2" s="1"/>
  <c r="E32" i="2"/>
  <c r="F32" i="2" s="1"/>
  <c r="E28" i="2"/>
  <c r="F28" i="2" s="1"/>
  <c r="E24" i="2"/>
  <c r="F24" i="2" s="1"/>
  <c r="E20" i="2"/>
  <c r="F20" i="2" s="1"/>
  <c r="E16" i="2"/>
  <c r="F16" i="2" s="1"/>
  <c r="E12" i="2"/>
  <c r="F12" i="2" s="1"/>
  <c r="E8" i="2"/>
  <c r="F8" i="2" s="1"/>
  <c r="E7" i="2"/>
  <c r="F7" i="2" s="1"/>
  <c r="B322" i="2"/>
  <c r="D322" i="2" s="1"/>
  <c r="B316" i="2"/>
  <c r="D316" i="2" s="1"/>
  <c r="B311" i="2"/>
  <c r="D311" i="2" s="1"/>
  <c r="B306" i="2"/>
  <c r="D306" i="2" s="1"/>
  <c r="B299" i="2"/>
  <c r="D299" i="2" s="1"/>
  <c r="B293" i="2"/>
  <c r="D293" i="2" s="1"/>
  <c r="B274" i="2"/>
  <c r="D274" i="2" s="1"/>
  <c r="B267" i="2"/>
  <c r="D267" i="2" s="1"/>
  <c r="B261" i="2"/>
  <c r="D261" i="2" s="1"/>
  <c r="B242" i="2"/>
  <c r="D242" i="2" s="1"/>
  <c r="B235" i="2"/>
  <c r="D235" i="2" s="1"/>
  <c r="B229" i="2"/>
  <c r="D229" i="2" s="1"/>
  <c r="B210" i="2"/>
  <c r="D210" i="2" s="1"/>
  <c r="B202" i="2"/>
  <c r="D202" i="2" s="1"/>
  <c r="B194" i="2"/>
  <c r="D194" i="2" s="1"/>
  <c r="B186" i="2"/>
  <c r="D186" i="2" s="1"/>
  <c r="B178" i="2"/>
  <c r="D178" i="2" s="1"/>
  <c r="B170" i="2"/>
  <c r="D170" i="2" s="1"/>
  <c r="B162" i="2"/>
  <c r="D162" i="2" s="1"/>
  <c r="B321" i="2"/>
  <c r="D321" i="2" s="1"/>
  <c r="B305" i="2"/>
  <c r="D305" i="2" s="1"/>
  <c r="B286" i="2"/>
  <c r="D286" i="2" s="1"/>
  <c r="B279" i="2"/>
  <c r="D279" i="2" s="1"/>
  <c r="B273" i="2"/>
  <c r="D273" i="2" s="1"/>
  <c r="B254" i="2"/>
  <c r="D254" i="2" s="1"/>
  <c r="B247" i="2"/>
  <c r="D247" i="2" s="1"/>
  <c r="B241" i="2"/>
  <c r="D241" i="2" s="1"/>
  <c r="B222" i="2"/>
  <c r="D222" i="2" s="1"/>
  <c r="B215" i="2"/>
  <c r="D215" i="2" s="1"/>
  <c r="B298" i="2"/>
  <c r="D298" i="2" s="1"/>
  <c r="B221" i="2"/>
  <c r="D221" i="2" s="1"/>
  <c r="B309" i="2"/>
  <c r="D309" i="2" s="1"/>
  <c r="B303" i="2"/>
  <c r="D303" i="2" s="1"/>
  <c r="B297" i="2"/>
  <c r="D297" i="2" s="1"/>
  <c r="B278" i="2"/>
  <c r="D278" i="2" s="1"/>
  <c r="B271" i="2"/>
  <c r="D271" i="2" s="1"/>
  <c r="B265" i="2"/>
  <c r="D265" i="2" s="1"/>
  <c r="B246" i="2"/>
  <c r="D246" i="2" s="1"/>
  <c r="B239" i="2"/>
  <c r="D239" i="2" s="1"/>
  <c r="B233" i="2"/>
  <c r="D233" i="2" s="1"/>
  <c r="B214" i="2"/>
  <c r="D214" i="2" s="1"/>
  <c r="B259" i="2"/>
  <c r="D259" i="2" s="1"/>
  <c r="B175" i="2"/>
  <c r="D175" i="2" s="1"/>
  <c r="B319" i="2"/>
  <c r="D319" i="2" s="1"/>
  <c r="B283" i="2"/>
  <c r="D283" i="2" s="1"/>
  <c r="B245" i="2"/>
  <c r="D245" i="2" s="1"/>
  <c r="B226" i="2"/>
  <c r="D226" i="2" s="1"/>
  <c r="B213" i="2"/>
  <c r="D213" i="2" s="1"/>
  <c r="B206" i="2"/>
  <c r="D206" i="2" s="1"/>
  <c r="B198" i="2"/>
  <c r="D198" i="2" s="1"/>
  <c r="B190" i="2"/>
  <c r="D190" i="2" s="1"/>
  <c r="B182" i="2"/>
  <c r="D182" i="2" s="1"/>
  <c r="B174" i="2"/>
  <c r="D174" i="2" s="1"/>
  <c r="B166" i="2"/>
  <c r="D166" i="2" s="1"/>
  <c r="B158" i="2"/>
  <c r="D158" i="2" s="1"/>
  <c r="B315" i="2"/>
  <c r="D315" i="2" s="1"/>
  <c r="B266" i="2"/>
  <c r="D266" i="2" s="1"/>
  <c r="B313" i="2"/>
  <c r="D313" i="2" s="1"/>
  <c r="B302" i="2"/>
  <c r="D302" i="2" s="1"/>
  <c r="B295" i="2"/>
  <c r="D295" i="2" s="1"/>
  <c r="B289" i="2"/>
  <c r="D289" i="2" s="1"/>
  <c r="B270" i="2"/>
  <c r="D270" i="2" s="1"/>
  <c r="B263" i="2"/>
  <c r="D263" i="2" s="1"/>
  <c r="B257" i="2"/>
  <c r="D257" i="2" s="1"/>
  <c r="B238" i="2"/>
  <c r="D238" i="2" s="1"/>
  <c r="B231" i="2"/>
  <c r="D231" i="2" s="1"/>
  <c r="B225" i="2"/>
  <c r="D225" i="2" s="1"/>
  <c r="B320" i="2"/>
  <c r="D320" i="2" s="1"/>
  <c r="B285" i="2"/>
  <c r="D285" i="2" s="1"/>
  <c r="B253" i="2"/>
  <c r="D253" i="2" s="1"/>
  <c r="B227" i="2"/>
  <c r="D227" i="2" s="1"/>
  <c r="B199" i="2"/>
  <c r="D199" i="2" s="1"/>
  <c r="B183" i="2"/>
  <c r="D183" i="2" s="1"/>
  <c r="B167" i="2"/>
  <c r="D167" i="2" s="1"/>
  <c r="B308" i="2"/>
  <c r="D308" i="2" s="1"/>
  <c r="B323" i="2"/>
  <c r="D323" i="2" s="1"/>
  <c r="B312" i="2"/>
  <c r="D312" i="2" s="1"/>
  <c r="B301" i="2"/>
  <c r="D301" i="2" s="1"/>
  <c r="B269" i="2"/>
  <c r="D269" i="2" s="1"/>
  <c r="B250" i="2"/>
  <c r="D250" i="2" s="1"/>
  <c r="B237" i="2"/>
  <c r="D237" i="2" s="1"/>
  <c r="B218" i="2"/>
  <c r="D218" i="2" s="1"/>
  <c r="B211" i="2"/>
  <c r="D211" i="2" s="1"/>
  <c r="B203" i="2"/>
  <c r="D203" i="2" s="1"/>
  <c r="B195" i="2"/>
  <c r="D195" i="2" s="1"/>
  <c r="B187" i="2"/>
  <c r="D187" i="2" s="1"/>
  <c r="B179" i="2"/>
  <c r="D179" i="2" s="1"/>
  <c r="B163" i="2"/>
  <c r="D163" i="2" s="1"/>
  <c r="B155" i="2"/>
  <c r="D155" i="2" s="1"/>
  <c r="B310" i="2"/>
  <c r="D310" i="2" s="1"/>
  <c r="B291" i="2"/>
  <c r="D291" i="2" s="1"/>
  <c r="B234" i="2"/>
  <c r="D234" i="2" s="1"/>
  <c r="B207" i="2"/>
  <c r="D207" i="2" s="1"/>
  <c r="B191" i="2"/>
  <c r="D191" i="2" s="1"/>
  <c r="B159" i="2"/>
  <c r="D159" i="2" s="1"/>
  <c r="B314" i="2"/>
  <c r="D314" i="2" s="1"/>
  <c r="B290" i="2"/>
  <c r="D290" i="2" s="1"/>
  <c r="B277" i="2"/>
  <c r="D277" i="2" s="1"/>
  <c r="B258" i="2"/>
  <c r="D258" i="2" s="1"/>
  <c r="B251" i="2"/>
  <c r="D251" i="2" s="1"/>
  <c r="B219" i="2"/>
  <c r="D219" i="2" s="1"/>
  <c r="B318" i="2"/>
  <c r="D318" i="2" s="1"/>
  <c r="B307" i="2"/>
  <c r="D307" i="2" s="1"/>
  <c r="B282" i="2"/>
  <c r="D282" i="2" s="1"/>
  <c r="B275" i="2"/>
  <c r="D275" i="2" s="1"/>
  <c r="B243" i="2"/>
  <c r="D243" i="2" s="1"/>
  <c r="B171" i="2"/>
  <c r="D171" i="2" s="1"/>
  <c r="B317" i="2"/>
  <c r="D317" i="2" s="1"/>
  <c r="B294" i="2"/>
  <c r="D294" i="2" s="1"/>
  <c r="B287" i="2"/>
  <c r="D287" i="2" s="1"/>
  <c r="B281" i="2"/>
  <c r="D281" i="2" s="1"/>
  <c r="B262" i="2"/>
  <c r="D262" i="2" s="1"/>
  <c r="B255" i="2"/>
  <c r="D255" i="2" s="1"/>
  <c r="B249" i="2"/>
  <c r="D249" i="2" s="1"/>
  <c r="B230" i="2"/>
  <c r="D230" i="2" s="1"/>
  <c r="B223" i="2"/>
  <c r="D223" i="2" s="1"/>
  <c r="B217" i="2"/>
  <c r="D217" i="2" s="1"/>
  <c r="B151" i="2"/>
  <c r="D151" i="2" s="1"/>
  <c r="B147" i="2"/>
  <c r="D147" i="2" s="1"/>
  <c r="B143" i="2"/>
  <c r="D143" i="2" s="1"/>
  <c r="B139" i="2"/>
  <c r="D139" i="2" s="1"/>
  <c r="B135" i="2"/>
  <c r="D135" i="2" s="1"/>
  <c r="B131" i="2"/>
  <c r="D131" i="2" s="1"/>
  <c r="B127" i="2"/>
  <c r="D127" i="2" s="1"/>
  <c r="B123" i="2"/>
  <c r="D123" i="2" s="1"/>
  <c r="B119" i="2"/>
  <c r="D119" i="2" s="1"/>
  <c r="B115" i="2"/>
  <c r="D115" i="2" s="1"/>
  <c r="B111" i="2"/>
  <c r="D111" i="2" s="1"/>
  <c r="B107" i="2"/>
  <c r="D107" i="2" s="1"/>
  <c r="B103" i="2"/>
  <c r="D103" i="2" s="1"/>
  <c r="B99" i="2"/>
  <c r="D99" i="2" s="1"/>
  <c r="B95" i="2"/>
  <c r="D95" i="2" s="1"/>
  <c r="B91" i="2"/>
  <c r="D91" i="2" s="1"/>
  <c r="B87" i="2"/>
  <c r="D87" i="2" s="1"/>
  <c r="B83" i="2"/>
  <c r="D83" i="2" s="1"/>
  <c r="B79" i="2"/>
  <c r="D79" i="2" s="1"/>
  <c r="B75" i="2"/>
  <c r="D75" i="2" s="1"/>
  <c r="B71" i="2"/>
  <c r="D71" i="2" s="1"/>
  <c r="B67" i="2"/>
  <c r="D67" i="2" s="1"/>
  <c r="B63" i="2"/>
  <c r="D63" i="2" s="1"/>
  <c r="B59" i="2"/>
  <c r="D59" i="2" s="1"/>
  <c r="B55" i="2"/>
  <c r="D55" i="2" s="1"/>
  <c r="B51" i="2"/>
  <c r="D51" i="2" s="1"/>
  <c r="B47" i="2"/>
  <c r="D47" i="2" s="1"/>
  <c r="B43" i="2"/>
  <c r="D43" i="2" s="1"/>
  <c r="B39" i="2"/>
  <c r="D39" i="2" s="1"/>
  <c r="B35" i="2"/>
  <c r="D35" i="2" s="1"/>
  <c r="B31" i="2"/>
  <c r="D31" i="2" s="1"/>
  <c r="B27" i="2"/>
  <c r="D27" i="2" s="1"/>
  <c r="B23" i="2"/>
  <c r="D23" i="2" s="1"/>
  <c r="B19" i="2"/>
  <c r="D19" i="2" s="1"/>
  <c r="B15" i="2"/>
  <c r="D15" i="2" s="1"/>
  <c r="B11" i="2"/>
  <c r="D11" i="2" s="1"/>
  <c r="B154" i="2"/>
  <c r="D154" i="2" s="1"/>
  <c r="B150" i="2"/>
  <c r="D150" i="2" s="1"/>
  <c r="B146" i="2"/>
  <c r="D146" i="2" s="1"/>
  <c r="B142" i="2"/>
  <c r="D142" i="2" s="1"/>
  <c r="B138" i="2"/>
  <c r="D138" i="2" s="1"/>
  <c r="B134" i="2"/>
  <c r="D134" i="2" s="1"/>
  <c r="B130" i="2"/>
  <c r="D130" i="2" s="1"/>
  <c r="B126" i="2"/>
  <c r="D126" i="2" s="1"/>
  <c r="B122" i="2"/>
  <c r="D122" i="2" s="1"/>
  <c r="B118" i="2"/>
  <c r="D118" i="2" s="1"/>
  <c r="B114" i="2"/>
  <c r="D114" i="2" s="1"/>
  <c r="B110" i="2"/>
  <c r="D110" i="2" s="1"/>
  <c r="B106" i="2"/>
  <c r="D106" i="2" s="1"/>
  <c r="B102" i="2"/>
  <c r="D102" i="2" s="1"/>
  <c r="B98" i="2"/>
  <c r="D98" i="2" s="1"/>
  <c r="B94" i="2"/>
  <c r="D94" i="2" s="1"/>
  <c r="B90" i="2"/>
  <c r="D90" i="2" s="1"/>
  <c r="B86" i="2"/>
  <c r="D86" i="2" s="1"/>
  <c r="B82" i="2"/>
  <c r="D82" i="2" s="1"/>
  <c r="B78" i="2"/>
  <c r="D78" i="2" s="1"/>
  <c r="B74" i="2"/>
  <c r="D74" i="2" s="1"/>
  <c r="B70" i="2"/>
  <c r="D70" i="2" s="1"/>
  <c r="B66" i="2"/>
  <c r="D66" i="2" s="1"/>
  <c r="B62" i="2"/>
  <c r="D62" i="2" s="1"/>
  <c r="B58" i="2"/>
  <c r="D58" i="2" s="1"/>
  <c r="B54" i="2"/>
  <c r="D54" i="2" s="1"/>
  <c r="B50" i="2"/>
  <c r="D50" i="2" s="1"/>
  <c r="B46" i="2"/>
  <c r="D46" i="2" s="1"/>
  <c r="B42" i="2"/>
  <c r="D42" i="2" s="1"/>
  <c r="B38" i="2"/>
  <c r="D38" i="2" s="1"/>
  <c r="B34" i="2"/>
  <c r="D34" i="2" s="1"/>
  <c r="B30" i="2"/>
  <c r="D30" i="2" s="1"/>
  <c r="B26" i="2"/>
  <c r="D26" i="2" s="1"/>
  <c r="B22" i="2"/>
  <c r="D22" i="2" s="1"/>
  <c r="B18" i="2"/>
  <c r="D18" i="2" s="1"/>
  <c r="B14" i="2"/>
  <c r="D14" i="2" s="1"/>
  <c r="B10" i="2"/>
  <c r="D10" i="2" s="1"/>
  <c r="B205" i="2"/>
  <c r="D205" i="2" s="1"/>
  <c r="B189" i="2"/>
  <c r="D189" i="2" s="1"/>
  <c r="B173" i="2"/>
  <c r="D173" i="2" s="1"/>
  <c r="B165" i="2"/>
  <c r="D165" i="2" s="1"/>
  <c r="B161" i="2"/>
  <c r="D161" i="2" s="1"/>
  <c r="B157" i="2"/>
  <c r="D157" i="2" s="1"/>
  <c r="B149" i="2"/>
  <c r="D149" i="2" s="1"/>
  <c r="B145" i="2"/>
  <c r="D145" i="2" s="1"/>
  <c r="B141" i="2"/>
  <c r="D141" i="2" s="1"/>
  <c r="B137" i="2"/>
  <c r="D137" i="2" s="1"/>
  <c r="B133" i="2"/>
  <c r="D133" i="2" s="1"/>
  <c r="B129" i="2"/>
  <c r="D129" i="2" s="1"/>
  <c r="B125" i="2"/>
  <c r="D125" i="2" s="1"/>
  <c r="B121" i="2"/>
  <c r="D121" i="2" s="1"/>
  <c r="B117" i="2"/>
  <c r="D117" i="2" s="1"/>
  <c r="B113" i="2"/>
  <c r="D113" i="2" s="1"/>
  <c r="B109" i="2"/>
  <c r="D109" i="2" s="1"/>
  <c r="B105" i="2"/>
  <c r="D105" i="2" s="1"/>
  <c r="B101" i="2"/>
  <c r="D101" i="2" s="1"/>
  <c r="B97" i="2"/>
  <c r="D97" i="2" s="1"/>
  <c r="B93" i="2"/>
  <c r="D93" i="2" s="1"/>
  <c r="B89" i="2"/>
  <c r="D89" i="2" s="1"/>
  <c r="B85" i="2"/>
  <c r="D85" i="2" s="1"/>
  <c r="B81" i="2"/>
  <c r="D81" i="2" s="1"/>
  <c r="B77" i="2"/>
  <c r="D77" i="2" s="1"/>
  <c r="B73" i="2"/>
  <c r="D73" i="2" s="1"/>
  <c r="B69" i="2"/>
  <c r="D69" i="2" s="1"/>
  <c r="B65" i="2"/>
  <c r="D65" i="2" s="1"/>
  <c r="B61" i="2"/>
  <c r="D61" i="2" s="1"/>
  <c r="B57" i="2"/>
  <c r="D57" i="2" s="1"/>
  <c r="B53" i="2"/>
  <c r="D53" i="2" s="1"/>
  <c r="B49" i="2"/>
  <c r="D49" i="2" s="1"/>
  <c r="B45" i="2"/>
  <c r="D45" i="2" s="1"/>
  <c r="B41" i="2"/>
  <c r="D41" i="2" s="1"/>
  <c r="B37" i="2"/>
  <c r="D37" i="2" s="1"/>
  <c r="B33" i="2"/>
  <c r="D33" i="2" s="1"/>
  <c r="B29" i="2"/>
  <c r="D29" i="2" s="1"/>
  <c r="B25" i="2"/>
  <c r="D25" i="2" s="1"/>
  <c r="B21" i="2"/>
  <c r="D21" i="2" s="1"/>
  <c r="B17" i="2"/>
  <c r="D17" i="2" s="1"/>
  <c r="B13" i="2"/>
  <c r="D13" i="2" s="1"/>
  <c r="B9" i="2"/>
  <c r="D9" i="2" s="1"/>
  <c r="B209" i="2"/>
  <c r="D209" i="2" s="1"/>
  <c r="B201" i="2"/>
  <c r="D201" i="2" s="1"/>
  <c r="B197" i="2"/>
  <c r="D197" i="2" s="1"/>
  <c r="B193" i="2"/>
  <c r="D193" i="2" s="1"/>
  <c r="B185" i="2"/>
  <c r="D185" i="2" s="1"/>
  <c r="B181" i="2"/>
  <c r="D181" i="2" s="1"/>
  <c r="B177" i="2"/>
  <c r="D177" i="2" s="1"/>
  <c r="B169" i="2"/>
  <c r="D169" i="2" s="1"/>
  <c r="B153" i="2"/>
  <c r="D153" i="2" s="1"/>
  <c r="B304" i="2"/>
  <c r="D304" i="2" s="1"/>
  <c r="B300" i="2"/>
  <c r="D300" i="2" s="1"/>
  <c r="B296" i="2"/>
  <c r="D296" i="2" s="1"/>
  <c r="B292" i="2"/>
  <c r="D292" i="2" s="1"/>
  <c r="B288" i="2"/>
  <c r="D288" i="2" s="1"/>
  <c r="B284" i="2"/>
  <c r="D284" i="2" s="1"/>
  <c r="B280" i="2"/>
  <c r="D280" i="2" s="1"/>
  <c r="B276" i="2"/>
  <c r="D276" i="2" s="1"/>
  <c r="B272" i="2"/>
  <c r="D272" i="2" s="1"/>
  <c r="B268" i="2"/>
  <c r="D268" i="2" s="1"/>
  <c r="B264" i="2"/>
  <c r="D264" i="2" s="1"/>
  <c r="B260" i="2"/>
  <c r="D260" i="2" s="1"/>
  <c r="B256" i="2"/>
  <c r="D256" i="2" s="1"/>
  <c r="B252" i="2"/>
  <c r="D252" i="2" s="1"/>
  <c r="B248" i="2"/>
  <c r="D248" i="2" s="1"/>
  <c r="B244" i="2"/>
  <c r="D244" i="2" s="1"/>
  <c r="B240" i="2"/>
  <c r="D240" i="2" s="1"/>
  <c r="B236" i="2"/>
  <c r="D236" i="2" s="1"/>
  <c r="B232" i="2"/>
  <c r="D232" i="2" s="1"/>
  <c r="B228" i="2"/>
  <c r="D228" i="2" s="1"/>
  <c r="B224" i="2"/>
  <c r="D224" i="2" s="1"/>
  <c r="B220" i="2"/>
  <c r="D220" i="2" s="1"/>
  <c r="B216" i="2"/>
  <c r="D216" i="2" s="1"/>
  <c r="B212" i="2"/>
  <c r="D212" i="2" s="1"/>
  <c r="B208" i="2"/>
  <c r="D208" i="2" s="1"/>
  <c r="B204" i="2"/>
  <c r="D204" i="2" s="1"/>
  <c r="B200" i="2"/>
  <c r="D200" i="2" s="1"/>
  <c r="B196" i="2"/>
  <c r="D196" i="2" s="1"/>
  <c r="B192" i="2"/>
  <c r="D192" i="2" s="1"/>
  <c r="B188" i="2"/>
  <c r="D188" i="2" s="1"/>
  <c r="B184" i="2"/>
  <c r="D184" i="2" s="1"/>
  <c r="B180" i="2"/>
  <c r="D180" i="2" s="1"/>
  <c r="B176" i="2"/>
  <c r="D176" i="2" s="1"/>
  <c r="B172" i="2"/>
  <c r="D172" i="2" s="1"/>
  <c r="B168" i="2"/>
  <c r="D168" i="2" s="1"/>
  <c r="B164" i="2"/>
  <c r="D164" i="2" s="1"/>
  <c r="B160" i="2"/>
  <c r="D160" i="2" s="1"/>
  <c r="B156" i="2"/>
  <c r="D156" i="2" s="1"/>
  <c r="B152" i="2"/>
  <c r="D152" i="2" s="1"/>
  <c r="B148" i="2"/>
  <c r="D148" i="2" s="1"/>
  <c r="B144" i="2"/>
  <c r="D144" i="2" s="1"/>
  <c r="B140" i="2"/>
  <c r="D140" i="2" s="1"/>
  <c r="B136" i="2"/>
  <c r="D136" i="2" s="1"/>
  <c r="B132" i="2"/>
  <c r="D132" i="2" s="1"/>
  <c r="B128" i="2"/>
  <c r="D128" i="2" s="1"/>
  <c r="B124" i="2"/>
  <c r="D124" i="2" s="1"/>
  <c r="B120" i="2"/>
  <c r="D120" i="2" s="1"/>
  <c r="B116" i="2"/>
  <c r="D116" i="2" s="1"/>
  <c r="B112" i="2"/>
  <c r="D112" i="2" s="1"/>
  <c r="B108" i="2"/>
  <c r="D108" i="2" s="1"/>
  <c r="B104" i="2"/>
  <c r="D104" i="2" s="1"/>
  <c r="B100" i="2"/>
  <c r="D100" i="2" s="1"/>
  <c r="B96" i="2"/>
  <c r="D96" i="2" s="1"/>
  <c r="B92" i="2"/>
  <c r="D92" i="2" s="1"/>
  <c r="B88" i="2"/>
  <c r="D88" i="2" s="1"/>
  <c r="B84" i="2"/>
  <c r="D84" i="2" s="1"/>
  <c r="B80" i="2"/>
  <c r="D80" i="2" s="1"/>
  <c r="B76" i="2"/>
  <c r="D76" i="2" s="1"/>
  <c r="B72" i="2"/>
  <c r="D72" i="2" s="1"/>
  <c r="B68" i="2"/>
  <c r="D68" i="2" s="1"/>
  <c r="B64" i="2"/>
  <c r="D64" i="2" s="1"/>
  <c r="B60" i="2"/>
  <c r="D60" i="2" s="1"/>
  <c r="B56" i="2"/>
  <c r="D56" i="2" s="1"/>
  <c r="B52" i="2"/>
  <c r="D52" i="2" s="1"/>
  <c r="B48" i="2"/>
  <c r="D48" i="2" s="1"/>
  <c r="B44" i="2"/>
  <c r="D44" i="2" s="1"/>
  <c r="B40" i="2"/>
  <c r="D40" i="2" s="1"/>
  <c r="B36" i="2"/>
  <c r="D36" i="2" s="1"/>
  <c r="B32" i="2"/>
  <c r="D32" i="2" s="1"/>
  <c r="B28" i="2"/>
  <c r="D28" i="2" s="1"/>
  <c r="B24" i="2"/>
  <c r="D24" i="2" s="1"/>
  <c r="B20" i="2"/>
  <c r="D20" i="2" s="1"/>
  <c r="B16" i="2"/>
  <c r="D16" i="2" s="1"/>
  <c r="B12" i="2"/>
  <c r="D12" i="2" s="1"/>
  <c r="B8" i="2"/>
  <c r="D8" i="2" s="1"/>
  <c r="B7" i="2"/>
  <c r="D7" i="2" s="1"/>
  <c r="W2" i="1" a="1"/>
  <c r="O2" i="1" a="1"/>
  <c r="D2" i="1" a="1"/>
  <c r="B2" i="1" a="1"/>
  <c r="AD2" i="1" a="1"/>
  <c r="E2" i="1" a="1"/>
  <c r="AE2" i="1" a="1"/>
  <c r="U2" i="1" a="1"/>
  <c r="M2" i="1" a="1"/>
  <c r="L2" i="1" a="1"/>
  <c r="AB2" i="1" a="1"/>
  <c r="AA2" i="1" a="1"/>
  <c r="S2" i="1" a="1"/>
  <c r="K2" i="1" a="1"/>
  <c r="G2" i="1" a="1"/>
  <c r="F2" i="1" a="1"/>
  <c r="H2" i="1" a="1"/>
  <c r="I2" i="1" a="1"/>
  <c r="AC2" i="1" a="1"/>
  <c r="V2" i="1" a="1"/>
  <c r="Y2" i="1" a="1"/>
  <c r="P2" i="1" a="1"/>
  <c r="T2" i="1" a="1"/>
  <c r="Z2" i="1" a="1"/>
  <c r="X2" i="1" a="1"/>
  <c r="Q2" i="1" a="1"/>
  <c r="R2" i="1" a="1"/>
  <c r="C2" i="1" a="1"/>
  <c r="N2" i="1" a="1"/>
  <c r="J2" i="1" a="1"/>
  <c r="B4" i="2" l="1"/>
  <c r="B12" i="1"/>
  <c r="B13" i="1" s="1"/>
  <c r="AE2" i="1"/>
  <c r="AA2" i="1"/>
  <c r="O2" i="1"/>
  <c r="AD2" i="1"/>
  <c r="V2" i="1"/>
  <c r="N2" i="1"/>
  <c r="F2" i="1"/>
  <c r="AC2" i="1"/>
  <c r="Q2" i="1"/>
  <c r="E2" i="1"/>
  <c r="W2" i="1"/>
  <c r="G2" i="1"/>
  <c r="Z2" i="1"/>
  <c r="R2" i="1"/>
  <c r="J2" i="1"/>
  <c r="Y2" i="1"/>
  <c r="U2" i="1"/>
  <c r="M2" i="1"/>
  <c r="I2" i="1"/>
  <c r="S2" i="1"/>
  <c r="K2" i="1"/>
  <c r="AB2" i="1"/>
  <c r="X2" i="1"/>
  <c r="T2" i="1"/>
  <c r="P2" i="1"/>
  <c r="L2" i="1"/>
  <c r="H2" i="1"/>
  <c r="D2" i="1"/>
  <c r="C2" i="1"/>
  <c r="B2" i="1"/>
  <c r="B7" i="1" l="1"/>
  <c r="B8" i="1" s="1"/>
  <c r="B15"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60"/>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2"/>
        </ext>
      </extLst>
    </bk>
    <bk>
      <extLst>
        <ext uri="{3e2802c4-a4d2-4d8b-9148-e3be6c30e623}">
          <xlrd:rvb i="573"/>
        </ext>
      </extLst>
    </bk>
    <bk>
      <extLst>
        <ext uri="{3e2802c4-a4d2-4d8b-9148-e3be6c30e623}">
          <xlrd:rvb i="575"/>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20"/>
        </ext>
      </extLst>
    </bk>
    <bk>
      <extLst>
        <ext uri="{3e2802c4-a4d2-4d8b-9148-e3be6c30e623}">
          <xlrd:rvb i="1121"/>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9"/>
        </ext>
      </extLst>
    </bk>
    <bk>
      <extLst>
        <ext uri="{3e2802c4-a4d2-4d8b-9148-e3be6c30e623}">
          <xlrd:rvb i="1190"/>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2"/>
        </ext>
      </extLst>
    </bk>
    <bk>
      <extLst>
        <ext uri="{3e2802c4-a4d2-4d8b-9148-e3be6c30e623}">
          <xlrd:rvb i="1453"/>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6"/>
        </ext>
      </extLst>
    </bk>
    <bk>
      <extLst>
        <ext uri="{3e2802c4-a4d2-4d8b-9148-e3be6c30e623}">
          <xlrd:rvb i="1477"/>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4"/>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2"/>
        </ext>
      </extLst>
    </bk>
    <bk>
      <extLst>
        <ext uri="{3e2802c4-a4d2-4d8b-9148-e3be6c30e623}">
          <xlrd:rvb i="1543"/>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51"/>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8"/>
        </ext>
      </extLst>
    </bk>
    <bk>
      <extLst>
        <ext uri="{3e2802c4-a4d2-4d8b-9148-e3be6c30e623}">
          <xlrd:rvb i="1649"/>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7"/>
        </ext>
      </extLst>
    </bk>
    <bk>
      <extLst>
        <ext uri="{3e2802c4-a4d2-4d8b-9148-e3be6c30e623}">
          <xlrd:rvb i="1698"/>
        </ext>
      </extLst>
    </bk>
    <bk>
      <extLst>
        <ext uri="{3e2802c4-a4d2-4d8b-9148-e3be6c30e623}">
          <xlrd:rvb i="1699"/>
        </ext>
      </extLst>
    </bk>
  </futureMetadata>
  <cellMetadata count="1">
    <bk>
      <rc t="1" v="0"/>
    </bk>
  </cellMetadata>
  <valueMetadata count="99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valueMetadata>
</metadata>
</file>

<file path=xl/sharedStrings.xml><?xml version="1.0" encoding="utf-8"?>
<sst xmlns="http://schemas.openxmlformats.org/spreadsheetml/2006/main" count="11" uniqueCount="8">
  <si>
    <t>Ticker</t>
  </si>
  <si>
    <t>Divisor</t>
  </si>
  <si>
    <t>Sum</t>
  </si>
  <si>
    <t>Index Level</t>
  </si>
  <si>
    <t>index level</t>
  </si>
  <si>
    <t>Daily Change</t>
  </si>
  <si>
    <t>S&amp;P MC</t>
  </si>
  <si>
    <t>Divisor 8536.69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</si>
</sst>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409]* #,##0_);_([$$-409]* \(#,##0\);_([$$-409]* &quot;-&quot;_);_(@_)"/>
    <numFmt numFmtId="165" formatCode="_(* #,##0_);_(* \(#,##0\);_(* &quot;-&quot;??_);_(@_)"/>
  </numFmts>
  <fonts count="2" x14ac:knownFonts="1">
    <font>
      <sz val="12"/>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14" fontId="0" fillId="0" borderId="0" xfId="0" applyNumberFormat="1"/>
    <xf numFmtId="164" fontId="0" fillId="0" borderId="0" xfId="0" applyNumberFormat="1"/>
    <xf numFmtId="165" fontId="0" fillId="0" borderId="0" xfId="1" applyNumberFormat="1" applyFont="1"/>
    <xf numFmtId="3" fontId="0" fillId="0" borderId="0" xfId="0" applyNumberFormat="1"/>
    <xf numFmtId="14" fontId="0" fillId="0" borderId="0" xfId="0" applyNumberFormat="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Structure" Target="richData/rdsupportingpropertybagstructure.xml"/><Relationship Id="rId5" Type="http://schemas.openxmlformats.org/officeDocument/2006/relationships/sharedStrings" Target="sharedStrings.xml"/><Relationship Id="rId10" Type="http://schemas.microsoft.com/office/2017/06/relationships/richStyles" Target="richData/richStyles.xml"/><Relationship Id="rId4" Type="http://schemas.openxmlformats.org/officeDocument/2006/relationships/styles" Target="styles.xml"/><Relationship Id="rId9" Type="http://schemas.microsoft.com/office/2017/06/relationships/rdArray" Target="richData/rdarray.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605859</xdr:colOff>
      <xdr:row>7</xdr:row>
      <xdr:rowOff>119357</xdr:rowOff>
    </xdr:from>
    <xdr:to>
      <xdr:col>4</xdr:col>
      <xdr:colOff>565714</xdr:colOff>
      <xdr:row>10</xdr:row>
      <xdr:rowOff>195181</xdr:rowOff>
    </xdr:to>
    <xdr:sp macro="" textlink="">
      <xdr:nvSpPr>
        <xdr:cNvPr id="2" name="Freeform 1">
          <a:extLst>
            <a:ext uri="{FF2B5EF4-FFF2-40B4-BE49-F238E27FC236}">
              <a16:creationId xmlns:a16="http://schemas.microsoft.com/office/drawing/2014/main" id="{D5FAAD50-B1C6-44B6-D578-501342CF9BDE}"/>
            </a:ext>
          </a:extLst>
        </xdr:cNvPr>
        <xdr:cNvSpPr/>
      </xdr:nvSpPr>
      <xdr:spPr>
        <a:xfrm>
          <a:off x="2264330" y="1531298"/>
          <a:ext cx="1618325" cy="680942"/>
        </a:xfrm>
        <a:custGeom>
          <a:avLst/>
          <a:gdLst/>
          <a:ahLst/>
          <a:cxnLst/>
          <a:rect l="l" t="t" r="r" b="b"/>
          <a:pathLst>
            <a:path w="4923518" h="1820863">
              <a:moveTo>
                <a:pt x="0" y="0"/>
              </a:moveTo>
              <a:lnTo>
                <a:pt x="4923518" y="0"/>
              </a:lnTo>
              <a:lnTo>
                <a:pt x="4923518" y="1820863"/>
              </a:lnTo>
              <a:lnTo>
                <a:pt x="0" y="1820863"/>
              </a:lnTo>
              <a:lnTo>
                <a:pt x="0" y="0"/>
              </a:lnTo>
              <a:close/>
            </a:path>
          </a:pathLst>
        </a:custGeom>
        <a:blipFill>
          <a:blip xmlns:r="http://schemas.openxmlformats.org/officeDocument/2006/relationships" r:embed="rId1"/>
          <a:stretch>
            <a:fillRect/>
          </a:stretch>
        </a:blipFill>
      </xdr:spPr>
      <xdr:txBody>
        <a:bodyPr wrap="square"/>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643">
  <a r="1">
    <v t="i">0</v>
  </a>
  <a r="1">
    <v>27</v>
  </a>
  <a r="1">
    <v>27.83</v>
  </a>
  <a r="1">
    <v>193.13</v>
  </a>
  <a r="1">
    <v>186.82</v>
  </a>
  <a r="1">
    <v>1.76</v>
  </a>
  <a r="1">
    <v>1.85</v>
  </a>
  <a r="1">
    <v>76.37</v>
  </a>
  <a r="1">
    <v>74.13</v>
  </a>
  <a r="1">
    <v>74.03</v>
  </a>
  <a r="1">
    <v>71.959999999999994</v>
  </a>
  <a r="1">
    <v>84.63</v>
  </a>
  <a r="1">
    <v>80.959999999999994</v>
  </a>
  <a r="1">
    <v>59</v>
  </a>
  <a r="1">
    <v>55.93</v>
  </a>
  <a r="1">
    <v>53.47</v>
  </a>
  <a r="1">
    <v>55.28</v>
  </a>
  <a r="1">
    <v>190.12</v>
  </a>
  <a r="1">
    <v>185.95</v>
  </a>
  <a r="1">
    <v>629.73</v>
  </a>
  <a r="1">
    <v>640.41999999999996</v>
  </a>
  <a r="1">
    <v>4.58</v>
  </a>
  <a r="1">
    <v>4.4000000000000004</v>
  </a>
  <a r="1">
    <v>37.61</v>
  </a>
  <a r="1">
    <v>36.630000000000003</v>
  </a>
  <a r="1">
    <v>64.62</v>
  </a>
  <a r="1">
    <v>65.040000000000006</v>
  </a>
  <a r="1">
    <v>205.79</v>
  </a>
  <a r="1">
    <v>201.47</v>
  </a>
  <a r="1">
    <v>64.760000000000005</v>
  </a>
  <a r="1">
    <v>65</v>
  </a>
  <a r="1">
    <v>4607.13</v>
  </a>
  <a r="1">
    <v>4644.6400000000003</v>
  </a>
  <a r="1">
    <v>160.28</v>
  </a>
  <a r="1">
    <v>162.37</v>
  </a>
  <a r="1">
    <v>79.33</v>
  </a>
  <a r="1">
    <v>80.92</v>
  </a>
  <a r="1">
    <v>642.94000000000005</v>
  </a>
  <a r="1">
    <v>632.55999999999995</v>
  </a>
  <a r="1">
    <v>178.04</v>
  </a>
  <a r="1">
    <v>181.4</v>
  </a>
  <a r="1">
    <v>108.71</v>
  </a>
  <a r="1">
    <v>106.92</v>
  </a>
  <a r="1">
    <v>94.79</v>
  </a>
  <a r="1">
    <v>97.28</v>
  </a>
  <a r="1">
    <v>143.33000000000001</v>
  </a>
  <a r="1">
    <v>132.91</v>
  </a>
  <a r="1">
    <v>40.65</v>
  </a>
  <a r="1">
    <v>40.71</v>
  </a>
  <a r="1">
    <v>100.53</v>
  </a>
  <a r="1">
    <v>95.49</v>
  </a>
  <a r="1">
    <v>19.8</v>
  </a>
  <a r="1">
    <v>19.11</v>
  </a>
  <a r="1">
    <v>52.81</v>
  </a>
  <a r="1">
    <v>48.04</v>
  </a>
  <a r="1">
    <v>12.54</v>
  </a>
  <a r="1">
    <v>12</v>
  </a>
  <a r="1">
    <v>324.56</v>
  </a>
  <a r="1">
    <v>318.42</v>
  </a>
  <a r="1">
    <v>102.6</v>
  </a>
  <a r="1">
    <v>100.92</v>
  </a>
  <a r="1">
    <v>72.489999999999995</v>
  </a>
  <a r="1">
    <v>74.25</v>
  </a>
  <a r="1">
    <v>189.23</v>
  </a>
  <a r="1">
    <v>185.17</v>
  </a>
  <a r="1">
    <v>41.8</v>
  </a>
  <a r="1">
    <v>41.85</v>
  </a>
  <a r="1">
    <v>272.2</v>
  </a>
  <a r="1">
    <v>276.16000000000003</v>
  </a>
  <a r="1">
    <v>62.46</v>
  </a>
  <a r="1">
    <v>61.46</v>
  </a>
  <a r="1">
    <v>29.83</v>
  </a>
  <a r="1">
    <v>30.44</v>
  </a>
  <a r="1">
    <v>45.38</v>
  </a>
  <a r="1">
    <v>45.1</v>
  </a>
  <a r="1">
    <v>151.34</v>
  </a>
  <a r="1">
    <v>149.25</v>
  </a>
  <a r="1">
    <v>4.46</v>
  </a>
  <a r="1">
    <v>4.32</v>
  </a>
  <a r="1">
    <v>114.98</v>
  </a>
  <a r="1">
    <v>117.77</v>
  </a>
  <a r="1">
    <v>96.59</v>
  </a>
  <a r="1">
    <v>94.66</v>
  </a>
  <a r="1">
    <v>125.89</v>
  </a>
  <a r="1">
    <v>124.3</v>
  </a>
  <a r="1">
    <v>201.03</v>
  </a>
  <a r="1">
    <v>205.54</v>
  </a>
  <a r="1">
    <v>14.25</v>
  </a>
  <a r="1">
    <v>13.5</v>
  </a>
  <a r="1">
    <v>74.59</v>
  </a>
  <a r="1">
    <v>74.63</v>
  </a>
  <a r="1">
    <v>1307.22</v>
  </a>
  <a r="1">
    <v>1355.54</v>
  </a>
  <a r="1">
    <v>21.51</v>
  </a>
  <a r="1">
    <v>20.9</v>
  </a>
  <a r="1">
    <v>100.59</v>
  </a>
  <a r="1">
    <v>98.77</v>
  </a>
  <a r="1">
    <v>54.1</v>
  </a>
  <a r="1">
    <v>51.9</v>
  </a>
  <a r="1">
    <v>236.27</v>
  </a>
  <a r="1">
    <v>240.79</v>
  </a>
  <a r="1">
    <v>124.75</v>
  </a>
  <a r="1">
    <v>130.41</v>
  </a>
  <a r="1">
    <v>182.91</v>
  </a>
  <a r="1">
    <v>180.08</v>
  </a>
  <a r="1">
    <v>105.86</v>
  </a>
  <a r="1">
    <v>108.53</v>
  </a>
  <a r="1">
    <v>236.48</v>
  </a>
  <a r="1">
    <v>234.46</v>
  </a>
  <a r="1">
    <v>55.14</v>
  </a>
  <a r="1">
    <v>56.14</v>
  </a>
  <a r="1">
    <v>218</v>
  </a>
  <a r="1">
    <v>206.85</v>
  </a>
  <a r="1">
    <v>46.29</v>
  </a>
  <a r="1">
    <v>47.78</v>
  </a>
  <a r="1">
    <v>1155</v>
  </a>
  <a r="1">
    <v>1194.93</v>
  </a>
  <a r="1">
    <v>354.04</v>
  </a>
  <a r="1">
    <v>354.7</v>
  </a>
  <a r="1">
    <v>120.67</v>
  </a>
  <a r="1">
    <v>119.98</v>
  </a>
  <a r="1">
    <v>47.26</v>
  </a>
  <a r="1">
    <v>45.17</v>
  </a>
  <a r="1">
    <v>243.41</v>
  </a>
  <a r="1">
    <v>77.23</v>
  </a>
  <a r="1">
    <v>77.8</v>
  </a>
  <a r="1">
    <v>278.17</v>
  </a>
  <a r="1">
    <v>285.95</v>
  </a>
  <a r="1">
    <v>276.49</v>
  </a>
  <a r="1">
    <v>274.63</v>
  </a>
  <a r="1">
    <v>111.07</v>
  </a>
  <a r="1">
    <v>109.77</v>
  </a>
  <a r="1">
    <v>87.71</v>
  </a>
  <a r="1">
    <v>88.49</v>
  </a>
  <a r="1">
    <v>109.27</v>
  </a>
  <a r="1">
    <v>114.21</v>
  </a>
  <a r="1">
    <v>31.3</v>
  </a>
  <a r="1">
    <v>32.83</v>
  </a>
  <a r="1">
    <v>102.17</v>
  </a>
  <a r="1">
    <v>107.18</v>
  </a>
  <a r="1">
    <v>109.69</v>
  </a>
  <a r="1">
    <v>112.79</v>
  </a>
  <a r="1">
    <v>288.16000000000003</v>
  </a>
  <a r="1">
    <v>282.42</v>
  </a>
  <a r="1">
    <v>46.4</v>
  </a>
  <a r="1">
    <v>46.89</v>
  </a>
  <a r="1">
    <v>40.19</v>
  </a>
  <a r="1">
    <v>40.35</v>
  </a>
  <a r="1">
    <v>66.459999999999994</v>
  </a>
  <a r="1">
    <v>68.5</v>
  </a>
  <a r="1">
    <v>43.43</v>
  </a>
  <a r="1">
    <v>44.01</v>
  </a>
  <a r="1">
    <v>82.1</v>
  </a>
  <a r="1">
    <v>79.77</v>
  </a>
  <a r="1">
    <v>24.69</v>
  </a>
  <a r="1">
    <v>25.01</v>
  </a>
  <a r="1">
    <v>223.34</v>
  </a>
  <a r="1">
    <v>225.46</v>
  </a>
  <a r="1">
    <v>8.2899999999999991</v>
  </a>
  <a r="1">
    <v>8</v>
  </a>
  <a r="1">
    <v>418.63</v>
  </a>
  <a r="1">
    <v>444.45</v>
  </a>
  <a r="1">
    <v>47.74</v>
  </a>
  <a r="1">
    <v>48.8</v>
  </a>
  <a r="1">
    <v>351.57</v>
  </a>
  <a r="1">
    <v>339.07</v>
  </a>
  <a r="1">
    <v>306.83999999999997</v>
  </a>
  <a r="1">
    <v>298.32</v>
  </a>
  <a r="1">
    <v>61.48</v>
  </a>
  <a r="1">
    <v>63.46</v>
  </a>
  <a r="1">
    <v>964.33</v>
  </a>
  <a r="1">
    <v>967.99</v>
  </a>
  <a r="1">
    <v>340.6</v>
  </a>
  <a r="1">
    <v>338.65</v>
  </a>
  <a r="1">
    <v>348.82</v>
  </a>
  <a r="1">
    <v>359.71</v>
  </a>
  <a r="1">
    <v>780.25</v>
  </a>
  <a r="1">
    <v>746.22</v>
  </a>
  <a r="1">
    <v>45.3</v>
  </a>
  <a r="1">
    <v>47.83</v>
  </a>
  <a r="1">
    <v>21.18</v>
  </a>
  <a r="1">
    <v>64.67</v>
  </a>
  <a r="1">
    <v>61.86</v>
  </a>
  <a r="1">
    <v>119.52</v>
  </a>
  <a r="1">
    <v>125.95</v>
  </a>
  <a r="1">
    <v>46.34</v>
  </a>
  <a r="1">
    <v>48.28</v>
  </a>
  <a r="1">
    <v>41.03</v>
  </a>
  <a r="1">
    <v>41.7</v>
  </a>
  <a r="1">
    <v>95.29</v>
  </a>
  <a r="1">
    <v>96.4</v>
  </a>
  <a r="1">
    <v>207.87</v>
  </a>
  <a r="1">
    <v>206.5</v>
  </a>
  <a r="1">
    <v>470.52</v>
  </a>
  <a r="1">
    <v>465.61</v>
  </a>
  <a r="1">
    <v>114.13</v>
  </a>
  <a r="1">
    <v>111.3</v>
  </a>
  <a r="1">
    <v>26.84</v>
  </a>
  <a r="1">
    <v>26.53</v>
  </a>
  <a r="1">
    <v>51.19</v>
  </a>
  <a r="1">
    <v>52.59</v>
  </a>
  <a r="1">
    <v>26.78</v>
  </a>
  <a r="1">
    <v>25.77</v>
  </a>
  <a r="1">
    <v>113.62</v>
  </a>
  <a r="1">
    <v>112.04</v>
  </a>
  <a r="1">
    <v>57.62</v>
  </a>
  <a r="1">
    <v>55.99</v>
  </a>
  <a r="1">
    <v>822</v>
  </a>
  <a r="1">
    <v>851.12</v>
  </a>
  <a r="1">
    <v>413.14</v>
  </a>
  <a r="1">
    <v>429.64</v>
  </a>
  <a r="1">
    <v>249.55</v>
  </a>
  <a r="1">
    <v>247.73</v>
  </a>
  <a r="1">
    <v>80.34</v>
  </a>
  <a r="1">
    <v>78.27</v>
  </a>
  <a r="1">
    <v>221.6</v>
  </a>
  <a r="1">
    <v>227.16</v>
  </a>
  <a r="1">
    <v>162.06</v>
  </a>
  <a r="1">
    <v>163.44999999999999</v>
  </a>
  <a r="1">
    <v>293.07</v>
  </a>
  <a r="1">
    <v>294.62</v>
  </a>
  <a r="1">
    <v>190.73</v>
  </a>
  <a r="1">
    <v>192.61</v>
  </a>
  <a r="1">
    <v>353.43</v>
  </a>
  <a r="1">
    <v>362.54</v>
  </a>
  <a r="1">
    <v>353.37</v>
  </a>
  <a r="1">
    <v>355.31</v>
  </a>
  <a r="1">
    <v>228.12</v>
  </a>
  <a r="1">
    <v>232.26</v>
  </a>
  <a r="1">
    <v>-99999901</v>
  </a>
  <a r="1">
    <v>196.84</v>
  </a>
  <a r="1">
    <v>201.39</v>
  </a>
  <a r="1">
    <v>545</v>
  </a>
  <a r="1">
    <v>567.26</v>
  </a>
  <a r="1">
    <v>90.13</v>
  </a>
  <a r="1">
    <v>90.29</v>
  </a>
  <a r="1">
    <v>187.5</v>
  </a>
  <a r="1">
    <v>185.48</v>
  </a>
  <a r="1">
    <v>189.75</v>
  </a>
  <a r="1">
    <v>188.49</v>
  </a>
  <a r="1">
    <v>205.49</v>
  </a>
  <a r="1">
    <v>212.22</v>
  </a>
  <a r="1">
    <v>96.97</v>
  </a>
  <a r="1">
    <v>93.04</v>
  </a>
  <a r="1">
    <v>88.09</v>
  </a>
  <a r="1">
    <v>86.18</v>
  </a>
  <a r="1">
    <v>146.22999999999999</v>
  </a>
  <a r="1">
    <v>143.28</v>
  </a>
  <a r="1">
    <v>112.53</v>
  </a>
  <a r="1">
    <v>115.27</v>
  </a>
  <a r="1">
    <v>76.2</v>
  </a>
  <a r="1">
    <v>75.95</v>
  </a>
  <a r="1">
    <v>46.5</v>
  </a>
  <a r="1">
    <v>48.5</v>
  </a>
  <a r="1">
    <v>378.95</v>
  </a>
  <a r="1">
    <v>384.33</v>
  </a>
  <a r="1">
    <v>80.14</v>
  </a>
  <a r="1">
    <v>81.56</v>
  </a>
  <a r="1">
    <v>165.89</v>
  </a>
  <a r="1">
    <v>163.35</v>
  </a>
  <a r="1">
    <v>26.9</v>
  </a>
  <a r="1">
    <v>28.43</v>
  </a>
  <a r="1">
    <v>234.67</v>
  </a>
  <a r="1">
    <v>235.08</v>
  </a>
  <a r="1">
    <v>34.270000000000003</v>
  </a>
  <a r="1">
    <v>34.78</v>
  </a>
  <a r="1">
    <v>108.38</v>
  </a>
  <a r="1">
    <v>107.45</v>
  </a>
  <a r="1">
    <v>15.75</v>
  </a>
  <a r="1">
    <v>16.09</v>
  </a>
  <a r="1">
    <v>288.5</v>
  </a>
  <a r="1">
    <v>279.54000000000002</v>
  </a>
  <a r="1">
    <v>226.86</v>
  </a>
  <a r="1">
    <v>220.66</v>
  </a>
  <a r="1">
    <v>1076.1600000000001</v>
  </a>
  <a r="1">
    <v>1070.08</v>
  </a>
  <a r="1">
    <v>96.74</v>
  </a>
  <a r="1">
    <v>97.1</v>
  </a>
  <a r="1">
    <v>166.16</v>
  </a>
  <a r="1">
    <v>173.78</v>
  </a>
  <a r="1" c="2">
    <v t="i">0</v>
    <v t="i">1</v>
  </a>
  <a r="1" c="2">
    <v>233.1</v>
    <v>234.47</v>
  </a>
  <a r="1">
    <v>461.21</v>
  </a>
  <a r="1">
    <v>471.05</v>
  </a>
  <a r="1">
    <v>252.95</v>
  </a>
  <a r="1">
    <v>260.42</v>
  </a>
  <a r="1">
    <v>201.61</v>
  </a>
  <a r="1">
    <v>212.25</v>
  </a>
  <a r="1">
    <v>268.5</v>
  </a>
  <a r="1">
    <v>271.42</v>
  </a>
  <a r="1">
    <v>119.69</v>
  </a>
  <a r="1">
    <v>121.83</v>
  </a>
  <a r="1">
    <v>119.61</v>
  </a>
  <a r="1">
    <v>116.27</v>
  </a>
  <a r="1">
    <v>360.82</v>
  </a>
  <a r="1">
    <v>360.66</v>
  </a>
  <a r="1">
    <v>195.92</v>
  </a>
  <a r="1">
    <v>187.58</v>
  </a>
  <a r="1">
    <v>275.39</v>
  </a>
  <a r="1">
    <v>271.70999999999998</v>
  </a>
  <a r="1">
    <v>602.76</v>
  </a>
  <a r="1">
    <v>628.26</v>
  </a>
  <a r="1">
    <v>87.16</v>
  </a>
  <a r="1">
    <v>90.37</v>
  </a>
  <a r="1">
    <v>138.57</v>
  </a>
  <a r="1">
    <v>139.74</v>
  </a>
  <a r="1">
    <v>311.49</v>
  </a>
  <a r="1">
    <v>311.01</v>
  </a>
  <a r="1">
    <v>140.86000000000001</v>
  </a>
  <a r="1">
    <v>138.44</v>
  </a>
  <a r="1">
    <v>78.8</v>
  </a>
  <a r="1">
    <v>80.95</v>
  </a>
  <a r="1" c="2">
    <v>411.21</v>
    <v>414.19</v>
  </a>
  <a r="1">
    <v>848.13</v>
  </a>
  <a r="1">
    <v>792.75</v>
  </a>
  <a r="1">
    <v>100.36</v>
  </a>
  <a r="1">
    <v>103.6</v>
  </a>
  <a r="1">
    <v>84.62</v>
  </a>
  <a r="1">
    <v>84.65</v>
  </a>
  <a r="1">
    <v>48.57</v>
  </a>
  <a r="1">
    <v>50.49</v>
  </a>
  <a r="1">
    <v>176.55</v>
  </a>
  <a r="1">
    <v>173.13</v>
  </a>
  <a r="1">
    <v>220.61</v>
  </a>
  <a r="1">
    <v>228.22</v>
  </a>
  <a r="1">
    <v>166.2</v>
  </a>
  <a r="1">
    <v>169.89</v>
  </a>
  <a r="1">
    <v>32.99</v>
  </a>
  <a r="1">
    <v>34.369999999999997</v>
  </a>
  <a r="1">
    <v>224.18</v>
  </a>
  <a r="1">
    <v>212.74</v>
  </a>
  <a r="1">
    <v>152.1</v>
  </a>
  <a r="1">
    <v>157.32</v>
  </a>
  <a r="1">
    <v>177.18</v>
  </a>
  <a r="1">
    <v>173.28</v>
  </a>
  <a r="1">
    <v>201.62</v>
  </a>
  <a r="1">
    <v>201.41</v>
  </a>
  <a r="1">
    <v>189.27</v>
  </a>
  <a r="1">
    <v>191.12</v>
  </a>
  <a r="1" c="2">
    <v>381.1</v>
    <v>387.2</v>
  </a>
  <a r="1">
    <v>141.34</v>
  </a>
  <a r="1">
    <v>142.46</v>
  </a>
  <a r="1">
    <v>275.85000000000002</v>
  </a>
  <a r="1">
    <v>274.85000000000002</v>
  </a>
  <a r="1">
    <v>605.63</v>
  </a>
  <a r="1">
    <v>602.69000000000005</v>
  </a>
  <a r="1">
    <v>71.8</v>
  </a>
  <a r="1">
    <v>71.599999999999994</v>
  </a>
  <a r="1">
    <v>148.04</v>
  </a>
  <a r="1">
    <v>343.24</v>
  </a>
  <a r="1">
    <v>332.05</v>
  </a>
  <a r="1">
    <v>30.32</v>
  </a>
  <a r="1">
    <v>30.06</v>
  </a>
  <a r="1">
    <v>264.27</v>
  </a>
  <a r="1">
    <v>261.67</v>
  </a>
  <a r="1">
    <v>401.73</v>
  </a>
  <a r="1">
    <v>401.11</v>
  </a>
  <a r="1">
    <v>132.80000000000001</v>
  </a>
  <a r="1">
    <v>126.85</v>
  </a>
  <a r="1">
    <v>24.48</v>
  </a>
  <a r="1">
    <v>23.87</v>
  </a>
  <a r="1">
    <v>239.04</v>
  </a>
  <a r="1">
    <v>238.06</v>
  </a>
  <a r="1" c="2">
    <v>180.34</v>
    <v>174.19</v>
  </a>
  <a r="1">
    <v>57.5</v>
  </a>
  <a r="1">
    <v>56.94</v>
  </a>
  <a r="1">
    <v>91.92</v>
  </a>
  <a r="1">
    <v>91.79</v>
  </a>
  <a r="1">
    <v>775.06</v>
  </a>
  <a r="1">
    <v>759.18</v>
  </a>
  <a r="1">
    <v>335.1</v>
  </a>
  <a r="1">
    <v>339.74</v>
  </a>
  <a r="1" c="2">
    <v>294.31</v>
    <v>289.05</v>
  </a>
  <a r="1">
    <v>368.91</v>
  </a>
  <a r="1">
    <v>359.64</v>
  </a>
  <a r="1" c="2">
    <v>359.64</v>
    <v>368.91</v>
  </a>
  <a r="1">
    <v>121.67</v>
  </a>
  <a r="1">
    <v>122.21</v>
  </a>
  <a r="1">
    <v>34.340000000000003</v>
  </a>
  <a r="1">
    <v>33.869999999999997</v>
  </a>
  <a r="1">
    <v>138.12</v>
  </a>
  <a r="1">
    <v>141.71</v>
  </a>
  <a r="1">
    <v>130.09</v>
  </a>
  <a r="1">
    <v>132.03</v>
  </a>
  <a r="1">
    <v>278.91000000000003</v>
  </a>
  <a r="1">
    <v>288.8</v>
  </a>
  <a r="1">
    <v>71.41</v>
  </a>
  <a r="1">
    <v>68.05</v>
  </a>
  <a r="1">
    <v>326.29000000000002</v>
  </a>
  <a r="1">
    <v>328.65</v>
  </a>
  <a r="1">
    <v>241.23</v>
  </a>
  <a r="1">
    <v>241.31</v>
  </a>
  <a r="1">
    <v>66.599999999999994</v>
  </a>
  <a r="1">
    <v>65.97</v>
  </a>
  <a r="1">
    <v>42</v>
  </a>
  <a r="1">
    <v>41.6</v>
  </a>
  <a r="1">
    <v>117.71</v>
  </a>
  <a r="1">
    <v>117.43</v>
  </a>
  <a r="1">
    <v>1301.93</v>
  </a>
  <a r="1">
    <v>1264.79</v>
  </a>
  <a r="1">
    <v>62.33</v>
  </a>
  <a r="1">
    <v>61.43</v>
  </a>
  <a r="1">
    <v>19.82</v>
  </a>
  <a r="1">
    <v>19</v>
  </a>
  <a r="1">
    <v>78.37</v>
  </a>
  <a r="1">
    <v>76.34</v>
  </a>
  <a r="1">
    <v>13.244999999999999</v>
  </a>
  <a r="1">
    <v>13.35</v>
  </a>
  <a r="1">
    <v>93.63</v>
  </a>
  <a r="1">
    <v>94</v>
  </a>
  <a r="1">
    <v>227.83</v>
  </a>
  <a r="1">
    <v>228.92</v>
  </a>
  <a r="1">
    <v>64.81</v>
  </a>
  <a r="1">
    <v>61.77</v>
  </a>
  <a r="1">
    <v>134.84</v>
  </a>
  <a r="1">
    <v>131.88</v>
  </a>
  <a r="1">
    <v>100.13</v>
  </a>
  <a r="1">
    <v>96.82</v>
  </a>
  <a r="1">
    <v>181.04</v>
  </a>
  <a r="1">
    <v>175.05</v>
  </a>
  <a r="1">
    <v>21.78</v>
  </a>
  <a r="1">
    <v>23.24</v>
  </a>
  <a r="1">
    <v>166.68</v>
  </a>
  <a r="1">
    <v>160.62</v>
  </a>
  <a r="1">
    <v>59.17</v>
  </a>
  <a r="1">
    <v>58</v>
  </a>
  <a r="1">
    <v>197.41</v>
  </a>
  <a r="1">
    <v>192.27</v>
  </a>
  <a r="1">
    <v>313.38</v>
  </a>
  <a r="1">
    <v>329.45</v>
  </a>
  <a r="1">
    <v>478.88</v>
  </a>
  <a r="1">
    <v>478.49</v>
  </a>
  <a r="1">
    <v>126.7</v>
  </a>
  <a r="1">
    <v>122.41</v>
  </a>
  <a r="1">
    <v>435.36</v>
  </a>
  <a r="1">
    <v>441.2</v>
  </a>
  <a r="1">
    <v>203.64</v>
  </a>
  <a r="1">
    <v>204.44</v>
  </a>
  <a r="1">
    <v>66.58</v>
  </a>
  <a r="1">
    <v>63.29</v>
  </a>
  <a r="1">
    <v>147.06</v>
  </a>
  <a r="1">
    <v>130</v>
  </a>
  <a r="1">
    <v>69.19</v>
  </a>
  <a r="1">
    <v>70.19</v>
  </a>
  <a r="1">
    <v>75.12</v>
  </a>
  <a r="1">
    <v>75.040000000000006</v>
  </a>
  <a r="1">
    <v>41.11</v>
  </a>
  <a r="1">
    <v>43.39</v>
  </a>
  <a r="1">
    <v>192.49</v>
  </a>
  <a r="1">
    <v>189.51</v>
  </a>
  <a r="1">
    <v>51.31</v>
  </a>
  <a r="1">
    <v>49.32</v>
  </a>
  <a r="1">
    <v>201.77</v>
  </a>
  <a r="1">
    <v>207.12</v>
  </a>
  <a r="1">
    <v>225.09</v>
  </a>
  <a r="1">
    <v>226.43</v>
  </a>
  <a r="1">
    <v>230.91</v>
  </a>
  <a r="1">
    <v>235.35</v>
  </a>
  <a r="1" c="2">
    <v>230.91</v>
    <v>235.35</v>
  </a>
  <a r="1">
    <v>76.66</v>
  </a>
  <a r="1">
    <v>78.23</v>
  </a>
  <a r="1">
    <v>68.67</v>
  </a>
  <a r="1">
    <v>64.63</v>
  </a>
  <a r="1">
    <v>298.98</v>
  </a>
  <a r="1">
    <v>305.89999999999998</v>
  </a>
  <a r="1">
    <v>129.91999999999999</v>
  </a>
  <a r="1">
    <v>127.03</v>
  </a>
  <a r="1">
    <v>103.21</v>
  </a>
  <a r="1">
    <v>100.77</v>
  </a>
  <a r="1">
    <v>39.85</v>
  </a>
  <a r="1">
    <v>39.15</v>
  </a>
  <a r="1">
    <v>7770.86</v>
  </a>
  <a r="1">
    <v>8025.84</v>
  </a>
  <a r="1">
    <v>97.15</v>
  </a>
  <a r="1">
    <v>98.48</v>
  </a>
  <a r="1">
    <v>59.42</v>
  </a>
  <a r="1">
    <v>58.69</v>
  </a>
  <a r="1">
    <v>153.83000000000001</v>
  </a>
  <a r="1">
    <v>158.22</v>
  </a>
  <a r="1" c="2">
    <v>83.11</v>
    <v>81.16</v>
  </a>
  <a r="1">
    <v>465.51</v>
  </a>
  <a r="1">
    <v>468.21</v>
  </a>
  <a r="1">
    <v>416.3</v>
  </a>
  <a r="1">
    <v>409.47</v>
  </a>
  <a r="1" c="2">
    <v>115.84</v>
    <v>118.33</v>
  </a>
  <a r="1">
    <v>154.69</v>
  </a>
  <a r="1">
    <v>148.09</v>
  </a>
  <a r="1">
    <v>166.72</v>
  </a>
  <a r="1">
    <v>166.24</v>
  </a>
  <a r="1">
    <v>132.13999999999999</v>
  </a>
  <a r="1">
    <v>132.97999999999999</v>
  </a>
  <a r="1">
    <v>418.98</v>
  </a>
  <a r="1">
    <v>419.14</v>
  </a>
  <a r="1">
    <v>349.63</v>
  </a>
  <a r="1">
    <v>353.67</v>
  </a>
  <a r="1" c="2">
    <v>349.63</v>
    <v>353.67</v>
  </a>
  <a r="1">
    <v>673.39</v>
  </a>
  <a r="1">
    <v>678.64</v>
  </a>
  <a r="1" c="2">
    <v>314.85000000000002</v>
    <v>317.27</v>
  </a>
  <a r="1">
    <v>419.44</v>
  </a>
  <a r="1">
    <v>379.4</v>
  </a>
  <a r="1">
    <v>88.61</v>
  </a>
  <a r="1">
    <v>90.07</v>
  </a>
  <a r="1">
    <v>91.62</v>
  </a>
  <a r="1">
    <v>75.5</v>
  </a>
  <a r="1" c="2">
    <v>238.62</v>
    <v>232.99</v>
  </a>
  <a r="1">
    <v>493.64</v>
  </a>
  <a r="1">
    <v>499.21</v>
  </a>
  <a r="1">
    <v>59.47</v>
  </a>
  <a r="1">
    <v>59.4</v>
  </a>
  <a r="1">
    <v>36.93</v>
  </a>
  <a r="1">
    <v>34.17</v>
  </a>
  <a r="1" c="2">
    <v>702.89</v>
    <v>691.82</v>
  </a>
  <a r="1">
    <v>94.37</v>
  </a>
  <a r="1">
    <v>93.15</v>
  </a>
  <a r="1">
    <v>5.0000000000000001E-4</v>
  </a>
  <a r="1">
    <v>1E-3</v>
  </a>
  <a r="1">
    <v>134.72999999999999</v>
  </a>
  <a r="1">
    <v>142.06</v>
  </a>
  <a r="1">
    <v>269.41000000000003</v>
  </a>
  <a r="1">
    <v>290.24</v>
  </a>
  <a r="1" c="2">
    <v>127.71</v>
    <v>128</v>
  </a>
  <a r="1">
    <v>70.86</v>
  </a>
  <a r="1">
    <v>70.44</v>
  </a>
  <a r="1">
    <v>203.5</v>
  </a>
  <a r="1">
    <v>196.74</v>
  </a>
  <a r="1">
    <v>85.84</v>
  </a>
  <a r="1">
    <v>92.38</v>
  </a>
  <a r="1" c="2">
    <v>104.22</v>
    <v>107.05</v>
  </a>
  <a r="1">
    <v>62.36</v>
  </a>
  <a r="1">
    <v>63.81</v>
  </a>
  <a r="1">
    <v>164.85</v>
  </a>
  <a r="1">
    <v>163.07</v>
  </a>
  <a r="1">
    <v>39.17</v>
  </a>
  <a r="1">
    <v>39.93</v>
  </a>
  <a r="1">
    <v>51.35</v>
  </a>
  <a r="1">
    <v>49.76</v>
  </a>
  <a r="1">
    <v>68.540000000000006</v>
  </a>
  <a r="1">
    <v>68.239999999999995</v>
  </a>
  <a r="1">
    <v>65.569999999999993</v>
  </a>
  <a r="1">
    <v>22.62</v>
  </a>
  <a r="1">
    <v>22.09</v>
  </a>
  <a r="1" c="2">
    <v>155.68</v>
    <v>163.79</v>
  </a>
  <a r="1">
    <v>801.83</v>
  </a>
  <a r="1">
    <v>802.13</v>
  </a>
  <a r="1" c="2">
    <v>328.93</v>
    <v>329.95</v>
  </a>
  <a r="1">
    <v>109.43</v>
  </a>
  <a r="1">
    <v>107.41</v>
  </a>
  <a r="1" c="2">
    <v>269.48</v>
    <v>276.49</v>
  </a>
  <a r="1">
    <v>130.46</v>
  </a>
  <a r="1">
    <v>134.57</v>
  </a>
  <a r="1">
    <v>365</v>
  </a>
  <a r="1">
    <v>362.53</v>
  </a>
  <a r="1">
    <v>304.60000000000002</v>
  </a>
  <a r="1">
    <v>308.81</v>
  </a>
  <a r="1">
    <v>128.78</v>
  </a>
  <a r="1">
    <v>127.9</v>
  </a>
  <a r="1" c="2">
    <v>338.59</v>
    <v>366.2</v>
  </a>
  <a r="1">
    <v>27.38</v>
  </a>
  <a r="1">
    <v>26.46</v>
  </a>
  <a r="1">
    <v>0.47499999999999998</v>
  </a>
  <a r="1">
    <v>0.49</v>
  </a>
  <a r="1">
    <v>73.92</v>
  </a>
  <a r="1">
    <v>77.930000000000007</v>
  </a>
  <a r="1">
    <v>149.84</v>
  </a>
  <a r="1">
    <v>150.80000000000001</v>
  </a>
  <a r="1">
    <v>320.44</v>
  </a>
  <a r="1">
    <v>311.29000000000002</v>
  </a>
  <a r="1">
    <v>164.92</v>
  </a>
  <a r="1">
    <v>162.22</v>
  </a>
  <a r="1">
    <v>70.8</v>
  </a>
  <a r="1">
    <v>67.209999999999994</v>
  </a>
  <a r="1">
    <v>65.16</v>
  </a>
  <a r="1">
    <v>64.16</v>
  </a>
  <a r="1">
    <v>168.95</v>
  </a>
  <a r="1">
    <v>163.84</v>
  </a>
  <a r="1">
    <v>199</v>
  </a>
  <a r="1">
    <v>199.5</v>
  </a>
  <a r="1">
    <v>233.15</v>
  </a>
  <a r="1">
    <v>235.95</v>
  </a>
  <a r="1" c="2">
    <v>233.15</v>
    <v>235.95</v>
  </a>
  <a r="1">
    <v>124.01</v>
  </a>
  <a r="1">
    <v>129.49</v>
  </a>
  <a r="1">
    <v>158.74</v>
  </a>
  <a r="1">
    <v>159.57</v>
  </a>
  <a r="1">
    <v>66.8</v>
  </a>
  <a r="1">
    <v>64.17</v>
  </a>
  <a r="1">
    <v>97.02</v>
  </a>
  <a r="1">
    <v>102.66</v>
  </a>
  <a r="1" c="2">
    <v>46.25</v>
    <v>47.01</v>
  </a>
  <a r="1" c="2">
    <v>76.89</v>
    <v>77.349999999999994</v>
  </a>
  <a r="1">
    <v>208.54</v>
  </a>
  <a r="1">
    <v>189.77</v>
  </a>
  <a r="1">
    <v>213.49</v>
  </a>
  <a r="1">
    <v>208.61</v>
  </a>
  <a r="1">
    <v>103.18</v>
  </a>
  <a r="1">
    <v>101.84</v>
  </a>
  <a r="1">
    <v>65.28</v>
  </a>
  <a r="1">
    <v>65.5</v>
  </a>
  <a r="1">
    <v>225.43</v>
  </a>
  <a r="1">
    <v>222.62</v>
  </a>
  <a r="1" c="2">
    <v>155.32</v>
    <v>156.87</v>
  </a>
  <a r="1">
    <v>52.75</v>
  </a>
  <a r="1">
    <v>54.09</v>
  </a>
  <a r="1">
    <v>199.71</v>
  </a>
  <a r="1">
    <v>198.74</v>
  </a>
  <a r="1">
    <v>86.29</v>
  </a>
  <a r="1">
    <v>85.71</v>
  </a>
  <a r="1">
    <v>143.99</v>
  </a>
  <a r="1">
    <v>152.18</v>
  </a>
  <a r="1">
    <v>63.92</v>
  </a>
  <a r="1">
    <v>64.405000000000001</v>
  </a>
  <a r="1" c="2">
    <v>319.48</v>
    <v>323.69</v>
  </a>
  <a r="1" c="2">
    <v>196.38</v>
    <v>199.44</v>
  </a>
  <a r="1">
    <v>69.14</v>
  </a>
  <a r="1">
    <v>67.989999999999995</v>
  </a>
  <a r="1">
    <v>295.22000000000003</v>
  </a>
  <a r="1">
    <v>288.23</v>
  </a>
  <a r="1" c="2">
    <v>288.23</v>
    <v>295.22000000000003</v>
  </a>
  <a r="1">
    <v>45.26</v>
  </a>
  <a r="1">
    <v>46.69</v>
  </a>
  <a r="1">
    <v>64.22</v>
  </a>
  <a r="1">
    <v>60.93</v>
  </a>
  <a r="1" c="2">
    <v>60.93</v>
    <v>64.22</v>
  </a>
  <a r="1" c="2">
    <v>178.04</v>
    <v>181.23</v>
  </a>
  <a r="1">
    <v>113.33</v>
  </a>
  <a r="1">
    <v>112.26</v>
  </a>
  <a r="1">
    <v>26.18</v>
  </a>
  <a r="1">
    <v>26.47</v>
  </a>
  <a r="1">
    <v>938.99</v>
  </a>
  <a r="1">
    <v>913.3</v>
  </a>
  <a r="1" c="2">
    <v>938.99</v>
    <v>913.3</v>
  </a>
  <a r="1">
    <v>286.58999999999997</v>
  </a>
  <a r="1">
    <v>277.95999999999998</v>
  </a>
  <a r="1" c="2">
    <v>284.18</v>
    <v>275.92</v>
  </a>
  <a r="1">
    <v>13.73</v>
  </a>
  <a r="1">
    <v>13.82</v>
  </a>
  <a r="1">
    <v>78.010000000000005</v>
  </a>
  <a r="1">
    <v>76.900000000000006</v>
  </a>
  <a r="1">
    <v>153.94</v>
  </a>
  <a r="1">
    <v>152.07</v>
  </a>
  <a r="1">
    <v>211.66</v>
  </a>
  <a r="1">
    <v>220.02</v>
  </a>
</arrayData>
</file>

<file path=xl/richData/rdrichvalue.xml><?xml version="1.0" encoding="utf-8"?>
<rvData xmlns="http://schemas.microsoft.com/office/spreadsheetml/2017/richdata" count="2352">
  <rv s="0">
    <v>https://www.bing.com/financeapi/forcetrigger?t=a1w8ec&amp;q=XNYS%3aJNJ&amp;form=skydnc</v>
    <v>Learn more on Bing</v>
  </rv>
  <rv s="1">
    <v>0</v>
    <v>JOHNSON &amp; JOHNSON (XNYS:JNJ)</v>
    <v>2</v>
    <v>3</v>
    <v>Finance</v>
    <v>4</v>
    <v>en-US</v>
    <v>a1w8ec</v>
    <v>268435456</v>
    <v>1</v>
    <v>Powered by Refinitiv</v>
    <v>251.71</v>
    <v>141.5</v>
    <v>0.33169999999999999</v>
    <v>0.02</v>
    <v>8.0510000000000014E-5</v>
    <v>0.49359999999999998</v>
    <v>1.9859999999999999E-3</v>
    <v>USD</v>
    <v>Johnson &amp; Johnson and its subsidiaries are engaged in the research and development, manufacture, and sale of a range of products in the healthcare field. The Company’s segments include Innovative Medicine and MedTech. The Innovative Medicine segment is focused on various therapeutic areas, including immunology, infectious diseases, neuroscience, oncology, pulmonary hypertension, cardiovascular and metabolism. Its products include REMICADE (infliximab), SIMPONI (golimumab), SIMPONI ARIA (golimumab), STELARA (ustekinumab), TREMFYA (guselkumab), EDURANT (rilpivirine), and INVEGA SUSTENNA/XEPLION (paliperidone palmitate). The MedTech segment includes a portfolio of products used in cardiovascular, orthopedics, surgery, and vision categories. The Cardiovascular portfolio includes electrophysiology products to treat heart rhythm disorders and circulatory restoration products (Shockwave) for the treatment of calcified coronary artery disease (CAD) and peripheral artery disease (PAD).</v>
    <v>138200</v>
    <v>New York Stock Exchange</v>
    <v>XNYS</v>
    <v>XNYS</v>
    <v>One Johnson &amp; Johnson Plaza, NEW BRUNSWICK, NJ, 08933 US</v>
    <v>251.71</v>
    <v>Pharmaceuticals</v>
    <v>Stock</v>
    <v>46084.039086342185</v>
    <v>0</v>
    <v>246.87</v>
    <v>598739406550</v>
    <v>JOHNSON &amp; JOHNSON</v>
    <v>JOHNSON &amp; JOHNSON</v>
    <v>249.19</v>
    <v>22.4983</v>
    <v>248.43</v>
    <v>248.45</v>
    <v>249.05359999999999</v>
    <v>2409899000</v>
    <v>JNJ</v>
    <v>JOHNSON &amp; JOHNSON (XNYS:JNJ)</v>
    <v>9042359</v>
    <v>9317856</v>
    <v>1887</v>
  </rv>
  <rv s="2">
    <v>1</v>
  </rv>
  <rv s="0">
    <v>https://www.bing.com/financeapi/forcetrigger?t=a1waa2&amp;q=XNYS%3aJPM&amp;form=skydnc</v>
    <v>Learn more on Bing</v>
  </rv>
  <rv s="1">
    <v>0</v>
    <v>JPMORGAN CHASE &amp; CO. (XNYS:JPM)</v>
    <v>2</v>
    <v>3</v>
    <v>Finance</v>
    <v>4</v>
    <v>en-US</v>
    <v>a1waa2</v>
    <v>268435456</v>
    <v>1</v>
    <v>Powered by Refinitiv</v>
    <v>337.25</v>
    <v>202.16</v>
    <v>1.0550999999999999</v>
    <v>-2.78</v>
    <v>-9.2569999999999996E-3</v>
    <v>-0.08</v>
    <v>-2.6890000000000003E-4</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318512</v>
    <v>New York Stock Exchange</v>
    <v>XNYS</v>
    <v>XNYS</v>
    <v>270 Park Avenue, NEW YORK, NY, 10017 US</v>
    <v>299.97989999999999</v>
    <v>Banking Services</v>
    <v>Stock</v>
    <v>46084.040885659379</v>
    <v>3</v>
    <v>293.20999999999998</v>
    <v>802420960640</v>
    <v>JPMORGAN CHASE &amp; CO.</v>
    <v>JPMORGAN CHASE &amp; CO.</v>
    <v>294.81</v>
    <v>15.0069</v>
    <v>300.3</v>
    <v>297.52</v>
    <v>297.48</v>
    <v>2697032000</v>
    <v>JPM</v>
    <v>JPMORGAN CHASE &amp; CO. (XNYS:JPM)</v>
    <v>8508910</v>
    <v>10822041</v>
    <v>1968</v>
  </rv>
  <rv s="2">
    <v>4</v>
  </rv>
  <rv s="0">
    <v>https://www.bing.com/financeapi/forcetrigger?t=a25obh&amp;q=XNYS%3aVZ&amp;form=skydnc</v>
    <v>Learn more on Bing</v>
  </rv>
  <rv s="1">
    <v>0</v>
    <v>VERIZON COMMUNICATIONS INC. (XNYS:VZ)</v>
    <v>2</v>
    <v>3</v>
    <v>Finance</v>
    <v>4</v>
    <v>en-US</v>
    <v>a25obh</v>
    <v>268435456</v>
    <v>1</v>
    <v>Powered by Refinitiv</v>
    <v>50.475000000000001</v>
    <v>38.39</v>
    <v>0.29339999999999999</v>
    <v>-0.17</v>
    <v>-3.3909999999999999E-3</v>
    <v>0.02</v>
    <v>4.0020000000000002E-4</v>
    <v>USD</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89900</v>
    <v>New York Stock Exchange</v>
    <v>XNYS</v>
    <v>XNYS</v>
    <v>1095 Avenue Of The Americas, NEW YORK, NY, 10036 US</v>
    <v>50.26</v>
    <v>Telecommunications Services</v>
    <v>Stock</v>
    <v>46084.04132954844</v>
    <v>6</v>
    <v>49.625</v>
    <v>210757669480</v>
    <v>VERIZON COMMUNICATIONS INC.</v>
    <v>VERIZON COMMUNICATIONS INC.</v>
    <v>49.98</v>
    <v>12.3499</v>
    <v>50.14</v>
    <v>49.97</v>
    <v>50</v>
    <v>4217684000</v>
    <v>VZ</v>
    <v>VERIZON COMMUNICATIONS INC. (XNYS:VZ)</v>
    <v>23725652</v>
    <v>37886939</v>
    <v>1983</v>
  </rv>
  <rv s="2">
    <v>7</v>
  </rv>
  <rv s="0">
    <v>https://www.bing.com/financeapi/forcetrigger?t=a1qe5r&amp;q=XNAS%3aCSCO&amp;form=skydnc</v>
    <v>Learn more on Bing</v>
  </rv>
  <rv s="1">
    <v>0</v>
    <v>CISCO SYSTEMS, INC. (XNAS:CSCO)</v>
    <v>2</v>
    <v>3</v>
    <v>Finance</v>
    <v>4</v>
    <v>en-US</v>
    <v>a1qe5r</v>
    <v>268435456</v>
    <v>1</v>
    <v>Powered by Refinitiv</v>
    <v>88.185000000000002</v>
    <v>52.11</v>
    <v>0.86209999999999998</v>
    <v>-0.04</v>
    <v>-5.0339999999999998E-4</v>
    <v>-0.27</v>
    <v>-3.4000000000000002E-3</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86200</v>
    <v>Nasdaq Stock Market</v>
    <v>XNAS</v>
    <v>XNAS</v>
    <v>170 West Tasman Dr, SAN JOSE, CA, 95134-1706 US</v>
    <v>79.515000000000001</v>
    <v>Communications &amp; Networking</v>
    <v>Stock</v>
    <v>46083.975061955469</v>
    <v>9</v>
    <v>77.69</v>
    <v>313700502060</v>
    <v>CISCO SYSTEMS, INC.</v>
    <v>CISCO SYSTEMS, INC.</v>
    <v>78.745000000000005</v>
    <v>28.6205</v>
    <v>79.459999999999994</v>
    <v>79.42</v>
    <v>79.150000000000006</v>
    <v>3949893000</v>
    <v>CSCO</v>
    <v>CISCO SYSTEMS, INC. (XNAS:CSCO)</v>
    <v>18540352</v>
    <v>27098747</v>
    <v>2021</v>
  </rv>
  <rv s="2">
    <v>10</v>
  </rv>
  <rv s="0">
    <v>https://www.bing.com/financeapi/forcetrigger?t=a256cw&amp;q=XNYS%3aV&amp;form=skydnc</v>
    <v>Learn more on Bing</v>
  </rv>
  <rv s="1">
    <v>0</v>
    <v>VISA INC. (XNYS:V)</v>
    <v>2</v>
    <v>3</v>
    <v>Finance</v>
    <v>4</v>
    <v>en-US</v>
    <v>a256cw</v>
    <v>268435456</v>
    <v>1</v>
    <v>Powered by Refinitiv</v>
    <v>375.51</v>
    <v>299</v>
    <v>0.78</v>
    <v>0.2</v>
    <v>6.2469999999999995E-4</v>
    <v>-2.5114999999999998</v>
    <v>-7.8359999999999992E-3</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322.60000000000002</v>
    <v>Professional &amp; Commercial Services</v>
    <v>Stock</v>
    <v>46084.038275902341</v>
    <v>12</v>
    <v>314.59500000000003</v>
    <v>610570923060</v>
    <v>VISA INC.</v>
    <v>VISA INC.</v>
    <v>315.5</v>
    <v>30.059100000000001</v>
    <v>320.14</v>
    <v>320.33999999999997</v>
    <v>317.99849999999998</v>
    <v>1906009000</v>
    <v>V</v>
    <v>VISA INC. (XNYS:V)</v>
    <v>6674915</v>
    <v>8573068</v>
    <v>2007</v>
  </rv>
  <rv s="2">
    <v>13</v>
  </rv>
  <rv s="0">
    <v>https://www.bing.com/financeapi/forcetrigger?t=a1ut3m&amp;q=XNAS%3aHON&amp;form=skydnc</v>
    <v>Learn more on Bing</v>
  </rv>
  <rv s="1">
    <v>0</v>
    <v>HONEYWELL INTERNATIONAL INCORPORATION (XNAS:HON)</v>
    <v>2</v>
    <v>3</v>
    <v>Finance</v>
    <v>4</v>
    <v>en-US</v>
    <v>a1ut3m</v>
    <v>268435456</v>
    <v>1</v>
    <v>Powered by Refinitiv</v>
    <v>248.18</v>
    <v>168.98670000000001</v>
    <v>0.92190000000000005</v>
    <v>4.45</v>
    <v>1.8268E-2</v>
    <v>-0.51</v>
    <v>-2.0560000000000001E-3</v>
    <v>USD</v>
    <v>Honeywell International Inc. is an integrated operating company serving a range of industries and geographies around the world, with a portfolio that is underpinned by its Honeywell Accelerator operating system and Honeywell Forge platform. The Company provides actionable solutions for aerospace, building automation, industrial automation, process automation, and process technology. The Company supplies products, software, and services for aircrafts that it sells to original equipment manufacturers (OEM) and other customers in a variety of end markets. The Company’s portfolio of solutions and services is used in buildings worldwide for fire prevention, controls, access and security. Its offerings serve as the fundamental building blocks of industrial automation. Its sensor technologies and value-added smart edge devices offer connectivity across a variety of sensing and measurement applications. The Company offers a comprehensive portfolio of end-to-end process automation solutions.</v>
    <v>101000</v>
    <v>Nasdaq Stock Market</v>
    <v>XNAS</v>
    <v>XNAS</v>
    <v>855 S. Mint Street, CHARLOTTE, NC, 28202 US</v>
    <v>248.18</v>
    <v>Consumer Goods Conglomerates</v>
    <v>Stock</v>
    <v>46083.925215010939</v>
    <v>15</v>
    <v>241.22</v>
    <v>157673000628</v>
    <v>HONEYWELL INTERNATIONAL INCORPORATION</v>
    <v>HONEYWELL INTERNATIONAL INCORPORATION</v>
    <v>242.7</v>
    <v>35.434800000000003</v>
    <v>243.59</v>
    <v>248.04</v>
    <v>247.53</v>
    <v>635675700</v>
    <v>HON</v>
    <v>HONEYWELL INTERNATIONAL INCORPORATION (XNAS:HON)</v>
    <v>3634681</v>
    <v>4148690</v>
    <v>1985</v>
  </rv>
  <rv s="2">
    <v>16</v>
  </rv>
  <rv s="0">
    <v>http://en.wikipedia.org/wiki/Public_domain</v>
    <v>Public domain</v>
  </rv>
  <rv s="0">
    <v>http://en.wikipedia.org/wiki/IBM</v>
    <v>Wikipedia</v>
  </rv>
  <rv s="3">
    <v>18</v>
    <v>19</v>
  </rv>
  <rv s="4">
    <v>9</v>
    <v>https://www.bing.com/th?id=AMMS_41da901be1b295dc42c72dadb9c0f67d&amp;qlt=95</v>
    <v>20</v>
    <v>0</v>
    <v>https://www.bing.com/images/search?form=xlimg&amp;q=ibm</v>
    <v>Image of INTERNATIONAL BUSINESS MACHINES CORPORATION</v>
  </rv>
  <rv s="0">
    <v>https://www.bing.com/financeapi/forcetrigger?t=a1v6nm&amp;q=XNYS%3aIBM&amp;form=skydnc</v>
    <v>Learn more on Bing</v>
  </rv>
  <rv s="5">
    <v>5</v>
    <v>INTERNATIONAL BUSINESS MACHINES CORPORATION (XNYS:IBM)</v>
    <v>7</v>
    <v>8</v>
    <v>Finance</v>
    <v>4</v>
    <v>en-US</v>
    <v>a1v6nm</v>
    <v>268435456</v>
    <v>1</v>
    <v>Powered by Refinitiv</v>
    <v>324.89999999999998</v>
    <v>214.5</v>
    <v>0.72270000000000001</v>
    <v>-0.99</v>
    <v>-4.1210000000000005E-3</v>
    <v>-1.01</v>
    <v>-4.2189999999999997E-3</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286800</v>
    <v>New York Stock Exchange</v>
    <v>XNYS</v>
    <v>XNYS</v>
    <v>One New Orchard Road, ARMONK, NY, 10504 US</v>
    <v>240.78</v>
    <v>21</v>
    <v>Software &amp; IT Services</v>
    <v>Stock</v>
    <v>46084.040812430467</v>
    <v>22</v>
    <v>233.78</v>
    <v>224396589168</v>
    <v>INTERNATIONAL BUSINESS MACHINES CORPORATION</v>
    <v>INTERNATIONAL BUSINESS MACHINES CORPORATION</v>
    <v>235.7</v>
    <v>19.465900000000001</v>
    <v>240.21</v>
    <v>239.22</v>
    <v>238.36</v>
    <v>938034400</v>
    <v>IBM</v>
    <v>INTERNATIONAL BUSINESS MACHINES CORPORATION (XNYS:IBM)</v>
    <v>6220287</v>
    <v>7014574</v>
    <v>1911</v>
  </rv>
  <rv s="2">
    <v>23</v>
  </rv>
  <rv s="0">
    <v>https://www.bing.com/financeapi/forcetrigger?t=a1qc1h&amp;q=XNYS%3aCRM&amp;form=skydnc</v>
    <v>Learn more on Bing</v>
  </rv>
  <rv s="1">
    <v>0</v>
    <v>SALESFORCE, INC. (XNYS:CRM)</v>
    <v>2</v>
    <v>3</v>
    <v>Finance</v>
    <v>4</v>
    <v>en-US</v>
    <v>a1qc1h</v>
    <v>268435456</v>
    <v>1</v>
    <v>Powered by Refinitiv</v>
    <v>303.07</v>
    <v>174.57</v>
    <v>1.2877000000000001</v>
    <v>-1.86</v>
    <v>-9.5490000000000002E-3</v>
    <v>-0.45</v>
    <v>-2.3319999999999999E-3</v>
    <v>USD</v>
    <v>Salesforce, Inc. is a provider of customer relationship management (CRM) technology. The Company helps organizations of any size reimagine their business for the world of artificial intelligence (AI). With Agentforce, its platform, organizations can bring humans together with AI agents to drive customer success on one deeply unified platform. With the Salesforce platform, it delivers a single source of truth, connecting customer data with integrated AI across systems, apps and devices to help companies sell, service, market and conduct commerce from anywhere. Agentforce is a new layer of the Salesforce platform that enables companies to build and deploy AI agents that can respond to inputs, make decisions and take action autonomously across business functions. Agentforce includes a suite of customizable agents for use across sales, service, marketing and commerce. Datablazer is a data-driven innovator, which leverages the Company’s platform to unlock insights and drive decisions.</v>
    <v>76453</v>
    <v>New York Stock Exchange</v>
    <v>XNYS</v>
    <v>XNYS</v>
    <v>SALESFORCE TOWER, 415 MISSION STREET 3RD FL, SAN FRANCISCO, CA, 94105 US</v>
    <v>195.94</v>
    <v>Software &amp; IT Services</v>
    <v>Stock</v>
    <v>46084.041378911716</v>
    <v>25</v>
    <v>190.67500000000001</v>
    <v>180775410000</v>
    <v>SALESFORCE, INC.</v>
    <v>SALESFORCE, INC.</v>
    <v>192.5</v>
    <v>24.946200000000001</v>
    <v>194.79</v>
    <v>192.93</v>
    <v>192.5</v>
    <v>937000000</v>
    <v>CRM</v>
    <v>SALESFORCE, INC. (XNYS:CRM)</v>
    <v>9932748</v>
    <v>14591268</v>
    <v>1999</v>
  </rv>
  <rv s="2">
    <v>26</v>
  </rv>
  <rv s="0">
    <v>https://www.bing.com/financeapi/forcetrigger?t=a1qlz2&amp;q=XNYS%3aCVX&amp;form=skydnc</v>
    <v>Learn more on Bing</v>
  </rv>
  <rv s="1">
    <v>0</v>
    <v>CHEVRON CORPORATION (XNYS:CVX)</v>
    <v>2</v>
    <v>3</v>
    <v>Finance</v>
    <v>4</v>
    <v>en-US</v>
    <v>a1qlz2</v>
    <v>268435456</v>
    <v>1</v>
    <v>Powered by Refinitiv</v>
    <v>191.44</v>
    <v>132.04</v>
    <v>0.66239999999999999</v>
    <v>2.78</v>
    <v>1.4884999999999999E-2</v>
    <v>0.64649999999999996</v>
    <v>3.4100000000000003E-3</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43039</v>
    <v>New York Stock Exchange</v>
    <v>XNYS</v>
    <v>XNYS</v>
    <v>1400 SMITH STREET, HOUSTON, TX, 77002 US</v>
    <v>191.44</v>
    <v>Oil &amp; Gas</v>
    <v>Stock</v>
    <v>46084.041513378907</v>
    <v>28</v>
    <v>187.22</v>
    <v>378205272900</v>
    <v>CHEVRON CORPORATION</v>
    <v>CHEVRON CORPORATION</v>
    <v>190.33</v>
    <v>28.101500000000001</v>
    <v>186.76</v>
    <v>189.54</v>
    <v>190.2465</v>
    <v>1995385000</v>
    <v>CVX</v>
    <v>CHEVRON CORPORATION (XNYS:CVX)</v>
    <v>15809121</v>
    <v>11100312</v>
    <v>1926</v>
  </rv>
  <rv s="2">
    <v>29</v>
  </rv>
  <rv s="0">
    <v>https://www.bing.com/financeapi/forcetrigger?t=a24j8m&amp;q=XNYS%3aTRV&amp;form=skydnc</v>
    <v>Learn more on Bing</v>
  </rv>
  <rv s="1">
    <v>0</v>
    <v>The Travelers Companies, Inc. (XNYS:TRV)</v>
    <v>2</v>
    <v>3</v>
    <v>Finance</v>
    <v>10</v>
    <v>en-US</v>
    <v>a24j8m</v>
    <v>268435456</v>
    <v>1</v>
    <v>Powered by Refinitiv</v>
    <v>313.12</v>
    <v>230.43</v>
    <v>0.50349999999999995</v>
    <v>2.0299999999999998</v>
    <v>6.5769999999999995E-3</v>
    <v>-1.47</v>
    <v>-4.7320000000000001E-3</v>
    <v>USD</v>
    <v>The Travelers Companies, Inc. is a provider of property casualty insurance for auto, home, and business. The Company's segments include Business Insurance, Bond &amp; Specialty Insurance, and Personal Insurance. The Business Insurance segment offers a broad array of property and casualty insurance products and services. The Bond &amp; Specialty Insurance segment offers surety, fidelity, management liability, professional liability, and other property and casualty coverages and related risk management services, primarily in the United States, and certain surety and specialty insurance products in Canada, the United Kingdom, and the Republic of Ireland, as well as Brazil. The Personal Insurance segment offers a broad range of property and casualty insurance products and services covering individuals personal risks, primarily in the United States, as well as in Canada. The Company, through its subsidiary, Corvus Insurance Holdings, Inc., is a cyber insurance managing general underwriter.</v>
    <v>34000</v>
    <v>New York Stock Exchange</v>
    <v>XNYS</v>
    <v>XNYS</v>
    <v>385 WASHINGTON ST, SAINT PAUL, MN, 55102 US</v>
    <v>313.12</v>
    <v>Insurance</v>
    <v>Stock</v>
    <v>46083.962353471878</v>
    <v>31</v>
    <v>307.125</v>
    <v>67178628393</v>
    <v>The Travelers Companies, Inc.</v>
    <v>The Travelers Companies, Inc.</v>
    <v>307.56</v>
    <v>11.2033</v>
    <v>308.64</v>
    <v>310.67</v>
    <v>309.2</v>
    <v>216237900</v>
    <v>TRV</v>
    <v>The Travelers Companies, Inc. (XNYS:TRV)</v>
    <v>1216590</v>
    <v>1701621</v>
    <v>1853</v>
  </rv>
  <rv s="2">
    <v>32</v>
  </rv>
  <rv s="0">
    <v>https://www.bing.com/financeapi/forcetrigger?t=a25ya2&amp;q=XNYS%3aWMT&amp;form=skydnc</v>
    <v>Learn more on Bing</v>
  </rv>
  <rv s="1">
    <v>0</v>
    <v>WALMART INC. (XNAS:WMT)</v>
    <v>2</v>
    <v>3</v>
    <v>Finance</v>
    <v>10</v>
    <v>en-US</v>
    <v>a25ya2</v>
    <v>268435456</v>
    <v>1</v>
    <v>Powered by Refinitiv</v>
    <v>134.69</v>
    <v>79.81</v>
    <v>0.65890000000000004</v>
    <v>-0.85</v>
    <v>-6.6429999999999996E-3</v>
    <v>6.9199999999999998E-2</v>
    <v>5.4449999999999995E-4</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128.75</v>
    <v>Food &amp; Drug Retailing</v>
    <v>Stock</v>
    <v>46083.953105786721</v>
    <v>34</v>
    <v>127.05</v>
    <v>1013008225700</v>
    <v>WALMART INC.</v>
    <v>WALMART INC.</v>
    <v>127.46</v>
    <v>46.873800000000003</v>
    <v>127.95</v>
    <v>127.1</v>
    <v>127.1692</v>
    <v>7970167000</v>
    <v>WMT</v>
    <v>WALMART INC. (XNAS:WMT)</v>
    <v>17091524</v>
    <v>26335277</v>
    <v>1969</v>
  </rv>
  <rv s="2">
    <v>35</v>
  </rv>
  <rv s="0">
    <v>https://www.bing.com/financeapi/forcetrigger?t=a24xlh&amp;q=XNYS%3aUNH&amp;form=skydnc</v>
    <v>Learn more on Bing</v>
  </rv>
  <rv s="1">
    <v>0</v>
    <v>UNITEDHEALTH GROUP INCORPORATED (XNYS:UNH)</v>
    <v>2</v>
    <v>3</v>
    <v>Finance</v>
    <v>4</v>
    <v>en-US</v>
    <v>a24xlh</v>
    <v>268435456</v>
    <v>1</v>
    <v>Powered by Refinitiv</v>
    <v>606.36</v>
    <v>234.6</v>
    <v>0.41070000000000001</v>
    <v>1.6</v>
    <v>5.4559999999999999E-3</v>
    <v>-1.58</v>
    <v>-5.3569999999999998E-3</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offers comprehensive and patient-centered care, addressing the physical, mental, social, and financial well-being. Optum Health delivers primary, specialty and surgical care;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400000</v>
    <v>New York Stock Exchange</v>
    <v>XNYS</v>
    <v>XNYS</v>
    <v>1 HEALTH DRIVE, EDEN PRAIRIE, MN, 55344 US</v>
    <v>295.31</v>
    <v>Healthcare Providers &amp; Services</v>
    <v>Stock</v>
    <v>46084.041363553122</v>
    <v>37</v>
    <v>287.5</v>
    <v>267104627982</v>
    <v>UNITEDHEALTH GROUP INCORPORATED</v>
    <v>UNITEDHEALTH GROUP INCORPORATED</v>
    <v>288.16000000000003</v>
    <v>22.227900000000002</v>
    <v>293.27</v>
    <v>294.87</v>
    <v>293.35000000000002</v>
    <v>905838600</v>
    <v>UNH</v>
    <v>UNITEDHEALTH GROUP INCORPORATED (XNYS:UNH)</v>
    <v>8141440</v>
    <v>12348138</v>
    <v>2015</v>
  </rv>
  <rv s="2">
    <v>38</v>
  </rv>
  <rv s="0">
    <v>https://www.bing.com/financeapi/forcetrigger?t=a1zsjc&amp;q=XNYS%3aPG&amp;form=skydnc</v>
    <v>Learn more on Bing</v>
  </rv>
  <rv s="1">
    <v>0</v>
    <v>THE PROCTER &amp; GAMBLE COMPANY (XNYS:PG)</v>
    <v>2</v>
    <v>3</v>
    <v>Finance</v>
    <v>4</v>
    <v>en-US</v>
    <v>a1zsjc</v>
    <v>268435456</v>
    <v>1</v>
    <v>Powered by Refinitiv</v>
    <v>179.99</v>
    <v>137.62</v>
    <v>0.36280000000000001</v>
    <v>-3.6949999999999998</v>
    <v>-2.2099000000000001E-2</v>
    <v>-0.11</v>
    <v>-6.7269999999999993E-4</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166.54499999999999</v>
    <v>Personal &amp; Household Products &amp; Services</v>
    <v>Stock</v>
    <v>46084.039887314066</v>
    <v>40</v>
    <v>163.44999999999999</v>
    <v>379985783505</v>
    <v>THE PROCTER &amp; GAMBLE COMPANY</v>
    <v>THE PROCTER &amp; GAMBLE COMPANY</v>
    <v>165.29</v>
    <v>24.7743</v>
    <v>167.2</v>
    <v>163.505</v>
    <v>163.4</v>
    <v>2324001000</v>
    <v>PG</v>
    <v>THE PROCTER &amp; GAMBLE COMPANY (XNYS:PG)</v>
    <v>9095500</v>
    <v>11597116</v>
    <v>1905</v>
  </rv>
  <rv s="2">
    <v>41</v>
  </rv>
  <rv s="0">
    <v>https://www.bing.com/financeapi/forcetrigger?t=a1xroc&amp;q=XNYS%3aMMM&amp;form=skydnc</v>
    <v>Learn more on Bing</v>
  </rv>
  <rv s="1">
    <v>0</v>
    <v>3M COMPANY (XNYS:MMM)</v>
    <v>2</v>
    <v>3</v>
    <v>Finance</v>
    <v>4</v>
    <v>en-US</v>
    <v>a1xroc</v>
    <v>268435456</v>
    <v>1</v>
    <v>Powered by Refinitiv</v>
    <v>177.41</v>
    <v>121.97709999999999</v>
    <v>1.0648</v>
    <v>-3.88</v>
    <v>-2.3470000000000001E-2</v>
    <v>-0.26</v>
    <v>-1.6100000000000001E-3</v>
    <v>USD</v>
    <v>3M Company is a diversified technology company. The Company is a manufacturer and marketer of a variety of products and services. The Company’s segments include Safety and Industrial; Transportation and Electronics, and Consumer. Its Safety and Industrial segment includes industrial abrasives and finishing for metalworking applications; autobody repair solutions; industrial specialty products, such as personal hygiene products, masking, and packaging materials, and others. Its Transportation and Electronics segment includes advanced ceramic solutions; attachment/bonding, films, sound and temperature management for transportation vehicles; premium large format graphic films for advertising and fleet signage. Its Consumer segment includes cleaning products for the home; consumer air quality products, and picture hanging accessories. Its brands include 3M Cubitron II abrasives, Scotch-Brite, Filtrete, Command, Scotchgard, Meguiar’s, Nexcare, Post-it and others.</v>
    <v>60500</v>
    <v>New York Stock Exchange</v>
    <v>XNYS</v>
    <v>XNYS</v>
    <v>3M Center, Bldg. 220-9E-02, SAINT PAUL, MN, 55144-1000 US</v>
    <v>164.22499999999999</v>
    <v>Consumer Goods Conglomerates</v>
    <v>Stock</v>
    <v>46084.02678821719</v>
    <v>43</v>
    <v>159.22</v>
    <v>85030448000</v>
    <v>3M COMPANY</v>
    <v>3M COMPANY</v>
    <v>162.27000000000001</v>
    <v>27.573499999999999</v>
    <v>165.32</v>
    <v>161.44</v>
    <v>161.19999999999999</v>
    <v>526700000</v>
    <v>MMM</v>
    <v>3M COMPANY (XNYS:MMM)</v>
    <v>3984428</v>
    <v>4181231</v>
    <v>1929</v>
  </rv>
  <rv s="2">
    <v>44</v>
  </rv>
  <rv s="0">
    <v>https://www.bing.com/financeapi/forcetrigger?t=a22xk2&amp;q=XNYS%3aSHW&amp;form=skydnc</v>
    <v>Learn more on Bing</v>
  </rv>
  <rv s="1">
    <v>0</v>
    <v>THE SHERWIN-WILLIAMS COMPANY (XNYS:SHW)</v>
    <v>2</v>
    <v>3</v>
    <v>Finance</v>
    <v>10</v>
    <v>en-US</v>
    <v>a22xk2</v>
    <v>268435456</v>
    <v>1</v>
    <v>Powered by Refinitiv</v>
    <v>379.65</v>
    <v>308.83999999999997</v>
    <v>1.2534000000000001</v>
    <v>-5.69</v>
    <v>-1.5727000000000001E-2</v>
    <v>-0.1</v>
    <v>-2.8079999999999999E-4</v>
    <v>USD</v>
    <v>The Sherwin-Williams Company is engaged in the manufacture, development, distribution, and sale of paint, coatings and related products to professional, industrial, commercial, and retail customers primarily in North and South America with additional operations in the Caribbean region, Europe, Asia and Australia. Its Paint Stores Group segment is engaged in servicing the needs of architectural and industrial paint contractors and do-it-yourself homeowners. The Consumer Brands Group segment manufactures and distributes a broad portfolio of branded and private-label architectural paint, stains, varnishes, industrial products, wood finishes products, wood preservatives, applicators, corrosion inhibitors, aerosols, caulks and adhesives to retailers, including home centers and hardware stores, dedicated dealers and distributors. The Performance Coatings Group segment develops and sells industrial coatings for wood finishing and general industrial (metal and plastic) applications and others.</v>
    <v>64249</v>
    <v>New York Stock Exchange</v>
    <v>XNYS</v>
    <v>XNYS</v>
    <v>101 Prospect Ave Nw, CLEVELAND, OH, 44115 US</v>
    <v>357.47</v>
    <v>Chemicals</v>
    <v>Stock</v>
    <v>46083.991484282029</v>
    <v>46</v>
    <v>345.66</v>
    <v>88232606280</v>
    <v>THE SHERWIN-WILLIAMS COMPANY</v>
    <v>THE SHERWIN-WILLIAMS COMPANY</v>
    <v>355.51</v>
    <v>35.270499999999998</v>
    <v>361.79</v>
    <v>356.1</v>
    <v>356</v>
    <v>247774800</v>
    <v>SHW</v>
    <v>THE SHERWIN-WILLIAMS COMPANY (XNYS:SHW)</v>
    <v>1690864</v>
    <v>1883734</v>
    <v>1884</v>
  </rv>
  <rv s="2">
    <v>47</v>
  </rv>
  <rv s="0">
    <v>https://www.bing.com/financeapi/forcetrigger?t=a1yjxm&amp;q=XNYS%3aNKE&amp;form=skydnc</v>
    <v>Learn more on Bing</v>
  </rv>
  <rv s="6">
    <v>11</v>
    <v>NIKE, INC. (XNYS:NKE)</v>
    <v>2</v>
    <v>12</v>
    <v>Finance</v>
    <v>10</v>
    <v>en-US</v>
    <v>a1yjxm</v>
    <v>268435456</v>
    <v>1</v>
    <v>Powered by Refinitiv</v>
    <v>80.9589</v>
    <v>52.28</v>
    <v>1.2726</v>
    <v>-0.76</v>
    <v>-1.2303999999999999E-2</v>
    <v>-0.11</v>
    <v>-1.8029999999999999E-3</v>
    <v>USD</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77800</v>
    <v>New York Stock Exchange</v>
    <v>XNYS</v>
    <v>XNYS</v>
    <v>One Bowerman Dr, BEAVERTON, OR, 97005-6453 US</v>
    <v>61.53</v>
    <v>Textiles &amp; Apparel</v>
    <v>Stock</v>
    <v>46083.881944444445</v>
    <v>49</v>
    <v>59.14</v>
    <v>NIKE, INC.</v>
    <v>NIKE, INC.</v>
    <v>59.9</v>
    <v>36.22</v>
    <v>61.77</v>
    <v>61.01</v>
    <v>60.9</v>
    <v>1480383000</v>
    <v>NKE</v>
    <v>NIKE, INC. (XNYS:NKE)</v>
    <v>15335009</v>
    <v>14543536</v>
    <v>1969</v>
  </rv>
  <rv s="2">
    <v>50</v>
  </rv>
  <rv s="0">
    <v>https://www.bing.com/financeapi/forcetrigger?t=a1yv52&amp;q=XNAS%3aNVDA&amp;form=skydnc</v>
    <v>Learn more on Bing</v>
  </rv>
  <rv s="1">
    <v>0</v>
    <v>NVIDIA CORPORATION (XNAS:NVDA)</v>
    <v>2</v>
    <v>3</v>
    <v>Finance</v>
    <v>10</v>
    <v>en-US</v>
    <v>a1yv52</v>
    <v>268435456</v>
    <v>1</v>
    <v>Powered by Refinitiv</v>
    <v>212.18989999999999</v>
    <v>86.62</v>
    <v>2.3290000000000002</v>
    <v>5.29</v>
    <v>2.9855E-2</v>
    <v>-1.0506</v>
    <v>-5.757E-3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183.46</v>
    <v>Semiconductors &amp; Semiconductor Equipment</v>
    <v>Stock</v>
    <v>46083.948721017972</v>
    <v>52</v>
    <v>174.64</v>
    <v>4434264000000</v>
    <v>NVIDIA CORPORATION</v>
    <v>NVIDIA CORPORATION</v>
    <v>175.01</v>
    <v>36.148299999999999</v>
    <v>177.19</v>
    <v>182.48</v>
    <v>181.42939999999999</v>
    <v>24300000000</v>
    <v>NVDA</v>
    <v>NVIDIA CORPORATION (XNAS:NVDA)</v>
    <v>209095331</v>
    <v>186260434</v>
    <v>1998</v>
  </rv>
  <rv s="2">
    <v>53</v>
  </rv>
  <rv s="0">
    <v>https://en.wikipedia.org/wiki/Microsoft</v>
    <v>Wikipedia</v>
  </rv>
  <rv s="3">
    <v>18</v>
    <v>55</v>
  </rv>
  <rv s="4">
    <v>9</v>
    <v>https://www.bing.com/th?id=AMMS_e6e837c7bf3a77408619758b7447855a&amp;qlt=95</v>
    <v>56</v>
    <v>0</v>
    <v>https://www.bing.com/images/search?form=xlimg&amp;q=microsoft</v>
    <v>Image of MICROSOFT CORPORATION</v>
  </rv>
  <rv s="0">
    <v>https://www.bing.com/financeapi/forcetrigger?t=a1xzim&amp;q=XNAS%3aMSFT&amp;form=skydnc</v>
    <v>Learn more on Bing</v>
  </rv>
  <rv s="5">
    <v>5</v>
    <v>MICROSOFT CORPORATION (XNAS:MSFT)</v>
    <v>7</v>
    <v>8</v>
    <v>Finance</v>
    <v>10</v>
    <v>en-US</v>
    <v>a1xzim</v>
    <v>268435456</v>
    <v>1</v>
    <v>Powered by Refinitiv</v>
    <v>555.45000000000005</v>
    <v>344.79</v>
    <v>1.0983000000000001</v>
    <v>5.81</v>
    <v>1.4794E-2</v>
    <v>-2.29</v>
    <v>-5.7460000000000002E-3</v>
    <v>USD</v>
    <v>Microsoft Corporation is a technology company that develops and supports software, services, devices, and solutions. Its Productivity and Business Processes segment consists of products and services in its portfolio of productivity, communication, and information services, spanning a variety of devices and platforms. It comprises Microsoft 365 Commercial products and cloud services; Microsoft 365 Consumer products and cloud services; LinkedIn, and Dynamics products and cloud services. The Intelligent Cloud segment consists of its public, private, and hybrid server products and cloud services. It comprises server products and cloud services, including Azure, and enterprise and partner services, including Enterprise Support Services. Its More Personal Computing segment primarily comprises Windows and Devices, including Windows OEM licensing; Gaming, including Xbox hardware and Xbox content; Search and news advertising, comprising Bing and Copilot, Microsoft News, and Microsoft Edge.</v>
    <v>228000</v>
    <v>Nasdaq Stock Market</v>
    <v>XNAS</v>
    <v>XNAS</v>
    <v>One Microsoft Way, REDMOND, WA, 98052 US</v>
    <v>401.19</v>
    <v>57</v>
    <v>Software &amp; IT Services</v>
    <v>Stock</v>
    <v>46083.957303830466</v>
    <v>58</v>
    <v>390.63</v>
    <v>2959484437950</v>
    <v>MICROSOFT CORPORATION</v>
    <v>MICROSOFT CORPORATION</v>
    <v>392.85500000000002</v>
    <v>24.5732</v>
    <v>392.74</v>
    <v>398.55</v>
    <v>396.26</v>
    <v>7425629000</v>
    <v>MSFT</v>
    <v>MICROSOFT CORPORATION (XNAS:MSFT)</v>
    <v>35474907</v>
    <v>44842401</v>
    <v>1993</v>
  </rv>
  <rv s="2">
    <v>59</v>
  </rv>
  <rv s="0">
    <v>http://en.wikipedia.org/wiki/Amgen</v>
    <v>Wikipedia</v>
  </rv>
  <rv s="3">
    <v>18</v>
    <v>61</v>
  </rv>
  <rv s="4">
    <v>9</v>
    <v>https://www.bing.com/th?id=AMMS_7651d2e878d4df4bb82a200be2db03e3&amp;qlt=95</v>
    <v>62</v>
    <v>0</v>
    <v>https://www.bing.com/images/search?form=xlimg&amp;q=amgen</v>
    <v>Image of AMGEN INC.</v>
  </rv>
  <rv s="0">
    <v>https://www.bing.com/financeapi/forcetrigger?t=a1nec7&amp;q=XNAS%3aAMGN&amp;form=skydnc</v>
    <v>Learn more on Bing</v>
  </rv>
  <rv s="5">
    <v>5</v>
    <v>AMGEN INC. (XNAS:AMGN)</v>
    <v>7</v>
    <v>8</v>
    <v>Finance</v>
    <v>4</v>
    <v>en-US</v>
    <v>a1nec7</v>
    <v>268435456</v>
    <v>1</v>
    <v>Powered by Refinitiv</v>
    <v>391.29</v>
    <v>261.43</v>
    <v>0.44829999999999998</v>
    <v>-2.46</v>
    <v>-6.3379999999999999E-3</v>
    <v>-1.8027</v>
    <v>-4.6740000000000002E-3</v>
    <v>USD</v>
    <v>Amgen Inc. is a biotechnology company. It discovers, develops, manufactures and delivers medicines for the toughest diseases. It focuses on areas of high unmet medical need and leverages its expertise to strive for solutions that improve people’s lives. It operates in the human therapeutics segment. Its marketed products portfolio includes EPOGEN (epoetin alfa); Aranesp (darbepoetin alfa); Parsabiv (etelcalcetide); Neulasta (pegfilgrastim); KANJINTI (trastuzumab-anns); Otezla; BLINCYTO (blinatumomab); ACTIMMUNE (interferon gamma-1b); Neulasta (pegfilgrastim); Sensipar/Mimpara (cinacalcet); Prolia (denosumab); ENBREL; QUINSAIR (levofloxacin); Repatha (evolocumab) and others. It markets ENBREL, a tumor necrosis factor blocker, in the United States and Canada. It markets Otezla, a small molecule that inhibits phosphodiesterase 4, in many countries around the world. It markets Repatha, a proprotein convertase subtilisin/kexin type 9 (PCSK9) inhibitor, in many countries around the world.</v>
    <v>31500</v>
    <v>Nasdaq Stock Market</v>
    <v>XNAS</v>
    <v>XNAS</v>
    <v>One Amgen Center Drive, THOUSAND OAKS, CA, 91320-1799 US</v>
    <v>391.29</v>
    <v>63</v>
    <v>Pharmaceuticals</v>
    <v>Stock</v>
    <v>46083.925198541408</v>
    <v>64</v>
    <v>381.89</v>
    <v>207918411890</v>
    <v>AMGEN INC.</v>
    <v>AMGEN INC.</v>
    <v>388</v>
    <v>27.262799999999999</v>
    <v>388.16</v>
    <v>385.7</v>
    <v>383.89729999999997</v>
    <v>539067700</v>
    <v>AMGN</v>
    <v>AMGEN INC. (XNAS:AMGN)</v>
    <v>2838162</v>
    <v>2973234</v>
    <v>1986</v>
  </rv>
  <rv s="2">
    <v>65</v>
  </rv>
  <rv s="0">
    <v>https://www.bing.com/financeapi/forcetrigger?t=a1nhlh&amp;q=XNAS%3aAMZN&amp;form=skydnc</v>
    <v>Learn more on Bing</v>
  </rv>
  <rv s="1">
    <v>0</v>
    <v>AMAZON.COM, INC. (XNAS:AMZN)</v>
    <v>2</v>
    <v>3</v>
    <v>Finance</v>
    <v>10</v>
    <v>en-US</v>
    <v>a1nhlh</v>
    <v>268435456</v>
    <v>1</v>
    <v>Powered by Refinitiv</v>
    <v>258.60000000000002</v>
    <v>161.38</v>
    <v>1.4045000000000001</v>
    <v>-1.61</v>
    <v>-7.6670000000000002E-3</v>
    <v>-0.96030000000000004</v>
    <v>-4.6080000000000001E-3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209.73</v>
    <v>Diversified Retail</v>
    <v>Stock</v>
    <v>46083.948726735936</v>
    <v>67</v>
    <v>203.46</v>
    <v>2237049978800</v>
    <v>AMAZON.COM, INC.</v>
    <v>AMAZON.COM, INC.</v>
    <v>204.55</v>
    <v>29.279599999999999</v>
    <v>210</v>
    <v>208.39</v>
    <v>207.4297</v>
    <v>10734920000</v>
    <v>AMZN</v>
    <v>AMAZON.COM, INC. (XNAS:AMZN)</v>
    <v>46001010</v>
    <v>60104088</v>
    <v>1996</v>
  </rv>
  <rv s="2">
    <v>68</v>
  </rv>
  <rv s="0">
    <v>https://www.bing.com/financeapi/forcetrigger?t=a1p7zr&amp;q=XNYS%3aCAT&amp;form=skydnc</v>
    <v>Learn more on Bing</v>
  </rv>
  <rv s="1">
    <v>0</v>
    <v>CATERPILLAR INC. (XNYS:CAT)</v>
    <v>2</v>
    <v>3</v>
    <v>Finance</v>
    <v>4</v>
    <v>en-US</v>
    <v>a1p7zr</v>
    <v>268435456</v>
    <v>1</v>
    <v>Powered by Refinitiv</v>
    <v>789.81</v>
    <v>267.3</v>
    <v>1.5310999999999999</v>
    <v>9.4849999999999994</v>
    <v>1.2768999999999999E-2</v>
    <v>-2.1198999999999999</v>
    <v>-2.8179999999999998E-3</v>
    <v>USD</v>
    <v>Caterpillar Inc. is a manufacturer of construction and mining equipment, off-highway diesel and natural gas engines, industrial gas turbines and diesel-electric locomotives. Its segments include Construction Industries, Resource Industries and Power &amp; Energy. It also provides financing and related services through its Financial Products segment. Construction Industries segment is responsible for supporting customers using machinery in infrastructure and building construction applications. Resource Industries segment develops and manufactures high productivity equipment for both surface and underground mining operations around the world, and provides select work tools, machinery components, wear and maintenance components and related parts. Power &amp; Energy segment supports customers in oil and gas, power generation, marine, rail and industrial applications, including Caterpillar machines. It is engaged in the provision and development of mining software solutions to the mining industry.</v>
    <v>118000</v>
    <v>New York Stock Exchange</v>
    <v>XNYS</v>
    <v>XNYS</v>
    <v>5205 N. O'connor Boulevard, Suite 100, IRVING, TX, 75039 US</v>
    <v>755.73</v>
    <v>Machinery, Equipment &amp; Components</v>
    <v>Stock</v>
    <v>46084.03846523125</v>
    <v>70</v>
    <v>725.05499999999995</v>
    <v>350042615099</v>
    <v>CATERPILLAR INC.</v>
    <v>CATERPILLAR INC.</v>
    <v>733.49</v>
    <v>39.456499999999998</v>
    <v>742.83</v>
    <v>752.31500000000005</v>
    <v>750.20010000000002</v>
    <v>465287300</v>
    <v>CAT</v>
    <v>CATERPILLAR INC. (XNYS:CAT)</v>
    <v>2473058</v>
    <v>3289763</v>
    <v>1986</v>
  </rv>
  <rv s="2">
    <v>71</v>
  </rv>
  <rv s="0">
    <v>http://en.wikipedia.org/wiki/The_Walt_Disney_Company</v>
    <v>Wikipedia</v>
  </rv>
  <rv s="3">
    <v>18</v>
    <v>73</v>
  </rv>
  <rv s="4">
    <v>9</v>
    <v>https://www.bing.com/th?id=AMMS_0aa288ba528f6f45e3de87d97e250136&amp;qlt=95</v>
    <v>74</v>
    <v>0</v>
    <v>https://www.bing.com/images/search?form=xlimg&amp;q=the+walt+disney+company</v>
    <v>Image of THE WALT DISNEY COMPANY</v>
  </rv>
  <rv s="0">
    <v>https://www.bing.com/financeapi/forcetrigger?t=a1r2z2&amp;q=XNYS%3aDIS&amp;form=skydnc</v>
    <v>Learn more on Bing</v>
  </rv>
  <rv s="5">
    <v>5</v>
    <v>THE WALT DISNEY COMPANY (XNYS:DIS)</v>
    <v>7</v>
    <v>8</v>
    <v>Finance</v>
    <v>4</v>
    <v>en-US</v>
    <v>a1r2z2</v>
    <v>268435456</v>
    <v>1</v>
    <v>Powered by Refinitiv</v>
    <v>124.69</v>
    <v>80.099999999999994</v>
    <v>1.4240999999999999</v>
    <v>-1.71</v>
    <v>-1.6126000000000001E-2</v>
    <v>-0.23</v>
    <v>-2.2049999999999999E-3</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231000</v>
    <v>New York Stock Exchange</v>
    <v>XNYS</v>
    <v>XNYS</v>
    <v>500 South Buena Vista Street, BURBANK, CA, 91521-0001 US</v>
    <v>104.6131</v>
    <v>75</v>
    <v>Media &amp; Publishing</v>
    <v>Stock</v>
    <v>46084.041325196093</v>
    <v>76</v>
    <v>102.86</v>
    <v>184822681600</v>
    <v>THE WALT DISNEY COMPANY</v>
    <v>THE WALT DISNEY COMPANY</v>
    <v>104.61</v>
    <v>15.6251</v>
    <v>106.04</v>
    <v>104.33</v>
    <v>104.1</v>
    <v>1771520000</v>
    <v>DIS</v>
    <v>THE WALT DISNEY COMPANY (XNYS:DIS)</v>
    <v>14178584</v>
    <v>13289814</v>
    <v>2018</v>
  </rv>
  <rv s="2">
    <v>77</v>
  </rv>
  <rv s="0">
    <v>https://www.bing.com/financeapi/forcetrigger?t=a1o2lh&amp;q=XNYS%3aAXP&amp;form=skydnc</v>
    <v>Learn more on Bing</v>
  </rv>
  <rv s="1">
    <v>0</v>
    <v>AMERICAN EXPRESS COMPANY (XNYS:AXP)</v>
    <v>2</v>
    <v>3</v>
    <v>Finance</v>
    <v>4</v>
    <v>en-US</v>
    <v>a1o2lh</v>
    <v>268435456</v>
    <v>1</v>
    <v>Powered by Refinitiv</v>
    <v>387.49</v>
    <v>220.43</v>
    <v>1.149</v>
    <v>-1.47</v>
    <v>-4.7590000000000002E-3</v>
    <v>-0.04</v>
    <v>-1.3010000000000002E-4</v>
    <v>USD</v>
    <v>American Express Company is a global payments and premium lifestyle brand powered by technology. Its card-issuing, merchant-acquiring and card network businesses offer products and services to a broad range of customers, including consumers, small businesses, mid-sized companies and large corporations around the world. Its range of products and services includes credit and charge cards and complementary products and services, including travel, dining, lifestyle and expense management products and services; banking and other payment and financing products and services, including deposits and non-card lending; merchant acquisition and processing, servicing and settlement, fraud prevention, and point-of-sale marketing and information products and services, and network services. These products and services are offered through various channels, including mobile and online applications, affiliate marketing, customer referral programs, third-party service providers, and business partners.</v>
    <v>76800</v>
    <v>New York Stock Exchange</v>
    <v>XNYS</v>
    <v>XNYS</v>
    <v>200 Vesey Street, 50Th Floor, NEW YORK, NY, 10285 US</v>
    <v>310.42</v>
    <v>Banking Services</v>
    <v>Stock</v>
    <v>46084.041520265622</v>
    <v>79</v>
    <v>301.2801</v>
    <v>211085742020</v>
    <v>AMERICAN EXPRESS COMPANY</v>
    <v>AMERICAN EXPRESS COMPANY</v>
    <v>303.2</v>
    <v>19.990400000000001</v>
    <v>308.89999999999998</v>
    <v>307.43</v>
    <v>307.39</v>
    <v>686614000</v>
    <v>AXP</v>
    <v>AMERICAN EXPRESS COMPANY (XNYS:AXP)</v>
    <v>6279958</v>
    <v>3781570</v>
    <v>1965</v>
  </rv>
  <rv s="2">
    <v>80</v>
  </rv>
  <rv s="0">
    <v>https://www.bing.com/financeapi/forcetrigger?t=a1o4ec&amp;q=XNYS%3aBA&amp;form=skydnc</v>
    <v>Learn more on Bing</v>
  </rv>
  <rv s="1">
    <v>0</v>
    <v>THE BOEING COMPANY (XNYS:BA)</v>
    <v>2</v>
    <v>3</v>
    <v>Finance</v>
    <v>4</v>
    <v>en-US</v>
    <v>a1o4ec</v>
    <v>268435456</v>
    <v>1</v>
    <v>Powered by Refinitiv</v>
    <v>254.34989999999999</v>
    <v>128.8801</v>
    <v>1.1418999999999999</v>
    <v>1.99</v>
    <v>8.7460000000000003E-3</v>
    <v>-0.99</v>
    <v>-4.3090000000000003E-3</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182000</v>
    <v>New York Stock Exchange</v>
    <v>XNYS</v>
    <v>XNYS</v>
    <v>929 Long Bridge Drive, ARLINGTON, VA, 22202 US</v>
    <v>230.23</v>
    <v>Aerospace &amp; Defense</v>
    <v>Stock</v>
    <v>46084.041227765621</v>
    <v>82</v>
    <v>223.62</v>
    <v>180252866392</v>
    <v>THE BOEING COMPANY</v>
    <v>THE BOEING COMPANY</v>
    <v>226</v>
    <v>102.43380000000001</v>
    <v>227.53</v>
    <v>229.52</v>
    <v>228.75</v>
    <v>785347100</v>
    <v>BA</v>
    <v>THE BOEING COMPANY (XNYS:BA)</v>
    <v>4708971</v>
    <v>6908202</v>
    <v>1934</v>
  </rv>
  <rv s="2">
    <v>83</v>
  </rv>
  <rv s="0">
    <v>https://www.bing.com/financeapi/forcetrigger?t=a1mou2&amp;q=XNAS%3aAAPL&amp;form=skydnc</v>
    <v>Learn more on Bing</v>
  </rv>
  <rv s="1">
    <v>0</v>
    <v>APPLE INC. (XNAS:AAPL)</v>
    <v>2</v>
    <v>3</v>
    <v>Finance</v>
    <v>10</v>
    <v>en-US</v>
    <v>a1mou2</v>
    <v>268435456</v>
    <v>1</v>
    <v>Powered by Refinitiv</v>
    <v>288.62</v>
    <v>169.21010000000001</v>
    <v>1.1033999999999999</v>
    <v>0.54</v>
    <v>2.0439999999999998E-3</v>
    <v>-0.48</v>
    <v>-1.8129999999999999E-3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266.52999999999997</v>
    <v>Computers, Phones &amp; Household Electronics</v>
    <v>Stock</v>
    <v>46083.948722870315</v>
    <v>85</v>
    <v>260.2</v>
    <v>3892098744000</v>
    <v>APPLE INC.</v>
    <v>APPLE INC.</v>
    <v>262.41000000000003</v>
    <v>33.563299999999998</v>
    <v>264.18</v>
    <v>264.72000000000003</v>
    <v>264.24</v>
    <v>14702700000</v>
    <v>AAPL</v>
    <v>APPLE INC. (XNAS:AAPL)</v>
    <v>41827946</v>
    <v>53488478</v>
    <v>1977</v>
  </rv>
  <rv s="2">
    <v>86</v>
  </rv>
  <rv s="0">
    <v>http://en.wikipedia.org/wiki/McDonald's</v>
    <v>Wikipedia</v>
  </rv>
  <rv s="3">
    <v>18</v>
    <v>88</v>
  </rv>
  <rv s="4">
    <v>9</v>
    <v>https://www.bing.com/th?id=AMMS_7d8255243964a8970376f8dd41121106&amp;qlt=95</v>
    <v>89</v>
    <v>0</v>
    <v>https://www.bing.com/images/search?form=xlimg&amp;q=mcdonald%27s</v>
    <v>Image of MCDONALD'S CORPORATION</v>
  </rv>
  <rv s="0">
    <v>https://www.bing.com/financeapi/forcetrigger?t=a1xdec&amp;q=XNYS%3aMCD&amp;form=skydnc</v>
    <v>Learn more on Bing</v>
  </rv>
  <rv s="5">
    <v>5</v>
    <v>MCDONALD'S CORPORATION (XNYS:MCD)</v>
    <v>7</v>
    <v>8</v>
    <v>Finance</v>
    <v>4</v>
    <v>en-US</v>
    <v>a1xdec</v>
    <v>268435456</v>
    <v>1</v>
    <v>Powered by Refinitiv</v>
    <v>341.75</v>
    <v>283.47000000000003</v>
    <v>0.5141</v>
    <v>-6.32</v>
    <v>-1.8530000000000001E-2</v>
    <v>0.08</v>
    <v>2.3890000000000001E-4</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is comprised of markets, or countries in which it operates and franchises restaurants, including Australia, Canada, France, Germany, Italy, Poland, Spain, and the United Kingdom. This segment is 89% franchised. The International Developmental Licensed Markets &amp; Corporate segment is comprised of developmental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341.75</v>
    <v>90</v>
    <v>Hotels &amp; Entertainment Services</v>
    <v>Stock</v>
    <v>46084.041411446095</v>
    <v>91</v>
    <v>334.4101</v>
    <v>237798827364</v>
    <v>MCDONALD'S CORPORATION</v>
    <v>MCDONALD'S CORPORATION</v>
    <v>341.06</v>
    <v>28.532499999999999</v>
    <v>341.06</v>
    <v>334.74</v>
    <v>334.9</v>
    <v>710398600</v>
    <v>MCD</v>
    <v>MCDONALD'S CORPORATION (XNYS:MCD)</v>
    <v>4555391</v>
    <v>3494532</v>
    <v>1964</v>
  </rv>
  <rv s="2">
    <v>92</v>
  </rv>
  <rv s="0">
    <v>https://www.bing.com/financeapi/forcetrigger?t=a1u7xm&amp;q=XNYS%3aGS&amp;form=skydnc</v>
    <v>Learn more on Bing</v>
  </rv>
  <rv s="1">
    <v>0</v>
    <v>THE GOLDMAN SACHS GROUP, INC. (XNYS:GS)</v>
    <v>2</v>
    <v>3</v>
    <v>Finance</v>
    <v>4</v>
    <v>en-US</v>
    <v>a1u7xm</v>
    <v>268435456</v>
    <v>1</v>
    <v>Powered by Refinitiv</v>
    <v>984.7</v>
    <v>439.38</v>
    <v>1.3243</v>
    <v>6.48</v>
    <v>7.5780000000000005E-3</v>
    <v>-2.0230000000000001</v>
    <v>-2.3480000000000003E-3</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47400</v>
    <v>New York Stock Exchange</v>
    <v>XNYS</v>
    <v>XNYS</v>
    <v>200 West St, NEW YORK, NY, 10282 US</v>
    <v>873.63</v>
    <v>Investment Banking &amp; Investment Services</v>
    <v>Stock</v>
    <v>46084.041604224221</v>
    <v>94</v>
    <v>836</v>
    <v>255667460995</v>
    <v>THE GOLDMAN SACHS GROUP, INC.</v>
    <v>THE GOLDMAN SACHS GROUP, INC.</v>
    <v>840</v>
    <v>16.667899999999999</v>
    <v>855.07</v>
    <v>861.55</v>
    <v>859.67700000000002</v>
    <v>296752900</v>
    <v>GS</v>
    <v>THE GOLDMAN SACHS GROUP, INC. (XNYS:GS)</v>
    <v>2873190</v>
    <v>2553300</v>
    <v>1998</v>
  </rv>
  <rv s="2">
    <v>95</v>
  </rv>
  <rv s="0">
    <v>https://www.bing.com/financeapi/forcetrigger?t=a1uj52&amp;q=XNYS%3aHD&amp;form=skydnc</v>
    <v>Learn more on Bing</v>
  </rv>
  <rv s="1">
    <v>0</v>
    <v>THE HOME DEPOT, INC. (XNYS:HD)</v>
    <v>2</v>
    <v>3</v>
    <v>Finance</v>
    <v>4</v>
    <v>en-US</v>
    <v>a1uj52</v>
    <v>268435456</v>
    <v>1</v>
    <v>Powered by Refinitiv</v>
    <v>426.75</v>
    <v>326.31</v>
    <v>1.0846</v>
    <v>-10.17</v>
    <v>-2.6713000000000001E-2</v>
    <v>-0.21010000000000001</v>
    <v>-5.666E-4</v>
    <v>USD</v>
    <v>The Home Depot, Inc. is a home improvement specialty retailer. The Company offers an assortment of building materials, home improvement products, lawn and garden products, decor products, and facilities maintenance, repair, and operations products, in stores and online. It also provides various services, including home improvement installation services, and tool and equipment rental. The Company operates approximately 2,353 retail stores, over 800 branches and more than 325 distribution centers that directly fulfill customer orders across all 50 states, the District of Columbia, Puerto Rico, the U.S. Virgin Islands, Guam, 10 Canadian provinces and Mexico. Its stores average approximately 105,000 square feet of enclosed space, with approximately 24,000 additional square feet of outside garden area. The Company serves two primary customer groups, including both do-it-yourself (DIY) and Do-It-For-Me (DIFM) customers and Professional Customers (Pros).</v>
    <v>470000</v>
    <v>New York Stock Exchange</v>
    <v>XNYS</v>
    <v>XNYS</v>
    <v>2455 Paces Ferry Road, ATLANTA, GA, 30339 US</v>
    <v>375.11</v>
    <v>Specialty Retailers</v>
    <v>Stock</v>
    <v>46084.040825555472</v>
    <v>97</v>
    <v>369</v>
    <v>368886786325</v>
    <v>THE HOME DEPOT, INC.</v>
    <v>THE HOME DEPOT, INC.</v>
    <v>375</v>
    <v>26.745000000000001</v>
    <v>380.72</v>
    <v>370.55</v>
    <v>370.59989999999999</v>
    <v>995511500</v>
    <v>HD</v>
    <v>THE HOME DEPOT, INC. (XNYS:HD)</v>
    <v>4537578</v>
    <v>4033269</v>
    <v>1978</v>
  </rv>
  <rv s="2">
    <v>98</v>
  </rv>
  <rv s="0">
    <v>https://www.bing.com/financeapi/forcetrigger?t=a1wljc&amp;q=XNYS%3aKO&amp;form=skydnc</v>
    <v>Learn more on Bing</v>
  </rv>
  <rv s="1">
    <v>0</v>
    <v>THE COCA-COLA COMPANY (XNYS:KO)</v>
    <v>2</v>
    <v>3</v>
    <v>Finance</v>
    <v>4</v>
    <v>en-US</v>
    <v>a1wljc</v>
    <v>268435456</v>
    <v>1</v>
    <v>Powered by Refinitiv</v>
    <v>82</v>
    <v>65.353800000000007</v>
    <v>0.3483</v>
    <v>-1.37</v>
    <v>-1.6796999999999999E-2</v>
    <v>-7.0000000000000007E-2</v>
    <v>-8.7260000000000007E-4</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81.400000000000006</v>
    <v>Beverages</v>
    <v>Stock</v>
    <v>46084.041325196093</v>
    <v>100</v>
    <v>80.150000000000006</v>
    <v>344874977370</v>
    <v>THE COCA-COLA COMPANY</v>
    <v>THE COCA-COLA COMPANY</v>
    <v>81.25</v>
    <v>26.838200000000001</v>
    <v>81.56</v>
    <v>80.19</v>
    <v>80.150000000000006</v>
    <v>4300723000</v>
    <v>KO</v>
    <v>THE COCA-COLA COMPANY (XNYS:KO)</v>
    <v>18137229</v>
    <v>19915803</v>
    <v>1919</v>
  </rv>
  <rv s="2">
    <v>101</v>
  </rv>
  <rv s="0">
    <v>https://www.bing.com/financeapi/forcetrigger?t=a1xxmw&amp;q=XNYS%3aMRK&amp;form=skydnc</v>
    <v>Learn more on Bing</v>
  </rv>
  <rv s="1">
    <v>0</v>
    <v>MERCK &amp; CO., INC. (XNYS:MRK)</v>
    <v>2</v>
    <v>3</v>
    <v>Finance</v>
    <v>4</v>
    <v>en-US</v>
    <v>a1xxmw</v>
    <v>268435456</v>
    <v>1</v>
    <v>Powered by Refinitiv</v>
    <v>125.14</v>
    <v>73.31</v>
    <v>0.28100000000000003</v>
    <v>-2.4700000000000002</v>
    <v>-1.9948E-2</v>
    <v>-0.26</v>
    <v>-2.1419999999999998E-3</v>
    <v>USD</v>
    <v>Merck &amp; Co., Inc. is a global health care company that delivers health solutions through its prescription medicines, including biologic therapies, vaccines and animal health products. Its Pharmaceutical segment includes human health pharmaceutical and vaccine products. The Company sells its human health pharmaceutical products primarily to drug wholesalers and retailers, hospitals, government agencies and managed health care providers. It sells these human health vaccines primarily to physicians, wholesalers, distributors and government entities. Its Animal Health segment discovers, develops, manufactures and markets a range of veterinary pharmaceutical and vaccine products, as well as health management solutions and services, for the prevention, treatment and control of disease in all livestock and companion animal species. Its products include KEYTRUDA (pembrolizumab) injection, for intravenous use; WELIREG (belzutifan) tablets, for oral use; Ohtuvayre (ensifentrine) and others.</v>
    <v>75000</v>
    <v>New York Stock Exchange</v>
    <v>XNYS</v>
    <v>XNYS</v>
    <v>126 East Lincoln Avenue, P.O. Box 2000, RAHWAY, NJ, 07065 US</v>
    <v>123.7</v>
    <v>Pharmaceuticals</v>
    <v>Stock</v>
    <v>46084.040517325782</v>
    <v>103</v>
    <v>121.04</v>
    <v>300024769200</v>
    <v>MERCK &amp; CO., INC.</v>
    <v>MERCK &amp; CO., INC.</v>
    <v>123.51</v>
    <v>17.017399999999999</v>
    <v>123.82</v>
    <v>121.35</v>
    <v>121.15</v>
    <v>2472392000</v>
    <v>MRK</v>
    <v>MERCK &amp; CO., INC. (XNYS:MRK)</v>
    <v>11564485</v>
    <v>13078541</v>
    <v>1970</v>
  </rv>
  <rv s="2">
    <v>104</v>
  </rv>
  <rv s="7">
    <fb>233.1</fb>
    <v>13</v>
  </rv>
  <rv s="7">
    <fb>314.85000000000002</fb>
    <v>13</v>
  </rv>
  <rv s="7">
    <fb>46.25</fb>
    <v>13</v>
  </rv>
  <rv s="7">
    <fb>83.11</fb>
    <v>13</v>
  </rv>
  <rv s="7">
    <fb>328.93</fb>
    <v>13</v>
  </rv>
  <rv s="7">
    <fb>230.91</fb>
    <v>13</v>
  </rv>
  <rv s="7">
    <fb>294.31</fb>
    <v>13</v>
  </rv>
  <rv s="7">
    <fb>196.38</fb>
    <v>13</v>
  </rv>
  <rv s="7">
    <fb>178.04</fb>
    <v>13</v>
  </rv>
  <rv s="7">
    <fb>288.23</fb>
    <v>13</v>
  </rv>
  <rv s="7">
    <fb>127.71</fb>
    <v>13</v>
  </rv>
  <rv s="7">
    <fb>284.18</fb>
    <v>13</v>
  </rv>
  <rv s="7">
    <fb>155.32</fb>
    <v>13</v>
  </rv>
  <rv s="7">
    <fb>155.68</fb>
    <v>13</v>
  </rv>
  <rv s="7">
    <fb>359.64</fb>
    <v>13</v>
  </rv>
  <rv s="7">
    <fb>60.93</fb>
    <v>13</v>
  </rv>
  <rv s="7">
    <fb>180.34</fb>
    <v>13</v>
  </rv>
  <rv s="7">
    <fb>411.21</fb>
    <v>13</v>
  </rv>
  <rv s="7">
    <fb>338.59</fb>
    <v>13</v>
  </rv>
  <rv s="7">
    <fb>238.62</fb>
    <v>13</v>
  </rv>
  <rv s="7">
    <fb>702.89</fb>
    <v>13</v>
  </rv>
  <rv s="7">
    <fb>104.22</fb>
    <v>13</v>
  </rv>
  <rv s="7">
    <fb>349.63</fb>
    <v>13</v>
  </rv>
  <rv s="7">
    <fb>233.15</fb>
    <v>13</v>
  </rv>
  <rv s="7">
    <fb>269.48</fb>
    <v>13</v>
  </rv>
  <rv s="7">
    <fb>319.48</fb>
    <v>13</v>
  </rv>
  <rv s="7">
    <fb>938.99</fb>
    <v>13</v>
  </rv>
  <rv s="7">
    <fb>381.1</fb>
    <v>13</v>
  </rv>
  <rv s="7">
    <fb>76.89</fb>
    <v>13</v>
  </rv>
  <rv s="7">
    <fb>115.84</fb>
    <v>13</v>
  </rv>
  <rv s="7">
    <fb>234.47</fb>
    <v>13</v>
  </rv>
  <rv s="7">
    <fb>317.27</fb>
    <v>13</v>
  </rv>
  <rv s="7">
    <fb>47.01</fb>
    <v>13</v>
  </rv>
  <rv s="7">
    <fb>81.16</fb>
    <v>13</v>
  </rv>
  <rv s="7">
    <fb>329.95</fb>
    <v>13</v>
  </rv>
  <rv s="7">
    <fb>235.35</fb>
    <v>13</v>
  </rv>
  <rv s="7">
    <fb>289.05</fb>
    <v>13</v>
  </rv>
  <rv s="7">
    <fb>199.44</fb>
    <v>13</v>
  </rv>
  <rv s="7">
    <fb>181.23</fb>
    <v>13</v>
  </rv>
  <rv s="7">
    <fb>295.22000000000003</fb>
    <v>13</v>
  </rv>
  <rv s="7">
    <fb>128</fb>
    <v>13</v>
  </rv>
  <rv s="7">
    <fb>275.92</fb>
    <v>13</v>
  </rv>
  <rv s="7">
    <fb>156.87</fb>
    <v>13</v>
  </rv>
  <rv s="7">
    <fb>163.79</fb>
    <v>13</v>
  </rv>
  <rv s="7">
    <fb>368.91</fb>
    <v>13</v>
  </rv>
  <rv s="7">
    <fb>64.22</fb>
    <v>13</v>
  </rv>
  <rv s="7">
    <fb>174.19</fb>
    <v>13</v>
  </rv>
  <rv s="7">
    <fb>414.19</fb>
    <v>13</v>
  </rv>
  <rv s="7">
    <fb>366.2</fb>
    <v>13</v>
  </rv>
  <rv s="7">
    <fb>232.99</fb>
    <v>13</v>
  </rv>
  <rv s="7">
    <fb>691.82</fb>
    <v>13</v>
  </rv>
  <rv s="7">
    <fb>107.05</fb>
    <v>13</v>
  </rv>
  <rv s="7">
    <fb>353.67</fb>
    <v>13</v>
  </rv>
  <rv s="7">
    <fb>235.95</fb>
    <v>13</v>
  </rv>
  <rv s="7">
    <fb>276.49</fb>
    <v>13</v>
  </rv>
  <rv s="7">
    <fb>323.69</fb>
    <v>13</v>
  </rv>
  <rv s="7">
    <fb>913.3</fb>
    <v>13</v>
  </rv>
  <rv s="7">
    <fb>387.2</fb>
    <v>13</v>
  </rv>
  <rv s="7">
    <fb>77.349999999999994</fb>
    <v>13</v>
  </rv>
  <rv s="7">
    <fb>118.33</fb>
    <v>13</v>
  </rv>
  <rv s="8">
    <v>12</v>
    <v>1</v>
  </rv>
  <rv s="8">
    <fb t="e">#N/A</fb>
    <v>6</v>
    <v>1</v>
  </rv>
  <rv s="0">
    <v>https://www.bing.com/financeapi/forcetrigger?t=bptw77&amp;q=XNYS%3aUBER&amp;form=skydnc</v>
    <v>Learn more on Bing</v>
  </rv>
  <rv s="1">
    <v>0</v>
    <v>UBER TECHNOLOGIES, INC. (XNYS:UBER)</v>
    <v>2</v>
    <v>3</v>
    <v>Finance</v>
    <v>4</v>
    <v>en-US</v>
    <v>bptw77</v>
    <v>268435456</v>
    <v>1</v>
    <v>Powered by Refinitiv</v>
    <v>101.99</v>
    <v>60.63</v>
    <v>1.2149000000000001</v>
    <v>0.55000000000000004</v>
    <v>7.2919999999999999E-3</v>
    <v>-0.25</v>
    <v>-3.2919999999999998E-3</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34000</v>
    <v>New York Stock Exchange</v>
    <v>XNYS</v>
    <v>XNYS</v>
    <v>1725 3Rd Street, SAN FRANCISCO, CA, 94158 US</v>
    <v>76.495000000000005</v>
    <v>Software &amp; IT Services</v>
    <v>Stock</v>
    <v>46084.039192661716</v>
    <v>168</v>
    <v>73.150000000000006</v>
    <v>156355072520</v>
    <v>UBER TECHNOLOGIES, INC.</v>
    <v>UBER TECHNOLOGIES, INC.</v>
    <v>73.5</v>
    <v>15.9277</v>
    <v>75.42</v>
    <v>75.97</v>
    <v>75.7</v>
    <v>2058116000</v>
    <v>UBER</v>
    <v>UBER TECHNOLOGIES, INC. (XNYS:UBER)</v>
    <v>25779070</v>
    <v>23808732</v>
    <v>2010</v>
  </rv>
  <rv s="2">
    <v>169</v>
  </rv>
  <rv s="7">
    <fb>77.930000000000007</fb>
    <v>13</v>
  </rv>
  <rv s="7">
    <fb>73.92</fb>
    <v>13</v>
  </rv>
  <rv s="0">
    <v>https://www.bing.com/financeapi/forcetrigger?t=a1vt77&amp;q=XNAS%3aISRG&amp;form=skydnc</v>
    <v>Learn more on Bing</v>
  </rv>
  <rv s="1">
    <v>0</v>
    <v>INTUITIVE SURGICAL, INC. (XNAS:ISRG)</v>
    <v>2</v>
    <v>3</v>
    <v>Finance</v>
    <v>4</v>
    <v>en-US</v>
    <v>a1vt77</v>
    <v>268435456</v>
    <v>1</v>
    <v>Powered by Refinitiv</v>
    <v>603.88</v>
    <v>425</v>
    <v>1.6603000000000001</v>
    <v>-7.26</v>
    <v>-1.4419E-2</v>
    <v>-0.25</v>
    <v>-5.0379999999999999E-4</v>
    <v>USD</v>
    <v>Intuitive Surgical, Inc. develops, manufactures, and markets da Vinci surgical systems and the Ion endoluminal system. The Company specializes in invasive care and robotic-assisted surgery. Its technologies include the da Vinci surgical systems and the Ion endoluminal system. The da Vinci surgical system is designed to enable surgeons to perform a range of surgical procedures within its targeted general surgery, urologic, gynecologic, cardiothoracic, and head and neck specialties and consists of a surgeon's console or consoles, a patient-side cart, and a high-performance vision system. The Ion endoluminal system is a flexible, robotic-assisted, catheter-based platform for which the cleared indication is minimally invasive biopsies in the lung and consists of a system cart, a controller, a catheter, and a vision probe. Its Ion system extends its commercial offering beyond surgery into diagnostic and endoluminal procedures.</v>
    <v>17021</v>
    <v>Nasdaq Stock Market</v>
    <v>XNAS</v>
    <v>XNAS</v>
    <v>1020 Kifer Road, SUNNYVALE, CA, 94086 US</v>
    <v>499.62299999999999</v>
    <v>Healthcare Equipment &amp; Supplies</v>
    <v>Stock</v>
    <v>46083.94872490703</v>
    <v>173</v>
    <v>490.4</v>
    <v>176233361750</v>
    <v>INTUITIVE SURGICAL, INC.</v>
    <v>INTUITIVE SURGICAL, INC.</v>
    <v>492.59</v>
    <v>63.943600000000004</v>
    <v>503.51</v>
    <v>496.25</v>
    <v>496</v>
    <v>355130200</v>
    <v>ISRG</v>
    <v>INTUITIVE SURGICAL, INC. (XNAS:ISRG)</v>
    <v>1743459</v>
    <v>2109321</v>
    <v>1995</v>
  </rv>
  <rv s="2">
    <v>174</v>
  </rv>
  <rv s="7">
    <fb>478.88</fb>
    <v>13</v>
  </rv>
  <rv s="7">
    <fb>478.49</fb>
    <v>13</v>
  </rv>
  <rv s="0">
    <v>http://en.wikipedia.org/wiki/Progressive_Corporation</v>
    <v>Wikipedia</v>
  </rv>
  <rv s="3">
    <v>18</v>
    <v>178</v>
  </rv>
  <rv s="4">
    <v>9</v>
    <v>https://www.bing.com/th?id=AMMS_1ae7fef605fb644f70b899c25b5ca660&amp;qlt=95</v>
    <v>179</v>
    <v>0</v>
    <v>https://www.bing.com/images/search?form=xlimg&amp;q=progressive</v>
    <v>Image of THE PROGRESSIVE CORPORATION</v>
  </rv>
  <rv s="0">
    <v>https://www.bing.com/financeapi/forcetrigger?t=a1ztlh&amp;q=XNYS%3aPGR&amp;form=skydnc</v>
    <v>Learn more on Bing</v>
  </rv>
  <rv s="5">
    <v>5</v>
    <v>THE PROGRESSIVE CORPORATION (XNYS:PGR)</v>
    <v>7</v>
    <v>8</v>
    <v>Finance</v>
    <v>4</v>
    <v>en-US</v>
    <v>a1ztlh</v>
    <v>268435456</v>
    <v>1</v>
    <v>Powered by Refinitiv</v>
    <v>292.99</v>
    <v>197.92</v>
    <v>0.31540000000000001</v>
    <v>-0.28000000000000003</v>
    <v>-1.31E-3</v>
    <v>-1.335</v>
    <v>-6.2560000000000003E-3</v>
    <v>USD</v>
    <v>The Progressive Corporation is an insurance holding company, which has insurance and non-insurance subsidiaries and affiliates. The Company’s segments include Personal Lines, Commercial Lines and Other indemnity. The Personal Lines segment writes insurance for personal autos and special lines products. Its special lines of products include recreational vehicles, such as motorcycles, RVs, and watercraft. Its Personal Lines products are sold through both the agency and direct channels. The Commercial Lines segment writes auto-related liability and physical damage insurance, business-related general liability and commercial property insurance predominately for small businesses, and workers’ compensation insurance primarily for the transportation industry. Its reinsurance activity includes both transactions which are regulated and those that are non-regulated. It offers shopping tools and services, such as Name Your Price, Snapshot, and HomeQuote Explorer.</v>
    <v>66300</v>
    <v>New York Stock Exchange</v>
    <v>XNYS</v>
    <v>XNYS</v>
    <v>300 North Commons Blvd., MAYFIELD VILLAGE, OH, 44143 US</v>
    <v>214.965</v>
    <v>180</v>
    <v>Insurance</v>
    <v>Stock</v>
    <v>46084.039744687499</v>
    <v>181</v>
    <v>211.97</v>
    <v>125019342000</v>
    <v>THE PROGRESSIVE CORPORATION</v>
    <v>THE PROGRESSIVE CORPORATION</v>
    <v>213.77</v>
    <v>11.109</v>
    <v>213.66</v>
    <v>213.38</v>
    <v>212.07499999999999</v>
    <v>585900000</v>
    <v>PGR</v>
    <v>THE PROGRESSIVE CORPORATION (XNYS:PGR)</v>
    <v>2594649</v>
    <v>3603313</v>
    <v>1965</v>
  </rv>
  <rv s="2">
    <v>182</v>
  </rv>
  <rv s="7">
    <fb>201.03</fb>
    <v>13</v>
  </rv>
  <rv s="7">
    <fb>205.54</fb>
    <v>13</v>
  </rv>
  <rv s="0">
    <v>https://www.bing.com/financeapi/forcetrigger?t=a1x2ur&amp;q=XNYS%3aLOW&amp;form=skydnc</v>
    <v>Learn more on Bing</v>
  </rv>
  <rv s="1">
    <v>0</v>
    <v>LOWE'S COMPANIES, INC. (XNYS:LOW)</v>
    <v>2</v>
    <v>3</v>
    <v>Finance</v>
    <v>4</v>
    <v>en-US</v>
    <v>a1x2ur</v>
    <v>268435456</v>
    <v>1</v>
    <v>Powered by Refinitiv</v>
    <v>293.06</v>
    <v>206.38499999999999</v>
    <v>0.97860000000000003</v>
    <v>-7.42</v>
    <v>-2.8046000000000001E-2</v>
    <v>-0.27</v>
    <v>-1.0499999999999999E-3</v>
    <v>USD</v>
    <v>Lowe's Companies, Inc. is a home improvement company. The Company offers a complete line of products for construction, maintenance, repair, remodeling, and decorating. It offers home improvement products in various categories, including appliances, seasonal and outdoor living, lumber, lawn and garden, kitchens and bath, hardware, building materials, millwork, paint, rough plumbing, tools, electrical, flooring, and decor. It is focused on offering a wide selection of national brand-name merchandise complemented by its selection of private brands. Its services include installed sales and Lowe's Protection Plans and Repair Services. The Company offers installation services through independent contractors in many of its product categories. It offers extended protection plans for certain products within the appliances, kitchens and bath, decor, millwork, rough plumbing, electrical, seasonal and outdoor living, tools, and hardware categories. It operates over 1,700 home improvement stores.</v>
    <v>161000</v>
    <v>New York Stock Exchange</v>
    <v>XNYS</v>
    <v>XNYS</v>
    <v>1000 Lowes Blvd, MOORESVILLE, NC, 28117-8520 US</v>
    <v>261.45</v>
    <v>Specialty Retailers</v>
    <v>Stock</v>
    <v>46084.037903645316</v>
    <v>186</v>
    <v>256.19</v>
    <v>144261150000</v>
    <v>LOWE'S COMPANIES, INC.</v>
    <v>LOWE'S COMPANIES, INC.</v>
    <v>260</v>
    <v>22.332599999999999</v>
    <v>264.57</v>
    <v>257.14999999999998</v>
    <v>256.89999999999998</v>
    <v>561000000</v>
    <v>LOW</v>
    <v>LOWE'S COMPANIES, INC. (XNYS:LOW)</v>
    <v>3024046</v>
    <v>2875113</v>
    <v>1952</v>
  </rv>
  <rv s="2">
    <v>187</v>
  </rv>
  <rv s="7">
    <fb>274.85000000000002</fb>
    <v>13</v>
  </rv>
  <rv s="7">
    <fb>275.85000000000002</fb>
    <v>13</v>
  </rv>
  <rv s="0">
    <v>https://www.bing.com/financeapi/forcetrigger?t=az6g8m&amp;q=XNAS%3aBKNG&amp;form=skydnc</v>
    <v>Learn more on Bing</v>
  </rv>
  <rv s="1">
    <v>0</v>
    <v>BOOKING HOLDINGS INC. (XNAS:BKNG)</v>
    <v>2</v>
    <v>3</v>
    <v>Finance</v>
    <v>4</v>
    <v>en-US</v>
    <v>az6g8m</v>
    <v>268435456</v>
    <v>1</v>
    <v>Powered by Refinitiv</v>
    <v>5839.4135999999999</v>
    <v>3765.45</v>
    <v>1.212</v>
    <v>-59.57</v>
    <v>-1.4052E-2</v>
    <v>-7.78</v>
    <v>-1.8609999999999998E-3</v>
    <v>USD</v>
    <v>Booking Holdings Inc. is a provider of travel and restaurant online reservation and related services. The Company offers its services through five primary consumer-facing brands: Booking.com, Priceline, Agoda, KAYAK, and OpenTable. Through its brands, consumers can book an array of accommodations (including hotels, motels, resorts, homes, apartments, bed and breakfasts, hostels, and other alternative and traditional accommodation properties) and a flight to their destinations; make a car rental reservation or arrange for an airport taxi; make a dinner reservation; or book a vacation package, tour, activity, or cruise. Consumers can also use its meta-search services to easily compare travel reservation information, such as flight, hotel, and rental car reservations from hundreds of online travel platforms at once. Booking.com offers accommodation reservation services for approximately 4.0 million properties in over 220 countries and territories and in over 40 languages.</v>
    <v>24300</v>
    <v>Nasdaq Stock Market</v>
    <v>XNAS</v>
    <v>XNAS</v>
    <v>800 CONNECTICUT AVE, NORWALK, CT, 06854-1631 US</v>
    <v>4219.57</v>
    <v>Hotels &amp; Entertainment Services</v>
    <v>Stock</v>
    <v>46083.925182036721</v>
    <v>191</v>
    <v>4028</v>
    <v>132387634862</v>
    <v>BOOKING HOLDINGS INC.</v>
    <v>BOOKING HOLDINGS INC.</v>
    <v>4050</v>
    <v>25.518799999999999</v>
    <v>4239.3500000000004</v>
    <v>4179.78</v>
    <v>4172</v>
    <v>31673350</v>
    <v>BKNG</v>
    <v>BOOKING HOLDINGS INC. (XNAS:BKNG)</v>
    <v>543053</v>
    <v>550255</v>
    <v>1998</v>
  </rv>
  <rv s="2">
    <v>192</v>
  </rv>
  <rv s="7">
    <fb>4644.6400000000003</fb>
    <v>13</v>
  </rv>
  <rv s="7">
    <fb>4607.13</fb>
    <v>13</v>
  </rv>
  <rv s="0">
    <v>https://www.bing.com/financeapi/forcetrigger?t=a25552&amp;q=XNYS%3aRTX&amp;form=skydnc</v>
    <v>Learn more on Bing</v>
  </rv>
  <rv s="1">
    <v>0</v>
    <v>RTX CORPORATION (XNYS:RTX)</v>
    <v>2</v>
    <v>3</v>
    <v>Finance</v>
    <v>4</v>
    <v>en-US</v>
    <v>a25552</v>
    <v>268435456</v>
    <v>1</v>
    <v>Powered by Refinitiv</v>
    <v>212.82</v>
    <v>112.27</v>
    <v>0.41799999999999998</v>
    <v>9.56</v>
    <v>4.7182000000000002E-2</v>
    <v>1.46</v>
    <v>6.8820000000000001E-3</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180000</v>
    <v>New York Stock Exchange</v>
    <v>XNYS</v>
    <v>XNYS</v>
    <v>1000 Wilson Blvd, ARLINGTON, VA, 22209 US</v>
    <v>212.82</v>
    <v>Aerospace &amp; Defense</v>
    <v>Stock</v>
    <v>46084.041646481252</v>
    <v>196</v>
    <v>208</v>
    <v>284806667840</v>
    <v>RTX CORPORATION</v>
    <v>RTX CORPORATION</v>
    <v>210.65</v>
    <v>40.825000000000003</v>
    <v>202.62</v>
    <v>212.18</v>
    <v>213.62</v>
    <v>1342288000</v>
    <v>RTX</v>
    <v>RTX CORPORATION (XNYS:RTX)</v>
    <v>12485301</v>
    <v>6986562</v>
    <v>1934</v>
  </rv>
  <rv s="2">
    <v>197</v>
  </rv>
  <rv s="7">
    <fb>203.5</fb>
    <v>13</v>
  </rv>
  <rv s="7">
    <fb>196.74</fb>
    <v>13</v>
  </rv>
  <rv s="0">
    <v>https://www.bing.com/financeapi/forcetrigger?t=a23d9c&amp;q=XNYS%3aSPGI&amp;form=skydnc</v>
    <v>Learn more on Bing</v>
  </rv>
  <rv s="1">
    <v>0</v>
    <v>S&amp;P GLOBAL INC. (XNYS:SPGI)</v>
    <v>2</v>
    <v>3</v>
    <v>Finance</v>
    <v>4</v>
    <v>en-US</v>
    <v>a23d9c</v>
    <v>268435456</v>
    <v>1</v>
    <v>Powered by Refinitiv</v>
    <v>579.04999999999995</v>
    <v>381.60500000000002</v>
    <v>1.2276</v>
    <v>1.1200000000000001</v>
    <v>2.5349999999999999E-3</v>
    <v>-1.31</v>
    <v>-2.957E-3</v>
    <v>USD</v>
    <v>S&amp;P Global Inc. provides essential intelligence. Its operations consist of five businesses: S&amp;P Global Market Intelligence (Market Intelligence), S&amp;P Global Ratings (Ratings), S&amp;P Global Commodity Insights (Commodity Insights), S&amp;P Global Mobility (Mobility) and S&amp;P Dow Jones Indices (Indices). Market Intelligence is a global provider of multi-asset-class data and analytics integrated with purpose-built workflow solutions. Ratings is an independent provider of credit ratings, research, and analytics, offering investors and other market participants information, ratings and benchmarks. Commodity Insights is an independent provider of information and benchmark prices for the commodity and energy markets. Mobility is a provider of solutions serving the full automotive value chain, including vehicle manufacturers and retailers. Indices is a global index provider that maintains a variety of valuation and index benchmarks for investment advisors, wealth managers and institutional investors.</v>
    <v>44500</v>
    <v>New York Stock Exchange</v>
    <v>XNYS</v>
    <v>XNYS</v>
    <v>55 Water Street, NEW YORK, NY, 10041 US</v>
    <v>444.5</v>
    <v>Professional &amp; Commercial Services</v>
    <v>Stock</v>
    <v>46084.038501492971</v>
    <v>201</v>
    <v>433.01</v>
    <v>132368400000</v>
    <v>S&amp;P GLOBAL INC.</v>
    <v>S&amp;P GLOBAL INC.</v>
    <v>433.01</v>
    <v>30.141200000000001</v>
    <v>441.88</v>
    <v>443</v>
    <v>441.77</v>
    <v>298800000</v>
    <v>SPGI</v>
    <v>S&amp;P GLOBAL INC. (XNYS:SPGI)</v>
    <v>2837197</v>
    <v>3593500</v>
    <v>1925</v>
  </rv>
  <rv s="2">
    <v>202</v>
  </rv>
  <rv s="7">
    <fb>468.21</fb>
    <v>13</v>
  </rv>
  <rv s="7">
    <fb>465.51</fb>
    <v>13</v>
  </rv>
  <rv s="0">
    <v>https://www.bing.com/financeapi/forcetrigger?t=a1om4c&amp;q=XNYS%3aBLK&amp;form=skydnc</v>
    <v>Learn more on Bing</v>
  </rv>
  <rv s="1">
    <v>0</v>
    <v>BLACKROCK, INC. (XNYS:BLK)</v>
    <v>2</v>
    <v>3</v>
    <v>Finance</v>
    <v>4</v>
    <v>en-US</v>
    <v>a1om4c</v>
    <v>268435456</v>
    <v>1</v>
    <v>Powered by Refinitiv</v>
    <v>1219.9399000000001</v>
    <v>773.74009999999998</v>
    <v>1.4944999999999999</v>
    <v>4.96</v>
    <v>4.6649999999999999E-3</v>
    <v>-13.31</v>
    <v>-1.2459E-2</v>
    <v>USD</v>
    <v>BlackRock, Inc. is an investment management company. The Company provides a range of investment management and technology services to institutional and retail clients. Its diverse platform of alpha-seeking active, private markets, index and cash management investment strategies across asset classes enables the Company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separate accounts, collective investment funds and other pooled investment vehicles. It also offers technology services, including the investment and risk management technology platform, Aladdin, Aladdin Wealth, eFront, and Cachematrix, as well as advisory services and solutions.</v>
    <v>24900</v>
    <v>New York Stock Exchange</v>
    <v>XNYS</v>
    <v>XNYS</v>
    <v>50 Hudson Yards, NEW YORK, NY, 10001 US</v>
    <v>1075.52</v>
    <v>Investment Banking &amp; Investment Services</v>
    <v>Stock</v>
    <v>46084.035847303123</v>
    <v>206</v>
    <v>1031.95</v>
    <v>166147874885</v>
    <v>BLACKROCK, INC.</v>
    <v>BLACKROCK, INC.</v>
    <v>1038.77</v>
    <v>30.678999999999998</v>
    <v>1063.23</v>
    <v>1068.19</v>
    <v>1055</v>
    <v>155541500</v>
    <v>BLK</v>
    <v>BLACKROCK, INC. (XNYS:BLK)</v>
    <v>708914</v>
    <v>795530</v>
    <v>2024</v>
  </rv>
  <rv s="2">
    <v>207</v>
  </rv>
  <rv s="7">
    <fb>1070.08</fb>
    <v>13</v>
  </rv>
  <rv s="7">
    <fb>1076.1600000000001</fb>
    <v>13</v>
  </rv>
  <rv s="0">
    <v>https://www.bing.com/financeapi/forcetrigger?t=a23vdm&amp;q=XNYS%3aSYK&amp;form=skydnc</v>
    <v>Learn more on Bing</v>
  </rv>
  <rv s="1">
    <v>0</v>
    <v>STRYKER CORPORATION (XNYS:SYK)</v>
    <v>2</v>
    <v>3</v>
    <v>Finance</v>
    <v>4</v>
    <v>en-US</v>
    <v>a23vdm</v>
    <v>268435456</v>
    <v>1</v>
    <v>Powered by Refinitiv</v>
    <v>404.87</v>
    <v>329.16079999999999</v>
    <v>0.85929999999999995</v>
    <v>-0.36</v>
    <v>-9.2910000000000009E-4</v>
    <v>-1.62</v>
    <v>-4.1860000000000005E-3</v>
    <v>USD</v>
    <v>Stryker Corporation is a medical technology company. The Company offers products and services in MedSurg, Neurotechnology and Orthopaedics that help improve patient and healthcare outcomes. Its segments include MedSurg and Neurotechnology and Orthopaedics. Its MedSurg products include surgical equipment, patient and caregiver safety technologies, and navigation systems (Instruments), endoscopic and communications systems (Endoscopy), and patient handling, emergency medical equipment, intensive care disposable products and clinical communication and artificial intelligence-assisted virtual care platform technology (Medical). Neurotechnology includes neurosurgical, neurovascular and craniomaxillofacial implant products. Its Orthopaedics products primarily include implants used in total joint replacements, such as hip, knee and shoulder, and trauma and extremities surgeries. The Company also offers solutions for venous thromboembolism clot removal without the use of thrombolytic drugs.</v>
    <v>56000</v>
    <v>New York Stock Exchange</v>
    <v>XNYS</v>
    <v>XNYS</v>
    <v>1941 STRYKER WAY, PORTAGE, MI, 49002 US</v>
    <v>389.33</v>
    <v>Healthcare Equipment &amp; Supplies</v>
    <v>Stock</v>
    <v>46083.925190810158</v>
    <v>211</v>
    <v>383.01</v>
    <v>148138795770</v>
    <v>STRYKER CORPORATION</v>
    <v>STRYKER CORPORATION</v>
    <v>383.5</v>
    <v>46.135399999999997</v>
    <v>387.46</v>
    <v>387.1</v>
    <v>385.4</v>
    <v>382688700</v>
    <v>SYK</v>
    <v>STRYKER CORPORATION (XNYS:SYK)</v>
    <v>1868647</v>
    <v>2071132</v>
    <v>1946</v>
  </rv>
  <rv s="2">
    <v>212</v>
  </rv>
  <rv s="7">
    <fb>360.82</fb>
    <v>13</v>
  </rv>
  <rv s="7">
    <fb>360.66</fb>
    <v>13</v>
  </rv>
  <rv s="0">
    <v>https://www.bing.com/financeapi/forcetrigger?t=a1rk27&amp;q=XNYS%3aEAT&amp;form=skydnc</v>
    <v>Learn more on Bing</v>
  </rv>
  <rv s="1">
    <v>0</v>
    <v>BRINKER INTERNATIONAL, INC. (XNYS:EAT)</v>
    <v>2</v>
    <v>3</v>
    <v>Finance</v>
    <v>4</v>
    <v>en-US</v>
    <v>a1rk27</v>
    <v>268435456</v>
    <v>1</v>
    <v>Powered by Refinitiv</v>
    <v>187.12299999999999</v>
    <v>100.3</v>
    <v>1.3496999999999999</v>
    <v>-5.8</v>
    <v>-3.9136000000000004E-2</v>
    <v>-0.01</v>
    <v>-7.0220000000000002E-5</v>
    <v>USD</v>
    <v>Brinker International, Inc. is a casual dining restaurant company. The Company owns, develops, operates and franchises the Chili’s Grill &amp; Bar (Chili’s) and Maggiano’s Little Italy (Maggiano’s) restaurant brands. The Company operates through two segments: Chili’s and Maggiano’s. The Chili’s segment includes its Company-owned Chili’s restaurants, which are principally located in the United States, within the full-service casual dining segment of the industry. The Chili’s segment also includes its Canadian Company-owned restaurants and royalties from its franchised locations in the United States, 27 other countries and two United States territories. The Maggiano’s segment includes its Company-owned Maggiano's restaurants in the United States as well as royalties from its domestic franchise business. It owns, operates or franchises more than 1,600 restaurants in the United States and 27 other countries and two United States territories.</v>
    <v>83840</v>
    <v>New York Stock Exchange</v>
    <v>XNYS</v>
    <v>XNYS</v>
    <v>3000 Olympus Blvd., DALLAS, TX, 75019 US</v>
    <v>147.07</v>
    <v>Hotels &amp; Entertainment Services</v>
    <v>Stock</v>
    <v>46084.024743853908</v>
    <v>216</v>
    <v>142.1</v>
    <v>6201566992</v>
    <v>BRINKER INTERNATIONAL, INC.</v>
    <v>BRINKER INTERNATIONAL, INC.</v>
    <v>146.24</v>
    <v>14.866899999999999</v>
    <v>148.19999999999999</v>
    <v>142.4</v>
    <v>142.4</v>
    <v>43550330</v>
    <v>EAT</v>
    <v>BRINKER INTERNATIONAL, INC. (XNYS:EAT)</v>
    <v>1390110</v>
    <v>1454768</v>
    <v>1983</v>
  </rv>
  <rv s="2">
    <v>217</v>
  </rv>
  <rv s="7">
    <fb>163.44999999999999</fb>
    <v>13</v>
  </rv>
  <rv s="7">
    <fb>162.06</fb>
    <v>13</v>
  </rv>
  <rv s="0">
    <v>https://www.bing.com/financeapi/forcetrigger?t=a1zy3m&amp;q=XNYS%3aPLD&amp;form=skydnc</v>
    <v>Learn more on Bing</v>
  </rv>
  <rv s="1">
    <v>0</v>
    <v>PROLOGIS, INC. (XNYS:PLD)</v>
    <v>2</v>
    <v>3</v>
    <v>Finance</v>
    <v>4</v>
    <v>en-US</v>
    <v>a1zy3m</v>
    <v>268435456</v>
    <v>1</v>
    <v>Powered by Refinitiv</v>
    <v>143.94999999999999</v>
    <v>85.35</v>
    <v>1.4196</v>
    <v>0.12</v>
    <v>8.4169999999999991E-4</v>
    <v>-2.2984</v>
    <v>-1.6104E-2</v>
    <v>USD</v>
    <v>Prologis, Inc. is a fully integrated real estate company. The Company operates through two segments: Real Estate (Rental Operations and Development) and Strategic Capital. Its Real Estate Segment represents the ownership and development of operating properties. The Real Estate Segment also includes development activities that lead to rental operations, including land held for development and properties under development, and other real estate investments, including renewable energy assets. Strategic Capital Segment represents the management of unconsolidated co-investment ventures. The Company is the general partner of Prologis, L.P. (the Operating Partnership or OP). Through the OP, it is engaged in the ownership, acquisition, development and management of logistics facilities with a focus on key markets in approximately 20 countries on four continents. It operates, manages and measures the operating performance of its properties on an owned and managed (O&amp;M) basis.</v>
    <v>2802</v>
    <v>New York Stock Exchange</v>
    <v>XNYS</v>
    <v>XNYS</v>
    <v>PIER 1 BAY 1, SAN FRANCISCO, CA, 94111 US</v>
    <v>143.02000000000001</v>
    <v>Residential &amp; Commercial REIT</v>
    <v>Stock</v>
    <v>46084.035651492966</v>
    <v>221</v>
    <v>139.66</v>
    <v>132638773710</v>
    <v>PROLOGIS, INC.</v>
    <v>PROLOGIS, INC.</v>
    <v>141</v>
    <v>40.110700000000001</v>
    <v>142.57</v>
    <v>142.69</v>
    <v>140.42160000000001</v>
    <v>929559000</v>
    <v>PLD</v>
    <v>PROLOGIS, INC. (XNYS:PLD)</v>
    <v>3204712</v>
    <v>3372945</v>
    <v>1997</v>
  </rv>
  <rv s="2">
    <v>222</v>
  </rv>
  <rv s="7">
    <fb>131.88</fb>
    <v>13</v>
  </rv>
  <rv s="7">
    <fb>134.84</fb>
    <v>13</v>
  </rv>
  <rv s="0">
    <v>https://www.bing.com/financeapi/forcetrigger?t=a1xyjc&amp;q=XNYS%3aMS&amp;form=skydnc</v>
    <v>Learn more on Bing</v>
  </rv>
  <rv s="1">
    <v>0</v>
    <v>MORGAN STANLEY (XNYS:MS)</v>
    <v>2</v>
    <v>3</v>
    <v>Finance</v>
    <v>4</v>
    <v>en-US</v>
    <v>a1xyjc</v>
    <v>268435456</v>
    <v>1</v>
    <v>Powered by Refinitiv</v>
    <v>192.68</v>
    <v>94.330100000000002</v>
    <v>1.1941999999999999</v>
    <v>0.48</v>
    <v>2.8830000000000001E-3</v>
    <v>-0.93369999999999997</v>
    <v>-5.5910000000000005E-3</v>
    <v>USD</v>
    <v>Morgan Stanley is a global financial services company. The Company is engaged in providing a range of investment banking, securities, wealth management and investment management services. Its segments include Institutional Securities, Wealth Management and Investment Management. Its Institutional Securities segment provides a variety of products and services to corporations, governments, financial institutions and ultra-high net worth clients. Its Wealth Management segment provides an array of financial services and solutions to individual investors and small to medium-sized businesses and institutions. Its Investment Management segment provides a range of investment strategies and products that span geographies, asset classes, and public and private markets to a diverse group of clients across institutional and intermediary channels. Its investment banking services consist of capital raising and financial advisory services, including the underwriting of debt and other products.</v>
    <v>83000</v>
    <v>New York Stock Exchange</v>
    <v>XNYS</v>
    <v>XNYS</v>
    <v>1585 Broadway, NEW YORK, NY, 10036 US</v>
    <v>169.6</v>
    <v>Investment Banking &amp; Investment Services</v>
    <v>Stock</v>
    <v>46084.041247233596</v>
    <v>226</v>
    <v>162.15</v>
    <v>265156741400</v>
    <v>MORGAN STANLEY</v>
    <v>MORGAN STANLEY</v>
    <v>162.63999999999999</v>
    <v>16.312100000000001</v>
    <v>166.51</v>
    <v>166.99</v>
    <v>166.06630000000001</v>
    <v>1587860000</v>
    <v>MS</v>
    <v>MORGAN STANLEY (XNYS:MS)</v>
    <v>9212626</v>
    <v>7923620</v>
    <v>1981</v>
  </rv>
  <rv s="2">
    <v>227</v>
  </rv>
  <rv s="7">
    <fb>182.91</fb>
    <v>13</v>
  </rv>
  <rv s="7">
    <fb>180.08</fb>
    <v>13</v>
  </rv>
  <rv s="0">
    <v>https://www.bing.com/financeapi/forcetrigger?t=a1safr&amp;q=XNYS%3aETN&amp;form=skydnc</v>
    <v>Learn more on Bing</v>
  </rv>
  <rv s="1">
    <v>0</v>
    <v>EATON CORPORATION PUBLIC LIMITED COMPANY (XNYS:ETN)</v>
    <v>2</v>
    <v>3</v>
    <v>Finance</v>
    <v>4</v>
    <v>en-US</v>
    <v>a1safr</v>
    <v>268435456</v>
    <v>1</v>
    <v>Powered by Refinitiv</v>
    <v>408.45</v>
    <v>231.85</v>
    <v>1.1673</v>
    <v>1.41</v>
    <v>3.751E-3</v>
    <v>-0.34</v>
    <v>-9.0090000000000005E-4</v>
    <v>USD</v>
    <v>Eaton Corporation plc is an intelligent power management company. Its Electrical Americas segment consists of electrical components, industrial components, power distribution and assemblies, residential products, single phase power quality and connectivity, wiring devices and others. The Electrical Global segment consists of electrical components, industrial components, power distribution and assemblies, single phase and three phase power quality, and services. The Aerospace segment is a global supplier of aerospace fuel, hydraulics, and pneumatic systems for commercial and military use and filtration systems for industrial applications. The Vehicle segment designs, manufactures, markets, and supplies of drivetrain, powertrain systems and critical components. The eMobility segment designs, manufactures, markets, and supplies mechanical, electrical, and electronic components and systems. The Company is also engaged in providing thermal monitoring for critical electrical equipment.</v>
    <v>97000</v>
    <v>New York Stock Exchange</v>
    <v>XNYS</v>
    <v>XNYS</v>
    <v>30 Pembroke Road, Eaton House, DUBLIN, DUBLIN IE</v>
    <v>378.07</v>
    <v>Machinery, Equipment &amp; Components</v>
    <v>Stock</v>
    <v>46084.037188506249</v>
    <v>231</v>
    <v>367.62</v>
    <v>146366307000</v>
    <v>EATON CORPORATION PUBLIC LIMITED COMPANY</v>
    <v>EATON CORPORATION PUBLIC LIMITED COMPANY</v>
    <v>369.84</v>
    <v>35.963099999999997</v>
    <v>375.92</v>
    <v>377.33</v>
    <v>377.06</v>
    <v>387900000</v>
    <v>ETN</v>
    <v>EATON CORPORATION PUBLIC LIMITED COMPANY (XNYS:ETN)</v>
    <v>1828407</v>
    <v>3101366</v>
    <v>2012</v>
  </rv>
  <rv s="2">
    <v>232</v>
  </rv>
  <rv s="7">
    <fb>362.53</fb>
    <v>13</v>
  </rv>
  <rv s="7">
    <fb>365</fb>
    <v>13</v>
  </rv>
  <rv s="0">
    <v>https://www.bing.com/financeapi/forcetrigger?t=a1njmw&amp;q=XNYS%3aELV&amp;form=skydnc</v>
    <v>Learn more on Bing</v>
  </rv>
  <rv s="1">
    <v>0</v>
    <v>ELEVANCE HEALTH, INC. (XNYS:ELV)</v>
    <v>2</v>
    <v>3</v>
    <v>Finance</v>
    <v>4</v>
    <v>en-US</v>
    <v>a1njmw</v>
    <v>268435456</v>
    <v>1</v>
    <v>Powered by Refinitiv</v>
    <v>458.75</v>
    <v>273.70999999999998</v>
    <v>0.51539999999999997</v>
    <v>-26.052</v>
    <v>-8.1412999999999999E-2</v>
    <v>-0.06</v>
    <v>-2.0400000000000003E-4</v>
    <v>USD</v>
    <v>Elevance Health, Inc. is a health company. It operates as a health insurer in the United States. The Company operates through four segments: Health Benefits, CarelonRx, Carelon Services and Corporate &amp; Other. The Health Benefits segment offers a comprehensive suite of health plans and services to its Individual, Employer Group risk-based, Employer Group fee-based, BlueCard, Medicare, Medicaid and Federal Employee Program (FEP) members. The Health Benefits segment also offers health products on a full-risk basis. The CarelonRx segment includes its pharmacy services business. CarelonRx markets and offers pharmacy services to its affiliated health plan customers, as well as to external customers outside of the health plans. The Carelon Services segment integrates physical, behavioral, pharmacy, and social services by offering an array of healthcare-related services and capabilities to internal and external customers through its Carelon Health and Carelon Insights businesses.</v>
    <v>96129</v>
    <v>New York Stock Exchange</v>
    <v>XNYS</v>
    <v>XNYS</v>
    <v>220 Virginia Avenue, INDIANAPOLIS, IN, 46204 US</v>
    <v>316.02999999999997</v>
    <v>Healthcare Providers &amp; Services</v>
    <v>Stock</v>
    <v>46084.021327592185</v>
    <v>236</v>
    <v>289.97000000000003</v>
    <v>64875705155</v>
    <v>ELEVANCE HEALTH, INC.</v>
    <v>ELEVANCE HEALTH, INC.</v>
    <v>315.06</v>
    <v>12.743399999999999</v>
    <v>320</v>
    <v>293.94799999999998</v>
    <v>294.01</v>
    <v>220704700</v>
    <v>ELV</v>
    <v>ELEVANCE HEALTH, INC. (XNYS:ELV)</v>
    <v>4482039</v>
    <v>1954380</v>
    <v>2001</v>
  </rv>
  <rv s="2">
    <v>237</v>
  </rv>
  <rv s="7">
    <fb>338.65</fb>
    <v>13</v>
  </rv>
  <rv s="7">
    <fb>340.6</fb>
    <v>13</v>
  </rv>
  <rv s="0">
    <v>https://www.bing.com/financeapi/forcetrigger?t=a249r7&amp;q=XNYS%3aTJX&amp;form=skydnc</v>
    <v>Learn more on Bing</v>
  </rv>
  <rv s="1">
    <v>0</v>
    <v>THE TJX COMPANIES, INC. (XNYS:TJX)</v>
    <v>2</v>
    <v>3</v>
    <v>Finance</v>
    <v>4</v>
    <v>en-US</v>
    <v>a249r7</v>
    <v>268435456</v>
    <v>1</v>
    <v>Powered by Refinitiv</v>
    <v>162.6799</v>
    <v>112.1</v>
    <v>0.72470000000000001</v>
    <v>-1.75</v>
    <v>-1.0825E-2</v>
    <v>-0.24</v>
    <v>-1.5010000000000002E-3</v>
    <v>USD</v>
    <v>The TJX Companies, Inc. is an off-price apparel and home fashions retailer in the United States (U.S.) and worldwide. The Company's segments include Marmaxx and HomeGoods, both in the U.S., TJX Canada and TJX International, including Europe and Australia. The TJ Maxx and Marshalls chains sell family apparel, including footwear and accessories, home fashions, including home basics, decorative accessories, and giftware and other merchandise. The HomeGoods segment operates HomeGoods and Homesense chains. HomeGoods offers an eclectic assortment of home fashions, including furniture, rugs, lighting, soft home, decorative accessories, tabletop, and cookware, as well as expanded pet and gourmet food departments. The TJX Canada segment operates the Winners, HomeSense and Marshalls chains in Canada, offering a range of home decor, furniture, and seasonal home merchandise. The TJX International segment operates the TK Maxx and Homesense chains in Europe and the TK Maxx chain in Australia.</v>
    <v>364000</v>
    <v>New York Stock Exchange</v>
    <v>XNYS</v>
    <v>XNYS</v>
    <v>770 Cochituate Rd, FRAMINGHAM, MA, 01701 US</v>
    <v>161.5</v>
    <v>Diversified Retail</v>
    <v>Stock</v>
    <v>46084.039430103905</v>
    <v>241</v>
    <v>158.75</v>
    <v>177574777970</v>
    <v>THE TJX COMPANIES, INC.</v>
    <v>THE TJX COMPANIES, INC.</v>
    <v>160.22</v>
    <v>35.699100000000001</v>
    <v>161.66</v>
    <v>159.91</v>
    <v>159.69999999999999</v>
    <v>1110467000</v>
    <v>TJX</v>
    <v>THE TJX COMPANIES, INC. (XNYS:TJX)</v>
    <v>4924721</v>
    <v>5886950</v>
    <v>1962</v>
  </rv>
  <rv s="2">
    <v>242</v>
  </rv>
  <rv s="7">
    <fb>152.07</fb>
    <v>13</v>
  </rv>
  <rv s="7">
    <fb>153.94</fb>
    <v>13</v>
  </rv>
  <rv s="0">
    <v>https://www.bing.com/financeapi/forcetrigger?t=a1oxur&amp;q=XNYS%3aBSX&amp;form=skydnc</v>
    <v>Learn more on Bing</v>
  </rv>
  <rv s="1">
    <v>0</v>
    <v>BOSTON SCIENTIFIC CORPORATION (XNYS:BSX)</v>
    <v>2</v>
    <v>3</v>
    <v>Finance</v>
    <v>4</v>
    <v>en-US</v>
    <v>a1oxur</v>
    <v>268435456</v>
    <v>1</v>
    <v>Powered by Refinitiv</v>
    <v>109.5</v>
    <v>72.69</v>
    <v>0.68940000000000001</v>
    <v>-0.63500000000000001</v>
    <v>-8.2629999999999995E-3</v>
    <v>0.18</v>
    <v>2.362E-3</v>
    <v>USD</v>
    <v>Boston Scientific Corporation is a global developer, manufacturer and marketer of medical devices that are used in a range of interventional medical specialties. The Company's MedSurg segment includes Endoscopy, Urology, and Neuromodulation. Its Endoscopy business develops and manufactures devices to diagnose and treat a range of gastrointestinal conditions with less-invasive technologies. Its Urology business develops and manufactures devices to treat various urological conditions for both male and female anatomies, including kidney stones, benign prostatic hyperplasia, prostate cancer, erectile dysfunction, and incontinence. Its Neuromodulation business develops and manufactures devices to treat various neurological movement disorders and manage chronic pain. Its Cardiovascular segment includes Cardiology and Peripheral Interventions. The Cardiology includes interventional cardiology therapies, watchman, cardiac rhythm management, and electrophysiology.</v>
    <v>59000</v>
    <v>New York Stock Exchange</v>
    <v>XNYS</v>
    <v>XNYS</v>
    <v>300 Boston Scientific Way, MARLBOROUGH, MA, 01752-1234 US</v>
    <v>76.678200000000004</v>
    <v>Healthcare Equipment &amp; Supplies</v>
    <v>Stock</v>
    <v>46084.036667846878</v>
    <v>246</v>
    <v>75.33</v>
    <v>113094295275</v>
    <v>BOSTON SCIENTIFIC CORPORATION</v>
    <v>BOSTON SCIENTIFIC CORPORATION</v>
    <v>76.28</v>
    <v>39.631599999999999</v>
    <v>76.849999999999994</v>
    <v>76.215000000000003</v>
    <v>76.400000000000006</v>
    <v>1483885000</v>
    <v>BSX</v>
    <v>BOSTON SCIENTIFIC CORPORATION (XNYS:BSX)</v>
    <v>11112104</v>
    <v>19251905</v>
    <v>1979</v>
  </rv>
  <rv s="2">
    <v>247</v>
  </rv>
  <rv s="7">
    <fb>91.62</fb>
    <v>13</v>
  </rv>
  <rv s="7">
    <fb>75.5</fb>
    <v>13</v>
  </rv>
  <rv s="0">
    <v>https://www.bing.com/financeapi/forcetrigger?t=a1p3ww&amp;q=XNYS%3aC&amp;form=skydnc</v>
    <v>Learn more on Bing</v>
  </rv>
  <rv s="1">
    <v>0</v>
    <v>CITIGROUP INC. (XNYS:C)</v>
    <v>2</v>
    <v>3</v>
    <v>Finance</v>
    <v>4</v>
    <v>en-US</v>
    <v>a1p3ww</v>
    <v>268435456</v>
    <v>1</v>
    <v>Powered by Refinitiv</v>
    <v>125.16</v>
    <v>55.51</v>
    <v>1.1476999999999999</v>
    <v>1.22</v>
    <v>1.1072E-2</v>
    <v>-0.35659999999999997</v>
    <v>-3.2000000000000002E-3</v>
    <v>USD</v>
    <v>Citigroup Inc. is a global diversified financial services holding company. The Company’s segments include Services, Markets, Banking, Wealth and U.S. Personal Banking (USPB). The Services segment includes Treasury and Trade Solutions (TTS) and securities services. TTS provides an integrated suite of tailored cash management, trade and working capital solutions to multinational corporations, financial institutions and public sector organizations. The Markets segment provides corporate, institutional and public sector clients around the world with a full range of sales and trading services across equities, foreign exchange, rates, spread products and commodities. The Banking segment includes investment banking, which supports client capital-raising needs to help strengthen and grow their businesses. The Wealth segment includes Private Bank, Wealth at Work and Citigold and provides financial services to a range of client segments. USPB segment includes branded cards and retail services.</v>
    <v>226000</v>
    <v>New York Stock Exchange</v>
    <v>XNYS</v>
    <v>XNYS</v>
    <v>388 Greenwich Street, 17th Floor, NEW YORK, NY, 10013 US</v>
    <v>111.89</v>
    <v>Investment Banking &amp; Investment Services</v>
    <v>Stock</v>
    <v>46084.04113739531</v>
    <v>251</v>
    <v>106.2</v>
    <v>194891629790</v>
    <v>CITIGROUP INC.</v>
    <v>CITIGROUP INC.</v>
    <v>106.26</v>
    <v>15.8085</v>
    <v>110.19</v>
    <v>111.41</v>
    <v>111.0934</v>
    <v>1749319000</v>
    <v>C</v>
    <v>CITIGROUP INC. (XNYS:C)</v>
    <v>18976577</v>
    <v>14316514</v>
    <v>1988</v>
  </rv>
  <rv s="2">
    <v>252</v>
  </rv>
  <rv s="7">
    <fb>117.71</fb>
    <v>13</v>
  </rv>
  <rv s="7">
    <fb>117.43</fb>
    <v>13</v>
  </rv>
  <rv s="0">
    <v>https://www.bing.com/financeapi/forcetrigger?t=a1qvjc&amp;q=XNYS%3aDE&amp;form=skydnc</v>
    <v>Learn more on Bing</v>
  </rv>
  <rv s="1">
    <v>0</v>
    <v>DEERE &amp; COMPANY (XNYS:DE)</v>
    <v>2</v>
    <v>3</v>
    <v>Finance</v>
    <v>4</v>
    <v>en-US</v>
    <v>a1qvjc</v>
    <v>268435456</v>
    <v>1</v>
    <v>Powered by Refinitiv</v>
    <v>674.18989999999997</v>
    <v>404.42</v>
    <v>0.96879999999999999</v>
    <v>1.1200000000000001</v>
    <v>1.779E-3</v>
    <v>-0.39989999999999998</v>
    <v>-6.3390000000000007E-4</v>
    <v>USD</v>
    <v>Deere &amp; Company is engaged in the delivery of agricultural, construction and forestry equipment. Its segments include production and precision agriculture (PPA), small agriculture and turf (SAT), construction and forestry (CF), and financial services (FS). PPA segment defines, develops and delivers global equipment and technology solutions for production-scale growers of large grains, small grains, cotton and sugarcane. SAT segment defines, develops and delivers global equipment and technology solutions for dairy and livestock producers, high-value and small acreage crop producers, and turf and utility customers. CF segment defines, develops and delivers a range of machines and technology solutions organized along the earthmoving, forestry and roadbuilding production systems. FS segment finances sales and leases by John Deere dealers of new and used production and precision agriculture equipment and others. Its products include John Deere Autonomous 8R Tractor and E-Power Backhoe.</v>
    <v>73100</v>
    <v>New York Stock Exchange</v>
    <v>XNYS</v>
    <v>XNYS</v>
    <v>One John Deere Place, MOLINE, IL, 61265 US</v>
    <v>636.45000000000005</v>
    <v>Machinery, Equipment &amp; Components</v>
    <v>Stock</v>
    <v>46084.041254710159</v>
    <v>256</v>
    <v>619.79</v>
    <v>170391788059</v>
    <v>DEERE &amp; COMPANY</v>
    <v>DEERE &amp; COMPANY</v>
    <v>625.76</v>
    <v>35.503300000000003</v>
    <v>629.71</v>
    <v>630.83000000000004</v>
    <v>630.48009999999999</v>
    <v>270107300</v>
    <v>DE</v>
    <v>DEERE &amp; COMPANY (XNYS:DE)</v>
    <v>997011</v>
    <v>1967106</v>
    <v>1958</v>
  </rv>
  <rv s="2">
    <v>257</v>
  </rv>
  <rv s="7">
    <fb>545</fb>
    <v>13</v>
  </rv>
  <rv s="7">
    <fb>567.26</fb>
    <v>13</v>
  </rv>
  <rv s="0">
    <v>https://www.bing.com/financeapi/forcetrigger?t=a1xg3m&amp;q=XNYS%3aMDT&amp;form=skydnc</v>
    <v>Learn more on Bing</v>
  </rv>
  <rv s="1">
    <v>0</v>
    <v>MEDTRONIC PUBLIC LIMITED COMPANY (XNYS:MDT)</v>
    <v>2</v>
    <v>3</v>
    <v>Finance</v>
    <v>4</v>
    <v>en-US</v>
    <v>a1xg3m</v>
    <v>268435456</v>
    <v>1</v>
    <v>Powered by Refinitiv</v>
    <v>106.33</v>
    <v>79.55</v>
    <v>0.72529999999999994</v>
    <v>0.42</v>
    <v>4.3010000000000001E-3</v>
    <v>-0.1</v>
    <v>-1.0189999999999999E-3</v>
    <v>USD</v>
    <v>Medtronic Public Limited Company is an Ireland-based company, which provides healthcare technology solutions. The Company’s products category includes Advanced Surgical Technology; Cardiac Rhythm; Cardiovascular; Digestive &amp; Gastrointestinal; Ear, Nose &amp; Throat; General Surgery; Gynecological; Neurological; Oral &amp; Maxillofacial; Patient Monitoring; Renal Care; Respiratory; Spinal &amp; Orthopedic; Surgical Navigation &amp; Imaging; Urological; Product Manuals; Product Ordering &amp; Inquiries; and Product Performance &amp; Advisories. Its products include Cardiac Implantable Electronic Device (CIED) Stabilization, Aortic Stent Graft Products, CareLink Personal Therapy Management Software, CareLink Pro Therapy Management Software. Its services and solutions include Ambulatory Surgery Center Resources, Care Management Services, Digital Connectivity Information Technology (IT) Support, Equipment Services and Support, Innovation Lab, Medtronic Healthcare Consulting, and Office-Based Sinus Surgery.</v>
    <v>95000</v>
    <v>New York Stock Exchange</v>
    <v>XNYS</v>
    <v>XNYS</v>
    <v>Building Two Parkmore Business Park West, GALWAY, CONNACHT, H91 4K49 IE</v>
    <v>98.77</v>
    <v>Healthcare Equipment &amp; Supplies</v>
    <v>Stock</v>
    <v>46083.995436573437</v>
    <v>261</v>
    <v>96.71</v>
    <v>125923440800</v>
    <v>MEDTRONIC PUBLIC LIMITED COMPANY</v>
    <v>MEDTRONIC PUBLIC LIMITED COMPANY</v>
    <v>97.11</v>
    <v>27.270299999999999</v>
    <v>97.66</v>
    <v>98.08</v>
    <v>98</v>
    <v>1283885000</v>
    <v>MDT</v>
    <v>MEDTRONIC PUBLIC LIMITED COMPANY (XNYS:MDT)</v>
    <v>6393946</v>
    <v>9035547</v>
    <v>2014</v>
  </rv>
  <rv s="2">
    <v>262</v>
  </rv>
  <rv s="7">
    <fb>103.18</fb>
    <v>13</v>
  </rv>
  <rv s="7">
    <fb>101.84</fb>
    <v>13</v>
  </rv>
  <rv s="0">
    <v>https://www.bing.com/financeapi/forcetrigger?t=a1wzw7&amp;q=XNYS%3aLMT&amp;form=skydnc</v>
    <v>Learn more on Bing</v>
  </rv>
  <rv s="1">
    <v>0</v>
    <v>LOCKHEED MARTIN CORPORATION (XNYS:LMT)</v>
    <v>2</v>
    <v>3</v>
    <v>Finance</v>
    <v>4</v>
    <v>en-US</v>
    <v>a1wzw7</v>
    <v>268435456</v>
    <v>1</v>
    <v>Powered by Refinitiv</v>
    <v>692</v>
    <v>410.11</v>
    <v>0.22550000000000001</v>
    <v>22.01</v>
    <v>3.3621999999999999E-2</v>
    <v>1.33</v>
    <v>1.9650000000000002E-3</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692</v>
    <v>Aerospace &amp; Defense</v>
    <v>Stock</v>
    <v>46084.041463853908</v>
    <v>266</v>
    <v>664.01</v>
    <v>155681466528</v>
    <v>LOCKHEED MARTIN CORPORATION</v>
    <v>LOCKHEED MARTIN CORPORATION</v>
    <v>685.5</v>
    <v>30.467600000000001</v>
    <v>654.63</v>
    <v>676.64</v>
    <v>678.03</v>
    <v>230080200</v>
    <v>LMT</v>
    <v>LOCKHEED MARTIN CORPORATION (XNYS:LMT)</v>
    <v>3246470</v>
    <v>1679750</v>
    <v>1994</v>
  </rv>
  <rv s="2">
    <v>267</v>
  </rv>
  <rv s="7">
    <fb>628.26</fb>
    <v>13</v>
  </rv>
  <rv s="7">
    <fb>602.76</fb>
    <v>13</v>
  </rv>
  <rv s="0">
    <v>https://www.bing.com/financeapi/forcetrigger?t=a1mw4c&amp;q=XNAS%3aADP&amp;form=skydnc</v>
    <v>Learn more on Bing</v>
  </rv>
  <rv s="1">
    <v>0</v>
    <v>AUTOMATIC DATA PROCESSING, INC. (XNAS:ADP)</v>
    <v>2</v>
    <v>3</v>
    <v>Finance</v>
    <v>4</v>
    <v>en-US</v>
    <v>a1mw4c</v>
    <v>268435456</v>
    <v>1</v>
    <v>Powered by Refinitiv</v>
    <v>329.92950000000002</v>
    <v>203.26</v>
    <v>0.86850000000000005</v>
    <v>0.61</v>
    <v>2.846E-3</v>
    <v>-0.47</v>
    <v>-2.186E-3</v>
    <v>USD</v>
    <v>Automatic Data Processing, Inc. is a provider of cloud-based human capital management (HCM) solutions. Its segments include Employer Services and Professional Employer Organization (PEO). Its Employer Services segment serves clients ranging from single-employee small businesses to large enterprises with tens of thousands of employees around the world, offering a range of technology-based HCM solutions, including its cloud-based platforms, and human resource outsourcing (HRO) (other than PEO) solutions. Its offerings include Payroll Services, Benefits Administration, Talent Management, HR Management, Workforce Management, Compliance Services, Insurance Services and Retirement Services. Its PEO business, called ADP TotalSource, provides clients with guidance, technology, comprehensive employee benefits, risk management, safety, and workers’ compensation program. Its compensation management software supports the compensation planning needs.</v>
    <v>67000</v>
    <v>Nasdaq Stock Market</v>
    <v>XNAS</v>
    <v>XNAS</v>
    <v>One Adp Boulvard, ROSELAND, NJ, 07068 US</v>
    <v>216.25</v>
    <v>Software &amp; IT Services</v>
    <v>Stock</v>
    <v>46083.941702765624</v>
    <v>271</v>
    <v>210.72</v>
    <v>86556445171</v>
    <v>AUTOMATIC DATA PROCESSING, INC.</v>
    <v>AUTOMATIC DATA PROCESSING, INC.</v>
    <v>212.59</v>
    <v>20.592199999999998</v>
    <v>214.36</v>
    <v>214.97</v>
    <v>214.5</v>
    <v>402644300</v>
    <v>ADP</v>
    <v>AUTOMATIC DATA PROCESSING, INC. (XNAS:ADP)</v>
    <v>4419506</v>
    <v>3924379</v>
    <v>1961</v>
  </rv>
  <rv s="2">
    <v>272</v>
  </rv>
  <rv s="7">
    <fb>235.08</fb>
    <v>13</v>
  </rv>
  <rv s="7">
    <fb>234.67</fb>
    <v>13</v>
  </rv>
  <rv s="0">
    <v>https://www.bing.com/financeapi/forcetrigger?t=a1ook2&amp;q=XNYS%3aBMY&amp;form=skydnc</v>
    <v>Learn more on Bing</v>
  </rv>
  <rv s="1">
    <v>0</v>
    <v>BRISTOL-MYERS SQUIBB COMPANY (XNYS:BMY)</v>
    <v>2</v>
    <v>3</v>
    <v>Finance</v>
    <v>4</v>
    <v>en-US</v>
    <v>a1ook2</v>
    <v>268435456</v>
    <v>1</v>
    <v>Powered by Refinitiv</v>
    <v>63.33</v>
    <v>42.52</v>
    <v>0.27100000000000002</v>
    <v>-4.4999999999999998E-2</v>
    <v>-7.2150000000000003E-4</v>
    <v>-0.40660000000000002</v>
    <v>-6.522E-3</v>
    <v>USD</v>
    <v>Bristol-Myers Squibb Company is a global biopharmaceutical company. It is engaged in the discovery, development and delivery of transformational medicines for patients facing serious diseases in areas: oncology, hematology, immunology, cardiovascular, neuroscience and other areas. Its growth portfolio includes Opdivo (nivolumab), Opdivo Qvantig (nivolumab and hyaluronidase-nvhy), Yervoy (ipilimumab), Reblozyl (luspatercept-aamt), Opdualag (nivolumab and relatlimab-rmbw), Breyanzi (lisocabtagene maraleucel), Camzyos (mavacamten), Zeposia (ozanimod), Abecma (idecabtagene vicleucel), and Sotyktu (deucravacitinib). Its other growth products include Onureg, Inrebic, and Empliciti. Its legacy portfolio includes Eliquis (apixaban), Revlimid (lenalidomide), Pomalyst/Imnovid (pomalidomide), Sprycel (dasatinib), and Abraxane (paclitaxel albumin-bound particles for injectable suspension). Opdivo (nivolumab) is a fully human monoclonal antibody that binds to the PD-1 on T and NKT cells.</v>
    <v>32500</v>
    <v>New York Stock Exchange</v>
    <v>XNYS</v>
    <v>XNYS</v>
    <v>Route 206 And Province Line Road, PRINCETON, NJ, 08543 US</v>
    <v>62.886400000000002</v>
    <v>Pharmaceuticals</v>
    <v>Stock</v>
    <v>46084.018974803126</v>
    <v>276</v>
    <v>61.975000000000001</v>
    <v>126923242050</v>
    <v>BRISTOL-MYERS SQUIBB COMPANY</v>
    <v>BRISTOL-MYERS SQUIBB COMPANY</v>
    <v>62.37</v>
    <v>18.062000000000001</v>
    <v>62.37</v>
    <v>62.325000000000003</v>
    <v>61.933399999999999</v>
    <v>2036474000</v>
    <v>BMY</v>
    <v>BRISTOL-MYERS SQUIBB COMPANY (XNYS:BMY)</v>
    <v>17627534</v>
    <v>13341943</v>
    <v>1933</v>
  </rv>
  <rv s="2">
    <v>277</v>
  </rv>
  <rv s="7">
    <fb>55.99</fb>
    <v>13</v>
  </rv>
  <rv s="7">
    <fb>57.62</fb>
    <v>13</v>
  </rv>
  <rv s="0">
    <v>https://www.bing.com/financeapi/forcetrigger?t=a1mvjc&amp;q=XNAS%3aADI&amp;form=skydnc</v>
    <v>Learn more on Bing</v>
  </rv>
  <rv s="1">
    <v>0</v>
    <v>ANALOG DEVICES, INC. (XNAS:ADI)</v>
    <v>2</v>
    <v>3</v>
    <v>Finance</v>
    <v>4</v>
    <v>en-US</v>
    <v>a1mvjc</v>
    <v>268435456</v>
    <v>1</v>
    <v>Powered by Refinitiv</v>
    <v>363.2</v>
    <v>158.65</v>
    <v>1.0054000000000001</v>
    <v>-3.38</v>
    <v>-9.4999999999999998E-3</v>
    <v>-0.02</v>
    <v>-5.6750000000000004E-5</v>
    <v>USD</v>
    <v>Analog Devices, Inc. is a global semiconductor company. The Company designs, manufactures, tests, and markets a portfolio of solutions, including integrated circuits (ICs), software and subsystems that leverage high-performance analog, mixed-signal and digital signal processing technologies. Its comprehensive product portfolio, domain specialization and manufacturing capabilities extend across high-performance precision and high-speed mixed-signal, power management and processing technologies, including data converters, amplifiers, power management, radio frequency (RF) ICs, edge processors and other sensors. The Company's IC product portfolio includes both general-purpose products used by a range of customers and applications, as well as application-specific products designed for specific target markets. Its analog ICs monitor, condition, amplify or transform continuous analog signals associated with physical properties, such as temperature, pressure, weight, light, sound or motion.</v>
    <v>24500</v>
    <v>Nasdaq Stock Market</v>
    <v>XNAS</v>
    <v>XNAS</v>
    <v>One Analog Way, WILMINGTON, MA, 01887 US</v>
    <v>356.05</v>
    <v>Semiconductors &amp; Semiconductor Equipment</v>
    <v>Stock</v>
    <v>46083.925198020312</v>
    <v>281</v>
    <v>348</v>
    <v>172048042122</v>
    <v>ANALOG DEVICES, INC.</v>
    <v>ANALOG DEVICES, INC.</v>
    <v>348.77499999999998</v>
    <v>61.578200000000002</v>
    <v>355.79</v>
    <v>352.41</v>
    <v>352.39</v>
    <v>488204200</v>
    <v>ADI</v>
    <v>ANALOG DEVICES, INC. (XNAS:ADI)</v>
    <v>3326044</v>
    <v>4517048</v>
    <v>1965</v>
  </rv>
  <rv s="2">
    <v>282</v>
  </rv>
  <rv s="7">
    <fb>311.29000000000002</fb>
    <v>13</v>
  </rv>
  <rv s="7">
    <fb>320.44</fb>
    <v>13</v>
  </rv>
  <rv s="0">
    <v>https://www.bing.com/financeapi/forcetrigger?t=a1pp5r&amp;q=XNYS%3aCI&amp;form=skydnc</v>
    <v>Learn more on Bing</v>
  </rv>
  <rv s="1">
    <v>0</v>
    <v>THE CIGNA GROUP (XNYS:CI)</v>
    <v>2</v>
    <v>3</v>
    <v>Finance</v>
    <v>10</v>
    <v>en-US</v>
    <v>a1pp5r</v>
    <v>268435456</v>
    <v>1</v>
    <v>Powered by Refinitiv</v>
    <v>350</v>
    <v>239.51</v>
    <v>0.27350000000000002</v>
    <v>1.03</v>
    <v>3.5539999999999999E-3</v>
    <v>-3.05</v>
    <v>-1.0487E-2</v>
    <v>USD</v>
    <v>The Cigna Group is a global health company. The Company has two growth platforms: Evernorth Health Services and Cigna Healthcare. Evernorth Health Services includes its Pharmacy Benefit Services and Specialty and Care Services operating segments, which provide independent and coordinated health solutions and capabilities to enable the healthcare system to work better and help people live richer, healthier lives. Cigna Healthcare includes the U.S. Healthcare and International Health operating segments, which provide comprehensive medical plan services and coordinated solutions to clients and customers. Its Other Operations include corporate-owned life insurance (COLI), the Company's run-off operations and other non-strategic businesses. Specialty and Care Services provides specialty drugs for the treatment of complex and rare diseases, specialty distribution of pharmaceuticals and medical supplies, and clinical programs to help its clients.</v>
    <v>67700</v>
    <v>New York Stock Exchange</v>
    <v>XNYS</v>
    <v>XNYS</v>
    <v>900 Cottage Grove Road, BLOOMFIELD, CT, 06002 US</v>
    <v>292.32</v>
    <v>Healthcare Providers &amp; Services</v>
    <v>Stock</v>
    <v>46083.991476203126</v>
    <v>286</v>
    <v>287.39999999999998</v>
    <v>76647206055</v>
    <v>THE CIGNA GROUP</v>
    <v>THE CIGNA GROUP</v>
    <v>288.91000000000003</v>
    <v>13.0947</v>
    <v>289.82</v>
    <v>290.85000000000002</v>
    <v>287.8</v>
    <v>263528300</v>
    <v>CI</v>
    <v>THE CIGNA GROUP (XNYS:CI)</v>
    <v>1295479</v>
    <v>1840963</v>
    <v>2018</v>
  </rv>
  <rv s="2">
    <v>287</v>
  </rv>
  <rv s="7">
    <fb>275.39</fb>
    <v>13</v>
  </rv>
  <rv s="7">
    <fb>271.70999999999998</fb>
    <v>13</v>
  </rv>
  <rv s="0">
    <v>https://www.bing.com/financeapi/forcetrigger?t=a1xr1h&amp;q=XNYS%3aMMC&amp;form=skydnc</v>
    <v>Learn more on Bing</v>
  </rv>
  <rv s="1">
    <v>0</v>
    <v>MARSH &amp; MCLENNAN COMPANIES, INC. (XNYS:MRSH)</v>
    <v>2</v>
    <v>3</v>
    <v>Finance</v>
    <v>10</v>
    <v>en-US</v>
    <v>a1xr1h</v>
    <v>268435456</v>
    <v>1</v>
    <v>Powered by Refinitiv</v>
    <v>248</v>
    <v>170.37</v>
    <v>0.73809999999999998</v>
    <v>-0.31</v>
    <v>-1.66E-3</v>
    <v>-1.25</v>
    <v>-6.705E-3</v>
    <v>USD</v>
    <v>Marsh &amp; McLennan Companies, Inc. is a professional services company in the areas of risk, strategy and people. The Company conducts business through two segments: Risk and Insurance Services, and Consulting. Risk and Insurance Services segment includes risk management activities (risk advice, risk transfer and risk control and mitigation solutions) as well as insurance and reinsurance broking and services. It conducts business in this segment through Marsh and Guy Carpenter. Marsh is an insurance broker and risk advisor, serving companies, institutions and individuals. Guy Carpenter is a reinsurance intermediary and advisor. Consulting segment includes health, wealth and career advice, solutions and products, and specialized management, strategic, economic and brand consulting services. It conducts business in this segment through Mercer and Oliver Wyman Group. Oliver Wyman Group serves as a critical strategic, economic and brand advisor to private sector and governmental clients.</v>
    <v>95000</v>
    <v>New York Stock Exchange</v>
    <v>XNYS</v>
    <v>XNYS</v>
    <v>1166 Avenue of the Americas, NEW YORK, NY, 10036 US</v>
    <v>187.505</v>
    <v>Insurance</v>
    <v>Stock</v>
    <v>46083.991499536722</v>
    <v>291</v>
    <v>184.63</v>
    <v>90255274606</v>
    <v>MARSH &amp; MCLENNAN COMPANIES, INC.</v>
    <v>MARSH &amp; MCLENNAN COMPANIES, INC.</v>
    <v>185.34</v>
    <v>22.176500000000001</v>
    <v>186.74</v>
    <v>186.43</v>
    <v>185.18</v>
    <v>484124200</v>
    <v>MRSH</v>
    <v>MARSH &amp; MCLENNAN COMPANIES, INC. (XNYS:MRSH)</v>
    <v>1993064</v>
    <v>3475545</v>
    <v>1969</v>
  </rv>
  <rv s="2">
    <v>292</v>
  </rv>
  <rv s="7">
    <fb>188.49</fb>
    <v>13</v>
  </rv>
  <rv s="7">
    <fb>189.75</fb>
    <v>13</v>
  </rv>
  <rv s="0">
    <v>https://www.bing.com/financeapi/forcetrigger?t=a1tvoc&amp;q=XNAS%3aGILD&amp;form=skydnc</v>
    <v>Learn more on Bing</v>
  </rv>
  <rv s="1">
    <v>0</v>
    <v>GILEAD SCIENCES, INC. (XNAS:GILD)</v>
    <v>2</v>
    <v>3</v>
    <v>Finance</v>
    <v>10</v>
    <v>en-US</v>
    <v>a1tvoc</v>
    <v>268435456</v>
    <v>1</v>
    <v>Powered by Refinitiv</v>
    <v>157.29</v>
    <v>93.37</v>
    <v>0.38019999999999998</v>
    <v>1.08</v>
    <v>7.2509999999999996E-3</v>
    <v>-0.14000000000000001</v>
    <v>-9.3310000000000008E-4</v>
    <v>USD</v>
    <v>Gilead Sciences, Inc. is a biopharmaceutical company. It is engaged in advancing medicines to prevent and treat life-threatening diseases, including HIV, viral hepatitis, COVID-19, cancer, and inflammation. It is focused on discovering, developing, and delivering medicines to address unmet medical needs in virology, oncology, and other therapeutic areas. Its portfolio of marketed products includes Biktarvy, Genvoya, Descovy, Complera/Eviplera, Symtuza, Truvada, Stribild, Sunlenca, Epclusa, Vemlidy, Harvoni, Viread, Livdelzi, Veklury, Yescarta, Tecartus, Trodelvy, AmBisome, and Letairis. Its product candidates include Bulevirtide, Lenacapavir, Axicabtagene ciloleucel, Sacituzumab govitecan-hziy, and others. It also develops the HB-400 program and the HB-500 program. It develops therapies that are intended to provide functional cures for hepatitis B virus and human immunodeficiency virus-1. It has a cancer program, namely TREX1. It operates in more than 35 countries worldwide.</v>
    <v>17000</v>
    <v>Nasdaq Stock Market</v>
    <v>XNAS</v>
    <v>XNAS</v>
    <v>333 LAKESIDE DR, FOSTER CITY, CA, 94404-1147 US</v>
    <v>150.77000000000001</v>
    <v>Pharmaceuticals</v>
    <v>Stock</v>
    <v>46083.9499239</v>
    <v>296</v>
    <v>147.8005</v>
    <v>186250392630</v>
    <v>GILEAD SCIENCES, INC.</v>
    <v>GILEAD SCIENCES, INC.</v>
    <v>147.87</v>
    <v>21.9572</v>
    <v>148.94999999999999</v>
    <v>150.03</v>
    <v>149.88999999999999</v>
    <v>1241421000</v>
    <v>GILD</v>
    <v>GILEAD SCIENCES, INC. (XNAS:GILD)</v>
    <v>7183285</v>
    <v>8324094</v>
    <v>1987</v>
  </rv>
  <rv s="2">
    <v>297</v>
  </rv>
  <rv s="7">
    <fb>143.28</fb>
    <v>13</v>
  </rv>
  <rv s="7">
    <fb>146.22999999999999</fb>
    <v>13</v>
  </rv>
  <rv s="0">
    <v>https://www.bing.com/financeapi/forcetrigger?t=a1xfoc&amp;q=XNAS%3aMDLZ&amp;form=skydnc</v>
    <v>Learn more on Bing</v>
  </rv>
  <rv s="1">
    <v>0</v>
    <v>Mondelez International, Inc. (XNAS:MDLZ)</v>
    <v>2</v>
    <v>3</v>
    <v>Finance</v>
    <v>4</v>
    <v>en-US</v>
    <v>a1xfoc</v>
    <v>268435456</v>
    <v>1</v>
    <v>Powered by Refinitiv</v>
    <v>71.150000000000006</v>
    <v>51.200800000000001</v>
    <v>0.3911</v>
    <v>-1.1399999999999999</v>
    <v>-1.8512999999999998E-2</v>
    <v>-0.04</v>
    <v>-6.6180000000000004E-4</v>
    <v>USD</v>
    <v>Mondelez International, Inc. is a snack company. The Company’s core business is making and selling chocolate, biscuits and baked snacks. The Company also has additional businesses in adjacent, locally relevant categories including gum and candy, cheese and grocery and powdered beverages. Its portfolio includes global and local brands such as Oreo, Ritz, LU, Clif Bar and Tate’s Bake Shop biscuits and baked snacks, as well as Cadbury Dairy Milk, Milka and Toblerone chocolate. The Company’s segments include Latin America, AMEA, Europe and North America. It sells its products in over 150 countries and has operations in approximately 80 countries, including 147 principal manufacturing and processing facilities across 46 countries. It sells its products to supermarket chains, wholesalers, supercenters, club stores, mass merchandisers, distributors, convenience stores, gasoline stations, drug stores, value stores and other retail food outlets.</v>
    <v>91000</v>
    <v>Nasdaq Stock Market</v>
    <v>XNAS</v>
    <v>XNAS</v>
    <v>905 West Fulton Market, Suite 200, CHICAGO, IL, 60607 US</v>
    <v>61.34</v>
    <v>Food &amp; Tobacco</v>
    <v>Stock</v>
    <v>46083.888893633593</v>
    <v>301</v>
    <v>60.28</v>
    <v>77474772240</v>
    <v>Mondelez International, Inc.</v>
    <v>Mondelez International, Inc.</v>
    <v>61.16</v>
    <v>32.590299999999999</v>
    <v>61.58</v>
    <v>60.44</v>
    <v>60.4</v>
    <v>1281846000</v>
    <v>MDLZ</v>
    <v>Mondelez International, Inc. (XNAS:MDLZ)</v>
    <v>6523133</v>
    <v>11249355</v>
    <v>2000</v>
  </rv>
  <rv s="2">
    <v>302</v>
  </rv>
  <rv s="7">
    <fb>59.47</fb>
    <v>13</v>
  </rv>
  <rv s="7">
    <fb>59.4</fb>
    <v>13</v>
  </rv>
  <rv s="0">
    <v>https://www.bing.com/financeapi/forcetrigger?t=a21uim&amp;q=XNAS%3aREGN&amp;form=skydnc</v>
    <v>Learn more on Bing</v>
  </rv>
  <rv s="1">
    <v>0</v>
    <v>REGENERON PHARMACEUTICALS, INC. (XNAS:REGN)</v>
    <v>2</v>
    <v>3</v>
    <v>Finance</v>
    <v>10</v>
    <v>en-US</v>
    <v>a21uim</v>
    <v>268435456</v>
    <v>1</v>
    <v>Powered by Refinitiv</v>
    <v>821.11</v>
    <v>476.48689999999999</v>
    <v>0.4042</v>
    <v>9.14</v>
    <v>1.1693E-2</v>
    <v>-1.36</v>
    <v>-1.72E-3</v>
    <v>USD</v>
    <v>Regeneron Pharmaceuticals, Inc. is a fully integrated biotechnology company. The Company invents, develops, manufactures, and commercializes medicines for people with serious diseases. Its products and product candidates in development are designed to help patients with eye diseases, allergic and inflammatory diseases, cancer, cardiovascular and metabolic diseases, neurological diseases, hematologic conditions, infectious diseases, and rare diseases. The Company is accelerating drug development using its proprietary technologies, such as VelociSuite, which produces optimized fully human antibodies and new classes of bispecific antibodies. VelociSuite consists of VelocImmune, VelociGene, VelociMouse, VelociMab, Veloci-Bi, VelociT, VelociHum, and other related technologies. Its marketed products include EYLEA (aflibercept); Dupixent (dupilumab); Libtayo (cemiplimab); Ordspono (odronextamab); Kevzara (sarilumab); Itepekimab; Linvoseltamab, and others.</v>
    <v>15410</v>
    <v>Nasdaq Stock Market</v>
    <v>XNAS</v>
    <v>XNAS</v>
    <v>777 Old Saw Mill River Road, TARRYTOWN, NY, 10591 US</v>
    <v>793.16</v>
    <v>Pharmaceuticals</v>
    <v>Stock</v>
    <v>46083.885416666664</v>
    <v>306</v>
    <v>769.63</v>
    <v>83604275038</v>
    <v>REGENERON PHARMACEUTICALS, INC.</v>
    <v>REGENERON PHARMACEUTICALS, INC.</v>
    <v>771.1</v>
    <v>18.627500000000001</v>
    <v>781.67</v>
    <v>790.81</v>
    <v>789.45</v>
    <v>105719800</v>
    <v>REGN</v>
    <v>REGENERON PHARMACEUTICALS, INC. (XNAS:REGN)</v>
    <v>793325</v>
    <v>786413</v>
    <v>1988</v>
  </rv>
  <rv s="2">
    <v>307</v>
  </rv>
  <rv s="7">
    <fb>759.18</fb>
    <v>13</v>
  </rv>
  <rv s="7">
    <fb>775.06</fb>
    <v>13</v>
  </rv>
  <rv s="0">
    <v>https://www.bing.com/financeapi/forcetrigger?t=a1ngur&amp;q=XNYS%3aAMT&amp;form=skydnc</v>
    <v>Learn more on Bing</v>
  </rv>
  <rv s="1">
    <v>0</v>
    <v>AMERICAN TOWER CORPORATION (XNYS:AMT)</v>
    <v>2</v>
    <v>3</v>
    <v>Finance</v>
    <v>4</v>
    <v>en-US</v>
    <v>a1ngur</v>
    <v>268435456</v>
    <v>1</v>
    <v>Powered by Refinitiv</v>
    <v>234.33</v>
    <v>166.88</v>
    <v>0.92910000000000004</v>
    <v>-1.7</v>
    <v>-8.8610000000000008E-3</v>
    <v>-0.28999999999999998</v>
    <v>-1.5249999999999999E-3</v>
    <v>USD</v>
    <v>American Tower Corporation is a global real estate investment trust (REIT) and an independent owner, operator and developer of multitenant communications real estate with a portfolio of nearly 150,000 communications sites and a highly interconnected footprint of United States data center facilities. The Company's segments include U.S. &amp; Canada property, Africa &amp; APAC property, Europe property, Latin America property, Data Centers and Services. The Company’s primary business is leasing space on multitenant communications sites to wireless service providers, radio and television broadcast companies, wireless data providers, government agencies and municipalities and tenants in a number of other industries. The Company’s Data Centers segment relates to data center facilities and related assets that it owns and operates in the United States. Its Services segment offers tower-related services in the United States, including AZP, structural and mount analyses, and construction management.</v>
    <v>4866</v>
    <v>New York Stock Exchange</v>
    <v>XNYS</v>
    <v>XNYS</v>
    <v>116 Huntington Ave, BOSTON, MA, 02116 US</v>
    <v>192.24</v>
    <v>Residential &amp; Commercial REIT</v>
    <v>Stock</v>
    <v>46084.014043437499</v>
    <v>311</v>
    <v>188.54</v>
    <v>88630685568</v>
    <v>AMERICAN TOWER CORPORATION</v>
    <v>AMERICAN TOWER CORPORATION</v>
    <v>190.02</v>
    <v>35.551600000000001</v>
    <v>191.86</v>
    <v>190.16</v>
    <v>189.91</v>
    <v>466084800</v>
    <v>AMT</v>
    <v>AMERICAN TOWER CORPORATION (XNYS:AMT)</v>
    <v>3390459</v>
    <v>3315617</v>
    <v>1996</v>
  </rv>
  <rv s="2">
    <v>312</v>
  </rv>
  <rv s="7">
    <fb>173.13</fb>
    <v>13</v>
  </rv>
  <rv s="7">
    <fb>176.55</fb>
    <v>13</v>
  </rv>
  <rv s="0">
    <v>https://www.bing.com/financeapi/forcetrigger?t=a1yoa2&amp;q=XNYS%3aNOW&amp;form=skydnc</v>
    <v>Learn more on Bing</v>
  </rv>
  <rv s="1">
    <v>0</v>
    <v>SERVICENOW, INC. (XNYS:NOW)</v>
    <v>2</v>
    <v>3</v>
    <v>Finance</v>
    <v>4</v>
    <v>en-US</v>
    <v>a1yoa2</v>
    <v>268435456</v>
    <v>1</v>
    <v>Powered by Refinitiv</v>
    <v>211.47800000000001</v>
    <v>98</v>
    <v>0.9899</v>
    <v>1.44</v>
    <v>1.3332E-2</v>
    <v>0.08</v>
    <v>7.3109999999999994E-4</v>
    <v>USD</v>
    <v>ServiceNow, Inc. provides an artificial intelligence (AI) platform for business transformation. The Company’s AI platform connects people, processes, data, and devices to increase productivity and maximize business outcomes. Its intelligent platform, the Now Platform, is a cloud-based solution that helps enterprises and organizations across public and private sectors digitize workflows. The workflow applications built on the Now Platform are organized into four primary areas: Technology, CRM and Industry, Core Business and Creator. Its products include IT Service Management, IT Operations Management, HR Service Delivery, ServiceNow AI Agents, AI Experience, Build Agent, ServiceNow AI Control Tower, AI Agent Fabric, RaptorDB, Workflow Data Fabric, Workplace Service Delivery, ServiceNow Platform Encryption, Telecommunications Service Operations Management, and others. The Company also offers identity security, helping organizations secure access across the enterprise.</v>
    <v>29187</v>
    <v>New York Stock Exchange</v>
    <v>XNYS</v>
    <v>XNYS</v>
    <v>2225 Lawson Lane, SANTA CLARA, CA, 95054 US</v>
    <v>111.075</v>
    <v>Software &amp; IT Services</v>
    <v>Stock</v>
    <v>46084.041476400002</v>
    <v>316</v>
    <v>105.1</v>
    <v>114484700000</v>
    <v>SERVICENOW, INC.</v>
    <v>SERVICENOW, INC.</v>
    <v>105.98</v>
    <v>65.547600000000003</v>
    <v>108.01</v>
    <v>109.45</v>
    <v>109.5</v>
    <v>1046000000</v>
    <v>NOW</v>
    <v>SERVICENOW, INC. (XNYS:NOW)</v>
    <v>14780512</v>
    <v>24433759</v>
    <v>2012</v>
  </rv>
  <rv s="2">
    <v>317</v>
  </rv>
  <rv s="7">
    <fb>109.77</fb>
    <v>13</v>
  </rv>
  <rv s="7">
    <fb>111.07</fb>
    <v>13</v>
  </rv>
  <rv s="0">
    <v>https://www.bing.com/financeapi/forcetrigger?t=a1zgm7&amp;q=XNAS%3aPANW&amp;form=skydnc</v>
    <v>Learn more on Bing</v>
  </rv>
  <rv s="1">
    <v>0</v>
    <v>PALO ALTO NETWORKS, INC. (XNAS:PANW)</v>
    <v>2</v>
    <v>3</v>
    <v>Finance</v>
    <v>4</v>
    <v>en-US</v>
    <v>a1zgm7</v>
    <v>268435456</v>
    <v>1</v>
    <v>Powered by Refinitiv</v>
    <v>223.61</v>
    <v>139.57060000000001</v>
    <v>0.77929999999999999</v>
    <v>1.23</v>
    <v>8.258999999999999E-3</v>
    <v>-0.2727</v>
    <v>-1.8160000000000001E-3</v>
    <v>USD</v>
    <v>Palo Alto Networks, Inc. is a global artificial intelligence (AI) cybersecurity company, with a comprehensive portfolio of cybersecurity solutions and platforms across network, cloud, security operations, AI and Identity. Its network security platform includes Secure Access Service Edge (SASE), Next-Generation Firewalls, Cloud Delivered Security Services (CDSS), Prisma AIRS, and Strata Cloud Manager (SCM). It delivers security operations capabilities that unifies standalone Security Information and Event Management (SIEM) tools, endpoint security, security automation, cloud detection and response (CDR), as well as attack surface management (ASM) capabilities on its Cortex platform. It delivers comprehensive security across the cloud application development lifecycle through Cortex Cloud. Its Unit 42 brings together expertise across threat research, incident response, and security consulting to deliver intelligence-driven, response-ready outcomes that help customers reduce cyber risk.</v>
    <v>17027</v>
    <v>Nasdaq Stock Market</v>
    <v>XNAS</v>
    <v>XNAS</v>
    <v>3000 Tannery Way, SANTA CLARA, CA, 95054 US</v>
    <v>151.86000000000001</v>
    <v>Software &amp; IT Services</v>
    <v>Stock</v>
    <v>46083.988774837497</v>
    <v>321</v>
    <v>146.01</v>
    <v>122522400000</v>
    <v>PALO ALTO NETWORKS, INC.</v>
    <v>PALO ALTO NETWORKS, INC.</v>
    <v>147.9</v>
    <v>82.460800000000006</v>
    <v>148.91999999999999</v>
    <v>150.15</v>
    <v>149.87729999999999</v>
    <v>816000000</v>
    <v>PANW</v>
    <v>PALO ALTO NETWORKS, INC. (XNAS:PANW)</v>
    <v>8281324</v>
    <v>15057721</v>
    <v>2005</v>
  </rv>
  <rv s="2">
    <v>322</v>
  </rv>
  <rv s="7">
    <fb>166.24</fb>
    <v>13</v>
  </rv>
  <rv s="7">
    <fb>166.72</fb>
    <v>13</v>
  </rv>
  <rv s="0">
    <v>https://www.bing.com/financeapi/forcetrigger?t=a1p8tc&amp;q=XNYS%3aCB&amp;form=skydnc</v>
    <v>Learn more on Bing</v>
  </rv>
  <rv s="1">
    <v>0</v>
    <v>Chubb Ltd (XNYS:CB)</v>
    <v>2</v>
    <v>3</v>
    <v>Finance</v>
    <v>4</v>
    <v>en-US</v>
    <v>a1p8tc</v>
    <v>268435456</v>
    <v>1</v>
    <v>Powered by Refinitiv</v>
    <v>345.67</v>
    <v>264.10000000000002</v>
    <v>0.47149999999999997</v>
    <v>1.87</v>
    <v>5.4859999999999996E-3</v>
    <v>2.2400000000000002</v>
    <v>6.535E-3</v>
    <v>USD</v>
    <v>Chubb Limited is a Switzerland-based holding company. The Company, through its subsidiaries, provides a range of insurance and reinsurance products and services to clients around the world. Its segments include North America Commercial property and casualty (P&amp;C) Insurance, North America Personal P&amp;C Insurance, North America Agricultural Insurance, Overseas General Insurance, Global Reinsurance and Life Insurance. It offers commercial insurance products and service offerings, such as risk management programs, loss control, and engineering and complex claims management. It provides specialized insurance products to areas, such as aviation and energy. It also offers personal lines insurance coverage, including homeowners, automobile, valuables, umbrella liability and recreational marine products. In addition, it supplies personal accident, supplemental health and life insurance to individuals in select countries.</v>
    <v>43000</v>
    <v>New York Stock Exchange</v>
    <v>XNYS</v>
    <v>XNYS</v>
    <v>Baerengasse 32, ZUERICH, ZUERICH, 8001 CH</v>
    <v>345.67</v>
    <v>Insurance</v>
    <v>Stock</v>
    <v>46084.030870010938</v>
    <v>326</v>
    <v>338.8186</v>
    <v>134042114276</v>
    <v>Chubb Ltd</v>
    <v>Chubb Ltd</v>
    <v>341.75</v>
    <v>13.3247</v>
    <v>340.86</v>
    <v>342.73</v>
    <v>345</v>
    <v>391101200</v>
    <v>CB</v>
    <v>Chubb Ltd (XNYS:CB)</v>
    <v>1886011</v>
    <v>1770235</v>
    <v>2008</v>
  </rv>
  <rv s="2">
    <v>327</v>
  </rv>
  <rv s="7">
    <fb>313.38</fb>
    <v>13</v>
  </rv>
  <rv s="7">
    <fb>329.45</fb>
    <v>13</v>
  </rv>
  <rv s="0">
    <v>https://www.bing.com/financeapi/forcetrigger?t=a25k5r&amp;q=XNAS%3aVRTX&amp;form=skydnc</v>
    <v>Learn more on Bing</v>
  </rv>
  <rv s="1">
    <v>0</v>
    <v>VERTEX PHARMACEUTICALS INCORPORATED (XNAS:VRTX)</v>
    <v>2</v>
    <v>3</v>
    <v>Finance</v>
    <v>4</v>
    <v>en-US</v>
    <v>a25k5r</v>
    <v>268435456</v>
    <v>1</v>
    <v>Powered by Refinitiv</v>
    <v>519.67999999999995</v>
    <v>362.5</v>
    <v>0.31059999999999999</v>
    <v>-10.8</v>
    <v>-2.1738E-2</v>
    <v>-0.26</v>
    <v>-5.3490000000000005E-4</v>
    <v>USD</v>
    <v>Vertex Pharmaceuticals Incorporated is a global biotechnology company that invests in scientific innovation to create transformative medicines for people with serious diseases, with a focus on specialty markets. It has seven approved medicines: five that treat the underlying cause of cystic fibrosis (CF), one that treats severe sickle cell disease (SCD) and transfusion dependent beta thalassemia (TDT), and one that treats moderate-to-severe acute pain. Its pipeline includes clinical-stage programs in CF, SCD, beta thalassemia, acute and peripheral neuropathic pain, APOL1-mediated kidney disease, IgA nephropathy and other autoimmune renal diseases and cytopenias, type 1 diabetes, myotonic dystrophy type 1, and autosomal dominant polycystic kidney disease. Its marketed medicines are TRIKAFTA/KAFTRIO (elexacaftor/tezacaftor/ivacaftor and ivacaftor), SYMDEKO/SYMKEVI (elexacaftor/tezacaftor/ivacaftor and ivacaftor), ORKAMBI (lumacaftor/ivacaftor), and KALYDECO (ivacaftor).</v>
    <v>6400</v>
    <v>Nasdaq Stock Market</v>
    <v>XNAS</v>
    <v>XNAS</v>
    <v>50 Northern Avenue, BOSTON, MA, 02210 US</v>
    <v>498.02499999999998</v>
    <v>Pharmaceuticals</v>
    <v>Stock</v>
    <v>46083.925198390622</v>
    <v>331</v>
    <v>484.4</v>
    <v>123468242226</v>
    <v>VERTEX PHARMACEUTICALS INCORPORATED</v>
    <v>VERTEX PHARMACEUTICALS INCORPORATED</v>
    <v>496.59500000000003</v>
    <v>32.4026</v>
    <v>496.83</v>
    <v>486.03</v>
    <v>485.77</v>
    <v>254034200</v>
    <v>VRTX</v>
    <v>VERTEX PHARMACEUTICALS INCORPORATED (XNAS:VRTX)</v>
    <v>1034547</v>
    <v>1496855</v>
    <v>1989</v>
  </rv>
  <rv s="2">
    <v>332</v>
  </rv>
  <rv s="7">
    <fb>465.61</fb>
    <v>13</v>
  </rv>
  <rv s="7">
    <fb>470.52</fb>
    <v>13</v>
  </rv>
  <rv s="0">
    <v>https://www.bing.com/financeapi/forcetrigger?t=a1xtpr&amp;q=XNYS%3aMO&amp;form=skydnc</v>
    <v>Learn more on Bing</v>
  </rv>
  <rv s="1">
    <v>0</v>
    <v>Altria Group, Inc. (XNYS:MO)</v>
    <v>2</v>
    <v>3</v>
    <v>Finance</v>
    <v>4</v>
    <v>en-US</v>
    <v>a1xtpr</v>
    <v>268435456</v>
    <v>1</v>
    <v>Powered by Refinitiv</v>
    <v>70.510000000000005</v>
    <v>52.82</v>
    <v>0.47689999999999999</v>
    <v>-0.35</v>
    <v>-5.0699999999999999E-3</v>
    <v>-0.04</v>
    <v>-5.8230000000000001E-4</v>
    <v>USD</v>
    <v>Altria Group, Inc. operates a portfolio of tobacco products for United States tobacco consumers aged 21+. Its segments include smokeable products and oral tobacco products. The smokeable products segment consists of combustible cigarettes and machine-made large cigars. The oral tobacco products segment includes moist smokeless tobacco (MST) products and oral nicotine pouches. Its wholly owned subsidiaries include manufacturers of both combustible and smoke-free products. In combustibles, it owns Philip Morris USA Inc. (PM USA), and John Middleton Co. (Middleton), which are cigarette manufacturers. Its smoke-free portfolio includes ownership of U.S. Smokeless Tobacco Company LLC (USSTC), a global MST manufacturer, Helix Innovations LLC (Helix), a manufacturer of oral nicotine pouches, and NJOY, LLC (NJOY), an e-vapor manufacturer with a commercialized product portfolio. The brand portfolios of its operating companies include Marlboro, Black &amp; Mild, Copenhagen, Skoal, on! and NJOY.</v>
    <v>5900</v>
    <v>New York Stock Exchange</v>
    <v>XNYS</v>
    <v>XNYS</v>
    <v>6601 W Broad St, RICHMOND, VA, 23230 US</v>
    <v>69.73</v>
    <v>Food &amp; Tobacco</v>
    <v>Stock</v>
    <v>46084.037779166407</v>
    <v>336</v>
    <v>68.579899999999995</v>
    <v>114842673620</v>
    <v>Altria Group, Inc.</v>
    <v>Altria Group, Inc.</v>
    <v>69.14</v>
    <v>16.685700000000001</v>
    <v>69.040000000000006</v>
    <v>68.69</v>
    <v>68.650000000000006</v>
    <v>1671898000</v>
    <v>MO</v>
    <v>Altria Group, Inc. (XNYS:MO)</v>
    <v>7275651</v>
    <v>10197407</v>
    <v>1985</v>
  </rv>
  <rv s="2">
    <v>337</v>
  </rv>
  <rv s="7">
    <fb>64.16</fb>
    <v>13</v>
  </rv>
  <rv s="7">
    <fb>65.16</fb>
    <v>13</v>
  </rv>
  <rv s="0">
    <v>https://www.bing.com/financeapi/forcetrigger?t=a1swvh&amp;q=XNAS%3aFISI&amp;form=skydnc</v>
    <v>Learn more on Bing</v>
  </rv>
  <rv s="1">
    <v>0</v>
    <v>FINANCIAL INSTITUTIONS, INC. (XNAS:FISI)</v>
    <v>2</v>
    <v>3</v>
    <v>Finance</v>
    <v>10</v>
    <v>en-US</v>
    <v>a1swvh</v>
    <v>268435456</v>
    <v>1</v>
    <v>Powered by Refinitiv</v>
    <v>35.472999999999999</v>
    <v>20.97</v>
    <v>0.70020000000000004</v>
    <v>0.51</v>
    <v>1.6251999999999999E-2</v>
    <v>0</v>
    <v>0</v>
    <v>USD</v>
    <v>Financial Institutions, Inc. is a financial holding company. It provides a full range of banking and related financial services to consumer, commercial and municipal customers through its bank and non-bank subsidiaries. It offers a range of deposits, lending and other financial services to individuals, municipalities and businesses in the Western and Central New York branch network and its Mid-Atlantic commercial loan production office serving the Baltimore and Washington, D.C. region, through its banking subsidiary, Five Star Bank. It offers deposit products, such as checking and NOW accounts, savings accounts, and certificates of deposit. Its indirect lending network includes relationships with franchised automobile dealers in Western and Central New York, the Capital District of New York, and Northern and Central Pennsylvania. It offers customized investment advice, wealth management, investment consulting and retirement plan services through its subsidiary, Courier Capital, LLC.</v>
    <v>598</v>
    <v>Nasdaq Stock Market</v>
    <v>XNAS</v>
    <v>XNAS</v>
    <v>220 Liberty St, WARSAW, NY, 14569 US</v>
    <v>32.11</v>
    <v>Banking Services</v>
    <v>Stock</v>
    <v>46083.957298622656</v>
    <v>341</v>
    <v>30.73</v>
    <v>631326330</v>
    <v>FINANCIAL INSTITUTIONS, INC.</v>
    <v>FINANCIAL INSTITUTIONS, INC.</v>
    <v>30.87</v>
    <v>8.6925000000000008</v>
    <v>31.38</v>
    <v>31.89</v>
    <v>31.89</v>
    <v>19797000</v>
    <v>FISI</v>
    <v>FINANCIAL INSTITUTIONS, INC. (XNAS:FISI)</v>
    <v>161457</v>
    <v>199208</v>
    <v>1931</v>
  </rv>
  <rv s="2">
    <v>342</v>
  </rv>
  <rv s="7">
    <fb>34.270000000000003</fb>
    <v>13</v>
  </rv>
  <rv s="7">
    <fb>34.78</fb>
    <v>13</v>
  </rv>
  <rv s="0">
    <v>https://www.bing.com/financeapi/forcetrigger?t=a23a5r&amp;q=XNYS%3aSO&amp;form=skydnc</v>
    <v>Learn more on Bing</v>
  </rv>
  <rv s="1">
    <v>0</v>
    <v>THE SOUTHERN COMPANY (XNYS:SO)</v>
    <v>2</v>
    <v>3</v>
    <v>Finance</v>
    <v>4</v>
    <v>en-US</v>
    <v>a23a5r</v>
    <v>268435456</v>
    <v>1</v>
    <v>Powered by Refinitiv</v>
    <v>100.83499999999999</v>
    <v>83.09</v>
    <v>0.43090000000000001</v>
    <v>-0.17</v>
    <v>-1.7460000000000002E-3</v>
    <v>0.67</v>
    <v>6.8910000000000004E-3</v>
    <v>USD</v>
    <v>The Southern Company is an energy provider. The Company owns three traditional electric operating companies, Southern Power Company and Southern Company Gas. The traditional electric operating companies-Alabama Power, Georgia Power and Mississippi Power-are operating public utility companies providing electric service to retail customers in three Southeastern states in addition to wholesale customers in the Southeast. The Southern Power Company develops, constructs, acquires, owns, and manages power generation assets, including renewable energy projects, and sells electricity at market-based rates in the wholesale market. The Southern Company Gas is an energy services holding company whose primary business is the distribution of natural gas in four states - Illinois, Georgia, Virginia, and Tennessee, through the natural gas distribution utilities. Southern Company Gas is also involved in several other businesses that are complementary to the distribution of natural gas.</v>
    <v>29800</v>
    <v>New York Stock Exchange</v>
    <v>XNYS</v>
    <v>XNYS</v>
    <v>30 Ivan Allen Jr. Blvd., N.W., ATLANTA, GA, 30308 US</v>
    <v>97.819900000000004</v>
    <v>Electrical Utilities &amp; IPPs</v>
    <v>Stock</v>
    <v>46084.037324930468</v>
    <v>346</v>
    <v>97.03</v>
    <v>108815999110</v>
    <v>THE SOUTHERN COMPANY</v>
    <v>THE SOUTHERN COMPANY</v>
    <v>97.25</v>
    <v>24.860900000000001</v>
    <v>97.38</v>
    <v>97.21</v>
    <v>97.9</v>
    <v>1119391000</v>
    <v>SO</v>
    <v>THE SOUTHERN COMPANY (XNYS:SO)</v>
    <v>5156039</v>
    <v>7199159</v>
    <v>1945</v>
  </rv>
  <rv s="2">
    <v>347</v>
  </rv>
  <rv s="7">
    <fb>90.13</fb>
    <v>13</v>
  </rv>
  <rv s="7">
    <fb>90.29</fb>
    <v>13</v>
  </rv>
  <rv s="0">
    <v>https://www.bing.com/financeapi/forcetrigger?t=a1zqnm&amp;q=XNYS%3aPFE&amp;form=skydnc</v>
    <v>Learn more on Bing</v>
  </rv>
  <rv s="1">
    <v>0</v>
    <v>PFIZER INC. (XNYS:PFE)</v>
    <v>2</v>
    <v>3</v>
    <v>Finance</v>
    <v>4</v>
    <v>en-US</v>
    <v>a1zqnm</v>
    <v>268435456</v>
    <v>1</v>
    <v>Powered by Refinitiv</v>
    <v>27.94</v>
    <v>20.914999999999999</v>
    <v>0.43149999999999999</v>
    <v>-0.41499999999999998</v>
    <v>-1.5009E-2</v>
    <v>-4.02E-2</v>
    <v>-1.475E-3</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and others. Its PF-08653944 is an ultra-long-acting fully biased GLP-1 receptor agonist.</v>
    <v>75000</v>
    <v>New York Stock Exchange</v>
    <v>XNYS</v>
    <v>XNYS</v>
    <v>66 HUDSON BOULEVARD EAST, NEW YORK, NY, 10001-2192 US</v>
    <v>27.61</v>
    <v>Pharmaceuticals</v>
    <v>Stock</v>
    <v>46084.041501423439</v>
    <v>351</v>
    <v>27.17</v>
    <v>154865508980</v>
    <v>PFIZER INC.</v>
    <v>PFIZER INC.</v>
    <v>27.57</v>
    <v>20.393000000000001</v>
    <v>27.65</v>
    <v>27.234999999999999</v>
    <v>27.219799999999999</v>
    <v>5686268000</v>
    <v>PFE</v>
    <v>PFIZER INC. (XNYS:PFE)</v>
    <v>41321689</v>
    <v>48011833</v>
    <v>1942</v>
  </rv>
  <rv s="2">
    <v>352</v>
  </rv>
  <rv s="7">
    <fb>25.77</fb>
    <v>13</v>
  </rv>
  <rv s="7">
    <fb>26.78</fb>
    <v>13</v>
  </rv>
  <rv s="0">
    <v>https://www.bing.com/financeapi/forcetrigger?t=a1y4oc&amp;q=XNAS%3aMU&amp;form=skydnc</v>
    <v>Learn more on Bing</v>
  </rv>
  <rv s="1">
    <v>0</v>
    <v>MICRON TECHNOLOGY, INC. (XNAS:MU)</v>
    <v>2</v>
    <v>3</v>
    <v>Finance</v>
    <v>10</v>
    <v>en-US</v>
    <v>a1y4oc</v>
    <v>268435456</v>
    <v>1</v>
    <v>Powered by Refinitiv</v>
    <v>455.5</v>
    <v>61.54</v>
    <v>1.5076000000000001</v>
    <v>0.3</v>
    <v>7.2749999999999996E-4</v>
    <v>-1.86</v>
    <v>-4.5069999999999997E-3</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Compute and Networking Business Unit (CNBU), Mobile Business Unit (MBU), Embedded Business Unit (EBU), and Storage Business Unit (SBU). CNBU segment includes memory products and solutions sold into the data center, PC, graphics, and networking markets. MBU segment includes memory and storage products sold into the smartphone and other mobile-device markets. EBU segment includes memory and storage products and solutions sold into the intelligent edge through the automotive, industrial, and consumer embedded markets. SBU segment includes SSDs and component-level storage solutions sold into the data center, PC, and consumer markets.</v>
    <v>53000</v>
    <v>Nasdaq Stock Market</v>
    <v>XNAS</v>
    <v>XNAS</v>
    <v>8000 S Federal Way, Po Box 6, BOISE, ID, 83716-9632 US</v>
    <v>417.61</v>
    <v>Semiconductors &amp; Semiconductor Equipment</v>
    <v>Stock</v>
    <v>46083.907387997657</v>
    <v>356</v>
    <v>397</v>
    <v>464463799030</v>
    <v>MICRON TECHNOLOGY, INC.</v>
    <v>MICRON TECHNOLOGY, INC.</v>
    <v>401.47</v>
    <v>39.198700000000002</v>
    <v>412.37</v>
    <v>412.67</v>
    <v>410.81</v>
    <v>1125509000</v>
    <v>MU</v>
    <v>MICRON TECHNOLOGY, INC. (XNAS:MU)</v>
    <v>30049197</v>
    <v>36356248</v>
    <v>1984</v>
  </rv>
  <rv s="2">
    <v>357</v>
  </rv>
  <rv s="7">
    <fb>419.44</fb>
    <v>13</v>
  </rv>
  <rv s="7">
    <fb>379.4</fb>
    <v>13</v>
  </rv>
  <rv s="0">
    <v>https://www.bing.com/financeapi/forcetrigger?t=a1wjkr&amp;q=XNAS%3aKLAC&amp;form=skydnc</v>
    <v>Learn more on Bing</v>
  </rv>
  <rv s="1">
    <v>0</v>
    <v>KLA CORPORATION (XNAS:KLAC)</v>
    <v>2</v>
    <v>3</v>
    <v>Finance</v>
    <v>4</v>
    <v>en-US</v>
    <v>a1wjkr</v>
    <v>268435456</v>
    <v>1</v>
    <v>Powered by Refinitiv</v>
    <v>1693.35</v>
    <v>551.33000000000004</v>
    <v>1.4438</v>
    <v>10.4</v>
    <v>6.8219999999999999E-3</v>
    <v>-2.97</v>
    <v>-1.9350000000000001E-3</v>
    <v>USD</v>
    <v>KLA Corporation is a supplier of process control and yield management solutions and services for the semiconductor and related electronics industries. The Company offers a portfolio of inspection and metrology products, and related services, software and other offerings, supports research and development (R&amp;D) and manufacturing of integrated circuits (ICs), wafers and reticles. Its segments include Semiconductor Process Control, Specialty Semiconductor Process, and PCB and Component Inspection. Semiconductor Process Control segment provides comprehensive portfolio of inspection, metrology and software products, as well as related services, helping IC, wafer, reticle/mask and chemical/materials manufacturers achieve target yields throughout the entire fabrication process, from R&amp;D to final volume production. The Specialty Semiconductor Process segment develops and sells advanced vacuum deposition and etch process tools, which are used by a range of specialty semiconductor customers.</v>
    <v>15000</v>
    <v>Nasdaq Stock Market</v>
    <v>XNAS</v>
    <v>XNAS</v>
    <v>One Technology Drive, MILPITAS, CA, 95035 US</v>
    <v>1540.77</v>
    <v>Semiconductors &amp; Semiconductor Equipment</v>
    <v>Stock</v>
    <v>46083.92521400391</v>
    <v>361</v>
    <v>1475</v>
    <v>201196027170</v>
    <v>KLA CORPORATION</v>
    <v>KLA CORPORATION</v>
    <v>1475</v>
    <v>44.357599999999998</v>
    <v>1524.55</v>
    <v>1534.95</v>
    <v>1531.98</v>
    <v>131076600</v>
    <v>KLAC</v>
    <v>KLA CORPORATION (XNAS:KLAC)</v>
    <v>759131</v>
    <v>1194294</v>
    <v>1975</v>
  </rv>
  <rv s="2">
    <v>362</v>
  </rv>
  <rv s="7">
    <fb>1355.54</fb>
    <v>13</v>
  </rv>
  <rv s="7">
    <fb>1307.22</fb>
    <v>13</v>
  </rv>
  <rv s="0">
    <v>https://www.bing.com/financeapi/forcetrigger?t=a239hw&amp;q=XNAS%3aSNPS&amp;form=skydnc</v>
    <v>Learn more on Bing</v>
  </rv>
  <rv s="1">
    <v>0</v>
    <v>SYNOPSYS, INC. (XNAS:SNPS)</v>
    <v>2</v>
    <v>3</v>
    <v>Finance</v>
    <v>4</v>
    <v>en-US</v>
    <v>a239hw</v>
    <v>268435456</v>
    <v>1</v>
    <v>Powered by Refinitiv</v>
    <v>651.73</v>
    <v>365.74</v>
    <v>1.1447000000000001</v>
    <v>10.66</v>
    <v>2.5749000000000001E-2</v>
    <v>-4.66</v>
    <v>-1.0973E-2</v>
    <v>USD</v>
    <v>Synopsys, Inc. is engaged in providing engineering solutions from silicon to systems, enabling customers to innovate artificial intelligence (AI)-powered products. It delivers silicon design, intellectual property (IP), simulation and analysis solutions, and design services. It supplies mission-critical electronic design automation (EDA) software that engineers use to design and test integrated circuits (ICs). Its Design Automation segment includes its advanced silicon design, verification products and services and system integration products. This segment also includes digital, custom and field programmable gate arrays, integrated circuit design software, verification software and hardware products, system integration products and services, and manufacturing software products. Its Design IP segment includes its interface, foundation, security, and embedded processor IP, IP subsystems, and IP implementation services that serve companies in the semiconductor and electronics industries.</v>
    <v>28000</v>
    <v>Nasdaq Stock Market</v>
    <v>XNAS</v>
    <v>XNAS</v>
    <v>675 Almanor Ave, SUNNYVALE, CA, 94085 US</v>
    <v>426.22</v>
    <v>Software &amp; IT Services</v>
    <v>Stock</v>
    <v>46083.97000321719</v>
    <v>366</v>
    <v>405.505</v>
    <v>81348718920</v>
    <v>SYNOPSYS, INC.</v>
    <v>SYNOPSYS, INC.</v>
    <v>413.37</v>
    <v>64.054100000000005</v>
    <v>414</v>
    <v>424.66</v>
    <v>420</v>
    <v>191562000</v>
    <v>SNPS</v>
    <v>SYNOPSYS, INC. (XNAS:SNPS)</v>
    <v>4067190</v>
    <v>2539053</v>
    <v>1987</v>
  </rv>
  <rv s="2">
    <v>367</v>
  </rv>
  <rv s="7">
    <fb>419.14</fb>
    <v>13</v>
  </rv>
  <rv s="7">
    <fb>418.98</fb>
    <v>13</v>
  </rv>
  <rv s="0">
    <v>https://www.bing.com/financeapi/forcetrigger?t=a1vv8m&amp;q=XNYS%3aITW&amp;form=skydnc</v>
    <v>Learn more on Bing</v>
  </rv>
  <rv s="1">
    <v>0</v>
    <v>ILLINOIS TOOL WORKS INC. (XNYS:ITW)</v>
    <v>2</v>
    <v>3</v>
    <v>Finance</v>
    <v>4</v>
    <v>en-US</v>
    <v>a1vv8m</v>
    <v>268435456</v>
    <v>1</v>
    <v>Powered by Refinitiv</v>
    <v>303.15499999999997</v>
    <v>214.66</v>
    <v>1.1374</v>
    <v>0.56999999999999995</v>
    <v>1.9610000000000001E-3</v>
    <v>-2.0799999999999999E-2</v>
    <v>-7.1440000000000007E-5</v>
    <v>USD</v>
    <v>Illinois Tool Works Inc. is a global manufacturer of a diversified range of industrial products and equipment. The Company's segments include Automotive OEM; Food Equipment; Test &amp; Measurement and Electronics; Welding; Polymers &amp; Fluids; Construction Products, and Specialty Products. The Automotive OEM segment produces components and fasteners for automotive-related applications. The Food Equipment segment produces warewashing equipment, cooking equipment, refrigeration equipment, food processing equipment, ventilation and pollution control systems, and others. Its Welding segment produces arc welding equipment and metal arc welding consumables and related accessories. The Construction segment is a supplier of engineered fastening systems and solutions. The Specialty Products segment includes conveyor systems and line automation for the food and beverage industries; plastic consumables such as multipack cans and bottles and related equipment; components for medical devices, and others.</v>
    <v>43000</v>
    <v>New York Stock Exchange</v>
    <v>XNYS</v>
    <v>XNYS</v>
    <v>155 Harlem Avenue, GLENVIEW, IL, 60025 US</v>
    <v>291.8</v>
    <v>Consumer Goods Conglomerates</v>
    <v>Stock</v>
    <v>46083.99718788125</v>
    <v>371</v>
    <v>285.29000000000002</v>
    <v>83923840000</v>
    <v>ILLINOIS TOOL WORKS INC.</v>
    <v>ILLINOIS TOOL WORKS INC.</v>
    <v>287.82</v>
    <v>27.701799999999999</v>
    <v>290.63</v>
    <v>291.2</v>
    <v>291.14920000000001</v>
    <v>288200000</v>
    <v>ITW</v>
    <v>ILLINOIS TOOL WORKS INC. (XNYS:ITW)</v>
    <v>1475117</v>
    <v>1670232</v>
    <v>1961</v>
  </rv>
  <rv s="2">
    <v>372</v>
  </rv>
  <rv s="7">
    <fb>278.91000000000003</fb>
    <v>13</v>
  </rv>
  <rv s="7">
    <fb>288.8</fb>
    <v>13</v>
  </rv>
  <rv s="0">
    <v>https://www.bing.com/financeapi/forcetrigger?t=a1pshw&amp;q=XNYS%3aCL&amp;form=skydnc</v>
    <v>Learn more on Bing</v>
  </rv>
  <rv s="1">
    <v>0</v>
    <v>COLGATE-PALMOLIVE COMPANY (XNYS:CL)</v>
    <v>2</v>
    <v>3</v>
    <v>Finance</v>
    <v>4</v>
    <v>en-US</v>
    <v>a1pshw</v>
    <v>268435456</v>
    <v>1</v>
    <v>Powered by Refinitiv</v>
    <v>100.18</v>
    <v>74.545000000000002</v>
    <v>0.27339999999999998</v>
    <v>-1.865</v>
    <v>-1.8811999999999999E-2</v>
    <v>-0.15</v>
    <v>-1.542E-3</v>
    <v>USD</v>
    <v>Colgate-Palmolive Company is a growth company. It is focused on Oral Care, Personal Care, Home Care and Pet Nutrition, it sells its products under brands, such as Colgate, Palmolive, elmex, hello, meridol, Sorriso, Tom's of Maine, EltaMD, Filorga, Irish Spring, Lady Speed Stick, PCA SKIN, Protex, Sanex, Softsoap, Speed Stick, Ajax, Axion, Fabuloso, Murphy, Soupline and Suavitel, as well as Hill's Science Diet and Hill's Prescription Diet. Its Oral, Personal and Home Care product segment is managed geographically in five segments, such as North America, Latin America, Europe, Asia Pacific and Africa/Eurasia, all of which sell primarily to a variety of traditional and e-commerce retailers, wholesalers, distributors, dentists and skin health professionals. Its Pet Nutrition products include specialty pet nutrition products manufactured and marketed by Hill's Pet Nutrition. The customers for Pet Nutrition products are authorized pet supply retailers, veterinarians and e-commerce retailers.</v>
    <v>33600</v>
    <v>New York Stock Exchange</v>
    <v>XNYS</v>
    <v>XNYS</v>
    <v>300 PARK AVE, NEW YORK, NY, 10022 US</v>
    <v>98.82</v>
    <v>Personal &amp; Household Products &amp; Services</v>
    <v>Stock</v>
    <v>46084.035663113282</v>
    <v>376</v>
    <v>96.775000000000006</v>
    <v>77970581700</v>
    <v>COLGATE-PALMOLIVE COMPANY</v>
    <v>COLGATE-PALMOLIVE COMPANY</v>
    <v>98.56</v>
    <v>37.819499999999998</v>
    <v>99.14</v>
    <v>97.275000000000006</v>
    <v>97.15</v>
    <v>801548000</v>
    <v>CL</v>
    <v>COLGATE-PALMOLIVE COMPANY (XNYS:CL)</v>
    <v>6273718</v>
    <v>6987146</v>
    <v>1923</v>
  </rv>
  <rv s="2">
    <v>377</v>
  </rv>
  <rv s="7">
    <fb>93.15</fb>
    <v>13</v>
  </rv>
  <rv s="7">
    <fb>94.37</fb>
    <v>13</v>
  </rv>
  <rv s="0">
    <v>https://www.bing.com/financeapi/forcetrigger?t=a1rdzr&amp;q=XNYS%3aDUK&amp;form=skydnc</v>
    <v>Learn more on Bing</v>
  </rv>
  <rv s="1">
    <v>0</v>
    <v>DUKE ENERGY CORPORATION (XNYS:DUK)</v>
    <v>2</v>
    <v>3</v>
    <v>Finance</v>
    <v>4</v>
    <v>en-US</v>
    <v>a1rdzr</v>
    <v>268435456</v>
    <v>1</v>
    <v>Powered by Refinitiv</v>
    <v>132.19999999999999</v>
    <v>111.22</v>
    <v>0.49669999999999997</v>
    <v>0.77</v>
    <v>5.8850000000000005E-3</v>
    <v>0.66</v>
    <v>5.0139999999999994E-3</v>
    <v>USD</v>
    <v>Duke Energy Corporation is an energy holding company. The Company operates through two segments: Electric Utilities and Infrastructure (EU&amp;I) and Gas Utilities and Infrastructure (GU&amp;I). The EU&amp;I segment conducts operations primarily through the regulated public utilities of Duke Energy Carolinas, Duke Energy Progress, Duke Energy Florida, Duke Energy Indiana and Duke Energy Ohio. EU&amp;I provides retail electric service through the generation, transmission, distribution, and sale of electricity to customers within the Southeast and Midwest regions of the United States. The GU&amp;I segment conducts natural gas operations primarily through the regulated public utilities of Piedmont, Duke Energy Ohio, and Duke Energy Kentucky. GU&amp;I serves residential, commercial, industrial, and power generation natural gas customers, including customers served by municipalities who are wholesale customers. It also purchases a diverse portfolio of transportation and storage services from interstate pipelines.</v>
    <v>26441</v>
    <v>New York Stock Exchange</v>
    <v>XNYS</v>
    <v>XNYS</v>
    <v>525 South Tryon Street, CHARLOTTE, NC, 28202-1803 US</v>
    <v>132.19999999999999</v>
    <v>Electrical Utilities &amp; IPPs</v>
    <v>Stock</v>
    <v>46084.035235786716</v>
    <v>381</v>
    <v>130.55000000000001</v>
    <v>102357043858</v>
    <v>DUKE ENERGY CORPORATION</v>
    <v>DUKE ENERGY CORPORATION</v>
    <v>131</v>
    <v>20.821300000000001</v>
    <v>130.85</v>
    <v>131.62</v>
    <v>132.29</v>
    <v>777670900</v>
    <v>DUK</v>
    <v>DUKE ENERGY CORPORATION (XNYS:DUK)</v>
    <v>5034368</v>
    <v>4808843</v>
    <v>2005</v>
  </rv>
  <rv s="2">
    <v>382</v>
  </rv>
  <rv s="7">
    <fb>121.67</fb>
    <v>13</v>
  </rv>
  <rv s="7">
    <fb>122.21</fb>
    <v>13</v>
  </rv>
  <rv s="0">
    <v>https://www.bing.com/financeapi/forcetrigger?t=a26hyc&amp;q=XNYS%3aZTS&amp;form=skydnc</v>
    <v>Learn more on Bing</v>
  </rv>
  <rv s="1">
    <v>0</v>
    <v>ZOETIS INC. (XNYS:ZTS)</v>
    <v>2</v>
    <v>3</v>
    <v>Finance</v>
    <v>4</v>
    <v>en-US</v>
    <v>a26hyc</v>
    <v>268435456</v>
    <v>1</v>
    <v>Powered by Refinitiv</v>
    <v>177</v>
    <v>115.25</v>
    <v>0.94889999999999997</v>
    <v>-2.17</v>
    <v>-1.6552000000000001E-2</v>
    <v>-0.5</v>
    <v>-3.8769999999999998E-3</v>
    <v>USD</v>
    <v>Zoetis Inc. is a global animal health company. The Company is focused on the discovery, development, manufacture and commercialization of medicines, vaccines, diagnostic products and services, biodevices, genetic tests and precision animal health. The Company operates through two segments: the United States (U.S.) and International. Within each of these operating segments, it offers a diversified product portfolio, including parasiticides, vaccines, dermatology, anti-infectives, pain and sedation, other pharmaceutical, and animal health diagnostics, for both companion animal and livestock customers. It directly markets its products in approximately 45 countries across North America, Europe, Africa, Asia, Australia and South America. The Company is engaged in commercializing products across eight species: dogs, cats and horses (collectively, companion animals) and cattle, poultry, swine, fish and sheep (collectively, livestock).</v>
    <v>14500</v>
    <v>New York Stock Exchange</v>
    <v>XNYS</v>
    <v>XNYS</v>
    <v>10 Sylvan Way, PARSIPPANY, NJ, 07054 US</v>
    <v>130.05000000000001</v>
    <v>Pharmaceuticals</v>
    <v>Stock</v>
    <v>46083.956084178128</v>
    <v>386</v>
    <v>127.09</v>
    <v>54424924361</v>
    <v>ZOETIS INC.</v>
    <v>ZOETIS INC.</v>
    <v>130.05000000000001</v>
    <v>21.409800000000001</v>
    <v>131.1</v>
    <v>128.93</v>
    <v>128.46</v>
    <v>422127700</v>
    <v>ZTS</v>
    <v>ZOETIS INC. (XNYS:ZTS)</v>
    <v>3063882</v>
    <v>4665312</v>
    <v>2012</v>
  </rv>
  <rv s="2">
    <v>387</v>
  </rv>
  <rv s="7">
    <fb>122.41</fb>
    <v>13</v>
  </rv>
  <rv s="7">
    <fb>126.7</fb>
    <v>13</v>
  </rv>
  <rv s="0">
    <v>https://www.bing.com/financeapi/forcetrigger?t=a1nllh&amp;q=XNYS%3aAPH&amp;form=skydnc</v>
    <v>Learn more on Bing</v>
  </rv>
  <rv s="1">
    <v>0</v>
    <v>AMPHENOL CORPORATION (XNYS:APH)</v>
    <v>2</v>
    <v>3</v>
    <v>Finance</v>
    <v>4</v>
    <v>en-US</v>
    <v>a1nllh</v>
    <v>268435456</v>
    <v>1</v>
    <v>Powered by Refinitiv</v>
    <v>167.04</v>
    <v>56.45</v>
    <v>1.2087000000000001</v>
    <v>-10.92</v>
    <v>-7.4763999999999997E-2</v>
    <v>-0.36</v>
    <v>-2.6640000000000001E-3</v>
    <v>USD</v>
    <v>Amphenol Corporation is a designer, manufacturer, and marketer of electrical, electronic and fiber optic connectors and interconnect systems, antennas, sensors and sensor-based products and coaxial and high-speed specialty cables. The Company operates through three segments. The Harsh Environment Solutions segment designs, manufactures and markets a range of ruggedized interconnect products and other products for use in the industrial, defense, commercial aerospace, automotive, mobile networks, medical and other markets. Communications Solutions segment designs, manufactures and markets a range of connector and interconnect systems for use in the information technology and data communications, mobile devices, industrial, mobile networks, broadband communications, automotive, commercial aerospace and defense end markets. Its Interconnect and Sensor Systems segment designs, manufactures and markets a range of sensors, sensor-based systems, connectors and value-add interconnect systems.</v>
    <v>170000</v>
    <v>New York Stock Exchange</v>
    <v>XNYS</v>
    <v>XNYS</v>
    <v>358 HALL AVE, WALLINGFORD, CT, 06492 US</v>
    <v>142.13999999999999</v>
    <v>Electronic Equipment &amp; Parts</v>
    <v>Stock</v>
    <v>46084.041341608594</v>
    <v>391</v>
    <v>134.77000000000001</v>
    <v>166116115099</v>
    <v>AMPHENOL CORPORATION</v>
    <v>AMPHENOL CORPORATION</v>
    <v>141.495</v>
    <v>43.6952</v>
    <v>146.06</v>
    <v>135.13999999999999</v>
    <v>134.80000000000001</v>
    <v>1229215000</v>
    <v>APH</v>
    <v>AMPHENOL CORPORATION (XNYS:APH)</v>
    <v>14746816</v>
    <v>11597949</v>
    <v>1986</v>
  </rv>
  <rv s="2">
    <v>392</v>
  </rv>
  <rv s="7">
    <fb>147.06</fb>
    <v>13</v>
  </rv>
  <rv s="7">
    <fb>130</fb>
    <v>13</v>
  </rv>
  <rv s="0">
    <v>https://www.bing.com/financeapi/forcetrigger?t=a1pejc&amp;q=XNAS%3aCDNS&amp;form=skydnc</v>
    <v>Learn more on Bing</v>
  </rv>
  <rv s="1">
    <v>0</v>
    <v>CADENCE DESIGN SYSTEMS, INC. (XNAS:CDNS)</v>
    <v>2</v>
    <v>3</v>
    <v>Finance</v>
    <v>4</v>
    <v>en-US</v>
    <v>a1pejc</v>
    <v>268435456</v>
    <v>1</v>
    <v>Powered by Refinitiv</v>
    <v>376.44499999999999</v>
    <v>221.56010000000001</v>
    <v>1.0019</v>
    <v>1.96</v>
    <v>6.5030000000000001E-3</v>
    <v>-1.68</v>
    <v>-5.5379999999999995E-3</v>
    <v>USD</v>
    <v>Cadence Design Systems, Inc. is an electronic systems designing company. The Company applies its Intelligent System Design strategy to deliver software, hardware and intellectual property (IP) that turn design concepts into reality. Its product categories include Core Electronic Design Automation (EDA), Semiconductor IP, and System Design and Analysis (SD&amp;A). Core EDA includes software, hardware, and services used to design and verify a wide variety of semiconductors. The semiconductor IP portfolio includes silicon subsystems, software, and services that are used in semiconductor design. The SD&amp;A category includes the software and services used to design and verify a wide variety of physical electronic systems. Its semiconductors are used in various industries, including automotive, aerospace, biotech, hyperscale and cloud computing, data centers, telecommunications, medical technology, industrial Internet of things (IIoT), and artificial intelligence (AI).</v>
    <v>13800</v>
    <v>Nasdaq Stock Market</v>
    <v>XNAS</v>
    <v>XNAS</v>
    <v>2655 Seely Avenue Bldg 5, SAN JOSE, CA, 95134 US</v>
    <v>304.77</v>
    <v>Software &amp; IT Services</v>
    <v>Stock</v>
    <v>46083.949924443747</v>
    <v>396</v>
    <v>296.10000000000002</v>
    <v>83689591680</v>
    <v>CADENCE DESIGN SYSTEMS, INC.</v>
    <v>CADENCE DESIGN SYSTEMS, INC.</v>
    <v>297.77999999999997</v>
    <v>74.290099999999995</v>
    <v>301.39999999999998</v>
    <v>303.36</v>
    <v>301.68</v>
    <v>275875500</v>
    <v>CDNS</v>
    <v>CADENCE DESIGN SYSTEMS, INC. (XNAS:CDNS)</v>
    <v>2801523</v>
    <v>3093402</v>
    <v>1987</v>
  </rv>
  <rv s="2">
    <v>397</v>
  </rv>
  <rv s="7">
    <fb>268.5</fb>
    <v>13</v>
  </rv>
  <rv s="7">
    <fb>271.42</fb>
    <v>13</v>
  </rv>
  <rv s="0">
    <v>https://www.bing.com/financeapi/forcetrigger?t=a25xjc&amp;q=XNYS%3aWM&amp;form=skydnc</v>
    <v>Learn more on Bing</v>
  </rv>
  <rv s="1">
    <v>0</v>
    <v>WASTE MANAGEMENT, INC. (XNYS:WM)</v>
    <v>2</v>
    <v>3</v>
    <v>Finance</v>
    <v>4</v>
    <v>en-US</v>
    <v>a25xjc</v>
    <v>268435456</v>
    <v>1</v>
    <v>Powered by Refinitiv</v>
    <v>244.61099999999999</v>
    <v>194.11</v>
    <v>0.57150000000000001</v>
    <v>2.21</v>
    <v>9.1760000000000001E-3</v>
    <v>-2.0699999999999998</v>
    <v>-8.516000000000001E-3</v>
    <v>USD</v>
    <v>Waste Management, Inc. is a provider of environmental solutions. The Company provides collection, recycling, and disposal services to millions of residential, commercial, industrial, and municipal customers throughout the United States and Canada. Its segments include East Tier, West Tier, Recycling Processing and Sales, WM Renewable Energy, and WM Healthcare Solutions. East Tier primarily consists of geographic areas located in the Eastern U.S., the Great Lakes region and all of Canada. The West Tier primarily includes geographic areas located in the Western U.S., including the upper Midwest region and British Columbia, Canada. Recycling Processing and Sales includes the processing and sales of materials collected from residential, commercial, and industrial customers. WM Renewable Energy develops, operates, and promotes projects for the beneficial use of landfill gas. WM Healthcare Solutions includes Regulated Waste and Compliance Services and Secure Information Destruction services.</v>
    <v>60500</v>
    <v>New York Stock Exchange</v>
    <v>XNYS</v>
    <v>XNYS</v>
    <v>800 Capitol Street, Suite 3000, HOUSTON, TX, 77002 US</v>
    <v>244.61099999999999</v>
    <v>Professional &amp; Commercial Services</v>
    <v>Stock</v>
    <v>46084.034475566405</v>
    <v>401</v>
    <v>240.33</v>
    <v>98030766190</v>
    <v>WASTE MANAGEMENT, INC.</v>
    <v>WASTE MANAGEMENT, INC.</v>
    <v>241.83</v>
    <v>35.960799999999999</v>
    <v>240.84</v>
    <v>243.05</v>
    <v>241</v>
    <v>403335800</v>
    <v>WM</v>
    <v>WASTE MANAGEMENT, INC. (XNYS:WM)</v>
    <v>2501564</v>
    <v>2459900</v>
    <v>1995</v>
  </rv>
  <rv s="2">
    <v>402</v>
  </rv>
  <rv s="7">
    <fb>225.09</fb>
    <v>13</v>
  </rv>
  <rv s="7">
    <fb>226.43</fb>
    <v>13</v>
  </rv>
  <rv s="0">
    <v>https://www.bing.com/financeapi/forcetrigger?t=a246z2&amp;q=XNYS%3aTGT&amp;form=skydnc</v>
    <v>Learn more on Bing</v>
  </rv>
  <rv s="1">
    <v>0</v>
    <v>TARGET CORPORATION (XNYS:TGT)</v>
    <v>2</v>
    <v>3</v>
    <v>Finance</v>
    <v>4</v>
    <v>en-US</v>
    <v>a246z2</v>
    <v>268435456</v>
    <v>1</v>
    <v>Powered by Refinitiv</v>
    <v>127.06</v>
    <v>83.44</v>
    <v>1.1181000000000001</v>
    <v>-0.63</v>
    <v>-5.5369999999999994E-3</v>
    <v>-0.17</v>
    <v>-1.5020000000000001E-3</v>
    <v>USD</v>
    <v>Target Corporation is a general merchandise retailer selling products to its guests through its stores and digital channels. The Company offers customers, referred to as guests, everyday essentials and fashionable, differentiated merchandise at discounted prices. The majority of its stores offer a wide assortment of general merchandise and food. Its merchandise categories include apparel and accessories, beauty and household essentials, food and beverage, hardlines, and home furnishings and decor. Most of its stores are larger than 170,000 square feet, offer a variety of general merchandise and a full line of food items comparable to traditional supermarkets. Its digital channels include a wide merchandise and food assortment, including many items found in its stores, along with a complementary assortment sold by the Company and third parties. Its brands include A New Day, Ava &amp; Viv, Cloud Island, Favorite Day, and others. It serves guests at nearly 2,000 stores and at Target.com.</v>
    <v>440000</v>
    <v>New York Stock Exchange</v>
    <v>XNYS</v>
    <v>XNYS</v>
    <v>1000 Nicollet Mall, MINNEAPOLIS, MN, 55403 US</v>
    <v>114.38</v>
    <v>Diversified Retail</v>
    <v>Stock</v>
    <v>46084.041600312499</v>
    <v>406</v>
    <v>111.25</v>
    <v>51239572224</v>
    <v>TARGET CORPORATION</v>
    <v>TARGET CORPORATION</v>
    <v>111.84</v>
    <v>13.8073</v>
    <v>113.79</v>
    <v>113.16</v>
    <v>113</v>
    <v>452806400</v>
    <v>TGT</v>
    <v>TARGET CORPORATION (XNYS:TGT)</v>
    <v>6301850</v>
    <v>6207107</v>
    <v>1902</v>
  </rv>
  <rv s="2">
    <v>407</v>
  </rv>
  <rv s="7">
    <fb>111.3</fb>
    <v>13</v>
  </rv>
  <rv s="7">
    <fb>114.13</fb>
    <v>13</v>
  </rv>
  <rv s="0">
    <v>https://www.bing.com/financeapi/forcetrigger?t=a251gh&amp;q=XNYS%3aUSB&amp;form=skydnc</v>
    <v>Learn more on Bing</v>
  </rv>
  <rv s="1">
    <v>0</v>
    <v>U.S. BANCORP (XNYS:USB)</v>
    <v>2</v>
    <v>3</v>
    <v>Finance</v>
    <v>4</v>
    <v>en-US</v>
    <v>a251gh</v>
    <v>268435456</v>
    <v>1</v>
    <v>Powered by Refinitiv</v>
    <v>61.19</v>
    <v>35.18</v>
    <v>1.0597000000000001</v>
    <v>-0.02</v>
    <v>-3.6589999999999995E-4</v>
    <v>0.25</v>
    <v>4.5760000000000002E-3</v>
    <v>USD</v>
    <v>U.S. Bancorp is a financial services holding company. Its segments are Wealth, Corporate, Commercial and Institutional Banking, Consumer and Business Banking, Payment Services, and Treasury and Corporate Support. It provides a full range of financial services, including lending and depository services, cash management, capital markets, and trust and investment management services. It also engages in credit card services, merchant and ATM processing, mortgage banking, insurance, brokerage and leasing. Its banking subsidiary, U.S. Bank National Association (USBNA), is engaged in the banking business, principally in domestic markets. USBNA provides a range of products and services to individuals, businesses, institutional organizations, governmental entities and other financial institutions. Its non-banking subsidiaries offer investment and insurance products to its customers principally within its domestic markets, and fund administration services to a range of mutual and other funds.</v>
    <v>68520</v>
    <v>New York Stock Exchange</v>
    <v>XNYS</v>
    <v>XNYS</v>
    <v>800 Nicollet Mall, MINNEAPOLIS, MN, 55402-7020 US</v>
    <v>55.265000000000001</v>
    <v>Banking Services</v>
    <v>Stock</v>
    <v>46084.024883332815</v>
    <v>411</v>
    <v>53.25</v>
    <v>84893949440</v>
    <v>U.S. BANCORP</v>
    <v>U.S. BANCORP</v>
    <v>53.65</v>
    <v>11.8284</v>
    <v>54.66</v>
    <v>54.64</v>
    <v>54.88</v>
    <v>1553696000</v>
    <v>USB</v>
    <v>U.S. BANCORP (XNYS:USB)</v>
    <v>8980727</v>
    <v>10876666</v>
    <v>1929</v>
  </rv>
  <rv s="2">
    <v>412</v>
  </rv>
  <rv s="7">
    <fb>58.69</fb>
    <v>13</v>
  </rv>
  <rv s="7">
    <fb>59.42</fb>
    <v>13</v>
  </rv>
  <rv s="0">
    <v>https://www.bing.com/financeapi/forcetrigger?t=a1rlu2&amp;q=XNYS%3aECL&amp;form=skydnc</v>
    <v>Learn more on Bing</v>
  </rv>
  <rv s="1">
    <v>0</v>
    <v>ECOLAB INC. (XNYS:ECL)</v>
    <v>2</v>
    <v>3</v>
    <v>Finance</v>
    <v>4</v>
    <v>en-US</v>
    <v>a1rlu2</v>
    <v>268435456</v>
    <v>1</v>
    <v>Powered by Refinitiv</v>
    <v>309.27</v>
    <v>221.62</v>
    <v>0.9738</v>
    <v>-4.8949999999999996</v>
    <v>-1.5875E-2</v>
    <v>-1.96</v>
    <v>-6.4590000000000003E-3</v>
    <v>USD</v>
    <v>Ecolab Inc. is engaged in offering water, hygiene and infection prevention solutions and services that protect people and the resources vital to life. The Company’s Global Industrial segment provides water treatment and process applications, and cleaning and sanitizing solutions primarily to large industrial customers within the manufacturing, food and beverage processing, transportation, chemical, primary metals and mining, power generation, global refining, petrochemical, pulp and paper industries. Its Global Institutional &amp; Specialty segment provides specialized cleaning and sanitizing products to the foodservice, hospitality, lodging, government and education and retail industries. Its Global Healthcare &amp; Life Sciences segment provides specialized cleaning and sanitizing products to the healthcare, personal care, and pharmaceutical industries. Its Global Pest Elimination segment provides services designed to detect, prevent, and eliminate pests, such as rodents and insects.</v>
    <v>48000</v>
    <v>New York Stock Exchange</v>
    <v>XNYS</v>
    <v>XNYS</v>
    <v>1 Ecolab Place, SAINT PAUL, MN, 55102 US</v>
    <v>305.8</v>
    <v>Chemicals</v>
    <v>Stock</v>
    <v>46084.032996921094</v>
    <v>416</v>
    <v>297.91000000000003</v>
    <v>85565054622</v>
    <v>ECOLAB INC.</v>
    <v>ECOLAB INC.</v>
    <v>304.98</v>
    <v>42.375799999999998</v>
    <v>308.35000000000002</v>
    <v>303.45499999999998</v>
    <v>301.5</v>
    <v>281969500</v>
    <v>ECL</v>
    <v>ECOLAB INC. (XNYS:ECL)</v>
    <v>1428333</v>
    <v>1340268</v>
    <v>1924</v>
  </rv>
  <rv s="2">
    <v>417</v>
  </rv>
  <rv s="7">
    <fb>282.42</fb>
    <v>13</v>
  </rv>
  <rv s="7">
    <fb>288.16000000000003</fb>
    <v>13</v>
  </rv>
  <rv s="0">
    <v>https://www.bing.com/financeapi/forcetrigger?t=a1tppr&amp;q=XNYS%3aGD&amp;form=skydnc</v>
    <v>Learn more on Bing</v>
  </rv>
  <rv s="1">
    <v>0</v>
    <v>GENERAL DYNAMICS CORPORATION (XNYS:GD)</v>
    <v>2</v>
    <v>3</v>
    <v>Finance</v>
    <v>4</v>
    <v>en-US</v>
    <v>a1tppr</v>
    <v>268435456</v>
    <v>1</v>
    <v>Powered by Refinitiv</v>
    <v>369.7</v>
    <v>239.2</v>
    <v>0.39660000000000001</v>
    <v>7.45</v>
    <v>2.0865000000000002E-2</v>
    <v>0.72</v>
    <v>1.9740000000000001E-3</v>
    <v>USD</v>
    <v>General Dynamics Corporation is a global aerospace and defense company. It offers a portfolio of products and services in business aviation; ship construction and repair; land combat vehicles, weapons systems and munitions, and technology products and services. Its segments include Aerospace, Marine Systems, Combat Systems and Technologies. The Aerospace segment produces business jets and is the standard bearer in new technology aircraft, aircraft repair, customer support and custom completion services. The Marine Systems segment designs and builds nuclear-powered submarines and is engaged in surface combatant and auxiliary ship design and construction for the U.S. Navy. The Combat Systems segment manufactures land combat solutions worldwide, including wheeled and tracked combat vehicles, weapons systems and munitions. The Technologies segment provides a full spectrum of services, technologies and products to a range of military, intelligence, federal civilian and state customers.</v>
    <v>117000</v>
    <v>New York Stock Exchange</v>
    <v>XNYS</v>
    <v>XNYS</v>
    <v>11011 Sunset Hills Rd, RESTON, VA, 20190 US</v>
    <v>366.065</v>
    <v>Aerospace &amp; Defense</v>
    <v>Stock</v>
    <v>46084.040167071093</v>
    <v>421</v>
    <v>359.15499999999997</v>
    <v>98557082100</v>
    <v>GENERAL DYNAMICS CORPORATION</v>
    <v>GENERAL DYNAMICS CORPORATION</v>
    <v>362.43</v>
    <v>23.586400000000001</v>
    <v>357.05</v>
    <v>364.5</v>
    <v>365.5</v>
    <v>270389800</v>
    <v>GD</v>
    <v>GENERAL DYNAMICS CORPORATION (XNYS:GD)</v>
    <v>1508302</v>
    <v>1378669</v>
    <v>1952</v>
  </rv>
  <rv s="2">
    <v>422</v>
  </rv>
  <rv s="7">
    <fb>355.31</fb>
    <v>13</v>
  </rv>
  <rv s="7">
    <fb>353.37</fb>
    <v>13</v>
  </rv>
  <rv s="0">
    <v>https://www.bing.com/financeapi/forcetrigger?t=a1ock2&amp;q=XNYS%3aBDX&amp;form=skydnc</v>
    <v>Learn more on Bing</v>
  </rv>
  <rv s="1">
    <v>0</v>
    <v>BECTON, DICKINSON AND COMPANY (XNYS:BDX)</v>
    <v>2</v>
    <v>3</v>
    <v>Finance</v>
    <v>4</v>
    <v>en-US</v>
    <v>a1ock2</v>
    <v>268435456</v>
    <v>1</v>
    <v>Powered by Refinitiv</v>
    <v>187.35</v>
    <v>127.5364</v>
    <v>0.2445</v>
    <v>0.04</v>
    <v>2.2669999999999998E-4</v>
    <v>-0.04</v>
    <v>-2.2660000000000001E-4</v>
    <v>USD</v>
    <v>Becton, Dickinson and Company is a global medical technology company. The Company is engaged in the development, manufacture and sale of a broad range of medical supplies, devices, laboratory equipment and diagnostic products used by healthcare institutions, physicians, life science researchers, clinical laboratories, and more. It operates through four segments: BD Medical Essentials, BD Connected Care, BD BioPharma Systems and BD Interventional. BD Medical Essentials segment includes medication delivery solutions and specimen management. BD Connected Care segment includes medication management solutions and advanced patient monitoring. BD Interventional segment includes urology and critical care, peripheral intervention and surgery.</v>
    <v>72000</v>
    <v>New York Stock Exchange</v>
    <v>XNYS</v>
    <v>XNYS</v>
    <v>One Becton Drive, FRANKLIN LAKES, NJ, 07417-1880 US</v>
    <v>176.8</v>
    <v>Healthcare Equipment &amp; Supplies</v>
    <v>Stock</v>
    <v>46084.009087152343</v>
    <v>426</v>
    <v>172.24</v>
    <v>50262622536</v>
    <v>BECTON, DICKINSON AND COMPANY</v>
    <v>BECTON, DICKINSON AND COMPANY</v>
    <v>174.08</v>
    <v>28.8492</v>
    <v>176.48</v>
    <v>176.52</v>
    <v>176.5</v>
    <v>284741800</v>
    <v>BDX</v>
    <v>BECTON, DICKINSON AND COMPANY (XNYS:BDX)</v>
    <v>2124358</v>
    <v>3105249</v>
    <v>1906</v>
  </rv>
  <rv s="2">
    <v>427</v>
  </rv>
  <rv s="7">
    <fb>206.5</fb>
    <v>13</v>
  </rv>
  <rv s="7">
    <fb>207.87</fb>
    <v>13</v>
  </rv>
  <rv s="0">
    <v>https://www.bing.com/financeapi/forcetrigger?t=a1v8ar&amp;q=XNYS%3aICE&amp;form=skydnc</v>
    <v>Learn more on Bing</v>
  </rv>
  <rv s="1">
    <v>0</v>
    <v>INTERCONTINENTAL EXCHANGE, INC. (XNYS:ICE)</v>
    <v>2</v>
    <v>3</v>
    <v>Finance</v>
    <v>4</v>
    <v>en-US</v>
    <v>a1v8ar</v>
    <v>268435456</v>
    <v>1</v>
    <v>Powered by Refinitiv</v>
    <v>189.35</v>
    <v>143.16999999999999</v>
    <v>1.0419</v>
    <v>0.65</v>
    <v>3.96E-3</v>
    <v>0</v>
    <v>0</v>
    <v>USD</v>
    <v>Intercontinental Exchange, Inc. provides financial technology and data services across major asset classes, helping its customers access workflow tools that increase transparency and efficiency. Its Exchanges segment operates regulated marketplace technology for the listing, trading and clearing of an array of derivatives contracts and financial securities as well as data and connectivity services related to its exchanges and clearing houses. Its Fixed Income and Data Services segment provides fixed income pricing, reference data, indices, analytics and execution services as well as global credit default swaps (CDS), clearing and multi-asset class data delivery technology. Its Mortgage Technology segment provides a technology platform that offers customers comprehensive, digital workflow tools that aim to address inefficiencies and mitigate risks that exist in the United States residential mortgage market life cycle, from application through closing, servicing and the secondary market.</v>
    <v>12844</v>
    <v>New York Stock Exchange</v>
    <v>XNYS</v>
    <v>XNYS</v>
    <v>5660 New Northside Drive, Third Floor, ATLANTA, GA, 30328 US</v>
    <v>168</v>
    <v>Investment Banking &amp; Investment Services</v>
    <v>Stock</v>
    <v>46084.009914501563</v>
    <v>431</v>
    <v>163.99</v>
    <v>93577985270</v>
    <v>INTERCONTINENTAL EXCHANGE, INC.</v>
    <v>INTERCONTINENTAL EXCHANGE, INC.</v>
    <v>165.26</v>
    <v>28.442299999999999</v>
    <v>164.13</v>
    <v>164.78</v>
    <v>164.78</v>
    <v>567896500</v>
    <v>ICE</v>
    <v>INTERCONTINENTAL EXCHANGE, INC. (XNYS:ICE)</v>
    <v>4452477</v>
    <v>4643659</v>
    <v>2013</v>
  </rv>
  <rv s="2">
    <v>432</v>
  </rv>
  <rv s="7">
    <fb>163.07</fb>
    <v>13</v>
  </rv>
  <rv s="7">
    <fb>164.85</fb>
    <v>13</v>
  </rv>
  <rv s="0">
    <v>https://www.bing.com/financeapi/forcetrigger?t=a1xear&amp;q=XNYS%3aMCO&amp;form=skydnc</v>
    <v>Learn more on Bing</v>
  </rv>
  <rv s="1">
    <v>0</v>
    <v>MOODY'S CORPORATION (XNYS:MCO)</v>
    <v>2</v>
    <v>3</v>
    <v>Finance</v>
    <v>4</v>
    <v>en-US</v>
    <v>a1xear</v>
    <v>268435456</v>
    <v>1</v>
    <v>Powered by Refinitiv</v>
    <v>546.88</v>
    <v>378.71</v>
    <v>1.4499</v>
    <v>-10.77</v>
    <v>-2.2599000000000001E-2</v>
    <v>-2.1</v>
    <v>-4.5050000000000003E-3</v>
    <v>USD</v>
    <v>Moody's Corporation is a global integrated risk assessment company. It is a global provider of research and insights; data and information, and decision solutions, which help companies make decisions. Its MA segment provides data, intelligence and analytical tools to help business and financial leaders make decisions. MA consists of a premier fixed income and economic research business (Research &amp; Insights); a data business powered by databases on companies and credit (Data &amp; Information), and three cloud-based subscription businesses serving banking, insurance and KYC workflows (Decision Solutions). Its MIS segment is a global provider of credit ratings, research, and risk analysis. It publishes credit ratings and provides assessment services on a wide range of debt obligations, programs and facilities, and the entities that issue such obligations in markets worldwide, including various corporate, financial institution and governmental obligations, and structured finance securities.</v>
    <v>16076</v>
    <v>New York Stock Exchange</v>
    <v>XNYS</v>
    <v>XNYS</v>
    <v>7 World Trade Center, At 250 Greenwich Street, NEW YORK, NY, 10007 US</v>
    <v>471.98</v>
    <v>Professional &amp; Commercial Services</v>
    <v>Stock</v>
    <v>46084.030448228907</v>
    <v>436</v>
    <v>463</v>
    <v>82584567000</v>
    <v>MOODY'S CORPORATION</v>
    <v>MOODY'S CORPORATION</v>
    <v>469.5</v>
    <v>34.865099999999998</v>
    <v>476.56</v>
    <v>465.79</v>
    <v>464</v>
    <v>177300000</v>
    <v>MCO</v>
    <v>MOODY'S CORPORATION (XNYS:MCO)</v>
    <v>1974150</v>
    <v>1681861</v>
    <v>2000</v>
  </rv>
  <rv s="2">
    <v>437</v>
  </rv>
  <rv s="7">
    <fb>471.05</fb>
    <v>13</v>
  </rv>
  <rv s="7">
    <fb>461.21</fb>
    <v>13</v>
  </rv>
  <rv s="0">
    <v>https://www.bing.com/financeapi/forcetrigger?t=a1ztzr&amp;q=XNYS%3aPH&amp;form=skydnc</v>
    <v>Learn more on Bing</v>
  </rv>
  <rv s="1">
    <v>0</v>
    <v>PARKER-HANNIFIN CORPORATION (XNYS:PH)</v>
    <v>2</v>
    <v>3</v>
    <v>Finance</v>
    <v>4</v>
    <v>en-US</v>
    <v>a1ztzr</v>
    <v>268435456</v>
    <v>1</v>
    <v>Powered by Refinitiv</v>
    <v>1034.96</v>
    <v>488.45</v>
    <v>1.2289000000000001</v>
    <v>2.09</v>
    <v>2.0709999999999999E-3</v>
    <v>-0.41</v>
    <v>-4.0539999999999999E-4</v>
    <v>USD</v>
    <v>Parker-Hannifin Corporation specializes in motion and control technologies. The Company designs, manufactures, and provides aftermarket support for highly engineered solutions. Its segments include Diversified Industrial and Aerospace Systems. Diversified Industrial Segment, which is an aggregation of several business units, sells highly engineered differentiated products to both original equipment manufacturers (OEMs) and distributors who serve the aftermarket replacement markets. This segment serves various markets, including aerospace &amp; defense, off-highway, in-plant &amp; industrial equipment, energy, transportation and HVAC &amp; refrigeration. Aerospace Systems Segment sells highly engineered, differentiated airframe and engine components and systems to OEMs and aftermarket parts and maintenance directly to end users primarily in the commercial aerospace and defense market verticals. Its products include active &amp; passive vibration control, avionics, flight control systems and others.</v>
    <v>57950</v>
    <v>New York Stock Exchange</v>
    <v>XNYS</v>
    <v>XNYS</v>
    <v>6035 Parkland Boulevard, CLEVELAND, OH, 44124-4141 US</v>
    <v>1015.32</v>
    <v>Machinery, Equipment &amp; Components</v>
    <v>Stock</v>
    <v>46083.999789108595</v>
    <v>441</v>
    <v>994.48</v>
    <v>127638959955</v>
    <v>PARKER-HANNIFIN CORPORATION</v>
    <v>PARKER-HANNIFIN CORPORATION</v>
    <v>1001.54</v>
    <v>36.808100000000003</v>
    <v>1009.18</v>
    <v>1011.27</v>
    <v>1011</v>
    <v>126216500</v>
    <v>PH</v>
    <v>PARKER-HANNIFIN CORPORATION (XNYS:PH)</v>
    <v>713316</v>
    <v>717987</v>
    <v>1938</v>
  </rv>
  <rv s="2">
    <v>442</v>
  </rv>
  <rv s="7">
    <fb>964.33</fb>
    <v>13</v>
  </rv>
  <rv s="7">
    <fb>967.99</fb>
    <v>13</v>
  </rv>
  <rv s="0">
    <v>https://www.bing.com/financeapi/forcetrigger?t=a1ry3m&amp;q=XNYS%3aEMR&amp;form=skydnc</v>
    <v>Learn more on Bing</v>
  </rv>
  <rv s="1">
    <v>0</v>
    <v>EMERSON ELECTRIC CO. (XNYS:EMR)</v>
    <v>2</v>
    <v>3</v>
    <v>Finance</v>
    <v>4</v>
    <v>en-US</v>
    <v>a1ry3m</v>
    <v>268435456</v>
    <v>1</v>
    <v>Powered by Refinitiv</v>
    <v>165.15</v>
    <v>90.055300000000003</v>
    <v>1.2428999999999999</v>
    <v>1.36</v>
    <v>9.0220000000000005E-3</v>
    <v>-0.08</v>
    <v>-5.2599999999999999E-4</v>
    <v>USD</v>
    <v>Emerson Electric Co. is a global technology and software company that provides solutions for customers in a wide range of end markets around the world. The Company operates through seven segments under two business groups, such as Intelligent Devices and Software and Control. Its Intelligent Devices business includes Final Control, Measurement &amp; Analytical, Discrete Automation, and Safety &amp; Productivity. Software and Control business includes Control Systems &amp; Software, Test &amp; Measurement, and AspenTech. Its Final Control segment is a global provider of control valves, isolation valves, shutoff valves, pressure relief valves, pressure safety valves, actuators, and regulators for process and hybrid industries. Its Measurement &amp; Analytical segment is a supplier of intelligent instrumentation measuring the physical properties of liquids or gases. AspenTech segment provides asset optimization software that enables industrial manufacturers to design, operate and maintain their operations.</v>
    <v>71000</v>
    <v>New York Stock Exchange</v>
    <v>XNYS</v>
    <v>XNYS</v>
    <v>8027 Forsyth Boulevard,, ST. LOUIS, MO, 63105 US</v>
    <v>152.80000000000001</v>
    <v>Machinery, Equipment &amp; Components</v>
    <v>Stock</v>
    <v>46083.958334814066</v>
    <v>446</v>
    <v>147.97999999999999</v>
    <v>85485820000</v>
    <v>EMERSON ELECTRIC CO.</v>
    <v>EMERSON ELECTRIC CO.</v>
    <v>148</v>
    <v>36.9619</v>
    <v>150.75</v>
    <v>152.11000000000001</v>
    <v>152</v>
    <v>562000000</v>
    <v>EMR</v>
    <v>EMERSON ELECTRIC CO. (XNYS:EMR)</v>
    <v>2504660</v>
    <v>4129839</v>
    <v>1890</v>
  </rv>
  <rv s="2">
    <v>447</v>
  </rv>
  <rv s="7">
    <fb>152.1</fb>
    <v>13</v>
  </rv>
  <rv s="7">
    <fb>157.32</fb>
    <v>13</v>
  </rv>
  <rv s="0">
    <v>https://www.bing.com/financeapi/forcetrigger?t=a1zbvh&amp;q=XNAS%3aORLY&amp;form=skydnc</v>
    <v>Learn more on Bing</v>
  </rv>
  <rv s="1">
    <v>0</v>
    <v>O'Reilly Automotive, Inc. (XNAS:ORLY)</v>
    <v>2</v>
    <v>3</v>
    <v>Finance</v>
    <v>10</v>
    <v>en-US</v>
    <v>a1zbvh</v>
    <v>268435456</v>
    <v>1</v>
    <v>Powered by Refinitiv</v>
    <v>108.715</v>
    <v>85.552400000000006</v>
    <v>0.62619999999999998</v>
    <v>1.1499999999999999</v>
    <v>1.225E-2</v>
    <v>-1.03</v>
    <v>-1.0839000000000001E-2</v>
    <v>USD</v>
    <v>O’Reilly Automotive, Inc. is a specialty retailer of automotive aftermarket parts, tools, supplies, equipment, and accessories in the United States (U.S.), selling its products to both do-it-yourself (DIY) and professional service provider customers. Its stores carry various product lines, including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oil, and wiper blades and accessories, such as floor mats, seat covers, and truck accessories. Its stores offer services and programs, including battery diagnostic testing; battery, wiper, and bulb replacement; a loaner tool program; custom hydraulic hoses, drum and rotor resurfacing, electrical and module testing, used oil, oil filter, and battery recycling; and others.</v>
    <v>78111</v>
    <v>Nasdaq Stock Market</v>
    <v>XNAS</v>
    <v>XNAS</v>
    <v>233 S Patterson Ave, SPRINGFIELD, MO, 65802 US</v>
    <v>95.168599999999998</v>
    <v>Specialty Retailers</v>
    <v>Stock</v>
    <v>46083.992279687503</v>
    <v>451</v>
    <v>93.46</v>
    <v>80006631276</v>
    <v>O'Reilly Automotive, Inc.</v>
    <v>O'Reilly Automotive, Inc.</v>
    <v>93.99</v>
    <v>31.646599999999999</v>
    <v>93.88</v>
    <v>95.03</v>
    <v>94</v>
    <v>841909200</v>
    <v>ORLY</v>
    <v>O'Reilly Automotive, Inc. (XNAS:ORLY)</v>
    <v>6444367</v>
    <v>6631172</v>
    <v>2010</v>
  </rv>
  <rv s="2">
    <v>452</v>
  </rv>
  <rv s="7">
    <fb>97.1</fb>
    <v>13</v>
  </rv>
  <rv s="7">
    <fb>96.74</fb>
    <v>13</v>
  </rv>
  <rv s="0">
    <v>https://www.bing.com/financeapi/forcetrigger?t=a1pxbh&amp;q=XNYS%3aCMG&amp;form=skydnc</v>
    <v>Learn more on Bing</v>
  </rv>
  <rv s="1">
    <v>0</v>
    <v>CHIPOTLE MEXICAN GRILL, INC. (XNYS:CMG)</v>
    <v>2</v>
    <v>3</v>
    <v>Finance</v>
    <v>4</v>
    <v>en-US</v>
    <v>a1pxbh</v>
    <v>268435456</v>
    <v>1</v>
    <v>Powered by Refinitiv</v>
    <v>58.42</v>
    <v>29.75</v>
    <v>1.0024999999999999</v>
    <v>-0.55500000000000005</v>
    <v>-1.4911000000000001E-2</v>
    <v>-0.05</v>
    <v>-1.3630000000000001E-3</v>
    <v>USD</v>
    <v>Chipotle Mexican Grill, Inc. is a restaurant company. The Company develops and operates restaurants that serve a menu of burritos, burrito bowls, quesadillas, tacos, and salads, made using fresh ingredients. The Company operates approximately 3839 restaurants in the United States, Canada, the United Kingdom, France, Germany, Kuwait, and United Arab Emirates. It owns and operates all its restaurants in North America and Europe. The Company is focused in serving sourced, classically cooked, real food with wholesome ingredients without artificial colors, flavors or preservatives. Its menu includes Burrito, Burrito Bowl, Lifestyle Bowl, Quesadilla, Salad, Tacos, Kid’s Meal, Chips and Sides, and Build your Own (digital only). It also includes Raymonte’s Chicken Bowl, The Mr. Fantasy Burrito, Carne Asada, Build-Your-Own Chipotle, catering and group order. Its subsidiaries include Chipotle Mexican Grill Canada Corp., Chipotle Mexican Grill France SAS, among others.</v>
    <v>130301</v>
    <v>New York Stock Exchange</v>
    <v>XNYS</v>
    <v>XNYS</v>
    <v>610 Newport Center Dr., NEWPORT BEACH, CA, 92660 US</v>
    <v>36.770000000000003</v>
    <v>Hotels &amp; Entertainment Services</v>
    <v>Stock</v>
    <v>46084.03719711797</v>
    <v>456</v>
    <v>35.615000000000002</v>
    <v>47753339295</v>
    <v>CHIPOTLE MEXICAN GRILL, INC.</v>
    <v>CHIPOTLE MEXICAN GRILL, INC.</v>
    <v>36.36</v>
    <v>32.052599999999998</v>
    <v>37.22</v>
    <v>36.664999999999999</v>
    <v>36.64</v>
    <v>1302423000</v>
    <v>CMG</v>
    <v>CHIPOTLE MEXICAN GRILL, INC. (XNYS:CMG)</v>
    <v>14969400</v>
    <v>18391625</v>
    <v>1998</v>
  </rv>
  <rv s="2">
    <v>457</v>
  </rv>
  <rv s="7">
    <fb>39.17</fb>
    <v>13</v>
  </rv>
  <rv s="7">
    <fb>39.93</fb>
    <v>13</v>
  </rv>
  <rv s="0">
    <v>https://www.bing.com/financeapi/forcetrigger?t=a21icw&amp;q=XNAS%3aPYPL&amp;form=skydnc</v>
    <v>Learn more on Bing</v>
  </rv>
  <rv s="1">
    <v>0</v>
    <v>PAYPAL HOLDINGS, INC. (XNAS:PYPL)</v>
    <v>2</v>
    <v>3</v>
    <v>Finance</v>
    <v>10</v>
    <v>en-US</v>
    <v>a21icw</v>
    <v>268435456</v>
    <v>1</v>
    <v>Powered by Refinitiv</v>
    <v>79.5</v>
    <v>38.46</v>
    <v>1.4330000000000001</v>
    <v>-0.57999999999999996</v>
    <v>-1.2551000000000001E-2</v>
    <v>-0.1167</v>
    <v>-2.5580000000000004E-3</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23800</v>
    <v>Nasdaq Stock Market</v>
    <v>XNAS</v>
    <v>XNAS</v>
    <v>2211 N 1st St, SAN JOSE, CA, 95131 US</v>
    <v>45.954999999999998</v>
    <v>Professional &amp; Commercial Services</v>
    <v>Stock</v>
    <v>46083.903821851563</v>
    <v>461</v>
    <v>44.64</v>
    <v>42009925698</v>
    <v>PAYPAL HOLDINGS, INC.</v>
    <v>PAYPAL HOLDINGS, INC.</v>
    <v>44.82</v>
    <v>8.5244999999999997</v>
    <v>46.21</v>
    <v>45.63</v>
    <v>45.513300000000001</v>
    <v>920664600</v>
    <v>PYPL</v>
    <v>PAYPAL HOLDINGS, INC. (XNAS:PYPL)</v>
    <v>17355253</v>
    <v>34137672</v>
    <v>2015</v>
  </rv>
  <rv s="2">
    <v>462</v>
  </rv>
  <rv s="7">
    <fb>41.7</fb>
    <v>13</v>
  </rv>
  <rv s="7">
    <fb>41.03</fb>
    <v>13</v>
  </rv>
  <rv s="0">
    <v>https://www.bing.com/financeapi/forcetrigger?t=a1qga2&amp;q=XNAS%3aCSX&amp;form=skydnc</v>
    <v>Learn more on Bing</v>
  </rv>
  <rv s="1">
    <v>0</v>
    <v>CSX Corporation (XNAS:CSX)</v>
    <v>2</v>
    <v>3</v>
    <v>Finance</v>
    <v>10</v>
    <v>en-US</v>
    <v>a1qga2</v>
    <v>268435456</v>
    <v>1</v>
    <v>Powered by Refinitiv</v>
    <v>43.344999999999999</v>
    <v>26.218399999999999</v>
    <v>1.2646999999999999</v>
    <v>0.48</v>
    <v>1.1244000000000001E-2</v>
    <v>-0.36</v>
    <v>-8.3389999999999992E-3</v>
    <v>USD</v>
    <v>CSX Corporation is a transportation company. The Company provides rail, intermodal and rail-to-truck transload services and solutions to customers across an array of markets, including energy, industrial, construction, agricultural and consumer products. It provides rail-based freight transportation services, including traditional rail service, the transport of intermodal containers and trailers, as well as other transportation services such as rail-to-truck transfers and bulk commodity operations. Through its subsidiary, CSX Transportation, Inc. (CSXT), it provides a link to the transportation supply chain through its approximately 20,000 route-mile rail network and serves major population centers in 26 states east of the Mississippi River, the District of Columbia and the Canadian provinces of Ontario and Quebec. CSXT is also engaged in real estate sales, leasing, acquisition and management and development activities. It serves merchandise, intermodal, coal, and trucking businesses.</v>
    <v>23000</v>
    <v>Nasdaq Stock Market</v>
    <v>XNAS</v>
    <v>XNAS</v>
    <v>500 Water Street, 15th Floor, JACKSONVILLE, FL, 32202 US</v>
    <v>43.344999999999999</v>
    <v>Freight &amp; Logistics Services</v>
    <v>Stock</v>
    <v>46083.877170532032</v>
    <v>466</v>
    <v>42.26</v>
    <v>80277075690</v>
    <v>CSX Corporation</v>
    <v>CSX Corporation</v>
    <v>42.664999999999999</v>
    <v>27.671399999999998</v>
    <v>42.69</v>
    <v>43.17</v>
    <v>42.81</v>
    <v>1859557000</v>
    <v>CSX</v>
    <v>CSX Corporation (XNAS:CSX)</v>
    <v>11788978</v>
    <v>13524223</v>
    <v>1978</v>
  </rv>
  <rv s="2">
    <v>467</v>
  </rv>
  <rv s="7">
    <fb>39.15</fb>
    <v>13</v>
  </rv>
  <rv s="7">
    <fb>39.85</fb>
    <v>13</v>
  </rv>
  <rv s="0">
    <v>https://www.bing.com/financeapi/forcetrigger?t=a1xe52&amp;q=XNYS%3aMCK&amp;form=skydnc</v>
    <v>Learn more on Bing</v>
  </rv>
  <rv s="1">
    <v>0</v>
    <v>MCKESSON CORPORATION (XNYS:MCK)</v>
    <v>2</v>
    <v>3</v>
    <v>Finance</v>
    <v>4</v>
    <v>en-US</v>
    <v>a1xe52</v>
    <v>268435456</v>
    <v>1</v>
    <v>Powered by Refinitiv</v>
    <v>995.07249999999999</v>
    <v>621.88</v>
    <v>0.38479999999999998</v>
    <v>4.5999999999999996</v>
    <v>4.6629999999999996E-3</v>
    <v>0</v>
    <v>0</v>
    <v>USD</v>
    <v>McKesson Corporation is a diversified healthcare services company, which focuses on advancing health outcomes for patients everywhere. Its U.S. Pharmaceutical segment distributes branded, generic, specialty, biosimilar and over-the-counter pharmaceutical drugs, and other healthcare-related products in the United States (U.S.). The Prescription Technology Solutions (RxTS) segment helps solve medication access, affordability and adherence challenges for patients by working across healthcare to connect patients, pharmacies, pharmacy benefit managers, health plans, and biopharma companies. The Medical-Surgical Solutions provides medical-surgical supply distribution, logistics, and other services to healthcare providers, including physician offices, hospital reference labs, and home healthcare agencies. The International segment provides distribution and services to wholesale, institutional, and retail customers in Canada and Norway. It also offers oncology and specialty solutions.</v>
    <v>43000</v>
    <v>New York Stock Exchange</v>
    <v>XNYS</v>
    <v>XNYS</v>
    <v>6555 State Highway 161, IRVING, TX, 75039 US</v>
    <v>995.07249999999999</v>
    <v>Pharmaceuticals</v>
    <v>Stock</v>
    <v>46084.014054027342</v>
    <v>471</v>
    <v>979.8</v>
    <v>121403485625</v>
    <v>MCKESSON CORPORATION</v>
    <v>MCKESSON CORPORATION</v>
    <v>990</v>
    <v>28.383800000000001</v>
    <v>986.55</v>
    <v>991.15</v>
    <v>990.95</v>
    <v>122487500</v>
    <v>MCK</v>
    <v>MCKESSON CORPORATION (XNYS:MCK)</v>
    <v>523060</v>
    <v>833291</v>
    <v>1994</v>
  </rv>
  <rv s="2">
    <v>472</v>
  </rv>
  <rv s="7">
    <fb>851.12</fb>
    <v>13</v>
  </rv>
  <rv s="7">
    <fb>822</fb>
    <v>13</v>
  </rv>
  <rv s="0">
    <v>https://www.bing.com/financeapi/forcetrigger?t=a1qgcw&amp;q=XNAS%3aCTAS&amp;form=skydnc</v>
    <v>Learn more on Bing</v>
  </rv>
  <rv s="1">
    <v>0</v>
    <v>CINTAS CORPORATION (XNAS:CTAS)</v>
    <v>2</v>
    <v>3</v>
    <v>Finance</v>
    <v>4</v>
    <v>en-US</v>
    <v>a1qgcw</v>
    <v>268435456</v>
    <v>1</v>
    <v>Powered by Refinitiv</v>
    <v>229.24</v>
    <v>180.39</v>
    <v>0.94530000000000003</v>
    <v>0.47</v>
    <v>2.3370000000000001E-3</v>
    <v>-0.1</v>
    <v>-4.9600000000000002E-4</v>
    <v>USD</v>
    <v>Cintas Corporation develops uniform programs using fabric. The Company helps businesses of all types and sizes, primarily in the United States, as well as Canada and Latin America. The Company operates through two segments: Uniform Rental and Facility Services segment and the First Aid and Safety Services segment. The Uniform Rental and Facility Services segment consists of the rental and servicing of uniforms and other garments, including flame resistant clothing, mats, mops and shop towels and other ancillary items. This segment also includes restroom cleaning services and supplies and the sale of items from its catalogs to its customers. The First Aid and Safety Services segment consists of first aid and safety products and services. The remainder of its segments, which consists of the Fire Protection Services segment and the Uniform Direct Sale segment, is included in All Other. It provides its products and services to small service and manufacturing companies and to corporations.</v>
    <v>48300</v>
    <v>Nasdaq Stock Market</v>
    <v>XNAS</v>
    <v>XNAS</v>
    <v>6800 Cintas Blvd, P O Box 625737, CINCINNATI, OH, 45262 US</v>
    <v>202.42</v>
    <v>Professional &amp; Commercial Services</v>
    <v>Stock</v>
    <v>46083.925214652343</v>
    <v>476</v>
    <v>198.58</v>
    <v>80617743360</v>
    <v>CINTAS CORPORATION</v>
    <v>CINTAS CORPORATION</v>
    <v>200.29</v>
    <v>43.470700000000001</v>
    <v>201.13</v>
    <v>201.6</v>
    <v>201.5</v>
    <v>399889600</v>
    <v>CTAS</v>
    <v>CINTAS CORPORATION (XNAS:CTAS)</v>
    <v>1200616</v>
    <v>1864656</v>
    <v>1986</v>
  </rv>
  <rv s="2">
    <v>477</v>
  </rv>
  <rv s="7">
    <fb>190.73</fb>
    <v>13</v>
  </rv>
  <rv s="7">
    <fb>192.61</fb>
    <v>13</v>
  </rv>
  <rv s="0">
    <v>https://www.bing.com/financeapi/forcetrigger?t=a1sp52&amp;q=XNYS%3aFCX&amp;form=skydnc</v>
    <v>Learn more on Bing</v>
  </rv>
  <rv s="1">
    <v>0</v>
    <v>FREEPORT-MCMORAN INC. (XNYS:FCX)</v>
    <v>2</v>
    <v>3</v>
    <v>Finance</v>
    <v>4</v>
    <v>en-US</v>
    <v>a1sp52</v>
    <v>268435456</v>
    <v>1</v>
    <v>Powered by Refinitiv</v>
    <v>69.75</v>
    <v>27.66</v>
    <v>1.4105000000000001</v>
    <v>0.17</v>
    <v>2.4970000000000001E-3</v>
    <v>-0.29099999999999998</v>
    <v>-4.261E-3</v>
    <v>USD</v>
    <v>Freeport-McMoRan Inc. is an international metals company focused on copper. The Company operates geographically diverse assets with significant proven and probable mineral reserves of copper, gold and molybdenum. The Company's segments include the Morenci and Cerro Verde copper mines, the Indonesia operations (including the Grasberg minerals district and PT-FI’s downstream processing facilities), the Rod &amp; Refining operations and Atlantic Copper Smelting &amp; Refining. Its operations include North America, South America and Indonesia. In North America, it manages seven copper operations: Morenci, Bagdad, Safford (including Lone Star), Sierrita and Miami in Arizona, and Chino and Tyrone in New Mexico, and two molybdenum mines: Henderson and Climax in Colorado. It also operates a copper smelter in Miami, Arizona. In South America, it manages two copper operations: Cerro Verde in Peru and El Abra in Chile. In addition to copper, the Grasberg minerals district also produces gold and silver.</v>
    <v>29000</v>
    <v>New York Stock Exchange</v>
    <v>XNYS</v>
    <v>XNYS</v>
    <v>333 N Central Ave, PHOENIX, AZ, 85004 US</v>
    <v>68.64</v>
    <v>Metals &amp; Mining</v>
    <v>Stock</v>
    <v>46084.040055890626</v>
    <v>481</v>
    <v>66.41</v>
    <v>98089036500</v>
    <v>FREEPORT-MCMORAN INC.</v>
    <v>FREEPORT-MCMORAN INC.</v>
    <v>67.16</v>
    <v>44.578000000000003</v>
    <v>68.08</v>
    <v>68.25</v>
    <v>67.998999999999995</v>
    <v>1437202000</v>
    <v>FCX</v>
    <v>FREEPORT-MCMORAN INC. (XNYS:FCX)</v>
    <v>15851081</v>
    <v>21648445</v>
    <v>1987</v>
  </rv>
  <rv s="2">
    <v>482</v>
  </rv>
  <rv s="7">
    <fb>64.67</fb>
    <v>13</v>
  </rv>
  <rv s="7">
    <fb>61.86</fb>
    <v>13</v>
  </rv>
  <rv s="0">
    <v>https://www.bing.com/financeapi/forcetrigger?t=a1uhnm&amp;q=XNYS%3aHCA&amp;form=skydnc</v>
    <v>Learn more on Bing</v>
  </rv>
  <rv s="1">
    <v>0</v>
    <v>HCA HEALTHCARE, INC. (XNYS:HCA)</v>
    <v>2</v>
    <v>3</v>
    <v>Finance</v>
    <v>4</v>
    <v>en-US</v>
    <v>a1uhnm</v>
    <v>268435456</v>
    <v>1</v>
    <v>Powered by Refinitiv</v>
    <v>552.9</v>
    <v>307.39999999999998</v>
    <v>1.3496999999999999</v>
    <v>3.43</v>
    <v>6.4749999999999999E-3</v>
    <v>-2.92</v>
    <v>-5.4790000000000004E-3</v>
    <v>USD</v>
    <v>HCA Healthcare, Inc. is a health care services company. It owns, manages or operates hospitals, ambulatory surgery centers (ASCs), freestanding emergency care facilities, urgent care facilities, walk-in clinics, diagnostic and imaging centers, radiation and oncology therapy centers, comprehensive rehabilitation and physical therapy centers, hospices, and various other facilities. Its general, acute care hospitals provide a full range of services to accommodate such medical specialties as internal medicine, general surgery, cardiology, oncology, neurosurgery, orthopedics and obstetrics, as well as diagnostic and emergency services. Its behavioral hospitals provide a full range of mental health care services through inpatient, partial hospitalization and outpatient settings. It operates approximately 190 hospitals and 2,400 ambulatory sites of care, including surgery centers, freestanding emergency rooms, urgent care centers and physician clinics, in 20 states and the United Kingdom.</v>
    <v>230000</v>
    <v>New York Stock Exchange</v>
    <v>XNYS</v>
    <v>XNYS</v>
    <v>One Park Plaza, NASHVILLE, TN, 37203 US</v>
    <v>536.96749999999997</v>
    <v>Healthcare Providers &amp; Services</v>
    <v>Stock</v>
    <v>46084.001982337497</v>
    <v>486</v>
    <v>525.36</v>
    <v>119219703486</v>
    <v>HCA HEALTHCARE, INC.</v>
    <v>HCA HEALTHCARE, INC.</v>
    <v>530</v>
    <v>18.659300000000002</v>
    <v>529.70000000000005</v>
    <v>533.13</v>
    <v>530</v>
    <v>223622200</v>
    <v>HCA</v>
    <v>HCA HEALTHCARE, INC. (XNYS:HCA)</v>
    <v>816440</v>
    <v>1252918</v>
    <v>2010</v>
  </rv>
  <rv s="2">
    <v>487</v>
  </rv>
  <rv s="7">
    <fb>499.21</fb>
    <v>13</v>
  </rv>
  <rv s="7">
    <fb>493.64</fb>
    <v>13</v>
  </rv>
  <rv s="0">
    <v>https://www.bing.com/financeapi/forcetrigger?t=a1yy2w&amp;q=XNAS%3aNXPI&amp;form=skydnc</v>
    <v>Learn more on Bing</v>
  </rv>
  <rv s="1">
    <v>0</v>
    <v>NXP Semiconductors NV (XNAS:NXPI)</v>
    <v>2</v>
    <v>3</v>
    <v>Finance</v>
    <v>4</v>
    <v>en-US</v>
    <v>a1yy2w</v>
    <v>268435456</v>
    <v>1</v>
    <v>Powered by Refinitiv</v>
    <v>256.36</v>
    <v>148.09</v>
    <v>1.4540999999999999</v>
    <v>-2.25</v>
    <v>-9.9109999999999997E-3</v>
    <v>-2.85</v>
    <v>-1.268E-2</v>
    <v>USD</v>
    <v>NXP Semiconductors N.V. is a Netherlands-based holding company primarily engaged in the semiconductor industry. The Company through its subsidiaries focuses on the design, development, and manufacturing of semiconductor products used in a wide range of applications across automotive, industrial, mobile, and communication infrastructure markets. NXP Semiconductors discloses its revenue by end-markets. Automotive includes products for vehicle control, safety, infotainment, and electrification; Industrial &amp; Internet of Things (IoT) covers applications in smart home, smart city, and industrial automation. The Company has one reportable segment representing the entity as a whole, it reflects the operating decisions and allocation of resources of the Company.</v>
    <v>32169</v>
    <v>Nasdaq Stock Market</v>
    <v>XNAS</v>
    <v>XNAS</v>
    <v>High Tech Campus 60, EINDHOVEN, NOORD-BRABANT, 5656AG NL</v>
    <v>225.3</v>
    <v>Semiconductors &amp; Semiconductor Equipment</v>
    <v>Stock</v>
    <v>46083.925196053126</v>
    <v>491</v>
    <v>218.21</v>
    <v>56795256204</v>
    <v>NXP Semiconductors NV</v>
    <v>NXP Semiconductors NV</v>
    <v>221.83</v>
    <v>28.5684</v>
    <v>227.01</v>
    <v>224.76</v>
    <v>221.91</v>
    <v>252692900</v>
    <v>NXPI</v>
    <v>NXP Semiconductors NV (XNAS:NXPI)</v>
    <v>1667586</v>
    <v>3203046</v>
    <v>2010</v>
  </rv>
  <rv s="2">
    <v>492</v>
  </rv>
  <rv s="7">
    <fb>220.66</fb>
    <v>13</v>
  </rv>
  <rv s="7">
    <fb>226.86</fb>
    <v>13</v>
  </rv>
  <rv s="0">
    <v>https://www.bing.com/financeapi/forcetrigger?t=a1xaar&amp;q=XNAS%3aMAR&amp;form=skydnc</v>
    <v>Learn more on Bing</v>
  </rv>
  <rv s="1">
    <v>0</v>
    <v>MARRIOTT INTERNATIONAL, INC. (XNAS:MAR)</v>
    <v>2</v>
    <v>3</v>
    <v>Finance</v>
    <v>4</v>
    <v>en-US</v>
    <v>a1xaar</v>
    <v>268435456</v>
    <v>1</v>
    <v>Powered by Refinitiv</v>
    <v>370</v>
    <v>205.4</v>
    <v>1.0864</v>
    <v>-11.26</v>
    <v>-3.295E-2</v>
    <v>-1.2467999999999999</v>
    <v>-3.7730000000000003E-3</v>
    <v>USD</v>
    <v>Marriott International, Inc. is an operator, franchisor, and licensor of hotel, residential, timeshare, and other lodging properties under various brand names. Its segments include U.S. and Canada, Europe, Middle East, and Africa (EMEA), Greater China, Asia Pacific, excluding China. Its brand portfolio offers a range of brands and lodging offerings in hospitality. Its brands are categorized by style of offering: Classic and Distinctive. The classic brands offer time-honored hospitality for the modern traveler. The distinctive brands offer memorable experiences with a perspective, each of which it groups into four tiers: Luxury, Premium, Select, and Midscale. Its hotel brands include JW Marriott, The Ritz-Carlton, The Luxury Collection, W Hotels, Marriott Hotels, Sheraton, Delta Hotels by Marriott, Marriott Executive Apartments, Courtyard, SpringHill Suites, TownePlace, City Express, Four Points Flex by Sheraton, citizenM, and others.</v>
    <v>148000</v>
    <v>Nasdaq Stock Market</v>
    <v>XNAS</v>
    <v>XNAS</v>
    <v>7750 WISCONSIN AVENUE, BETHESDA, MD, 20814 US</v>
    <v>336.37</v>
    <v>Hotels &amp; Entertainment Services</v>
    <v>Stock</v>
    <v>46083.960927568747</v>
    <v>496</v>
    <v>325.80500000000001</v>
    <v>87569460762</v>
    <v>MARRIOTT INTERNATIONAL, INC.</v>
    <v>MARRIOTT INTERNATIONAL, INC.</v>
    <v>330.5</v>
    <v>35.988100000000003</v>
    <v>341.73</v>
    <v>330.47</v>
    <v>329.22320000000002</v>
    <v>264984600</v>
    <v>MAR</v>
    <v>MARRIOTT INTERNATIONAL, INC. (XNAS:MAR)</v>
    <v>2038896</v>
    <v>1762613</v>
    <v>1997</v>
  </rv>
  <rv s="2">
    <v>497</v>
  </rv>
  <rv s="7">
    <fb>318.42</fb>
    <v>13</v>
  </rv>
  <rv s="7">
    <fb>324.56</fb>
    <v>13</v>
  </rv>
  <rv s="0">
    <v>https://www.bing.com/financeapi/forcetrigger?t=a22777&amp;q=XNYS%3aROP&amp;form=skydnc</v>
    <v>Learn more on Bing</v>
  </rv>
  <rv s="1">
    <v>0</v>
    <v>ROPER TECHNOLOGIES, INC. (XNAS:ROP)</v>
    <v>2</v>
    <v>3</v>
    <v>Finance</v>
    <v>4</v>
    <v>en-US</v>
    <v>a22777</v>
    <v>268435456</v>
    <v>1</v>
    <v>Powered by Refinitiv</v>
    <v>595.16679999999997</v>
    <v>313.07</v>
    <v>0.93759999999999999</v>
    <v>4.2</v>
    <v>1.2009000000000001E-2</v>
    <v>-5.93</v>
    <v>-1.6754999999999999E-2</v>
    <v>USD</v>
    <v>Roper Technologies, Inc. is a diversified technology company. It operates businesses that design and develop vertical software and technology-enabled products for a variety of defensible niche markets. The Company operates through three segments: Application Software, Network Software and Technology Enabled Products. The Application Software segment includes Aderant, Clinisys, Data Innovations, Deltek, Frontline, IntelliTrans, PowerPlan, Procare, Strata, Transact/CBORD, and Vertafore. The Network Software segment includes ConstructConnect, DAT, Foundry, iPipeline, iTradeNetwork, Loadlink, MHA, SHP, and SoftWriters. The Technology Enabled Products segment includes CIVCO Medical Solutions, FMI, Inovonics, IPA, Neptune, Northern Digital, rf IDEAS, and Verathon. Aderant is a comprehensive management software solution for law and other professional services firms. Data Innovations is a software solution that enables the enterprise management of hospitals and independent laboratories.</v>
    <v>19400</v>
    <v>Nasdaq Stock Market</v>
    <v>XNAS</v>
    <v>XNAS</v>
    <v>6496 University Parkway, SARASOTA, FL, 34240 US</v>
    <v>356.03</v>
    <v>Software &amp; IT Services</v>
    <v>Stock</v>
    <v>46083.966245416406</v>
    <v>501</v>
    <v>346.51</v>
    <v>36429130075</v>
    <v>ROPER TECHNOLOGIES, INC.</v>
    <v>ROPER TECHNOLOGIES, INC.</v>
    <v>348</v>
    <v>24.635000000000002</v>
    <v>349.73</v>
    <v>353.93</v>
    <v>348</v>
    <v>102927500</v>
    <v>ROP</v>
    <v>ROPER TECHNOLOGIES, INC. (XNAS:ROP)</v>
    <v>1372489</v>
    <v>2295323</v>
    <v>1981</v>
  </rv>
  <rv s="2">
    <v>502</v>
  </rv>
  <rv s="7">
    <fb>348.82</fb>
    <v>13</v>
  </rv>
  <rv s="7">
    <fb>359.71</fb>
    <v>13</v>
  </rv>
  <rv s="0">
    <v>https://www.bing.com/financeapi/forcetrigger?t=a1xzr7&amp;q=XNYS%3aMSI&amp;form=skydnc</v>
    <v>Learn more on Bing</v>
  </rv>
  <rv s="1">
    <v>0</v>
    <v>MOTOROLA SOLUTIONS, INC. (XNYS:MSI)</v>
    <v>2</v>
    <v>3</v>
    <v>Finance</v>
    <v>4</v>
    <v>en-US</v>
    <v>a1xzr7</v>
    <v>268435456</v>
    <v>1</v>
    <v>Powered by Refinitiv</v>
    <v>492.22</v>
    <v>359.36</v>
    <v>0.9667</v>
    <v>3.83</v>
    <v>7.9419999999999994E-3</v>
    <v>-10.9984</v>
    <v>-2.2625000000000003E-2</v>
    <v>USD</v>
    <v>Motorola Solutions, Inc. provides public safety and enterprise security. The Company offers safety and security technologies, which include land mobile radio communications (LMR), video security, and command center. Across technologies, it offers cloud-based and hybrid software solutions, and services such as cybersecurity subscription services and managed and support services. Its segments include Products and Systems Integration, and Software and Services. The Products and Systems Integration segment offers a portfolio of infrastructure, devices, accessories, video security devices and infrastructure, and the implementation and integration of such systems, devices, and applications. The Company's Software and Services segment provides a range of solution offerings for government, public safety and commercial customers. Its Software includes public safety and enterprise Command Center, unified communications applications, certain mobile video equipment, and video software solutions.</v>
    <v>23000</v>
    <v>New York Stock Exchange</v>
    <v>XNYS</v>
    <v>XNYS</v>
    <v>500 W. Monroe St., CHICAGO, IL, 60661 US</v>
    <v>490.24</v>
    <v>Communications &amp; Networking</v>
    <v>Stock</v>
    <v>46084.02226852969</v>
    <v>506</v>
    <v>482</v>
    <v>80525134701</v>
    <v>MOTOROLA SOLUTIONS, INC.</v>
    <v>MOTOROLA SOLUTIONS, INC.</v>
    <v>485.44</v>
    <v>37.821800000000003</v>
    <v>482.26</v>
    <v>486.09</v>
    <v>475.11160000000001</v>
    <v>165658900</v>
    <v>MSI</v>
    <v>MOTOROLA SOLUTIONS, INC. (XNYS:MSI)</v>
    <v>1046859</v>
    <v>1213089</v>
    <v>1973</v>
  </rv>
  <rv s="2">
    <v>507</v>
  </rv>
  <rv s="7">
    <fb>409.47</fb>
    <v>13</v>
  </rv>
  <rv s="7">
    <fb>416.3</fb>
    <v>13</v>
  </rv>
  <rv s="0">
    <v>https://www.bing.com/financeapi/forcetrigger?t=a21d27&amp;q=XNYS%3aPSX&amp;form=skydnc</v>
    <v>Learn more on Bing</v>
  </rv>
  <rv s="1">
    <v>0</v>
    <v>PHILLIPS 66 (XNYS:PSX)</v>
    <v>2</v>
    <v>3</v>
    <v>Finance</v>
    <v>4</v>
    <v>en-US</v>
    <v>a21d27</v>
    <v>268435456</v>
    <v>1</v>
    <v>Powered by Refinitiv</v>
    <v>163.79</v>
    <v>91.01</v>
    <v>0.85360000000000003</v>
    <v>5.83</v>
    <v>3.7776000000000004E-2</v>
    <v>0.39</v>
    <v>2.4350000000000001E-3</v>
    <v>USD</v>
    <v>Phillips 66 is a diversified and integrated downstream energy provider that manufactures, transports and markets products. The Company's Midstream segment provides crude oil and refined petroleum product transportation, terminating and processing services, as well as natural gas and natural gas liquids (NGL) transportation, storage, fractionation, gathering, processing and marketing services. Its Chemicals segment consists of its 50% equity investment in Chevron Phillips Chemical Company LLC, which manufactures and markets petrochemicals and plastics on a worldwide basis. Its Refining segment refines crude oil and other feedstocks into petroleum products, such as gasoline, distillates, including aviation fuels. Its Marketing and Specialties segment purchases for resale and markets refined products, mainly in the United States and Europe. Its Renewable Fuels segment processes renewable feedstocks into renewable products at the Rodeo Renewable Energy Complex and at its Humber Refinery.</v>
    <v>12600</v>
    <v>New York Stock Exchange</v>
    <v>XNYS</v>
    <v>XNYS</v>
    <v>2331 Citywest Blvd., HOUSTON, TX, 77042 US</v>
    <v>160.63999999999999</v>
    <v>Oil &amp; Gas</v>
    <v>Stock</v>
    <v>46084.038164443751</v>
    <v>511</v>
    <v>155.77000000000001</v>
    <v>64183159040</v>
    <v>PHILLIPS 66</v>
    <v>PHILLIPS 66</v>
    <v>159.51</v>
    <v>14.3301</v>
    <v>154.33000000000001</v>
    <v>160.16</v>
    <v>160.57</v>
    <v>400744000</v>
    <v>PSX</v>
    <v>PHILLIPS 66 (XNYS:PSX)</v>
    <v>2939487</v>
    <v>2516433</v>
    <v>2011</v>
  </rv>
  <rv s="2">
    <v>512</v>
  </rv>
  <rv s="7">
    <fb>148.09</fb>
    <v>13</v>
  </rv>
  <rv s="7">
    <fb>154.69</fb>
    <v>13</v>
  </rv>
  <rv s="0">
    <v>https://www.bing.com/financeapi/forcetrigger?t=a1px2w&amp;q=XNAS%3aCME&amp;form=skydnc</v>
    <v>Learn more on Bing</v>
  </rv>
  <rv s="1">
    <v>0</v>
    <v>CME GROUP INC. (XNAS:CME)</v>
    <v>2</v>
    <v>3</v>
    <v>Finance</v>
    <v>4</v>
    <v>en-US</v>
    <v>a1px2w</v>
    <v>268435456</v>
    <v>1</v>
    <v>Powered by Refinitiv</v>
    <v>327.79</v>
    <v>248.53</v>
    <v>0.26590000000000003</v>
    <v>6.96</v>
    <v>2.1783999999999998E-2</v>
    <v>-1.46</v>
    <v>-4.4720000000000003E-3</v>
    <v>USD</v>
    <v>CME Group Inc. provides a derivatives marketplace. The Company enables clients to trade futures, options, cash and over the counter (OTC) markets, optimize portfolios, and analyze data. It exchanges offer a range of global benchmark products across all major asset classes based on interest rates, equity indexes, foreign exchange (FX), energy, agricultural products and metals. It offers futures and options on futures trading through the CME Globex platform, fixed income trading via BrokerTec and FX trading on the EBS platform. In addition, it operates central counterparty clearing provider, CME Clearing. Its products provide a means for hedging, speculation and asset allocation related to the risks associated with, among other things, interest rate sensitive instruments, and changes in the prices of agricultural, energy and metal commodities. It provides clearing and settlement services for a range of exchange-traded futures and options on futures contracts and OTC derivatives.</v>
    <v>3875</v>
    <v>Nasdaq Stock Market</v>
    <v>XNAS</v>
    <v>XNAS</v>
    <v>20 S. Wacker Dr., CHICAGO, IL, 60606 US</v>
    <v>327.79</v>
    <v>Investment Banking &amp; Investment Services</v>
    <v>Stock</v>
    <v>46083.924365370316</v>
    <v>516</v>
    <v>321.7</v>
    <v>117075836058</v>
    <v>CME GROUP INC.</v>
    <v>CME GROUP INC.</v>
    <v>322.065</v>
    <v>28.6295</v>
    <v>319.5</v>
    <v>326.45999999999998</v>
    <v>325</v>
    <v>358622300</v>
    <v>CME</v>
    <v>CME GROUP INC. (XNAS:CME)</v>
    <v>2459677</v>
    <v>2374564</v>
    <v>2001</v>
  </rv>
  <rv s="2">
    <v>517</v>
  </rv>
  <rv s="7">
    <fb>293.07</fb>
    <v>13</v>
  </rv>
  <rv s="7">
    <fb>294.62</fb>
    <v>13</v>
  </rv>
  <rv s="0">
    <v>https://www.bing.com/financeapi/forcetrigger?t=a1yq5r&amp;q=XNYS%3aNSC&amp;form=skydnc</v>
    <v>Learn more on Bing</v>
  </rv>
  <rv s="1">
    <v>0</v>
    <v>NORFOLK SOUTHERN CORPORATION (XNYS:NSC)</v>
    <v>2</v>
    <v>3</v>
    <v>Finance</v>
    <v>4</v>
    <v>en-US</v>
    <v>a1yq5r</v>
    <v>268435456</v>
    <v>1</v>
    <v>Powered by Refinitiv</v>
    <v>319.94</v>
    <v>201.63</v>
    <v>1.3073999999999999</v>
    <v>2.63</v>
    <v>8.3560000000000006E-3</v>
    <v>0.04</v>
    <v>1.26E-4</v>
    <v>USD</v>
    <v>Norfolk Southern Corporation is a holding company engaged in the rail transportation business. The Company is engaged in the rail transportation of raw materials, intermediate products, and finished goods in the Southeast, East, and Midwest and, via interchange with rail carriers, to and from the rest of the United States. It also transports overseas freight through several Atlantic and Gulf Coast ports. It offers an intermodal network in the eastern half of the United States. Its railroad operations system reaches various manufacturing plants, electric generating facilities, mines, distribution centers and transload facilities. It serves various industries such as agriculture, forest and consumer products, automotive, chemicals, and metals and construction. Its coal franchise supports the electric generation market, directly serving over 18 coal-fired power plants, as well as the export, domestic metallurgical, and industrial markets, through direct rail and river, lake, and coastal.</v>
    <v>19300</v>
    <v>New York Stock Exchange</v>
    <v>XNYS</v>
    <v>XNYS</v>
    <v>650 West Peachtreee Street NW, ATLANTA, GA, 30308-1925 US</v>
    <v>318.45999999999998</v>
    <v>Freight &amp; Logistics Services</v>
    <v>Stock</v>
    <v>46084.02156944375</v>
    <v>521</v>
    <v>312.01</v>
    <v>71272415640</v>
    <v>NORFOLK SOUTHERN CORPORATION</v>
    <v>NORFOLK SOUTHERN CORPORATION</v>
    <v>315.68</v>
    <v>24.707799999999999</v>
    <v>314.74</v>
    <v>317.37</v>
    <v>317.51</v>
    <v>224572000</v>
    <v>NSC</v>
    <v>NORFOLK SOUTHERN CORPORATION (XNYS:NSC)</v>
    <v>1016315</v>
    <v>1332334</v>
    <v>1980</v>
  </rv>
  <rv s="2">
    <v>522</v>
  </rv>
  <rv s="7">
    <fb>298.32</fb>
    <v>13</v>
  </rv>
  <rv s="7">
    <fb>306.83999999999997</fb>
    <v>13</v>
  </rv>
  <rv s="0">
    <v>https://www.bing.com/financeapi/forcetrigger?t=a1zez2&amp;q=XNYS%3aOXY&amp;form=skydnc</v>
    <v>Learn more on Bing</v>
  </rv>
  <rv s="1">
    <v>0</v>
    <v>OCCIDENTAL PETROLEUM CORPORATION (XNYS:OXY)</v>
    <v>2</v>
    <v>3</v>
    <v>Finance</v>
    <v>4</v>
    <v>en-US</v>
    <v>a1zez2</v>
    <v>268435456</v>
    <v>1</v>
    <v>Powered by Refinitiv</v>
    <v>56.34</v>
    <v>34.784999999999997</v>
    <v>0.34310000000000002</v>
    <v>1.1100000000000001</v>
    <v>2.0912E-2</v>
    <v>0.28999999999999998</v>
    <v>5.3500000000000006E-3</v>
    <v>USD</v>
    <v>Occidental Petroleum Corporation is an international energy company with assets primarily in the United States, the Middle East and North Africa. The Company is an oil and gas producer in the United States, including a producer in the Permian and DJ basins, and the offshore Gulf of Mexico. It operates through three segments: oil and gas, chemical and midstream and marketing. The oil and gas segment explores for, develops, and produces oil (which includes condensate), natural gas liquids (NGL) and natural gas. The chemical segment primarily manufactures and markets basic chemicals and vinyls. The midstream and marketing segment purchases, markets, gathers, processes, transports, and stores oil (which includes condensate), NGL, natural gas, carbon dioxide (CO2) and power. The midstream and marketing segment provides flow assurance and maximizes the value of its oil and gas. It also optimizes its transportation and storage capacity and invests in entities that conduct similar activities.</v>
    <v>10412</v>
    <v>New York Stock Exchange</v>
    <v>XNYS</v>
    <v>XNYS</v>
    <v>5 GREENWAY PLAZA, SUITE 110, HOUSTON, TX, 77046 US</v>
    <v>56.34</v>
    <v>Oil &amp; Gas</v>
    <v>Stock</v>
    <v>46084.041565474217</v>
    <v>526</v>
    <v>53.32</v>
    <v>53445792473</v>
    <v>OCCIDENTAL PETROLEUM CORPORATION</v>
    <v>OCCIDENTAL PETROLEUM CORPORATION</v>
    <v>56.34</v>
    <v>39.3063</v>
    <v>53.08</v>
    <v>54.19</v>
    <v>54.5</v>
    <v>986266700</v>
    <v>OXY</v>
    <v>OCCIDENTAL PETROLEUM CORPORATION (XNYS:OXY)</v>
    <v>32590381</v>
    <v>12469565</v>
    <v>1986</v>
  </rv>
  <rv s="2">
    <v>527</v>
  </rv>
  <rv s="7">
    <fb>45.26</fb>
    <v>13</v>
  </rv>
  <rv s="7">
    <fb>46.69</fb>
    <v>13</v>
  </rv>
  <rv s="0">
    <v>https://www.bing.com/financeapi/forcetrigger?t=a1tyrw&amp;q=XNYS%3aGM&amp;form=skydnc</v>
    <v>Learn more on Bing</v>
  </rv>
  <rv s="1">
    <v>0</v>
    <v>GENERAL MOTORS COMPANY (XNYS:GM)</v>
    <v>2</v>
    <v>3</v>
    <v>Finance</v>
    <v>4</v>
    <v>en-US</v>
    <v>a1tyrw</v>
    <v>268435456</v>
    <v>1</v>
    <v>Powered by Refinitiv</v>
    <v>87.62</v>
    <v>41.6</v>
    <v>1.3745000000000001</v>
    <v>-0.97</v>
    <v>-1.2324E-2</v>
    <v>-0.74229999999999996</v>
    <v>-9.5460000000000007E-3</v>
    <v>USD</v>
    <v>General Motors Company designs, builds and sells trucks, crossovers, cars and automobile parts and provides software-enabled services and subscriptions worldwide. The Company's segments include GMNA, GMI, Cruise and GM Financial. Its GM North America (GMNA) and GM International (GMI) develop, manufacture and/or markets vehicles under the Buick, Cadillac, Chevrolet and GMC brands. The Company provides automotive financing services through its General Motors Financial Company, Inc. (GM Financial) segment. Its Cruise segment is engaged in the development and commercialization of autonomous vehicle technology. Its software-enabled services and subscriptions, including OnStar, its advanced driver-assistance systems (ADAS), including Super Cruise driver assistance technology, and its end-to-end software platform. The Company is also focused on investing in electric vehicles (EVs) and AVs, software-enabled services and subscriptions and new business opportunities.</v>
    <v>156000</v>
    <v>New York Stock Exchange</v>
    <v>XNYS</v>
    <v>XNYS</v>
    <v>P.O. Box 33170, DETROIT, MI, 48232-5170 US</v>
    <v>77.760000000000005</v>
    <v>Automobiles &amp; Auto Parts</v>
    <v>Stock</v>
    <v>46084.038833020313</v>
    <v>531</v>
    <v>75.040000000000006</v>
    <v>70274456772</v>
    <v>GENERAL MOTORS COMPANY</v>
    <v>GENERAL MOTORS COMPANY</v>
    <v>77.36</v>
    <v>24.083300000000001</v>
    <v>78.709999999999994</v>
    <v>77.739999999999995</v>
    <v>77.017700000000005</v>
    <v>903967800</v>
    <v>GM</v>
    <v>GENERAL MOTORS COMPANY (XNYS:GM)</v>
    <v>8948936</v>
    <v>8891914</v>
    <v>2009</v>
  </rv>
  <rv s="2">
    <v>532</v>
  </rv>
  <rv s="7">
    <fb>85.71</fb>
    <v>13</v>
  </rv>
  <rv s="7">
    <fb>86.29</fb>
    <v>13</v>
  </rv>
  <rv s="0">
    <v>https://www.bing.com/financeapi/forcetrigger?t=a1sqr7&amp;q=XNYS%3aFDX&amp;form=skydnc</v>
    <v>Learn more on Bing</v>
  </rv>
  <rv s="1">
    <v>0</v>
    <v>FEDEX CORPORATION (XNYS:FDX)</v>
    <v>2</v>
    <v>3</v>
    <v>Finance</v>
    <v>4</v>
    <v>en-US</v>
    <v>a1sqr7</v>
    <v>268435456</v>
    <v>1</v>
    <v>Powered by Refinitiv</v>
    <v>392.86</v>
    <v>194.29499999999999</v>
    <v>1.2989999999999999</v>
    <v>0.49</v>
    <v>1.266E-3</v>
    <v>-0.78</v>
    <v>-2.0140000000000002E-3</v>
    <v>USD</v>
    <v>FedEx Corporation provides customers and businesses with a portfolio of transportation, e-commerce, and business services. The Company offers integrated business solutions utilizing its flexible and efficient global network. Its segments include Federal Express, FedEx Freight, and Corporate, other, and eliminations. Federal Express segment includes express transportation, small-package ground delivery, and freight transportation, and it also operates combined sales, marketing, administrative, and information-technology functions in shared service operations for United States customers. FedEx Freight segment includes FedEx Freight (LTL freight transportation) and FedEx Custom Critical (time-critical transportation). Corporate, other, and elimination segments include FedEx Dataworks, Inc. (FedEx Dataworks), FedEx Office and Print Services, Inc. (FedEx Office), and FedEx Logistics, Inc. (FedEx Logistics). FedEx Logistics offers customs brokerage, specialty transportation, and others.</v>
    <v>237000</v>
    <v>New York Stock Exchange</v>
    <v>XNYS</v>
    <v>XNYS</v>
    <v>942 South Shady Grove Road, MEMPHIS, TN, 38120 US</v>
    <v>387.48</v>
    <v>Freight &amp; Logistics Services</v>
    <v>Stock</v>
    <v>46084.040364339846</v>
    <v>536</v>
    <v>381.56310000000002</v>
    <v>91107733772</v>
    <v>FEDEX CORPORATION</v>
    <v>FEDEX CORPORATION</v>
    <v>384.36</v>
    <v>21.363499999999998</v>
    <v>387</v>
    <v>387.49</v>
    <v>386.47</v>
    <v>235122800</v>
    <v>FDX</v>
    <v>FEDEX CORPORATION (XNYS:FDX)</v>
    <v>1448240</v>
    <v>1952936</v>
    <v>1997</v>
  </rv>
  <rv s="2">
    <v>537</v>
  </rv>
  <rv s="7">
    <fb>353.43</fb>
    <v>13</v>
  </rv>
  <rv s="7">
    <fb>362.54</fb>
    <v>13</v>
  </rv>
  <rv s="0">
    <v>https://www.bing.com/financeapi/forcetrigger?t=a1mzjc&amp;q=XNYS%3aAFL&amp;form=skydnc</v>
    <v>Learn more on Bing</v>
  </rv>
  <rv s="1">
    <v>0</v>
    <v>AFLAC INCORPORATED (XNYS:AFL)</v>
    <v>2</v>
    <v>3</v>
    <v>Finance</v>
    <v>10</v>
    <v>en-US</v>
    <v>a1mzjc</v>
    <v>268435456</v>
    <v>1</v>
    <v>Powered by Refinitiv</v>
    <v>119.32</v>
    <v>96.95</v>
    <v>0.65949999999999998</v>
    <v>0.42</v>
    <v>3.7190000000000001E-3</v>
    <v>-0.64</v>
    <v>-5.646E-3</v>
    <v>USD</v>
    <v>Aflac Incorporated provides financial protection to policyholders and customers through its subsidiaries in the United States and Japan. The Company’s principal business is supplemental health and life insurance products. The Company’s segments include Aflac Japan, which includes Aflac Life Insurance Japan (ALIJ), and Aflac U.S., which includes American Family Life Assurance Company of Columbus (Aflac), American Family Life Assurance Company of New York (Aflac New York), Continental American Insurance Company (CAIC), Tier One Insurance Company (TOIC) and Aflac Benefits Solutions, Inc. (ABS). The Aflac Japan segment is the insurer in Japan in terms of cancer and medical (third sector insurance products) policies in force. The Company designs its United States insurance products to provide supplemental coverage for people who already have major medical or primary insurance coverage, as Aflac U.S. insurance policies pay benefits regardless of other insurance.</v>
    <v>12716</v>
    <v>New York Stock Exchange</v>
    <v>XNYS</v>
    <v>XNYS</v>
    <v>1932 Wynnton Rd, COLUMBUS, GA, 31999-0001 US</v>
    <v>114.29</v>
    <v>Insurance</v>
    <v>Stock</v>
    <v>46083.98279256875</v>
    <v>541</v>
    <v>112.33</v>
    <v>58530471490</v>
    <v>AFLAC INCORPORATED</v>
    <v>AFLAC INCORPORATED</v>
    <v>112.49</v>
    <v>16.3994</v>
    <v>112.93</v>
    <v>113.35</v>
    <v>112.71</v>
    <v>516369400</v>
    <v>AFL</v>
    <v>AFLAC INCORPORATED (XNYS:AFL)</v>
    <v>2045825</v>
    <v>2372452</v>
    <v>1973</v>
  </rv>
  <rv s="2">
    <v>542</v>
  </rv>
  <rv s="7">
    <fb>112.04</fb>
    <v>13</v>
  </rv>
  <rv s="7">
    <fb>113.62</fb>
    <v>13</v>
  </rv>
  <rv s="0">
    <v>https://www.bing.com/financeapi/forcetrigger?t=a1nl77&amp;q=XNYS%3aAPD&amp;form=skydnc</v>
    <v>Learn more on Bing</v>
  </rv>
  <rv s="9">
    <v>14</v>
    <v>AIR PRODUCTS AND CHEMICALS, INC. (XNYS:APD)</v>
    <v>2</v>
    <v>15</v>
    <v>Finance</v>
    <v>4</v>
    <v>en-US</v>
    <v>a1nl77</v>
    <v>268435456</v>
    <v>1</v>
    <v>Powered by Refinitiv</v>
    <v>321.47000000000003</v>
    <v>229.11</v>
    <v>0.88339999999999996</v>
    <v>0.86</v>
    <v>3.1199999999999999E-3</v>
    <v>-0.01</v>
    <v>-3.6180000000000003E-5</v>
    <v>USD</v>
    <v>Air Products and Chemicals, Inc. is an industrial gases company. The Company is focused on serving energy, environmental, and emerging markets. Its base business provides essential industrial gases, related equipment and applications expertise to customers in dozens of industries, including refining, chemicals, metals, electronics, manufacturing, and food. The Company also develops, engineers, builds, owns and operates clean hydrogen projects supporting the transition to low- and zero-carbon energy in the heavy-duty transportation and industrial sectors. In addition, the Company provides turbomachinery, membrane systems and cryogenic containers globally. The Company has operations in approximately 50 countries. Its industries include aerospace, analytical labs &amp; research/science, automotive, beverages, bioenergy, biotechnology, cement and lime, chemicals, electronics, food, glass and frit, hydrogen energy, medical, metals and materials processing, metals production, medical and others.</v>
    <v>21087</v>
    <v>New York Stock Exchange</v>
    <v>XNYS</v>
    <v>XNYS</v>
    <v>1940 Air Products Blvd., ALLENTOWN, PA, 18106-5500 US</v>
    <v>277.27</v>
    <v>Chemicals</v>
    <v>Stock</v>
    <v>46084.040030057811</v>
    <v>546</v>
    <v>271.17</v>
    <v>61571063679</v>
    <v>AIR PRODUCTS AND CHEMICALS, INC.</v>
    <v>AIR PRODUCTS AND CHEMICALS, INC.</v>
    <v>273.89999999999998</v>
    <v>275.67</v>
    <v>276.52999999999997</v>
    <v>276.42</v>
    <v>222656000</v>
    <v>APD</v>
    <v>AIR PRODUCTS AND CHEMICALS, INC. (XNYS:APD)</v>
    <v>1816690</v>
    <v>1583210</v>
    <v>1961</v>
  </rv>
  <rv s="2">
    <v>547</v>
  </rv>
  <rv s="7">
    <fb>277.95999999999998</fb>
    <v>13</v>
  </rv>
  <rv s="7">
    <fb>286.58999999999997</fb>
    <v>13</v>
  </rv>
  <rv s="0">
    <v>https://www.bing.com/financeapi/forcetrigger?t=a1vqnm&amp;q=XNYS%3aTT&amp;form=skydnc</v>
    <v>Learn more on Bing</v>
  </rv>
  <rv s="1">
    <v>0</v>
    <v>TRANE TECHNOLOGIES PLC (XNYS:TT)</v>
    <v>2</v>
    <v>3</v>
    <v>Finance</v>
    <v>4</v>
    <v>en-US</v>
    <v>a1vqnm</v>
    <v>268435456</v>
    <v>1</v>
    <v>Powered by Refinitiv</v>
    <v>479.37</v>
    <v>298.14999999999998</v>
    <v>1.1936</v>
    <v>3.74</v>
    <v>8.09E-3</v>
    <v>-0.03</v>
    <v>-6.4349999999999992E-5</v>
    <v>USD</v>
    <v>Trane Technologies PLC is a global climate innovator. Through its brands Trane and Thermo King, and its portfolio of products and services, the Company brings climate solutions to buildings, homes, and transportation. Its Americas segment serves customers in North America and Latin America and includes commercial heating, cooling, and ventilation systems, building controls and solutions, and energy services and solutions; residential heating and cooling; and transport refrigeration systems and solutions. Its EMEA segment serves customers in the Europe, Middle East and Africa regions and includes heating, cooling and ventilation systems, services and solutions. Its Asia Pacific segment serves customers throughout the Asia Pacific region and includes heating, cooling and ventilation systems and others. It offers autonomous heating, ventilation and air conditioning controls and generative artificial intelligence building technology. It also provides turnkey data center cooling solutions.</v>
    <v>44000</v>
    <v>New York Stock Exchange</v>
    <v>XNYS</v>
    <v>XNYS</v>
    <v>170/175 Lakeview Drive, Airside Business Park, Swords,, SWORDS, DUBLIN IE</v>
    <v>467.98</v>
    <v>Machinery, Equipment &amp; Components</v>
    <v>Stock</v>
    <v>46084.017759594528</v>
    <v>551</v>
    <v>455.77499999999998</v>
    <v>103153945314</v>
    <v>TRANE TECHNOLOGIES PLC</v>
    <v>TRANE TECHNOLOGIES PLC</v>
    <v>458.28</v>
    <v>35.174999999999997</v>
    <v>462.32</v>
    <v>466.06</v>
    <v>466.14</v>
    <v>221331900</v>
    <v>TT</v>
    <v>TRANE TECHNOLOGIES PLC (XNYS:TT)</v>
    <v>969064</v>
    <v>1715470</v>
    <v>2009</v>
  </rv>
  <rv s="2">
    <v>552</v>
  </rv>
  <rv s="7">
    <fb>435.36</fb>
    <v>13</v>
  </rv>
  <rv s="7">
    <fb>441.2</fb>
    <v>13</v>
  </rv>
  <rv s="0">
    <v>https://www.bing.com/financeapi/forcetrigger?t=a232mw&amp;q=XNYS%3aSLB&amp;form=skydnc</v>
    <v>Learn more on Bing</v>
  </rv>
  <rv s="1">
    <v>0</v>
    <v>SLB N.V. (XNYS:SLB)</v>
    <v>2</v>
    <v>3</v>
    <v>Finance</v>
    <v>4</v>
    <v>en-US</v>
    <v>a232mw</v>
    <v>268435456</v>
    <v>1</v>
    <v>Powered by Refinitiv</v>
    <v>52.45</v>
    <v>31.11</v>
    <v>0.69069999999999998</v>
    <v>-7.0000000000000007E-2</v>
    <v>-1.3630000000000001E-3</v>
    <v>1.44E-2</v>
    <v>2.809E-4</v>
    <v>USD</v>
    <v>SLB N.V. is a global technology company. The Company’s segments include Digital, Reservoir Performance, Well Construction, Production Systems, and All Other. Digital segment includes products, services, and solutions that span the energy value chain from subsurface characterization through field development and hydrocarbon production to carbon management and the integration of adjacent energy systems. Reservoir Performance segment consists of reservoir-centric technologies and services that are critical to optimizing reservoir productivity and performance. Well Construction segment provides operators and drilling rig manufacturers with services and products related to the design and construction of a well. Production Systems segment develops technologies and provides expertise that enhances production and recovery from subsurface reservoirs to the surface, into pipelines, and to refineries. All Other segment includes asset performance solutions, data center solutions and SLB Capturi.</v>
    <v>109000</v>
    <v>New York Stock Exchange</v>
    <v>XNYS</v>
    <v>XNYS</v>
    <v>5599 San Felipe, 17Th Floor, HOUSTON, TX, 77056 US</v>
    <v>52.45</v>
    <v>Oil &amp; Gas Related Equipment and Services</v>
    <v>Stock</v>
    <v>46084.036753495311</v>
    <v>556</v>
    <v>49.44</v>
    <v>76963088910</v>
    <v>SLB N.V.</v>
    <v>SLB N.V.</v>
    <v>52.45</v>
    <v>21.720800000000001</v>
    <v>51.34</v>
    <v>51.27</v>
    <v>51.284399999999998</v>
    <v>1501133000</v>
    <v>SLB</v>
    <v>SLB N.V. (XNYS:SLB)</v>
    <v>20431269</v>
    <v>19771596</v>
    <v>1956</v>
  </rv>
  <rv s="2">
    <v>557</v>
  </rv>
  <rv s="7">
    <fb>49.76</fb>
    <v>13</v>
  </rv>
  <rv s="7">
    <fb>51.35</fb>
    <v>13</v>
  </rv>
  <rv s="0">
    <v>https://www.bing.com/financeapi/forcetrigger?t=a1q3jc&amp;q=XNYS%3aCOF&amp;form=skydnc</v>
    <v>Learn more on Bing</v>
  </rv>
  <rv s="1">
    <v>0</v>
    <v>CAPITAL ONE FINANCIAL CORPORATION (XNYS:COF)</v>
    <v>2</v>
    <v>3</v>
    <v>Finance</v>
    <v>4</v>
    <v>en-US</v>
    <v>a1q3jc</v>
    <v>268435456</v>
    <v>1</v>
    <v>Powered by Refinitiv</v>
    <v>259.63499999999999</v>
    <v>143.22</v>
    <v>1.1427</v>
    <v>-1.43</v>
    <v>-7.3089999999999995E-3</v>
    <v>-0.86329999999999996</v>
    <v>-4.4429999999999999E-3</v>
    <v>USD</v>
    <v>Capital One Financial Corporation is a diversified financial services holding company with banking and non-banking subsidiaries. The Company offers a broad spectrum of financial products and services to consumers, small businesses and commercial clients through a variety of channels. It operates through three segments: Credit Card, Consumer Banking and Commercial Banking. The Credit Card segment consists of its domestic consumer and small business card lending, and international card businesses in the United Kingdom and Canada. The Consumer Banking segment consists of its deposit gathering and lending activities for consumers and small businesses, and national auto lending. The Commercial Banking segment consists of its lending, deposit gathering, capital markets and treasury management services to commercial real estate and commercial and industrial customers. Its principal operating subsidiary is Capital One, National Association, which offers banking products and financial services.</v>
    <v>76300</v>
    <v>New York Stock Exchange</v>
    <v>XNYS</v>
    <v>XNYS</v>
    <v>1680 Capital One Drive, MCLEAN, VA, 22102 US</v>
    <v>196.4</v>
    <v>Banking Services</v>
    <v>Stock</v>
    <v>46084.041466099217</v>
    <v>561</v>
    <v>188.34</v>
    <v>120785336036</v>
    <v>CAPITAL ONE FINANCIAL CORPORATION</v>
    <v>CAPITAL ONE FINANCIAL CORPORATION</v>
    <v>191.56</v>
    <v>58.226199999999999</v>
    <v>195.64</v>
    <v>194.21</v>
    <v>193.45670000000001</v>
    <v>621931600</v>
    <v>COF</v>
    <v>CAPITAL ONE FINANCIAL CORPORATION (XNYS:COF)</v>
    <v>6651266</v>
    <v>5863152</v>
    <v>1994</v>
  </rv>
  <rv s="2">
    <v>562</v>
  </rv>
  <rv s="7">
    <fb>223.34</fb>
    <v>13</v>
  </rv>
  <rv s="7">
    <fb>225.46</fb>
    <v>13</v>
  </rv>
  <rv s="0">
    <v>https://www.bing.com/financeapi/forcetrigger?t=az6zf2&amp;q=XNYS%3aWELL&amp;form=skydnc</v>
    <v>Learn more on Bing</v>
  </rv>
  <rv s="9">
    <v>14</v>
    <v>WELLTOWER INC. (XNYS:WELL)</v>
    <v>2</v>
    <v>15</v>
    <v>Finance</v>
    <v>4</v>
    <v>en-US</v>
    <v>az6zf2</v>
    <v>268435456</v>
    <v>1</v>
    <v>Powered by Refinitiv</v>
    <v>216.43</v>
    <v>130.29</v>
    <v>0.81510000000000005</v>
    <v>2.88</v>
    <v>1.3905000000000001E-2</v>
    <v>-0.51</v>
    <v>-2.4269999999999999E-3</v>
    <v>USD</v>
    <v>Welltower Inc. is focused on rental housing for aging seniors across the United States, United Kingdom, and Canada. The Company's portfolio of 2,000+ seniors and wellness housing communities are positioned at the intersection of housing and hospitality. Its segments include Seniors Housing Operating, Triple-net and Outpatient Medical. Its Seniors Housing Operating properties include seniors apartments, assisted living communities, independent living/continuing care retirement communities, independent supportive living communities (Canada), care homes with and without nursing (United Kingdom) and combinations thereof. Its Triple-net properties include the property types described above as well as long-term/post-acute care facilities. It invests in seniors housing and healthcare real estate through acquisition of single tenant properties. Its Outpatient Medical properties are typically leased to multiple tenants and generally require a certain level of property management by the Company.</v>
    <v>712</v>
    <v>New York Stock Exchange</v>
    <v>XNYS</v>
    <v>XNYS</v>
    <v>4500 Dorr Street, TOLEDO, OH, 43615 US</v>
    <v>210.44</v>
    <v>Residential &amp; Commercial REIT</v>
    <v>Stock</v>
    <v>46084.011347152344</v>
    <v>566</v>
    <v>207.13</v>
    <v>146528025000</v>
    <v>WELLTOWER INC.</v>
    <v>WELLTOWER INC.</v>
    <v>207.85499999999999</v>
    <v>207.12</v>
    <v>210</v>
    <v>209.65</v>
    <v>697752500</v>
    <v>WELL</v>
    <v>WELLTOWER INC. (XNYS:WELL)</v>
    <v>3751705</v>
    <v>3352054</v>
    <v>2022</v>
  </rv>
  <rv s="2">
    <v>567</v>
  </rv>
  <rv s="7">
    <fb>187.5</fb>
    <v>13</v>
  </rv>
  <rv s="7">
    <fb>185.48</fb>
    <v>13</v>
  </rv>
  <rv s="10">
    <v>16</v>
    <v>AUTOZONE, INC. (NEOE:AZO)</v>
    <v>17</v>
    <v>18</v>
    <v>Finance</v>
    <v>19</v>
    <v>en-US</v>
    <v>cgm86h</v>
    <v>268435456</v>
    <v>1</v>
    <v>Powered by Refinitiv</v>
    <v>27.03</v>
    <v>19.989999999999998</v>
    <v>0.40629999999999999</v>
    <v>0.7</v>
    <v>3.1362000000000001E-2</v>
    <v>CAD</v>
    <v>AutoZone, Inc. is a retailer and distributor of automotive replacement parts and accessories in the Americas. Its Auto Parts Stores segment is a retailer and distributor of automotive parts and accessories through its approximately 7,353 stores in the United States, Mexico and Brazil. Each store carries an extensive product line for cars, sport utility vehicles, vans and light duty trucks, including new and remanufactured automotive hard parts, maintenance items, accessories and non-automotive products. The Company also sells automotive hard parts, maintenance items, accessories and non-automotive products through www.autozone.com, and its commercial customers can make purchases through www.autozonepro.com. In addition, the Company sells the ALLDATA brand of automotive diagnostic, repair, collision and shop management software through www.alldata.com. It also provides product information on its Duralast branded products through www.duralastparts.com.</v>
    <v>78000</v>
    <v>NEO Exchange</v>
    <v>NEOE</v>
    <v>NEOE</v>
    <v>123 South Front St, Dept 8074, MEMPHIS, TN, 38103 US</v>
    <v>23.02</v>
    <v>Specialty Retailers</v>
    <v>Stock</v>
    <v>46080.769624085158</v>
    <v>23.02</v>
    <v>58082640000</v>
    <v>AUTOZONE, INC.</v>
    <v>AUTOZONE, INC.</v>
    <v>23.02</v>
    <v>22.32</v>
    <v>23.02</v>
    <v>16567820</v>
    <v>AZO</v>
    <v>AUTOZONE, INC. (NEOE:AZO)</v>
    <v>500</v>
    <v>128560</v>
    <v>1991</v>
  </rv>
  <rv s="2">
    <v>571</v>
  </rv>
  <rv s="11">
    <fb t="e">#N/A</fb>
    <v>6</v>
    <v>4</v>
  </rv>
  <rv s="10">
    <v>16</v>
    <v>MINCO CAPITAL CORP. (NEOE:MMM)</v>
    <v>17</v>
    <v>20</v>
    <v>Finance</v>
    <v>19</v>
    <v>en-US</v>
    <v>cdtf8m</v>
    <v>268435456</v>
    <v>1</v>
    <v>Powered by Refinitiv</v>
    <v>0.12</v>
    <v>0.05</v>
    <v>0.85899999999999999</v>
    <v>0</v>
    <v>0</v>
    <v>CAD</v>
    <v>Minco Capital Corp. is a Canada-based investment company. The Company is focused on generating income and achieving long-term capital appreciation by investing in public and private companies and assets. The Company invests primarily in publicly traded and privately held corporations as well as taking indirect and direct ownership stakes in resource projects. The Company has investments in Minco Silver Corporation, Asante Gold Corp, Amerigo Resources Ltd, Lundin Gold Inc., Lavras Gold Corp., Unity Software Inc. and others.</v>
    <v>33</v>
    <v>NEO Exchange</v>
    <v>NEOE</v>
    <v>NEOE</v>
    <v>#2060 - 1055 West Georgia Street, VANCOUVER, BC, V6E 3R5 CA</v>
    <v>0.12</v>
    <v>Holding Companies</v>
    <v>Stock</v>
    <v>46050.765055705466</v>
    <v>0.12</v>
    <v>3669949</v>
    <v>MINCO CAPITAL CORP.</v>
    <v>MINCO CAPITAL CORP.</v>
    <v>0.12</v>
    <v>0.12</v>
    <v>0.12</v>
    <v>43175880</v>
    <v>MMM</v>
    <v>MINCO CAPITAL CORP. (NEOE:MMM)</v>
    <v>1000</v>
    <v>8200</v>
    <v>1982</v>
  </rv>
  <rv s="2">
    <v>574</v>
  </rv>
  <rv s="0">
    <v>https://www.bing.com/financeapi/forcetrigger?t=a1zk27&amp;q=XNAS%3aPCAR&amp;form=skydnc</v>
    <v>Learn more on Bing</v>
  </rv>
  <rv s="1">
    <v>0</v>
    <v>PACCAR INC (XNAS:PCAR)</v>
    <v>2</v>
    <v>3</v>
    <v>Finance</v>
    <v>10</v>
    <v>en-US</v>
    <v>a1zk27</v>
    <v>268435456</v>
    <v>1</v>
    <v>Powered by Refinitiv</v>
    <v>131.875</v>
    <v>83.584500000000006</v>
    <v>1.0367</v>
    <v>-1.66</v>
    <v>-1.3165E-2</v>
    <v>-0.43</v>
    <v>-3.4560000000000003E-3</v>
    <v>USD</v>
    <v>PACCAR Inc is a multinational company operating in three principal industry segments. The Truck segment includes the design, manufacture and distribution of light-, medium- and heavy-duty commercial trucks. Heavy-duty trucks have a gross vehicle weight (GVW) of over 33,000 lbs (Class 8) in North America and over 16 metric tons in Europe and South America. Medium-duty trucks have a GVW ranging from 19,500 to 33,000 lbs (Class 6 to 7) in North America, and in Europe, light- and medium-duty trucks range between 6 and 16 metric tons. Trucks are configured with the engine in front of cab (conventional) or cab-over-engine (COE). The Parts segment includes the distribution of aftermarket parts for trucks and related commercial vehicles. The Financial Services segment includes finance and leasing products and services provided to customers and dealers. Its finance and leasing activities are principally related to the Company’s products and associated equipment.</v>
    <v>25900</v>
    <v>Nasdaq Stock Market</v>
    <v>XNAS</v>
    <v>XNAS</v>
    <v>777 106th Avenue NE, BELLEVUE, WA, 98004 US</v>
    <v>125.405</v>
    <v>Machinery, Equipment &amp; Components</v>
    <v>Stock</v>
    <v>46083.958618263285</v>
    <v>576</v>
    <v>122.12</v>
    <v>65437052635</v>
    <v>PACCAR INC</v>
    <v>PACCAR INC</v>
    <v>124.64</v>
    <v>27.9587</v>
    <v>126.09</v>
    <v>124.43</v>
    <v>124</v>
    <v>525894500</v>
    <v>PCAR</v>
    <v>PACCAR INC (XNAS:PCAR)</v>
    <v>2655022</v>
    <v>3650171</v>
    <v>1971</v>
  </rv>
  <rv s="2">
    <v>577</v>
  </rv>
  <rv s="7">
    <fb>127.9</fb>
    <v>13</v>
  </rv>
  <rv s="7">
    <fb>128.78</fb>
    <v>13</v>
  </rv>
  <rv s="0">
    <v>https://www.bing.com/financeapi/forcetrigger?t=a1wjz2&amp;q=XNYS%3aKMB&amp;form=skydnc</v>
    <v>Learn more on Bing</v>
  </rv>
  <rv s="1">
    <v>0</v>
    <v>KIMBERLY-CLARK CORPORATION (XNAS:KMB)</v>
    <v>2</v>
    <v>3</v>
    <v>Finance</v>
    <v>4</v>
    <v>en-US</v>
    <v>a1wjz2</v>
    <v>268435456</v>
    <v>1</v>
    <v>Powered by Refinitiv</v>
    <v>150.44999999999999</v>
    <v>96.26</v>
    <v>0.25590000000000002</v>
    <v>-1.7</v>
    <v>-1.5255000000000001E-2</v>
    <v>0.26</v>
    <v>2.369E-3</v>
    <v>USD</v>
    <v>Kimberly-Clark Corporation is a global company focused on delivering products and solutions that provide better care. The Company's segments include North America and International Personal Care. The North America segment consists of products encompassing each of its five global daily-need categories across consumer and professional channels including disposable diapers, training and youth pants, swim pants, baby wipes, feminine and incontinence care products, reusable underwear, facial and bathroom tissue, paper towels, napkins, wipers, tissue, towels, soaps and sanitizers and other related products. International Personal Care segment consists of three core categories: Baby &amp; Child Care, Adult Care and Feminine Care, including disposable diapers, training and youth pants, swim pants, baby wipes, feminine and incontinence care products, reusable underwear and other related products. Its portfolio of brands includes Huggies, Kleenex, Scott, Kotex, Cottonelle, Depend, and Pull-Ups.</v>
    <v>36000</v>
    <v>Nasdaq Stock Market</v>
    <v>XNAS</v>
    <v>XNAS</v>
    <v>351 Phelps Dr, IRVING, TX, 75038 US</v>
    <v>110.78</v>
    <v>Personal &amp; Household Products &amp; Services</v>
    <v>Stock</v>
    <v>46083.925198240628</v>
    <v>581</v>
    <v>109.4</v>
    <v>36425164176</v>
    <v>KIMBERLY-CLARK CORPORATION</v>
    <v>KIMBERLY-CLARK CORPORATION</v>
    <v>110.68</v>
    <v>22.811499999999999</v>
    <v>111.44</v>
    <v>109.74</v>
    <v>110</v>
    <v>331922400</v>
    <v>KMB</v>
    <v>KIMBERLY-CLARK CORPORATION (XNAS:KMB)</v>
    <v>3075060</v>
    <v>6065532</v>
    <v>1928</v>
  </rv>
  <rv s="2">
    <v>582</v>
  </rv>
  <rv s="7">
    <fb>100.77</fb>
    <v>13</v>
  </rv>
  <rv s="7">
    <fb>103.21</fb>
    <v>13</v>
  </rv>
  <rv s="0">
    <v>https://www.bing.com/financeapi/forcetrigger?t=a218mw&amp;q=XNYS%3aPSA&amp;form=skydnc</v>
    <v>Learn more on Bing</v>
  </rv>
  <rv s="1">
    <v>0</v>
    <v>PUBLIC STORAGE. (XNYS:PSA)</v>
    <v>2</v>
    <v>3</v>
    <v>Finance</v>
    <v>10</v>
    <v>en-US</v>
    <v>a218mw</v>
    <v>268435456</v>
    <v>1</v>
    <v>Powered by Refinitiv</v>
    <v>322.49</v>
    <v>256.54000000000002</v>
    <v>1.0004999999999999</v>
    <v>3.88</v>
    <v>1.2636000000000001E-2</v>
    <v>0.06</v>
    <v>1.93E-4</v>
    <v>USD</v>
    <v>Public Storage is a real estate investment trust. Its principal business activities include the ownership and operation of self-storage facilities that offer storage spaces for lease, generally on a month-to-month basis, for personal and business use, and other related operations, such as tenant reinsurance, merchandise sales, third party management, and bridge lending to third-party self-storage owners, as well as the acquisition and development of additional self-storage space. Its Self-Storage Operations segment includes the aggregated rental operations from the self-storage facilities it owns from same store facilities, acquired facilities, newly developed and expanded facilities, and other non-same store facilities. Its Ancillary Operations segment includes the combined operations of its tenant reinsurance, merchandise sales, and third-party property management operating segments. It owned interests in over 3,085 self-storage facilities located in 40 states in the United States.</v>
    <v>5770</v>
    <v>New York Stock Exchange</v>
    <v>XNYS</v>
    <v>XNYS</v>
    <v>701 Western Avenue, GLENDALE, CA, 91201-2349 US</v>
    <v>312.86</v>
    <v>Residential &amp; Commercial REIT</v>
    <v>Stock</v>
    <v>46083.967318251562</v>
    <v>586</v>
    <v>303.875</v>
    <v>54571991110</v>
    <v>PUBLIC STORAGE.</v>
    <v>PUBLIC STORAGE.</v>
    <v>305.36</v>
    <v>34.048900000000003</v>
    <v>307.06</v>
    <v>310.94</v>
    <v>311</v>
    <v>175506500</v>
    <v>PSA</v>
    <v>PUBLIC STORAGE. (XNYS:PSA)</v>
    <v>1067761</v>
    <v>1172571</v>
    <v>2023</v>
  </rv>
  <rv s="2">
    <v>587</v>
  </rv>
  <rv s="7">
    <fb>279.54000000000002</fb>
    <v>13</v>
  </rv>
  <rv s="7">
    <fb>288.5</fb>
    <v>13</v>
  </rv>
  <rv s="0">
    <v>https://www.bing.com/financeapi/forcetrigger?t=a1s4mw&amp;q=XNAS%3aEQIX&amp;form=skydnc</v>
    <v>Learn more on Bing</v>
  </rv>
  <rv s="1">
    <v>0</v>
    <v>EQUINIX, INC. (XNAS:EQIX)</v>
    <v>2</v>
    <v>3</v>
    <v>Finance</v>
    <v>4</v>
    <v>en-US</v>
    <v>a1s4mw</v>
    <v>268435456</v>
    <v>1</v>
    <v>Powered by Refinitiv</v>
    <v>992.9</v>
    <v>701.41</v>
    <v>1.0324</v>
    <v>-8.16</v>
    <v>-8.3759999999999998E-3</v>
    <v>-13.121</v>
    <v>-1.3581000000000001E-2</v>
    <v>USD</v>
    <v>Equinix, Inc. is a digital infrastructure company. The Company's platform, Equinix, combines a global footprint of International Business Exchange (IBX) and xScale data centers in the Americas, Asia-Pacific, and Europe, the Middle East and Africa (EMEA) regions, interconnection solutions, digital offerings, business and digital ecosystems and consulting and support. It offers a variety of enabling solutions that support a customer's need to implement, operate and maintain its colocated deployments. Its solutions include Equinix SmartView, Equinix Smart Hands, and Equinix Smart Build (ESB). Equinix SmartView is fully integrated monitoring software that provides customers visibility into the operating data relevant to their specific Equinix footprint. Its interconnection solutions connect businesses directly within and between its data centers across its global platform. Its interconnection solutions include Equinix Fabric, Equinix Fabric Cloud Router, Cross Connects, and others.</v>
    <v>13716</v>
    <v>Nasdaq Stock Market</v>
    <v>XNAS</v>
    <v>XNAS</v>
    <v>One Lagoon Drive, REDWOOD CITY, CA, 94065 US</v>
    <v>970.78499999999997</v>
    <v>Residential &amp; Commercial REIT</v>
    <v>Stock</v>
    <v>46083.925214305469</v>
    <v>591</v>
    <v>954.37639999999999</v>
    <v>94924087873</v>
    <v>EQUINIX, INC.</v>
    <v>EQUINIX, INC.</v>
    <v>959.65</v>
    <v>70.801699999999997</v>
    <v>974.26</v>
    <v>966.1</v>
    <v>952.97900000000004</v>
    <v>98254930</v>
    <v>EQIX</v>
    <v>EQUINIX, INC. (XNAS:EQIX)</v>
    <v>409352</v>
    <v>735765</v>
    <v>1998</v>
  </rv>
  <rv s="2">
    <v>592</v>
  </rv>
  <rv s="7">
    <fb>801.83</fb>
    <v>13</v>
  </rv>
  <rv s="7">
    <fb>802.13</fb>
    <v>13</v>
  </rv>
  <rv s="0">
    <v>https://www.bing.com/financeapi/forcetrigger?t=a1mwoc&amp;q=XNAS%3aADSK&amp;form=skydnc</v>
    <v>Learn more on Bing</v>
  </rv>
  <rv s="1">
    <v>0</v>
    <v>AUTODESK, INC. (XNAS:ADSK)</v>
    <v>2</v>
    <v>3</v>
    <v>Finance</v>
    <v>10</v>
    <v>en-US</v>
    <v>a1mwoc</v>
    <v>268435456</v>
    <v>1</v>
    <v>Powered by Refinitiv</v>
    <v>329.09</v>
    <v>215.01</v>
    <v>1.4532</v>
    <v>1.07</v>
    <v>4.352E-3</v>
    <v>-0.94</v>
    <v>-3.8069999999999996E-3</v>
    <v>USD</v>
    <v>Autodesk, Inc. is engaged in three-dimensional (3D) design, engineering and entertainment technology solutions, spanning architecture, engineering, construction, product design, manufacturing, media and entertainment. Its architecture, engineering, construction and operations products improve the way building, infrastructure, and industrial projects are designed, built, and operated. Its product development and manufacturing software provides manufacturers in the automotive, transportation, industrial machinery, consumer products, and building product industries with comprehensive digital design, engineering, manufacturing, and production solutions. Its product offerings include AutoCAD Civil 3D, Autodesk Build, BIM Collaborate Pro, Revit, Tandem, AutoCAD, AutoCAD LT, Inventor, Vault, Maya, and 3ds Max. AutoCAD Civil 3D solution offers a surveying, design, analysis, and documentation solution for civil engineering, including land development, transportation, and environmental projects.</v>
    <v>14100</v>
    <v>Nasdaq Stock Market</v>
    <v>XNAS</v>
    <v>XNAS</v>
    <v>One Market, Ste. 400., SAN FRANCISCO, CA, 94105 US</v>
    <v>249.15</v>
    <v>Software &amp; IT Services</v>
    <v>Stock</v>
    <v>46083.949924120316</v>
    <v>596</v>
    <v>243</v>
    <v>52351280000</v>
    <v>AUTODESK, INC.</v>
    <v>AUTODESK, INC.</v>
    <v>243.52500000000001</v>
    <v>46.997999999999998</v>
    <v>245.87</v>
    <v>246.94</v>
    <v>246</v>
    <v>212000000</v>
    <v>ADSK</v>
    <v>AUTODESK, INC. (XNAS:ADSK)</v>
    <v>2401153</v>
    <v>2519639</v>
    <v>1994</v>
  </rv>
  <rv s="2">
    <v>597</v>
  </rv>
  <rv s="7">
    <fb>240.79</fb>
    <v>13</v>
  </rv>
  <rv s="7">
    <fb>243.41</fb>
    <v>13</v>
  </rv>
  <rv s="0">
    <v>https://www.bing.com/financeapi/forcetrigger?t=a1zhcw&amp;q=XNAS%3aPAYX&amp;form=skydnc</v>
    <v>Learn more on Bing</v>
  </rv>
  <rv s="1">
    <v>0</v>
    <v>PAYCHEX, INC. (XNAS:PAYX)</v>
    <v>2</v>
    <v>3</v>
    <v>Finance</v>
    <v>4</v>
    <v>en-US</v>
    <v>a1zhcw</v>
    <v>268435456</v>
    <v>1</v>
    <v>Powered by Refinitiv</v>
    <v>161.24</v>
    <v>86.89</v>
    <v>0.90180000000000005</v>
    <v>0.6</v>
    <v>6.4070000000000004E-3</v>
    <v>0.27</v>
    <v>2.8649999999999999E-3</v>
    <v>USD</v>
    <v>Paychex, Inc. is a human capital management (HCM) company. The Company is engaged in delivering a full suite of technology and advisory services in human resources, employee benefit solutions, insurance, and payroll. It is a provider of integrated HCM solutions for human resources (HR), payroll, benefits, and insurance for small- to medium-sized businesses in the United States (U.S.) and parts of Europe. It supports its small-business clients by utilizing its proprietary, software as a service (SaaS) Paychex Flex platform and the Company’s SurePayroll SaaS-based solutions. Its HR solutions include HR packages, HR consulting, employee onboarding, hiring services, and artificial intelligence -assisted recruiting. Its payroll services include payroll packages, small business payroll, midsize to enterprise payroll, switch payroll companies, and payroll tax services. Its employee benefits services include Group health insurance, retirement services, and benefits administration services.</v>
    <v>19000</v>
    <v>Nasdaq Stock Market</v>
    <v>XNAS</v>
    <v>XNAS</v>
    <v>911 Panorama Trail S, ROCHESTER, NY, 14625-0397 US</v>
    <v>94.46</v>
    <v>Professional &amp; Commercial Services</v>
    <v>Stock</v>
    <v>46083.925212568749</v>
    <v>601</v>
    <v>92.13</v>
    <v>33832677450</v>
    <v>PAYCHEX, INC.</v>
    <v>PAYCHEX, INC.</v>
    <v>92.9</v>
    <v>21.224</v>
    <v>93.65</v>
    <v>94.25</v>
    <v>94.52</v>
    <v>358967400</v>
    <v>PAYX</v>
    <v>PAYCHEX, INC. (XNAS:PAYX)</v>
    <v>3775278</v>
    <v>4399252</v>
    <v>1979</v>
  </rv>
  <rv s="2">
    <v>602</v>
  </rv>
  <rv s="7">
    <fb>97.15</fb>
    <v>13</v>
  </rv>
  <rv s="7">
    <fb>98.48</fb>
    <v>13</v>
  </rv>
  <rv s="0">
    <v>https://www.bing.com/financeapi/forcetrigger?t=a1uqpr&amp;q=XNYS%3aHLT&amp;form=skydnc</v>
    <v>Learn more on Bing</v>
  </rv>
  <rv s="1">
    <v>0</v>
    <v>HILTON WORLDWIDE HOLDINGS INC. (XNYS:HLT)</v>
    <v>2</v>
    <v>3</v>
    <v>Finance</v>
    <v>4</v>
    <v>en-US</v>
    <v>a1uqpr</v>
    <v>268435456</v>
    <v>1</v>
    <v>Powered by Refinitiv</v>
    <v>333.86</v>
    <v>196.04</v>
    <v>1.1012999999999999</v>
    <v>-6.99</v>
    <v>-2.2419999999999999E-2</v>
    <v>-0.5</v>
    <v>-1.64E-3</v>
    <v>USD</v>
    <v>Hilton Worldwide Holdings Inc. is a global hospitality company that is engaged in managing, franchising, owning and leasing hotels and resorts, and licensing its intellectual property, including brand names, trademarks and service marks. It has a portfolio of over 24 brands comprising more than 8,400 properties and more than 1.25 million rooms in 140 countries and territories. It has two segments: management and franchise and ownership. The management and franchise segment includes all the hotels it manages for third-party owners, as well as all franchised hotels that license its intellectual property (IP), and/or use its booking channels and related programs, and where it provides other contracted services to third-party owners. The ownership segment includes nightly hotel room sales, food and beverage sales and other services at its consolidated owned and leased hotels. Its brands include Waldorf Astoria Hotels &amp; Resorts, LXR Hotels &amp; Resorts, Conrad Hotels &amp; Resorts, and others.</v>
    <v>182000</v>
    <v>New York Stock Exchange</v>
    <v>XNYS</v>
    <v>XNYS</v>
    <v>7930 Jones Branch Dr Ste 1100, MCLEAN, VA, 22102 US</v>
    <v>308.79500000000002</v>
    <v>Hotels &amp; Entertainment Services</v>
    <v>Stock</v>
    <v>46084.038623228909</v>
    <v>606</v>
    <v>298.18</v>
    <v>69885786764</v>
    <v>HILTON WORLDWIDE HOLDINGS INC.</v>
    <v>HILTON WORLDWIDE HOLDINGS INC.</v>
    <v>301.14999999999998</v>
    <v>50.929000000000002</v>
    <v>311.77999999999997</v>
    <v>304.79000000000002</v>
    <v>304.3</v>
    <v>229291600</v>
    <v>HLT</v>
    <v>HILTON WORLDWIDE HOLDINGS INC. (XNYS:HLT)</v>
    <v>2511079</v>
    <v>2126704</v>
    <v>2010</v>
  </rv>
  <rv s="2">
    <v>607</v>
  </rv>
  <rv s="7">
    <fb>304.60000000000002</fb>
    <v>13</v>
  </rv>
  <rv s="7">
    <fb>308.81</fb>
    <v>13</v>
  </rv>
  <rv s="0">
    <v>https://www.bing.com/financeapi/forcetrigger?t=a1ruc7&amp;q=XNYS%3aEL&amp;form=skydnc</v>
    <v>Learn more on Bing</v>
  </rv>
  <rv s="9">
    <v>14</v>
    <v>THE ESTEE LAUDER COMPANIES INC. (XNYS:EL)</v>
    <v>2</v>
    <v>15</v>
    <v>Finance</v>
    <v>4</v>
    <v>en-US</v>
    <v>a1ruc7</v>
    <v>268435456</v>
    <v>1</v>
    <v>Powered by Refinitiv</v>
    <v>121.63500000000001</v>
    <v>48.370100000000001</v>
    <v>1.1092</v>
    <v>-9.2899999999999991</v>
    <v>-8.4862999999999994E-2</v>
    <v>0.47</v>
    <v>4.6909999999999999E-3</v>
    <v>USD</v>
    <v>The Estee Lauder Companies Inc. is a manufacturer, marketer and seller of skin care, makeup, fragrance and hair care products. Its products are sold in over 150 countries and territories under a number of brand names, including Estee Lauder, Aramis, Clinique, Lab Series, Origins, M.A.C, Bobbi Brown Cosmetics, La Mer, Aveda, Jo Malone London, Bumble and bumble, Darphin Paris, TOM FORD, Smashbox, AERIN Beauty, Le Labo, Editions de Parfums Frederic Malle, GLAMGLOW, Kilian Paris, Too Faced, Dr.Jart+, and the DECIEM family of brands, including The Ordinary and NIOD, and BALMAIN Beauty. It is a licensee for fragrances, cosmetics and/or related products for AERIN, BALMAIN, and Dr. Andrew Weil. Its skin care products include moisturizers, serums, cleansers, toners, exfoliators, facial masks, body care, sun care products and others. Its makeup products include foundations, powders, concealers and setting sprays, lipsticks, lip liners and lip glosses, and mascaras, eyeshadows and eyeliners.</v>
    <v>57000</v>
    <v>New York Stock Exchange</v>
    <v>XNYS</v>
    <v>XNYS</v>
    <v>767 Fifth Avenue, NEW YORK, NY, 10153 US</v>
    <v>106.95</v>
    <v>Personal &amp; Household Products &amp; Services</v>
    <v>Stock</v>
    <v>46084.037603043747</v>
    <v>611</v>
    <v>99.98</v>
    <v>36237820878</v>
    <v>THE ESTEE LAUDER COMPANIES INC.</v>
    <v>THE ESTEE LAUDER COMPANIES INC.</v>
    <v>106.75</v>
    <v>109.47</v>
    <v>100.18</v>
    <v>100.66</v>
    <v>361727100</v>
    <v>EL</v>
    <v>THE ESTEE LAUDER COMPANIES INC. (XNYS:EL)</v>
    <v>5245065</v>
    <v>4563618</v>
    <v>1976</v>
  </rv>
  <rv s="2">
    <v>612</v>
  </rv>
  <rv s="7">
    <fb>116.27</fb>
    <v>13</v>
  </rv>
  <rv s="7">
    <fb>119.61</fb>
    <v>13</v>
  </rv>
  <rv s="0">
    <v>https://www.bing.com/financeapi/forcetrigger?t=a1z11h&amp;q=XNYS%3aO&amp;form=skydnc</v>
    <v>Learn more on Bing</v>
  </rv>
  <rv s="1">
    <v>0</v>
    <v>REALTY INCOME CORPORATION (XNYS:O)</v>
    <v>2</v>
    <v>3</v>
    <v>Finance</v>
    <v>4</v>
    <v>en-US</v>
    <v>a1z11h</v>
    <v>268435456</v>
    <v>1</v>
    <v>Powered by Refinitiv</v>
    <v>67.935000000000002</v>
    <v>50.71</v>
    <v>0.77639999999999998</v>
    <v>0.56000000000000005</v>
    <v>8.3579999999999991E-3</v>
    <v>-0.31</v>
    <v>-4.5889999999999993E-3</v>
    <v>USD</v>
    <v>Realty Income Corporation is a real estate investment trust. The Company is engaged in acquiring and managing freestanding commercial properties that generate rental revenue under long-term net lease agreements with its commercial clients. It is engaged in a single business activity, which is the leasing of property to clients, generally on a net basis. That business activity spans various geographic boundaries and includes property types and clients engaged in various industries. The Company owns or holds interests in approximately 15,621 properties located in all 50 United States (U.S.) states, the United Kingdom, France, Germany, Ireland, Italy, Portugal, and Spain with clients doing business in 89 industries. Its property types include retail, industrial, gaming and others, such as agriculture and office. Its primary industry concentrations include grocery stores, convenience stores, dollar stores, drug stores, home improvement, restaurants-quick service and others.</v>
    <v>544</v>
    <v>New York Stock Exchange</v>
    <v>XNYS</v>
    <v>XNYS</v>
    <v>11995 El Camino Real, SAN DIEGO, CA, 92130 US</v>
    <v>67.724500000000006</v>
    <v>Residential &amp; Commercial REIT</v>
    <v>Stock</v>
    <v>46084.040242256247</v>
    <v>616</v>
    <v>66.510000000000005</v>
    <v>62995659912</v>
    <v>REALTY INCOME CORPORATION</v>
    <v>REALTY INCOME CORPORATION</v>
    <v>66.8</v>
    <v>57.5473</v>
    <v>67</v>
    <v>67.56</v>
    <v>67.25</v>
    <v>932440200</v>
    <v>O</v>
    <v>REALTY INCOME CORPORATION (XNYS:O)</v>
    <v>6736275</v>
    <v>6812042</v>
    <v>1997</v>
  </rv>
  <rv s="2">
    <v>617</v>
  </rv>
  <rv s="7">
    <fb>61.46</fb>
    <v>13</v>
  </rv>
  <rv s="7">
    <fb>62.46</fb>
    <v>13</v>
  </rv>
  <rv s="0">
    <v>https://www.bing.com/financeapi/forcetrigger?t=a22k9c&amp;q=XNAS%3aSBUX&amp;form=skydnc</v>
    <v>Learn more on Bing</v>
  </rv>
  <rv s="1">
    <v>0</v>
    <v>STARBUCKS CORPORATION (XNAS:SBUX)</v>
    <v>2</v>
    <v>3</v>
    <v>Finance</v>
    <v>4</v>
    <v>en-US</v>
    <v>a22k9c</v>
    <v>268435456</v>
    <v>1</v>
    <v>Powered by Refinitiv</v>
    <v>117.46</v>
    <v>75.5</v>
    <v>0.92269999999999996</v>
    <v>-1.26</v>
    <v>-1.2855E-2</v>
    <v>-0.45440000000000003</v>
    <v>-4.6960000000000005E-3</v>
    <v>USD</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381000</v>
    <v>Nasdaq Stock Market</v>
    <v>XNAS</v>
    <v>XNAS</v>
    <v>2401 Utah Ave S, Ms: S-La1, SEATTLE, WA, 98134 US</v>
    <v>97.105000000000004</v>
    <v>Hotels &amp; Entertainment Services</v>
    <v>Stock</v>
    <v>46083.96932662031</v>
    <v>621</v>
    <v>95.5</v>
    <v>110238668000</v>
    <v>STARBUCKS CORPORATION</v>
    <v>STARBUCKS CORPORATION</v>
    <v>95.71</v>
    <v>81.6541</v>
    <v>98.02</v>
    <v>96.76</v>
    <v>96.305599999999998</v>
    <v>1139300000</v>
    <v>SBUX</v>
    <v>STARBUCKS CORPORATION (XNAS:SBUX)</v>
    <v>7250931</v>
    <v>9636950</v>
    <v>1985</v>
  </rv>
  <rv s="2">
    <v>622</v>
  </rv>
  <rv s="7">
    <fb>93.04</fb>
    <v>13</v>
  </rv>
  <rv s="7">
    <fb>96.97</fb>
    <v>13</v>
  </rv>
  <rv s="0">
    <v>https://www.bing.com/financeapi/forcetrigger?t=a1tvzr&amp;q=XNYS%3aGIS&amp;form=skydnc</v>
    <v>Learn more on Bing</v>
  </rv>
  <rv s="1">
    <v>0</v>
    <v>GENERAL MILLS, INC. (XNYS:GIS)</v>
    <v>2</v>
    <v>3</v>
    <v>Finance</v>
    <v>4</v>
    <v>en-US</v>
    <v>a1tvzr</v>
    <v>268435456</v>
    <v>1</v>
    <v>Powered by Refinitiv</v>
    <v>67.349999999999994</v>
    <v>42.784999999999997</v>
    <v>-5.9700000000000003E-2</v>
    <v>-0.105</v>
    <v>-2.3210000000000001E-3</v>
    <v>6.9900000000000004E-2</v>
    <v>1.549E-3</v>
    <v>USD</v>
    <v>General Mills, Inc. is a global manufacturer and marketer of branded consumer foods. Its segments include North America Retail; International; North America Pet, and North America Foodservice. The North America Retail segment reflects business with a variety of grocery stores, mass merchandisers, membership stores, natural food chains, drug, dollar and discount chains, convenience stores, and e-commerce grocery providers. The International segment consists of retail and foodservice businesses outside the United States and Canada. Its product categories include super-premium ice cream and frozen desserts, meal kits, salty snacks, snack bars, dessert and baking mixes, and shelf-stable vegetables. The North America Pet segment includes pet food products sold in the United States and Canada in national pet superstore chains, e-commerce retailers, and grocery stores. The North America Foodservice segment product categories include ready-to-eat cereals, snacks, and baking mixes.</v>
    <v>33000</v>
    <v>New York Stock Exchange</v>
    <v>XNYS</v>
    <v>XNYS</v>
    <v>Number One General Mills Blvd, MINNEAPOLIS, MN, 55426 US</v>
    <v>45.59</v>
    <v>Food &amp; Tobacco</v>
    <v>Stock</v>
    <v>46084.037373668747</v>
    <v>626</v>
    <v>44.69</v>
    <v>24077892262</v>
    <v>GENERAL MILLS, INC.</v>
    <v>GENERAL MILLS, INC.</v>
    <v>45.1</v>
    <v>9.7036999999999995</v>
    <v>45.23</v>
    <v>45.125</v>
    <v>45.189900000000002</v>
    <v>533582100</v>
    <v>GIS</v>
    <v>GENERAL MILLS, INC. (XNYS:GIS)</v>
    <v>5722585</v>
    <v>7867611</v>
    <v>1928</v>
  </rv>
  <rv s="2">
    <v>627</v>
  </rv>
  <rv s="7">
    <fb>46.5</fb>
    <v>13</v>
  </rv>
  <rv s="7">
    <fb>48.5</fb>
    <v>13</v>
  </rv>
  <rv s="0">
    <v>https://www.bing.com/financeapi/forcetrigger?t=a1udz2&amp;q=XNYS%3aGWW&amp;form=skydnc</v>
    <v>Learn more on Bing</v>
  </rv>
  <rv s="1">
    <v>0</v>
    <v>W.W. GRAINGER, INC. (XNYS:GWW)</v>
    <v>2</v>
    <v>3</v>
    <v>Finance</v>
    <v>10</v>
    <v>en-US</v>
    <v>a1udz2</v>
    <v>268435456</v>
    <v>1</v>
    <v>Powered by Refinitiv</v>
    <v>1218.6300000000001</v>
    <v>893.99</v>
    <v>1.0974999999999999</v>
    <v>7.52</v>
    <v>6.5690000000000002E-3</v>
    <v>0</v>
    <v>0</v>
    <v>USD</v>
    <v>W.W. Grainger, Inc. is a broadline distributor of maintenance, repair and operating (MRO) products serving businesses and institutions. The Company’s segments include High-Touch Solutions North America (High-Touch Solutions N.A.) and Endless Assortment. The Company's High-Touch Solutions N.A. segment provides value-added MRO solutions. This segment primarily includes the Grainger-branded businesses in the United States, Canada, Mexico and Puerto Rico. The Company’s Endless Assortment segment provides an online platform with one-stop shopping for various products. The Endless Assortment segment includes the Company’s Zoro Tools, Inc. (Zoro) and MonotaRO Co., Ltd. (MonotaRO) online channels which operate predominately in the United States and Japan. The Company’s product offering is grouped under several broad categories, including safety and security, material handling and storage, pumps and plumbing equipment, cleaning and maintenance, metalworking and hand tools.</v>
    <v>22100</v>
    <v>New York Stock Exchange</v>
    <v>XNYS</v>
    <v>XNYS</v>
    <v>100 Grainger Parkway, LAKE FOREST, IL, 60045-5201 US</v>
    <v>1157.68</v>
    <v>Machinery, Equipment &amp; Components</v>
    <v>Stock</v>
    <v>46083.925213703122</v>
    <v>631</v>
    <v>1133.5999999999999</v>
    <v>54585562295</v>
    <v>W.W. GRAINGER, INC.</v>
    <v>W.W. GRAINGER, INC.</v>
    <v>1144.58</v>
    <v>32.2181</v>
    <v>1144.73</v>
    <v>1152.25</v>
    <v>1152.25</v>
    <v>47373020</v>
    <v>GWW</v>
    <v>W.W. GRAINGER, INC. (XNYS:GWW)</v>
    <v>220476</v>
    <v>344200</v>
    <v>1928</v>
  </rv>
  <rv s="2">
    <v>632</v>
  </rv>
  <rv s="7">
    <fb>1155</fb>
    <v>13</v>
  </rv>
  <rv s="7">
    <fb>1194.93</fb>
    <v>13</v>
  </rv>
  <rv s="0">
    <v>https://www.bing.com/financeapi/forcetrigger?t=a1xhvh&amp;q=XNYS%3aMET&amp;form=skydnc</v>
    <v>Learn more on Bing</v>
  </rv>
  <rv s="1">
    <v>0</v>
    <v>METLIFE, INC. (XNYS:MET)</v>
    <v>2</v>
    <v>3</v>
    <v>Finance</v>
    <v>4</v>
    <v>en-US</v>
    <v>a1xhvh</v>
    <v>268435456</v>
    <v>1</v>
    <v>Powered by Refinitiv</v>
    <v>87.39</v>
    <v>65.209999999999994</v>
    <v>0.75239999999999996</v>
    <v>1.18</v>
    <v>1.6372999999999999E-2</v>
    <v>-0.24</v>
    <v>-3.277E-3</v>
    <v>USD</v>
    <v>MetLife, Inc. is a financial services company, providing insurance, annuities, employee benefits and asset management to individual and institutional customers. Its segments include Group Benefits; Retirement and Income Solutions (RIS); Asia; Latin America; Europe, the Middle East and Africa (EMEA); and MetLife Holdings. Group Benefits segment offers life insurance, dental, group short- and long-term disability, paid family and medical leave, individual disability, accidental death and dismemberment insurance, accident and health insurance, and vision, as well as prepaid legal plans and pet insurance. RIS segment provides funding and financing solutions that help institutional customers mitigate and manage liabilities primarily associated with their employee benefit programs using a spectrum of life and annuity-based insurance and investment products. It operates across EMEA in both developed (Western Europe) and emerging (Central and Eastern Europe, Middle East and Africa) markets.</v>
    <v>46000</v>
    <v>New York Stock Exchange</v>
    <v>XNYS</v>
    <v>XNYS</v>
    <v>200 Park Avenue, NEW YORK, NY, 10166 US</v>
    <v>73.73</v>
    <v>Insurance</v>
    <v>Stock</v>
    <v>46084.033850983593</v>
    <v>636</v>
    <v>70.930000000000007</v>
    <v>47762948175</v>
    <v>METLIFE, INC.</v>
    <v>METLIFE, INC.</v>
    <v>71.569999999999993</v>
    <v>15.568899999999999</v>
    <v>72.069999999999993</v>
    <v>73.25</v>
    <v>73</v>
    <v>652053900</v>
    <v>MET</v>
    <v>METLIFE, INC. (XNYS:MET)</v>
    <v>4054763</v>
    <v>4310330</v>
    <v>1999</v>
  </rv>
  <rv s="2">
    <v>637</v>
  </rv>
  <rv s="7">
    <fb>76.900000000000006</fb>
    <v>13</v>
  </rv>
  <rv s="7">
    <fb>78.010000000000005</fb>
    <v>13</v>
  </rv>
  <rv s="0">
    <v>https://www.bing.com/financeapi/forcetrigger?t=a1mybh&amp;q=XNAS%3aAEP&amp;form=skydnc</v>
    <v>Learn more on Bing</v>
  </rv>
  <rv s="1">
    <v>0</v>
    <v>AMERICAN ELECTRIC POWER COMPANY, INC. (XNAS:AEP)</v>
    <v>2</v>
    <v>3</v>
    <v>Finance</v>
    <v>4</v>
    <v>en-US</v>
    <v>a1mybh</v>
    <v>268435456</v>
    <v>1</v>
    <v>Powered by Refinitiv</v>
    <v>134.59989999999999</v>
    <v>97.46</v>
    <v>0.60250000000000004</v>
    <v>-0.53</v>
    <v>-3.9610000000000001E-3</v>
    <v>-0.28999999999999998</v>
    <v>-2.176E-3</v>
    <v>USD</v>
    <v>American Electric Power Company, Inc. is an electric public utility holding company. Its electric utility operating companies provide generation, transmission and distribution services to more than five million retail customers in Arkansas, Indiana, Kentucky, Louisiana, Michigan, Ohio, Oklahoma, Tennessee, Texas, Virginia and West Virginia. Its segments include Vertically Integrated Utilities, Transmission and Distribution Utilities, AEP Transmission Holdco and Generation &amp; Marketing. The Vertically Integrated Utilities is engaged in the generation, transmission and distribution of electricity for sale to retail and wholesale customers. The Transmission and Distribution Utilities consists of the transmission and distribution of electricity for sale to retail and wholesale customers. The AEP Transmission Holdco is engaged in development, construction and operation of transmission facilities. The Generation &amp; Marketing segment conducts Marketing, risk management and retail activities.</v>
    <v>17581</v>
    <v>Nasdaq Stock Market</v>
    <v>XNAS</v>
    <v>XNAS</v>
    <v>1 Riverside Plz, COLUMBUS, OH, 43215-2355 US</v>
    <v>134.22999999999999</v>
    <v>Electrical Utilities &amp; IPPs</v>
    <v>Stock</v>
    <v>46083.925213622657</v>
    <v>641</v>
    <v>133.01</v>
    <v>72091429335</v>
    <v>AMERICAN ELECTRIC POWER COMPANY, INC.</v>
    <v>AMERICAN ELECTRIC POWER COMPANY, INC.</v>
    <v>133.82499999999999</v>
    <v>20.078800000000001</v>
    <v>133.82</v>
    <v>133.29</v>
    <v>133</v>
    <v>540861500</v>
    <v>AEP</v>
    <v>AMERICAN ELECTRIC POWER COMPANY, INC. (XNAS:AEP)</v>
    <v>2978696</v>
    <v>3522724</v>
    <v>1925</v>
  </rv>
  <rv s="2">
    <v>642</v>
  </rv>
  <rv s="7">
    <fb>120.67</fb>
    <v>13</v>
  </rv>
  <rv s="7">
    <fb>119.98</fb>
    <v>13</v>
  </rv>
  <rv s="0">
    <v>https://www.bing.com/financeapi/forcetrigger?t=a1xdvh&amp;q=XNAS%3aMCHP&amp;form=skydnc</v>
    <v>Learn more on Bing</v>
  </rv>
  <rv s="1">
    <v>0</v>
    <v>MICROCHIP TECHNOLOGY INCORPORATED (XNAS:MCHP)</v>
    <v>2</v>
    <v>3</v>
    <v>Finance</v>
    <v>10</v>
    <v>en-US</v>
    <v>a1xdvh</v>
    <v>268435456</v>
    <v>1</v>
    <v>Powered by Refinitiv</v>
    <v>83.35</v>
    <v>34.125</v>
    <v>1.4372</v>
    <v>-0.33</v>
    <v>-4.4209999999999996E-3</v>
    <v>-0.01</v>
    <v>-1.3459999999999999E-4</v>
    <v>USD</v>
    <v>Microchip Technology Incorporated is a provider of smart, connected, and secure embedded control solutions. The Company’s semiconductor products segment designs, develops, manufactures and markets mixed-signal microcontrollers, development tools and analog, interface, mixed-signal, timing, wired and wireless connectivity devices, and memory products. The Company's technology licensing segment includes sales and licensing of the Company's intellectual property. Its products include PIC64 Microprocessors, FPGAs, myMicrochip, MPLAB X IDE, Analog, and Microcontrollers. Its development tools include Atmel START and MPLAB Discover. Its manufacturing operations include wafer fabrication, wafer probe, assembly, and test. The Company’s solutions serve customers across the industrial, automotive, consumer, aerospace and defense, communications and computing markets. The Company markets and sells its products worldwide primarily through a network of direct sales personnel and distributors.</v>
    <v>19400</v>
    <v>Nasdaq Stock Market</v>
    <v>XNAS</v>
    <v>XNAS</v>
    <v>2355 W CHANDLER BLVD, CHANDLER, AZ, 85224-6199 US</v>
    <v>74.709999999999994</v>
    <v>Semiconductors &amp; Semiconductor Equipment</v>
    <v>Stock</v>
    <v>46083.949924073437</v>
    <v>646</v>
    <v>72.440100000000001</v>
    <v>40211771574</v>
    <v>MICROCHIP TECHNOLOGY INCORPORATED</v>
    <v>MICROCHIP TECHNOLOGY INCORPORATED</v>
    <v>72.86</v>
    <v>0</v>
    <v>74.64</v>
    <v>74.31</v>
    <v>74.3</v>
    <v>541135400</v>
    <v>MCHP</v>
    <v>MICROCHIP TECHNOLOGY INCORPORATED (XNAS:MCHP)</v>
    <v>5288900</v>
    <v>9739372</v>
    <v>1989</v>
  </rv>
  <rv s="2">
    <v>647</v>
  </rv>
  <rv s="7">
    <fb>76.66</fb>
    <v>13</v>
  </rv>
  <rv s="7">
    <fb>78.23</fb>
    <v>13</v>
  </rv>
  <rv s="0">
    <v>https://www.bing.com/financeapi/forcetrigger?t=a24zec&amp;q=XNYS%3aURI&amp;form=skydnc</v>
    <v>Learn more on Bing</v>
  </rv>
  <rv s="1">
    <v>0</v>
    <v>UNITED RENTALS, INC. (XNYS:URI)</v>
    <v>2</v>
    <v>3</v>
    <v>Finance</v>
    <v>4</v>
    <v>en-US</v>
    <v>a24zec</v>
    <v>268435456</v>
    <v>1</v>
    <v>Powered by Refinitiv</v>
    <v>1021.47</v>
    <v>525.91359999999997</v>
    <v>1.6624000000000001</v>
    <v>-19.18</v>
    <v>-2.2833000000000003E-2</v>
    <v>-0.9143</v>
    <v>-1.114E-3</v>
    <v>USD</v>
    <v>United Rentals, Inc. is an equipment rental company. The Company's segments include General Rentals and Specialty. General Rentals segment includes the rental of construction, aerial and industrial equipment, general tools and light equipment, and related services and activities. General Rentals segment has four geographic divisions - Central, Northeast, Southeast and West - and operates throughout the United States and Canada. Specialty segment rents products (and provides setup and other services on such rented equipment), including trench safety equipment, such as trench shields, aluminum hydraulic shoring systems, slide rails, crossing plates, construction lasers and line testing equipment for underground work; fluid solutions equipment primarily used for fluid containment, transfer and treatment, and mobile storage equipment and modular office space. It has an integrated network of around 1,591 rental locations in North America, 39 in Europe, 37 in Australia and 19 in New Zealand.</v>
    <v>28500</v>
    <v>New York Stock Exchange</v>
    <v>XNYS</v>
    <v>XNYS</v>
    <v>100 First Stamford Place, Suite 700, STAMFORD, CT, 06902 US</v>
    <v>831.97</v>
    <v>Professional &amp; Commercial Services</v>
    <v>Stock</v>
    <v>46084.038945798435</v>
    <v>651</v>
    <v>796.55</v>
    <v>51710141483</v>
    <v>UNITED RENTALS, INC.</v>
    <v>UNITED RENTALS, INC.</v>
    <v>822.8</v>
    <v>21.7376</v>
    <v>840</v>
    <v>820.82</v>
    <v>819.66570000000002</v>
    <v>62998150</v>
    <v>URI</v>
    <v>UNITED RENTALS, INC. (XNYS:URI)</v>
    <v>772400</v>
    <v>780725</v>
    <v>1998</v>
  </rv>
  <rv s="2">
    <v>652</v>
  </rv>
  <rv s="7">
    <fb>792.75</fb>
    <v>13</v>
  </rv>
  <rv s="7">
    <fb>848.13</fb>
    <v>13</v>
  </rv>
  <rv s="0">
    <v>http://en.wikipedia.org/wiki/Ford_Motor_Company</v>
    <v>Wikipedia</v>
  </rv>
  <rv s="3">
    <v>18</v>
    <v>656</v>
  </rv>
  <rv s="4">
    <v>9</v>
    <v>https://www.bing.com/th?id=AMMS_cf0311a5f2d2dcb3110aca1404330618&amp;qlt=95</v>
    <v>657</v>
    <v>0</v>
    <v>https://www.bing.com/images/search?form=xlimg&amp;q=ford+motor+company</v>
    <v>Image of FORD MOTOR COMPANY</v>
  </rv>
  <rv s="0">
    <v>https://www.bing.com/financeapi/forcetrigger?t=a1sjw7&amp;q=XNYS%3aF&amp;form=skydnc</v>
    <v>Learn more on Bing</v>
  </rv>
  <rv s="12">
    <v>21</v>
    <v>FORD MOTOR COMPANY (XNYS:F)</v>
    <v>7</v>
    <v>22</v>
    <v>Finance</v>
    <v>4</v>
    <v>en-US</v>
    <v>a1sjw7</v>
    <v>268435456</v>
    <v>1</v>
    <v>Powered by Refinitiv</v>
    <v>14.795</v>
    <v>8.4405999999999999</v>
    <v>1.6503000000000001</v>
    <v>-0.71499999999999997</v>
    <v>-5.0744999999999998E-2</v>
    <v>-4.7000000000000002E-3</v>
    <v>-3.5099999999999997E-4</v>
    <v>USD</v>
    <v>Ford Motor Company is an automobile company. The Company develops and delivers Ford trucks, sport utility vehicles, commercial vans and cars, and Lincoln luxury vehicles, along with connected services.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169000</v>
    <v>New York Stock Exchange</v>
    <v>XNYS</v>
    <v>XNYS</v>
    <v>One American Road, DEARBORN, MI, 48126-2701 US</v>
    <v>13.93</v>
    <v>658</v>
    <v>Automobiles &amp; Auto Parts</v>
    <v>Stock</v>
    <v>46084.041602453122</v>
    <v>659</v>
    <v>13.22</v>
    <v>53359228125</v>
    <v>FORD MOTOR COMPANY</v>
    <v>FORD MOTOR COMPANY</v>
    <v>13.93</v>
    <v>14.09</v>
    <v>13.375</v>
    <v>13.385300000000001</v>
    <v>3989475000</v>
    <v>F</v>
    <v>FORD MOTOR COMPANY (XNYS:F)</v>
    <v>110305523</v>
    <v>72042814</v>
    <v>1919</v>
  </rv>
  <rv s="2">
    <v>660</v>
  </rv>
  <rv s="7">
    <fb>13.73</fb>
    <v>13</v>
  </rv>
  <rv s="7">
    <fb>13.82</fb>
    <v>13</v>
  </rv>
  <rv s="0">
    <v>https://www.bing.com/financeapi/forcetrigger?t=a1qpw7&amp;q=XNYS%3aD&amp;form=skydnc</v>
    <v>Learn more on Bing</v>
  </rv>
  <rv s="1">
    <v>0</v>
    <v>Dominion Energy, Inc. (XNYS:D)</v>
    <v>2</v>
    <v>3</v>
    <v>Finance</v>
    <v>4</v>
    <v>en-US</v>
    <v>a1qpw7</v>
    <v>268435456</v>
    <v>1</v>
    <v>Powered by Refinitiv</v>
    <v>67.569900000000004</v>
    <v>48.07</v>
    <v>0.69569999999999999</v>
    <v>-0.1</v>
    <v>-1.5840000000000001E-3</v>
    <v>-0.05</v>
    <v>-7.9299999999999998E-4</v>
    <v>USD</v>
    <v>Dominion Energy, Inc. provides regulated electricity service to about 3.6 million homes and businesses in Virginia, North Carolina, and South Carolina, and regulated natural gas service to 500,000 customers in South Carolina. It is a developer and operator of regulated offshore wind and solar power and the producer of carbon-free electricity in New England. Its Dominion Energy Virginia segment is composed of Virginia Power’s regulated electric transmission, distribution, and generation operations, which serve homes and businesses in Virginia and North Carolina. Its Dominion Energy South Carolina segment consists of DESC’s generation, transmission, and distribution of electricity to customers in the central, southern and southwestern portions of South Carolina and the distribution of natural gas to residential, commercial and industrial customers in South Carolina. Its Contracted Energy segment includes non-regulated electric generation fleet and renewable natural gas operations.</v>
    <v>15200</v>
    <v>New York Stock Exchange</v>
    <v>XNYS</v>
    <v>XNYS</v>
    <v>600 EAST CANAL STREET, RICHMOND, VA, 23219 US</v>
    <v>63.41</v>
    <v>Electrical Utilities &amp; IPPs</v>
    <v>Stock</v>
    <v>46084.038951909373</v>
    <v>664</v>
    <v>62.825000000000003</v>
    <v>55398644224</v>
    <v>Dominion Energy, Inc.</v>
    <v>Dominion Energy, Inc.</v>
    <v>63</v>
    <v>18.288799999999998</v>
    <v>63.14</v>
    <v>63.04</v>
    <v>63</v>
    <v>878785600</v>
    <v>D</v>
    <v>Dominion Energy, Inc. (XNYS:D)</v>
    <v>6884757</v>
    <v>6209748</v>
    <v>1983</v>
  </rv>
  <rv s="2">
    <v>665</v>
  </rv>
  <rv s="7">
    <fb>61.43</fb>
    <v>13</v>
  </rv>
  <rv s="7">
    <fb>62.33</fb>
    <v>13</v>
  </rv>
  <rv s="0">
    <v>https://www.bing.com/financeapi/forcetrigger?t=a1n6f2&amp;q=XNYS%3aAIG&amp;form=skydnc</v>
    <v>Learn more on Bing</v>
  </rv>
  <rv s="1">
    <v>0</v>
    <v>AMERICAN INTERNATIONAL GROUP, INC. (XNYS:AIG)</v>
    <v>2</v>
    <v>3</v>
    <v>Finance</v>
    <v>4</v>
    <v>en-US</v>
    <v>a1n6f2</v>
    <v>268435456</v>
    <v>1</v>
    <v>Powered by Refinitiv</v>
    <v>88.07</v>
    <v>71.245000000000005</v>
    <v>0.5857</v>
    <v>0.62</v>
    <v>7.7029999999999998E-3</v>
    <v>-0.12</v>
    <v>-1.4790000000000001E-3</v>
    <v>USD</v>
    <v>American International Group, Inc. is a global insurance company. It provides insurance solutions that help businesses and individuals in over 200 countries and jurisdictions protect their assets and manage risks through its operations, licenses and authorizations and network partners. Its segment includes General Insurance and Other Operations. General Insurance business includes its three segments, including North America Commercial, International Commercial and Global Personal. The North America Commercial consists of insurance businesses in the United States, Canada and Bermuda. The International Commercial consists of insurance businesses in Japan, the United Kingdom, Europe, Middle East and Africa, Asia Pacific, Latin America and Caribbean and China. The North America and International Commercial segment products include property and short tail, casualty, financial lines and global specialty. Global Personal segment products include global accident and health and personal lines.</v>
    <v>22100</v>
    <v>New York Stock Exchange</v>
    <v>XNYS</v>
    <v>XNYS</v>
    <v>1271 Ave Of The Americas, Fl 37, NEW YORK, NY, 10020-1304 US</v>
    <v>81.62</v>
    <v>Insurance</v>
    <v>Stock</v>
    <v>46084.000849883596</v>
    <v>669</v>
    <v>80.56</v>
    <v>43520349156</v>
    <v>AMERICAN INTERNATIONAL GROUP, INC.</v>
    <v>AMERICAN INTERNATIONAL GROUP, INC.</v>
    <v>80.89</v>
    <v>14.852399999999999</v>
    <v>80.489999999999995</v>
    <v>81.11</v>
    <v>81</v>
    <v>536559600</v>
    <v>AIG</v>
    <v>AMERICAN INTERNATIONAL GROUP, INC. (XNYS:AIG)</v>
    <v>2742605</v>
    <v>4057991</v>
    <v>1967</v>
  </rv>
  <rv s="2">
    <v>670</v>
  </rv>
  <rv s="7">
    <fb>74.13</fb>
    <v>13</v>
  </rv>
  <rv s="7">
    <fb>76.37</fb>
    <v>13</v>
  </rv>
  <rv s="0">
    <v>https://www.bing.com/financeapi/forcetrigger?t=a1ser7&amp;q=XNYS%3aEW&amp;form=skydnc</v>
    <v>Learn more on Bing</v>
  </rv>
  <rv s="1">
    <v>0</v>
    <v>EDWARDS LIFESCIENCES CORPORATION (XNYS:EW)</v>
    <v>2</v>
    <v>3</v>
    <v>Finance</v>
    <v>4</v>
    <v>en-US</v>
    <v>a1ser7</v>
    <v>268435456</v>
    <v>1</v>
    <v>Powered by Refinitiv</v>
    <v>87.89</v>
    <v>65.94</v>
    <v>0.92620000000000002</v>
    <v>0.7</v>
    <v>8.0949999999999998E-3</v>
    <v>-0.73089999999999999</v>
    <v>-8.3840000000000008E-3</v>
    <v>USD</v>
    <v>Edwards Lifesciences Corporation is the global structural heart company. The Company partners with clinicians and researchers and invests in research and development to improve care for those impacted by structural heart disease. Its product categories include Transcatheter Aortic Valve Replacement (TAVR), Transcatheter Mitral and Tricuspid Therapies (TMTT), and Surgical Structural Heart. It provides transcatheter heart valve replacement technologies designed for the minimally-invasive replacement of aortic heart valves. TAVR category includes the Edwards SAPIEN 3, the Edwards SAPIEN 3 Ultra and the Edwards SAPIEN 3 Ultra RESILIA systems. TMTT category includes the PASCAL Precision transcatheter repair system, EVOQUE tricuspid valve replacement system and Cardioband tricuspid valve reconstruction system. Its INSPIRIS RESILIA aortic valve, offers RESILIA tissue and VFit technology. It is managed in various geographical regions, such as United States, Europe, Japan and Rest of World.</v>
    <v>16000</v>
    <v>New York Stock Exchange</v>
    <v>XNYS</v>
    <v>XNYS</v>
    <v>One Edwards Way, IRVINE, CA, 92614 US</v>
    <v>87.32</v>
    <v>Healthcare Equipment &amp; Supplies</v>
    <v>Stock</v>
    <v>46084.034712928122</v>
    <v>674</v>
    <v>85.6</v>
    <v>50628336000</v>
    <v>EDWARDS LIFESCIENCES CORPORATION</v>
    <v>EDWARDS LIFESCIENCES CORPORATION</v>
    <v>85.67</v>
    <v>47.864400000000003</v>
    <v>86.47</v>
    <v>87.17</v>
    <v>86.449100000000001</v>
    <v>580800000</v>
    <v>EW</v>
    <v>EDWARDS LIFESCIENCES CORPORATION (XNYS:EW)</v>
    <v>3749413</v>
    <v>4887898</v>
    <v>1999</v>
  </rv>
  <rv s="2">
    <v>675</v>
  </rv>
  <rv s="7">
    <fb>82.1</fb>
    <v>13</v>
  </rv>
  <rv s="7">
    <fb>79.77</fb>
    <v>13</v>
  </rv>
  <rv s="0">
    <v>https://www.bing.com/financeapi/forcetrigger?t=a1nanm&amp;q=XNYS%3aALL&amp;form=skydnc</v>
    <v>Learn more on Bing</v>
  </rv>
  <rv s="1">
    <v>0</v>
    <v>THE ALLSTATE CORPORATION (XNYS:ALL)</v>
    <v>2</v>
    <v>3</v>
    <v>Finance</v>
    <v>4</v>
    <v>en-US</v>
    <v>a1nanm</v>
    <v>268435456</v>
    <v>1</v>
    <v>Powered by Refinitiv</v>
    <v>216.75</v>
    <v>176.0001</v>
    <v>0.22289999999999999</v>
    <v>-0.66</v>
    <v>-3.0919999999999997E-3</v>
    <v>0.24</v>
    <v>1.1279999999999999E-3</v>
    <v>USD</v>
    <v>The Allstate Corporation protects people from life’s uncertainties with a wide array of protection for autos, homes, electronic devices and identity theft. The Company’s products are available through Allstate agents, independent agents, major retailers, online and at the workplace. Its Allstate Protection segment offers private passenger auto, homeowners, other personal lines and commercial insurance. Its Run-off Property-Liability segment includes property and casualty insurance coverage. The Company’s Protection Services segment provides consumer product protection plans, device and mobile data collection services and analytic solutions using automotive telematics information, roadside assistance, protection and insurance products and identity protection and restoration through Allstate Protection Plans, Allstate Dealer Services, Allstate Roadside, Arity and Allstate Identity Protection.</v>
    <v>53000</v>
    <v>New York Stock Exchange</v>
    <v>XNYS</v>
    <v>XNYS</v>
    <v>3100 SANDERS ROAD, NORTHBROOK, IL, 60062 US</v>
    <v>214.72</v>
    <v>Insurance</v>
    <v>Stock</v>
    <v>46084.011745786716</v>
    <v>679</v>
    <v>211.25</v>
    <v>55224027524</v>
    <v>THE ALLSTATE CORPORATION</v>
    <v>THE ALLSTATE CORPORATION</v>
    <v>213.51</v>
    <v>5.5911999999999997</v>
    <v>213.44</v>
    <v>212.78</v>
    <v>213</v>
    <v>259535800</v>
    <v>ALL</v>
    <v>THE ALLSTATE CORPORATION (XNYS:ALL)</v>
    <v>1437200</v>
    <v>1739573</v>
    <v>1992</v>
  </rv>
  <rv s="2">
    <v>680</v>
  </rv>
  <rv s="7">
    <fb>201.77</fb>
    <v>13</v>
  </rv>
  <rv s="7">
    <fb>207.12</fb>
    <v>13</v>
  </rv>
  <rv s="0">
    <v>https://www.bing.com/financeapi/forcetrigger?t=a1pxec&amp;q=XNYS%3aCMI&amp;form=skydnc</v>
    <v>Learn more on Bing</v>
  </rv>
  <rv s="1">
    <v>0</v>
    <v>CUMMINS INC. (XNYS:CMI)</v>
    <v>2</v>
    <v>3</v>
    <v>Finance</v>
    <v>4</v>
    <v>en-US</v>
    <v>a1pxec</v>
    <v>268435456</v>
    <v>1</v>
    <v>Powered by Refinitiv</v>
    <v>617.98</v>
    <v>260.01889999999997</v>
    <v>1.1174999999999999</v>
    <v>-3.78</v>
    <v>-6.4739999999999997E-3</v>
    <v>-1.39</v>
    <v>-2.395E-3</v>
    <v>USD</v>
    <v>Cummins Inc. is a global power solutions company. The Company’s segments are Components, Engine, Distribution, Power Systems, and Accelera. Components segment designs, manufactures, and supplies products which include axles, drivelines, brakes, and suspension systems. Engine segment manufactures and markets a range of diesel and natural gas-powered engines under the Cummins brand name, for on and off-highway markets. Distribution segment includes sale and support of a range of products and services, including power generation systems, high-horsepower engines, heavy and medium duty engines, and others. Power Systems segment is a power provider, which designs, manufactures and sells engines for industrial applications, prime power generator sets, alternators, and others. Accelera segment designs, manufactures, sells, and supports electrified power systems with components and subsystems, including battery, fuel cell and electric powertrain and hydrogen production technologies.</v>
    <v>67400</v>
    <v>New York Stock Exchange</v>
    <v>XNYS</v>
    <v>XNYS</v>
    <v>500 JACKSON ST, BOX 3005 MAIL CODE 93050, COLUMBUS, IN, 47202-3005 US</v>
    <v>583.03160000000003</v>
    <v>Automobiles &amp; Auto Parts</v>
    <v>Stock</v>
    <v>46084.038813541403</v>
    <v>684</v>
    <v>563.02009999999996</v>
    <v>80148424895</v>
    <v>CUMMINS INC.</v>
    <v>CUMMINS INC.</v>
    <v>573.86</v>
    <v>28.4649</v>
    <v>583.87</v>
    <v>580.09</v>
    <v>578.98</v>
    <v>138165500</v>
    <v>CMI</v>
    <v>CUMMINS INC. (XNYS:CMI)</v>
    <v>944610</v>
    <v>1120013</v>
    <v>1919</v>
  </rv>
  <rv s="2">
    <v>685</v>
  </rv>
  <rv s="7">
    <fb>602.69000000000005</fb>
    <v>13</v>
  </rv>
  <rv s="7">
    <fb>605.63</fb>
    <v>13</v>
  </rv>
  <rv s="0">
    <v>https://www.bing.com/financeapi/forcetrigger?t=a1wmu2&amp;q=XNYS%3aKR&amp;form=skydnc</v>
    <v>Learn more on Bing</v>
  </rv>
  <rv s="1">
    <v>0</v>
    <v>THE KROGER CO. (XNYS:KR)</v>
    <v>2</v>
    <v>3</v>
    <v>Finance</v>
    <v>4</v>
    <v>en-US</v>
    <v>a1wmu2</v>
    <v>268435456</v>
    <v>1</v>
    <v>Powered by Refinitiv</v>
    <v>74.900000000000006</v>
    <v>58.6</v>
    <v>0.61460000000000004</v>
    <v>0.79</v>
    <v>1.1576999999999999E-2</v>
    <v>0.2</v>
    <v>2.8960000000000001E-3</v>
    <v>USD</v>
    <v>The Kroger Co. is a food and drug retailer. The Company operates supermarkets, multi-department stores and fulfillment centers throughout the United States. It operates approximately 2,731 supermarkets, 2,273 pharmacies and 1,702 fuel centers in over 35 states and the District of Columbia while also operating online through a digital ecosystem to offer customers an omnichannel shopping experience. The Company also manufactures and processes food for sale in its supermarkets and online. It offers Pickup and Harris Teeter ExpressLane personalized, order online, pick-up at the store services at approximately 2,412 of its supermarkets and provides delivery, which allows it to offer digital solutions to substantially all of its customers. Its delivery solutions include orders delivered to customers at retail store locations, customer fulfillment centers and orders placed through third-party platforms. The Company also offers customer-facing apps and interfaces.</v>
    <v>409000</v>
    <v>New York Stock Exchange</v>
    <v>XNYS</v>
    <v>XNYS</v>
    <v>1014 Vine St, CINCINNATI, OH, 45201 US</v>
    <v>69.267499999999998</v>
    <v>Food &amp; Drug Retailing</v>
    <v>Stock</v>
    <v>46084.041410103906</v>
    <v>689</v>
    <v>67.709999999999994</v>
    <v>43685580276</v>
    <v>THE KROGER CO.</v>
    <v>THE KROGER CO.</v>
    <v>68.12</v>
    <v>62.500599999999999</v>
    <v>68.239999999999995</v>
    <v>69.03</v>
    <v>69.25</v>
    <v>632849200</v>
    <v>KR</v>
    <v>THE KROGER CO. (XNYS:KR)</v>
    <v>5492343</v>
    <v>6619858</v>
    <v>1902</v>
  </rv>
  <rv s="2">
    <v>690</v>
  </rv>
  <rv s="7">
    <fb>64.17</fb>
    <v>13</v>
  </rv>
  <rv s="7">
    <fb>66.8</fb>
    <v>13</v>
  </rv>
  <rv s="0">
    <v>https://www.bing.com/financeapi/forcetrigger?t=a1xvzr&amp;q=XNYS%3aMPC&amp;form=skydnc</v>
    <v>Learn more on Bing</v>
  </rv>
  <rv s="1">
    <v>0</v>
    <v>MARATHON PETROLEUM CORPORATION (XNYS:MPC)</v>
    <v>2</v>
    <v>3</v>
    <v>Finance</v>
    <v>4</v>
    <v>en-US</v>
    <v>a1xvzr</v>
    <v>268435456</v>
    <v>1</v>
    <v>Powered by Refinitiv</v>
    <v>210.42</v>
    <v>115.1</v>
    <v>0.68859999999999999</v>
    <v>11.59</v>
    <v>5.8472999999999997E-2</v>
    <v>-0.47</v>
    <v>-2.2400000000000002E-3</v>
    <v>USD</v>
    <v>Marathon Petroleum Corporation is an integrated, downstream energy company. The Company’s segments include Refining &amp; Marketing, Midstream and Renewable Diesel. The Refining &amp; Marketing segment refines crude oil and other feedstocks at its refineries in the Gulf Coast, Mid-Continent and West Coast regions of the United States. It sells refined products to wholesale marketing customers domestically and internationally, to buyers on the spot market, and to independent entrepreneurs who operate primarily Marathon branded outlets. The Midstream segment gathers, transports, stores and distributes crude oil, refined products, including renewable diesel, and other hydrocarbon-based products, principally for the Refining &amp; Marketing segment via refining logistics assets, pipelines, terminals, and others. The Renewable Diesel segment processes renewable feedstocks into renewable diesel, markets renewable diesel and distributes renewable products through its Midstream segment and third parties.</v>
    <v>18500</v>
    <v>New York Stock Exchange</v>
    <v>XNYS</v>
    <v>XNYS</v>
    <v>539 SOUTH MAIN STREET, FINDLAY, OH, 45840-3229 US</v>
    <v>210.42</v>
    <v>Oil &amp; Gas</v>
    <v>Stock</v>
    <v>46084.041574085153</v>
    <v>694</v>
    <v>202.17</v>
    <v>61836493960</v>
    <v>MARATHON PETROLEUM CORPORATION</v>
    <v>MARATHON PETROLEUM CORPORATION</v>
    <v>203.93</v>
    <v>14.8644</v>
    <v>198.21</v>
    <v>209.8</v>
    <v>209.35</v>
    <v>294740200</v>
    <v>MPC</v>
    <v>MARATHON PETROLEUM CORPORATION (XNYS:MPC)</v>
    <v>3771754</v>
    <v>2330488</v>
    <v>2009</v>
  </rv>
  <rv s="2">
    <v>695</v>
  </rv>
  <rv s="7">
    <fb>187.58</fb>
    <v>13</v>
  </rv>
  <rv s="7">
    <fb>195.92</fb>
    <v>13</v>
  </rv>
  <rv s="0">
    <v>https://www.bing.com/financeapi/forcetrigger?t=a1rew7&amp;q=XNYS%3aDVN&amp;form=skydnc</v>
    <v>Learn more on Bing</v>
  </rv>
  <rv s="1">
    <v>0</v>
    <v>DEVON ENERGY CORPORATION (XNYS:DVN)</v>
    <v>2</v>
    <v>3</v>
    <v>Finance</v>
    <v>4</v>
    <v>en-US</v>
    <v>a1rew7</v>
    <v>268435456</v>
    <v>1</v>
    <v>Powered by Refinitiv</v>
    <v>46.15</v>
    <v>25.89</v>
    <v>0.61199999999999999</v>
    <v>1.41</v>
    <v>3.2391000000000003E-2</v>
    <v>0.19489999999999999</v>
    <v>4.3359999999999996E-3</v>
    <v>USD</v>
    <v>Devon Energy Corporation is an oil and gas producer in the United States with a diversified multi-basin portfolio headlined by an acreage position in the Delaware Basin. The Company is primarily engaged in the exploration, development and production of oil, natural gas and natural gas liquids (NGLs). It owns a portfolio of assets located in the Delaware Basin, Rockies, Eagle Ford and Anadarko Basin. The Delaware Basin operates in southeast New Mexico and across the state line into west Texas. It offers exploration and development opportunities from many geologic reservoirs and play types, including the oil-rich Wolfcamp, Bone Spring, Avalon and Delaware formations. Its Rockies development consists of its Williston Basin and Powder River Basin assets. The Eagle Ford operations are located in Texas' DeWitt and Karnes counties. The Anadarko Basin development is located in western Oklahoma. It has a joint venture with Dow to develop a portion of its Anadarko Basin acreage.</v>
    <v>2200</v>
    <v>New York Stock Exchange</v>
    <v>XNYS</v>
    <v>XNYS</v>
    <v>333 W. SHERIDAN AVENUE, OKLAHOMA CITY, OK, 73102 US</v>
    <v>45.555</v>
    <v>Oil &amp; Gas</v>
    <v>Stock</v>
    <v>46084.041657510934</v>
    <v>699</v>
    <v>43.814999999999998</v>
    <v>27862800000</v>
    <v>DEVON ENERGY CORPORATION</v>
    <v>DEVON ENERGY CORPORATION</v>
    <v>45.555</v>
    <v>10.7599</v>
    <v>43.53</v>
    <v>44.94</v>
    <v>45.1449</v>
    <v>620000000</v>
    <v>DVN</v>
    <v>DEVON ENERGY CORPORATION (XNYS:DVN)</v>
    <v>16801940</v>
    <v>11336932</v>
    <v>1999</v>
  </rv>
  <rv s="2">
    <v>700</v>
  </rv>
  <rv s="7">
    <fb>41.11</fb>
    <v>13</v>
  </rv>
  <rv s="7">
    <fb>43.39</fb>
    <v>13</v>
  </rv>
  <rv s="0">
    <v>https://www.bing.com/financeapi/forcetrigger?t=a25e77&amp;q=XNYS%3aVLO&amp;form=skydnc</v>
    <v>Learn more on Bing</v>
  </rv>
  <rv s="1">
    <v>0</v>
    <v>VALERO ENERGY CORPORATION (XNYS:VLO)</v>
    <v>2</v>
    <v>3</v>
    <v>Finance</v>
    <v>4</v>
    <v>en-US</v>
    <v>a25e77</v>
    <v>268435456</v>
    <v>1</v>
    <v>Powered by Refinitiv</v>
    <v>216.18</v>
    <v>99</v>
    <v>0.70099999999999996</v>
    <v>10.31</v>
    <v>5.0381000000000002E-2</v>
    <v>-0.11</v>
    <v>-5.1180000000000008E-4</v>
    <v>USD</v>
    <v>Valero Energy Corporation, through its subsidiaries, is a multinational manufacturer and marketer of petroleum-based and low-carbon liquid transportation fuels and petrochemical products. The Company sells its products primarily in the United States, Canada, the United Kingdom, Ireland and Latin America. Its segments include Refining, Renewable Diesel, and Ethanol. The Refining segment includes the operations of its petroleum refineries, the associated activities to market its refined petroleum products, and the logistics assets that support its refining operations. The Renewable Diesel segment represents the operations of Diamond Green Diesel (DGD), and the associated activities to market renewable diesel, renewable naphtha, and neat SAF. The Ethanol segment includes the operations of its ethanol plants and the associated activities to market its ethanol and co-products. It owns 15 petroleum refineries located in the United States, Canada and the United Kingdom.</v>
    <v>9785</v>
    <v>New York Stock Exchange</v>
    <v>XNYS</v>
    <v>XNYS</v>
    <v>P.O. Box 696000, SAN ANTONIO, TX, 78269-6000 US</v>
    <v>216.18</v>
    <v>Oil &amp; Gas</v>
    <v>Stock</v>
    <v>46084.041163726564</v>
    <v>704</v>
    <v>207.49</v>
    <v>64275681690</v>
    <v>VALERO ENERGY CORPORATION</v>
    <v>VALERO ENERGY CORPORATION</v>
    <v>214.99</v>
    <v>28.108000000000001</v>
    <v>204.64</v>
    <v>214.95</v>
    <v>214.8</v>
    <v>299026200</v>
    <v>VLO</v>
    <v>VALERO ENERGY CORPORATION (XNYS:VLO)</v>
    <v>5489283</v>
    <v>2856018</v>
    <v>1981</v>
  </rv>
  <rv s="2">
    <v>705</v>
  </rv>
  <rv s="7">
    <fb>192.27</fb>
    <v>13</v>
  </rv>
  <rv s="7">
    <fb>197.41</fb>
    <v>13</v>
  </rv>
  <rv s="0">
    <v>https://www.bing.com/financeapi/forcetrigger?t=a1uwu2&amp;q=XNYS%3aHSY&amp;form=skydnc</v>
    <v>Learn more on Bing</v>
  </rv>
  <rv s="1">
    <v>0</v>
    <v>THE HERSHEY COMPANY (XNYS:HSY)</v>
    <v>2</v>
    <v>3</v>
    <v>Finance</v>
    <v>4</v>
    <v>en-US</v>
    <v>a1uwu2</v>
    <v>268435456</v>
    <v>1</v>
    <v>Powered by Refinitiv</v>
    <v>239.48</v>
    <v>150.04</v>
    <v>0.1323</v>
    <v>-0.7</v>
    <v>-2.9629999999999999E-3</v>
    <v>2.06</v>
    <v>8.7399999999999995E-3</v>
    <v>USD</v>
    <v>The Hershey Company is a snacks company. The Company's segments include North America Confectionery, North America Salty Snacks and International. The North America Confectionery segment is responsible for its traditional chocolate and non-chocolate confectionery market position in the United States and Canada. This includes its business in chocolate and non-chocolate confectionery, gum and refreshment products, protein bars, spreads, snack bites and mixes, as well as pantry and food service lines. This segment also includes its retail operations. The North America Salty Snacks segment is responsible for its salty snacking products in the United States. This includes ready-to-eat popcorn, baked and trans fat free snacks, pretzels and other snacks. The Company's portfolio includes chocolate and confectionery brands such as Hershey's, Reese's, Kisses, Kit Kat, Jolly Rancher, Ice Breakers, LesserEvil, Shaq-a-licious alongside salty snacks, including SkinnyPop and Dot's Homestyle Pretzels.</v>
    <v>17550</v>
    <v>New York Stock Exchange</v>
    <v>XNYS</v>
    <v>XNYS</v>
    <v>19 East Chocolate Avenue, External Rptg &amp; Compliance, HERSHEY, PA, 17033 US</v>
    <v>239.48</v>
    <v>Food &amp; Tobacco</v>
    <v>Stock</v>
    <v>46084.02589146953</v>
    <v>709</v>
    <v>234.74</v>
    <v>47749922222</v>
    <v>THE HERSHEY COMPANY</v>
    <v>THE HERSHEY COMPANY</v>
    <v>235.43</v>
    <v>54.421700000000001</v>
    <v>236.28</v>
    <v>235.58</v>
    <v>237.75</v>
    <v>202690900</v>
    <v>HSY</v>
    <v>THE HERSHEY COMPANY (XNYS:HSY)</v>
    <v>1073134</v>
    <v>2331882</v>
    <v>1927</v>
  </rv>
  <rv s="2">
    <v>710</v>
  </rv>
  <rv s="7">
    <fb>201.47</fb>
    <v>13</v>
  </rv>
  <rv s="7">
    <fb>205.79</fb>
    <v>13</v>
  </rv>
  <rv s="0">
    <v>https://www.bing.com/financeapi/forcetrigger?t=a26em7&amp;q=XNYS%3aYUM&amp;form=skydnc</v>
    <v>Learn more on Bing</v>
  </rv>
  <rv s="1">
    <v>0</v>
    <v>YUM! Brands, Inc. (XNYS:YUM)</v>
    <v>2</v>
    <v>3</v>
    <v>Finance</v>
    <v>4</v>
    <v>en-US</v>
    <v>a26em7</v>
    <v>268435456</v>
    <v>1</v>
    <v>Powered by Refinitiv</v>
    <v>169.39</v>
    <v>137.33000000000001</v>
    <v>0.64239999999999997</v>
    <v>-5.26</v>
    <v>-3.1280000000000002E-2</v>
    <v>1.4892000000000001</v>
    <v>9.1409999999999998E-3</v>
    <v>USD</v>
    <v>YUM! Brands, Inc. and its subsidiaries franchise or operate a system of approximately 61,000 restaurants in 155 countries and territories under the concepts of KFC, Taco Bell, Pizza Hut and The Habit Burger Grill. It consists of four operating segments: The KFC Division, which includes its worldwide operations of the KFC concept; The Taco Bell Division, which includes its worldwide operations of the Taco Bell concept; The Pizza Hut Division, which includes its worldwide operations of the Pizza Hut concept; and The Habit Burger Grill Division, which includes its worldwide operations of the Habit Burger Grill concept. It develops, operates, or franchises a system of both traditional and non-traditional restaurants. KFC restaurants offer fried and non-fried chicken products. Taco Bell offers Mexican-style food products. Pizza Hut specializes in the sale of ready-to-eat pizza products. The Habit Burger Grill offers chargrilled burgers and sandwiches made-to-order over an open flame.</v>
    <v>28000</v>
    <v>New York Stock Exchange</v>
    <v>XNYS</v>
    <v>XNYS</v>
    <v>1441 Gardiner Lane, LOUISVILLE, KY, 40213 US</v>
    <v>167.23</v>
    <v>Hotels &amp; Entertainment Services</v>
    <v>Stock</v>
    <v>46084.011567673435</v>
    <v>714</v>
    <v>162.29</v>
    <v>45030463290</v>
    <v>YUM! Brands, Inc.</v>
    <v>YUM! Brands, Inc.</v>
    <v>167.23</v>
    <v>28.916799999999999</v>
    <v>168.16</v>
    <v>162.9</v>
    <v>164.4092</v>
    <v>276430100</v>
    <v>YUM</v>
    <v>YUM! Brands, Inc. (XNYS:YUM)</v>
    <v>1681096</v>
    <v>2126428</v>
    <v>1997</v>
  </rv>
  <rv s="2">
    <v>715</v>
  </rv>
  <rv s="7">
    <fb>158.74</fb>
    <v>13</v>
  </rv>
  <rv s="7">
    <fb>159.57</fb>
    <v>13</v>
  </rv>
  <rv s="0">
    <v>https://www.bing.com/financeapi/forcetrigger?t=a24gur&amp;q=XNYS%3aTRGP&amp;form=skydnc</v>
    <v>Learn more on Bing</v>
  </rv>
  <rv s="1">
    <v>0</v>
    <v>TARGA RESOURCES CORP. (XNYS:TRGP)</v>
    <v>2</v>
    <v>3</v>
    <v>Finance</v>
    <v>10</v>
    <v>en-US</v>
    <v>a24gur</v>
    <v>268435456</v>
    <v>1</v>
    <v>Powered by Refinitiv</v>
    <v>250</v>
    <v>144.13999999999999</v>
    <v>0.84130000000000005</v>
    <v>3.81</v>
    <v>1.6157999999999999E-2</v>
    <v>0</v>
    <v>0</v>
    <v>USD</v>
    <v>Targa Resources Corp. is a provider of midstream services in North America. The Company owns, operates, acquires and develops a diversified portfolio of complementary domestic midstream infrastructure assets and delivers energy across the United States. The Company is engaged in the business of gathering, compressing, treating, processing, transporting, and purchasing and selling natural gas; transporting, storing, fractionating, treating, and purchasing and selling natural gas liquids (NGLs) and NGL products, including services to liquefied petroleum gas (LPG) exporters; and gathering, storing, terminaling, and purchasing and selling crude oil. Its segments are Gathering and Processing, and Logistics and Transportation. Gathering and Processing segment includes assets used in the gathering and/or purchase and sale of natural gas produced from oil and gas wells. Logistics and Transportation segment includes the activities and assets necessary to convert mixed NGLs into NGL products.</v>
    <v>3570</v>
    <v>New York Stock Exchange</v>
    <v>XNYS</v>
    <v>XNYS</v>
    <v>811 Louisiana Street, Suite 2100, HOUSTON, TX, 77002 US</v>
    <v>250</v>
    <v>Oil &amp; Gas Related Equipment and Services</v>
    <v>Stock</v>
    <v>46083.991454560157</v>
    <v>719</v>
    <v>236.14</v>
    <v>51504600798</v>
    <v>TARGA RESOURCES CORP.</v>
    <v>TARGA RESOURCES CORP.</v>
    <v>242</v>
    <v>27.741800000000001</v>
    <v>235.8</v>
    <v>239.61</v>
    <v>239.61</v>
    <v>214951800</v>
    <v>TRGP</v>
    <v>TARGA RESOURCES CORP. (XNYS:TRGP)</v>
    <v>2034668</v>
    <v>1485045</v>
    <v>2005</v>
  </rv>
  <rv s="2">
    <v>720</v>
  </rv>
  <rv s="7">
    <fb>203.64</fb>
    <v>13</v>
  </rv>
  <rv s="7">
    <fb>204.44</fb>
    <v>13</v>
  </rv>
  <rv s="0">
    <v>https://www.bing.com/financeapi/forcetrigger?t=a1n7pr&amp;q=XNYS%3aAJG&amp;form=skydnc</v>
    <v>Learn more on Bing</v>
  </rv>
  <rv s="1">
    <v>0</v>
    <v>ARTHUR J. GALLAGHER &amp; CO. (XNYS:AJG)</v>
    <v>2</v>
    <v>3</v>
    <v>Finance</v>
    <v>10</v>
    <v>en-US</v>
    <v>a1n7pr</v>
    <v>268435456</v>
    <v>1</v>
    <v>Powered by Refinitiv</v>
    <v>351.22500000000002</v>
    <v>195</v>
    <v>0.67349999999999999</v>
    <v>1.07</v>
    <v>4.6889999999999996E-3</v>
    <v>-0.01</v>
    <v>-4.3620000000000006E-5</v>
    <v>USD</v>
    <v>Arthur J. Gallagher &amp; Co. is a global insurance brokerage, risk management and consulting services company. The Company’s segments include brokerage, risk management and corporate. The brokerage segment operations provide brokerage and consulting services to entities of all types, including commercial, nonprofit, public sector entities, insurance companies and insurance capital providers, and to a lesser extent, individuals, in the areas of insurance and reinsurance placements, risk of loss management, and management of employer- sponsored benefit programs. The risk management segment operations provide contract claim settlement, claim administration, loss control services and risk management consulting for commercial, non-profit, captive and public sector entities, and various other organizations that choose to self-insure property/casualty coverage or choose to use a third party claims management organization rather than the claim services provided by an underwriting enterprise.</v>
    <v>72000</v>
    <v>New York Stock Exchange</v>
    <v>XNYS</v>
    <v>XNYS</v>
    <v>2850 Golf Road, ROLLING MEADOWS, IL, 60008-4050 US</v>
    <v>231.01750000000001</v>
    <v>Insurance</v>
    <v>Stock</v>
    <v>46083.976614756248</v>
    <v>724</v>
    <v>225.69</v>
    <v>58945317000</v>
    <v>ARTHUR J. GALLAGHER &amp; CO.</v>
    <v>ARTHUR J. GALLAGHER &amp; CO.</v>
    <v>227.58</v>
    <v>39.646599999999999</v>
    <v>228.2</v>
    <v>229.27</v>
    <v>229.26</v>
    <v>257100000</v>
    <v>AJG</v>
    <v>ARTHUR J. GALLAGHER &amp; CO. (XNYS:AJG)</v>
    <v>1941959</v>
    <v>2892195</v>
    <v>1972</v>
  </rv>
  <rv s="2">
    <v>725</v>
  </rv>
  <rv s="7">
    <fb>247.73</fb>
    <v>13</v>
  </rv>
  <rv s="7">
    <fb>249.55</fb>
    <v>13</v>
  </rv>
  <rv s="0">
    <v>https://www.bing.com/financeapi/forcetrigger?t=a1sl52&amp;q=XNAS%3aFAST&amp;form=skydnc</v>
    <v>Learn more on Bing</v>
  </rv>
  <rv s="1">
    <v>0</v>
    <v>FASTENAL COMPANY (XNAS:FAST)</v>
    <v>2</v>
    <v>3</v>
    <v>Finance</v>
    <v>4</v>
    <v>en-US</v>
    <v>a1sl52</v>
    <v>268435456</v>
    <v>1</v>
    <v>Powered by Refinitiv</v>
    <v>50.63</v>
    <v>35.305</v>
    <v>0.87649999999999995</v>
    <v>0.28999999999999998</v>
    <v>6.2989999999999999E-3</v>
    <v>-0.03</v>
    <v>-6.4750000000000007E-4</v>
    <v>USD</v>
    <v>Fastenal Company is engaged in the wholesale distribution of industrial and construction supplies. The Company is a distributor of threaded fasteners, bolts, nuts, screws, studs, and related washers, as well as miscellaneous supplies and hardware, such as pins, machinery keys, concrete anchors, metal framing systems, wire rope, struts, rivets, and related accessories. Its business tools include Fastenal Managed Inventory (FMI), Bin stock (FASTStock and FASTBin) and Industrial vending (FASTVend). The Company also invests in digital solutions that aim to deliver value for its customers, leverage local inventory for same-day solutions, and provide service. It serves general and commercial contractors in non-residential end markets as well as farmers, truckers, railroads, oil exploration companies, oil production and refinement companies, mining companies, federal, state, and local governmental entities, schools, and certain retail trades.</v>
    <v>21602</v>
    <v>Nasdaq Stock Market</v>
    <v>XNAS</v>
    <v>XNAS</v>
    <v>2001 Theurer Blvd, WINONA, MN, 55987 US</v>
    <v>46.585000000000001</v>
    <v>Machinery, Equipment &amp; Components</v>
    <v>Stock</v>
    <v>46083.877134675779</v>
    <v>729</v>
    <v>45.48</v>
    <v>53202036240</v>
    <v>FASTENAL COMPANY</v>
    <v>FASTENAL COMPANY</v>
    <v>45.97</v>
    <v>42.080199999999998</v>
    <v>46.04</v>
    <v>46.33</v>
    <v>46.3</v>
    <v>1148328000</v>
    <v>FAST</v>
    <v>FASTENAL COMPANY (XNAS:FAST)</v>
    <v>7522846</v>
    <v>8416291</v>
    <v>1968</v>
  </rv>
  <rv s="2">
    <v>730</v>
  </rv>
  <rv s="7">
    <fb>46.34</fb>
    <v>13</v>
  </rv>
  <rv s="7">
    <fb>48.28</fb>
    <v>13</v>
  </rv>
  <rv s="0">
    <v>https://www.bing.com/financeapi/forcetrigger?t=a227lh&amp;q=XNAS%3aROST&amp;form=skydnc</v>
    <v>Learn more on Bing</v>
  </rv>
  <rv s="1">
    <v>0</v>
    <v>ROSS STORES, INC. (XNAS:ROST)</v>
    <v>2</v>
    <v>3</v>
    <v>Finance</v>
    <v>4</v>
    <v>en-US</v>
    <v>a227lh</v>
    <v>268435456</v>
    <v>1</v>
    <v>Powered by Refinitiv</v>
    <v>206.4</v>
    <v>122.36</v>
    <v>0.97570000000000001</v>
    <v>-3.34</v>
    <v>-1.6241999999999999E-2</v>
    <v>0.7</v>
    <v>3.4599999999999995E-3</v>
    <v>USD</v>
    <v>Ross Stores, Inc. is engaged in operating two brands of off-price retail apparel and home fashion stores-Ross Dress for Less (Ross) and dds DISCOUNTS. Ross is the off-price apparel and home fashion chain in the United States, with approximately 1,831 locations in 43 states, the District of Columbia, and Guam. Ross offers in-season, name brand and designer apparel, accessories, footwear, and home fashions for the entire family at savings of 20% to 60% off department and specialty store regular prices every day. Ross target customers are primarily from middle-income households. It also operates approximately 355 dds DISCOUNTS stores in 22 states. dds DISCOUNTS features more moderately-priced in- season, name brand apparel, accessories, footwear, and home fashions for the entire family at savings of 20% to 70% off moderate department and discount store regular prices every day. It operates a total of approximately 2,186 stores.</v>
    <v>107000</v>
    <v>Nasdaq Stock Market</v>
    <v>XNAS</v>
    <v>XNAS</v>
    <v>5130 Hacienda Drive, DUBLIN, CA, 94568 US</v>
    <v>204.25</v>
    <v>Specialty Retailers</v>
    <v>Stock</v>
    <v>46083.979206191405</v>
    <v>734</v>
    <v>200.53</v>
    <v>65432903270</v>
    <v>ROSS STORES, INC.</v>
    <v>ROSS STORES, INC.</v>
    <v>203.09</v>
    <v>32.141399999999997</v>
    <v>205.64</v>
    <v>202.3</v>
    <v>203</v>
    <v>323444900</v>
    <v>ROST</v>
    <v>ROSS STORES, INC. (XNAS:ROST)</v>
    <v>3048601</v>
    <v>2408625</v>
    <v>1989</v>
  </rv>
  <rv s="2">
    <v>735</v>
  </rv>
  <rv s="7">
    <fb>191.12</fb>
    <v>13</v>
  </rv>
  <rv s="7">
    <fb>189.27</fb>
    <v>13</v>
  </rv>
  <rv s="0">
    <v>https://www.bing.com/financeapi/forcetrigger?t=a1wkbh&amp;q=XNYS%3aKMI&amp;form=skydnc</v>
    <v>Learn more on Bing</v>
  </rv>
  <rv s="1">
    <v>0</v>
    <v>KINDER MORGAN, INC. (XNYS:KMI)</v>
    <v>2</v>
    <v>3</v>
    <v>Finance</v>
    <v>4</v>
    <v>en-US</v>
    <v>a1wkbh</v>
    <v>268435456</v>
    <v>1</v>
    <v>Powered by Refinitiv</v>
    <v>34.130000000000003</v>
    <v>23.94</v>
    <v>0.67549999999999999</v>
    <v>0.60499999999999998</v>
    <v>1.8185E-2</v>
    <v>-0.16</v>
    <v>-4.7210000000000004E-3</v>
    <v>USD</v>
    <v>Kinder Morgan, Inc. is an energy infrastructure company. The Company owns an interest in or operates approximately 79,000 miles of pipelines and 139 terminals. Its Natural Gas Pipelines segment includes ownership and operation of interstate and intrastate natural gas pipeline and storage systems and natural gas gathering systems and natural gas processing and treating facilities. Its Products Pipelines segment includes ownership and operation of refined petroleum products, crude oil and condensate pipelines that primarily deliver, among other products, gasoline, diesel and jet fuel, crude oil and condensate to various markets, plus the ownership and/or operation of associated product terminals and petroleum pipeline transmix facilities. Its Terminals segment includes ownership and/or operation of liquid and bulk terminal facilities and Jones Act-qualified tankers. Its CO2 segment is engaged in the production, transportation and marketing of CO2 to oil fields.</v>
    <v>11028</v>
    <v>New York Stock Exchange</v>
    <v>XNYS</v>
    <v>XNYS</v>
    <v>1001 Louisiana Street, Suite 1000, HOUSTON, TX, 77002 US</v>
    <v>34.130000000000003</v>
    <v>Oil &amp; Gas Related Equipment and Services</v>
    <v>Stock</v>
    <v>46084.040924131252</v>
    <v>739</v>
    <v>33.064999999999998</v>
    <v>75365303250</v>
    <v>KINDER MORGAN, INC.</v>
    <v>KINDER MORGAN, INC.</v>
    <v>33.75</v>
    <v>24.3339</v>
    <v>33.270000000000003</v>
    <v>33.875</v>
    <v>33.729999999999997</v>
    <v>2224806000</v>
    <v>KMI</v>
    <v>KINDER MORGAN, INC. (XNYS:KMI)</v>
    <v>15539650</v>
    <v>14407055</v>
    <v>2006</v>
  </rv>
  <rv s="2">
    <v>740</v>
  </rv>
  <rv s="7">
    <fb>30.32</fb>
    <v>13</v>
  </rv>
  <rv s="7">
    <fb>30.06</fb>
    <v>13</v>
  </rv>
  <rv s="0">
    <v>https://www.bing.com/financeapi/forcetrigger?t=a1rmkr&amp;q=XNYS%3aED&amp;form=skydnc</v>
    <v>Learn more on Bing</v>
  </rv>
  <rv s="1">
    <v>0</v>
    <v>CONSOLIDATED EDISON, INC. (XNYS:ED)</v>
    <v>2</v>
    <v>3</v>
    <v>Finance</v>
    <v>4</v>
    <v>en-US</v>
    <v>a1rmkr</v>
    <v>268435456</v>
    <v>1</v>
    <v>Powered by Refinitiv</v>
    <v>115.25</v>
    <v>94.96</v>
    <v>0.37909999999999999</v>
    <v>-0.47</v>
    <v>-4.1770000000000002E-3</v>
    <v>0.04</v>
    <v>3.57E-4</v>
    <v>USD</v>
    <v>Consolidated Edison, Inc. is an energy-delivery company. The Company, through its subsidiaries, Consolidated Edison Company of New York, Inc. (CECONY), Orange and Rockland Utilities, Inc. (O&amp;R) and Con Edison Transmission, Inc., provides a range of energy-related products and services to its customers. CECONY is a regulated utility providing electric service in New York City and New York’s Westchester County, gas service in Manhattan, the Bronx, parts of Queens and parts of Westchester, and steam service in Manhattan. O&amp;R and its utility subsidiary, Rockland Electric Company, provide electric service to customers in southeastern New York and northern New Jersey, a 1,300 square mile service area. O&amp;R delivers gas to customers in southeastern New York. Con Edison Transmission, Inc. falls primarily under the oversight of the Federal Energy Regulatory Commission and manages, through joint ventures, both electric and gas assets while seeking to develop electric transmission projects.</v>
    <v>15407</v>
    <v>New York Stock Exchange</v>
    <v>XNYS</v>
    <v>XNYS</v>
    <v>4 Irving Place, NEW YORK, NY, 10003 US</v>
    <v>113.75</v>
    <v>Electrical Utilities &amp; IPPs</v>
    <v>Stock</v>
    <v>46084.038918865626</v>
    <v>744</v>
    <v>111.875</v>
    <v>40483967535</v>
    <v>CONSOLIDATED EDISON, INC.</v>
    <v>CONSOLIDATED EDISON, INC.</v>
    <v>112.48</v>
    <v>19.903500000000001</v>
    <v>112.52</v>
    <v>112.05</v>
    <v>112.1</v>
    <v>361302700</v>
    <v>ED</v>
    <v>CONSOLIDATED EDISON, INC. (XNYS:ED)</v>
    <v>2699161</v>
    <v>2428602</v>
    <v>1997</v>
  </rv>
  <rv s="2">
    <v>745</v>
  </rv>
  <rv s="7">
    <fb>107.45</fb>
    <v>13</v>
  </rv>
  <rv s="7">
    <fb>108.38</fb>
    <v>13</v>
  </rv>
  <rv s="0">
    <v>https://www.bing.com/financeapi/forcetrigger?t=a1z6nm&amp;q=XNYS%3aOKE&amp;form=skydnc</v>
    <v>Learn more on Bing</v>
  </rv>
  <rv s="1">
    <v>0</v>
    <v>ONEOK, INC. (XNYS:OKE)</v>
    <v>2</v>
    <v>3</v>
    <v>Finance</v>
    <v>4</v>
    <v>en-US</v>
    <v>a1z6nm</v>
    <v>268435456</v>
    <v>1</v>
    <v>Powered by Refinitiv</v>
    <v>103.64</v>
    <v>64.02</v>
    <v>0.90959999999999996</v>
    <v>3.35</v>
    <v>4.0473999999999996E-2</v>
    <v>0.21</v>
    <v>2.4380000000000001E-3</v>
    <v>USD</v>
    <v>ONEOK, Inc. is a midstream operator that provides gathering, processing, fractionation, transportation, storage and marine export services. The Company's segments include Natural Gas Gathering and Processing; Natural Gas Liquids; Natural Gas Pipelines, and Refined Products and Crude. The Natural Gas Gathering and Processing segment provides midstream services to producers in the Rocky Mountain region, the Mid-Continent region, the Permian Basin region and the North Texas region. The Natural Gas Liquids segment owns and operates facilities that gather, fractionate, treat and distribute natural gas liquids (NGLs) and store Purity NGLs, primarily in the Rocky Mountain region, Mid-Continent region, Permian Basin and Gulf Coast region (including Louisiana). The Natural Gas Pipelines segment transports, stores and markets natural gas. The Refined Products and Crude segment gathers, transports, stores, distributes, blends and markets refined products and crude oil.</v>
    <v>6326</v>
    <v>New York Stock Exchange</v>
    <v>XNYS</v>
    <v>XNYS</v>
    <v>100 W 5th St, TULSA, OK, 74103 US</v>
    <v>86.685000000000002</v>
    <v>Oil &amp; Gas Related Equipment and Services</v>
    <v>Stock</v>
    <v>46084.041156943749</v>
    <v>749</v>
    <v>82.78</v>
    <v>54236963632</v>
    <v>ONEOK, INC.</v>
    <v>ONEOK, INC.</v>
    <v>84.49</v>
    <v>15.2896</v>
    <v>82.77</v>
    <v>86.12</v>
    <v>86.33</v>
    <v>629783600</v>
    <v>OKE</v>
    <v>ONEOK, INC. (XNYS:OKE)</v>
    <v>6139443</v>
    <v>5290330</v>
    <v>1997</v>
  </rv>
  <rv s="2">
    <v>750</v>
  </rv>
  <rv s="7">
    <fb>78.27</fb>
    <v>13</v>
  </rv>
  <rv s="7">
    <fb>80.34</fb>
    <v>13</v>
  </rv>
  <rv s="0">
    <v>https://www.bing.com/financeapi/forcetrigger?t=a1shjc&amp;q=XNAS%3aEXC&amp;form=skydnc</v>
    <v>Learn more on Bing</v>
  </rv>
  <rv s="1">
    <v>0</v>
    <v>EXELON CORPORATION (XNAS:EXC)</v>
    <v>2</v>
    <v>3</v>
    <v>Finance</v>
    <v>4</v>
    <v>en-US</v>
    <v>a1shjc</v>
    <v>268435456</v>
    <v>1</v>
    <v>Powered by Refinitiv</v>
    <v>49.875</v>
    <v>41.704999999999998</v>
    <v>0.43519999999999998</v>
    <v>0.12</v>
    <v>2.4460000000000003E-3</v>
    <v>-0.02</v>
    <v>-4.0680000000000002E-4</v>
    <v>USD</v>
    <v>Exelon Corporation is a utility services holding company engaged in the energy transmission and distribution businesses through its subsidiaries, Commonwealth Edison Company (ComEd), PECO Energy Company (PECO), Baltimore Gas and Electric Company (BGE), Potomac Electric Power Company (Pepco), Delmarva Power &amp; Light Company (DPL) and Atlantic City Electric Company (ACE). Its segments include ComEd, PECO, BGE, Pepco, DPL and ACE. ComEd segment is engaged in purchasing and regulating the retail sale of electricity. PECO segment is engaged in purchasing and regulating the retail sale of electricity and natural gas. Through its business services subsidiary, Exelon Business Services Company, LLC (BSC), it provides its subsidiaries with a variety of support services at cost, including legal, human resources, finance, information technology and supply management services. BGE segment is focused on transmission and distribution of electricity and distribution of natural gas to retail customers.</v>
    <v>20571</v>
    <v>Nasdaq Stock Market</v>
    <v>XNAS</v>
    <v>XNAS</v>
    <v>10 S. Dearborn Street, Po Box 805379, CHICAGO, IL, 60680-5379 US</v>
    <v>49.515000000000001</v>
    <v>Electrical Utilities &amp; IPPs</v>
    <v>Stock</v>
    <v>46083.987895173435</v>
    <v>754</v>
    <v>49.04</v>
    <v>50295648810</v>
    <v>EXELON CORPORATION</v>
    <v>EXELON CORPORATION</v>
    <v>49.05</v>
    <v>17.932500000000001</v>
    <v>49.05</v>
    <v>49.17</v>
    <v>49.15</v>
    <v>1022893000</v>
    <v>EXC</v>
    <v>EXELON CORPORATION (XNAS:EXC)</v>
    <v>9103507</v>
    <v>9295632</v>
    <v>1999</v>
  </rv>
  <rv s="2">
    <v>755</v>
  </rv>
  <rv s="7">
    <fb>44.01</fb>
    <v>13</v>
  </rv>
  <rv s="7">
    <fb>43.43</fb>
    <v>13</v>
  </rv>
  <rv s="0">
    <v>https://www.bing.com/financeapi/forcetrigger?t=bu3f2w&amp;q=XNYS%3aOTIS&amp;form=skydnc</v>
    <v>Learn more on Bing</v>
  </rv>
  <rv s="1">
    <v>0</v>
    <v>OTIS WORLDWIDE CORPORATION (XNYS:OTIS)</v>
    <v>2</v>
    <v>3</v>
    <v>Finance</v>
    <v>4</v>
    <v>en-US</v>
    <v>bu3f2w</v>
    <v>268435456</v>
    <v>1</v>
    <v>Powered by Refinitiv</v>
    <v>106.8284</v>
    <v>84.002499999999998</v>
    <v>0.99539999999999995</v>
    <v>1.03</v>
    <v>1.1128000000000001E-2</v>
    <v>0</v>
    <v>0</v>
    <v>USD</v>
    <v>Otis Worldwide Corporation is an elevator and escalator manufacturing, installation and service company. The Company’s segments include New Equipment and Service. The New Equipment segment designs, manufactures, sells and installs a range of passenger and freight elevators, and escalators and moving walkways for residential, commercial and infrastructure projects. Its elevator and escalator solutions include Gen2, Gen3, Gen360 and SkyRise. Through its Service segment, it performs maintenance and repair services, and modernization services to upgrade elevators and escalators. Through its network of service sales personnel, it sells its services directly to customers in all significant elevator and escalator verticals around the world. It serves customers in over 200 countries and territories around the world. The SkyRise advanced elevator platform combines cutting-edge technologies and precision engineering to deliver solutions for residential, commercial and mixed-use skyscrapers.</v>
    <v>72000</v>
    <v>New York Stock Exchange</v>
    <v>XNYS</v>
    <v>XNYS</v>
    <v>1 Carrier Place, FARMINGTON, CT, 06032 US</v>
    <v>94.2</v>
    <v>Machinery, Equipment &amp; Components</v>
    <v>Stock</v>
    <v>46083.925214930467</v>
    <v>759</v>
    <v>91.19</v>
    <v>36380379672</v>
    <v>OTIS WORLDWIDE CORPORATION</v>
    <v>OTIS WORLDWIDE CORPORATION</v>
    <v>91.36</v>
    <v>26.410399999999999</v>
    <v>92.56</v>
    <v>93.59</v>
    <v>93.62</v>
    <v>388720800</v>
    <v>OTIS</v>
    <v>OTIS WORLDWIDE CORPORATION (XNYS:OTIS)</v>
    <v>5000937</v>
    <v>4439069</v>
    <v>2019</v>
  </rv>
  <rv s="2">
    <v>760</v>
  </rv>
  <rv s="7">
    <fb>87.16</fb>
    <v>13</v>
  </rv>
  <rv s="7">
    <fb>90.37</fb>
    <v>13</v>
  </rv>
  <rv s="0">
    <v>https://www.bing.com/financeapi/forcetrigger?t=a1zo52&amp;q=XNYS%3aPEG&amp;form=skydnc</v>
    <v>Learn more on Bing</v>
  </rv>
  <rv s="1">
    <v>0</v>
    <v>PUBLIC SERVICE ENTERPRISE GROUP INCORPORATED (XNYS:PEG)</v>
    <v>2</v>
    <v>3</v>
    <v>Finance</v>
    <v>10</v>
    <v>en-US</v>
    <v>a1zo52</v>
    <v>268435456</v>
    <v>1</v>
    <v>Powered by Refinitiv</v>
    <v>91.254999999999995</v>
    <v>74.670100000000005</v>
    <v>0.60819999999999996</v>
    <v>-1.57</v>
    <v>-1.8241E-2</v>
    <v>-0.39</v>
    <v>-4.6150000000000002E-3</v>
    <v>USD</v>
    <v>Public Service Enterprise Group Incorporated is a regulated infrastructure company operating New Jersey’s transmission and distribution utility, serving approximately 2.4 million electric and 1.9 million natural gas customers. The Company also owns an independent fleet of 3,758 MW of carbon-free, baseload nuclear power-generating units. The Company principally conducts its business through two wholly owned subsidiaries, Public Service Electric and Gas Company (PSE&amp;G) and PSEG Power LLC (PSEG Power). The Company’s segments include PSE&amp;G and PSEG Power. PSE&amp;G is a public utility engaged principally in the transmission of electricity and distribution of electricity and natural gas in certain areas of New Jersey. PSEG Power is an energy supply company that consists of the operations of merchant nuclear generating assets and fuel supply functions engaged in competitive energy sales via its principal direct wholly owned subsidiaries. The Company also has other wholly owned subsidiaries.</v>
    <v>13189</v>
    <v>New York Stock Exchange</v>
    <v>XNYS</v>
    <v>XNYS</v>
    <v>Corporate Accounting Services, 80 Park Plaza, 9Th Floor, NEWARK, NJ, 07102-4194 US</v>
    <v>86.33</v>
    <v>Multiline Utilities</v>
    <v>Stock</v>
    <v>46083.983039467188</v>
    <v>764</v>
    <v>84.325000000000003</v>
    <v>42143521550</v>
    <v>PUBLIC SERVICE ENTERPRISE GROUP INCORPORATED</v>
    <v>PUBLIC SERVICE ENTERPRISE GROUP INCORPORATED</v>
    <v>85.96</v>
    <v>20.4041</v>
    <v>86.07</v>
    <v>84.5</v>
    <v>84.11</v>
    <v>498739900</v>
    <v>PEG</v>
    <v>PUBLIC SERVICE ENTERPRISE GROUP INCORPORATED (XNYS:PEG)</v>
    <v>3691141</v>
    <v>2878833</v>
    <v>1985</v>
  </rv>
  <rv s="2">
    <v>765</v>
  </rv>
  <rv s="7">
    <fb>81.56</fb>
    <v>13</v>
  </rv>
  <rv s="7">
    <fb>80.14</fb>
    <v>13</v>
  </rv>
  <rv s="0">
    <v>https://www.bing.com/financeapi/forcetrigger?t=a1w2cw&amp;q=XNYS%3aJCI&amp;form=skydnc</v>
    <v>Learn more on Bing</v>
  </rv>
  <rv s="1">
    <v>0</v>
    <v>JOHNSON CONTROLS INTERNATIONAL PUBLIC LIMITED COMPANY (XNYS:JCI)</v>
    <v>2</v>
    <v>3</v>
    <v>Finance</v>
    <v>4</v>
    <v>en-US</v>
    <v>a1w2cw</v>
    <v>268435456</v>
    <v>1</v>
    <v>Powered by Refinitiv</v>
    <v>146.49</v>
    <v>68.03</v>
    <v>1.3896999999999999</v>
    <v>1.1499999999999999</v>
    <v>7.9699999999999997E-3</v>
    <v>-1.26</v>
    <v>-8.6619999999999996E-3</v>
    <v>USD</v>
    <v>Johnson Controls International plc specializes in smart buildings. The Company's segments include Americas, EMEA and APAC. The Company is engaged in engineering, manufacturing, commissioning and retrofitting building products and systems, including commercial heating, ventilating, air-conditioning (HVAC) equipment, industrial refrigeration systems, controls, security systems, fire-detection systems and fire-suppression solutions. The Company also serves customers by providing technical services, including maintenance, management, repair, retrofit and replacement of equipment (in the HVAC, industrial refrigeration, controls, security and fire-protection space) and energy-management consulting. The Company serves various industries, including healthcare, schools, data centers, airports, stadiums and manufacturing. The Company's OpenBlue digital software platform enables enterprises to better manage their physical spaces by combining its building products and services.</v>
    <v>87000</v>
    <v>New York Stock Exchange</v>
    <v>XNYS</v>
    <v>XNYS</v>
    <v>One Albert Quay, Albert Quay, CORK, CORK IE</v>
    <v>146.13999999999999</v>
    <v>Machinery, Equipment &amp; Components</v>
    <v>Stock</v>
    <v>46084.012312603903</v>
    <v>769</v>
    <v>142.97999999999999</v>
    <v>89025028790</v>
    <v>JOHNSON CONTROLS INTERNATIONAL PUBLIC LIMITED COMPANY</v>
    <v>JOHNSON CONTROLS INTERNATIONAL PUBLIC LIMITED COMPANY</v>
    <v>144.19999999999999</v>
    <v>48.787399999999998</v>
    <v>144.30000000000001</v>
    <v>145.44999999999999</v>
    <v>144.19999999999999</v>
    <v>612066200</v>
    <v>JCI</v>
    <v>JOHNSON CONTROLS INTERNATIONAL PUBLIC LIMITED COMPANY (XNYS:JCI)</v>
    <v>2604395</v>
    <v>5403897</v>
    <v>2014</v>
  </rv>
  <rv s="2">
    <v>770</v>
  </rv>
  <rv s="7">
    <fb>124.01</fb>
    <v>13</v>
  </rv>
  <rv s="7">
    <fb>129.49</fb>
    <v>13</v>
  </rv>
  <rv s="0">
    <v>https://www.bing.com/financeapi/forcetrigger?t=a25xm7&amp;q=XNYS%3aWMB&amp;form=skydnc</v>
    <v>Learn more on Bing</v>
  </rv>
  <rv s="1">
    <v>0</v>
    <v>THE WILLIAMS COMPANIES, INC. (XNYS:WMB)</v>
    <v>2</v>
    <v>3</v>
    <v>Finance</v>
    <v>4</v>
    <v>en-US</v>
    <v>a25xm7</v>
    <v>268435456</v>
    <v>1</v>
    <v>Powered by Refinitiv</v>
    <v>76.87</v>
    <v>51.58</v>
    <v>0.64700000000000002</v>
    <v>1.52</v>
    <v>2.0343E-2</v>
    <v>0</v>
    <v>0</v>
    <v>USD</v>
    <v>The Williams Companies, Inc. owns and operates energy infrastructure that delivers natural gas. The Company's segments include Transmission, Power &amp; Gulf; Northeast G&amp;P; West, and Gas &amp; NGL Marketing Services. Transmission, Power &amp; Gulf segment is comprised of interstate natural gas pipelines and their related natural gas storage facilities including Transco, NWP, and MountainWest and a 50 percent equity-method investment in Gulfstream; and others. Northeast G&amp;P segment is comprised of midstream gathering, processing, and fractionation businesses in the Marcellus Shale region primarily in Pennsylvania and New York, and the Utica Shale region of eastern Ohio, and others. West segment is comprised of gas gathering, processing, and treating operations in the Rocky Mountain region of Colorado and Wyoming, the Eagle Ford Shale region of south Texas, and others. Gas &amp; NGL Marketing Services segment is comprised of NGL and natural gas marketing and trading operations.</v>
    <v>5987</v>
    <v>New York Stock Exchange</v>
    <v>XNYS</v>
    <v>XNYS</v>
    <v>One Williams Ctr, TULSA, OK, 74172 US</v>
    <v>76.87</v>
    <v>Oil &amp; Gas Related Equipment and Services</v>
    <v>Stock</v>
    <v>46084.040508217186</v>
    <v>774</v>
    <v>74.750100000000003</v>
    <v>93131963120</v>
    <v>THE WILLIAMS COMPANIES, INC.</v>
    <v>THE WILLIAMS COMPANIES, INC.</v>
    <v>76.25</v>
    <v>35.076000000000001</v>
    <v>74.72</v>
    <v>76.239999999999995</v>
    <v>76.260000000000005</v>
    <v>1221563000</v>
    <v>WMB</v>
    <v>THE WILLIAMS COMPANIES, INC. (XNYS:WMB)</v>
    <v>6521787</v>
    <v>8258179</v>
    <v>1987</v>
  </rv>
  <rv s="2">
    <v>775</v>
  </rv>
  <rv s="7">
    <fb>68.5</fb>
    <v>13</v>
  </rv>
  <rv s="7">
    <fb>66.459999999999994</fb>
    <v>13</v>
  </rv>
  <rv s="0">
    <v>https://www.bing.com/financeapi/forcetrigger?t=bq89dm&amp;q=XNYS%3aCTVA&amp;form=skydnc</v>
    <v>Learn more on Bing</v>
  </rv>
  <rv s="1">
    <v>0</v>
    <v>CORTEVA, INC. (XNYS:CTVA)</v>
    <v>2</v>
    <v>3</v>
    <v>Finance</v>
    <v>4</v>
    <v>en-US</v>
    <v>bq89dm</v>
    <v>268435456</v>
    <v>1</v>
    <v>Powered by Refinitiv</v>
    <v>80.905000000000001</v>
    <v>53.4</v>
    <v>0.71970000000000001</v>
    <v>0.56999999999999995</v>
    <v>7.1300000000000001E-3</v>
    <v>-0.52</v>
    <v>-6.4580000000000002E-3</v>
    <v>USD</v>
    <v>Corteva, Inc. is a global pure-play agriculture company. It is a global provider of seed and crop protection solutions focused on the agriculture industry and contributing to a healthier, secure and sustainable food supply. The Seed segment is engaged in developing and supplying commercial seed combining advanced germplasm and traits that produce optimum yield for farms around the world. It operates in various key seed markets, including North American corn and soybeans, European corn and sunflower, as well as Brazil, India, South Africa and Argentina corn. The Crop Protection segment serves the global agricultural input industry with products that protect against weeds, insects and other pests, and disease, and that support overall crop health both above and below ground via nitrogen management and seed-applied technologies. Its crop protection solutions and digital solutions provide farmers with tools to improve productivity and help keep fields free of weeds, insects and diseases.</v>
    <v>21500</v>
    <v>New York Stock Exchange</v>
    <v>XNYS</v>
    <v>XNYS</v>
    <v>9330 ZIONSVILLE ROAD, INDIANAPOLIS, IN, 46268 US</v>
    <v>80.905000000000001</v>
    <v>Chemicals</v>
    <v>Stock</v>
    <v>46084.021681678125</v>
    <v>779</v>
    <v>79.286199999999994</v>
    <v>54144907240</v>
    <v>CORTEVA, INC.</v>
    <v>CORTEVA, INC.</v>
    <v>79.91</v>
    <v>46.236199999999997</v>
    <v>79.94</v>
    <v>80.510000000000005</v>
    <v>80</v>
    <v>672524000</v>
    <v>CTVA</v>
    <v>CORTEVA, INC. (XNYS:CTVA)</v>
    <v>4008984</v>
    <v>4315930</v>
    <v>2018</v>
  </rv>
  <rv s="2">
    <v>780</v>
  </rv>
  <rv s="7">
    <fb>75.040000000000006</fb>
    <v>13</v>
  </rv>
  <rv s="7">
    <fb>75.12</fb>
    <v>13</v>
  </rv>
  <rv s="0">
    <v>http://en.wikipedia.org/wiki/Hewlett-Packard</v>
    <v>Wikipedia</v>
  </rv>
  <rv s="3">
    <v>18</v>
    <v>784</v>
  </rv>
  <rv s="4">
    <v>9</v>
    <v>https://www.bing.com/th?id=AMMS_98757b1e7b158827481b7c629463c21b&amp;qlt=95</v>
    <v>785</v>
    <v>0</v>
    <v>https://www.bing.com/images/search?form=xlimg&amp;q=hp+company</v>
    <v>Image of HP INC.</v>
  </rv>
  <rv s="0">
    <v>https://www.bing.com/financeapi/forcetrigger?t=a1uu5r&amp;q=XNYS%3aHPQ&amp;form=skydnc</v>
    <v>Learn more on Bing</v>
  </rv>
  <rv s="5">
    <v>5</v>
    <v>HP INC. (XNYS:HPQ)</v>
    <v>7</v>
    <v>8</v>
    <v>Finance</v>
    <v>4</v>
    <v>en-US</v>
    <v>a1uu5r</v>
    <v>268435456</v>
    <v>1</v>
    <v>Powered by Refinitiv</v>
    <v>31.43</v>
    <v>17.559999999999999</v>
    <v>1.1956</v>
    <v>-0.3</v>
    <v>-1.5798E-2</v>
    <v>0.16</v>
    <v>8.5560000000000011E-3</v>
    <v>USD</v>
    <v>HP Inc. is a global provider of sustainable devices, services and subscriptions for personal computing (PC), printing, three-dimensional (3D) printing, hybrid work, gaming and other related technologies. The Company’s segments include Personal Systems, Printing and Corporate Investments. Its Personal Systems segment offers desktops, notebooks, and workstations, thin clients, retail point-of-sale (POS) systems, displays, hybrid systems, software, solutions including endpoint security and services. Its Printing segment provides consumer and commercial printer hardware, supplies, services and solutions. Printing is also focused on graphics and 3D printing and personalization in the commercial and industrial markets. Its Corporate Investments segment includes certain business incubation and investment projects. Its security solutions provide layered resiliency using features such as containment and isolation technology as well as artificial intelligence (AI) deep learning.</v>
    <v>55000</v>
    <v>New York Stock Exchange</v>
    <v>XNYS</v>
    <v>XNYS</v>
    <v>1501 Page Mill Road, PALO ALTO, CA, 94304 US</v>
    <v>18.965</v>
    <v>786</v>
    <v>Computers, Phones &amp; Household Electronics</v>
    <v>Stock</v>
    <v>46084.041326805469</v>
    <v>787</v>
    <v>18.54</v>
    <v>17092943238</v>
    <v>HP INC.</v>
    <v>HP INC.</v>
    <v>18.72</v>
    <v>7.1695000000000002</v>
    <v>18.989999999999998</v>
    <v>18.690000000000001</v>
    <v>18.86</v>
    <v>914550200</v>
    <v>HPQ</v>
    <v>HP INC. (XNYS:HPQ)</v>
    <v>18215050</v>
    <v>21702842</v>
    <v>1998</v>
  </rv>
  <rv s="2">
    <v>788</v>
  </rv>
  <rv s="7">
    <fb>19</fb>
    <v>13</v>
  </rv>
  <rv s="7">
    <fb>19.82</fb>
    <v>13</v>
  </rv>
  <rv s="13">
    <v>23</v>
    <v>GE VERNOVA INC. (XNYS:GEV)</v>
    <v>17</v>
    <v>3</v>
    <v>Finance</v>
    <v>4</v>
    <v>en-US</v>
    <v>ccmvww</v>
    <v>268435456</v>
    <v>1</v>
    <v>Powered by Refinitiv</v>
    <v>894.92989999999998</v>
    <v>252.25</v>
    <v>1.357</v>
    <v>7.87</v>
    <v>9.0089999999999996E-3</v>
    <v>-3.18</v>
    <v>-3.6089999999999998E-3</v>
    <v>USD</v>
    <v>GE Vernova Inc. is a purpose-built global energy company that includes Power, Wind, and Electrification segments and is supported by its accelerator businesses. It designs, manufactures, delivers, and services technologies to create a sustainable electric power system, enabling electrification and decarbonization. Power segment includes the design, manufacture, and servicing of gas, nuclear, hydro, and steam technologies, providing a critical foundation of dispatchable, flexible, stable, and reliable power. Wind segment includes its wind generation technologies, inclusive of onshore and offshore wind turbines and blades. Electrification segment includes grid solutions, power conversion and storage, and electrification software technologies required for the transmission, distribution, conversion, storage, and orchestration of electricity from point of generation to point of consumption. Its accelerator business includes advanced research, consulting services and financial services.</v>
    <v>75000</v>
    <v>New York Stock Exchange</v>
    <v>XNYS</v>
    <v>XNYS</v>
    <v>58 Charles Street, CAMBRIDGE, MA, 02141 US</v>
    <v>893.56</v>
    <v>Electrical Utilities &amp; IPPs</v>
    <v>Stock</v>
    <v>46084.041150450779</v>
    <v>854</v>
    <v>237582080218</v>
    <v>GE VERNOVA INC.</v>
    <v>GE VERNOVA INC.</v>
    <v>865</v>
    <v>48.975200000000001</v>
    <v>873.6</v>
    <v>881.47</v>
    <v>878</v>
    <v>269529400</v>
    <v>GEV</v>
    <v>GE VERNOVA INC. (XNYS:GEV)</v>
    <v>2421431</v>
    <v>2966896</v>
    <v>2023</v>
  </rv>
  <rv s="2">
    <v>792</v>
  </rv>
  <rv s="7">
    <fb>780.25</fb>
    <v>13</v>
  </rv>
  <rv s="7">
    <fb>746.22</fb>
    <v>13</v>
  </rv>
  <rv s="0">
    <v>https://www.bing.com/financeapi/forcetrigger?t=a1tym7&amp;q=XNYS%3aGLW&amp;form=skydnc</v>
    <v>Learn more on Bing</v>
  </rv>
  <rv s="1">
    <v>0</v>
    <v>CORNING INCORPORATED (XNYS:GLW)</v>
    <v>2</v>
    <v>3</v>
    <v>Finance</v>
    <v>4</v>
    <v>en-US</v>
    <v>a1tym7</v>
    <v>268435456</v>
    <v>1</v>
    <v>Powered by Refinitiv</v>
    <v>162.09989999999999</v>
    <v>37.31</v>
    <v>1.0444</v>
    <v>7.41</v>
    <v>4.9274999999999999E-2</v>
    <v>1.54</v>
    <v>9.7549999999999998E-3</v>
    <v>USD</v>
    <v>Corning Incorporated operates as an innovator in materials science. Its segments include Optical Communications, Display Technologies, Specialty Materials, Environmental Technologies, and Life Sciences. Its Optical Communications segment manufactures carrier network and enterprise network components for the telecommunications industry. Its Display Technologies segment manufactures glass substrates for flat-panel displays, including liquid crystal displays and organic light-emitting diodes. Its Specialty Materials segment manufactures products that provide material formulations for glass, glass ceramics and fluoride crystals for customer needs. Its Environmental Technologies segment manufactures ceramic substrates and filters for emission control systems in mobile applications. Its Life Sciences segment develops, manufactures and supplies laboratory products, including labware, equipment, media, serum and reagents, enabling workflow solutions for drug discovery and bioproduction.</v>
    <v>67200</v>
    <v>New York Stock Exchange</v>
    <v>XNYS</v>
    <v>XNYS</v>
    <v>One Riverfront Plaza, CORNING, NY, 14831 US</v>
    <v>160.44999999999999</v>
    <v>Electronic Equipment &amp; Parts</v>
    <v>Stock</v>
    <v>46084.041367812497</v>
    <v>796</v>
    <v>152.76499999999999</v>
    <v>135375630699</v>
    <v>CORNING INCORPORATED</v>
    <v>CORNING INCORPORATED</v>
    <v>153.44999999999999</v>
    <v>81.873800000000003</v>
    <v>150.38</v>
    <v>157.79</v>
    <v>159.4</v>
    <v>857948100</v>
    <v>GLW</v>
    <v>CORNING INCORPORATED (XNYS:GLW)</v>
    <v>15338455</v>
    <v>12913996</v>
    <v>1936</v>
  </rv>
  <rv s="2">
    <v>797</v>
  </rv>
  <rv s="7">
    <fb>112.79</fb>
    <v>13</v>
  </rv>
  <rv s="7">
    <fb>109.69</fb>
    <v>13</v>
  </rv>
  <rv s="0">
    <v>https://www.bing.com/financeapi/forcetrigger?t=a1rjec&amp;q=XNAS%3aEA&amp;form=skydnc</v>
    <v>Learn more on Bing</v>
  </rv>
  <rv s="1">
    <v>0</v>
    <v>ELECTRONIC ARTS INC. (XNAS:EA)</v>
    <v>2</v>
    <v>3</v>
    <v>Finance</v>
    <v>4</v>
    <v>en-US</v>
    <v>a1rjec</v>
    <v>268435456</v>
    <v>1</v>
    <v>Powered by Refinitiv</v>
    <v>204.88499999999999</v>
    <v>128.87</v>
    <v>0.74739999999999995</v>
    <v>0.49</v>
    <v>2.4429999999999999E-3</v>
    <v>-0.88</v>
    <v>-4.3769999999999998E-3</v>
    <v>USD</v>
    <v>Electronic Arts Inc. is a digital interactive entertainment company. The Company develops and delivers games, content and online services for Internet-connected consoles, mobile devices and personal computers. It develops and publishes games and experiences across diverse genres, such as sports, racing, first-person shooter, action, role-playing and simulation. Its portfolio of brands includes EA SPORTS FC, Battlefield, Apex Legends, The Sims, EA SPORTS Madden NFL, EA SPORTS College Football, Need for Speed, Dragon Age, Titanfall, Plants vs. Zombies and EA SPORTS F1. The Company also offers live services, including extra content, subscription offerings and other revenue generated outside of the sale of its full games. It primarily distributes its console products and services through partners, such as Sony and Microsoft. It distributes its mobile applications and additional content through distributors such as Apple and Google.</v>
    <v>14500</v>
    <v>Nasdaq Stock Market</v>
    <v>XNAS</v>
    <v>XNAS</v>
    <v>209 Redwood Shores Pkwy, REDWOOD CITY, CA, 94065 US</v>
    <v>201.5</v>
    <v>Software &amp; IT Services</v>
    <v>Stock</v>
    <v>46083.925213113282</v>
    <v>801</v>
    <v>200.21</v>
    <v>50316008922</v>
    <v>ELECTRONIC ARTS INC.</v>
    <v>ELECTRONIC ARTS INC.</v>
    <v>200.25</v>
    <v>75.026300000000006</v>
    <v>200.57</v>
    <v>201.06</v>
    <v>200.18</v>
    <v>250253700</v>
    <v>EA</v>
    <v>ELECTRONIC ARTS INC. (XNAS:EA)</v>
    <v>2011617</v>
    <v>3108243</v>
    <v>1991</v>
  </rv>
  <rv s="2">
    <v>802</v>
  </rv>
  <rv s="7">
    <fb>201.39</fb>
    <v>13</v>
  </rv>
  <rv s="7">
    <fb>196.84</fb>
    <v>13</v>
  </rv>
  <rv s="0">
    <v>https://www.bing.com/financeapi/forcetrigger?t=ay4lu2&amp;q=XNAS%3aXEL&amp;form=skydnc</v>
    <v>Learn more on Bing</v>
  </rv>
  <rv s="1">
    <v>0</v>
    <v>Xcel Energy Inc. (XNAS:XEL)</v>
    <v>2</v>
    <v>3</v>
    <v>Finance</v>
    <v>4</v>
    <v>en-US</v>
    <v>ay4lu2</v>
    <v>268435456</v>
    <v>1</v>
    <v>Powered by Refinitiv</v>
    <v>84.23</v>
    <v>65.209999999999994</v>
    <v>0.45889999999999997</v>
    <v>0.44</v>
    <v>5.2780000000000006E-3</v>
    <v>0</v>
    <v>0</v>
    <v>USD</v>
    <v>Xcel Energy Inc. is an electric and natural gas delivery company. The Company provides a comprehensive portfolio of energy-related products and services to approximately 3.9 million electric customers and 2.2 million natural gas customers through four utility subsidiaries, NSP-Minnesota, NSP-Wisconsin, PSCo and SPS. The Company operates through two segments. Its regulated electric utility segment generates, purchases, transmits, distributes and sells electricity in Colorado, Michigan, Minnesota, New Mexico, North Dakota, South Dakota, Texas and Wisconsin. In addition, this segment includes sales for resale and provides wholesale transmission service to various entities in the United States. The regulated electric utility segment also includes wholesale commodity and trading operations. Its regulated natural gas utility segment purchases, transports, stores, distributes and sells natural gas primarily in portions of Colorado, Michigan, Minnesota, North Dakota and Wisconsin.</v>
    <v>11534</v>
    <v>Nasdaq Stock Market</v>
    <v>XNAS</v>
    <v>XNAS</v>
    <v>414 Nicollet Mall, MINNEAPOLIS, MN, 55401 US</v>
    <v>84.12</v>
    <v>Electrical Utilities &amp; IPPs</v>
    <v>Stock</v>
    <v>46083.940090705466</v>
    <v>806</v>
    <v>83.31</v>
    <v>52280875840</v>
    <v>Xcel Energy Inc.</v>
    <v>Xcel Energy Inc.</v>
    <v>83.44</v>
    <v>24.3444</v>
    <v>83.36</v>
    <v>83.8</v>
    <v>83.8</v>
    <v>623876800</v>
    <v>XEL</v>
    <v>Xcel Energy Inc. (XNAS:XEL)</v>
    <v>3732449</v>
    <v>4924242</v>
    <v>1909</v>
  </rv>
  <rv s="2">
    <v>807</v>
  </rv>
  <rv s="7">
    <fb>75.95</fb>
    <v>13</v>
  </rv>
  <rv s="7">
    <fb>76.2</fb>
    <v>13</v>
  </rv>
  <rv s="0">
    <v>https://www.bing.com/financeapi/forcetrigger?t=a1z3h7&amp;q=XNAS%3aODFL&amp;form=skydnc</v>
    <v>Learn more on Bing</v>
  </rv>
  <rv s="1">
    <v>0</v>
    <v>OLD DOMINION FREIGHT LINE, INC. (XNAS:ODFL)</v>
    <v>2</v>
    <v>3</v>
    <v>Finance</v>
    <v>4</v>
    <v>en-US</v>
    <v>a1z3h7</v>
    <v>268435456</v>
    <v>1</v>
    <v>Powered by Refinitiv</v>
    <v>209.15</v>
    <v>126.01</v>
    <v>1.2373000000000001</v>
    <v>4.7</v>
    <v>2.3147000000000001E-2</v>
    <v>0</v>
    <v>0</v>
    <v>USD</v>
    <v>Old Dominion Freight Line, Inc. is a less-than-truckload (LTL) motor carrier. The Company provides regional, inter-regional and national LTL services through a single integrated, union-free organization. Its service offerings, which include expedited transportation, are provided through an expansive network of service centers located throughout the continental United States. It offers a range of value-added services including container drayage, truckload brokerage and supply chain consulting. It operates approximately 261 service center locations, of which it owns 239 and leased 22. Its service centers are responsible for the pickup and delivery of freight within their local service area. Its systems allow it to offer its customers access to information, such as freight tracking, shipping documents, rate quotes, rate databases and account activity. Its integrated systems and customer service department provide its customers with a single point of contact to access information.</v>
    <v>20591</v>
    <v>Nasdaq Stock Market</v>
    <v>XNAS</v>
    <v>XNAS</v>
    <v>500 Old Dominion Way, THOMASVILLE, NC, 27360 US</v>
    <v>209.15</v>
    <v>Freight &amp; Logistics Services</v>
    <v>Stock</v>
    <v>46083.925182360937</v>
    <v>811</v>
    <v>199.41499999999999</v>
    <v>43300418400</v>
    <v>OLD DOMINION FREIGHT LINE, INC.</v>
    <v>OLD DOMINION FREIGHT LINE, INC.</v>
    <v>202.67</v>
    <v>41.977499999999999</v>
    <v>203.05</v>
    <v>207.75</v>
    <v>207.75</v>
    <v>208425600</v>
    <v>ODFL</v>
    <v>OLD DOMINION FREIGHT LINE, INC. (XNAS:ODFL)</v>
    <v>2843908</v>
    <v>2545355</v>
    <v>1950</v>
  </rv>
  <rv s="2">
    <v>812</v>
  </rv>
  <rv s="7">
    <fb>189.77</fb>
    <v>13</v>
  </rv>
  <rv s="7">
    <fb>208.54</fb>
    <v>13</v>
  </rv>
  <rv s="0">
    <v>https://www.bing.com/financeapi/forcetrigger?t=a218k2&amp;q=XNYS%3aPRU&amp;form=skydnc</v>
    <v>Learn more on Bing</v>
  </rv>
  <rv s="1">
    <v>0</v>
    <v>PRUDENTIAL FINANCIAL, INC. (XNYS:PRU)</v>
    <v>2</v>
    <v>3</v>
    <v>Finance</v>
    <v>4</v>
    <v>en-US</v>
    <v>a218k2</v>
    <v>268435456</v>
    <v>1</v>
    <v>Powered by Refinitiv</v>
    <v>119.76</v>
    <v>90.38</v>
    <v>0.9698</v>
    <v>1.5649999999999999</v>
    <v>1.5907999999999999E-2</v>
    <v>-0.35</v>
    <v>-3.5019999999999999E-3</v>
    <v>USD</v>
    <v>Prudential Financial, Inc. is a financial services provider and global investment manager. The Company offers a range of financial products and services, including life insurance, annuities, retirement-related products and services, mutual funds, and investment management. It offers these products and services to individual and institutional customers through its own and third-party distribution networks. It operates in the United States, Asia, Europe and Latin America. Its segment includes PGIM, U.S. Businesses, International Businesses, and Corporate and Other operations. The PGIM segment provides investment management services and solutions related to public fixed income, public equity, real estate debt and equity, private credit and other alternatives, and multi-asset class strategies, to institutional and retail clients and its general account. The U.S. Businesses segment consists of the retirement strategies, group insurance and individual life products.</v>
    <v>36824</v>
    <v>New York Stock Exchange</v>
    <v>XNYS</v>
    <v>XNYS</v>
    <v>751 BROAD ST, NEWARK, NJ, 07102 US</v>
    <v>100.52</v>
    <v>Insurance</v>
    <v>Stock</v>
    <v>46084.027482303129</v>
    <v>816</v>
    <v>96.1</v>
    <v>34780860000</v>
    <v>PRUDENTIAL FINANCIAL, INC.</v>
    <v>PRUDENTIAL FINANCIAL, INC.</v>
    <v>97.25</v>
    <v>9.8324999999999996</v>
    <v>98.38</v>
    <v>99.944999999999993</v>
    <v>99.6</v>
    <v>348000000</v>
    <v>PRU</v>
    <v>PRUDENTIAL FINANCIAL, INC. (XNYS:PRU)</v>
    <v>2201886</v>
    <v>2630288</v>
    <v>1999</v>
  </rv>
  <rv s="2">
    <v>817</v>
  </rv>
  <rv s="7">
    <fb>107.18</fb>
    <v>13</v>
  </rv>
  <rv s="7">
    <fb>102.17</fb>
    <v>13</v>
  </rv>
  <rv s="0">
    <v>https://www.bing.com/financeapi/forcetrigger?t=a23rm7&amp;q=XNYS%3aSTZ&amp;form=skydnc</v>
    <v>Learn more on Bing</v>
  </rv>
  <rv s="1">
    <v>0</v>
    <v>CONSTELLATION BRANDS, INC. (XNYS:STZ)</v>
    <v>2</v>
    <v>3</v>
    <v>Finance</v>
    <v>4</v>
    <v>en-US</v>
    <v>a23rm7</v>
    <v>268435456</v>
    <v>1</v>
    <v>Powered by Refinitiv</v>
    <v>196.91</v>
    <v>126.45</v>
    <v>0.43719999999999998</v>
    <v>-1.38</v>
    <v>-8.7419999999999998E-3</v>
    <v>-0.56000000000000005</v>
    <v>-3.5770000000000003E-3</v>
    <v>USD</v>
    <v>Constellation Brands, Inc. is a producer and marketer of beer, wine, and spirits with operations in the United States, Mexico, New Zealand, and Italy with brands, such as Corona Extra, Modelo Especial, Robert Mondavi Winery, Kim Crawford, The Prisoner Wine Company, High West, Casa Noble, and Mi CAMPO. Its segments include Beer, Wine and Spirits, and Corporate Operations and Other. In the Beer segment, its portfolio consists of high-end imported beer brands and ABAs. It has a perpetual brand license to produce its Mexican beer portfolio and to import, market, and sell such a portfolio in the United States. In the Wine and Spirits segment, it sells a portfolio that includes higher-end wine brands complemented by certain higher-end spirits brands. Its Corporate Operations and Other segment consists of costs of corporate development, corporate finance, corporate strategy, executive management, growth, human resources, internal audit, investor relations, IT, legal and public relations.</v>
    <v>10600</v>
    <v>New York Stock Exchange</v>
    <v>XNYS</v>
    <v>XNYS</v>
    <v>50 East Broad Street, ROCHESTER, NY, 14614 US</v>
    <v>159</v>
    <v>Beverages</v>
    <v>Stock</v>
    <v>46084.010426110937</v>
    <v>821</v>
    <v>155.01</v>
    <v>27135321984</v>
    <v>CONSTELLATION BRANDS, INC.</v>
    <v>CONSTELLATION BRANDS, INC.</v>
    <v>156.42500000000001</v>
    <v>24.891100000000002</v>
    <v>157.86000000000001</v>
    <v>156.47999999999999</v>
    <v>156</v>
    <v>173410800</v>
    <v>STZ</v>
    <v>CONSTELLATION BRANDS, INC. (XNYS:STZ)</v>
    <v>1499544</v>
    <v>2342175</v>
    <v>1972</v>
  </rv>
  <rv s="2">
    <v>822</v>
  </rv>
  <rv s="7">
    <fb>160.62</fb>
    <v>13</v>
  </rv>
  <rv s="7">
    <fb>166.68</fb>
    <v>13</v>
  </rv>
  <rv s="0">
    <v>https://www.bing.com/financeapi/forcetrigger?t=a1nqw7&amp;q=XNYS%3aHWM&amp;form=skydnc</v>
    <v>Learn more on Bing</v>
  </rv>
  <rv s="1">
    <v>0</v>
    <v>HOWMET AEROSPACE INC. (XNYS:HWM)</v>
    <v>2</v>
    <v>3</v>
    <v>Finance</v>
    <v>4</v>
    <v>en-US</v>
    <v>a1nqw7</v>
    <v>268435456</v>
    <v>1</v>
    <v>Powered by Refinitiv</v>
    <v>267.31</v>
    <v>105.0401</v>
    <v>1.2058</v>
    <v>2.56</v>
    <v>9.7509999999999993E-3</v>
    <v>1.88</v>
    <v>7.0909999999999992E-3</v>
    <v>USD</v>
    <v>Howmet Aerospace Inc. is a global provider of advanced engineered solutions for the aerospace and transportation industries. The Company’s primary business focus is on jet engine components, aerospace fastening systems, and airframe structural components. Its Engine Products segment produces investment castings, including airfoils, and seamless rolled rings primarily for aircraft engines and industrial gas turbine applications. Its Fastening Systems segment produces aerospace fastening systems, as well as commercial transportation, industrial and other fasteners. Its Engineered Structures segment produces titanium ingots and mill products for aerospace and defense applications and is vertically integrated to produce titanium forgings, titanium extrusions, and machining services for airframe, wing, aero-engine, and landing gear components. Its Forged Wheels segment provides forged aluminum wheels and related products for heavy-duty trucks and the commercial transportation market.</v>
    <v>25430</v>
    <v>New York Stock Exchange</v>
    <v>XNYS</v>
    <v>XNYS</v>
    <v>201 Isabella Street, Suite 200, PITTSBURGH, PA, 15212-5872 US</v>
    <v>267.31</v>
    <v>Aerospace &amp; Defense</v>
    <v>Stock</v>
    <v>46084.039862580466</v>
    <v>826</v>
    <v>259</v>
    <v>106285211108</v>
    <v>HOWMET AEROSPACE INC.</v>
    <v>HOWMET AEROSPACE INC.</v>
    <v>263</v>
    <v>70.834199999999996</v>
    <v>262.52999999999997</v>
    <v>265.08999999999997</v>
    <v>266.99</v>
    <v>400940100</v>
    <v>HWM</v>
    <v>HOWMET AEROSPACE INC. (XNYS:HWM)</v>
    <v>2240506</v>
    <v>3062161</v>
    <v>2017</v>
  </rv>
  <rv s="2">
    <v>827</v>
  </rv>
  <rv s="7">
    <fb>213.49</fb>
    <v>13</v>
  </rv>
  <rv s="7">
    <fb>208.61</fb>
    <v>13</v>
  </rv>
  <rv s="0">
    <v>https://www.bing.com/financeapi/forcetrigger?t=a1wi77&amp;q=XNAS%3aKHC&amp;form=skydnc</v>
    <v>Learn more on Bing</v>
  </rv>
  <rv s="1">
    <v>0</v>
    <v>THE KRAFT HEINZ COMPANY (XNAS:KHC)</v>
    <v>2</v>
    <v>3</v>
    <v>Finance</v>
    <v>10</v>
    <v>en-US</v>
    <v>a1wi77</v>
    <v>268435456</v>
    <v>1</v>
    <v>Powered by Refinitiv</v>
    <v>33.35</v>
    <v>21.984999999999999</v>
    <v>3.9699999999999999E-2</v>
    <v>-0.1</v>
    <v>-4.0629999999999998E-3</v>
    <v>0.02</v>
    <v>8.160000000000001E-4</v>
    <v>USD</v>
    <v>The Kraft Heinz Company manufactures and markets food and beverage products around the world through its eight consumer-driven product platforms: Taste Elevation, Easy Ready Meals, Substantial Snacking, Desserts, Hydration, Cheese, Coffee, and Meats. The Company has two reportable segments defined by geographic region: North America and International Developed Markets. Its other segments, consisting of West and East Emerging Markets (WEEM) and Asia Emerging Markets (AEM), are combined and disclosed as Emerging Markets. It manufactures its products from a wide variety of raw materials. Its brands include Kraft, Oscar Mayer, Heinz, Philadelphia, Lunchables, Velveeta, Ore-Ida, Capri Sun, Maxwell Apartment, Kool-Aid, Jell-O, Heinz, Golden Circle, Wattie’s, Plasmon, Heinz, ABC, Master, Quero, Kraft, and Pudliszki, among others. The Company’s products are sold through its own sales organizations and through independent brokers, agents, and distributors.</v>
    <v>35000</v>
    <v>Nasdaq Stock Market</v>
    <v>XNAS</v>
    <v>XNAS</v>
    <v>One Ppg Place, PITTSBURGH, PA, 15222 US</v>
    <v>24.62</v>
    <v>Food &amp; Tobacco</v>
    <v>Stock</v>
    <v>46083.913556689062</v>
    <v>831</v>
    <v>24.13</v>
    <v>29013589950</v>
    <v>THE KRAFT HEINZ COMPANY</v>
    <v>THE KRAFT HEINZ COMPANY</v>
    <v>24.61</v>
    <v>0</v>
    <v>24.61</v>
    <v>24.51</v>
    <v>24.53</v>
    <v>1183745000</v>
    <v>KHC</v>
    <v>THE KRAFT HEINZ COMPANY (XNAS:KHC)</v>
    <v>16074413</v>
    <v>16376689</v>
    <v>2013</v>
  </rv>
  <rv s="2">
    <v>832</v>
  </rv>
  <rv s="7">
    <fb>23.87</fb>
    <v>13</v>
  </rv>
  <rv s="7">
    <fb>24.48</fb>
    <v>13</v>
  </rv>
  <rv s="0">
    <v>https://www.bing.com/financeapi/forcetrigger?t=a1vb5r&amp;q=XNAS%3aIDXX&amp;form=skydnc</v>
    <v>Learn more on Bing</v>
  </rv>
  <rv s="1">
    <v>0</v>
    <v>IDEXX LABORATORIES, INC. (XNAS:IDXX)</v>
    <v>2</v>
    <v>3</v>
    <v>Finance</v>
    <v>4</v>
    <v>en-US</v>
    <v>a1vb5r</v>
    <v>268435456</v>
    <v>1</v>
    <v>Powered by Refinitiv</v>
    <v>769.98</v>
    <v>356.14</v>
    <v>1.6600999999999999</v>
    <v>-20.03</v>
    <v>-3.0499999999999999E-2</v>
    <v>0</v>
    <v>0</v>
    <v>USD</v>
    <v>IDEXX Laboratories, Inc. develops, manufactures and distributes products and provides services primarily for the companion animal veterinary, livestock and poultry, dairy and water testing industries. The Company also provides human medical point-of-care and laboratory diagnostics. Its segments include Companion Animal Group (CAG), Water quality products (Water), and Livestock, Poultry and Dairy (LPD). The CAG segment offers diagnostic and information management-based products and services for the companion animal veterinary industry, including in-clinic diagnostic solutions, outside reference laboratory services, and veterinary software and services. The Water segment provides testing solutions for accurate detection and quantification of various microbiological parameters in water. The LPD segment provides diagnostic tests, services, and related instrumentation that are used to manage the health status of livestock and poultry, and to improve the quality and safety of milk.</v>
    <v>11000</v>
    <v>Nasdaq Stock Market</v>
    <v>XNAS</v>
    <v>XNAS</v>
    <v>One Idexx Drive, WESTBROOK, ME, 04092-2041 US</v>
    <v>647.04</v>
    <v>Healthcare Equipment &amp; Supplies</v>
    <v>Stock</v>
    <v>46083.925213205468</v>
    <v>836</v>
    <v>627.38499999999999</v>
    <v>50696619901</v>
    <v>IDEXX LABORATORIES, INC.</v>
    <v>IDEXX LABORATORIES, INC.</v>
    <v>639.47500000000002</v>
    <v>50.209299999999999</v>
    <v>656.73</v>
    <v>636.70000000000005</v>
    <v>636.70000000000005</v>
    <v>79624030</v>
    <v>IDXX</v>
    <v>IDEXX LABORATORIES, INC. (XNAS:IDXX)</v>
    <v>522289</v>
    <v>534410</v>
    <v>1983</v>
  </rv>
  <rv s="2">
    <v>837</v>
  </rv>
  <rv s="7">
    <fb>632.55999999999995</fb>
    <v>13</v>
  </rv>
  <rv s="7">
    <fb>642.94000000000005</fb>
    <v>13</v>
  </rv>
  <rv s="0">
    <v>https://www.bing.com/financeapi/forcetrigger?t=bvtlrw&amp;q=XWBO%3aAMP&amp;form=skydnc</v>
    <v>Learn more on Bing</v>
  </rv>
  <rv s="14">
    <v>24</v>
    <v>Amplifon SpA (XWBO:AMP)</v>
    <v>2</v>
    <v>25</v>
    <v>Finance</v>
    <v>26</v>
    <v>en-US</v>
    <v>bvtlrw</v>
    <v>268435456</v>
    <v>1</v>
    <v>Powered by Refinitiv</v>
    <v>0.60240000000000005</v>
    <v>-0.255</v>
    <v>-1.9355000000000001E-2</v>
    <v>EUR</v>
    <v>Amplifon SpA is an Italy-based company active in the hearing care retail market. The Company provides personalized solutions and customer care to hearing-impaired people. It offers a wide range of services from diagnosing hearing difficulties, to fitting, servicing and maintaining hearing aids. The Company is organized in three geographical operating segments: Europe, Middle East and Africa - EMEA - (Italy, France, The Netherlands, Germany, the United Kingdom, Ireland, Spain, Portugal, Switzerland, Belgium, Luxemburg, Hungary, Egypt, Turkey, Poland and Israel), Americas (USA, Canada, Chile, Argentina, Ecuador, Colombia, Panama and Mexico) and Asia-Pacific (Australia, New Zealand, India and China).</v>
    <v>15070</v>
    <v>Wiener Boerse</v>
    <v>XWBO</v>
    <v>XWBO</v>
    <v>Via Ripamonti 133, MILANO, MILANO, 20141 IT</v>
    <v>13.164999999999999</v>
    <v>Healthcare Equipment &amp; Supplies</v>
    <v>Stock</v>
    <v>46083</v>
    <v>841</v>
    <v>12.755000000000001</v>
    <v>3093601000</v>
    <v>Amplifon SpA</v>
    <v>Amplifon SpA</v>
    <v>12.755000000000001</v>
    <v>25.61</v>
    <v>13.175000000000001</v>
    <v>12.92</v>
    <v>226388600</v>
    <v>AMP</v>
    <v>Amplifon SpA (XWBO:AMP)</v>
    <v>723</v>
    <v>1653080</v>
  </rv>
  <rv s="2">
    <v>842</v>
  </rv>
  <rv s="7">
    <fb>13.244999999999999</fb>
    <v>27</v>
  </rv>
  <rv s="7">
    <fb>13.35</fb>
    <v>27</v>
  </rv>
  <rv s="0">
    <v>http://de.wikipedia.org/wiki/Lennar</v>
    <v>Wikipedia</v>
  </rv>
  <rv s="3">
    <v>18</v>
    <v>846</v>
  </rv>
  <rv s="4">
    <v>9</v>
    <v>https://www.bing.com/th?id=AMMS_53583359b2caf7766f03578d319fe529&amp;qlt=95</v>
    <v>847</v>
    <v>0</v>
    <v>https://www.bing.com/images/search?form=xlimg&amp;q=lennar+corporation</v>
    <v>Image of LENNAR CORPORATION</v>
  </rv>
  <rv s="0">
    <v>https://www.bing.com/financeapi/forcetrigger?t=a1wucw&amp;q=XNYS%3aLEN&amp;form=skydnc</v>
    <v>Learn more on Bing</v>
  </rv>
  <rv s="5">
    <v>5</v>
    <v>LENNAR CORPORATION (XNYS:LEN)</v>
    <v>7</v>
    <v>8</v>
    <v>Finance</v>
    <v>4</v>
    <v>en-US</v>
    <v>a1wucw</v>
    <v>268435456</v>
    <v>1</v>
    <v>Powered by Refinitiv</v>
    <v>144.23500000000001</v>
    <v>98.420100000000005</v>
    <v>1.456</v>
    <v>-3.74</v>
    <v>-3.2703999999999997E-2</v>
    <v>-4.9099999999999998E-2</v>
    <v>-4.439E-4</v>
    <v>USD</v>
    <v>Lennar Corporation is a homebuilder and an originator of residential and commercial mortgage loans. The Company is also a provider of title insurance and closing services, and a developer of multifamily rental properties. The Company's segments include Homebuilding East, Homebuilding Central, Homebuilding Texas, Homebuilding West, Financial Services, Multifamily, and Lennar others. Its Homebuilding segments primarily include the construction and sale of single-family attached and detached homes, as well as the purchase, development and sale of residential land directly and through its unconsolidated entities. The Company's Financial Services segment primarily provides mortgage financing, title and closing services primarily for buyers of its homes, as well as property and casualty insurance. The Company’s Multifamily segment is involved in the development, construction and property management of multifamily rental properties. its Lennar Other segment includes fund investments.</v>
    <v>12532</v>
    <v>New York Stock Exchange</v>
    <v>XNYS</v>
    <v>XNYS</v>
    <v>5505 WATERFORD DISTRICT DRIVE, MIAMI, FL, 33126 US</v>
    <v>111.85</v>
    <v>848</v>
    <v>Homebuilding &amp; Construction Supplies</v>
    <v>Stock</v>
    <v>46084.039697546097</v>
    <v>849</v>
    <v>109.52</v>
    <v>27391857144</v>
    <v>LENNAR CORPORATION</v>
    <v>LENNAR CORPORATION</v>
    <v>111.85</v>
    <v>13.847200000000001</v>
    <v>114.36</v>
    <v>110.62</v>
    <v>110.5609</v>
    <v>247621200</v>
    <v>LEN</v>
    <v>LENNAR CORPORATION (XNYS:LEN)</v>
    <v>2242408</v>
    <v>2458974</v>
    <v>1991</v>
  </rv>
  <rv s="2">
    <v>850</v>
  </rv>
  <rv s="7">
    <fb>112.53</fb>
    <v>13</v>
  </rv>
  <rv s="7">
    <fb>115.27</fb>
    <v>13</v>
  </rv>
  <rv s="0">
    <v>https://www.bing.com/financeapi/forcetrigger?t=a1rfsm&amp;q=XNYS%3aDD&amp;form=skydnc</v>
    <v>Learn more on Bing</v>
  </rv>
  <rv s="1">
    <v>0</v>
    <v>DUPONT DE NEMOURS, INC. (XNYS:DD)</v>
    <v>2</v>
    <v>3</v>
    <v>Finance</v>
    <v>4</v>
    <v>en-US</v>
    <v>a1rfsm</v>
    <v>268435456</v>
    <v>1</v>
    <v>Powered by Refinitiv</v>
    <v>52.66</v>
    <v>22.4892</v>
    <v>1.0744</v>
    <v>-0.20499999999999999</v>
    <v>-4.1130000000000003E-3</v>
    <v>0.22</v>
    <v>4.4320000000000002E-3</v>
    <v>USD</v>
    <v>DuPont de Nemours, Inc. is engaged in providing advanced solutions that help transform industries. The Company serves various markets, including healthcare, water, construction, and transportation. The Company’s IndustrialsCo segment is a provider of engineered products and integrated solutions primarily serving medical, including packaging and specialty medical devices, water filtration, worker safety, automotive, including electric vehicles, aerospace and building product end markets. The IndustrialsCo segment offers medical packaging, medical silicones, specialty medical devices, water purification and separation, water filtration and purification resins, flexible packaging products, nonwovens, aramids, construction materials, auto adhesives and fluids.</v>
    <v>15000</v>
    <v>New York Stock Exchange</v>
    <v>XNYS</v>
    <v>XNYS</v>
    <v>974 Centre Rd Bldg 730, WILMINGTON, DE, 19805 US</v>
    <v>49.968499999999999</v>
    <v>Electronic Equipment &amp; Parts</v>
    <v>Stock</v>
    <v>46084.030869779686</v>
    <v>854</v>
    <v>48.23</v>
    <v>20296937776</v>
    <v>DUPONT DE NEMOURS, INC.</v>
    <v>DUPONT DE NEMOURS, INC.</v>
    <v>49.08</v>
    <v>0</v>
    <v>49.84</v>
    <v>49.634999999999998</v>
    <v>49.86</v>
    <v>408923900</v>
    <v>DD</v>
    <v>DUPONT DE NEMOURS, INC. (XNYS:DD)</v>
    <v>3449963</v>
    <v>4762142</v>
    <v>2015</v>
  </rv>
  <rv s="2">
    <v>855</v>
  </rv>
  <rv s="7">
    <fb>45.3</fb>
    <v>13</v>
  </rv>
  <rv s="7">
    <fb>47.83</fb>
    <v>13</v>
  </rv>
  <rv s="0">
    <v>https://www.bing.com/financeapi/forcetrigger?t=a1ne3m&amp;q=XNYS%3aAME&amp;form=skydnc</v>
    <v>Learn more on Bing</v>
  </rv>
  <rv s="1">
    <v>0</v>
    <v>AMETEK, INC. (XNYS:AME)</v>
    <v>2</v>
    <v>3</v>
    <v>Finance</v>
    <v>4</v>
    <v>en-US</v>
    <v>a1ne3m</v>
    <v>268435456</v>
    <v>1</v>
    <v>Powered by Refinitiv</v>
    <v>242.05</v>
    <v>145.02000000000001</v>
    <v>1.0232000000000001</v>
    <v>2.23</v>
    <v>9.3220000000000004E-3</v>
    <v>-0.05</v>
    <v>-2.0709999999999999E-4</v>
    <v>USD</v>
    <v>AMETEK, Inc. is a global provider of industrial technology solutions serving a diverse set of niche markets. The Company's segments include Electronic Instruments Group (EIG) and Electromechanical Group (EMG). EIG segment designs and manufactures advanced analytical, test and measurement instruments for the process, aerospace, medical, research, power and industrial markets. It provides a range of instruments to the research and laboratory equipment, ultra-precision manufacturing, optics, medical, and test and measurement markets. It also provides three-dimensional measurement and imaging solutions, including portable measurement arms, laser scanners and trackers, software solutions, and comprehensive service offerings. EMG designs and manufactures engineered medical components and devices, automation solutions, thermal management systems, specialty metals and electrical interconnects. It supplies powdered metals, strip and foil, specialty clad metals and metal matrix composites.</v>
    <v>22500</v>
    <v>New York Stock Exchange</v>
    <v>XNYS</v>
    <v>XNYS</v>
    <v>1100 Cassatt Road, BERWYN, PA, 19312 US</v>
    <v>242.05</v>
    <v>Machinery, Equipment &amp; Components</v>
    <v>Stock</v>
    <v>46083.959684142967</v>
    <v>859</v>
    <v>234.96</v>
    <v>55286544940</v>
    <v>AMETEK, INC.</v>
    <v>AMETEK, INC.</v>
    <v>236.34</v>
    <v>37.372199999999999</v>
    <v>239.22</v>
    <v>241.45</v>
    <v>241.41</v>
    <v>228977200</v>
    <v>AME</v>
    <v>AMETEK, INC. (XNYS:AME)</v>
    <v>1171530</v>
    <v>1408325</v>
    <v>1986</v>
  </rv>
  <rv s="2">
    <v>860</v>
  </rv>
  <rv s="7">
    <fb>228.92</fb>
    <v>13</v>
  </rv>
  <rv s="7">
    <fb>227.83</fb>
    <v>13</v>
  </rv>
  <rv s="0">
    <v>https://www.bing.com/financeapi/forcetrigger?t=a25jnm&amp;q=XNAS%3aVRSK&amp;form=skydnc</v>
    <v>Learn more on Bing</v>
  </rv>
  <rv s="1">
    <v>0</v>
    <v>VERISK ANALYTICS, INC. (XNAS:VRSK)</v>
    <v>2</v>
    <v>3</v>
    <v>Finance</v>
    <v>10</v>
    <v>en-US</v>
    <v>a25jnm</v>
    <v>268435456</v>
    <v>1</v>
    <v>Powered by Refinitiv</v>
    <v>322.92</v>
    <v>164.6</v>
    <v>0.8105</v>
    <v>7.22</v>
    <v>3.4783000000000001E-2</v>
    <v>3.11</v>
    <v>1.4478999999999999E-2</v>
    <v>USD</v>
    <v>Verisk Analytics, Inc. is a data analytics and technology provider serving clients in the insurance ecosystem. The Company offers predictive analytics and decision support solutions to clients in rating, underwriting, claims, catastrophe, weather risk, and many other fields. Its insurance segment serves its property and casualty insurance customers across personal and commercial lines of business, focusing on insurance programs, the prediction of loss, the selection and pricing of risk, and compliance with their reporting requirements in each United States state in which they operate. It also develops and utilizes machine-learned and artificially intelligent models to forecast scenarios and produce both standard and customized analytics that help its customers better manage their businesses, including detecting fraud before and after a loss event. It owns a SaaS platform that supports an open ecosystem where specialized model partners make their models, hazard data and analytics.</v>
    <v>8000</v>
    <v>Nasdaq Stock Market</v>
    <v>XNAS</v>
    <v>XNAS</v>
    <v>545 Washington Boulevard, JERSEY CITY, NJ, 07310-1686 US</v>
    <v>215.86</v>
    <v>Software &amp; IT Services</v>
    <v>Stock</v>
    <v>46083.991145613283</v>
    <v>864</v>
    <v>208.44499999999999</v>
    <v>29628540701</v>
    <v>VERISK ANALYTICS, INC.</v>
    <v>VERISK ANALYTICS, INC.</v>
    <v>210</v>
    <v>32.022100000000002</v>
    <v>207.57</v>
    <v>214.79</v>
    <v>217.9</v>
    <v>137941900</v>
    <v>VRSK</v>
    <v>VERISK ANALYTICS, INC. (XNAS:VRSK)</v>
    <v>3059982</v>
    <v>2587120</v>
    <v>2008</v>
  </rv>
  <rv s="2">
    <v>865</v>
  </rv>
  <rv s="7">
    <fb>192.49</fb>
    <v>13</v>
  </rv>
  <rv s="7">
    <fb>189.51</fb>
    <v>13</v>
  </rv>
  <rv s="0">
    <v>https://www.bing.com/financeapi/forcetrigger?t=a1r63m&amp;q=XNAS%3aDLTR&amp;form=skydnc</v>
    <v>Learn more on Bing</v>
  </rv>
  <rv s="1">
    <v>0</v>
    <v>DOLLAR TREE, INC. (XNAS:DLTR)</v>
    <v>2</v>
    <v>3</v>
    <v>Finance</v>
    <v>4</v>
    <v>en-US</v>
    <v>a1r63m</v>
    <v>268435456</v>
    <v>1</v>
    <v>Powered by Refinitiv</v>
    <v>142.4</v>
    <v>61.8</v>
    <v>0.73040000000000005</v>
    <v>-6.6</v>
    <v>-5.2182000000000006E-2</v>
    <v>-0.6522</v>
    <v>-5.4400000000000004E-3</v>
    <v>USD</v>
    <v>Dollar Tree, Inc. is an operator of retail discount stores operating under the brand names of Dollar Tree and Dollar Tree Canada. The Company operates approximately 9,000 stores and 18 distribution centers across 48 contiguous states and five Canadian provinces. The Dollar Tree segment operates a discount variety of stores offering merchandise at the opening price point. The Dollar Tree segment includes its operations under the Dollar Tree and Dollar Tree Canada brands in the United States and Canada. Its Dollar Tree Canada stores carry a range of products such as kitchen and dining, cleaning supplies, food and beverages, health and beauty, toys, party supplies, stationery, craft supplies, seasonal decor, and others. It also offers customers same-day local delivery. The Company also offers Dollar Tree Gift Cards and can be purchased in stores and online and redeemed in any one of its store locations.</v>
    <v>64434</v>
    <v>Nasdaq Stock Market</v>
    <v>XNAS</v>
    <v>XNAS</v>
    <v>500 Volvo Parkway, CHESAPEAKE, VA, 23320 US</v>
    <v>124.755</v>
    <v>Diversified Retail</v>
    <v>Stock</v>
    <v>46083.996462372656</v>
    <v>869</v>
    <v>119.81</v>
    <v>23838521616</v>
    <v>DOLLAR TREE, INC.</v>
    <v>DOLLAR TREE, INC.</v>
    <v>124.36</v>
    <v>24.485800000000001</v>
    <v>126.48</v>
    <v>119.88</v>
    <v>119.2278</v>
    <v>198853200</v>
    <v>DLTR</v>
    <v>DOLLAR TREE, INC. (XNAS:DLTR)</v>
    <v>2930775</v>
    <v>3039650</v>
    <v>2008</v>
  </rv>
  <rv s="2">
    <v>870</v>
  </rv>
  <rv s="7">
    <fb>119.69</fb>
    <v>13</v>
  </rv>
  <rv s="7">
    <fb>121.83</fb>
    <v>13</v>
  </rv>
  <rv s="0">
    <v>https://www.bing.com/financeapi/forcetrigger?t=a1mnrw&amp;q=XNYS%3aA&amp;form=skydnc</v>
    <v>Learn more on Bing</v>
  </rv>
  <rv s="1">
    <v>0</v>
    <v>AGILENT TECHNOLOGIES, INC. (XNYS:A)</v>
    <v>2</v>
    <v>3</v>
    <v>Finance</v>
    <v>4</v>
    <v>en-US</v>
    <v>a1mnrw</v>
    <v>268435456</v>
    <v>1</v>
    <v>Powered by Refinitiv</v>
    <v>160.27000000000001</v>
    <v>96.43</v>
    <v>1.3109999999999999</v>
    <v>-3.25</v>
    <v>-2.6775000000000004E-2</v>
    <v>-0.17</v>
    <v>-1.439E-3</v>
    <v>USD</v>
    <v>Agilent Technologies, Inc. specializes in life sciences, diagnostics and applied markets, providing application-focused solutions that include instruments, software, services and consumables for the entire laboratory workflow. Its segments include Life Sciences and Diagnostics Markets, Agilent CrossLab and Applied Markets. Life Sciences and Diagnostics Markets segment comprises seven areas of activity. It offers active pharmaceutical ingredients for oligo-based therapeutics as well as solutions that include reagents, instruments, software and consumables. Agilent CrossLab segment offers a services and consumables portfolio that spans the entire lab, in addition to software and laboratory automation solutions, which are designed to enhance customer outcomes. Applied Markets segment offers application-focused solutions that include instruments and software that enable customers to identify, quantify and analyze the physical and biological properties of substances and products.</v>
    <v>18100</v>
    <v>New York Stock Exchange</v>
    <v>XNYS</v>
    <v>XNYS</v>
    <v>5301 Stevens Creek Blvd, SANTA CLARA, CA, 95051 US</v>
    <v>119.395</v>
    <v>Healthcare Equipment &amp; Supplies</v>
    <v>Stock</v>
    <v>46084.038206712503</v>
    <v>874</v>
    <v>117.61</v>
    <v>33394854854</v>
    <v>AGILENT TECHNOLOGIES, INC.</v>
    <v>AGILENT TECHNOLOGIES, INC.</v>
    <v>118.85</v>
    <v>26.7942</v>
    <v>121.38</v>
    <v>118.13</v>
    <v>118</v>
    <v>282695800</v>
    <v>A</v>
    <v>AGILENT TECHNOLOGIES, INC. (XNYS:A)</v>
    <v>3478014</v>
    <v>2340473</v>
    <v>1999</v>
  </rv>
  <rv s="2">
    <v>875</v>
  </rv>
  <rv s="7">
    <fb>132.13999999999999</fb>
    <v>13</v>
  </rv>
  <rv s="7">
    <fb>132.97999999999999</fb>
    <v>13</v>
  </rv>
  <rv s="0">
    <v>https://www.bing.com/financeapi/forcetrigger?t=ao7qa2&amp;q=XLON%3aDFS&amp;form=skydnc</v>
    <v>Learn more on Bing</v>
  </rv>
  <rv s="15">
    <v>28</v>
    <v>DFS FURNITURE PLC (XLON:DFS)</v>
    <v>2</v>
    <v>29</v>
    <v>Finance</v>
    <v>30</v>
    <v>en-US</v>
    <v>ao7qa2</v>
    <v>268435456</v>
    <v>1</v>
    <v>Powered by Refinitiv</v>
    <v>204</v>
    <v>123.4</v>
    <v>1.7077</v>
    <v>0.5</v>
    <v>2.6250000000000002E-3</v>
    <v>GBp</v>
    <v>DFS Furniture plc is a United Kingdom-based company, which is a retailer of living room furniture in the United Kingdom. The Company operates an integrated physical and digital retail network of living room furniture showrooms and Websites in the United Kingdom and Republic of Ireland, trading through its brands, DFS and Sofology. Its segments include DFS, Sofology, and Other. DFS is engaged in the retailing of upholstered furniture and related products through DFS branded stores and Websites. Sofology is engaged in the retailing of upholstered furniture and related products through Sofology branded stores and Website. The Other segment manufactures upholstered furniture and the supply of contract logistics. The Company fulfills orders for its product ranges through its own United Kingdom finished goods factories, and through manufacturing partners located in the United Kingdom, Europe and Far East, and delivered with care through The Sofa Delivery Company Limited.</v>
    <v>4503</v>
    <v>London Stock Exchange</v>
    <v>XLON</v>
    <v>XLON</v>
    <v>1 Rockingham Way, Redhouse Interchange, Adwick-Le-Street, DONCASTER, SOUTH YORKSHIRE, DN6 7NA GB</v>
    <v>192</v>
    <v>Household Goods</v>
    <v>Stock</v>
    <v>46083.692829594533</v>
    <v>879</v>
    <v>186.5</v>
    <v>428484300</v>
    <v>DFS FURNITURE PLC</v>
    <v>DFS FURNITURE PLC</v>
    <v>186.5</v>
    <v>18.194800000000001</v>
    <v>190.5</v>
    <v>191</v>
    <v>234144400</v>
    <v>DFS</v>
    <v>DFS FURNITURE PLC (XLON:DFS)</v>
    <v>1147025</v>
    <v>137920</v>
    <v>2010</v>
  </rv>
  <rv s="2">
    <v>880</v>
  </rv>
  <rv s="7">
    <fb>199</fb>
    <v>31</v>
  </rv>
  <rv s="7">
    <fb>199.5</fb>
    <v>31</v>
  </rv>
  <rv s="0">
    <v>https://www.bing.com/financeapi/forcetrigger?t=bzwuz2&amp;q=XLON%3aFANG&amp;form=skydnc</v>
    <v>Learn more on Bing</v>
  </rv>
  <rv s="16">
    <v>32</v>
    <v>GRANITESHARES FAANG ETP (XLON:FANG)</v>
    <v>33</v>
    <v>34</v>
    <v>Finance</v>
    <v>35</v>
    <v>en-US</v>
    <v>bzwuz2</v>
    <v>268435456</v>
    <v>1</v>
    <v>Powered by Refinitiv</v>
    <v>4.4999999999999998E-2</v>
    <v>7.2559999999999996E-4</v>
    <v>USD</v>
    <v>London Stock Exchange</v>
    <v>XLON</v>
    <v>61.63</v>
    <v>ETF</v>
    <v>46083.606972962501</v>
    <v>884</v>
    <v>60.45</v>
    <v>GRANITESHARES FAANG ETP</v>
    <v>60.45</v>
    <v>62.02</v>
    <v>62.064999999999998</v>
    <v>FANG</v>
    <v>GRANITESHARES FAANG ETP (XLON:FANG)</v>
    <v>4</v>
  </rv>
  <rv s="2">
    <v>885</v>
  </rv>
  <rv s="7">
    <fb>64.405000000000001</fb>
    <v>13</v>
  </rv>
  <rv s="17">
    <v>12</v>
    <v>Shares outstanding</v>
    <v>0</v>
  </rv>
  <rv s="7">
    <fb>63.92</fb>
    <v>13</v>
  </rv>
  <rv s="0">
    <v>https://www.bing.com/financeapi/forcetrigger?t=a23wlh&amp;q=XNYS%3aSYY&amp;form=skydnc</v>
    <v>Learn more on Bing</v>
  </rv>
  <rv s="1">
    <v>0</v>
    <v>SYSCO CORPORATION (XNYS:SYY)</v>
    <v>2</v>
    <v>3</v>
    <v>Finance</v>
    <v>4</v>
    <v>en-US</v>
    <v>a23wlh</v>
    <v>268435456</v>
    <v>1</v>
    <v>Powered by Refinitiv</v>
    <v>91.844999999999999</v>
    <v>67.12</v>
    <v>0.58509999999999995</v>
    <v>-0.69</v>
    <v>-7.5690000000000002E-3</v>
    <v>-0.59</v>
    <v>-6.5209999999999999E-3</v>
    <v>USD</v>
    <v>Sysco Corporation is engaged in selling, marketing and distributing food products to restaurants, healthcare and educational facilities, lodging establishments and other customers who prepare meals away from home. It also supplies a variety of non-food items. Its segments include U.S. Foodservice Operations, International Foodservice Operations, SYGMA and Other. U.S. Foodservice Operations segment includes United States Broadline operations and United States Specialty operations. International Foodservice Operations include operations outside of the United States. SYGMA segment includes its United States customized distribution operations serving quick-service chain restaurant customer locations. Other segment includes primarily its hotel supply operations, Guest Worldwide. It distributes various products, such as frozen foods, fresh meats and seafood, dairy products, beverage products, imported specialties, and fresh produce. It operates around 340 distribution facilities worldwide.</v>
    <v>75000</v>
    <v>New York Stock Exchange</v>
    <v>XNYS</v>
    <v>XNYS</v>
    <v>1390 Enclave Pkwy, HOUSTON, TX, 77077 US</v>
    <v>91.46</v>
    <v>Food &amp; Drug Retailing</v>
    <v>Stock</v>
    <v>46084.039074524997</v>
    <v>890</v>
    <v>89.88</v>
    <v>43328860429</v>
    <v>SYSCO CORPORATION</v>
    <v>SYSCO CORPORATION</v>
    <v>90.87</v>
    <v>24.517199999999999</v>
    <v>91.16</v>
    <v>90.47</v>
    <v>89.89</v>
    <v>478930700</v>
    <v>SYY</v>
    <v>SYSCO CORPORATION (XNYS:SYY)</v>
    <v>2466546</v>
    <v>4347276</v>
    <v>1969</v>
  </rv>
  <rv s="2">
    <v>891</v>
  </rv>
  <rv s="7">
    <fb>84.62</fb>
    <v>13</v>
  </rv>
  <rv s="7">
    <fb>84.65</fb>
    <v>13</v>
  </rv>
  <rv s="0">
    <v>https://www.bing.com/financeapi/forcetrigger?t=a1uvar&amp;q=XNYS%3aLHX&amp;form=skydnc</v>
    <v>Learn more on Bing</v>
  </rv>
  <rv s="1">
    <v>0</v>
    <v>L3HARRIS TECHNOLOGIES, INC. (XNYS:LHX)</v>
    <v>2</v>
    <v>3</v>
    <v>Finance</v>
    <v>4</v>
    <v>en-US</v>
    <v>a1uvar</v>
    <v>268435456</v>
    <v>1</v>
    <v>Powered by Refinitiv</v>
    <v>379.23</v>
    <v>195.72</v>
    <v>0.62939999999999996</v>
    <v>13.96</v>
    <v>3.8294999999999996E-2</v>
    <v>2.42</v>
    <v>6.3939999999999995E-3</v>
    <v>USD</v>
    <v>L3Harris Technologies, Inc. provides end-to-end technology solutions connecting the space, air, land, sea and cyber domains in the interest of national security. Its segments include Space &amp; Airborne Systems (SAS), Integrated Mission Systems (IMS), Communication Systems (CS), and Aerojet Rocketdyne (AR). The SAS segment supplies full mission solutions as a prime and subsystem integrator in the space, airborne and cyber domains. The IMS segment delivers differentiated mission capabilities and prime systems integration to support intelligence, reconnaissance and surveillance (ISR), passive sensing and targeting, electronic attack, autonomy, power and communications, networks and sensors. CS enables warfighters across all domains with solutions critical to mission success even in the contested environments. The AR segment provides propulsion, power and armament products and systems to the U.S. Government, including the DoD, NASA and various aerospace and defense prime contractors.</v>
    <v>45000</v>
    <v>New York Stock Exchange</v>
    <v>XNYS</v>
    <v>XNYS</v>
    <v>1025 W Nasa Blvd, MELBOURNE, FL, 32919-0001 US</v>
    <v>379.23</v>
    <v>Aerospace &amp; Defense</v>
    <v>Stock</v>
    <v>46084.041427233591</v>
    <v>895</v>
    <v>366.48079999999999</v>
    <v>70694829550</v>
    <v>L3HARRIS TECHNOLOGIES, INC.</v>
    <v>L3HARRIS TECHNOLOGIES, INC.</v>
    <v>370.32</v>
    <v>42.718200000000003</v>
    <v>364.54</v>
    <v>378.5</v>
    <v>380.9</v>
    <v>186776300</v>
    <v>LHX</v>
    <v>L3HARRIS TECHNOLOGIES, INC. (XNYS:LHX)</v>
    <v>2965053</v>
    <v>1353215</v>
    <v>1926</v>
  </rv>
  <rv s="2">
    <v>896</v>
  </rv>
  <rv s="7">
    <fb>351.57</fb>
    <v>13</v>
  </rv>
  <rv s="7">
    <fb>339.07</fb>
    <v>13</v>
  </rv>
  <rv s="0">
    <v>https://www.bing.com/financeapi/forcetrigger?t=a25sk2&amp;q=XNYS%3aWEC&amp;form=skydnc</v>
    <v>Learn more on Bing</v>
  </rv>
  <rv s="1">
    <v>0</v>
    <v>WEC ENERGY GROUP INC. (XNYS:WEC)</v>
    <v>2</v>
    <v>3</v>
    <v>Finance</v>
    <v>10</v>
    <v>en-US</v>
    <v>a25sk2</v>
    <v>268435456</v>
    <v>1</v>
    <v>Powered by Refinitiv</v>
    <v>118.185</v>
    <v>100.605</v>
    <v>0.57299999999999995</v>
    <v>-0.34</v>
    <v>-2.9070000000000003E-3</v>
    <v>0</v>
    <v>0</v>
    <v>USD</v>
    <v>WEC Energy Group, Inc. is a diversified holding company. The Company, through its wholly owned subsidiaries, provides or invests in regulated natural gas and electricity, and renewable energy, as well as non-regulated renewable energy. Its segments include Wisconsin, Illinois, Other states, electric transmission, non-utility energy and infrastructure, and corporate and other segment. The Wisconsin segment is engaged in the generation of electricity and the distribution of electricity and natural gas in Wisconsin and distributes natural gas to customers located in the Upper Peninsula of Michigan. The Illinois segment is engaged in the distribution of natural gas in Illinois. Other states segment engaged primarily in the distribution of natural gas in Minnesota and Michigan. The non-utility energy infrastructure segment consists of We Power, which owns electric power-generating facilities, and Bluewater, which owns underground natural gas storage facilities in Michigan.</v>
    <v>7151</v>
    <v>New York Stock Exchange</v>
    <v>XNYS</v>
    <v>XNYS</v>
    <v>231 W Michigan St, P O Box 1331, MILWAUKEE, WI, 53201 US</v>
    <v>117.22</v>
    <v>Electrical Utilities &amp; IPPs</v>
    <v>Stock</v>
    <v>46083.925190740621</v>
    <v>900</v>
    <v>116.31</v>
    <v>37963471868</v>
    <v>WEC ENERGY GROUP INC.</v>
    <v>WEC ENERGY GROUP INC.</v>
    <v>116.38</v>
    <v>24.224299999999999</v>
    <v>116.96</v>
    <v>116.62</v>
    <v>116.62</v>
    <v>325531400</v>
    <v>WEC</v>
    <v>WEC ENERGY GROUP INC. (XNYS:WEC)</v>
    <v>1862277</v>
    <v>2627854</v>
    <v>1981</v>
  </rv>
  <rv s="2">
    <v>901</v>
  </rv>
  <rv s="7">
    <fb>112.26</fb>
    <v>13</v>
  </rv>
  <rv s="7">
    <fb>113.33</fb>
    <v>13</v>
  </rv>
  <rv s="0">
    <v>https://www.bing.com/financeapi/forcetrigger?t=a1ogsm&amp;q=XNAS%3aBKR&amp;form=skydnc</v>
    <v>Learn more on Bing</v>
  </rv>
  <rv s="1">
    <v>0</v>
    <v>BAKER HUGHES COMPANY (XNAS:BKR)</v>
    <v>2</v>
    <v>3</v>
    <v>Finance</v>
    <v>4</v>
    <v>en-US</v>
    <v>a1ogsm</v>
    <v>268435456</v>
    <v>1</v>
    <v>Powered by Refinitiv</v>
    <v>67</v>
    <v>33.6</v>
    <v>0.83099999999999996</v>
    <v>-0.43</v>
    <v>-6.5890000000000002E-3</v>
    <v>-0.11</v>
    <v>-1.6969999999999999E-3</v>
    <v>USD</v>
    <v>Baker Hughes Company is an energy technology company with a portfolio of technologies and services that span the energy and industrial value chain. The Company operates in two segments: Oilfield Services &amp; Equipment (OFSE) and Industrial &amp; Energy Technology (IET). OFSE segment provides products and services for onshore and offshore oilfield operations across the lifecycle of a well, ranging from exploration, appraisal, and development, to production, rejuvenation, and decommissioning. OFSE is organized into four product lines: Well Construction; Completions, Intervention, and Measurements; Production Solutions, and Subsea and Surface Pressure Systems. IET segment provides technology solutions and services for mechanical-drive, compression and power-generation applications across the energy industry, including oil and gas, liquefied natural gas (LNG) operations, downstream refining and petrochemical markets, as well as lower carbon solutions to broader energy and industrial sectors.</v>
    <v>56000</v>
    <v>Nasdaq Stock Market</v>
    <v>XNAS</v>
    <v>XNAS</v>
    <v>575 NORTH DAIRY ASHFORD ROAD, SUITE 100, HOUSTON, TX, 77079-1121 US</v>
    <v>67</v>
    <v>Oil &amp; Gas Related Equipment and Services</v>
    <v>Stock</v>
    <v>46083.8770859375</v>
    <v>905</v>
    <v>64.275000000000006</v>
    <v>64067372295</v>
    <v>BAKER HUGHES COMPANY</v>
    <v>BAKER HUGHES COMPANY</v>
    <v>66.501999999999995</v>
    <v>25.065100000000001</v>
    <v>65.260000000000005</v>
    <v>64.83</v>
    <v>64.72</v>
    <v>988236500</v>
    <v>BKR</v>
    <v>BAKER HUGHES COMPANY (XNAS:BKR)</v>
    <v>10386148</v>
    <v>9732308</v>
    <v>2016</v>
  </rv>
  <rv s="2">
    <v>906</v>
  </rv>
  <rv s="7">
    <fb>58</fb>
    <v>13</v>
  </rv>
  <rv s="7">
    <fb>59.17</fb>
    <v>13</v>
  </rv>
  <rv s="0">
    <v>https://www.bing.com/financeapi/forcetrigger?t=a1r1lh&amp;q=XNYS%3aDHI&amp;form=skydnc</v>
    <v>Learn more on Bing</v>
  </rv>
  <rv s="1">
    <v>0</v>
    <v>D.R. HORTON, INC. (XNYS:DHI)</v>
    <v>2</v>
    <v>3</v>
    <v>Finance</v>
    <v>4</v>
    <v>en-US</v>
    <v>a1r1lh</v>
    <v>268435456</v>
    <v>1</v>
    <v>Powered by Refinitiv</v>
    <v>184.54499999999999</v>
    <v>110.44</v>
    <v>1.4349000000000001</v>
    <v>-5.98</v>
    <v>-3.7284000000000005E-2</v>
    <v>0</v>
    <v>0</v>
    <v>USD</v>
    <v>D.R. Horton, Inc. is a homebuilding company. The Company constructs and sells homes through its operating divisions in 125 markets across 36 states. The Company’s segments include Homebuilding, Rental, Forestar, Financial Services, and Other. The Homebuilding divisions are primarily engaged in the acquisition and development of land and the construction and sale of residential homes. The Company’s rental segment consists of single-family and multifamily rental operations. The single-family rental operations construct and lease single-family homes within a community and then generally market each community for a bulk sale of rental homes. The Forestar segment is a residential lot development company with operations in 59 markets across 24 states. The Financial services segment provides mortgage financing and title agency services to homebuyers in many of the Company’s homebuilding markets. It also conducts insurance-related operations.</v>
    <v>14341</v>
    <v>New York Stock Exchange</v>
    <v>XNYS</v>
    <v>XNYS</v>
    <v>1341 Horton Circle, ARLINGTON, TX, 76011 US</v>
    <v>156.88</v>
    <v>Homebuilding &amp; Construction Supplies</v>
    <v>Stock</v>
    <v>46084.038419385935</v>
    <v>910</v>
    <v>153.13999999999999</v>
    <v>44733101994</v>
    <v>D.R. HORTON, INC.</v>
    <v>D.R. HORTON, INC.</v>
    <v>156.88</v>
    <v>14.058400000000001</v>
    <v>160.38999999999999</v>
    <v>154.41</v>
    <v>154.4</v>
    <v>289703400</v>
    <v>DHI</v>
    <v>D.R. HORTON, INC. (XNYS:DHI)</v>
    <v>2397531</v>
    <v>2885239</v>
    <v>1991</v>
  </rv>
  <rv s="2">
    <v>911</v>
  </rv>
  <rv s="7">
    <fb>153.83000000000001</fb>
    <v>13</v>
  </rv>
  <rv s="7">
    <fb>158.22</fb>
    <v>13</v>
  </rv>
  <rv s="0">
    <v>https://www.bing.com/financeapi/forcetrigger?t=a1mscw&amp;q=XNAS%3aACGL&amp;form=skydnc</v>
    <v>Learn more on Bing</v>
  </rv>
  <rv s="1">
    <v>0</v>
    <v>ARCH CAPITAL GROUP LTD. (XNAS:ACGL)</v>
    <v>2</v>
    <v>3</v>
    <v>Finance</v>
    <v>10</v>
    <v>en-US</v>
    <v>a1mscw</v>
    <v>268435456</v>
    <v>1</v>
    <v>Powered by Refinitiv</v>
    <v>103.39</v>
    <v>82.444999999999993</v>
    <v>0.39829999999999999</v>
    <v>0.91</v>
    <v>9.0860000000000003E-3</v>
    <v>-0.31</v>
    <v>-3.0669999999999998E-3</v>
    <v>USD</v>
    <v>Arch Capital Group Ltd. is a Bermuda-based company, which provides insurance, reinsurance, and mortgage insurance through its subsidiaries. The insurance segment consists of the Company’s insurance underwriting units, which offer specialty product lines, including construction and national accounts; excess and surplus casualty; professional lines; programs; property, energy, marine and aviation; travel, accident and health; warranty and lender solutions, and others (consisting of alternative markets, excess workers' compensation and surety business). The reinsurance segment consists of its reinsurance underwriting units, which offer specialty product lines, including casualty; marine and aviation; other specialty; property catastrophe; property excluding property catastrophe, and others (consisting of life reinsurance and other). The mortgage segment includes its United States primary mortgage insurance business, investment and services related to United States credit-risk transfer.</v>
    <v>8000</v>
    <v>Nasdaq Stock Market</v>
    <v>XNAS</v>
    <v>XNAS</v>
    <v>WATERLOO HOUSE, GROUND FLOOR, 100 PITTS BAY ROAD, PEMBROKE, HM 08 BM</v>
    <v>101.89</v>
    <v>Insurance</v>
    <v>Stock</v>
    <v>46083.984875428127</v>
    <v>915</v>
    <v>99.91</v>
    <v>35957481498</v>
    <v>ARCH CAPITAL GROUP LTD.</v>
    <v>ARCH CAPITAL GROUP LTD.</v>
    <v>100.5</v>
    <v>8.6173000000000002</v>
    <v>100.15</v>
    <v>101.06</v>
    <v>100.75</v>
    <v>355803300</v>
    <v>ACGL</v>
    <v>ARCH CAPITAL GROUP LTD. (XNAS:ACGL)</v>
    <v>1338339</v>
    <v>1958247</v>
    <v>2000</v>
  </rv>
  <rv s="2">
    <v>916</v>
  </rv>
  <rv s="7">
    <fb>96.82</fb>
    <v>13</v>
  </rv>
  <rv s="7">
    <fb>100.13</fb>
    <v>13</v>
  </rv>
  <rv s="0">
    <v>https://www.bing.com/financeapi/forcetrigger?t=a24jvh&amp;q=XNAS%3aTSCO&amp;form=skydnc</v>
    <v>Learn more on Bing</v>
  </rv>
  <rv s="1">
    <v>0</v>
    <v>TRACTOR SUPPLY COMPANY (XNAS:TSCO)</v>
    <v>2</v>
    <v>3</v>
    <v>Finance</v>
    <v>4</v>
    <v>en-US</v>
    <v>a24jvh</v>
    <v>268435456</v>
    <v>1</v>
    <v>Powered by Refinitiv</v>
    <v>63.989899999999999</v>
    <v>46.8504</v>
    <v>0.72170000000000001</v>
    <v>0.44</v>
    <v>8.4880000000000008E-3</v>
    <v>0.22</v>
    <v>4.2079999999999999E-3</v>
    <v>USD</v>
    <v>Tractor Supply Company is a rural lifestyle retailer in the United States. The Company is focused on supplying the needs of recreational farmers and ranchers. It operates retail stores under the names Tractor Supply Company and Petsense by Tractor Supply. Its stores are located in towns outlying various metropolitan markets and in rural communities. It also offers an expanded assortment of products through the Tractor Supply mobile application and online at TractorSupply.com and Petsense.com. The Company's selection of merchandise consists of various product categories, including livestock, equine and agriculture; companion animal; seasonal and recreation; truck, tool, and hardware, and clothing, gift, and decor. Its brands consist of 4health, American Farmworks, Bit &amp; Bridle, Blue Mountain, C.E. Schmidt, Country Lane, Countyline, Country Tuff, Dumor, Farm Table, Groundwork, Huskee, and JobSmart.</v>
    <v>26000</v>
    <v>Nasdaq Stock Market</v>
    <v>XNAS</v>
    <v>XNAS</v>
    <v>5401 Virginia Way, BRENTWOOD, TN, 37027 US</v>
    <v>52.72</v>
    <v>Specialty Retailers</v>
    <v>Stock</v>
    <v>46083.925213680472</v>
    <v>920</v>
    <v>51.13</v>
    <v>27517645964</v>
    <v>TRACTOR SUPPLY COMPANY</v>
    <v>TRACTOR SUPPLY COMPANY</v>
    <v>51.76</v>
    <v>25.165800000000001</v>
    <v>51.84</v>
    <v>52.28</v>
    <v>52.5</v>
    <v>526351300</v>
    <v>TSCO</v>
    <v>TRACTOR SUPPLY COMPANY (XNAS:TSCO)</v>
    <v>7839328</v>
    <v>7482634</v>
    <v>1982</v>
  </rv>
  <rv s="2">
    <v>921</v>
  </rv>
  <rv s="7">
    <fb>53.47</fb>
    <v>13</v>
  </rv>
  <rv s="7">
    <fb>55.28</fb>
    <v>13</v>
  </rv>
  <rv s="0">
    <v>https://www.bing.com/financeapi/forcetrigger?t=a21rw7&amp;q=XNYS%3aRCL&amp;form=skydnc</v>
    <v>Learn more on Bing</v>
  </rv>
  <rv s="1">
    <v>0</v>
    <v>ROYAL CARIBBEAN CRUISES LTD. (XNYS:RCL)</v>
    <v>2</v>
    <v>3</v>
    <v>Finance</v>
    <v>4</v>
    <v>en-US</v>
    <v>a21rw7</v>
    <v>268435456</v>
    <v>1</v>
    <v>Powered by Refinitiv</v>
    <v>366.5</v>
    <v>164.01</v>
    <v>1.8754999999999999</v>
    <v>-10.119999999999999</v>
    <v>-3.2543999999999997E-2</v>
    <v>0.21</v>
    <v>6.9800000000000005E-4</v>
    <v>USD</v>
    <v>Royal Caribbean Cruises Ltd. is a cruise company, which owns and operates three global cruise brands: Royal Caribbean International, Celebrity Cruises and Silversea Cruises. It also has an interest in TUI Cruises GmbH, which operates the German brands TUI Cruises and Hapag-Lloyd Cruises. Its ships offer a selection of worldwide itineraries that call on approximately 1,000 destinations on all seven continents. Royal Caribbean International offers cruises and land destinations that generally feature a casual ambiance, as well as a variety of activities and entertainment venues. Celebrity Cruises offers a range of itineraries to destinations, including Alaska, Asia, Australia, Bermuda, Canada, the Caribbean, Europe, the Galapagos Islands, Hawaii, New Zealand, the Panama Canal and South America, with cruise lengths ranging from three to 14 nights. It also offers a range of private land destinations through Perfect Day at CocoCay, includes full water park, zip line course, and others.</v>
    <v>107950</v>
    <v>New York Stock Exchange</v>
    <v>XNYS</v>
    <v>XNYS</v>
    <v>1050 Caribbean Way, MIAMI, FL, 33132 US</v>
    <v>303.84500000000003</v>
    <v>Hotels &amp; Entertainment Services</v>
    <v>Stock</v>
    <v>46084.041625751561</v>
    <v>925</v>
    <v>285.61</v>
    <v>81385733772</v>
    <v>ROYAL CARIBBEAN CRUISES LTD.</v>
    <v>ROYAL CARIBBEAN CRUISES LTD.</v>
    <v>291.95</v>
    <v>19.890799999999999</v>
    <v>310.95999999999998</v>
    <v>300.83999999999997</v>
    <v>301.05</v>
    <v>270528300</v>
    <v>RCL</v>
    <v>ROYAL CARIBBEAN CRUISES LTD. (XNYS:RCL)</v>
    <v>4018539</v>
    <v>2531260</v>
    <v>1985</v>
  </rv>
  <rv s="2">
    <v>926</v>
  </rv>
  <rv s="7">
    <fb>326.29000000000002</fb>
    <v>13</v>
  </rv>
  <rv s="7">
    <fb>328.65</fb>
    <v>13</v>
  </rv>
  <rv s="0">
    <v>https://www.bing.com/financeapi/forcetrigger?t=a1rk52&amp;q=XNAS%3aEBAY&amp;form=skydnc</v>
    <v>Learn more on Bing</v>
  </rv>
  <rv s="1">
    <v>0</v>
    <v>EBAY INC. (XNAS:EBAY)</v>
    <v>2</v>
    <v>3</v>
    <v>Finance</v>
    <v>4</v>
    <v>en-US</v>
    <v>a1rk52</v>
    <v>268435456</v>
    <v>1</v>
    <v>Powered by Refinitiv</v>
    <v>101.15</v>
    <v>58.71</v>
    <v>1.3786</v>
    <v>-2.08</v>
    <v>-2.2892000000000003E-2</v>
    <v>-0.1749</v>
    <v>-1.97E-3</v>
    <v>USD</v>
    <v>eBay Inc. is a global commerce company. The Company's technology empowers buyers and sellers in more than 190 markets around the world. The Company's business includes its online marketplace located at www.ebay.com and its localized counterparts, its off-platform marketplaces and its suite of mobile apps. It provides a number of features for its sellers and buyers that align with its approach of leveraging technology, including generative AI, to enhance the marketplace experience for its customers. For sellers, the Company is focused on simplifying their business processes to help drive their sales. The Company offers the eBay International Shipping program for sellers in the United States. For buyers, it is changing the way they find inventory through discovery, personalization and other experiences. It launched Explore, an AI-powered shopping feed enabling users to browse a list of personalized recommendations based on their interests, style preferences, and sizes.</v>
    <v>12300</v>
    <v>Nasdaq Stock Market</v>
    <v>XNAS</v>
    <v>XNAS</v>
    <v>2025 Hamilton Avenue, SAN JOSE, CA, 95125 US</v>
    <v>90.53</v>
    <v>Software &amp; IT Services</v>
    <v>Stock</v>
    <v>46083.925212858594</v>
    <v>930</v>
    <v>88.46</v>
    <v>39773440000</v>
    <v>EBAY INC.</v>
    <v>EBAY INC.</v>
    <v>89.42</v>
    <v>21.276499999999999</v>
    <v>90.86</v>
    <v>88.78</v>
    <v>88.605099999999993</v>
    <v>448000000</v>
    <v>EBAY</v>
    <v>EBAY INC. (XNAS:EBAY)</v>
    <v>4401977</v>
    <v>6157530</v>
    <v>1998</v>
  </rv>
  <rv s="2">
    <v>931</v>
  </rv>
  <rv s="7">
    <fb>92.38</fb>
    <v>13</v>
  </rv>
  <rv s="7">
    <fb>85.84</fb>
    <v>13</v>
  </rv>
  <rv s="0">
    <v>https://www.bing.com/financeapi/forcetrigger?t=a1o1jc&amp;q=XNYS%3aAWK&amp;form=skydnc</v>
    <v>Learn more on Bing</v>
  </rv>
  <rv s="1">
    <v>0</v>
    <v>AMERICAN WATER WORKS COMPANY, INC. (XNYS:AWK)</v>
    <v>2</v>
    <v>3</v>
    <v>Finance</v>
    <v>4</v>
    <v>en-US</v>
    <v>a1o1jc</v>
    <v>268435456</v>
    <v>1</v>
    <v>Powered by Refinitiv</v>
    <v>155.5</v>
    <v>121.27500000000001</v>
    <v>0.7681</v>
    <v>-0.61499999999999999</v>
    <v>-4.5209999999999998E-3</v>
    <v>-2.63</v>
    <v>-1.9418000000000001E-2</v>
    <v>USD</v>
    <v>American Water Works Company, Inc. is a water and wastewater utility company. The Company's primary business involves the ownership of utilities that provide water and wastewater services to residential, commercial, industrial, public authority, fire service and sale for resale customers. It also operates other businesses that provide water and wastewater services to the United States government on military installations, as well as municipalities. The Company operates its business through the Regulated Businesses segment. The Regulated Businesses segment includes subsidiaries that provide water and wastewater services to customers in approximately 14 states. The Company's utilities operate in states such as Pennsylvania, Georgia, Hawaii, Indiana, Iowa, Kentucky, Maryland, Tennessee, Virginia and West Virginia. The Company also serves commercial customers, fire service customers, industrial customers, public authorities, other utilities and community water and wastewater systems.</v>
    <v>7000</v>
    <v>New York Stock Exchange</v>
    <v>XNYS</v>
    <v>XNYS</v>
    <v>1 Water Street, CAMDEN, NJ, 08102-1658 US</v>
    <v>137.27000000000001</v>
    <v>Water Utilities</v>
    <v>Stock</v>
    <v>46084.034649027344</v>
    <v>935</v>
    <v>135.09</v>
    <v>26434186110</v>
    <v>AMERICAN WATER WORKS COMPANY, INC.</v>
    <v>AMERICAN WATER WORKS COMPANY, INC.</v>
    <v>135.52000000000001</v>
    <v>23.767900000000001</v>
    <v>136.03</v>
    <v>135.41499999999999</v>
    <v>132.81</v>
    <v>195208700</v>
    <v>AWK</v>
    <v>AMERICAN WATER WORKS COMPANY, INC. (XNYS:AWK)</v>
    <v>1465411</v>
    <v>1892749</v>
    <v>1936</v>
  </rv>
  <rv s="2">
    <v>936</v>
  </rv>
  <rv s="7">
    <fb>125.89</fb>
    <v>13</v>
  </rv>
  <rv s="7">
    <fb>124.3</fb>
    <v>13</v>
  </rv>
  <rv s="0">
    <v>https://www.bing.com/financeapi/forcetrigger?t=a1s6ww&amp;q=XNYS%3aES&amp;form=skydnc</v>
    <v>Learn more on Bing</v>
  </rv>
  <rv s="1">
    <v>0</v>
    <v>Eversource Energy (XNYS:ES)</v>
    <v>2</v>
    <v>3</v>
    <v>Finance</v>
    <v>4</v>
    <v>en-US</v>
    <v>a1s6ww</v>
    <v>268435456</v>
    <v>1</v>
    <v>Powered by Refinitiv</v>
    <v>76.41</v>
    <v>52.28</v>
    <v>0.77129999999999999</v>
    <v>-1.81</v>
    <v>-2.375E-2</v>
    <v>0.43340000000000001</v>
    <v>5.8240000000000002E-3</v>
    <v>USD</v>
    <v>Eversource Energy is a utility holding company, which is engaged in the energy delivery business through its utility subsidiaries. Its segments include Electric Distribution, Electric Transmission, Natural Gas Distribution and Water Distribution. The Electric Distribution segment is engaged in the distribution of electricity to retail customers in Connecticut, Massachusetts and New Hampshire, respectively, and the solar power facilities of NSTAR Electric Company. The Electric Transmission segment owns and maintains transmission facilities that are part of an interstate power transmission grid over which electricity is transmitted throughout New England. The Natural Gas Distribution distributes natural gas to his customers in central and eastern Massachusetts. The Water Distribution segment provides water services to over 248,000 residential, commercial, industrial, municipal and fire protection and other customers, in 73 towns and cities in Connecticut, Massachusetts and New Hampshire.</v>
    <v>10731</v>
    <v>New York Stock Exchange</v>
    <v>XNYS</v>
    <v>XNYS</v>
    <v>300 Cadwell Dr, SPRINGFIELD, MA, 01104-1742 US</v>
    <v>76.209999999999994</v>
    <v>Electrical Utilities &amp; IPPs</v>
    <v>Stock</v>
    <v>46084.003363969532</v>
    <v>940</v>
    <v>74.25</v>
    <v>27936947040</v>
    <v>Eversource Energy</v>
    <v>Eversource Energy</v>
    <v>76.209999999999994</v>
    <v>16.7074</v>
    <v>76.209999999999994</v>
    <v>74.400000000000006</v>
    <v>74.853399999999993</v>
    <v>375496600</v>
    <v>ES</v>
    <v>Eversource Energy (XNYS:ES)</v>
    <v>2455092</v>
    <v>2882874</v>
    <v>1927</v>
  </rv>
  <rv s="2">
    <v>941</v>
  </rv>
  <rv s="7">
    <fb>68.540000000000006</fb>
    <v>13</v>
  </rv>
  <rv s="7">
    <fb>68.239999999999995</fb>
    <v>13</v>
  </rv>
  <rv s="0">
    <v>https://www.bing.com/financeapi/forcetrigger?t=a1rrh7&amp;q=XNYS%3aEFX&amp;form=skydnc</v>
    <v>Learn more on Bing</v>
  </rv>
  <rv s="1">
    <v>0</v>
    <v>EQUIFAX INC. (XNYS:EFX)</v>
    <v>2</v>
    <v>3</v>
    <v>Finance</v>
    <v>4</v>
    <v>en-US</v>
    <v>a1rrh7</v>
    <v>268435456</v>
    <v>1</v>
    <v>Powered by Refinitiv</v>
    <v>281.02999999999997</v>
    <v>166.02</v>
    <v>1.5495000000000001</v>
    <v>-0.88</v>
    <v>-4.2109999999999995E-3</v>
    <v>-0.99</v>
    <v>-4.7590000000000002E-3</v>
    <v>USD</v>
    <v>Equifax Inc. is a global data, analytics, and technology company. The Company is engaged in helping financial institutions, companies, employers, and government agencies make critical decisions. The Company’s Workforce Solutions segment provides services enabling customers to verify income, employment, educational history, criminal justice data, healthcare professional licensure and sanctions of people in the United States. The Company’s U.S. Information Solutions (USIS) segment provides consumer and commercial information solutions to businesses in the United States, including online information, decisioning technology solutions, identity management services, analytical services, e-commerce fraud and charge back protection services, portfolio management services, mortgage information and marketing services. The Company’s International segment provides products and services similar to those available in the USIS segment but with variations by geographic region.</v>
    <v>15000</v>
    <v>New York Stock Exchange</v>
    <v>XNYS</v>
    <v>XNYS</v>
    <v>1550 Peachtree St NW, ATLANTA, GA, 30309-2402 US</v>
    <v>210.89</v>
    <v>Professional &amp; Commercial Services</v>
    <v>Stock</v>
    <v>46084.030829617972</v>
    <v>945</v>
    <v>203</v>
    <v>25025781600</v>
    <v>EQUIFAX INC.</v>
    <v>EQUIFAX INC.</v>
    <v>204.29</v>
    <v>39.273000000000003</v>
    <v>208.96</v>
    <v>208.08</v>
    <v>207.04</v>
    <v>120270000</v>
    <v>EFX</v>
    <v>EQUIFAX INC. (XNYS:EFX)</v>
    <v>988793</v>
    <v>2189622</v>
    <v>1913</v>
  </rv>
  <rv s="2">
    <v>946</v>
  </rv>
  <rv s="7">
    <fb>175.05</fb>
    <v>13</v>
  </rv>
  <rv s="7">
    <fb>181.04</fb>
    <v>13</v>
  </rv>
  <rv s="0">
    <v>https://www.bing.com/financeapi/forcetrigger?t=a1uou2&amp;q=XNYS%3aHIG&amp;form=skydnc</v>
    <v>Learn more on Bing</v>
  </rv>
  <rv s="1">
    <v>0</v>
    <v>THE HARTFORD INSURANCE GROUP, INC. (XNYS:HIG)</v>
    <v>2</v>
    <v>3</v>
    <v>Finance</v>
    <v>10</v>
    <v>en-US</v>
    <v>a1uou2</v>
    <v>268435456</v>
    <v>1</v>
    <v>Powered by Refinitiv</v>
    <v>144.5</v>
    <v>107.485</v>
    <v>0.59709999999999996</v>
    <v>1.63</v>
    <v>1.1624000000000001E-2</v>
    <v>-0.01</v>
    <v>-7.0489999999999998E-5</v>
    <v>USD</v>
    <v>The Hartford Insurance Group, Inc., formerly The Hartford Financial Services Group, Inc., is a holding company. The Company's segments include Business Insurance, Personal Insurance, Property &amp; Casualty Other Operations, Employee Benefits and Hartford Funds. Business Insurance segment provides a variety of insurance products and risk management services in the United States and internationally. Personal Insurance segment provides automobile, homeowners and personal umbrella coverage to individuals across the United States. Property &amp; Casualty Other Operations segment includes certain property and casualty operations. The Employee Benefits segment provides employers and associations with group life, accident and disability coverage, along with other products and services, including voluntary benefits, and group retiree health. Hartford Funds segment offers investment products for retail and retirement accounts and provides investment management, distribution and administrative services.</v>
    <v>19200</v>
    <v>New York Stock Exchange</v>
    <v>XNYS</v>
    <v>XNYS</v>
    <v>One Hartford Plaza, Law-Ho-1-09, HARTFORD, CT, 06155 US</v>
    <v>142.44999999999999</v>
    <v>Insurance</v>
    <v>Stock</v>
    <v>46083.949924131251</v>
    <v>950</v>
    <v>139.12010000000001</v>
    <v>39133953552</v>
    <v>THE HARTFORD INSURANCE GROUP, INC.</v>
    <v>THE HARTFORD INSURANCE GROUP, INC.</v>
    <v>139.53</v>
    <v>10.508900000000001</v>
    <v>140.22999999999999</v>
    <v>141.86000000000001</v>
    <v>141.85</v>
    <v>275863200</v>
    <v>HIG</v>
    <v>THE HARTFORD INSURANCE GROUP, INC. (XNYS:HIG)</v>
    <v>1420050</v>
    <v>1707252</v>
    <v>1985</v>
  </rv>
  <rv s="2">
    <v>951</v>
  </rv>
  <rv s="7">
    <fb>138.44</fb>
    <v>13</v>
  </rv>
  <rv s="7">
    <fb>140.86000000000001</fb>
    <v>13</v>
  </rv>
  <rv s="0">
    <v>https://www.bing.com/financeapi/forcetrigger?t=a1wh7w&amp;q=XNYS%3aKEYS&amp;form=skydnc</v>
    <v>Learn more on Bing</v>
  </rv>
  <rv s="1">
    <v>0</v>
    <v>KEYSIGHT TECHNOLOGIES, INC. (XNYS:KEYS)</v>
    <v>2</v>
    <v>3</v>
    <v>Finance</v>
    <v>4</v>
    <v>en-US</v>
    <v>a1wh7w</v>
    <v>268435456</v>
    <v>1</v>
    <v>Powered by Refinitiv</v>
    <v>317</v>
    <v>121.43</v>
    <v>1.1255999999999999</v>
    <v>5.84</v>
    <v>1.9001999999999998E-2</v>
    <v>0</v>
    <v>0</v>
    <v>USD</v>
    <v>Keysight Technologies, Inc. specializes in the computing, communications and electronics market. Its portfolio of hardware, software, and services enables its customers’ engineering workflows as they design, manufacture, deploy, and optimize their products and solutions. Its segments include Communications Solutions Group (CSG) and Electronic Industrial Solutions Group (EISG). CSG solutions consist of electronic design and test software, instrumentation, systems, and related services, serving customers across the global commercial communications and aerospace, defense, and government end markets. EISG solutions consist of electronic design, test and simulation software, optical design and photonics simulation tools, instrumentation, systems, and related services, serving customers across a diverse set of end markets focused on automotive and energy, semiconductor solutions, and general electronics. Its product categories include oscilloscopes, and digital multimeters, among others.</v>
    <v>16800</v>
    <v>New York Stock Exchange</v>
    <v>XNYS</v>
    <v>XNYS</v>
    <v>1400 Fountaingrove Pkwy, SANTA ROSA, CA, 95403 US</v>
    <v>317</v>
    <v>Electronic Equipment &amp; Parts</v>
    <v>Stock</v>
    <v>46084.041531678122</v>
    <v>955</v>
    <v>302.83999999999997</v>
    <v>53714229426</v>
    <v>KEYSIGHT TECHNOLOGIES, INC.</v>
    <v>KEYSIGHT TECHNOLOGIES, INC.</v>
    <v>302.83999999999997</v>
    <v>54.197800000000001</v>
    <v>307.33</v>
    <v>313.17</v>
    <v>313.27</v>
    <v>171517800</v>
    <v>KEYS</v>
    <v>KEYSIGHT TECHNOLOGIES, INC. (XNYS:KEYS)</v>
    <v>1872797</v>
    <v>1647339</v>
    <v>2013</v>
  </rv>
  <rv s="2">
    <v>956</v>
  </rv>
  <rv s="7">
    <fb>227.16</fb>
    <v>13</v>
  </rv>
  <rv s="7">
    <fb>221.6</fb>
    <v>13</v>
  </rv>
  <rv s="0">
    <v>https://www.bing.com/financeapi/forcetrigger?t=a1p58m&amp;q=XNYS%3aCAH&amp;form=skydnc</v>
    <v>Learn more on Bing</v>
  </rv>
  <rv s="1">
    <v>0</v>
    <v>CARDINAL HEALTH, INC. (XNYS:CAH)</v>
    <v>2</v>
    <v>3</v>
    <v>Finance</v>
    <v>4</v>
    <v>en-US</v>
    <v>a1p58m</v>
    <v>268435456</v>
    <v>1</v>
    <v>Powered by Refinitiv</v>
    <v>233.6</v>
    <v>120.72</v>
    <v>0.65400000000000003</v>
    <v>0.62</v>
    <v>2.7050000000000004E-3</v>
    <v>0.99</v>
    <v>4.3070000000000001E-3</v>
    <v>USD</v>
    <v>Cardinal Health, Inc. is a global healthcare services and products company. The Company is engaged in providing customized solutions for hospitals, healthcare systems, pharmacies, ambulatory surgery centers, clinical laboratories, physician offices and patients in the home. The Company also provides pharmaceuticals and medical products. Its segments include Pharmaceutical and Specialty Solutions and Global Medical Products and Distribution (GMPD). The Pharmaceutical and Specialty Solutions segment distributes branded and generic pharmaceuticals, specialty pharmaceuticals and over-the-counter healthcare and consumer products in the United States, as well as it owns urology MSO. Its GMPD segment manufactures, sources and distributes Cardinal Health branded medical, surgical and laboratory products, which are sold in the United States, Canada, Europe, Asia and other markets. The Company connects patients, providers, payers, pharmacists and manufacturers for integrated care coordination.</v>
    <v>57700</v>
    <v>New York Stock Exchange</v>
    <v>XNYS</v>
    <v>XNYS</v>
    <v>7000 Cardinal Pl, DUBLIN, OH, 43017 US</v>
    <v>233.6</v>
    <v>Pharmaceuticals</v>
    <v>Stock</v>
    <v>46084.036707256251</v>
    <v>960</v>
    <v>228.08</v>
    <v>54087382600</v>
    <v>CARDINAL HEALTH, INC.</v>
    <v>CARDINAL HEALTH, INC.</v>
    <v>232.04</v>
    <v>32.969000000000001</v>
    <v>229.23</v>
    <v>229.85</v>
    <v>230.87</v>
    <v>235316000</v>
    <v>CAH</v>
    <v>CARDINAL HEALTH, INC. (XNYS:CAH)</v>
    <v>1751094</v>
    <v>1718667</v>
    <v>1979</v>
  </rv>
  <rv s="2">
    <v>961</v>
  </rv>
  <rv s="7">
    <fb>218</fb>
    <v>13</v>
  </rv>
  <rv s="7">
    <fb>206.85</fb>
    <v>13</v>
  </rv>
  <rv s="0">
    <v>https://www.bing.com/financeapi/forcetrigger?t=a1ufm7&amp;q=XNYS%3aHAL&amp;form=skydnc</v>
    <v>Learn more on Bing</v>
  </rv>
  <rv s="1">
    <v>0</v>
    <v>HALLIBURTON COMPANY (XNYS:HAL)</v>
    <v>2</v>
    <v>3</v>
    <v>Finance</v>
    <v>4</v>
    <v>en-US</v>
    <v>a1ufm7</v>
    <v>268435456</v>
    <v>1</v>
    <v>Powered by Refinitiv</v>
    <v>37.024999999999999</v>
    <v>18.72</v>
    <v>0.73670000000000002</v>
    <v>-0.04</v>
    <v>-1.111E-3</v>
    <v>-0.06</v>
    <v>-1.668E-3</v>
    <v>USD</v>
    <v>Halliburton Company is a provider of products and services to the energy industry. The Company operates through two segments: Completion and Production and the Drilling and Evaluation. The Completion and Production segment delivers cementing, stimulation, specialty chemicals, intervention, pressure control, artificial lift, and completion products and services. The segment consists of artificial lift, cementing, completion tools, pipeline and process services, production enhancement, and production solutions. The Drilling and Evaluation segment provides field and reservoir modeling, drilling fluids, evaluation and precise wellbore placement solutions that enable customers to model, measure, drill, and optimize their well construction activities. Its product service lines include Baroid, drill bits and services, Halliburton project management, landmark software and services, Sperry drilling, testing and subsea and wireline and perforating.</v>
    <v>46000</v>
    <v>New York Stock Exchange</v>
    <v>XNYS</v>
    <v>XNYS</v>
    <v>3000 North Sam Houston Parkway East, HOUSTON, TX, 77032 US</v>
    <v>37.024999999999999</v>
    <v>Oil &amp; Gas Related Equipment and Services</v>
    <v>Stock</v>
    <v>46084.039830682814</v>
    <v>965</v>
    <v>34.99</v>
    <v>30118236868</v>
    <v>HALLIBURTON COMPANY</v>
    <v>HALLIBURTON COMPANY</v>
    <v>37.024999999999999</v>
    <v>23.9346</v>
    <v>36</v>
    <v>35.96</v>
    <v>35.909999999999997</v>
    <v>837548300</v>
    <v>HAL</v>
    <v>HALLIBURTON COMPANY (XNYS:HAL)</v>
    <v>15554430</v>
    <v>12413159</v>
    <v>1996</v>
  </rv>
  <rv s="2">
    <v>966</v>
  </rv>
  <rv s="7">
    <fb>33.869999999999997</fb>
    <v>13</v>
  </rv>
  <rv s="7">
    <fb>34.340000000000003</fb>
    <v>13</v>
  </rv>
  <rv s="0">
    <v>https://www.bing.com/financeapi/forcetrigger?t=a26fim&amp;q=XNYS%3aZBH&amp;form=skydnc</v>
    <v>Learn more on Bing</v>
  </rv>
  <rv s="1">
    <v>0</v>
    <v>ZIMMER BIOMET HOLDINGS, INC. (XNYS:ZBH)</v>
    <v>2</v>
    <v>3</v>
    <v>Finance</v>
    <v>4</v>
    <v>en-US</v>
    <v>a26fim</v>
    <v>268435456</v>
    <v>1</v>
    <v>Powered by Refinitiv</v>
    <v>114.44</v>
    <v>84.59</v>
    <v>0.58919999999999995</v>
    <v>1.08</v>
    <v>1.0971E-2</v>
    <v>0.51</v>
    <v>5.1259999999999995E-3</v>
    <v>USD</v>
    <v>Zimmer Biomet Holdings, Inc. is a global medical technology company. It designs, manufactures and markets orthopedic reconstructive products; sports medicine, biologics, extremities and trauma products; CMFT; surgical products; and a suite of integrated digital and robotic technologies that leverage data, data analytics and artificial intelligence. Its segments include Americas, EMEA, and Asia Pacific. Its products and solutions help treat patients suffering from disorders of, or injuries to, bones, joints or supporting soft tissues. Its knee brands include the Persona Knee, NexGen Knee Implants, Vanguard Knee and Oxford Partial Knee. Its hip brands include the Taperloc Hip System, Avenir Complete Hip System, Arcos Modular Hip System and G7 Acetabular System. It also focused on a suite of orthopedic robotics, enabling solutions and analytics to address the needs of surgeons pre-, intra- and post-operatively. Its portfolio features imageless robotics through its ROSA Robotics platform.</v>
    <v>17000</v>
    <v>New York Stock Exchange</v>
    <v>XNYS</v>
    <v>XNYS</v>
    <v>345 E Main St, WARSAW, IN, 46580-2746 US</v>
    <v>99.72</v>
    <v>Healthcare Equipment &amp; Supplies</v>
    <v>Stock</v>
    <v>46083.953372568751</v>
    <v>970</v>
    <v>96.865700000000004</v>
    <v>19471287040</v>
    <v>ZIMMER BIOMET HOLDINGS, INC.</v>
    <v>ZIMMER BIOMET HOLDINGS, INC.</v>
    <v>97.35</v>
    <v>27.7639</v>
    <v>98.44</v>
    <v>99.52</v>
    <v>100</v>
    <v>195652000</v>
    <v>ZBH</v>
    <v>ZIMMER BIOMET HOLDINGS, INC. (XNYS:ZBH)</v>
    <v>2393645</v>
    <v>2275657</v>
    <v>2001</v>
  </rv>
  <rv s="2">
    <v>971</v>
  </rv>
  <rv s="7">
    <fb>86.18</fb>
    <v>13</v>
  </rv>
  <rv s="7">
    <fb>88.09</fb>
    <v>13</v>
  </rv>
  <rv s="0">
    <v>https://www.bing.com/financeapi/forcetrigger?t=a1y1w7&amp;q=XNYS%3aMTB&amp;form=skydnc</v>
    <v>Learn more on Bing</v>
  </rv>
  <rv s="1">
    <v>0</v>
    <v>M&amp;T BANK CORPORATION (XNYS:MTB)</v>
    <v>2</v>
    <v>3</v>
    <v>Finance</v>
    <v>10</v>
    <v>en-US</v>
    <v>a1y1w7</v>
    <v>268435456</v>
    <v>1</v>
    <v>Powered by Refinitiv</v>
    <v>239</v>
    <v>150.75</v>
    <v>0.58089999999999997</v>
    <v>4.0199999999999996</v>
    <v>1.8655999999999999E-2</v>
    <v>0</v>
    <v>0</v>
    <v>USD</v>
    <v>M&amp;T Bank Corporation is a financial holding company. The Company’s principal banking subsidiary, M&amp;T Bank, provides banking products and services with a branch and ATM network spanning the eastern United States from Maine to Virginia and Washington, D.C. Trust-related services are provided in select markets in the United States and abroad by its Wilmington Trust-affiliated companies and by M&amp;T Bank. Its segments include Commercial Bank, Retail Bank and Institutional Services and Wealth Management. The Commercial Bank segment provides a range of credit products and banking services to middle-market and large commercial customers, mainly within the markets served by the Company. The Retail Bank segment provides a wide range of services to consumers and small businesses through the Company’s branch network and several other delivery channels. The Institutional Services and Wealth Management segment provides a variety of trustee, agency, investment management and administrative services.</v>
    <v>21839</v>
    <v>New York Stock Exchange</v>
    <v>XNYS</v>
    <v>XNYS</v>
    <v>C/O Legal, One M&amp;T Plaza, BUFFALO, NY, 14203 US</v>
    <v>220.74</v>
    <v>Banking Services</v>
    <v>Stock</v>
    <v>46083.92519681641</v>
    <v>975</v>
    <v>211.99</v>
    <v>32705543900</v>
    <v>M&amp;T BANK CORPORATION</v>
    <v>M&amp;T BANK CORPORATION</v>
    <v>211.99</v>
    <v>12.636100000000001</v>
    <v>215.48</v>
    <v>219.5</v>
    <v>219.5</v>
    <v>149000200</v>
    <v>MTB</v>
    <v>M&amp;T BANK CORPORATION (XNYS:MTB)</v>
    <v>1160023</v>
    <v>1350189</v>
    <v>1969</v>
  </rv>
  <rv s="2">
    <v>976</v>
  </rv>
  <rv s="7">
    <fb>228.12</fb>
    <v>13</v>
  </rv>
  <rv s="7">
    <fb>232.26</fb>
    <v>13</v>
  </rv>
  <rv s="0">
    <v>https://www.bing.com/financeapi/forcetrigger?t=a1nlzr&amp;q=XNYS%3aAPO&amp;form=skydnc</v>
    <v>Learn more on Bing</v>
  </rv>
  <rv s="1">
    <v>0</v>
    <v>APOLLO GLOBAL MANAGEMENT, INC. (XNYS:APO)</v>
    <v>2</v>
    <v>3</v>
    <v>Finance</v>
    <v>4</v>
    <v>en-US</v>
    <v>a1nlzr</v>
    <v>268435456</v>
    <v>1</v>
    <v>Powered by Refinitiv</v>
    <v>157.28</v>
    <v>101.56</v>
    <v>1.6029</v>
    <v>1.835</v>
    <v>1.7543E-2</v>
    <v>-0.98</v>
    <v>-9.2059999999999989E-3</v>
    <v>USD</v>
    <v>Apollo Global Management, Inc. is a global alternative asset manager and a retirement services provider. It operates through three segments: Asset Management, Retirement Services and Principal Investing. The Asset Management segment focuses on three investing strategies: yield, hybrid, and equity. These strategies reflect the range of investment capabilities across its platform based on relative risk and return. The Retirement Services business is conducted by Athene Holding Ltd (Athene), a financial services company that specializes in issuing, reinsuring, and acquiring retirement savings products designed for the increasing number of individuals and institutions seeking to fund retirement needs. Athene product lines include annuities and funding agreements. The Principal Investing segment includes realized performance fee income, realized investment income from its balance sheet investments, and certain allocable expenses related to corporate functions supporting the entire company.</v>
    <v>6140</v>
    <v>New York Stock Exchange</v>
    <v>XNYS</v>
    <v>XNYS</v>
    <v>9 West 57Th Street, 42Nd Floor, NEW YORK, NY, 10019 US</v>
    <v>107.82</v>
    <v>Collective Investments</v>
    <v>Stock</v>
    <v>46084.025358008592</v>
    <v>980</v>
    <v>101.56</v>
    <v>61545751375</v>
    <v>APOLLO GLOBAL MANAGEMENT, INC.</v>
    <v>APOLLO GLOBAL MANAGEMENT, INC.</v>
    <v>102.5</v>
    <v>19.271599999999999</v>
    <v>104.6</v>
    <v>106.435</v>
    <v>105.47</v>
    <v>578247300</v>
    <v>APO</v>
    <v>APOLLO GLOBAL MANAGEMENT, INC. (XNYS:APO)</v>
    <v>7837638</v>
    <v>5925147</v>
    <v>2021</v>
  </rv>
  <rv s="2">
    <v>981</v>
  </rv>
  <rv s="7">
    <fb>126.85</fb>
    <v>13</v>
  </rv>
  <rv s="7">
    <fb>132.80000000000001</fb>
    <v>13</v>
  </rv>
  <rv s="0">
    <v>https://www.bing.com/financeapi/forcetrigger?t=a1qqbh&amp;q=XNYS%3aDAL&amp;form=skydnc</v>
    <v>Learn more on Bing</v>
  </rv>
  <rv s="1">
    <v>0</v>
    <v>DELTA AIR LINES, INC. (XNYS:DAL)</v>
    <v>2</v>
    <v>3</v>
    <v>Finance</v>
    <v>4</v>
    <v>en-US</v>
    <v>a1qqbh</v>
    <v>268435456</v>
    <v>1</v>
    <v>Powered by Refinitiv</v>
    <v>76.39</v>
    <v>34.734999999999999</v>
    <v>1.3361000000000001</v>
    <v>-1.47</v>
    <v>-2.2374000000000002E-2</v>
    <v>-0.15</v>
    <v>-2.3350000000000003E-3</v>
    <v>USD</v>
    <v>Delta Air Lines, Inc. provides scheduled air transportation for passengers and cargo throughout the United States and around the world. The Company has hubs and markets in Amsterdam, Atlanta, Bogota, Boston, Detroit, Lima, London-Heathrow, Los Angeles, Mexico City, Minneapolis-St. Paul, New York-JFK and LaGuardia, Paris-Charles de Gaulle, Salt Lake City, Santiago (Chile), Sao Paulo, Seattle, Seoul-Incheon, and Tokyo. Its segments include Airline and Refinery. Its airline segment is managed as a single business unit that provides scheduled air transportation for passengers and cargo throughout the United States and around the world and includes its loyalty program, as well as other ancillary businesses. Its refinery segment operates for the benefit of the airline segment by providing jet fuel to the airline segment from its own production and through jet fuel obtained through agreements with third parties. The refinery's production consists of jet fuel as well as non-jet fuel products.</v>
    <v>103000</v>
    <v>New York Stock Exchange</v>
    <v>XNYS</v>
    <v>XNYS</v>
    <v>1030 DELTA BLVD, HARTSFIELD ATLANTA INTL AIRPORT, ATLANTA, GA, 30354-1989 US</v>
    <v>64.8</v>
    <v>Passenger Transportation Services</v>
    <v>Stock</v>
    <v>46084.040745589846</v>
    <v>985</v>
    <v>61.6</v>
    <v>41950584861</v>
    <v>DELTA AIR LINES, INC.</v>
    <v>DELTA AIR LINES, INC.</v>
    <v>62.93</v>
    <v>8.5802999999999994</v>
    <v>65.7</v>
    <v>64.23</v>
    <v>64.099999999999994</v>
    <v>653130700</v>
    <v>DAL</v>
    <v>DELTA AIR LINES, INC. (XNYS:DAL)</v>
    <v>11727964</v>
    <v>8276834</v>
    <v>1967</v>
  </rv>
  <rv s="2">
    <v>986</v>
  </rv>
  <rv s="7">
    <fb>70.44</fb>
    <v>13</v>
  </rv>
  <rv s="7">
    <fb>70.86</fb>
    <v>13</v>
  </rv>
  <rv s="0">
    <v>https://www.bing.com/financeapi/forcetrigger?t=a1sx7w&amp;q=XNAS%3aFITB&amp;form=skydnc</v>
    <v>Learn more on Bing</v>
  </rv>
  <rv s="1">
    <v>0</v>
    <v>FIFTH THIRD BANCORP (XNAS:FITB)</v>
    <v>2</v>
    <v>3</v>
    <v>Finance</v>
    <v>4</v>
    <v>en-US</v>
    <v>a1sx7w</v>
    <v>268435456</v>
    <v>1</v>
    <v>Powered by Refinitiv</v>
    <v>55.438800000000001</v>
    <v>32.25</v>
    <v>0.97860000000000003</v>
    <v>0.37</v>
    <v>7.4790000000000004E-3</v>
    <v>0.11</v>
    <v>2.2070000000000002E-3</v>
    <v>USD</v>
    <v>Fifth Third Bancorp is a diversified financial services company and is the indirect holding company of Fifth Third Bank, National Association (the Bank). Its Commercial Banking segment offers credit intermediation, cash management and financial services to large and middle-market businesses and government and professional customers. Its Consumer and Small Business Banking segment provides a full range of deposit and loan products to individuals and small businesses through a network of full-service banking centers and relationships with indirect and correspondent loan originators, in addition to providing products designed to meet the specific needs of small businesses, including cash management services. Its Wealth and Asset Management segment provides a full range of wealth management solutions for individuals, companies and not-for-profit organizations, including wealth planning, investment management, banking, insurance, trust and estate services.</v>
    <v>18676</v>
    <v>Nasdaq Stock Market</v>
    <v>XNAS</v>
    <v>XNAS</v>
    <v>38 Fountain Sq Plz, Fifth Third Center, CINCINNATI, OH, 45263 US</v>
    <v>50.37</v>
    <v>Banking Services</v>
    <v>Stock</v>
    <v>46083.937929015628</v>
    <v>990</v>
    <v>48.459600000000002</v>
    <v>44946658960</v>
    <v>FIFTH THIRD BANCORP</v>
    <v>FIFTH THIRD BANCORP</v>
    <v>49.02</v>
    <v>14.014200000000001</v>
    <v>49.47</v>
    <v>49.84</v>
    <v>49.95</v>
    <v>901819000</v>
    <v>FITB</v>
    <v>FIFTH THIRD BANCORP (XNAS:FITB)</v>
    <v>9607051</v>
    <v>15763817</v>
    <v>1974</v>
  </rv>
  <rv s="2">
    <v>991</v>
  </rv>
  <rv s="7">
    <fb>52.75</fb>
    <v>13</v>
  </rv>
  <rv s="7">
    <fb>54.09</fb>
    <v>13</v>
  </rv>
  <rv s="0">
    <v>https://www.bing.com/financeapi/forcetrigger?t=a21wsm&amp;q=XNYS%3aRF&amp;form=skydnc</v>
    <v>Learn more on Bing</v>
  </rv>
  <rv s="1">
    <v>0</v>
    <v>REGIONS FINANCIAL CORPORATION (XNYS:RF)</v>
    <v>2</v>
    <v>3</v>
    <v>Finance</v>
    <v>4</v>
    <v>en-US</v>
    <v>a21wsm</v>
    <v>268435456</v>
    <v>1</v>
    <v>Powered by Refinitiv</v>
    <v>31.53</v>
    <v>17.739999999999998</v>
    <v>1.0295000000000001</v>
    <v>0.38500000000000001</v>
    <v>1.3967E-2</v>
    <v>-0.01</v>
    <v>-3.5749999999999996E-4</v>
    <v>USD</v>
    <v>Regions Financial Corporation is a full-service provider of consumer and commercial banking, wealth management, and mortgage products and services. It serves customers across the South, Midwest and Texas, and through its subsidiary, Regions Bank, operates approximately 1,250 banking offices and more than 2,000 ATMs. Its segments include Corporate Bank, Consumer Bank and Wealth Management. The Corporate Bank segment represents its commercial banking functions, including commercial and industrial, commercial real estate and investor real estate lending. The Consumer Bank segment represents its branch network, including consumer banking products and services related to residential first mortgages, home equity lines and loans, consumer credit cards and other consumer loans, as well as the corresponding deposit relationships. The Wealth Management segment offers credit-related products, trust and investment management, asset management, retirement and savings solutions and estate planning.</v>
    <v>19969</v>
    <v>New York Stock Exchange</v>
    <v>XNYS</v>
    <v>XNYS</v>
    <v>1900 Fifth Avenue North, BIRMINGHAM, AL, 35203 US</v>
    <v>28.2</v>
    <v>Banking Services</v>
    <v>Stock</v>
    <v>46084.02594446719</v>
    <v>995</v>
    <v>27.06</v>
    <v>24135012265</v>
    <v>REGIONS FINANCIAL CORPORATION</v>
    <v>REGIONS FINANCIAL CORPORATION</v>
    <v>27.06</v>
    <v>11.9758</v>
    <v>27.565000000000001</v>
    <v>27.95</v>
    <v>27.96</v>
    <v>863506700</v>
    <v>RF</v>
    <v>REGIONS FINANCIAL CORPORATION (XNYS:RF)</v>
    <v>13054963</v>
    <v>14419950</v>
    <v>2004</v>
  </rv>
  <rv s="2">
    <v>996</v>
  </rv>
  <rv s="7">
    <fb>29.83</fb>
    <v>13</v>
  </rv>
  <rv s="7">
    <fb>30.44</fb>
    <v>13</v>
  </rv>
  <rv s="0">
    <v>https://www.bing.com/financeapi/forcetrigger?t=a25xgh&amp;q=XNAS%3aWTW&amp;form=skydnc</v>
    <v>Learn more on Bing</v>
  </rv>
  <rv s="1">
    <v>0</v>
    <v>Willis Towers Watson Public Limited Company (XNAS:WTW)</v>
    <v>2</v>
    <v>3</v>
    <v>Finance</v>
    <v>10</v>
    <v>en-US</v>
    <v>a25xgh</v>
    <v>268435456</v>
    <v>1</v>
    <v>Powered by Refinitiv</v>
    <v>352.78500000000003</v>
    <v>275.60000000000002</v>
    <v>0.62470000000000003</v>
    <v>-1.05</v>
    <v>-3.441E-3</v>
    <v>0</v>
    <v>0</v>
    <v>USD</v>
    <v>Willis Towers Watson Public Limited Company is a global advisory, broking and solutions company that provides data-driven, insight-led solutions in the areas of people, risk and capital. The Company’s segments include Health, Wealth &amp; Career (HWC), Risk &amp; Broking (R&amp;B), and Corporate. The HWC segment provides an array of advice, broking, solutions and technology for employee benefit plans, institutional investors, compensation and career programs, and employee experience overall. Its portfolio of services supports the interrelated challenges that the management teams of its clients face across human resources and finance. It focuses on four key areas: Health, Wealth, Career and Benefits Delivery &amp; Outsourcing. The R&amp;B segment provides a range of risk advice, insurance brokerage and consulting services to clients ranging from small businesses to multinational corporations. Its R&amp;B segment includes two businesses: Corporate Risk &amp; Broking and Insurance Consulting and Technology.</v>
    <v>47000</v>
    <v>Nasdaq Stock Market</v>
    <v>XNAS</v>
    <v>XNAS</v>
    <v>51 Lime Street, LONDON, EC3M 7DQ GB</v>
    <v>307.24</v>
    <v>Insurance</v>
    <v>Stock</v>
    <v>46083.982792626564</v>
    <v>1000</v>
    <v>302.55</v>
    <v>28753299108</v>
    <v>Willis Towers Watson Public Limited Company</v>
    <v>Willis Towers Watson Public Limited Company</v>
    <v>305.10000000000002</v>
    <v>18.613600000000002</v>
    <v>305.17</v>
    <v>304.12</v>
    <v>304.12</v>
    <v>94545900</v>
    <v>WTW</v>
    <v>Willis Towers Watson Public Limited Company (XNAS:WTW)</v>
    <v>785175</v>
    <v>1147430</v>
    <v>2009</v>
  </rv>
  <rv s="2">
    <v>1001</v>
  </rv>
  <rv s="7">
    <fb>335.1</fb>
    <v>13</v>
  </rv>
  <rv s="7">
    <fb>339.74</fb>
    <v>13</v>
  </rv>
  <rv s="0">
    <v>https://www.bing.com/financeapi/forcetrigger?t=a23r27&amp;q=XNYS%3aSTT&amp;form=skydnc</v>
    <v>Learn more on Bing</v>
  </rv>
  <rv s="1">
    <v>0</v>
    <v>STATE STREET CORPORATION (XNYS:STT)</v>
    <v>2</v>
    <v>3</v>
    <v>Finance</v>
    <v>4</v>
    <v>en-US</v>
    <v>a23r27</v>
    <v>268435456</v>
    <v>1</v>
    <v>Powered by Refinitiv</v>
    <v>137.04990000000001</v>
    <v>72.81</v>
    <v>1.4433</v>
    <v>0.81</v>
    <v>6.2980000000000006E-3</v>
    <v>-1.46</v>
    <v>-1.1278E-2</v>
    <v>USD</v>
    <v>State Street Corporation is a financial holding company. The Company, through its subsidiary, State Street Bank and Trust Company (State Street Bank), provides a range of financial products and services to institutional investors. It operates through two lines of business: Investment Servicing and Investment Management. Its Investment Servicing line of business provides a range of services and market and financing solutions to institutional clients, including mutual funds, collective investment funds and other investment pools, corporate and public retirement plans, insurance companies, investment managers, foundations and endowments worldwide. Through State Street Investment Services, State Street Markets and State Street Alpha, it offers a range of solutions, including transaction management, derivatives, collateral services, and others. Investment Management line of business provides a range of investment management solutions and products through State Street Investment Management.</v>
    <v>51503</v>
    <v>New York Stock Exchange</v>
    <v>XNYS</v>
    <v>XNYS</v>
    <v>1 Congress Street, Suite 1, BOSTON, MA, 02114 US</v>
    <v>130.13</v>
    <v>Investment Banking &amp; Investment Services</v>
    <v>Stock</v>
    <v>46084.013001515625</v>
    <v>1005</v>
    <v>125.22</v>
    <v>36075790926</v>
    <v>STATE STREET CORPORATION</v>
    <v>STATE STREET CORPORATION</v>
    <v>125.7</v>
    <v>13.6114</v>
    <v>128.62</v>
    <v>129.43</v>
    <v>128</v>
    <v>278728200</v>
    <v>STT</v>
    <v>STATE STREET CORPORATION (XNYS:STT)</v>
    <v>2135761</v>
    <v>1946703</v>
    <v>1969</v>
  </rv>
  <rv s="2">
    <v>1006</v>
  </rv>
  <rv s="7">
    <fb>130.09</fb>
    <v>13</v>
  </rv>
  <rv s="7">
    <fb>132.03</fb>
    <v>13</v>
  </rv>
  <rv s="0">
    <v>https://www.bing.com/financeapi/forcetrigger?t=a25f6h&amp;q=XNYS%3aVMC&amp;form=skydnc</v>
    <v>Learn more on Bing</v>
  </rv>
  <rv s="1">
    <v>0</v>
    <v>VULCAN MATERIALS COMPANY (XNYS:VMC)</v>
    <v>2</v>
    <v>3</v>
    <v>Finance</v>
    <v>10</v>
    <v>en-US</v>
    <v>a25f6h</v>
    <v>268435456</v>
    <v>1</v>
    <v>Powered by Refinitiv</v>
    <v>331.09</v>
    <v>215.08</v>
    <v>1.0484</v>
    <v>-3.8</v>
    <v>-1.2258E-2</v>
    <v>-1.04</v>
    <v>-3.3960000000000001E-3</v>
    <v>USD</v>
    <v>Vulcan Materials Company is a supplier of construction aggregates and producer of aggregates-based construction materials. The Company’s segments include Aggregates, Asphalt and Concrete. The Aggregates segment produces and sells aggregates, such as crushed stone, sand and gravel, sand, and other aggregates and related products and services. This segment also includes a production stage and leased calcium operation located in Brooksville, Florida. This limestone quarry produces a supplement for end-use products such as animal feed and plastics. The Asphalt segment produces and sells asphalt mix in Alabama, Arizona, California, New Mexico, Tennessee and Texas and provides asphalt construction paving services in Alabama, Tennessee and Texas. The Concrete segment produces and sells ready-mixed concrete in California, Maryland and Virginia. The Company provides the basic materials for the infrastructure delivered by trucks, ships, barges, and trains.</v>
    <v>11172</v>
    <v>New York Stock Exchange</v>
    <v>XNYS</v>
    <v>XNYS</v>
    <v>1200 Urban Center Drive, BIRMINGHAM, AL, 35242 US</v>
    <v>308.51</v>
    <v>Construction Materials</v>
    <v>Stock</v>
    <v>46083.932257128909</v>
    <v>1010</v>
    <v>301.66000000000003</v>
    <v>39983718480</v>
    <v>VULCAN MATERIALS COMPANY</v>
    <v>VULCAN MATERIALS COMPANY</v>
    <v>306.85000000000002</v>
    <v>38.054499999999997</v>
    <v>310</v>
    <v>306.2</v>
    <v>305.16000000000003</v>
    <v>130580400</v>
    <v>VMC</v>
    <v>VULCAN MATERIALS COMPANY (XNYS:VMC)</v>
    <v>1162059</v>
    <v>1205128</v>
    <v>2007</v>
  </rv>
  <rv s="2">
    <v>1011</v>
  </rv>
  <rv s="7">
    <fb>311.01</fb>
    <v>13</v>
  </rv>
  <rv s="7">
    <fb>311.49</fb>
    <v>13</v>
  </rv>
  <rv s="0">
    <v>https://www.bing.com/financeapi/forcetrigger?t=a214h7&amp;q=XNYS%3aPPG&amp;form=skydnc</v>
    <v>Learn more on Bing</v>
  </rv>
  <rv s="1">
    <v>0</v>
    <v>PPG INDUSTRIES, INC. (XNYS:PPG)</v>
    <v>2</v>
    <v>3</v>
    <v>Finance</v>
    <v>4</v>
    <v>en-US</v>
    <v>a214h7</v>
    <v>268435456</v>
    <v>1</v>
    <v>Powered by Refinitiv</v>
    <v>133.43</v>
    <v>90.24</v>
    <v>1.1451</v>
    <v>-4.0549999999999997</v>
    <v>-3.2895000000000001E-2</v>
    <v>0</v>
    <v>0</v>
    <v>USD</v>
    <v>PPG Industries, Inc. manufactures and distributes a broad range of paints, coatings and specialty products. Its segments include Global Architectural Coatings, Performance Coatings and Industrial Coatings. The Global Architectural Coatings segment consists of architectural coatings EMEA and architectural coatings Latin America and Asia Pacific operating segments. This segment primarily supplies paints, wood stains, adhesives, sealants and purchased sundries. The Performance Coatings segment consists of automotive refinish coatings, aerospace coatings, protective and marine coatings and traffic solutions operating segments. This segment primarily supplies a variety of coatings, solvents, adhesives, sealants, foams and finishes, along with pavement marking products, transparencies and paint films. The Industrial Coatings segment supplies a variety of protective and decorative coatings and finishes along with adhesives, sealants, metal pretreatment products, and other specialty products.</v>
    <v>43500</v>
    <v>New York Stock Exchange</v>
    <v>XNYS</v>
    <v>XNYS</v>
    <v>One Ppg Pl 40 East, PITTSBURGH, PA, 15272 US</v>
    <v>120.87</v>
    <v>Chemicals</v>
    <v>Stock</v>
    <v>46083.925197557815</v>
    <v>1015</v>
    <v>116.73</v>
    <v>26643920660</v>
    <v>PPG INDUSTRIES, INC.</v>
    <v>PPG INDUSTRIES, INC.</v>
    <v>119</v>
    <v>17.239599999999999</v>
    <v>123.27</v>
    <v>119.215</v>
    <v>119.2</v>
    <v>223494700</v>
    <v>PPG</v>
    <v>PPG INDUSTRIES, INC. (XNYS:PPG)</v>
    <v>2310846</v>
    <v>2290806</v>
    <v>1883</v>
  </rv>
  <rv s="2">
    <v>1016</v>
  </rv>
  <rv s="7">
    <fb>119.52</fb>
    <v>13</v>
  </rv>
  <rv s="7">
    <fb>125.95</fb>
    <v>13</v>
  </rv>
  <rv s="0">
    <v>https://www.bing.com/financeapi/forcetrigger?t=a1ru6h&amp;q=XNYS%3aEIX&amp;form=skydnc</v>
    <v>Learn more on Bing</v>
  </rv>
  <rv s="1">
    <v>0</v>
    <v>EDISON INTERNATIONAL (XNYS:EIX)</v>
    <v>2</v>
    <v>3</v>
    <v>Finance</v>
    <v>4</v>
    <v>en-US</v>
    <v>a1ru6h</v>
    <v>268435456</v>
    <v>1</v>
    <v>Powered by Refinitiv</v>
    <v>75.5</v>
    <v>47.73</v>
    <v>0.79220000000000002</v>
    <v>-0.35</v>
    <v>-4.6829999999999997E-3</v>
    <v>0.1</v>
    <v>1.3439999999999999E-3</v>
    <v>USD</v>
    <v>Edison International is an electric utility holding company. The Company is focused on providing clean and reliable energy and energy services through its independent companies. It is the parent holding company of Southern California Edison Company (SCE) and Trio. SCE is a public utility primarily engaged in the business of supplying and delivering electricity to an approximately 50,000 square mile area across Southern, Central and Coastal California. Trio is a global energy advisory firm providing integrated sustainability and energy advisory services to large commercial, industrial and institutional organizations in North America and Europe. Trio provides integrated strategy and implementation solutions in sustainability, renewables, energy procurement, conventional supply, energy optimization and transportation electrification.</v>
    <v>13725</v>
    <v>New York Stock Exchange</v>
    <v>XNYS</v>
    <v>XNYS</v>
    <v>2244 Walnut Grove Ave, P O Box 800, ROSEMEAD, CA, 91770 US</v>
    <v>74.739999999999995</v>
    <v>Electrical Utilities &amp; IPPs</v>
    <v>Stock</v>
    <v>46084.03092391172</v>
    <v>1020</v>
    <v>73.69</v>
    <v>28624595051</v>
    <v>EDISON INTERNATIONAL</v>
    <v>EDISON INTERNATIONAL</v>
    <v>74.540000000000006</v>
    <v>9.7822999999999993</v>
    <v>74.739999999999995</v>
    <v>74.39</v>
    <v>74.52</v>
    <v>384790900</v>
    <v>EIX</v>
    <v>EDISON INTERNATIONAL (XNYS:EIX)</v>
    <v>3297366</v>
    <v>3377210</v>
    <v>1987</v>
  </rv>
  <rv s="2">
    <v>1021</v>
  </rv>
  <rv s="7">
    <fb>61.48</fb>
    <v>13</v>
  </rv>
  <rv s="7">
    <fb>63.46</fb>
    <v>13</v>
  </rv>
  <rv s="0">
    <v>https://www.bing.com/financeapi/forcetrigger?t=a1vrec&amp;q=XNYS%3aIRM&amp;form=skydnc</v>
    <v>Learn more on Bing</v>
  </rv>
  <rv s="1">
    <v>0</v>
    <v>IRON MOUNTAIN INCORPORATED (XNYS:IRM)</v>
    <v>2</v>
    <v>3</v>
    <v>Finance</v>
    <v>4</v>
    <v>en-US</v>
    <v>a1vrec</v>
    <v>268435456</v>
    <v>1</v>
    <v>Powered by Refinitiv</v>
    <v>115.24</v>
    <v>72.33</v>
    <v>1.1486000000000001</v>
    <v>1.99</v>
    <v>1.8370000000000001E-2</v>
    <v>-0.83</v>
    <v>-7.5229999999999993E-3</v>
    <v>USD</v>
    <v>Iron Mountain Incorporated is a provider of information management services. The Company offers a range of services across digital transformation, information security, data center and asset lifecycle management (ALM) needs. The Company helps businesses to unlock value and intelligence from their stored digital and physical assets. It serves to protect its customers’ work. The Company operates through two segments: Global Records and Information Management (Global RIM) Business and Global Data Center Business. The Global RIM Business segment offers various offerings, including records management, data management, global digital solutions, secure shredding, entertainment services, and consumer storage. Its Global Data Center Business segment provides data center facilities and capacity to protect mission-critical assets and ensure the continued operation of its customers’ information technology (IT) infrastructure with flexible data center options.</v>
    <v>29400</v>
    <v>New York Stock Exchange</v>
    <v>XNYS</v>
    <v>XNYS</v>
    <v>85 New Hampshire Avenue, Suite 150, Pease International Tradeport, PORTSMOUTH, NH, 03801 US</v>
    <v>110.84</v>
    <v>Residential &amp; Commercial REIT</v>
    <v>Stock</v>
    <v>46084.033390890625</v>
    <v>1025</v>
    <v>106.59</v>
    <v>32636539263</v>
    <v>IRON MOUNTAIN INCORPORATED</v>
    <v>IRON MOUNTAIN INCORPORATED</v>
    <v>107.27</v>
    <v>223.9982</v>
    <v>108.33</v>
    <v>110.32</v>
    <v>109.5</v>
    <v>295835200</v>
    <v>IRM</v>
    <v>IRON MOUNTAIN INCORPORATED (XNYS:IRM)</v>
    <v>1767395</v>
    <v>2178709</v>
    <v>2014</v>
  </rv>
  <rv s="2">
    <v>1026</v>
  </rv>
  <rv s="7">
    <fb>88.61</fb>
    <v>13</v>
  </rv>
  <rv s="7">
    <fb>90.07</fb>
    <v>13</v>
  </rv>
  <rv s="0">
    <v>https://www.bing.com/financeapi/forcetrigger?t=a1squ2&amp;q=XNYS%3aFE&amp;form=skydnc</v>
    <v>Learn more on Bing</v>
  </rv>
  <rv s="1">
    <v>0</v>
    <v>FIRSTENERGY CORP. (XNYS:FE)</v>
    <v>2</v>
    <v>3</v>
    <v>Finance</v>
    <v>10</v>
    <v>en-US</v>
    <v>a1squ2</v>
    <v>268435456</v>
    <v>1</v>
    <v>Powered by Refinitiv</v>
    <v>51.39</v>
    <v>37.58</v>
    <v>0.60589999999999999</v>
    <v>-0.18</v>
    <v>-3.5179999999999999E-3</v>
    <v>-0.03</v>
    <v>-5.8850000000000005E-4</v>
    <v>USD</v>
    <v>FirstEnergy Corp. and its subsidiaries are involved in the transmission, distribution, and generation of electricity through its segments: Distribution, Integrated and Stand-Alone Transmission. The Distribution Segment, which consists of the Ohio Companies and FirstEnergy Pennsylvania Electric Company (FE PA), distributes electricity in Ohio and Pennsylvania. The Integrated segment includes the distribution and transmission operations under Jersey Central Power &amp; Light Company (JCP&amp;L), Monongahela Power Company (MP) and The Potomac Edison Company (PE), as well as MP's regulated generation operations. The segment distributes electricity in New Jersey, West Virginia and Maryland, provides transmission infrastructure, and operates 3,604 MWs of regulated net maximum generation capacity. The Stand-Alone Transmission segment consists of its ownership in FET and KATCo, which includes transmission infrastructure owned and operated by the Transmission Companies and used to transmit electricity.</v>
    <v>11186</v>
    <v>New York Stock Exchange</v>
    <v>XNYS</v>
    <v>XNYS</v>
    <v>341 White Pond Drive, AKRON, OH, 44320 US</v>
    <v>51.39</v>
    <v>Electrical Utilities &amp; IPPs</v>
    <v>Stock</v>
    <v>46083.937158622655</v>
    <v>1030</v>
    <v>50.87</v>
    <v>29463019242</v>
    <v>FIRSTENERGY CORP.</v>
    <v>FIRSTENERGY CORP.</v>
    <v>51</v>
    <v>28.992899999999999</v>
    <v>51.16</v>
    <v>50.98</v>
    <v>50.95</v>
    <v>577932900</v>
    <v>FE</v>
    <v>FIRSTENERGY CORP. (XNYS:FE)</v>
    <v>3391420</v>
    <v>5163361</v>
    <v>1996</v>
  </rv>
  <rv s="2">
    <v>1031</v>
  </rv>
  <rv s="7">
    <fb>46.89</fb>
    <v>13</v>
  </rv>
  <rv s="7">
    <fb>46.4</fb>
    <v>13</v>
  </rv>
  <rv s="0">
    <v>https://www.bing.com/financeapi/forcetrigger?t=a1ossm&amp;q=XNYS%3aBR&amp;form=skydnc</v>
    <v>Learn more on Bing</v>
  </rv>
  <rv s="1">
    <v>0</v>
    <v>BROADRIDGE FINANCIAL SOLUTIONS, INC. (XNYS:BR)</v>
    <v>2</v>
    <v>3</v>
    <v>Finance</v>
    <v>4</v>
    <v>en-US</v>
    <v>a1ossm</v>
    <v>268435456</v>
    <v>1</v>
    <v>Powered by Refinitiv</v>
    <v>271.91000000000003</v>
    <v>163.71</v>
    <v>0.98780000000000001</v>
    <v>0.7</v>
    <v>3.7659999999999998E-3</v>
    <v>0.36</v>
    <v>1.9300000000000001E-3</v>
    <v>USD</v>
    <v>Broadridge Financial Solutions, Inc. is a global financial technology company. It delivers technology-driven solutions to banks, broker-dealers, and asset and wealth managers. Its segments include Investor Communication Solutions (ICS) and Global Technology and Operations. Its ICS segment provides Regulatory Solutions, Data-Driven Fund Solutions, Corporate Issuer Solutions, and Customer Communications Solutions. ICS business involves the processing and distribution of proxy materials to investors in equity securities and mutual funds, and the facilitation of related vote processing. The Global Technology and Operations business offers mission-critical, scale infrastructure to the global financial markets. Its component-based platform automates the front-to-back transaction lifecycle of equity, mutual fund, fixed income, and foreign exchange and exchange-traded derivatives. It also specializes in participant onboarding, engagement, and analytics solutions for the retirement industry.</v>
    <v>15000</v>
    <v>New York Stock Exchange</v>
    <v>XNYS</v>
    <v>XNYS</v>
    <v>5 Dakota Drive, LAKE SUCCESS, NY, 11042 US</v>
    <v>187.80500000000001</v>
    <v>Professional &amp; Commercial Services</v>
    <v>Stock</v>
    <v>46084.007430439066</v>
    <v>1035</v>
    <v>182.61</v>
    <v>21781804959</v>
    <v>BROADRIDGE FINANCIAL SOLUTIONS, INC.</v>
    <v>BROADRIDGE FINANCIAL SOLUTIONS, INC.</v>
    <v>182.61</v>
    <v>20.573799999999999</v>
    <v>185.87</v>
    <v>186.57</v>
    <v>186.86</v>
    <v>116748700</v>
    <v>BR</v>
    <v>BROADRIDGE FINANCIAL SOLUTIONS, INC. (XNYS:BR)</v>
    <v>946281</v>
    <v>1560367</v>
    <v>2006</v>
  </rv>
  <rv s="2">
    <v>1036</v>
  </rv>
  <rv s="7">
    <fb>185.95</fb>
    <v>13</v>
  </rv>
  <rv s="7">
    <fb>190.12</fb>
    <v>13</v>
  </rv>
  <rv s="0">
    <v>https://www.bing.com/financeapi/forcetrigger?t=a1u4zr&amp;q=XNYS%3aGPN&amp;form=skydnc</v>
    <v>Learn more on Bing</v>
  </rv>
  <rv s="1">
    <v>0</v>
    <v>GLOBAL PAYMENTS INC. (XNYS:GPN)</v>
    <v>2</v>
    <v>3</v>
    <v>Finance</v>
    <v>10</v>
    <v>en-US</v>
    <v>a1u4zr</v>
    <v>268435456</v>
    <v>1</v>
    <v>Powered by Refinitiv</v>
    <v>106.07</v>
    <v>65.930000000000007</v>
    <v>0.73360000000000003</v>
    <v>1.43</v>
    <v>1.8703000000000001E-2</v>
    <v>-1.01</v>
    <v>-1.2966999999999999E-2</v>
    <v>USD</v>
    <v>Global Payments Inc. is a payments technology company delivering software and services to its customers globally. Through its Merchant Solutions segment, the Company provides payments technology and software solutions globally to primarily small- and-medium sized businesses and select mid-market and enterprise customers. Its payment technology solutions are similar around the world in that it enables its customers to accept card, check and digital-based payments. Its comprehensive offerings include authorization, settlement and funding services, customer support, chargeback resolution, reconciliation and dispute management services, terminal rental, sales and deployment, payment security services, consolidated billing and reporting. In addition, it offers a wide array of business management software solutions that streamline business operations to customers in numerous vertical markets.</v>
    <v>26000</v>
    <v>New York Stock Exchange</v>
    <v>XNYS</v>
    <v>XNYS</v>
    <v>3550 Lenox Road, ATLANTA, GA, 30326 US</v>
    <v>78.23</v>
    <v>Professional &amp; Commercial Services</v>
    <v>Stock</v>
    <v>46083.987183784375</v>
    <v>1040</v>
    <v>74.5</v>
    <v>21801512257</v>
    <v>GLOBAL PAYMENTS INC.</v>
    <v>GLOBAL PAYMENTS INC.</v>
    <v>74.5</v>
    <v>16.239799999999999</v>
    <v>76.459999999999994</v>
    <v>77.89</v>
    <v>76.88</v>
    <v>279901300</v>
    <v>GPN</v>
    <v>GLOBAL PAYMENTS INC. (XNYS:GPN)</v>
    <v>4097552</v>
    <v>4089803</v>
    <v>2000</v>
  </rv>
  <rv s="2">
    <v>1041</v>
  </rv>
  <rv s="7">
    <fb>67.209999999999994</fb>
    <v>13</v>
  </rv>
  <rv s="7">
    <fb>70.8</fb>
    <v>13</v>
  </rv>
  <rv s="0">
    <v>http://it.wikipedia.org/wiki/T._Rowe_Price</v>
    <v>Wikipedia</v>
  </rv>
  <rv s="3">
    <v>18</v>
    <v>1045</v>
  </rv>
  <rv s="4">
    <v>9</v>
    <v>https://www.bing.com/th?id=AMMS_4c600be848f66590834841f27e6f786d&amp;qlt=95</v>
    <v>1046</v>
    <v>0</v>
    <v>https://www.bing.com/images/search?form=xlimg&amp;q=t.+rowe+price</v>
    <v>Image of T. ROWE PRICE GROUP, INC.</v>
  </rv>
  <rv s="0">
    <v>https://www.bing.com/financeapi/forcetrigger?t=a24i3m&amp;q=XNAS%3aTROW&amp;form=skydnc</v>
    <v>Learn more on Bing</v>
  </rv>
  <rv s="5">
    <v>5</v>
    <v>T. ROWE PRICE GROUP, INC. (XNAS:TROW)</v>
    <v>7</v>
    <v>8</v>
    <v>Finance</v>
    <v>4</v>
    <v>en-US</v>
    <v>a24i3m</v>
    <v>268435456</v>
    <v>1</v>
    <v>Powered by Refinitiv</v>
    <v>118.22</v>
    <v>77.849999999999994</v>
    <v>1.5579000000000001</v>
    <v>0.28999999999999998</v>
    <v>3.065E-3</v>
    <v>0</v>
    <v>0</v>
    <v>USD</v>
    <v>T. Rowe Price Group, Inc. is a financial services holding company that provides global investment advisory services to investors. It provides a range of investment solutions across equity, fixed income, multi-asset, and alternative capabilities for clients from individuals to advisors to institutions to retirement plan sponsors. It also provides certain investment advisory clients with related administrative services, including distribution, mutual fund transfer agent, accounting, and shareholder services; participant recordkeeping and transfer agent services for defined contribution retirement plans; brokerage; trust services, and non-discretionary advisory services through model delivery. It distributes its array of active investment solutions through a diverse set of distribution channels and vehicles. These vehicles include an array of U.S. mutual funds, collective investment trusts, exchange-traded funds, subadvised funds, separately managed accounts, and other sponsored products.</v>
    <v>7773</v>
    <v>Nasdaq Stock Market</v>
    <v>XNAS</v>
    <v>XNAS</v>
    <v>Harbor Point, 1307 Point Street, BALTIMORE, MD, 21231 US</v>
    <v>95.81</v>
    <v>1047</v>
    <v>Investment Banking &amp; Investment Services</v>
    <v>Stock</v>
    <v>46083.975715520311</v>
    <v>1048</v>
    <v>93</v>
    <v>20699479668</v>
    <v>T. ROWE PRICE GROUP, INC.</v>
    <v>T. ROWE PRICE GROUP, INC.</v>
    <v>93.34</v>
    <v>10.236000000000001</v>
    <v>94.63</v>
    <v>94.92</v>
    <v>94.92</v>
    <v>218072900</v>
    <v>TROW</v>
    <v>T. ROWE PRICE GROUP, INC. (XNAS:TROW)</v>
    <v>1494333</v>
    <v>2297942</v>
    <v>2000</v>
  </rv>
  <rv s="2">
    <v>1049</v>
  </rv>
  <rv s="7">
    <fb>102.66</fb>
    <v>13</v>
  </rv>
  <rv s="7">
    <fb>97.02</fb>
    <v>13</v>
  </rv>
  <rv s="0">
    <v>https://www.bing.com/financeapi/forcetrigger?t=a1r8ur&amp;q=XNYS%3aDOV&amp;form=skydnc</v>
    <v>Learn more on Bing</v>
  </rv>
  <rv s="1">
    <v>0</v>
    <v>DOVER CORPORATION (XNYS:DOV)</v>
    <v>2</v>
    <v>3</v>
    <v>Finance</v>
    <v>4</v>
    <v>en-US</v>
    <v>a1r8ur</v>
    <v>268435456</v>
    <v>1</v>
    <v>Powered by Refinitiv</v>
    <v>237.54</v>
    <v>143.04</v>
    <v>1.2658</v>
    <v>0.92</v>
    <v>4.0799999999999994E-3</v>
    <v>1.6</v>
    <v>7.0670000000000004E-3</v>
    <v>USD</v>
    <v>Dover Corporation is a diversified global manufacturer and solutions provider. Its Engineered Products segment provides a range of equipment, components, software, solutions and services to the vehicle aftermarket, aerospace and defense, and others. Its Clean Energy &amp; Fueling segment provides components, equipment, and software solutions and services. It also designs, manufactures, and supplies vacuum-insulated piping systems for a variety of liquefied gases like nitrogen, oxygen, carbon dioxide, and other industrial gases. Its Imaging &amp; Identification segment supplies precision marking and coding, product traceability, brand protection and digital textile printing equipment. Its Pumps &amp; Process Solutions segment manufactures specialty pumps and flow meters, fluid transfer connectors, engineered precision components, instruments, and digital controls. Its Climate &amp; Sustainability Technologies segment is a provider of energy-efficient equipment, components, and parts.</v>
    <v>24000</v>
    <v>New York Stock Exchange</v>
    <v>XNYS</v>
    <v>XNYS</v>
    <v>3005 Highland Parkway, Suite 200, DOWNERS GROVE, IL, 60515 US</v>
    <v>226.43</v>
    <v>Machinery, Equipment &amp; Components</v>
    <v>Stock</v>
    <v>46084.024986376564</v>
    <v>1053</v>
    <v>217.69</v>
    <v>30536495572</v>
    <v>DOVER CORPORATION</v>
    <v>DOVER CORPORATION</v>
    <v>220.18</v>
    <v>28.3066</v>
    <v>225.5</v>
    <v>226.42</v>
    <v>228</v>
    <v>134866600</v>
    <v>DOV</v>
    <v>DOVER CORPORATION (XNYS:DOV)</v>
    <v>1272039</v>
    <v>1484436</v>
    <v>1947</v>
  </rv>
  <rv s="2">
    <v>1054</v>
  </rv>
  <rv s="7">
    <fb>211.66</fb>
    <v>13</v>
  </rv>
  <rv s="7">
    <fb>220.02</fb>
    <v>13</v>
  </rv>
  <rv s="0">
    <v>https://www.bing.com/financeapi/forcetrigger?t=azetdm&amp;q=XNYS%3aCBRE&amp;form=skydnc</v>
    <v>Learn more on Bing</v>
  </rv>
  <rv s="1">
    <v>0</v>
    <v>CBRE GROUP, INC. (XNYS:CBRE)</v>
    <v>2</v>
    <v>3</v>
    <v>Finance</v>
    <v>10</v>
    <v>en-US</v>
    <v>azetdm</v>
    <v>268435456</v>
    <v>1</v>
    <v>Powered by Refinitiv</v>
    <v>174.27</v>
    <v>108.45</v>
    <v>1.3363</v>
    <v>-2.69</v>
    <v>-1.8218000000000002E-2</v>
    <v>-0.93</v>
    <v>-6.4149999999999997E-3</v>
    <v>USD</v>
    <v>CBRE Group, Inc. is a commercial real estate services and investments firm. The Company’s segments include Advisory Services, Building Operations &amp; Experience, Project Management, and Real Estate Investments. The Advisory Services segment provides a comprehensive range of services globally, including property leasing, capital markets (property sales and loan origination), loan servicing, property management, and valuation. The Building Operations &amp; Experience segment provides a suite of integrated, contractually based outsourcing services to occupiers and owners of real estate, including facilities management and property management. The Project Management segment delivers program management, project management and cost consultancy services across the commercial real estate, infrastructure and natural resources sectors. The Real Estate Investments segment is a real asset developer, investor and operator. It provides advanced technical services for digital and power infrastructure.</v>
    <v>155000</v>
    <v>New York Stock Exchange</v>
    <v>XNYS</v>
    <v>XNYS</v>
    <v>2121 North Pearl Street, Suite 300, DALLAS, TX, 75201 US</v>
    <v>146.18</v>
    <v>Real Estate Operations</v>
    <v>Stock</v>
    <v>46083.999756515623</v>
    <v>1058</v>
    <v>141.66</v>
    <v>42789127745</v>
    <v>CBRE GROUP, INC.</v>
    <v>CBRE GROUP, INC.</v>
    <v>143.93</v>
    <v>38.342700000000001</v>
    <v>147.66</v>
    <v>144.97</v>
    <v>144.04</v>
    <v>295158500</v>
    <v>CBRE</v>
    <v>CBRE GROUP, INC. (XNYS:CBRE)</v>
    <v>2320434</v>
    <v>2855141</v>
    <v>2001</v>
  </rv>
  <rv s="2">
    <v>1059</v>
  </rv>
  <rv s="7">
    <fb>163.35</fb>
    <v>13</v>
  </rv>
  <rv s="7">
    <fb>165.89</fb>
    <v>13</v>
  </rv>
  <rv s="0">
    <v>https://www.bing.com/financeapi/forcetrigger?t=a1pl8m&amp;q=XNYS%3aCHD&amp;form=skydnc</v>
    <v>Learn more on Bing</v>
  </rv>
  <rv s="1">
    <v>0</v>
    <v>CHURCH &amp; DWIGHT CO., INC. (XNYS:CHD)</v>
    <v>2</v>
    <v>3</v>
    <v>Finance</v>
    <v>4</v>
    <v>en-US</v>
    <v>a1pl8m</v>
    <v>268435456</v>
    <v>1</v>
    <v>Powered by Refinitiv</v>
    <v>116.46</v>
    <v>81.33</v>
    <v>0.4521</v>
    <v>-0.94</v>
    <v>-8.9639999999999997E-3</v>
    <v>0.55000000000000004</v>
    <v>5.2910000000000006E-3</v>
    <v>USD</v>
    <v>Church &amp; Dwight Co., Inc. develops, manufactures and markets a range of consumer household and personal care products and specialty products focused on animal and food production, chemicals and cleaners. The Company’s segments include Consumer Domestic, Consumer International, and Specialty Products Division (SPD). The Consumer Domestic segment includes each of its seven power brands, as well as other brands and household and personal care products. The Consumer International segment markets a variety of personal care, household and over-the-counter products in international subsidiary markets, including Australia, Canada, France, Germany, Japan, Mexico, China and the United Kingdom. Its SPD segment focuses on sales to businesses and participates in three product areas: animal nutrition, specialty chemicals and commercial and professional. Its brands include ARM &amp; HAMMER, TROJAN, OXICLEAN, FIRST RESPONSE, NAIR, ORAJEL, XTRA, BATISTE, WATERPIK, ZICAM, THERABREATH, HERO, among others.</v>
    <v>5550</v>
    <v>New York Stock Exchange</v>
    <v>XNYS</v>
    <v>XNYS</v>
    <v>Princeton South Corporate Center, 500 Charles Ewing Boulevard, EWING, NJ, 08628 US</v>
    <v>104.58</v>
    <v>Personal &amp; Household Products &amp; Services</v>
    <v>Stock</v>
    <v>46084.035888529688</v>
    <v>1063</v>
    <v>102.79</v>
    <v>24597261264</v>
    <v>CHURCH &amp; DWIGHT CO., INC.</v>
    <v>CHURCH &amp; DWIGHT CO., INC.</v>
    <v>104.09</v>
    <v>34.825600000000001</v>
    <v>104.86</v>
    <v>103.92</v>
    <v>104.5</v>
    <v>236694200</v>
    <v>CHD</v>
    <v>CHURCH &amp; DWIGHT CO., INC. (XNYS:CHD)</v>
    <v>1802058</v>
    <v>2366454</v>
    <v>1925</v>
  </rv>
  <rv s="2">
    <v>1064</v>
  </rv>
  <rv s="7">
    <fb>98.77</fb>
    <v>13</v>
  </rv>
  <rv s="7">
    <fb>100.59</fb>
    <v>13</v>
  </rv>
  <rv s="0">
    <v>https://www.bing.com/financeapi/forcetrigger?t=a1oma2&amp;q=XNYS%3aBALL&amp;form=skydnc</v>
    <v>Learn more on Bing</v>
  </rv>
  <rv s="1">
    <v>0</v>
    <v>BALL CORPORATION (XNYS:BALL)</v>
    <v>2</v>
    <v>3</v>
    <v>Finance</v>
    <v>4</v>
    <v>en-US</v>
    <v>a1oma2</v>
    <v>268435456</v>
    <v>1</v>
    <v>Powered by Refinitiv</v>
    <v>68.290000000000006</v>
    <v>43.51</v>
    <v>1.1028</v>
    <v>-0.52</v>
    <v>-7.7690000000000007E-3</v>
    <v>0.97960000000000003</v>
    <v>1.4749000000000002E-2</v>
    <v>USD</v>
    <v>Ball Corporation (Ball) supplies sustainable aluminum packaging solutions for beverage, personal care and household products customers. Its packaging products are produced for a variety of end uses. The Company sells its aluminum packaging products mainly to large, multinational beverage, personal care and household products companies. The Company operates in three segments: Beverage packaging, North and Central America; Beverage packaging, EMEA, and Beverage packaging, South America. The Beverage packaging, North and Central America segment manufactures and sells aluminum beverage containers throughout the United States, Canada, and Mexico. The Beverage packaging, EMEA segment manufactures and sells aluminum beverage containers in various countries throughout Europe, as well as Egypt and Turkey. The Beverage packaging, South America segment manufactures and sells aluminum beverage containers in Brazil, Argentina, Paraguay and Chile.</v>
    <v>16000</v>
    <v>New York Stock Exchange</v>
    <v>XNYS</v>
    <v>XNYS</v>
    <v>9200 W. 108th Circle, P.O. Box 5000, WESTMINSTER, CO, 80021-2510 US</v>
    <v>66.819999999999993</v>
    <v>Containers &amp; Packaging</v>
    <v>Stock</v>
    <v>46083.984790485934</v>
    <v>1068</v>
    <v>65.75</v>
    <v>17670186852</v>
    <v>BALL CORPORATION</v>
    <v>BALL CORPORATION</v>
    <v>66.569999999999993</v>
    <v>20.0489</v>
    <v>66.930000000000007</v>
    <v>66.41</v>
    <v>67.399600000000007</v>
    <v>266077200</v>
    <v>BALL</v>
    <v>BALL CORPORATION (XNYS:BALL)</v>
    <v>2113292</v>
    <v>2392750</v>
    <v>1922</v>
  </rv>
  <rv s="2">
    <v>1069</v>
  </rv>
  <rv s="7">
    <fb>61.77</fb>
    <v>13</v>
  </rv>
  <rv s="7">
    <fb>64.81</fb>
    <v>13</v>
  </rv>
  <rv s="0">
    <v>https://www.bing.com/financeapi/forcetrigger?t=a26c9c&amp;q=XNYS%3aXYL&amp;form=skydnc</v>
    <v>Learn more on Bing</v>
  </rv>
  <rv s="1">
    <v>0</v>
    <v>XYLEM INC. (XNYS:XYL)</v>
    <v>2</v>
    <v>3</v>
    <v>Finance</v>
    <v>10</v>
    <v>en-US</v>
    <v>a26c9c</v>
    <v>268435456</v>
    <v>1</v>
    <v>Powered by Refinitiv</v>
    <v>154.27000000000001</v>
    <v>100.4746</v>
    <v>1.1718</v>
    <v>-0.57999999999999996</v>
    <v>-4.4770000000000001E-3</v>
    <v>-0.01</v>
    <v>-7.7529999999999998E-5</v>
    <v>USD</v>
    <v>Xylem Inc. is a water technology company. The Company designs, manufactures and services engineered products and solutions across a range of critical applications, primarily in the water sector. The Company’s Water Infrastructure segment focuses on the transportation and treatment of water, offering a range of products including water, wastewater and storm water pumps, treatment equipment, and controls and systems. Its Applied Water segment's products include pumps, valves, heat exchangers, controls and dispensing equipment. Its Measurement &amp; Control Solutions segment develops advanced technology solutions that enable intelligent use and conservation of critical water and energy resources as well as analytical instrumentation used in the testing of water. The Company’s Integrated Solutions &amp; Services segment provides equipment systems for industrial needs, full-scale outsourcing of operations and maintenance and municipal services, including odor and corrosion control services.</v>
    <v>22000</v>
    <v>New York Stock Exchange</v>
    <v>XNYS</v>
    <v>XNYS</v>
    <v>301 Water Street Se, WASHINGTON, DC, 20003 US</v>
    <v>130.05500000000001</v>
    <v>Machinery, Equipment &amp; Components</v>
    <v>Stock</v>
    <v>46083.991509606247</v>
    <v>1073</v>
    <v>127.18</v>
    <v>31360377771</v>
    <v>XYLEM INC.</v>
    <v>XYLEM INC.</v>
    <v>127.6</v>
    <v>33.042499999999997</v>
    <v>129.56</v>
    <v>128.97999999999999</v>
    <v>128.97</v>
    <v>243141400</v>
    <v>XYL</v>
    <v>XYLEM INC. (XNYS:XYL)</v>
    <v>2717907</v>
    <v>2120538</v>
    <v>2011</v>
  </rv>
  <rv s="2">
    <v>1074</v>
  </rv>
  <rv s="7">
    <fb>138.57</fb>
    <v>13</v>
  </rv>
  <rv s="7">
    <fb>139.74</fb>
    <v>13</v>
  </rv>
  <rv s="0">
    <v>https://www.bing.com/financeapi/forcetrigger?t=a1yrar&amp;q=XNAS%3aNTAP&amp;form=skydnc</v>
    <v>Learn more on Bing</v>
  </rv>
  <rv s="1">
    <v>0</v>
    <v>NETAPP, INC. (XNAS:NTAP)</v>
    <v>2</v>
    <v>3</v>
    <v>Finance</v>
    <v>4</v>
    <v>en-US</v>
    <v>a1yrar</v>
    <v>268435456</v>
    <v>1</v>
    <v>Powered by Refinitiv</v>
    <v>126.66</v>
    <v>71.837800000000001</v>
    <v>1.3798999999999999</v>
    <v>1.1200000000000001</v>
    <v>1.1310000000000001E-2</v>
    <v>-0.15</v>
    <v>-1.498E-3</v>
    <v>USD</v>
    <v>NetApp, Inc. is an intelligent data infrastructure company combining unified data storage, integrated data, operational and workload services. It creates silo-free infrastructure, harnessing observability and AI to enable data management. Its operational and workload services provide continuous optimization of performance and efficiency for infrastructure and workloads through observability and AI. Its Hybrid Cloud segment provides a unified data storage portfolio of storage management and infrastructure solutions that helps customers modernize their data centers. Hybrid Cloud includes software, hardware, and related support, along with professional and other services. Its Public Cloud segment offers a portfolio of products delivered primarily as-a-service, including related support. This portfolio includes cloud storage, data services and operational services. These solutions and services are available in the public clouds, including Amazon AWS, Microsoft Azure, and Google Cloud.</v>
    <v>11700</v>
    <v>Nasdaq Stock Market</v>
    <v>XNAS</v>
    <v>XNAS</v>
    <v>3060 Olsen Drive, SAN JOSE, CA, 95128 US</v>
    <v>101.42</v>
    <v>Computers, Phones &amp; Household Electronics</v>
    <v>Stock</v>
    <v>46083.925213726565</v>
    <v>1078</v>
    <v>96.21</v>
    <v>19762639560</v>
    <v>NETAPP, INC.</v>
    <v>NETAPP, INC.</v>
    <v>96.98</v>
    <v>18.193200000000001</v>
    <v>99.03</v>
    <v>100.15</v>
    <v>100</v>
    <v>197330400</v>
    <v>NTAP</v>
    <v>NETAPP, INC. (XNAS:NTAP)</v>
    <v>2371200</v>
    <v>2601660</v>
    <v>2001</v>
  </rv>
  <rv s="2">
    <v>1079</v>
  </rv>
  <rv s="7">
    <fb>95.49</fb>
    <v>13</v>
  </rv>
  <rv s="7">
    <fb>100.53</fb>
    <v>13</v>
  </rv>
  <rv s="0">
    <v>https://www.bing.com/financeapi/forcetrigger?t=a21d7w&amp;q=XNAS%3aPTC&amp;form=skydnc</v>
    <v>Learn more on Bing</v>
  </rv>
  <rv s="1">
    <v>0</v>
    <v>PTC INC. (XNAS:PTC)</v>
    <v>2</v>
    <v>3</v>
    <v>Finance</v>
    <v>4</v>
    <v>en-US</v>
    <v>a21d7w</v>
    <v>268435456</v>
    <v>1</v>
    <v>Powered by Refinitiv</v>
    <v>219.69</v>
    <v>133.38</v>
    <v>1.0318000000000001</v>
    <v>1.53</v>
    <v>9.7710000000000002E-3</v>
    <v>-0.43</v>
    <v>-2.7189999999999996E-3</v>
    <v>USD</v>
    <v>PTC Inc. is a global software company that enables industrial and manufacturing companies to digitally transform how they engineer, manufacture, and service the physical products. Its computer-aided design (CAD) portfolio solutions enable companies to author product data. Its product lifecycle management (PLM) portfolio solutions enable companies to manage product data and orchestrate processes. Its software can be delivered on premises, in the cloud or in a hybrid model. Its PLM products and services include Windchill PLM, ThingWorx, ServiceMax, Arena, Codebeamer, Servigistics, FlexPLM and Kepware. Its CAD products and services include Creo 3D, Onshape, Vuforia and Arbortext. Its Windchill PLM application suite manages all aspects of the product development lifecycle-from concept through service and retirement-by enabling a digital thread of product parts, materials and configuration information. Its ThingWorx platform is flexible and purpose-built for industrial Internet of things.</v>
    <v>7642</v>
    <v>Nasdaq Stock Market</v>
    <v>XNAS</v>
    <v>XNAS</v>
    <v>121 Seaport Blvd., BOSTON, MA, 02210 US</v>
    <v>159.33000000000001</v>
    <v>Software &amp; IT Services</v>
    <v>Stock</v>
    <v>46083.996496214844</v>
    <v>1083</v>
    <v>154.66999999999999</v>
    <v>18815663332</v>
    <v>PTC INC.</v>
    <v>PTC INC.</v>
    <v>156</v>
    <v>23.064699999999998</v>
    <v>156.59</v>
    <v>158.12</v>
    <v>157.69</v>
    <v>118996100</v>
    <v>PTC</v>
    <v>PTC INC. (XNAS:PTC)</v>
    <v>1008478</v>
    <v>1334903</v>
    <v>1985</v>
  </rv>
  <rv s="2">
    <v>1084</v>
  </rv>
  <rv s="7">
    <fb>149.25</fb>
    <v>13</v>
  </rv>
  <rv s="7">
    <fb>151.34</fb>
    <v>13</v>
  </rv>
  <rv s="0">
    <v>https://www.bing.com/financeapi/forcetrigger?t=a1sioc&amp;q=XNYS%3aEXR&amp;form=skydnc</v>
    <v>Learn more on Bing</v>
  </rv>
  <rv s="1">
    <v>0</v>
    <v>EXTRA SPACE STORAGE INC. (XNYS:EXR)</v>
    <v>2</v>
    <v>3</v>
    <v>Finance</v>
    <v>4</v>
    <v>en-US</v>
    <v>a1sioc</v>
    <v>268435456</v>
    <v>1</v>
    <v>Powered by Refinitiv</v>
    <v>160.58000000000001</v>
    <v>121.03</v>
    <v>1.2443</v>
    <v>1.53</v>
    <v>1.0129999999999998E-2</v>
    <v>-1.6</v>
    <v>-1.0481000000000001E-2</v>
    <v>USD</v>
    <v>Extra Space Storage, Inc. is a self-administered and self-managed real estate investment trust (REIT). The Company owns, operates, manages, provides lending to, acquires, develops and redevelops self-storage properties (stores). Its stores offer month-to-month rental of storage space for personal or business use. Its segments include self-storage operations and tenant reinsurance. Its self-storage operations segment includes rental operations of wholly owned stores. Its tenant reinsurance segment includes the reinsurance of risks relating to the loss of goods stored by tenants in its stores. The Company owns and operates 4,238 self-storage properties, which comprise approximately 2.9 million units and approximately 326.9 million square feet of rentable storage space operating under the Extra Space brand. It offers customers a selection of conveniently located and secure storage units across the country, including boat storage, RV storage and business storage.</v>
    <v>8393</v>
    <v>New York Stock Exchange</v>
    <v>XNYS</v>
    <v>XNYS</v>
    <v>2795 Cottonwood Parkway, Suite 400, SALT LAKE CITY, UT, 84121 US</v>
    <v>153.49</v>
    <v>Residential &amp; Commercial REIT</v>
    <v>Stock</v>
    <v>46084.039867048436</v>
    <v>1088</v>
    <v>149.29</v>
    <v>32211167512</v>
    <v>EXTRA SPACE STORAGE INC.</v>
    <v>EXTRA SPACE STORAGE INC.</v>
    <v>149.54</v>
    <v>32.9148</v>
    <v>151.03</v>
    <v>152.56</v>
    <v>151.05000000000001</v>
    <v>211137700</v>
    <v>EXR</v>
    <v>EXTRA SPACE STORAGE INC. (XNYS:EXR)</v>
    <v>1211604</v>
    <v>1448031</v>
    <v>2004</v>
  </rv>
  <rv s="2">
    <v>1089</v>
  </rv>
  <rv s="7">
    <fb>138.12</fb>
    <v>13</v>
  </rv>
  <rv s="7">
    <fb>141.71</fb>
    <v>13</v>
  </rv>
  <rv s="0">
    <v>https://www.bing.com/financeapi/forcetrigger?t=a1zutc&amp;q=XNYS%3aPHM&amp;form=skydnc</v>
    <v>Learn more on Bing</v>
  </rv>
  <rv s="1">
    <v>0</v>
    <v>PULTEGROUP, INC. (XNYS:PHM)</v>
    <v>2</v>
    <v>3</v>
    <v>Finance</v>
    <v>4</v>
    <v>en-US</v>
    <v>a1zutc</v>
    <v>268435456</v>
    <v>1</v>
    <v>Powered by Refinitiv</v>
    <v>144.495</v>
    <v>88.07</v>
    <v>1.3255999999999999</v>
    <v>-3.51</v>
    <v>-2.5583000000000002E-2</v>
    <v>-0.34379999999999999</v>
    <v>-2.5709999999999999E-3</v>
    <v>USD</v>
    <v>PulteGroup, Inc. is a homebuilder in the United States. The Company's segments include Homebuilding and Financial Services. Its Homebuilding operations involve acquisition and development of land primarily for residential purposes within the United States and the construction of housing on such land. Its financial services business segment includes mortgage banking, title, and insurance agency operations, through Pulte Mortgage LLC (Pulte Mortgage) and other subsidiaries. Pulte Mortgage arranges financing through the origination of mortgage loans primarily for the benefit of its homebuyers. Its Homebuilding operations are aggregated into six segments: Northeast, Southeast, Florida, Midwest, Texas and West. The Company, through its brand portfolio that includes Centex, Pulte Homes, Del Webb, DiVosta Homes, American West and John Wieland Homes and Neighborhoods, offers a variety of home designs with varying levels of options and amenities to its customer groups.</v>
    <v>6506</v>
    <v>New York Stock Exchange</v>
    <v>XNYS</v>
    <v>XNYS</v>
    <v>3350 Peachtree Road Northeast, Suite 1500, ATLANTA, GA, 30326 US</v>
    <v>135.41499999999999</v>
    <v>Homebuilding &amp; Construction Supplies</v>
    <v>Stock</v>
    <v>46084.031296168752</v>
    <v>1093</v>
    <v>131.74</v>
    <v>25687410504</v>
    <v>PULTEGROUP, INC.</v>
    <v>PULTEGROUP, INC.</v>
    <v>134.13</v>
    <v>12.3421</v>
    <v>137.19999999999999</v>
    <v>133.69</v>
    <v>133.37620000000001</v>
    <v>192141600</v>
    <v>PHM</v>
    <v>PULTEGROUP, INC. (XNYS:PHM)</v>
    <v>1223251</v>
    <v>1890555</v>
    <v>1987</v>
  </rv>
  <rv s="2">
    <v>1094</v>
  </rv>
  <rv s="7">
    <fb>130.46</fb>
    <v>13</v>
  </rv>
  <rv s="7">
    <fb>134.57</fb>
    <v>13</v>
  </rv>
  <rv s="0">
    <v>https://www.bing.com/financeapi/forcetrigger?t=a1q1tc&amp;q=XNYS%3aCNP&amp;form=skydnc</v>
    <v>Learn more on Bing</v>
  </rv>
  <rv s="1">
    <v>0</v>
    <v>CENTERPOINT ENERGY, INC. (XNYS:CNP)</v>
    <v>2</v>
    <v>3</v>
    <v>Finance</v>
    <v>4</v>
    <v>en-US</v>
    <v>a1q1tc</v>
    <v>268435456</v>
    <v>1</v>
    <v>Powered by Refinitiv</v>
    <v>43.625</v>
    <v>33.24</v>
    <v>0.57709999999999995</v>
    <v>-0.17</v>
    <v>-3.908E-3</v>
    <v>0.46</v>
    <v>1.0613999999999998E-2</v>
    <v>USD</v>
    <v>CenterPoint Energy, Inc. is an energy delivery company. The Company, through its subsidiaries, owns and operates electric transmission, distribution and generation facilities and natural gas distribution systems. Its segments include Electric and Natural Gas. The Electric segment includes electric transmission and distribution services that are subject to rate regulation in Houston Electric's and Indiana Electric's service territories. The Natural Gas segment includes intrastate natural gas sales to, and natural gas transportation and distribution for residential, commercial, industrial and institutional customers in Indiana, Minnesota, Ohio, and Texas; permanent pipeline connections through interconnects with various interstate and intrastate pipeline companies; and home appliance maintenance and repair services to customers in Minnesota and home repair protection plans to natural gas customers in Indiana, Ohio and Texas through a third party.</v>
    <v>8794</v>
    <v>New York Stock Exchange</v>
    <v>XNYS</v>
    <v>XNYS</v>
    <v>P.O. Box 4567, HOUSTON, TX, 77210-4567 US</v>
    <v>43.625</v>
    <v>Multiline Utilities</v>
    <v>Stock</v>
    <v>46084.033405462498</v>
    <v>1098</v>
    <v>43.01</v>
    <v>28288926428</v>
    <v>CENTERPOINT ENERGY, INC.</v>
    <v>CENTERPOINT ENERGY, INC.</v>
    <v>43.01</v>
    <v>27.105699999999999</v>
    <v>43.5</v>
    <v>43.33</v>
    <v>43.8</v>
    <v>652871600</v>
    <v>CNP</v>
    <v>CENTERPOINT ENERGY, INC. (XNYS:CNP)</v>
    <v>4602398</v>
    <v>6657352</v>
    <v>2001</v>
  </rv>
  <rv s="2">
    <v>1099</v>
  </rv>
  <rv s="7">
    <fb>40.19</fb>
    <v>13</v>
  </rv>
  <rv s="7">
    <fb>40.35</fb>
    <v>13</v>
  </rv>
  <rv s="0">
    <v>https://www.bing.com/financeapi/forcetrigger?t=a1ysr7&amp;q=XNAS%3aNTRS&amp;form=skydnc</v>
    <v>Learn more on Bing</v>
  </rv>
  <rv s="1">
    <v>0</v>
    <v>NORTHERN TRUST CORPORATION (XNAS:NTRS)</v>
    <v>2</v>
    <v>3</v>
    <v>Finance</v>
    <v>10</v>
    <v>en-US</v>
    <v>a1ysr7</v>
    <v>268435456</v>
    <v>1</v>
    <v>Powered by Refinitiv</v>
    <v>157.59989999999999</v>
    <v>81.62</v>
    <v>1.2811999999999999</v>
    <v>2.14</v>
    <v>1.4956000000000001E-2</v>
    <v>0</v>
    <v>0</v>
    <v>USD</v>
    <v>Northern Trust Corporation is a provider of wealth management, asset servicing, asset management and banking to corporations, institutions, affluent families and individuals. The Company’s segments include Asset Servicing and Wealth Management. Asset Servicing is a global provider of asset servicing and related services to corporate and public retirement funds, foundations, endowments, fund managers, insurance companies, sovereign wealth funds, and other institutional investors around the globe. Asset servicing and related services encompass a full range of capabilities, including custody, fund administration, investment operations outsourcing, investment management, investment risk and analytical services, securities lending, and others. Wealth Management provides trust, investment management, custody, and philanthropic services; financial consulting; guardianship and estate administration; family business consulting; family financial education; brokerage services; and others.</v>
    <v>23800</v>
    <v>Nasdaq Stock Market</v>
    <v>XNAS</v>
    <v>XNAS</v>
    <v>50 S Lasalle St, CHICAGO, IL, 60603 US</v>
    <v>146.19999999999999</v>
    <v>Investment Banking &amp; Investment Services</v>
    <v>Stock</v>
    <v>46083.925214085153</v>
    <v>1103</v>
    <v>140.1</v>
    <v>26987771394</v>
    <v>NORTHERN TRUST CORPORATION</v>
    <v>NORTHERN TRUST CORPORATION</v>
    <v>140.1</v>
    <v>16.3719</v>
    <v>143.09</v>
    <v>145.22999999999999</v>
    <v>145.22999999999999</v>
    <v>185827800</v>
    <v>NTRS</v>
    <v>NORTHERN TRUST CORPORATION (XNAS:NTRS)</v>
    <v>1040192</v>
    <v>1165354</v>
    <v>1971</v>
  </rv>
  <rv s="2">
    <v>1104</v>
  </rv>
  <rv s="7">
    <fb>149.84</fb>
    <v>13</v>
  </rv>
  <rv s="7">
    <fb>150.80000000000001</fb>
    <v>13</v>
  </rv>
  <rv s="0">
    <v>https://www.bing.com/financeapi/forcetrigger?t=a1x7im&amp;q=XNYS%3aLVS&amp;form=skydnc</v>
    <v>Learn more on Bing</v>
  </rv>
  <rv s="1">
    <v>0</v>
    <v>LAS VEGAS SANDS CORP. (XNYS:LVS)</v>
    <v>2</v>
    <v>3</v>
    <v>Finance</v>
    <v>10</v>
    <v>en-US</v>
    <v>a1x7im</v>
    <v>268435456</v>
    <v>1</v>
    <v>Powered by Refinitiv</v>
    <v>70.454499999999996</v>
    <v>30.18</v>
    <v>0.86960000000000004</v>
    <v>-0.36</v>
    <v>-6.3470000000000002E-3</v>
    <v>-0.66</v>
    <v>-1.171E-2</v>
    <v>USD</v>
    <v>Las Vegas Sands Corp. is a global developer and operator of destination properties (Integrated Resorts). The Integrated Resorts feature accommodations, gaming, entertainment and retail malls, convention and exhibition facilities, celebrity chef restaurants and other amenities. Its properties also cater to high-end players by providing them with luxury amenities and premium service levels. Its other amenities include luxury accommodations, restaurants, lounges, invitation-only clubs and private gaming salons. Its principal operating and developmental activities occur in two geographic areas: Macao and Singapore. In Macao, it owns The Venetian Macao Resort Hotel; The Londoner Macao; The Parisian Macao; The Plaza Macao and Four Seasons Macao, and Sands Macao. In Singapore, it owns Marina Bay Sands. It also has ferry operations. It owns and operates a collection of Integrated Resorts in the Macao Special Administrative Region of the People's Republic of China (PRC) through Sands China Ltd.</v>
    <v>41000</v>
    <v>New York Stock Exchange</v>
    <v>XNYS</v>
    <v>XNYS</v>
    <v>5420 S. Durango Drive, LAS VEGAS, NV, 89113 US</v>
    <v>56.594999999999999</v>
    <v>Hotels &amp; Entertainment Services</v>
    <v>Stock</v>
    <v>46083.939991562504</v>
    <v>1108</v>
    <v>54.25</v>
    <v>37868887052</v>
    <v>LAS VEGAS SANDS CORP.</v>
    <v>LAS VEGAS SANDS CORP.</v>
    <v>55.66</v>
    <v>24.159199999999998</v>
    <v>56.72</v>
    <v>56.36</v>
    <v>55.7</v>
    <v>671910700</v>
    <v>LVS</v>
    <v>LAS VEGAS SANDS CORP. (XNYS:LVS)</v>
    <v>5594026</v>
    <v>6109843</v>
    <v>2004</v>
  </rv>
  <rv s="2">
    <v>1109</v>
  </rv>
  <rv s="7">
    <fb>56.94</fb>
    <v>13</v>
  </rv>
  <rv s="7">
    <fb>57.5</fb>
    <v>13</v>
  </rv>
  <rv s="0">
    <v>https://www.bing.com/financeapi/forcetrigger?t=a1utqh&amp;q=XNYS%3aHPE&amp;form=skydnc</v>
    <v>Learn more on Bing</v>
  </rv>
  <rv s="9">
    <v>14</v>
    <v>HEWLETT PACKARD ENTERPRISE COMPANY (XNYS:HPE)</v>
    <v>2</v>
    <v>15</v>
    <v>Finance</v>
    <v>4</v>
    <v>en-US</v>
    <v>a1utqh</v>
    <v>268435456</v>
    <v>1</v>
    <v>Powered by Refinitiv</v>
    <v>26.44</v>
    <v>11.965</v>
    <v>1.319</v>
    <v>0.67500000000000004</v>
    <v>3.1439000000000002E-2</v>
    <v>-0.04</v>
    <v>-1.8079999999999999E-3</v>
    <v>USD</v>
    <v>Hewlett Packard Enterprise Company is a global technology company focused on developing intelligent solutions that allow customers to capture, analyze and act upon data seamlessly from edge to cloud. Its customers range from small-and-medium-sized businesses to large global enterprises and governmental entities. Its segments include Server, Hybrid Cloud, Networking, Financial Services, and Corporate Investments and Other. Its Server segment offerings consist of general-purpose servers for multi-workload computing, workload-optimized servers, and integrated systems. Its Hybrid Cloud segment offers a range of cloud-native and hybrid solutions across storage, private cloud and the infrastructure software-as-a-service space. The Networking segment develops and sells high-performance networking and security products and services. Its Financial Services segment provides flexible investment solutions, such as leasing, financing, IT consumption, utility programs, and asset management services.</v>
    <v>67000</v>
    <v>New York Stock Exchange</v>
    <v>XNYS</v>
    <v>XNYS</v>
    <v>1701 E MOSSY OAKS ROAD, SPRING, TX, 77389 US</v>
    <v>22.16</v>
    <v>Computers, Phones &amp; Household Electronics</v>
    <v>Stock</v>
    <v>46084.040760532029</v>
    <v>1113</v>
    <v>21.076000000000001</v>
    <v>29426453160</v>
    <v>HEWLETT PACKARD ENTERPRISE COMPANY</v>
    <v>HEWLETT PACKARD ENTERPRISE COMPANY</v>
    <v>21.19</v>
    <v>21.47</v>
    <v>22.145</v>
    <v>22.09</v>
    <v>1328808000</v>
    <v>HPE</v>
    <v>HEWLETT PACKARD ENTERPRISE COMPANY (XNYS:HPE)</v>
    <v>15744486</v>
    <v>16777526</v>
    <v>2015</v>
  </rv>
  <rv s="2">
    <v>1114</v>
  </rv>
  <rv s="7">
    <fb>21.78</fb>
    <v>13</v>
  </rv>
  <rv s="7">
    <fb>23.24</fb>
    <v>13</v>
  </rv>
  <rv s="0">
    <v>https://www.bing.com/financeapi/forcetrigger?t=a25omw&amp;q=XNYS%3aWAB&amp;form=skydnc</v>
    <v>Learn more on Bing</v>
  </rv>
  <rv s="1">
    <v>0</v>
    <v>WESTINGHOUSE AIR BRAKE TECHNOLOGIES CORPORATION (XNYS:WAB)</v>
    <v>2</v>
    <v>3</v>
    <v>Finance</v>
    <v>4</v>
    <v>en-US</v>
    <v>a25omw</v>
    <v>268435456</v>
    <v>1</v>
    <v>Powered by Refinitiv</v>
    <v>266.27</v>
    <v>151.81</v>
    <v>0.99029999999999996</v>
    <v>-0.31</v>
    <v>-1.1740000000000001E-3</v>
    <v>-0.17</v>
    <v>-6.447E-4</v>
    <v>USD</v>
    <v>Westinghouse Air Brake Technologies Corporation, doing business as Wabtec Corporation, is a global provider of equipment, systems, digital solutions and value-added services for the freight and transit rail industries, as well as the mining, marine and industrial markets. Its Freight Segment builds, rebuilds, upgrades, and overhauls locomotives, services locomotives and freight cars, and provides a range of component and digital solutions for customers in the freight and transit rail, mining, and marine industries. It also manufactures and services components for new and existing freight cars and locomotives, and supplies railway electronics. Transit Segment manufactures and services components for new and existing passenger transit vehicles, typically regional trains, high speed trains, subway cars, light-rail vehicles and buses. The Company is also focused on engineered safety-critical train connection systems and services for passenger rail rolling stock in Sweden.</v>
    <v>31000</v>
    <v>New York Stock Exchange</v>
    <v>XNYS</v>
    <v>XNYS</v>
    <v>30 Isabella Street, PITTSBURGH, PA, 15212 US</v>
    <v>265.29000000000002</v>
    <v>Machinery, Equipment &amp; Components</v>
    <v>Stock</v>
    <v>46084.018749698436</v>
    <v>1118</v>
    <v>260.74</v>
    <v>44955154608</v>
    <v>WESTINGHOUSE AIR BRAKE TECHNOLOGIES CORPORATION</v>
    <v>WESTINGHOUSE AIR BRAKE TECHNOLOGIES CORPORATION</v>
    <v>262.87</v>
    <v>38.606999999999999</v>
    <v>263.95</v>
    <v>263.64</v>
    <v>263.5</v>
    <v>170517200</v>
    <v>WAB</v>
    <v>WESTINGHOUSE AIR BRAKE TECHNOLOGIES CORPORATION (XNYS:WAB)</v>
    <v>861286</v>
    <v>932553</v>
    <v>1989</v>
  </rv>
  <rv s="2">
    <v>1119</v>
  </rv>
  <rv s="7">
    <fb>236.27</fb>
    <v>13</v>
  </rv>
  <rv s="0">
    <v>https://www.bing.com/financeapi/forcetrigger?t=a1myk2&amp;q=XNYS%3aAES&amp;form=skydnc</v>
    <v>Learn more on Bing</v>
  </rv>
  <rv s="1">
    <v>0</v>
    <v>THE AES CORPORATION (XNYS:AES)</v>
    <v>2</v>
    <v>3</v>
    <v>Finance</v>
    <v>4</v>
    <v>en-US</v>
    <v>a1myk2</v>
    <v>268435456</v>
    <v>1</v>
    <v>Powered by Refinitiv</v>
    <v>17.649999999999999</v>
    <v>9.4600000000000009</v>
    <v>0.93569999999999998</v>
    <v>-3.07</v>
    <v>-0.17766200000000001</v>
    <v>0.04</v>
    <v>2.8149999999999998E-3</v>
    <v>USD</v>
    <v>The AES Corporation is an energy company. The Company operates in four segments: Renewables, Utilities, Energy Infrastructure, and New Energy Technologies. The Renewables segment include solar, wind, energy storage, and hydro generation facilities. The Utilities segment includes AES Indiana, AES Ohio, and AES El Salvador regulated utilities and their generation facilities. The Energy Infrastructure segment includes natural gas, liquefied natural gas (LNG), coal, pet coke, diesel, and oil generation facilities, and its businesses in Chile, which have a mix of generation sources, including renewables. The New Energy Technologies segment includes investments in Fluence, Uplight, Maximo and other initiatives. It has two lines of business: Generation, which owns and/or operates power plants to generate and sell power to customers and Utilities that own and/or operate utilities to generate or purchase, distribute, transmit and sell electricity to end-user customers.</v>
    <v>9100</v>
    <v>New York Stock Exchange</v>
    <v>XNYS</v>
    <v>XNYS</v>
    <v>4300 Wilson Blvd, ARLINGTON, VA, 22203 US</v>
    <v>14.35</v>
    <v>Electrical Utilities &amp; IPPs</v>
    <v>Stock</v>
    <v>46084.041600312499</v>
    <v>1122</v>
    <v>14.19</v>
    <v>10119237989</v>
    <v>THE AES CORPORATION</v>
    <v>THE AES CORPORATION</v>
    <v>14.345000000000001</v>
    <v>10.5222</v>
    <v>17.28</v>
    <v>14.21</v>
    <v>14.25</v>
    <v>712120900</v>
    <v>AES</v>
    <v>THE AES CORPORATION (XNYS:AES)</v>
    <v>80209568</v>
    <v>10256000</v>
    <v>1981</v>
  </rv>
  <rv s="2">
    <v>1123</v>
  </rv>
  <rv s="7">
    <fb>16.09</fb>
    <v>13</v>
  </rv>
  <rv s="7">
    <fb>15.75</fb>
    <v>13</v>
  </rv>
  <rv s="0">
    <v>https://www.bing.com/financeapi/forcetrigger?t=a1ra3m&amp;q=XNYS%3aDRI&amp;form=skydnc</v>
    <v>Learn more on Bing</v>
  </rv>
  <rv s="1">
    <v>0</v>
    <v>DARDEN RESTAURANTS, INC. (XNYS:DRI)</v>
    <v>2</v>
    <v>3</v>
    <v>Finance</v>
    <v>10</v>
    <v>en-US</v>
    <v>a1ra3m</v>
    <v>268435456</v>
    <v>1</v>
    <v>Powered by Refinitiv</v>
    <v>228.27</v>
    <v>169</v>
    <v>0.60050000000000003</v>
    <v>-3.98</v>
    <v>-1.8610999999999999E-2</v>
    <v>-1.87</v>
    <v>-8.9099999999999995E-3</v>
    <v>USD</v>
    <v>Darden Restaurants, Inc. is a restaurant company. The Company owns and operates full-service dining restaurants in the United States and Canada under the trade names Olive Garden, LongHorn Steakhouse, Yard House, Ruth's Chris Steak House, Cheddar's Scratch Kitchen, The Capital Grille, Chuy's, Seasons 52, Eddie V's and Bahama Breeze. It owns and operates approximately 2,140 restaurants in the United States and Canada. Its segments include Olive Garden, LongHorn Steakhouse, Fine Dining, and Other Businesses. Olive Garden is a full-service Italian dining restaurant operator in the United States. LongHorn Steakhouse is a full-service steakhouse restaurant, which features a variety of menu items including signature steaks and chicken, as well as salmon, shrimp, and burgers. Fine Dining includes Ruth’s Chris, The Capital Grille and Eddie V’s. Other businesses include Cheddar’s Scratch Kitchen, Yard House, Bahama Breeze, Seasons 52, and The Capital Burger.</v>
    <v>197924</v>
    <v>New York Stock Exchange</v>
    <v>XNYS</v>
    <v>XNYS</v>
    <v>1000 Darden Center Dr, ORLANDO, FL, 32837 US</v>
    <v>212.94</v>
    <v>Hotels &amp; Entertainment Services</v>
    <v>Stock</v>
    <v>46083.925198159377</v>
    <v>1127</v>
    <v>208.35</v>
    <v>24164284891</v>
    <v>DARDEN RESTAURANTS, INC.</v>
    <v>DARDEN RESTAURANTS, INC.</v>
    <v>212.94</v>
    <v>22.4053</v>
    <v>213.85</v>
    <v>209.87</v>
    <v>208</v>
    <v>115139300</v>
    <v>DRI</v>
    <v>DARDEN RESTAURANTS, INC. (XNYS:DRI)</v>
    <v>962672</v>
    <v>1265462</v>
    <v>1995</v>
  </rv>
  <rv s="2">
    <v>1128</v>
  </rv>
  <rv s="7">
    <fb>205.49</fb>
    <v>13</v>
  </rv>
  <rv s="7">
    <fb>212.22</fb>
    <v>13</v>
  </rv>
  <rv s="0">
    <v>https://www.bing.com/financeapi/forcetrigger?t=a24war&amp;q=XNAS%3aULTA&amp;form=skydnc</v>
    <v>Learn more on Bing</v>
  </rv>
  <rv s="1">
    <v>0</v>
    <v>ULTA BEAUTY, INC. (XNAS:ULTA)</v>
    <v>2</v>
    <v>3</v>
    <v>Finance</v>
    <v>4</v>
    <v>en-US</v>
    <v>a24war</v>
    <v>268435456</v>
    <v>1</v>
    <v>Powered by Refinitiv</v>
    <v>714.96990000000005</v>
    <v>309.01</v>
    <v>0.82230000000000003</v>
    <v>-7.79</v>
    <v>-1.1375999999999999E-2</v>
    <v>-0.03</v>
    <v>-4.4310000000000001E-5</v>
    <v>USD</v>
    <v>Ulta Beauty, Inc. is a specialty United States beauty retailer and the premier beauty destination for cosmetics, fragrance, skincare products, haircare products and salon services. The Company operates approximately 1,451 retail stores across 50 states and distributes products through its Website, which includes a collection of tips, tutorials, and social content. The Company’s business includes a differentiated assortment of approximately 29,000 beauty products across a variety of categories and price points, as well as a variety of beauty services, including salon services, in more than 1,400 stores predominantly located in convenient, high-traffic locations. It also offers digital experiences delivered through its Website, Ulta.com, and its mobile applications. The Company’s brands include Ulta Beauty Collection, about-face, Ariana Grande, CHANEL, FENTY BEAUTY by Rihanna, It Cosmetics, LolaVie, OUAI, PAT McGRATH LABS, Tula, and NYX Professional Makeup.</v>
    <v>20000</v>
    <v>Nasdaq Stock Market</v>
    <v>XNAS</v>
    <v>XNAS</v>
    <v>1000 Remington Blvd, Suite 120, BOLINGBROOK, IL, 60440 US</v>
    <v>682.51</v>
    <v>Specialty Retailers</v>
    <v>Stock</v>
    <v>46083.925196943746</v>
    <v>1132</v>
    <v>666.46280000000002</v>
    <v>30033189090</v>
    <v>ULTA BEAUTY, INC.</v>
    <v>ULTA BEAUTY, INC.</v>
    <v>680.83</v>
    <v>26.283799999999999</v>
    <v>684.79</v>
    <v>677</v>
    <v>676.97</v>
    <v>44362170</v>
    <v>ULTA</v>
    <v>ULTA BEAUTY, INC. (XNAS:ULTA)</v>
    <v>394213</v>
    <v>522035</v>
    <v>2016</v>
  </rv>
  <rv s="2">
    <v>1133</v>
  </rv>
  <rv s="7">
    <fb>673.39</fb>
    <v>13</v>
  </rv>
  <rv s="7">
    <fb>678.64</fb>
    <v>13</v>
  </rv>
  <rv s="0">
    <v>https://www.bing.com/financeapi/forcetrigger?t=a1tdvh&amp;q=XNAS%3aFSLR&amp;form=skydnc</v>
    <v>Learn more on Bing</v>
  </rv>
  <rv s="1">
    <v>0</v>
    <v>FIRST SOLAR, INC. (XNAS:FSLR)</v>
    <v>2</v>
    <v>3</v>
    <v>Finance</v>
    <v>4</v>
    <v>en-US</v>
    <v>a1tdvh</v>
    <v>268435456</v>
    <v>1</v>
    <v>Powered by Refinitiv</v>
    <v>285.99</v>
    <v>116.5625</v>
    <v>1.6476</v>
    <v>2.66</v>
    <v>1.3488999999999999E-2</v>
    <v>-0.24</v>
    <v>-1.201E-3</v>
    <v>USD</v>
    <v>First Solar, Inc. is a photovoltaic (PV) solar technology and manufacturing company. It is focused on enabling power generation needs with its advanced, thin film PV technology. The Company's primary segment is its modules business, which involves the design, manufacture, and sale of CdTe solar modules, which convert sunlight into electricity. Third-party customers of the segment include system developers, independent power producers, utilities, commercial and industrial companies, and other system owners and operators. The Company's products include the Series 7 Module and Series 6 Plus module. Its Series 6 Plus module is a glass laminate approximately 4ft x 6ft in size that encapsulates thin film PV semiconductor materials. Its Series 7 module has a larger form factor of approximately 4ft x 7ft in size. The Series 6 Plus and Series 7 modules had an average power output of 459 watts and 531 watts, respectively.</v>
    <v>7900</v>
    <v>Nasdaq Stock Market</v>
    <v>XNAS</v>
    <v>XNAS</v>
    <v>4300 E Camelback Road, Suite 220, PHOENIX, AZ, 85018 US</v>
    <v>200.79</v>
    <v>Renewable Energy</v>
    <v>Stock</v>
    <v>46083.925198251563</v>
    <v>1137</v>
    <v>191.7929</v>
    <v>21447176460</v>
    <v>FIRST SOLAR, INC.</v>
    <v>FIRST SOLAR, INC.</v>
    <v>193.1</v>
    <v>13.8796</v>
    <v>197.2</v>
    <v>199.86</v>
    <v>199.62</v>
    <v>107311000</v>
    <v>FSLR</v>
    <v>FIRST SOLAR, INC. (XNAS:FSLR)</v>
    <v>2343419</v>
    <v>2962340</v>
    <v>2003</v>
  </rv>
  <rv s="2">
    <v>1138</v>
  </rv>
  <rv s="7">
    <fb>239.04</fb>
    <v>13</v>
  </rv>
  <rv s="7">
    <fb>238.06</fb>
    <v>13</v>
  </rv>
  <rv s="0">
    <v>https://www.bing.com/financeapi/forcetrigger?t=a22227&amp;q=XNYS%3aRJF&amp;form=skydnc</v>
    <v>Learn more on Bing</v>
  </rv>
  <rv s="1">
    <v>0</v>
    <v>RAYMOND JAMES FINANCIAL, INC. (XNYS:RJF)</v>
    <v>2</v>
    <v>3</v>
    <v>Finance</v>
    <v>10</v>
    <v>en-US</v>
    <v>a22227</v>
    <v>268435456</v>
    <v>1</v>
    <v>Powered by Refinitiv</v>
    <v>177.66</v>
    <v>117.565</v>
    <v>1.0086999999999999</v>
    <v>1.34</v>
    <v>8.7539999999999996E-3</v>
    <v>0</v>
    <v>0</v>
    <v>USD</v>
    <v>Raymond James Financial, Inc. is a diversified financial services company that provides services to individuals, corporations and municipalities. The Company's segments include Private Client Group (PCG), Capital Markets, Asset Management, Bank and Other. PCG segment provides financial planning, investment advisory, and securities transaction services to clients through financial advisors. Capital Markets segment conducts investment banking, institutional sales, securities trading, equity research, and the syndication and management of investments in low-income housing funds and funds of a similar nature. Asset Management segment provides asset management, portfolio management and related administrative services to retail and institutional clients. Bank segment includes Raymond James Bank, a Florida-chartered state member bank, and TriState Capital Bank, a Pennsylvania-chartered state member bank. Other segment includes corporate cash balances and its private equity investments.</v>
    <v>19500</v>
    <v>New York Stock Exchange</v>
    <v>XNYS</v>
    <v>XNYS</v>
    <v>880 Carillon Pkwy, ST. PETERSBURG, FL, 33716 US</v>
    <v>156.11000000000001</v>
    <v>Investment Banking &amp; Investment Services</v>
    <v>Stock</v>
    <v>46083.925194536721</v>
    <v>1142</v>
    <v>150.22999999999999</v>
    <v>30434792219</v>
    <v>RAYMOND JAMES FINANCIAL, INC.</v>
    <v>RAYMOND JAMES FINANCIAL, INC.</v>
    <v>150.97999999999999</v>
    <v>14.983599999999999</v>
    <v>153.08000000000001</v>
    <v>154.41999999999999</v>
    <v>154.41999999999999</v>
    <v>197091000</v>
    <v>RJF</v>
    <v>RAYMOND JAMES FINANCIAL, INC. (XNYS:RJF)</v>
    <v>1207383</v>
    <v>1590493</v>
    <v>1974</v>
  </rv>
  <rv s="2">
    <v>1143</v>
  </rv>
  <rv s="7">
    <fb>166.2</fb>
    <v>13</v>
  </rv>
  <rv s="7">
    <fb>169.89</fb>
    <v>13</v>
  </rv>
  <rv s="0">
    <v>https://www.bing.com/financeapi/forcetrigger?t=a23ocw&amp;q=XNYS%3aSTE&amp;form=skydnc</v>
    <v>Learn more on Bing</v>
  </rv>
  <rv s="1">
    <v>0</v>
    <v>STERIS PUBLIC LIMITED COMPANY (XNYS:STE)</v>
    <v>2</v>
    <v>3</v>
    <v>Finance</v>
    <v>4</v>
    <v>en-US</v>
    <v>a23ocw</v>
    <v>268435456</v>
    <v>1</v>
    <v>Powered by Refinitiv</v>
    <v>269.44</v>
    <v>204.9</v>
    <v>1.0490999999999999</v>
    <v>-4.59</v>
    <v>-1.8189E-2</v>
    <v>-0.56000000000000005</v>
    <v>-2.2599999999999999E-3</v>
    <v>USD</v>
    <v>STERIS Plc is a provider of products and services that support patient care with an emphasis on infection prevention. Its segments include Healthcare, Applied Sterilization Technologies (AST), and Life Sciences. Its Healthcare segment provides a comprehensive offering for healthcare providers worldwide, focused on sterile processing departments and procedural centers, such as operating rooms and endoscopy suites. AST segment supports medical device and pharmaceutical manufacturers through a global network of contract sterilization and laboratory testing facilities, and integrated sterilization equipment and control systems. Its Life Sciences segment provides a comprehensive offering of products and services designed to support biopharmaceutical and medical device research and manufacturing facilities, in particular those focused on aseptic manufacturing. Its portfolio includes a full suite of consumable products, equipment maintenance, specialty services, and capital equipment.</v>
    <v>17787</v>
    <v>New York Stock Exchange</v>
    <v>XNYS</v>
    <v>XNYS</v>
    <v>70 Sir John Rogerson's Quay, DUBLIN IE</v>
    <v>251.35</v>
    <v>Healthcare Equipment &amp; Supplies</v>
    <v>Stock</v>
    <v>46083.982792615629</v>
    <v>1147</v>
    <v>245.5</v>
    <v>24299066955</v>
    <v>STERIS PUBLIC LIMITED COMPANY</v>
    <v>STERIS PUBLIC LIMITED COMPANY</v>
    <v>249.91</v>
    <v>34.481999999999999</v>
    <v>252.35</v>
    <v>247.76</v>
    <v>247.21</v>
    <v>98075020</v>
    <v>STE</v>
    <v>STERIS PUBLIC LIMITED COMPANY (XNYS:STE)</v>
    <v>791287</v>
    <v>952461</v>
    <v>2016</v>
  </rv>
  <rv s="2">
    <v>1148</v>
  </rv>
  <rv s="7">
    <fb>261.67</fb>
    <v>13</v>
  </rv>
  <rv s="7">
    <fb>264.27</fb>
    <v>13</v>
  </rv>
  <rv s="0">
    <v>https://www.bing.com/financeapi/forcetrigger?t=a242qh&amp;q=XNYS%3aTDG&amp;form=skydnc</v>
    <v>Learn more on Bing</v>
  </rv>
  <rv s="1">
    <v>0</v>
    <v>TRANSDIGM GROUP INCORPORATED (XNYS:TDG)</v>
    <v>2</v>
    <v>3</v>
    <v>Finance</v>
    <v>4</v>
    <v>en-US</v>
    <v>a242qh</v>
    <v>268435456</v>
    <v>1</v>
    <v>Powered by Refinitiv</v>
    <v>1519.3530000000001</v>
    <v>1107.4507000000001</v>
    <v>0.9325</v>
    <v>13.58</v>
    <v>1.0423999999999999E-2</v>
    <v>0.74</v>
    <v>5.622E-4</v>
    <v>USD</v>
    <v>TransDigm Group Incorporated, through its wholly owned subsidiaries, is a global designer, producer and supplier of highly engineered aircraft components for use on nearly all commercial and military aircraft in service. Its segments include Power &amp; Control, Airframe and Non-aviation. Its product offerings provided to end-users in the aerospace industry include mechanical/electro-mechanical actuators and controls, ignition systems and engine technology, specialized pumps and valves, power conditioning devices, specialized AC/DC electric motors and generators, batteries and chargers, engineered latching and locking devices, engineered rods, engineered connectors and elastomer sealing solutions, databus and power controls, cockpit security components and systems, specialized and advanced cockpit displays, engineered audio, radio and antenna systems, specialized lavatory components, seat belts and safety restraints, engineered and customized interior surfaces and related components.</v>
    <v>16500</v>
    <v>New York Stock Exchange</v>
    <v>XNYS</v>
    <v>XNYS</v>
    <v>1350 Euclid Avenue, Suite 1600, CLEVELAND, OH, 44115 US</v>
    <v>1327.08</v>
    <v>Aerospace &amp; Defense</v>
    <v>Stock</v>
    <v>46084.005135925778</v>
    <v>1152</v>
    <v>1300.019</v>
    <v>74340100177</v>
    <v>TRANSDIGM GROUP INCORPORATED</v>
    <v>TRANSDIGM GROUP INCORPORATED</v>
    <v>1310.28</v>
    <v>41.898400000000002</v>
    <v>1302.79</v>
    <v>1316.37</v>
    <v>1317</v>
    <v>56473560</v>
    <v>TDG</v>
    <v>TRANSDIGM GROUP INCORPORATED (XNYS:TDG)</v>
    <v>365421</v>
    <v>415992</v>
    <v>2003</v>
  </rv>
  <rv s="2">
    <v>1153</v>
  </rv>
  <rv s="7">
    <fb>1301.93</fb>
    <v>13</v>
  </rv>
  <rv s="7">
    <fb>1264.79</fb>
    <v>13</v>
  </rv>
  <rv s="0">
    <v>https://www.bing.com/financeapi/forcetrigger?t=a1o1ar&amp;q=XNYS%3aAVY&amp;form=skydnc</v>
    <v>Learn more on Bing</v>
  </rv>
  <rv s="1">
    <v>0</v>
    <v>AVERY DENNISON CORPORATION (XNYS:AVY)</v>
    <v>2</v>
    <v>3</v>
    <v>Finance</v>
    <v>10</v>
    <v>en-US</v>
    <v>a1o1ar</v>
    <v>268435456</v>
    <v>1</v>
    <v>Powered by Refinitiv</v>
    <v>199.54</v>
    <v>156.22999999999999</v>
    <v>0.97319999999999995</v>
    <v>-1.38</v>
    <v>-7.0279999999999995E-3</v>
    <v>0</v>
    <v>0</v>
    <v>USD</v>
    <v>Avery Dennison Corporation is a global materials science and digital identification solutions company. The Company provides a range of branding and information solutions that optimize labor and supply chain efficiency, reduce waste, advance sustainability, circularity and transparency, and connect brands and consumers. Its Materials Group segment manufactures and sells pressure-sensitive label materials, films for graphic and reflective products, performance tapes and other adhesive products for industrial, medical and other applications, as well as fastener solutions. Its Solutions Group segment designs, manufactures and sells a variety of branding and information solutions, including brand and price tickets, tags and labels (including radio-frequency identification (RFID) inlays), and related services, supplies and equipment. It serves an array of industries worldwide, including home and personal care, apparel, general retail, e-commerce, logistics, food and grocery, and others.</v>
    <v>35000</v>
    <v>New York Stock Exchange</v>
    <v>XNYS</v>
    <v>XNYS</v>
    <v>8080 Norton Parkway, MENTOR, OH, 44060 US</v>
    <v>196.08</v>
    <v>Containers &amp; Packaging</v>
    <v>Stock</v>
    <v>46083.925212800779</v>
    <v>1157</v>
    <v>192.935</v>
    <v>14988891961</v>
    <v>AVERY DENNISON CORPORATION</v>
    <v>AVERY DENNISON CORPORATION</v>
    <v>194.97</v>
    <v>22.3462</v>
    <v>196.35</v>
    <v>194.97</v>
    <v>194.97</v>
    <v>76877940</v>
    <v>AVY</v>
    <v>AVERY DENNISON CORPORATION (XNYS:AVY)</v>
    <v>500186</v>
    <v>643646</v>
    <v>1977</v>
  </rv>
  <rv s="2">
    <v>1158</v>
  </rv>
  <rv s="7">
    <fb>186.82</fb>
    <v>13</v>
  </rv>
  <rv s="7">
    <fb>193.13</fb>
    <v>13</v>
  </rv>
  <rv s="0">
    <v>https://www.bing.com/financeapi/forcetrigger?t=a25par&amp;q=XNYS%3aWAT&amp;form=skydnc</v>
    <v>Learn more on Bing</v>
  </rv>
  <rv s="1">
    <v>0</v>
    <v>WATERS CORPORATION (XNYS:WAT)</v>
    <v>2</v>
    <v>3</v>
    <v>Finance</v>
    <v>4</v>
    <v>en-US</v>
    <v>a25par</v>
    <v>268435456</v>
    <v>1</v>
    <v>Powered by Refinitiv</v>
    <v>414.15</v>
    <v>275.05</v>
    <v>1.2007000000000001</v>
    <v>-12.25</v>
    <v>-3.8356000000000001E-2</v>
    <v>0.27</v>
    <v>8.788E-4</v>
    <v>USD</v>
    <v>Waters Corporation is a global life sciences and diagnostics company. The Company offers analytical instruments, separations technologies, and software, serving life, materials, food, and environmental sciences. Its segments include Waters and TA. The Company primarily designs, manufactures, sells and services high-performance liquid chromatography (HPLC), ultra-performance liquid chromatography (UPLC and together with HPLC, referred to as LC) and mass spectrometry (MS) technology systems and support products, including chromatography columns, other consumable products and comprehensive post-warranty service plans. The Company designs, manufactures, sells and services thermal analysis, rheometry and calorimetry instruments through its TA Instruments (TA) product line. The Company is also a developer and supplier of advanced software-based products that interface with the Company’s instruments, as well as other manufacturers’ instruments.</v>
    <v>7900</v>
    <v>New York Stock Exchange</v>
    <v>XNYS</v>
    <v>XNYS</v>
    <v>34 MAPLE ST, MILFORD, MA, 01757-3604 US</v>
    <v>314.45</v>
    <v>Healthcare Equipment &amp; Supplies</v>
    <v>Stock</v>
    <v>46083.959878159374</v>
    <v>1162</v>
    <v>306.52</v>
    <v>19469050674</v>
    <v>WATERS CORPORATION</v>
    <v>WATERS CORPORATION</v>
    <v>313.11</v>
    <v>29.6844</v>
    <v>319.38</v>
    <v>307.13</v>
    <v>307.5</v>
    <v>98101870</v>
    <v>WAT</v>
    <v>WATERS CORPORATION (XNYS:WAT)</v>
    <v>1260682</v>
    <v>1435561</v>
    <v>1991</v>
  </rv>
  <rv s="2">
    <v>1163</v>
  </rv>
  <rv s="7">
    <fb>378.95</fb>
    <v>13</v>
  </rv>
  <rv s="7">
    <fb>384.33</fb>
    <v>13</v>
  </rv>
  <rv s="0">
    <v>https://www.bing.com/financeapi/forcetrigger?t=a1pyar&amp;q=XNYS%3aCMS&amp;form=skydnc</v>
    <v>Learn more on Bing</v>
  </rv>
  <rv s="1">
    <v>0</v>
    <v>CMS ENERGY CORPORATION (XNYS:CMS)</v>
    <v>2</v>
    <v>3</v>
    <v>Finance</v>
    <v>10</v>
    <v>en-US</v>
    <v>a1pyar</v>
    <v>268435456</v>
    <v>1</v>
    <v>Powered by Refinitiv</v>
    <v>78.47</v>
    <v>67.704999999999998</v>
    <v>0.46410000000000001</v>
    <v>0.01</v>
    <v>1.281E-4</v>
    <v>0.23</v>
    <v>2.9459999999999998E-3</v>
    <v>USD</v>
    <v>CMS Energy Corporation is an energy company operating primarily in Michigan. It manages its businesses by the nature of services each provides and operates principally in three business segments: Electric Utility, Gas Utility and NorthStar Clean Energy. The Electric Utility segment consists of regulated activities associated with the generation, purchase, distribution, and sale of electricity in Michigan. The Gas Utility segment consists of regulated activities associated with the purchase, transmission, storage, distribution, and sale of natural gas in Michigan. The NorthStar Clean Energy segment consists of various subsidiaries engaging in domestic independent power production, including the development and operation of renewable generation, and the marketing of independent power production. Its gas transmission, storage, and distribution system consists of 2,342 miles of transmission lines with 15 gas storage fields with a total storage capacity of 309 billion cubic feet (Bcf).</v>
    <v>8350</v>
    <v>New York Stock Exchange</v>
    <v>XNYS</v>
    <v>XNYS</v>
    <v>One Energy Plaza, JACKSON, MI, 49201 US</v>
    <v>78.47</v>
    <v>Multiline Utilities</v>
    <v>Stock</v>
    <v>46083.925191376562</v>
    <v>1167</v>
    <v>77.775000000000006</v>
    <v>23925343872</v>
    <v>CMS ENERGY CORPORATION</v>
    <v>CMS ENERGY CORPORATION</v>
    <v>78.040000000000006</v>
    <v>22.180399999999999</v>
    <v>78.069999999999993</v>
    <v>78.08</v>
    <v>78.31</v>
    <v>306420900</v>
    <v>CMS</v>
    <v>CMS ENERGY CORPORATION (XNYS:CMS)</v>
    <v>2524898</v>
    <v>3667576</v>
    <v>1987</v>
  </rv>
  <rv s="2">
    <v>1168</v>
  </rv>
  <rv s="7">
    <fb>71.8</fb>
    <v>13</v>
  </rv>
  <rv s="7">
    <fb>71.599999999999994</fb>
    <v>13</v>
  </rv>
  <rv s="0">
    <v>https://www.bing.com/financeapi/forcetrigger?t=a1pffr&amp;q=XNYS%3aCE&amp;form=skydnc</v>
    <v>Learn more on Bing</v>
  </rv>
  <rv s="9">
    <v>14</v>
    <v>CELANESE CORPORATION (XNYS:CE)</v>
    <v>2</v>
    <v>15</v>
    <v>Finance</v>
    <v>4</v>
    <v>en-US</v>
    <v>a1pffr</v>
    <v>268435456</v>
    <v>1</v>
    <v>Powered by Refinitiv</v>
    <v>63.55</v>
    <v>35.130000000000003</v>
    <v>1.0705</v>
    <v>-0.17</v>
    <v>-3.4039999999999999E-3</v>
    <v>0.55000000000000004</v>
    <v>1.106E-2</v>
    <v>USD</v>
    <v>Celanese Corporation is a global chemical and specialty materials company. The Company is a global producer of engineered polymers that are used in a variety of applications. Its segments include Engineered Materials and the Acetyl Chain. The Company's Engineered Materials segment includes the engineered materials business and certain strategic affiliates. The Engineered Materials business develops, produces and supplies a broad portfolio of high-performance specialty polymers for automotive and medical applications, as well as industrial products and consumer electronics. The Company's Acetyl Chain segment includes the integrated chain of acetic acid, vinyl acetate monomer (VAM), acetic anhydride, acetate esters, emulsion polymers, ethylene vinyl acetate (EVA) polymers, redispersible powders (RDP), and acetate tow businesses. The Acetyl Chain business produces and supplies acetyl products, including acetic acid, VAM, acetic anhydride and acetate esters.</v>
    <v>11434</v>
    <v>New York Stock Exchange</v>
    <v>XNYS</v>
    <v>XNYS</v>
    <v>222 W. Las Colinas Blvd., Suite 900N, IRVING, TX, 75039-5421 US</v>
    <v>49.82</v>
    <v>Chemicals</v>
    <v>Stock</v>
    <v>46084.041236353907</v>
    <v>1172</v>
    <v>46.634999999999998</v>
    <v>5453398440</v>
    <v>CELANESE CORPORATION</v>
    <v>CELANESE CORPORATION</v>
    <v>48.51</v>
    <v>49.94</v>
    <v>49.77</v>
    <v>50.28</v>
    <v>109572000</v>
    <v>CE</v>
    <v>CELANESE CORPORATION (XNYS:CE)</v>
    <v>2640121</v>
    <v>2529059</v>
    <v>2004</v>
  </rv>
  <rv s="2">
    <v>1173</v>
  </rv>
  <rv s="7">
    <fb>48.04</fb>
    <v>13</v>
  </rv>
  <rv s="7">
    <fb>52.81</fb>
    <v>13</v>
  </rv>
  <rv s="0">
    <v>https://www.bing.com/financeapi/forcetrigger?t=a1vc52&amp;q=XNYS%3aIEX&amp;form=skydnc</v>
    <v>Learn more on Bing</v>
  </rv>
  <rv s="1">
    <v>0</v>
    <v>IDEX CORPORATION (XNYS:IEX)</v>
    <v>2</v>
    <v>3</v>
    <v>Finance</v>
    <v>4</v>
    <v>en-US</v>
    <v>a1vc52</v>
    <v>268435456</v>
    <v>1</v>
    <v>Powered by Refinitiv</v>
    <v>217.155</v>
    <v>153.36000000000001</v>
    <v>0.97109999999999996</v>
    <v>1.97</v>
    <v>9.4050000000000002E-3</v>
    <v>0.02</v>
    <v>9.4539999999999999E-5</v>
    <v>USD</v>
    <v>IDEX Corporation is a global applied solutions provider. The Company designs and builds engineered products and mission-critical components. Its segments include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and provides flow monitoring and other services. The HST segment designs, produces and distributes a range of precision fluidics, positive displacement pumps, powder and liquid processing technologies, drying systems, micro-precision components, pneumatic components and sealing solutions, and others. The FSDP segment designs, produces and distributes firefighting pumps, valves and controls, rescue tools, lifting bags and other components and systems; engineered stainless steel banding and clamping devices, and others.</v>
    <v>8700</v>
    <v>New York Stock Exchange</v>
    <v>XNYS</v>
    <v>XNYS</v>
    <v>3100 Sanders Road, Suite 301, NORTHBROOK, IL, 60062 US</v>
    <v>212</v>
    <v>Machinery, Equipment &amp; Components</v>
    <v>Stock</v>
    <v>46084.011347094529</v>
    <v>1177</v>
    <v>205.52</v>
    <v>15720103060</v>
    <v>IDEX CORPORATION</v>
    <v>IDEX CORPORATION</v>
    <v>207.01</v>
    <v>32.6629</v>
    <v>209.47</v>
    <v>211.44</v>
    <v>211.56</v>
    <v>74347820</v>
    <v>IEX</v>
    <v>IDEX CORPORATION (XNYS:IEX)</v>
    <v>658398</v>
    <v>970608</v>
    <v>1987</v>
  </rv>
  <rv s="2">
    <v>1178</v>
  </rv>
  <rv s="7">
    <fb>201.61</fb>
    <v>13</v>
  </rv>
  <rv s="7">
    <fb>212.25</fb>
    <v>13</v>
  </rv>
  <rv s="0">
    <v>https://www.bing.com/financeapi/forcetrigger?t=axxc6h&amp;q=XNAS%3aPFG&amp;form=skydnc</v>
    <v>Learn more on Bing</v>
  </rv>
  <rv s="1">
    <v>0</v>
    <v>PRINCIPAL FINANCIAL GROUP, INC. (XNAS:PFG)</v>
    <v>2</v>
    <v>3</v>
    <v>Finance</v>
    <v>4</v>
    <v>en-US</v>
    <v>axxc6h</v>
    <v>268435456</v>
    <v>1</v>
    <v>Powered by Refinitiv</v>
    <v>97.88</v>
    <v>68.39</v>
    <v>0.88160000000000005</v>
    <v>0.41</v>
    <v>4.2970000000000005E-3</v>
    <v>0</v>
    <v>0</v>
    <v>USD</v>
    <v>Principal Financial Group, Inc. is a global financial company. The Company offers businesses, individuals, and institutional clients a range of financial products and services, including retirement, asset management and insurance, through its diverse family of financial services companies. The Company's segments include Retirement and Income Solutions, Principal Asset Management, and Benefits and Protection. The Retirement and Income Solutions segment offers workplace savings and retirement solutions, banking, trust and custodial services, individual variable annuities, and pension risk transfer, among others. The Principal Asset Management segment provides global investment solutions to institutional, retirement, retail, and high-net worth investors. The Benefits and Protection segment is organized into Specialty Benefits, which provides group dental, group life insurance, group disability insurance, supplemental health products, and individual disability and life insurance.</v>
    <v>19700</v>
    <v>Nasdaq Stock Market</v>
    <v>XNAS</v>
    <v>XNAS</v>
    <v>711 High Street, DES MOINES, IA, 50392 US</v>
    <v>97.3</v>
    <v>Insurance</v>
    <v>Stock</v>
    <v>46083.925197082812</v>
    <v>1182</v>
    <v>93.36</v>
    <v>20779307633</v>
    <v>PRINCIPAL FINANCIAL GROUP, INC.</v>
    <v>PRINCIPAL FINANCIAL GROUP, INC.</v>
    <v>94.14</v>
    <v>18.080100000000002</v>
    <v>95.42</v>
    <v>95.83</v>
    <v>95.83</v>
    <v>216835100</v>
    <v>PFG</v>
    <v>PRINCIPAL FINANCIAL GROUP, INC. (XNAS:PFG)</v>
    <v>1329716</v>
    <v>1894851</v>
    <v>2001</v>
  </rv>
  <rv s="2">
    <v>1183</v>
  </rv>
  <rv s="7">
    <fb>95.29</fb>
    <v>13</v>
  </rv>
  <rv s="7">
    <fb>96.4</fb>
    <v>13</v>
  </rv>
  <rv s="0">
    <v>https://www.bing.com/financeapi/forcetrigger?t=a1qyvh&amp;q=XNYS%3aDG&amp;form=skydnc</v>
    <v>Learn more on Bing</v>
  </rv>
  <rv s="1">
    <v>0</v>
    <v>DOLLAR GENERAL CORPORATION (XNYS:DG)</v>
    <v>2</v>
    <v>3</v>
    <v>Finance</v>
    <v>4</v>
    <v>en-US</v>
    <v>a1qyvh</v>
    <v>268435456</v>
    <v>1</v>
    <v>Powered by Refinitiv</v>
    <v>158.22999999999999</v>
    <v>70.010000000000005</v>
    <v>0.2382</v>
    <v>-3.625</v>
    <v>-2.3200999999999999E-2</v>
    <v>-0.32</v>
    <v>-2.0969999999999999E-3</v>
    <v>USD</v>
    <v>Dollar General Corporation is a discount retailer. The Company offers merchandise, including consumable items, seasonal items, home products and apparel. Its merchandise includes brands from manufacturers, as well as its own private brand selections with prices at discounts to brands. Its consumables category includes paper and cleaning products, packaged food, perishables, snacks, health and beauty, pet, and tobacco products. Its seasonal products include holiday items, toys, batteries, small electronics, greeting cards, stationery, prepaid phones and accessories, gardening supplies, hardware, automotive and home office supplies. Its home products include kitchen supplies, cookware, small appliances, light bulbs, storage containers, frames, candles, craft supplies and kitchen, bed and bath soft goods. The Company’s apparel products include basic items for infants, toddlers, girls, boys, women and men, as well as socks, underwear, disposable diapers, shoes and accessories.</v>
    <v>194200</v>
    <v>New York Stock Exchange</v>
    <v>XNYS</v>
    <v>XNYS</v>
    <v>100 Mission Ridge, GOODLETTSVILLE, TN, 37072-2171 US</v>
    <v>156.88</v>
    <v>Diversified Retail</v>
    <v>Stock</v>
    <v>46084.032041214843</v>
    <v>1187</v>
    <v>151.43</v>
    <v>33593445923</v>
    <v>DOLLAR GENERAL CORPORATION</v>
    <v>DOLLAR GENERAL CORPORATION</v>
    <v>154.625</v>
    <v>26.976400000000002</v>
    <v>156.24</v>
    <v>152.61500000000001</v>
    <v>152.30000000000001</v>
    <v>220118900</v>
    <v>DG</v>
    <v>DOLLAR GENERAL CORPORATION (XNYS:DG)</v>
    <v>2497309</v>
    <v>2672089</v>
    <v>1998</v>
  </rv>
  <rv s="2">
    <v>1188</v>
  </rv>
  <rv s="7">
    <fb>148.04</fb>
    <v>13</v>
  </rv>
  <rv s="0">
    <v>https://www.bing.com/financeapi/forcetrigger?t=a1sifr&amp;q=XNAS%3aEXPE&amp;form=skydnc</v>
    <v>Learn more on Bing</v>
  </rv>
  <rv s="1">
    <v>0</v>
    <v>EXPEDIA GROUP, INC. (XNAS:EXPE)</v>
    <v>2</v>
    <v>3</v>
    <v>Finance</v>
    <v>4</v>
    <v>en-US</v>
    <v>a1sifr</v>
    <v>268435456</v>
    <v>1</v>
    <v>Powered by Refinitiv</v>
    <v>303.8</v>
    <v>130.01</v>
    <v>1.4127000000000001</v>
    <v>-2.4500000000000002</v>
    <v>-1.1358999999999999E-2</v>
    <v>-0.24</v>
    <v>-1.1250000000000001E-3</v>
    <v>USD</v>
    <v>Expedia Group, Inc. is an online travel company. The Company’s segments include B2C, B2B, and trivago. The B2C segment provides a full range of travel and advertising services to its worldwide customers through a variety of consumer brands including: Expedia.com, Hotels.com, Vrbo, Orbitz, Travelocity, Wotif Group, ebookers, CheapTickets, Hotwire.com and CarRentals.com. The B2B segment fuels a wide range of travel and non-travel companies, including airlines, offline travel agents, online retailers, corporate travel management and financial institutions, who leverage travel technology and tap into its diverse supply to augment their offerings and market Expedia Group rates and availabilities to their travelers. Its trivago segment generates advertising revenue primarily from sending referrals to online travel companies and travel service providers from its hotel metasearch Websites. The trivago is its majority-owned hotel metasearch company, based in Dusseldorf, Germany.</v>
    <v>16000</v>
    <v>Nasdaq Stock Market</v>
    <v>XNAS</v>
    <v>XNAS</v>
    <v>1111 Expedia Group Way W, SEATTLE, WA, 98119-1111 US</v>
    <v>215.83850000000001</v>
    <v>Hotels &amp; Entertainment Services</v>
    <v>Stock</v>
    <v>46083.950450173441</v>
    <v>1191</v>
    <v>203.18</v>
    <v>26129342076</v>
    <v>EXPEDIA GROUP, INC.</v>
    <v>EXPEDIA GROUP, INC.</v>
    <v>208.31</v>
    <v>18.916799999999999</v>
    <v>215.69</v>
    <v>213.24</v>
    <v>213</v>
    <v>122534900</v>
    <v>EXPE</v>
    <v>EXPEDIA GROUP, INC. (XNAS:EXPE)</v>
    <v>3179626</v>
    <v>3604365</v>
    <v>2005</v>
  </rv>
  <rv s="2">
    <v>1192</v>
  </rv>
  <rv s="7">
    <fb>234.46</fb>
    <v>13</v>
  </rv>
  <rv s="7">
    <fb>236.48</fb>
    <v>13</v>
  </rv>
  <rv s="0">
    <v>https://www.bing.com/financeapi/forcetrigger?t=a1ww5r&amp;q=XNYS%3aLH&amp;form=skydnc</v>
    <v>Learn more on Bing</v>
  </rv>
  <rv s="1">
    <v>0</v>
    <v>LABCORP HOLDINGS INC. (XNYS:LH)</v>
    <v>2</v>
    <v>3</v>
    <v>Finance</v>
    <v>4</v>
    <v>en-US</v>
    <v>a1ww5r</v>
    <v>268435456</v>
    <v>1</v>
    <v>Powered by Refinitiv</v>
    <v>293.72000000000003</v>
    <v>209.375</v>
    <v>1.0085</v>
    <v>-2.64</v>
    <v>-9.1310000000000002E-3</v>
    <v>-0.01</v>
    <v>-3.4910000000000003E-5</v>
    <v>USD</v>
    <v>Labcorp Holdings Inc. provides comprehensive laboratory services that help doctors, hospitals, pharmaceutical companies, researchers and patients. The Company operates through two segments: Diagnostics Laboratories (Dx) and Biopharma Laboratory Services (BLS). The Diagnostics Laboratories segment includes routine testing and specialty/esoteric testing. Dx operates through a network of patient service centers, branches, rapid response laboratories, primary laboratories, and specialty laboratories. The BLS segment provides drug development and CDx development solutions from early-stage research to clinical development, along with support for crop protection and chemical testing, through its ED and Central Laboratory Services businesses. Its service also includes ambulatory outpatient laboratory services. The Company is focused on four primary specialty testing areas, such as oncology, women's health, autoimmune disease, and neurology.</v>
    <v>71000</v>
    <v>New York Stock Exchange</v>
    <v>XNYS</v>
    <v>XNYS</v>
    <v>358 S Main St, BURLINGTON, NC, 27215 US</v>
    <v>289.12</v>
    <v>Healthcare Providers &amp; Services</v>
    <v>Stock</v>
    <v>46084.022449385935</v>
    <v>1196</v>
    <v>285.20999999999998</v>
    <v>23605952000</v>
    <v>LABCORP HOLDINGS INC.</v>
    <v>LABCORP HOLDINGS INC.</v>
    <v>287.24</v>
    <v>27.6435</v>
    <v>289.12</v>
    <v>286.48</v>
    <v>286.45999999999998</v>
    <v>82400000</v>
    <v>LH</v>
    <v>LABCORP HOLDINGS INC. (XNYS:LH)</v>
    <v>442030</v>
    <v>749151</v>
    <v>2024</v>
  </rv>
  <rv s="2">
    <v>1197</v>
  </rv>
  <rv s="7">
    <fb>272.2</fb>
    <v>13</v>
  </rv>
  <rv s="7">
    <fb>276.16000000000003</fb>
    <v>13</v>
  </rv>
  <rv s="0">
    <v>https://www.bing.com/financeapi/forcetrigger?t=a25zz2&amp;q=XNYS%3aWRB&amp;form=skydnc</v>
    <v>Learn more on Bing</v>
  </rv>
  <rv s="1">
    <v>0</v>
    <v>W. R. BERKLEY CORPORATION (XNYS:WRB)</v>
    <v>2</v>
    <v>3</v>
    <v>Finance</v>
    <v>10</v>
    <v>en-US</v>
    <v>a25zz2</v>
    <v>268435456</v>
    <v>1</v>
    <v>Powered by Refinitiv</v>
    <v>77.821100000000001</v>
    <v>59.399299999999997</v>
    <v>0.35320000000000001</v>
    <v>1.54</v>
    <v>2.1478000000000001E-2</v>
    <v>-0.73</v>
    <v>-9.9670000000000002E-3</v>
    <v>USD</v>
    <v>W. R. Berkley Corporation is an insurance holding company. It operates through two segments of the property casualty insurance business: Insurance and Reinsurance &amp; Monoline Excess. Its Insurance businesses underwrite commercial insurance business, including excess and surplus lines, admitted lines and specialty personal lines throughout the United States, as well as insurance business in Asia, Australia, Canada, Continental Europe, Mexico, Scandinavia, South America and the United Kingdom. Its Insurance segment consists of business units, including Acadia Insurance, Admiral Insurance, Berkley Accident and Health, Berkley Agribusiness and others. It provides professional liability and casualty insurance for small to mid-sized businesses though the business unit Berkley Edge. Its Reinsurance &amp; Monoline Excess offers reinsurance business on a facultative and treaty basis in the United States, United Kingdom, Continental Europe, Australia, the Asia-Pacific region and South Africa.</v>
    <v>8606</v>
    <v>New York Stock Exchange</v>
    <v>XNYS</v>
    <v>XNYS</v>
    <v>475 Steamboat Road, GREENWICH, CT, 06830 US</v>
    <v>73.42</v>
    <v>Insurance</v>
    <v>Stock</v>
    <v>46083.925216503907</v>
    <v>1201</v>
    <v>71.53</v>
    <v>27622905439</v>
    <v>W. R. BERKLEY CORPORATION</v>
    <v>W. R. BERKLEY CORPORATION</v>
    <v>71.53</v>
    <v>16.113</v>
    <v>71.7</v>
    <v>73.239999999999995</v>
    <v>72.510000000000005</v>
    <v>377156000</v>
    <v>WRB</v>
    <v>W. R. BERKLEY CORPORATION (XNYS:WRB)</v>
    <v>1639980</v>
    <v>2394624</v>
    <v>1970</v>
  </rv>
  <rv s="2">
    <v>1202</v>
  </rv>
  <rv s="7">
    <fb>69.19</fb>
    <v>13</v>
  </rv>
  <rv s="7">
    <fb>70.19</fb>
    <v>13</v>
  </rv>
  <rv s="0">
    <v>https://www.bing.com/financeapi/forcetrigger?t=a1pj4c&amp;q=XNYS%3aCFG&amp;form=skydnc</v>
    <v>Learn more on Bing</v>
  </rv>
  <rv s="1">
    <v>0</v>
    <v>CITIZENS FINANCIAL GROUP, INC. (XNYS:CFG)</v>
    <v>2</v>
    <v>3</v>
    <v>Finance</v>
    <v>4</v>
    <v>en-US</v>
    <v>a1pj4c</v>
    <v>268435456</v>
    <v>1</v>
    <v>Powered by Refinitiv</v>
    <v>68.790000000000006</v>
    <v>32.6</v>
    <v>1.0771999999999999</v>
    <v>0.88</v>
    <v>1.4619999999999999E-2</v>
    <v>0.21</v>
    <v>3.4380000000000001E-3</v>
    <v>USD</v>
    <v>Citizens Financial Group, Inc. offers a range of retail and commercial banking products and services to individuals, small businesses, middle-market companies, large corporations and institutions. The Company operates through two segments: Consumer Banking and Commercial Banking. Consumer Banking segment serves consumer customers and small businesses, with products and services that include deposits, mortgage and home equity lending, credit cards, small business loans, wealth management and investment services largely across its 14-state traditional banking footprint. Consumer Banking segment operates approximately 1,000 branches, including 143 in-store locations, and approximately 3,100 ATMs. Commercial Banking segment primarily serves companies and institutions with financial products and solutions, including lending and leasing, deposit and treasury management services, foreign exchange, interest rate and commodity risk management solutions, as well as syndicated loans, and others.</v>
    <v>17398</v>
    <v>New York Stock Exchange</v>
    <v>XNYS</v>
    <v>XNYS</v>
    <v>1 CITIZENS PLAZA, PROVIDENCE, RI, 02903 US</v>
    <v>61.4</v>
    <v>Banking Services</v>
    <v>Stock</v>
    <v>46084.040434849216</v>
    <v>1206</v>
    <v>58.61</v>
    <v>25953754559</v>
    <v>CITIZENS FINANCIAL GROUP, INC.</v>
    <v>CITIZENS FINANCIAL GROUP, INC.</v>
    <v>59.15</v>
    <v>15.562900000000001</v>
    <v>60.19</v>
    <v>61.07</v>
    <v>61.3</v>
    <v>424983700</v>
    <v>CFG</v>
    <v>CITIZENS FINANCIAL GROUP, INC. (XNYS:CFG)</v>
    <v>6283395</v>
    <v>5298642</v>
    <v>1984</v>
  </rv>
  <rv s="2">
    <v>1207</v>
  </rv>
  <rv s="7">
    <fb>65.97</fb>
    <v>13</v>
  </rv>
  <rv s="7">
    <fb>66.599999999999994</fb>
    <v>13</v>
  </rv>
  <rv s="0">
    <v>https://www.bing.com/financeapi/forcetrigger?t=a1q5hw&amp;q=XNYS%3aCOO&amp;form=skydnc</v>
    <v>Learn more on Bing</v>
  </rv>
  <rv s="1">
    <v>0</v>
    <v>THE COOPER COMPANIES, INC. (XNAS:COO)</v>
    <v>2</v>
    <v>3</v>
    <v>Finance</v>
    <v>4</v>
    <v>en-US</v>
    <v>a1q5hw</v>
    <v>268435456</v>
    <v>1</v>
    <v>Powered by Refinitiv</v>
    <v>92.84</v>
    <v>61.774999999999999</v>
    <v>1.0189999999999999</v>
    <v>0.25</v>
    <v>2.9880000000000002E-3</v>
    <v>-0.34549999999999997</v>
    <v>-4.117E-3</v>
    <v>USD</v>
    <v>The Cooper Companies, Inc. is a global medical device company. The Company operates in two business units: CooperVision and CooperSurgical. CooperVision segment is involved in the contact lens industry. CooperSurgical segment is involved in the fertility and women's health care market through its diversified portfolio of products and services, including fertility products and services, medical devices, cryostorage (such as cord blood and cord tissue storage) and contraception. CooperVision’s products include MyDay daily disposable, MyDay daily disposable toric, MyDay Energys, MyDay multifocal, Biofinity &amp; Biofinity XR, Biofinity Energys. CooperSurgical’s portfolio includes INSORB, Lone Star, and the Doppler Blood Flow Monitor. It also offers a suite of single-use cordless surgical retractors with an integrated multi-light-emitting diode (LED) light source and dual smoke evacuation channels, and single-use surgical suction devices with an integrated, cordless radial LED light source.</v>
    <v>15000</v>
    <v>Nasdaq Stock Market</v>
    <v>XNAS</v>
    <v>XNAS</v>
    <v>6101 Bollinger Canyon Road, Suite 500, SAN RAMON, CA, 94583 US</v>
    <v>84.09</v>
    <v>Healthcare Equipment &amp; Supplies</v>
    <v>Stock</v>
    <v>46083.957141400002</v>
    <v>1211</v>
    <v>82.12</v>
    <v>16373983664</v>
    <v>THE COOPER COMPANIES, INC.</v>
    <v>THE COOPER COMPANIES, INC.</v>
    <v>83.59</v>
    <v>44.635899999999999</v>
    <v>83.67</v>
    <v>83.92</v>
    <v>83.5745</v>
    <v>195114200</v>
    <v>COO</v>
    <v>THE COOPER COMPANIES, INC. (XNAS:COO)</v>
    <v>1689133</v>
    <v>1711847</v>
    <v>1980</v>
  </rv>
  <rv s="2">
    <v>1212</v>
  </rv>
  <rv s="7">
    <fb>79.33</fb>
    <v>13</v>
  </rv>
  <rv s="7">
    <fb>80.92</fb>
    <v>13</v>
  </rv>
  <rv s="0">
    <v>http://zh.wikipedia.org/wiki/味可美</v>
    <v>Wikipedia</v>
  </rv>
  <rv s="3">
    <v>18</v>
    <v>1216</v>
  </rv>
  <rv s="4">
    <v>9</v>
    <v>https://www.bing.com/th?id=AMMS_8d96836a886471f7120ce0135f3ca8bd&amp;qlt=95</v>
    <v>1217</v>
    <v>0</v>
    <v>https://www.bing.com/images/search?form=xlimg&amp;q=mccormick+%26+company</v>
    <v>Image of MCCORMICK &amp; COMPANY, INCORPORATED</v>
  </rv>
  <rv s="0">
    <v>https://www.bing.com/financeapi/forcetrigger?t=a1xoc7&amp;q=XNYS%3aMKC&amp;form=skydnc</v>
    <v>Learn more on Bing</v>
  </rv>
  <rv s="5">
    <v>5</v>
    <v>MCCORMICK &amp; COMPANY, INCORPORATED (XNYS:MKC)</v>
    <v>7</v>
    <v>8</v>
    <v>Finance</v>
    <v>10</v>
    <v>en-US</v>
    <v>a1xoc7</v>
    <v>268435456</v>
    <v>1</v>
    <v>Powered by Refinitiv</v>
    <v>86.24</v>
    <v>59.62</v>
    <v>0.58520000000000005</v>
    <v>-1.1399999999999999</v>
    <v>-1.6046999999999999E-2</v>
    <v>0</v>
    <v>0</v>
    <v>USD</v>
    <v>McCormick &amp; Company, Incorporated manufactures, markets, and distributes herbs, spices, seasonings, condiments and flavors to the entire food and beverage industry, including retailers, food manufacturers and foodservice businesses. It operates through two segments: consumer and flavor solutions. The consumer segment sells to retail channels, including grocery, mass merchandise, warehouse clubs, discount and drug stores, and e-commerce under the McCormick brand and a variety of brands around the world, including French's, Frank's RedHot, Lawry’s, Zatarain’s, Simply Asia, Thai Kitchen, Ducros, Vahine, Cholula, Schwartz, Club House, Kamis, DaQiao, La Drogheria, Stubb's, OLD BAY, Gourmet Garden, and others. In its flavor solutions segment, it provides a range of products to multinational food manufacturers and foodservice customers. The foodservice customers are supplied with branded, packaged products both directly by the Company and indirectly through distributors.</v>
    <v>14100</v>
    <v>New York Stock Exchange</v>
    <v>XNYS</v>
    <v>XNYS</v>
    <v>24 Schilling Road, Suite 1, HUNT VALLEY, MD, 21031 US</v>
    <v>70.75</v>
    <v>1218</v>
    <v>Food &amp; Tobacco</v>
    <v>Stock</v>
    <v>46083.925194733594</v>
    <v>1219</v>
    <v>68.84</v>
    <v>18763830180</v>
    <v>MCCORMICK &amp; COMPANY, INCORPORATED</v>
    <v>MCCORMICK &amp; COMPANY, INCORPORATED</v>
    <v>70.67</v>
    <v>24.243200000000002</v>
    <v>71.040000000000006</v>
    <v>69.900000000000006</v>
    <v>69.900000000000006</v>
    <v>268438200</v>
    <v>MKC</v>
    <v>MCCORMICK &amp; COMPANY, INCORPORATED (XNYS:MKC)</v>
    <v>1991437</v>
    <v>3826437</v>
    <v>1915</v>
  </rv>
  <rv s="2">
    <v>1220</v>
  </rv>
  <rv s="7">
    <fb>63.29</fb>
    <v>13</v>
  </rv>
  <rv s="7">
    <fb>66.58</fb>
    <v>13</v>
  </rv>
  <rv s="0">
    <v>https://www.bing.com/financeapi/forcetrigger?t=a243ec&amp;q=XNYS%3aTDY&amp;form=skydnc</v>
    <v>Learn more on Bing</v>
  </rv>
  <rv s="1">
    <v>0</v>
    <v>TELEDYNE TECHNOLOGIES INCORPORATED (XNYS:TDY)</v>
    <v>2</v>
    <v>3</v>
    <v>Finance</v>
    <v>10</v>
    <v>en-US</v>
    <v>a243ec</v>
    <v>268435456</v>
    <v>1</v>
    <v>Powered by Refinitiv</v>
    <v>692.88</v>
    <v>419</v>
    <v>0.99570000000000003</v>
    <v>7.49</v>
    <v>1.0997E-2</v>
    <v>0</v>
    <v>0</v>
    <v>USD</v>
    <v>Teledyne Technologies Incorporated is a provider of digital imaging products and software, instrumentation, aerospace and defense electronics, and engineered systems. Its segments include Digital Imaging, which includes sensors, cameras and systems, within the visible, infrared, ultraviolet and X-ray spectra for use in industrial, scientific, government, defense, and others; Instrumentation segment offers monitoring and control instruments for marine, environmental, industrial and other applications, and electronic test and measurement equipment; Aerospace and Defense Electronics segment provides electronic and optical components and subsystems, data acquisition and communications components and equipment, harsh environment interconnects, general aviation batteries and other components, and Engineered Systems segment provides systems engineering, integration and technology development and manufacturing solutions. It also develops and manufactures gas sensors for critical applications.</v>
    <v>15800</v>
    <v>New York Stock Exchange</v>
    <v>XNYS</v>
    <v>XNYS</v>
    <v>1049 Camino Dos Rios, THOUSAND OAKS, CA, 91360 US</v>
    <v>692.88</v>
    <v>Electronic Equipment &amp; Parts</v>
    <v>Stock</v>
    <v>46083.96337203672</v>
    <v>1224</v>
    <v>676.75</v>
    <v>31885373412</v>
    <v>TELEDYNE TECHNOLOGIES INCORPORATED</v>
    <v>TELEDYNE TECHNOLOGIES INCORPORATED</v>
    <v>680.22</v>
    <v>36.079700000000003</v>
    <v>681.1</v>
    <v>688.59</v>
    <v>688.59</v>
    <v>46305310</v>
    <v>TDY</v>
    <v>TELEDYNE TECHNOLOGIES INCORPORATED (XNYS:TDY)</v>
    <v>274854</v>
    <v>378088</v>
    <v>1999</v>
  </rv>
  <rv s="2">
    <v>1225</v>
  </rv>
  <rv s="7">
    <fb>640.41999999999996</fb>
    <v>13</v>
  </rv>
  <rv s="7">
    <fb>629.73</fb>
    <v>13</v>
  </rv>
  <rv s="0">
    <v>https://www.bing.com/financeapi/forcetrigger?t=a1vn8m&amp;q=XNYS%3aINVH&amp;form=skydnc</v>
    <v>Learn more on Bing</v>
  </rv>
  <rv s="1">
    <v>0</v>
    <v>INVITATION HOMES INC. (XNYS:INVH)</v>
    <v>2</v>
    <v>3</v>
    <v>Finance</v>
    <v>4</v>
    <v>en-US</v>
    <v>a1vn8m</v>
    <v>268435456</v>
    <v>1</v>
    <v>Powered by Refinitiv</v>
    <v>35.798999999999999</v>
    <v>25.21</v>
    <v>0.83460000000000001</v>
    <v>-0.20499999999999999</v>
    <v>-7.783E-3</v>
    <v>-0.21</v>
    <v>-8.0309999999999999E-3</v>
    <v>USD</v>
    <v>Invitation Homes Inc. is a real estate investment trust that conducts its operations through Invitation Homes Operating Partnership LP (INVH LP). INVH LP is engaged in owning, renovating, leasing, and operating single-family residential properties. Through THR Property Management L.P., a subsidiary of INVH LP, and its wholly owned subsidiaries (collectively, the Manager), it provides all management and other administrative services. The Manager provides professional property and asset management services to portfolio owners of single-family homes for lease. It has a vertically integrated operating platform that enables the Company to acquire, renovate, lease, maintain, and manage both the homes it owns and those it manages on behalf of others. Its business activity includes property operations, marketing and leasing, digital marketing initiatives and branding, resident relations and property maintenance, and investment and asset management. It has approximately 85,138 homes for lease.</v>
    <v>1725</v>
    <v>New York Stock Exchange</v>
    <v>XNYS</v>
    <v>XNYS</v>
    <v>5420 Lbj Freeway, Suite 600, DALLAS, TX, 75240 US</v>
    <v>26.44</v>
    <v>Residential &amp; Commercial REIT</v>
    <v>Stock</v>
    <v>46084.003217916405</v>
    <v>1229</v>
    <v>26.09</v>
    <v>15926305723</v>
    <v>INVITATION HOMES INC.</v>
    <v>INVITATION HOMES INC.</v>
    <v>26.27</v>
    <v>27.5169</v>
    <v>26.34</v>
    <v>26.135000000000002</v>
    <v>25.94</v>
    <v>609386100</v>
    <v>INVH</v>
    <v>INVITATION HOMES INC. (XNYS:INVH)</v>
    <v>5569262</v>
    <v>6856662</v>
    <v>2017</v>
  </rv>
  <rv s="2">
    <v>1230</v>
  </rv>
  <rv s="7">
    <fb>26.18</fb>
    <v>13</v>
  </rv>
  <rv s="7">
    <fb>26.47</fb>
    <v>13</v>
  </rv>
  <rv s="0">
    <v>https://www.bing.com/financeapi/forcetrigger?t=a1ou77&amp;q=XNYS%3aBRO&amp;form=skydnc</v>
    <v>Learn more on Bing</v>
  </rv>
  <rv s="1">
    <v>0</v>
    <v>BROWN &amp; BROWN, INC. (XNYS:BRO)</v>
    <v>2</v>
    <v>3</v>
    <v>Finance</v>
    <v>10</v>
    <v>en-US</v>
    <v>a1ou77</v>
    <v>268435456</v>
    <v>1</v>
    <v>Powered by Refinitiv</v>
    <v>125.675</v>
    <v>65.680000000000007</v>
    <v>0.78649999999999998</v>
    <v>0.54</v>
    <v>7.5190000000000005E-3</v>
    <v>0.01</v>
    <v>1.382E-4</v>
    <v>USD</v>
    <v>Brown &amp; Brown, Inc. is an insurance brokerage company engaged in delivering risk management solutions. It markets and sells insurance products and services, primarily in the property, casualty and employee benefits areas. Its segments include the Retail segment provides a range of insurance products and services to commercial, public and quasi-public, professional and individual insured customers, and non-insurance services and products through its automobile dealer services F&amp;I businesses; The Programs segment specializes in the development, underwriting and management of insurance program business, often designed for niche, underserved markets, and distributes these coverages to retail agencies, as well as affinity groups, wholesale entities and sold direct to consumers; and The Wholesale Brokerage segment markets and sells excess and surplus commercial and personal lines insurance, primarily through independent agents and brokers, as well as Brown &amp; Brown retail agents.</v>
    <v>14531</v>
    <v>New York Stock Exchange</v>
    <v>XNYS</v>
    <v>XNYS</v>
    <v>300 N. Beach Street, DAYTONA BEACH, FL, 32114 US</v>
    <v>72.91</v>
    <v>Insurance</v>
    <v>Stock</v>
    <v>46083.991457615622</v>
    <v>1234</v>
    <v>70.78</v>
    <v>24632791200</v>
    <v>BROWN &amp; BROWN, INC.</v>
    <v>BROWN &amp; BROWN, INC.</v>
    <v>71.599999999999994</v>
    <v>21.305900000000001</v>
    <v>71.819999999999993</v>
    <v>72.36</v>
    <v>72.37</v>
    <v>340420000</v>
    <v>BRO</v>
    <v>BROWN &amp; BROWN, INC. (XNYS:BRO)</v>
    <v>2570170</v>
    <v>4002850</v>
    <v>1959</v>
  </rv>
  <rv s="2">
    <v>1235</v>
  </rv>
  <rv s="7">
    <fb>71.959999999999994</fb>
    <v>13</v>
  </rv>
  <rv s="7">
    <fb>74.03</fb>
    <v>13</v>
  </rv>
  <rv s="0">
    <v>https://www.bing.com/financeapi/forcetrigger?t=a24km7&amp;q=XNYS%3aTSN&amp;form=skydnc</v>
    <v>Learn more on Bing</v>
  </rv>
  <rv s="1">
    <v>0</v>
    <v>TYSON FOODS, INCORPORATED (XNYS:TSN)</v>
    <v>2</v>
    <v>3</v>
    <v>Finance</v>
    <v>4</v>
    <v>en-US</v>
    <v>a24km7</v>
    <v>268435456</v>
    <v>1</v>
    <v>Powered by Refinitiv</v>
    <v>66.41</v>
    <v>50.56</v>
    <v>0.46489999999999998</v>
    <v>-0.6</v>
    <v>-9.2320000000000006E-3</v>
    <v>-0.32629999999999998</v>
    <v>-5.0670000000000003E-3</v>
    <v>USD</v>
    <v>Tyson Foods, Inc. is a food company. The Company has a portfolio of iconic products and brands, including Tyson, Jimmy Dean, Hillshire Farm, Ball Park, Wright, State Fair, Aidells and ibp. Its segments include Beef, Pork, Chicken and Prepared Foods. The Beef segment includes operations related to processing live-fed cattle and fabricating dressed beef carcasses into primal and sub-primal meat cuts and case-ready products. Its Pork segment includes operations related to processing live market hogs and fabricating pork carcasses into primal and sub-primal cuts and case-ready products. The Chicken segment includes domestic operations related to raising and processing live chickens into, and purchasing raw materials for fresh, frozen and value-added chicken products and sales from specialty products. The Prepared Foods segment includes operations related to manufacturing and marketing frozen and refrigerated food products and logistics operations to move products through the supply chain.</v>
    <v>133000</v>
    <v>New York Stock Exchange</v>
    <v>XNYS</v>
    <v>XNYS</v>
    <v>2200 DON TYSON PARKWAY, SPRINGDALE, AR, 72762-6999 US</v>
    <v>64.849999999999994</v>
    <v>Food &amp; Tobacco</v>
    <v>Stock</v>
    <v>46083.96008804375</v>
    <v>1239</v>
    <v>64</v>
    <v>22670366810</v>
    <v>TYSON FOODS, INCORPORATED</v>
    <v>TYSON FOODS, INCORPORATED</v>
    <v>64.75</v>
    <v>113.96559999999999</v>
    <v>64.989999999999995</v>
    <v>64.39</v>
    <v>64.073700000000002</v>
    <v>352079000</v>
    <v>TSN</v>
    <v>TYSON FOODS, INCORPORATED (XNYS:TSN)</v>
    <v>2875900</v>
    <v>3165230</v>
    <v>1986</v>
  </rv>
  <rv s="2">
    <v>1240</v>
  </rv>
  <rv s="7">
    <fb>64.760000000000005</fb>
    <v>13</v>
  </rv>
  <rv s="7">
    <fb>65</fb>
    <v>13</v>
  </rv>
  <rv s="0">
    <v>https://www.bing.com/financeapi/forcetrigger?t=ae7t3m&amp;q=XPAR%3aATO&amp;form=skydnc</v>
    <v>Learn more on Bing</v>
  </rv>
  <rv s="15">
    <v>28</v>
    <v>Atos SE (XPAR:ATO)</v>
    <v>2</v>
    <v>36</v>
    <v>Finance</v>
    <v>26</v>
    <v>en-US</v>
    <v>ae7t3m</v>
    <v>268435456</v>
    <v>1</v>
    <v>Powered by Refinitiv</v>
    <v>63.24</v>
    <v>25</v>
    <v>-6.2830000000000004</v>
    <v>-0.38500000000000001</v>
    <v>-9.5809999999999992E-3</v>
    <v>EUR</v>
    <v>Atos SE is a France-based company that provides digital transformation and IT services. The Company activity is organized around 3 poles, such as outsourcing services, systems integration and consulting services and transactional services. It offers processing of electronic payment transactions, remote payment management, development of payment solutions, etc. It provides secure and carbon-free digital technology. The Company offers its clients an end-to-end approach by offering them cutting-edge digital solutions, consulting services, as well as digital security and decarbonization solutions. It provides cloud and digital workplace solution and managed security services.</v>
    <v>66968</v>
    <v>Euronext Paris</v>
    <v>XPAR</v>
    <v>XPAR</v>
    <v>River Ouest 80, Quai Voltaire, BEZONS, ILE-DE-FRANCE, 95870 FR</v>
    <v>40.604999999999997</v>
    <v>Software &amp; IT Services</v>
    <v>Stock</v>
    <v>46083.708333333336</v>
    <v>1244</v>
    <v>36.200000000000003</v>
    <v>1089818000</v>
    <v>Atos SE</v>
    <v>Atos SE</v>
    <v>38.090000000000003</v>
    <v>1.3299999999999999E-2</v>
    <v>40.185000000000002</v>
    <v>39.799999999999997</v>
    <v>19750180</v>
    <v>ATO</v>
    <v>Atos SE (XPAR:ATO)</v>
    <v>226468</v>
    <v>262230</v>
    <v>1982</v>
  </rv>
  <rv s="2">
    <v>1245</v>
  </rv>
  <rv s="7">
    <fb>54.1</fb>
    <v>27</v>
  </rv>
  <rv s="7">
    <fb>51.9</fb>
    <v>27</v>
  </rv>
  <rv s="0">
    <v>https://www.bing.com/financeapi/forcetrigger?t=aqclfr&amp;q=XWAR%3aLVC&amp;form=skydnc</v>
    <v>Learn more on Bing</v>
  </rv>
  <rv s="15">
    <v>28</v>
    <v>Text SA (XWAR:TXT)</v>
    <v>2</v>
    <v>37</v>
    <v>Finance</v>
    <v>38</v>
    <v>en-US</v>
    <v>aqclfr</v>
    <v>268435456</v>
    <v>1</v>
    <v>Powered by Refinitiv</v>
    <v>62.25</v>
    <v>35.5</v>
    <v>1.18E-2</v>
    <v>-0.8</v>
    <v>-2.1053000000000002E-2</v>
    <v>PLN</v>
    <v>Text SA, formerly known as Livechat Software SA is a Poland-based company engaged in the software industry. The Company is a producer and global provider of software as a service (SaaS) LiveChat, communication software for business. It enables fast and intuitive communication between company's employees and customers visiting corporate Website. The application also tracks customers’ activity on a Website. The Company produces and distributes software for business-to-consumer (B2C) and business-to-business (B2B) communication. Its product portfolio includes three types of LiveChat plans: Solo, dedicated to single user and offering such features as unlimited chats, ticketing system, enhanced security and basic reporting; Team, for numerous teams that additionally includes chat routing and groups creation; and Enterprise, for companies that, additionally to previous ones, provides advanced reporting, work scheduler and unlimited visits on a Website.</v>
    <v>0</v>
    <v>Warsaw Stock Exchange</v>
    <v>XWAR</v>
    <v>XWAR</v>
    <v>ul. Zwycieska 47, WROCLAW, WOJ. DOLNOSLASKIE, 53-033 PL</v>
    <v>37.78</v>
    <v>Software &amp; IT Services</v>
    <v>Stock</v>
    <v>46083.668749999997</v>
    <v>1249</v>
    <v>36.4</v>
    <v>1091800000</v>
    <v>Text SA</v>
    <v>Text SA</v>
    <v>37</v>
    <v>7.5015000000000001</v>
    <v>38</v>
    <v>37.200000000000003</v>
    <v>25750000</v>
    <v>TXT</v>
    <v>Text SA (XWAR:TXT)</v>
    <v>49833</v>
    <v>49800</v>
    <v>2007</v>
  </rv>
  <rv s="2">
    <v>1250</v>
  </rv>
  <rv s="7">
    <fb>42</fb>
    <v>39</v>
  </rv>
  <rv s="7">
    <fb>41.6</fb>
    <v>39</v>
  </rv>
  <rv s="0">
    <v>https://www.bing.com/financeapi/forcetrigger?t=a1usr7&amp;q=XNAS%3aHOLX&amp;form=skydnc</v>
    <v>Learn more on Bing</v>
  </rv>
  <rv s="1">
    <v>0</v>
    <v>HOLOGIC, INC. (XNAS:HOLX)</v>
    <v>2</v>
    <v>3</v>
    <v>Finance</v>
    <v>10</v>
    <v>en-US</v>
    <v>a1usr7</v>
    <v>268435456</v>
    <v>1</v>
    <v>Powered by Refinitiv</v>
    <v>75.484999999999999</v>
    <v>51.9</v>
    <v>0.72950000000000004</v>
    <v>0.09</v>
    <v>1.194E-3</v>
    <v>0</v>
    <v>0</v>
    <v>USD</v>
    <v>Hologic, Inc. is a medical technology company primarily focused on improving women's health and well-being through early detection and treatment. The Company is a developer, manufacturer and supplier of diagnostics products, medical imaging systems, and surgical products. Its segments include Diagnostics, Breast Health, GYN Surgical, and Skeletal Health. The Diagnostics segment offers a range of diagnostic products, which are used primarily to aid in the screening and diagnosis of human diseases. The Breast Health segment offers a broad portfolio of solutions for breast imaging, biopsy, breast surgery and pathology. The GYN Surgical segment's products include MyoSure hysteroscopic tissue removal system, NovaSure endometrial ablation system, Acessa ProVu laparoscopic radiofrequency ablation system, as well as CoolSeal vessel sealing portfolio and JustRight surgical stapler. The Skeletal Health segment's products include the Horizon DXA and the Fluoroscan Insight FD mini C-arm.</v>
    <v>7070</v>
    <v>Nasdaq Stock Market</v>
    <v>XNAS</v>
    <v>XNAS</v>
    <v>250 Campus Drive, MARLBOROUGH, MA, 01752 US</v>
    <v>75.48</v>
    <v>Healthcare Equipment &amp; Supplies</v>
    <v>Stock</v>
    <v>46083.925196782031</v>
    <v>1254</v>
    <v>75.2</v>
    <v>16843827705</v>
    <v>HOLOGIC, INC.</v>
    <v>HOLOGIC, INC.</v>
    <v>75.37</v>
    <v>31.275300000000001</v>
    <v>75.36</v>
    <v>75.45</v>
    <v>75.45</v>
    <v>223244900</v>
    <v>HOLX</v>
    <v>HOLOGIC, INC. (XNAS:HOLX)</v>
    <v>1842801</v>
    <v>2607680</v>
    <v>1990</v>
  </rv>
  <rv s="2">
    <v>1255</v>
  </rv>
  <rv s="7">
    <fb>74.63</fb>
    <v>13</v>
  </rv>
  <rv s="7">
    <fb>74.59</fb>
    <v>13</v>
  </rv>
  <rv s="0">
    <v>https://www.bing.com/financeapi/forcetrigger?t=a1pvu2&amp;q=XNYS%3aCLX&amp;form=skydnc</v>
    <v>Learn more on Bing</v>
  </rv>
  <rv s="1">
    <v>0</v>
    <v>THE CLOROX COMPANY (XNYS:CLX)</v>
    <v>2</v>
    <v>3</v>
    <v>Finance</v>
    <v>4</v>
    <v>en-US</v>
    <v>a1pvu2</v>
    <v>268435456</v>
    <v>1</v>
    <v>Powered by Refinitiv</v>
    <v>158.91</v>
    <v>96.6601</v>
    <v>0.5827</v>
    <v>-0.36</v>
    <v>-2.8310000000000002E-3</v>
    <v>-0.81</v>
    <v>-6.3880000000000004E-3</v>
    <v>USD</v>
    <v>The Clorox Company is a multinational manufacturer and marketer of consumer and professional products. The Company operates through four segments: Health and Wellness, Household, Lifestyle, and International. Its Health and Wellness segment consists of cleaning, disinfecting and professional products marketed and sold under the Clorox, Clorox2, Pine-Sol, Scentiva, Tilex, Liquid-Plumr and Formula 409 brands, CloroxPro, Clorox Healthcare brands, and Hidden Valley brand. in the United States. Its Household segment consists of bags and wraps, cat litter and grilling products marketed and sold under the Glad, Fresh Step and Scoop Away, and Kingsford brands in the United States. The Lifestyle segment consists of food, water-filtration and natural personal care products marketed and sold under the Hidden Valley, Brita and Burt’s Bees brands. International consists of products sold outside the United States. Its international brands include Chux, Clorinda and Poett.</v>
    <v>7600</v>
    <v>New York Stock Exchange</v>
    <v>XNYS</v>
    <v>XNYS</v>
    <v>1221 Broadway, OAKLAND, CA, 94612-1888 US</v>
    <v>127.46</v>
    <v>Personal &amp; Household Products &amp; Services</v>
    <v>Stock</v>
    <v>46084.002178171097</v>
    <v>1259</v>
    <v>125.14</v>
    <v>15331628920</v>
    <v>THE CLOROX COMPANY</v>
    <v>THE CLOROX COMPANY</v>
    <v>125.67</v>
    <v>20.776900000000001</v>
    <v>127.16</v>
    <v>126.8</v>
    <v>126</v>
    <v>120911900</v>
    <v>CLX</v>
    <v>THE CLOROX COMPANY (XNYS:CLX)</v>
    <v>1679388</v>
    <v>2279588</v>
    <v>1986</v>
  </rv>
  <rv s="2">
    <v>1260</v>
  </rv>
  <rv s="7">
    <fb>114.98</fb>
    <v>13</v>
  </rv>
  <rv s="7">
    <fb>117.77</fb>
    <v>13</v>
  </rv>
  <rv s="0">
    <v>https://www.bing.com/financeapi/forcetrigger?t=a1w1rw&amp;q=XNAS%3aJBHT&amp;form=skydnc</v>
    <v>Learn more on Bing</v>
  </rv>
  <rv s="1">
    <v>0</v>
    <v>J. B. HUNT TRANSPORT SERVICES, INC. (XNAS:JBHT)</v>
    <v>2</v>
    <v>3</v>
    <v>Finance</v>
    <v>4</v>
    <v>en-US</v>
    <v>a1w1rw</v>
    <v>268435456</v>
    <v>1</v>
    <v>Powered by Refinitiv</v>
    <v>234.82</v>
    <v>122.79</v>
    <v>1.234</v>
    <v>-1.34</v>
    <v>-5.7410000000000004E-3</v>
    <v>0.93</v>
    <v>4.0070000000000001E-3</v>
    <v>USD</v>
    <v>J.B. Hunt Transport Services, Inc. is a surface transportation, delivery, and logistics company in North America. The Company, through its wholly owned subsidiaries, provides a range of transportation, brokerage, and delivery services to a diverse group of customers and consumers throughout the continental United States, Canada, and Mexico. It operates through five segments: Intermodal (JBI), Dedicated Contract Services (DCS), Integrated Capacity Solutions (ICS), Final Mile Services (FMS) and Truckload (JBT). JBI segment includes freight that is transported by rail over at least some portion of the movement and also includes certain repositioning truck freight moved by JBI equipment or third-party carriers. DCS segment focuses on private fleet conversion and creation of replenishment and specialized equipment. ICS segment provides non-asset and asset-light transportation solutions to customers through relationships with third-party carriers and integration with Company-owned equipment.</v>
    <v>31750</v>
    <v>Nasdaq Stock Market</v>
    <v>XNAS</v>
    <v>XNAS</v>
    <v>615 Jb Hunt Corporate Dr, Po Box 130, LOWELL, AR, 72745 US</v>
    <v>234.45</v>
    <v>Freight &amp; Logistics Services</v>
    <v>Stock</v>
    <v>46083.995122789063</v>
    <v>1264</v>
    <v>227.99</v>
    <v>21954768845</v>
    <v>J. B. HUNT TRANSPORT SERVICES, INC.</v>
    <v>J. B. HUNT TRANSPORT SERVICES, INC.</v>
    <v>232.25</v>
    <v>37.983699999999999</v>
    <v>233.41</v>
    <v>232.07</v>
    <v>233</v>
    <v>94604080</v>
    <v>JBHT</v>
    <v>J. B. HUNT TRANSPORT SERVICES, INC. (XNAS:JBHT)</v>
    <v>616045</v>
    <v>1131933</v>
    <v>1961</v>
  </rv>
  <rv s="2">
    <v>1265</v>
  </rv>
  <rv s="7">
    <fb>220.61</fb>
    <v>13</v>
  </rv>
  <rv s="7">
    <fb>228.22</fb>
    <v>13</v>
  </rv>
  <rv s="0">
    <v>https://www.bing.com/financeapi/forcetrigger?t=a1z7mw&amp;q=XNYS%3aOMC&amp;form=skydnc</v>
    <v>Learn more on Bing</v>
  </rv>
  <rv s="1">
    <v>0</v>
    <v>OMNICOM GROUP INC. (XNYS:OMC)</v>
    <v>2</v>
    <v>3</v>
    <v>Finance</v>
    <v>10</v>
    <v>en-US</v>
    <v>a1z7mw</v>
    <v>268435456</v>
    <v>1</v>
    <v>Powered by Refinitiv</v>
    <v>89.268199999999993</v>
    <v>66.334599999999995</v>
    <v>0.72419999999999995</v>
    <v>7.0000000000000007E-2</v>
    <v>8.2070000000000005E-4</v>
    <v>-1.1100000000000001</v>
    <v>-1.3004E-2</v>
    <v>USD</v>
    <v>Omnicom Group Inc. is a provider of marketing and sales solutions. The Company offers a range of services in advertising, strategic media planning and buying, precision marketing, retail and digital commerce, branding, experiential, public relations, healthcare marketing and other specialty marketing services to over 5,000 clients in more than 70 countries. Its services include database management, digital/direct marketing, package design, crisis communications, custom publishing, data analytics, healthcare marketing and communications, instore design, interactive marketing, investor relations, mobile marketing, promotional marketing, public affairs, public relations, retail media and e-commerce, social media marketing, search engine marketing, studio production, sports and event marketing, marketing research and others. Its portfolio of companies includes BBDO, DDB, TBWA, Omnicom Media Group, the DAS Group of Companies, and the Communications Consultancy Network.</v>
    <v>120000</v>
    <v>New York Stock Exchange</v>
    <v>XNYS</v>
    <v>XNYS</v>
    <v>280 Park Avenue, NEW YORK, NY, 10017 US</v>
    <v>85.54</v>
    <v>Media &amp; Publishing</v>
    <v>Stock</v>
    <v>46083.925197742967</v>
    <v>1269</v>
    <v>83.59</v>
    <v>26490306568</v>
    <v>OMNICOM GROUP INC.</v>
    <v>OMNICOM GROUP INC.</v>
    <v>84.46</v>
    <v>172.48419999999999</v>
    <v>85.29</v>
    <v>85.36</v>
    <v>84.25</v>
    <v>310336300</v>
    <v>OMC</v>
    <v>OMNICOM GROUP INC. (XNYS:OMC)</v>
    <v>4141398</v>
    <v>6019345</v>
    <v>1944</v>
  </rv>
  <rv s="2">
    <v>1270</v>
  </rv>
  <rv s="7">
    <fb>67.989999999999995</fb>
    <v>13</v>
  </rv>
  <rv s="7">
    <fb>69.14</fb>
    <v>13</v>
  </rv>
  <rv s="0">
    <v>https://www.bing.com/financeapi/forcetrigger?t=a1yw1h&amp;q=XNYS%3aNVR&amp;form=skydnc</v>
    <v>Learn more on Bing</v>
  </rv>
  <rv s="1">
    <v>0</v>
    <v>NVR, Inc. (XNYS:NVR)</v>
    <v>2</v>
    <v>3</v>
    <v>Finance</v>
    <v>10</v>
    <v>en-US</v>
    <v>a1yw1h</v>
    <v>268435456</v>
    <v>1</v>
    <v>Powered by Refinitiv</v>
    <v>8618.2800000000007</v>
    <v>6562.8531000000003</v>
    <v>1.0366</v>
    <v>-102.04</v>
    <v>-1.3573E-2</v>
    <v>0</v>
    <v>0</v>
    <v>USD</v>
    <v>NVR, Inc. is engaged in the construction and sale of single-family detached homes, townhomes, and condominium buildings. The Company operates through two segments: homebuilding and mortgage banking. The homebuilding operations primarily construct and sell single-family detached homes, townhomes and condominium buildings under three trade names: Ryan Homes, NVHomes and Heartland Homes, and operate in 37 metropolitan areas in 16 states and Washington, District of Columbia (D.C.). Its mortgage banking operations primarily operate in the homebuilding operations market. Its mortgage banking business consists of origination fees, gains on sales of loans, and title fees. The homebuilding segments are comprised of operating divisions, such as Mid Atlantic, North East, Mid East and South East. Its Mid Atlantic divisions operate in Maryland, Virginia, West Virginia, Delaware and Washington, District of Columbia (D.C.). Its North East division operates in New Jersey and Eastern Pennsylvania.</v>
    <v>6300</v>
    <v>New York Stock Exchange</v>
    <v>XNYS</v>
    <v>XNYS</v>
    <v>11700 Plaza America Dr., Suite 500, RESTON, VA, 20190 US</v>
    <v>7445.58</v>
    <v>Homebuilding &amp; Construction Supplies</v>
    <v>Stock</v>
    <v>46083.949924178123</v>
    <v>1274</v>
    <v>7327.585</v>
    <v>20717825720</v>
    <v>NVR, Inc.</v>
    <v>NVR, Inc.</v>
    <v>7371.05</v>
    <v>17.220300000000002</v>
    <v>7517.79</v>
    <v>7415.75</v>
    <v>7415.75</v>
    <v>2793760</v>
    <v>NVR</v>
    <v>NVR, Inc. (XNYS:NVR)</v>
    <v>24083</v>
    <v>27250</v>
    <v>1993</v>
  </rv>
  <rv s="2">
    <v>1275</v>
  </rv>
  <rv s="7">
    <fb>7770.86</fb>
    <v>13</v>
  </rv>
  <rv s="7">
    <fb>8025.84</fb>
    <v>13</v>
  </rv>
  <rv s="0">
    <v>http://en.wikipedia.org/wiki/Western_Digital</v>
    <v>Wikipedia</v>
  </rv>
  <rv s="3">
    <v>18</v>
    <v>1279</v>
  </rv>
  <rv s="4">
    <v>9</v>
    <v>https://www.bing.com/th?id=AMMS_b9efb984265253a027f300c3dcbbcbc0&amp;qlt=95</v>
    <v>1280</v>
    <v>0</v>
    <v>https://www.bing.com/images/search?form=xlimg&amp;q=western+digital</v>
    <v>Image of WESTERN DIGITAL CORPORATION</v>
  </rv>
  <rv s="0">
    <v>https://www.bing.com/financeapi/forcetrigger?t=a25rnm&amp;q=XNAS%3aWDC&amp;form=skydnc</v>
    <v>Learn more on Bing</v>
  </rv>
  <rv s="5">
    <v>5</v>
    <v>WESTERN DIGITAL CORPORATION (XNAS:WDC)</v>
    <v>7</v>
    <v>8</v>
    <v>Finance</v>
    <v>10</v>
    <v>en-US</v>
    <v>a25rnm</v>
    <v>268435456</v>
    <v>1</v>
    <v>Powered by Refinitiv</v>
    <v>309.8999</v>
    <v>28.83</v>
    <v>1.7636000000000001</v>
    <v>-9.6199999999999992</v>
    <v>-3.4394000000000001E-2</v>
    <v>-0.61</v>
    <v>-2.2589999999999997E-3</v>
    <v>USD</v>
    <v>Western Digital Corporation is a developer, manufacturer and provider of data storage devices and solutions. It delivers hard disk drives (HDD) solutions for everyone from students, gamers, and home offices to enterprises and public clouds. The Company manufactures, markets, and sells data storage devices and solutions in the United States and in foreign countries through its sales personnel, dealers, distributors, retailers, and subsidiaries. Its portfolio of technology and products addresses multiple end markets: Cloud, Client, and Consumer. Cloud is comprised primarily of products for public or private cloud environments and end customers. Through the Client end market, it provides its original equipment manufacturer (OEM) and channel customers a range of hard drive solutions across personal computer, mobile, gaming, automotive, virtual reality headsets, at-home entertainment, and industrial spaces. The Consumer end market offers a range of retail and other end-user products.</v>
    <v>40000</v>
    <v>Nasdaq Stock Market</v>
    <v>XNAS</v>
    <v>XNAS</v>
    <v>5601 Great Oaks Parkway, SAN JOSE, CA, 95119 US</v>
    <v>283.92</v>
    <v>1281</v>
    <v>Computers, Phones &amp; Household Electronics</v>
    <v>Stock</v>
    <v>46083.949924443747</v>
    <v>1282</v>
    <v>261.5</v>
    <v>91567356032</v>
    <v>WESTERN DIGITAL CORPORATION</v>
    <v>WESTERN DIGITAL CORPORATION</v>
    <v>270.5</v>
    <v>26.4376</v>
    <v>279.7</v>
    <v>270.08</v>
    <v>269.47000000000003</v>
    <v>339037900</v>
    <v>WDC</v>
    <v>WESTERN DIGITAL CORPORATION (XNAS:WDC)</v>
    <v>7408734</v>
    <v>11280873</v>
    <v>2000</v>
  </rv>
  <rv s="2">
    <v>1283</v>
  </rv>
  <rv s="7">
    <fb>290.24</fb>
    <v>13</v>
  </rv>
  <rv s="7">
    <fb>269.41000000000003</fb>
    <v>13</v>
  </rv>
  <rv s="0">
    <v>https://www.bing.com/financeapi/forcetrigger?t=aayym7&amp;q=XTSE%3aK&amp;form=skydnc</v>
    <v>Learn more on Bing</v>
  </rv>
  <rv s="1">
    <v>0</v>
    <v>KINROSS GOLD CORPORATION (XTSE:K)</v>
    <v>2</v>
    <v>40</v>
    <v>Finance</v>
    <v>41</v>
    <v>en-US</v>
    <v>aayym7</v>
    <v>268435456</v>
    <v>1</v>
    <v>Powered by Refinitiv</v>
    <v>53.57</v>
    <v>15.09</v>
    <v>1.3107</v>
    <v>-0.13</v>
    <v>-2.5779999999999996E-3</v>
    <v>1.21</v>
    <v>2.4060000000000002E-2</v>
    <v>CAD</v>
    <v>Kinross Gold Corporation is a gold mining company with operations and projects in the United States, Brazil, Mauritania, Chile and Canada. The Company is engaged in gold mining and related activities, including exploration and acquisition of gold-bearing properties, the extraction and processing of gold-containing ore, and reclamation of gold mining properties. Its operations and projects include Fort Knox, Round Mountain, Bald Mountain, Manh Choh, Paracatu, La Coipa, Tasiast, and the Great Bear project, among others. Fort Knox is an open-pit gold mine located near the city of Fairbanks, Alaska. Round Mountain is an open-pit mine located in Nevada. Paracatu is a cornerstone operation located near the city of Paracatu in Brazil’s Minas Gerais region. The Tasiast mine is an open-pit operation located in northwestern Mauritania. The La Coipa mine is located in the Atacama region in Chile. The Great Bear is a development project in Canada.</v>
    <v>6600</v>
    <v>Toronto Stock Exchange</v>
    <v>XTSE</v>
    <v>XTSE</v>
    <v>25 York Street,, 17th Floor, TORONTO, ON, M5J 2V5 CA</v>
    <v>51.69</v>
    <v>Metals &amp; Mining</v>
    <v>Stock</v>
    <v>46083.889814814815</v>
    <v>1287</v>
    <v>49.05</v>
    <v>60340104470</v>
    <v>KINROSS GOLD CORPORATION</v>
    <v>KINROSS GOLD CORPORATION</v>
    <v>51.5</v>
    <v>18.7773</v>
    <v>50.42</v>
    <v>50.29</v>
    <v>51.5</v>
    <v>1199843000</v>
    <v>K</v>
    <v>KINROSS GOLD CORPORATION (XTSE:K)</v>
    <v>4428113</v>
    <v>4703000</v>
    <v>2025</v>
  </rv>
  <rv s="2">
    <v>1288</v>
  </rv>
  <rv s="7">
    <fb>45.38</fb>
    <v>42</v>
  </rv>
  <rv s="7">
    <fb>45.1</fb>
    <v>42</v>
  </rv>
  <rv s="0">
    <v>https://www.bing.com/financeapi/forcetrigger?t=a1p55r&amp;q=XNYS%3aCAG&amp;form=skydnc</v>
    <v>Learn more on Bing</v>
  </rv>
  <rv s="9">
    <v>14</v>
    <v>CONAGRA BRANDS, INC. (XNYS:CAG)</v>
    <v>2</v>
    <v>15</v>
    <v>Finance</v>
    <v>4</v>
    <v>en-US</v>
    <v>a1p55r</v>
    <v>268435456</v>
    <v>1</v>
    <v>Powered by Refinitiv</v>
    <v>28.515000000000001</v>
    <v>15.96</v>
    <v>-2.7199999999999998E-2</v>
    <v>-0.08</v>
    <v>-4.156E-3</v>
    <v>7.7399999999999997E-2</v>
    <v>4.0350000000000004E-3</v>
    <v>USD</v>
    <v>Conagra Brands, Inc. is a branded food company. The Company’s segments include Grocery &amp; Snacks, Refrigerated &amp; Frozen, International, and Foodservice. The Grocery &amp; Snacks segment includes branded, shelf-stable food products sold in various retail channels in the United States. The Refrigerated &amp; Frozen segment includes branded, temperature-controlled food products sold in various retail channels in the United States. The International segment includes branded food products in various temperature states, sold in various retail and foodservice channels outside the United States. The Foodservice segment includes branded and customized food products, including meals, entrees, sauces, and a variety of custom-manufactured culinary products that are packaged for sale to restaurants and other foodservice establishments primarily in the United States. Its brands include Birds Eye, Duncan Hines, Healthy Choice, Marie Callender's, Reddi-wip, Slim Jim, and Angie's BOOMCHICKAPOP.</v>
    <v>18300</v>
    <v>New York Stock Exchange</v>
    <v>XNYS</v>
    <v>XNYS</v>
    <v>222 W. Merchandise Mart Plaza, Suite 1300, CHICAGO, IL, 60654 US</v>
    <v>19.475000000000001</v>
    <v>Food &amp; Tobacco</v>
    <v>Stock</v>
    <v>46084.039104941403</v>
    <v>1292</v>
    <v>18.990500000000001</v>
    <v>9170343315</v>
    <v>CONAGRA BRANDS, INC.</v>
    <v>CONAGRA BRANDS, INC.</v>
    <v>19.23</v>
    <v>19.25</v>
    <v>19.170000000000002</v>
    <v>19.257400000000001</v>
    <v>478369500</v>
    <v>CAG</v>
    <v>CONAGRA BRANDS, INC. (XNYS:CAG)</v>
    <v>10419109</v>
    <v>13519440</v>
    <v>1975</v>
  </rv>
  <rv s="2">
    <v>1293</v>
  </rv>
  <rv s="7">
    <fb>19.11</fb>
    <v>13</v>
  </rv>
  <rv s="7">
    <fb>19.8</fb>
    <v>13</v>
  </rv>
  <rv s="0">
    <v>https://www.bing.com/financeapi/forcetrigger?t=bjgakr&amp;q=PKI+Dynamic+Fund+C1&amp;form=skydnc</v>
    <v>Learn more on Bing</v>
  </rv>
  <rv s="18">
    <v>43</v>
    <v>PKI Dynamic Fund C</v>
    <v>44</v>
    <v>45</v>
    <v>Finance</v>
    <v>46</v>
    <v>en-US</v>
    <v>bjgakr</v>
    <v>268435456</v>
    <v>1</v>
    <v>Powered by Refinitiv</v>
    <v>1.4</v>
    <v>8.7530000000000004E-3</v>
    <v>FR</v>
    <v>EUR</v>
    <v>1.34E-2</v>
    <v>Mutual Fund</v>
    <v>46073</v>
    <v>46082.585692280467</v>
    <v>1297</v>
    <v>PKI Dynamic Fund C</v>
    <v>10276170.640000001</v>
    <v>159.94999999999999</v>
    <v>161.35</v>
    <v>0</v>
    <v>2.859E-3</v>
    <v>-2.4099999999999997E-8</v>
    <v>7.9191999999999999E-2</v>
    <v>5.6439000000000003E-2</v>
    <v>8.6705000000000004E-2</v>
    <v>6.1025000000000003E-2</v>
    <v>3.0331999999999998E-2</v>
    <v>PKI Dynamic Fund C</v>
  </rv>
  <rv s="2">
    <v>1298</v>
  </rv>
  <rv s="11">
    <v>2</v>
    <v>11</v>
  </rv>
  <rv s="8">
    <v>2</v>
    <v>1</v>
  </rv>
  <rv s="0">
    <v>https://www.bing.com/financeapi/forcetrigger?t=afnixm&amp;q=XFRA%3aVEN&amp;form=skydnc</v>
    <v>Learn more on Bing</v>
  </rv>
  <rv s="15">
    <v>28</v>
    <v>VENTAS, INC. (XFRA:VEN)</v>
    <v>2</v>
    <v>47</v>
    <v>Finance</v>
    <v>26</v>
    <v>en-US</v>
    <v>afnixm</v>
    <v>268435456</v>
    <v>1</v>
    <v>Powered by Refinitiv</v>
    <v>73.3</v>
    <v>15.215999999999999</v>
    <v>0.752</v>
    <v>6.04</v>
    <v>9.1403999999999999E-2</v>
    <v>EUR</v>
    <v>Ventas, Inc. is a real estate investment trust (REIT). The Company holds a portfolio that includes senior housing communities, outpatient medical buildings, research centers, hospitals and healthcare facilities located in North America and the United Kingdom. The Company owns approximately 1,400 properties in North America and the United Kingdom. It operates in three segments: senior housing operating portfolio (SHOP), outpatient medical and research portfolio (OM&amp;R), and triple-net leased properties (NNN). In its SHOP segment, it owns and invests in senior housing communities. It engages third-party managers to operate the communities on its behalf. In its OM&amp;R segment, it primarily acquires, owns, develops, leases and manages outpatient medical buildings and research centers. In its NNN segment, it invests in and owns senior housing communities, skilled nursing facilities (SNFs), long-term acute care facilities (LTACs), and freestanding inpatient rehabilitation facilities (IRFs).</v>
    <v>542</v>
    <v>Deutsche Boerse AG</v>
    <v>XFRA</v>
    <v>XFRA</v>
    <v>300 N Lasalle Street, Suite 1600, CHICAGO, IL, 60654 US</v>
    <v>72.12</v>
    <v>Residential &amp; Commercial REIT</v>
    <v>Stock</v>
    <v>46083.878472222219</v>
    <v>1302</v>
    <v>72.12</v>
    <v>36136550000</v>
    <v>VENTAS, INC.</v>
    <v>VENTAS, INC.</v>
    <v>72.12</v>
    <v>157.44</v>
    <v>66.08</v>
    <v>72.12</v>
    <v>474965200</v>
    <v>VEN</v>
    <v>VENTAS, INC. (XFRA:VEN)</v>
    <v>115</v>
    <v>3199200</v>
    <v>1987</v>
  </rv>
  <rv s="2">
    <v>1303</v>
  </rv>
  <rv s="7">
    <fb>65.28</fb>
    <v>27</v>
  </rv>
  <rv s="7">
    <fb>65.5</fb>
    <v>27</v>
  </rv>
  <rv s="0">
    <v>https://www.bing.com/financeapi/forcetrigger?t=a1sqcw&amp;q=XNYS%3aFDS&amp;form=skydnc</v>
    <v>Learn more on Bing</v>
  </rv>
  <rv s="1">
    <v>0</v>
    <v>FACTSET RESEARCH SYSTEMS INC. (XNYS:FDS)</v>
    <v>2</v>
    <v>3</v>
    <v>Finance</v>
    <v>10</v>
    <v>en-US</v>
    <v>a1sqcw</v>
    <v>268435456</v>
    <v>1</v>
    <v>Powered by Refinitiv</v>
    <v>474.79</v>
    <v>185</v>
    <v>0.74909999999999999</v>
    <v>3.13</v>
    <v>1.4437E-2</v>
    <v>0.02</v>
    <v>9.0929999999999998E-5</v>
    <v>USD</v>
    <v>FactSet Research Systems Inc. is a global financial digital platform and enterprise solutions provider. The Company's solutions deliver financial data, analytics, and open technology to global clients, including individual users. Its segments include the Americas, EMEA and Asia Pacific. It provides financial data and market intelligence on securities, companies, industries and people to enable its clients to research investment ideas and analyze, monitor and manage their portfolios. It supports various workflows, including investment research, quantitative research, portfolio management and trading, portfolio analytics, wealth management, ESG investing solutions, industry analysis and data solutions. It provides open and flexible technology offerings, including a configurable desktop and mobile platform, and comprehensive data feeds. Its technology also includes LogoIntern, a workflow tool to streamline the task of adding, organizing, and formatting logos into pitch decks.</v>
    <v>12886</v>
    <v>New York Stock Exchange</v>
    <v>XNYS</v>
    <v>XNYS</v>
    <v>45 Glover Avenue, NORWALK, CT, 06850 US</v>
    <v>221.32</v>
    <v>Professional &amp; Commercial Services</v>
    <v>Stock</v>
    <v>46083.98535133047</v>
    <v>1307</v>
    <v>212.97499999999999</v>
    <v>8159611244</v>
    <v>FACTSET RESEARCH SYSTEMS INC.</v>
    <v>FACTSET RESEARCH SYSTEMS INC.</v>
    <v>213.58500000000001</v>
    <v>13.795</v>
    <v>216.81</v>
    <v>219.94</v>
    <v>219.96</v>
    <v>37099260</v>
    <v>FDS</v>
    <v>FACTSET RESEARCH SYSTEMS INC. (XNYS:FDS)</v>
    <v>793555</v>
    <v>1244405</v>
    <v>1984</v>
  </rv>
  <rv s="2">
    <v>1308</v>
  </rv>
  <rv s="7">
    <fb>222.62</fb>
    <v>13</v>
  </rv>
  <rv s="7">
    <fb>225.43</fb>
    <v>13</v>
  </rv>
  <rv s="0">
    <v>https://www.bing.com/financeapi/forcetrigger?t=a1r177&amp;q=XNYS%3aDGX&amp;form=skydnc</v>
    <v>Learn more on Bing</v>
  </rv>
  <rv s="1">
    <v>0</v>
    <v>QUEST DIAGNOSTICS INCORPORATED (XNYS:DGX)</v>
    <v>2</v>
    <v>3</v>
    <v>Finance</v>
    <v>4</v>
    <v>en-US</v>
    <v>a1r177</v>
    <v>268435456</v>
    <v>1</v>
    <v>Powered by Refinitiv</v>
    <v>213.5</v>
    <v>157.19999999999999</v>
    <v>0.65210000000000001</v>
    <v>-1.77</v>
    <v>-8.353000000000001E-3</v>
    <v>-0.34</v>
    <v>-1.6170000000000002E-3</v>
    <v>USD</v>
    <v>Quest Diagnostics Incorporated is a provider of diagnostic information services. The Company provides diagnostic insights from the results of its laboratory testing to enable people, physicians, and organizations to take action to improve health outcomes. It operates through the DIS segment, which provides diagnostic information services to a range of customers within its primary customer channels: physicians, hospitals, and patients and consumers. It offers broad access to clinical testing through a nationwide network of laboratories, patient service centers, phlebotomists in physician offices, and connectivity resources, including call centers and mobile phlebotomists, nurses and other health and wellness professionals. It also focuses on artificial intelligence (AI) and digital pathology solutions. The Company’s services primarily are provided under the Quest Diagnostics brand and under other brands, including AmeriPath, Dermpath Diagnostics, ExamOne, and Quanum.</v>
    <v>46000</v>
    <v>New York Stock Exchange</v>
    <v>XNYS</v>
    <v>XNYS</v>
    <v>500 Plaza Drive, SECAUCUS, NJ, 07094 US</v>
    <v>213.26</v>
    <v>Healthcare Providers &amp; Services</v>
    <v>Stock</v>
    <v>46084.014048935154</v>
    <v>1312</v>
    <v>209.42500000000001</v>
    <v>23087304282</v>
    <v>QUEST DIAGNOSTICS INCORPORATED</v>
    <v>QUEST DIAGNOSTICS INCORPORATED</v>
    <v>212.52</v>
    <v>24.1389</v>
    <v>211.91</v>
    <v>210.14</v>
    <v>209.91</v>
    <v>109866300</v>
    <v>DGX</v>
    <v>QUEST DIAGNOSTICS INCORPORATED (XNYS:DGX)</v>
    <v>922368</v>
    <v>1080771</v>
    <v>1996</v>
  </rv>
  <rv s="2">
    <v>1313</v>
  </rv>
  <rv s="7">
    <fb>185.17</fb>
    <v>13</v>
  </rv>
  <rv s="7">
    <fb>189.23</fb>
    <v>13</v>
  </rv>
  <rv s="0">
    <v>https://www.bing.com/financeapi/forcetrigger?t=a1xam7&amp;q=XNYS%3aMAS&amp;form=skydnc</v>
    <v>Learn more on Bing</v>
  </rv>
  <rv s="1">
    <v>0</v>
    <v>MASCO CORPORATION (XNYS:MAS)</v>
    <v>2</v>
    <v>3</v>
    <v>Finance</v>
    <v>4</v>
    <v>en-US</v>
    <v>a1xam7</v>
    <v>268435456</v>
    <v>1</v>
    <v>Powered by Refinitiv</v>
    <v>79.19</v>
    <v>56.55</v>
    <v>1.2678</v>
    <v>-1.825</v>
    <v>-2.5482000000000001E-2</v>
    <v>-1.19</v>
    <v>-1.7049000000000002E-2</v>
    <v>USD</v>
    <v>Masco Corporation is engaged in designing, manufacturing and distributing branded home improvement and building products. The Company's portfolio of brands includes Behr paint; Delta and hansgrohe faucets, bath and shower fixtures; Liberty branded decorative and functional hardware, and HotSpring spas. Its segments include Plumbing Products and Decorative Architectural Products. The Plumbing Products segment principally includes faucets, plumbing system components and valves, showerheads and handheld showers, bath hardware and accessories, water filtration systems, sinks, kitchen accessories, spas, exercise pools, aquatic fitness systems, and saunas. The Decorative Architectural Products segment primarily includes architectural coatings, including paints, primers, specialty coatings, stains and waterproofing products, as well as paint applicators and accessories. Its products are sold primarily for repair and remodeling activity and, to a lesser extent, new home construction.</v>
    <v>18000</v>
    <v>New York Stock Exchange</v>
    <v>XNYS</v>
    <v>XNYS</v>
    <v>17450 College Parkway, LIVONIA, MI, 48152 US</v>
    <v>72.23</v>
    <v>Homebuilding &amp; Construction Supplies</v>
    <v>Stock</v>
    <v>46083.990683541408</v>
    <v>1317</v>
    <v>69.319999999999993</v>
    <v>14210757544</v>
    <v>MASCO CORPORATION</v>
    <v>MASCO CORPORATION</v>
    <v>72.23</v>
    <v>18.582000000000001</v>
    <v>71.62</v>
    <v>69.795000000000002</v>
    <v>68.61</v>
    <v>203607100</v>
    <v>MAS</v>
    <v>MASCO CORPORATION (XNYS:MAS)</v>
    <v>2157528</v>
    <v>2914751</v>
    <v>1962</v>
  </rv>
  <rv s="2">
    <v>1318</v>
  </rv>
  <rv s="7">
    <fb>68.05</fb>
    <v>13</v>
  </rv>
  <rv s="7">
    <fb>71.41</fb>
    <v>13</v>
  </rv>
  <rv s="0">
    <v>https://www.bing.com/financeapi/forcetrigger?t=a1wpxm&amp;q=XNYS%3aL&amp;form=skydnc</v>
    <v>Learn more on Bing</v>
  </rv>
  <rv s="1">
    <v>0</v>
    <v>LOEWS CORPORATION (XNYS:L)</v>
    <v>2</v>
    <v>3</v>
    <v>Finance</v>
    <v>4</v>
    <v>en-US</v>
    <v>a1wpxm</v>
    <v>268435456</v>
    <v>1</v>
    <v>Powered by Refinitiv</v>
    <v>114.9</v>
    <v>78.98</v>
    <v>0.59889999999999999</v>
    <v>2.14</v>
    <v>1.9451E-2</v>
    <v>0.73</v>
    <v>6.5069999999999998E-3</v>
    <v>USD</v>
    <v>Loews Corporation is a holding company and has four reportable segments comprised of three individual consolidated operating subsidiaries: CNA Financial Corporation (CNA), Boardwalk Pipeline Partners, LP (Boardwalk Pipelines) and Loews Hotels Holding Corporation (Loews Hotels &amp; Co), and the Corporate segment. CNA is an insurance holding company. CNA's insurance products primarily include commercial property and casualty coverage, including surety. Boardwalk Pipelines is engaged in the business of transportation and storage of natural gas and natural gas liquids, olefins and other hydrocarbons. Boardwalk Pipelines also provides ethane supply and transportation services for industrial customers in Louisiana and Texas. The Loews Hotels segment is engaged in operating a chain of hotels. Loews Hotels &amp; Co, together with its subsidiaries, operates a chain of 25 hotels. The business also specializes in customized mid-and short-run packaging solutions.</v>
    <v>13100</v>
    <v>New York Stock Exchange</v>
    <v>XNYS</v>
    <v>XNYS</v>
    <v>9 West 57Th Street, NEW YORK, NY, 10019-2714 US</v>
    <v>112.32</v>
    <v>Insurance</v>
    <v>Stock</v>
    <v>46084.024702731251</v>
    <v>1322</v>
    <v>109.3075</v>
    <v>23110893264</v>
    <v>LOEWS CORPORATION</v>
    <v>LOEWS CORPORATION</v>
    <v>110.06</v>
    <v>13.789199999999999</v>
    <v>110.02</v>
    <v>112.16</v>
    <v>112.92</v>
    <v>206052900</v>
    <v>L</v>
    <v>LOEWS CORPORATION (XNYS:L)</v>
    <v>682616</v>
    <v>754559</v>
    <v>1969</v>
  </rv>
  <rv s="2">
    <v>1323</v>
  </rv>
  <rv s="7">
    <fb>107.41</fb>
    <v>13</v>
  </rv>
  <rv s="7">
    <fb>109.43</fb>
    <v>13</v>
  </rv>
  <rv s="0">
    <v>https://www.bing.com/financeapi/forcetrigger?t=a1w36h&amp;q=XNYS%3aJ&amp;form=skydnc</v>
    <v>Learn more on Bing</v>
  </rv>
  <rv s="1">
    <v>0</v>
    <v>JACOBS SOLUTIONS INC. (XNYS:J)</v>
    <v>2</v>
    <v>3</v>
    <v>Finance</v>
    <v>4</v>
    <v>en-US</v>
    <v>a1w36h</v>
    <v>268435456</v>
    <v>1</v>
    <v>Powered by Refinitiv</v>
    <v>168.44</v>
    <v>105.14619999999999</v>
    <v>0.78090000000000004</v>
    <v>1.17</v>
    <v>8.4869999999999998E-3</v>
    <v>2.75</v>
    <v>1.9779999999999999E-2</v>
    <v>USD</v>
    <v>Jacobs Solutions Inc. provides end-to-end services in advanced manufacturing, cities and places, energy, environmental, life sciences, transportation and water. The Company’s segments include Infrastructure and Advanced Facilities (I&amp;AF) and PA Consulting. The I&amp;AF segment provides end-to-end solutions for its client’s complex challenges related to climate change, energy transition, connected mobility, buildings and infrastructure, integrated water management and biopharmaceutical manufacturing. It uses data science and technology-enabled expertise to deliver outcomes for its clients and communities. Its clients include national, state and local governments in Europe, the Middle East, and others. The PA Consulting segment has a diverse mix of private and public sector clients. Private sector clients include global household names like Unilever, Microsoft, and Pret A Manger, and start-ups like PulPac, which converts plant fibers into sustainable packaging to reduce single-use plastic.</v>
    <v>43000</v>
    <v>New York Stock Exchange</v>
    <v>XNYS</v>
    <v>XNYS</v>
    <v>1999 Bryan Street, Suite 3500, DALLAS, TX, 75201 US</v>
    <v>140.11000000000001</v>
    <v>Professional &amp; Commercial Services</v>
    <v>Stock</v>
    <v>46084.027591608596</v>
    <v>1327</v>
    <v>136.09</v>
    <v>16328614701</v>
    <v>JACOBS SOLUTIONS INC.</v>
    <v>JACOBS SOLUTIONS INC.</v>
    <v>136.47999999999999</v>
    <v>36.0015</v>
    <v>137.86000000000001</v>
    <v>139.03</v>
    <v>141.78</v>
    <v>117446700</v>
    <v>J</v>
    <v>JACOBS SOLUTIONS INC. (XNYS:J)</v>
    <v>629531</v>
    <v>1070094</v>
    <v>2022</v>
  </rv>
  <rv s="2">
    <v>1328</v>
  </rv>
  <rv s="7">
    <fb>132.91</fb>
    <v>13</v>
  </rv>
  <rv s="7">
    <fb>143.33000000000001</fb>
    <v>13</v>
  </rv>
  <rv s="0">
    <v>https://www.bing.com/financeapi/forcetrigger?t=a1q7jc&amp;q=XNYS%3aCPB&amp;form=skydnc</v>
    <v>Learn more on Bing</v>
  </rv>
  <rv s="1">
    <v>0</v>
    <v>THE CAMPBELL'S COMPANY (XNAS:CPB)</v>
    <v>2</v>
    <v>3</v>
    <v>Finance</v>
    <v>4</v>
    <v>en-US</v>
    <v>a1q7jc</v>
    <v>268435456</v>
    <v>1</v>
    <v>Powered by Refinitiv</v>
    <v>43.85</v>
    <v>25.62</v>
    <v>-3.0800000000000001E-2</v>
    <v>-0.63</v>
    <v>-2.3376999999999998E-2</v>
    <v>0.14030000000000001</v>
    <v>5.3309999999999998E-3</v>
    <v>USD</v>
    <v>The Campbell's Company, formerly Campbell Soup Company, provides affordable food and beverages. The Company is focused on brand powerhouse, across two divisions: Meals &amp; Beverages and Snacks. The Company’s portfolio of approximately 16 brands includes Campbell’s, Cape Cod, Chunky, Goldfish, Kettle Brand, Lance, Late July, Pace, Pacific Foods, Pepperidge Farm, Prego, Rao’s, Snack Factory Pretzel Crisps, Snyder’s of Hanover, Swanson and V8. It offers nutritious, convenient food for Canadian families. Its North American Foodservice division offers food, recipes, and tailored solutions for a wide range of segments, including healthcare facilities, restaurants and specialty coffee shops, schools, vending and micro-markets, and lodging throughout North America. Pacific Foods is a producer of organic broth and soup. Offering a wide range of tasty organic and plant-based options, soups include Creamy Roasted Red Pepper &amp; Tomato and new ready-to-serve canned soups.</v>
    <v>13700</v>
    <v>Nasdaq Stock Market</v>
    <v>XNAS</v>
    <v>XNAS</v>
    <v>Campbell Pl, CAMDEN, NJ, 08103 US</v>
    <v>26.79</v>
    <v>Food &amp; Tobacco</v>
    <v>Stock</v>
    <v>46083.962582626562</v>
    <v>1332</v>
    <v>26.1</v>
    <v>7846892144</v>
    <v>THE CAMPBELL'S COMPANY</v>
    <v>THE CAMPBELL'S COMPANY</v>
    <v>26.72</v>
    <v>13.954700000000001</v>
    <v>26.95</v>
    <v>26.32</v>
    <v>26.4603</v>
    <v>298134200</v>
    <v>CPB</v>
    <v>THE CAMPBELL'S COMPANY (XNAS:CPB)</v>
    <v>7921559</v>
    <v>6660888</v>
    <v>1922</v>
  </rv>
  <rv s="2">
    <v>1333</v>
  </rv>
  <rv s="7">
    <fb>26.9</fb>
    <v>13</v>
  </rv>
  <rv s="7">
    <fb>28.43</fb>
    <v>13</v>
  </rv>
  <rv s="0">
    <v>https://www.bing.com/financeapi/forcetrigger?t=a24poc&amp;q=XNYS%3aTYL&amp;form=skydnc</v>
    <v>Learn more on Bing</v>
  </rv>
  <rv s="1">
    <v>0</v>
    <v>TYLER TECHNOLOGIES, INC. (XNYS:TYL)</v>
    <v>2</v>
    <v>3</v>
    <v>Finance</v>
    <v>4</v>
    <v>en-US</v>
    <v>a24poc</v>
    <v>268435456</v>
    <v>1</v>
    <v>Powered by Refinitiv</v>
    <v>626.55999999999995</v>
    <v>283.71499999999997</v>
    <v>0.90129999999999999</v>
    <v>0.01</v>
    <v>2.8189999999999999E-5</v>
    <v>-0.33</v>
    <v>-9.3060000000000007E-4</v>
    <v>USD</v>
    <v>Tyler Technologies, Inc. is a provider of integrated software and technology services for the public sector. Its end-to-end solutions enable local, state, and federal government entities to operate efficiently and transparently with residents and each other. Its segments include Enterprise Software (ES) and Platform Technologies (PT). The ES segment provides public sector entities with software systems and services to meet their information technology and automation needs for mission-critical back-office functions such as public administration solutions, courts and public safety solutions, education solutions, and property and recording solutions. The PT segment provides public sector entities with platform and transformative solutions including digital solutions, payment processing, streamlined data processing, and improved operations and workflows. It is also a provider of educator evaluation, compliance tracking, and workflow automation solutions.</v>
    <v>7800</v>
    <v>New York Stock Exchange</v>
    <v>XNYS</v>
    <v>XNYS</v>
    <v>5101 Tennyson Pkwy, PLANO, TX, 75024 US</v>
    <v>359.63</v>
    <v>Software &amp; IT Services</v>
    <v>Stock</v>
    <v>46084.017196180466</v>
    <v>1337</v>
    <v>348.62</v>
    <v>15246900098</v>
    <v>TYLER TECHNOLOGIES, INC.</v>
    <v>TYLER TECHNOLOGIES, INC.</v>
    <v>350.95</v>
    <v>49.270400000000002</v>
    <v>354.69</v>
    <v>354.7</v>
    <v>354.29</v>
    <v>42985340</v>
    <v>TYL</v>
    <v>TYLER TECHNOLOGIES, INC. (XNYS:TYL)</v>
    <v>616738</v>
    <v>952109</v>
    <v>1989</v>
  </rv>
  <rv s="2">
    <v>1338</v>
  </rv>
  <rv s="7">
    <fb>332.05</fb>
    <v>13</v>
  </rv>
  <rv s="7">
    <fb>343.24</fb>
    <v>13</v>
  </rv>
  <rv s="0">
    <v>https://www.bing.com/financeapi/forcetrigger?t=a1x6rw&amp;q=XNYS%3aLUV&amp;form=skydnc</v>
    <v>Learn more on Bing</v>
  </rv>
  <rv s="1">
    <v>0</v>
    <v>SOUTHWEST AIRLINES CO. (XNYS:LUV)</v>
    <v>2</v>
    <v>3</v>
    <v>Finance</v>
    <v>4</v>
    <v>en-US</v>
    <v>a1x6rw</v>
    <v>268435456</v>
    <v>1</v>
    <v>Powered by Refinitiv</v>
    <v>55.11</v>
    <v>23.815000000000001</v>
    <v>1.0972999999999999</v>
    <v>-0.99</v>
    <v>-2.0097E-2</v>
    <v>-0.56000000000000005</v>
    <v>-1.1600999999999998E-2</v>
    <v>USD</v>
    <v>Southwest Airlines Co. (Southwest) operates Southwest Airlines, a passenger airline that provides scheduled air transportation in the United States and near-international markets. The Company's fare products include four categories: Wanna Get Away, Wanna Get Away Plus, Anytime, and Business Select to provide customers options when choosing a fare. It also offers ancillary services, such as EarlyBird Check-In, Upgraded Boarding, and transportation of pets and unaccompanied minors, in accordance with Southwest’s respective policies. Its Rapid Rewards loyalty program enables program members to earn points for every dollar spent on Southwest base fares, also including purchases paid with LUV Vouchers, gift cards, or flight credit, with no portion of the purchase price paid with Rapid Rewards points. It operates over 803 Boeing 737 aircraft in its fleet and serves 117 destinations in 42 states, the District of Columbia, the Commonwealth of Puerto Rico, and ten near-international countries.</v>
    <v>72790</v>
    <v>New York Stock Exchange</v>
    <v>XNYS</v>
    <v>XNYS</v>
    <v>2702 Love Field Dr, P O Box 36611, DALLAS, TX, 75235 US</v>
    <v>49.02</v>
    <v>Passenger Transportation Services</v>
    <v>Stock</v>
    <v>46084.033054988278</v>
    <v>1342</v>
    <v>46.95</v>
    <v>23715919860</v>
    <v>SOUTHWEST AIRLINES CO.</v>
    <v>SOUTHWEST AIRLINES CO.</v>
    <v>48</v>
    <v>62.3292</v>
    <v>49.26</v>
    <v>48.27</v>
    <v>47.71</v>
    <v>491318000</v>
    <v>LUV</v>
    <v>SOUTHWEST AIRLINES CO. (XNYS:LUV)</v>
    <v>10033720</v>
    <v>11258619</v>
    <v>1967</v>
  </rv>
  <rv s="2">
    <v>1343</v>
  </rv>
  <rv s="7">
    <fb>51.19</fb>
    <v>13</v>
  </rv>
  <rv s="7">
    <fb>52.59</fb>
    <v>13</v>
  </rv>
  <rv s="0">
    <v>http://zh.wikipedia.org/wiki/OMX</v>
    <v>Wikipedia</v>
  </rv>
  <rv s="3">
    <v>18</v>
    <v>1347</v>
  </rv>
  <rv s="4">
    <v>9</v>
    <v>https://www.bing.com/th?id=AMMS_ca29f5ea4bb769bc6f9c17b9fef790ab&amp;qlt=95</v>
    <v>1348</v>
    <v>0</v>
    <v>https://www.bing.com/images/search?form=xlimg&amp;q=nasdaq+omx+group</v>
    <v>Image of NASDAQ, INC.</v>
  </rv>
  <rv s="0">
    <v>https://www.bing.com/financeapi/forcetrigger?t=a1ydc7&amp;q=XNAS%3aNDAQ&amp;form=skydnc</v>
    <v>Learn more on Bing</v>
  </rv>
  <rv s="5">
    <v>5</v>
    <v>NASDAQ, INC. (XNAS:NDAQ)</v>
    <v>7</v>
    <v>8</v>
    <v>Finance</v>
    <v>10</v>
    <v>en-US</v>
    <v>a1ydc7</v>
    <v>268435456</v>
    <v>1</v>
    <v>Powered by Refinitiv</v>
    <v>101.785</v>
    <v>64.84</v>
    <v>1.0407999999999999</v>
    <v>0.51</v>
    <v>5.8230000000000001E-3</v>
    <v>-0.95789999999999997</v>
    <v>-1.0874E-2</v>
    <v>USD</v>
    <v>Nasdaq, Inc. is a global technology company serving corporate clients, investment managers, banks, brokers, and exchange operators as they navigate and interact with the global capital markets and the broader financial system. The Company manages, operates and provides its products and services in three business segments: Capital Access Platforms, Financial Technology and Market Services. Its Capital Access Platforms segment comprises Data &amp; Listing Services, Index and Workflow &amp; Insights. The Financial Technology segment comprises Financial Crime Management Technology, Regulatory Technology and Capital Markets Technology businesses. Its Market Services segment includes its equity derivative trading and clearing, cash equity trading, fixed income, currency and commodities trading. It operates over 19 exchanges across several asset classes, including derivatives, commodities, cash equity, debt, structured products and exchange-traded products (ETPs).</v>
    <v>9525</v>
    <v>Nasdaq Stock Market</v>
    <v>XNAS</v>
    <v>XNAS</v>
    <v>151 W. 42Nd Street, NEW YORK, NY, 10036 US</v>
    <v>88.795000000000002</v>
    <v>1349</v>
    <v>Investment Banking &amp; Investment Services</v>
    <v>Stock</v>
    <v>46083.95730208281</v>
    <v>1350</v>
    <v>85.022300000000001</v>
    <v>50074214342</v>
    <v>NASDAQ, INC.</v>
    <v>NASDAQ, INC.</v>
    <v>85.96</v>
    <v>28.334800000000001</v>
    <v>87.58</v>
    <v>88.09</v>
    <v>87.132099999999994</v>
    <v>568443800</v>
    <v>NDAQ</v>
    <v>NASDAQ, INC. (XNAS:NDAQ)</v>
    <v>4714276</v>
    <v>6039111</v>
    <v>1979</v>
  </rv>
  <rv s="2">
    <v>1351</v>
  </rv>
  <rv s="7">
    <fb>87.71</fb>
    <v>13</v>
  </rv>
  <rv s="7">
    <fb>88.49</fb>
    <v>13</v>
  </rv>
  <rv s="0">
    <v>https://www.bing.com/financeapi/forcetrigger?t=a1n7yc&amp;q=XNAS%3aAKAM&amp;form=skydnc</v>
    <v>Learn more on Bing</v>
  </rv>
  <rv s="1">
    <v>0</v>
    <v>AKAMAI TECHNOLOGIES, INC. (XNAS:AKAM)</v>
    <v>2</v>
    <v>3</v>
    <v>Finance</v>
    <v>4</v>
    <v>en-US</v>
    <v>a1n7yc</v>
    <v>268435456</v>
    <v>1</v>
    <v>Powered by Refinitiv</v>
    <v>113.5</v>
    <v>67.510000000000005</v>
    <v>0.71919999999999995</v>
    <v>-0.75</v>
    <v>-7.6229999999999996E-3</v>
    <v>-0.34</v>
    <v>-3.4820000000000003E-3</v>
    <v>USD</v>
    <v>Akamai Technologies, Inc. is a cybersecurity and cloud computing company. The Company develops and provides solutions for global enterprises to build, secure and accelerate their applications and digital experiences. Akamai Connected Cloud, the Company's platform, is comprised of an edge and cloud architecture and underlying network for cloud computing, security and content delivery services. Its cloud computing services include compute, storage, networking, database and container management services that are required to build, deploy and secure applications and workloads. Its security solutions are designed to keep infrastructure, websites, applications, application programming interfaces and users safe from a multitude of cyberattacks and online threats while improving performance. Its content delivery solutions consist of Web and mobile performance focused solutions and media delivery solutions. It also provides services and support for its customers as they utilize its solutions.</v>
    <v>11000</v>
    <v>Nasdaq Stock Market</v>
    <v>XNAS</v>
    <v>XNAS</v>
    <v>145 Broadway, CAMBRIDGE, MA, 02142 US</v>
    <v>98.86</v>
    <v>Software &amp; IT Services</v>
    <v>Stock</v>
    <v>46083.925195867967</v>
    <v>1355</v>
    <v>96.575000000000003</v>
    <v>14146874084</v>
    <v>AKAMAI TECHNOLOGIES, INC.</v>
    <v>AKAMAI TECHNOLOGIES, INC.</v>
    <v>96.91</v>
    <v>31.991199999999999</v>
    <v>98.39</v>
    <v>97.64</v>
    <v>97.3</v>
    <v>144888100</v>
    <v>AKAM</v>
    <v>AKAMAI TECHNOLOGIES, INC. (XNAS:AKAM)</v>
    <v>4563677</v>
    <v>4987869</v>
    <v>1998</v>
  </rv>
  <rv s="2">
    <v>1356</v>
  </rv>
  <rv s="7">
    <fb>91.79</fb>
    <v>13</v>
  </rv>
  <rv s="7">
    <fb>91.92</fb>
    <v>13</v>
  </rv>
  <rv s="0">
    <v>https://www.bing.com/financeapi/forcetrigger?t=b17tur&amp;q=XNYS%3aEVRG&amp;form=skydnc</v>
    <v>Learn more on Bing</v>
  </rv>
  <rv s="1">
    <v>0</v>
    <v>Evergy, Inc. (XNAS:EVRG)</v>
    <v>2</v>
    <v>3</v>
    <v>Finance</v>
    <v>10</v>
    <v>en-US</v>
    <v>b17tur</v>
    <v>268435456</v>
    <v>1</v>
    <v>Powered by Refinitiv</v>
    <v>84.49</v>
    <v>61.94</v>
    <v>0.62780000000000002</v>
    <v>0.35</v>
    <v>4.1840000000000002E-3</v>
    <v>0.33</v>
    <v>3.9280000000000001E-3</v>
    <v>USD</v>
    <v>Evergy, Inc. is a utility holding company. The Company operates primarily through its wholly owned subsidiaries, Evergy Kansas Central, Inc. (Evergy Kansas Central); Evergy Metro, Inc. (Evergy Metro); Evergy Missouri West, Inc. (Evergy Missouri West), and Evergy Transmission Company, LLC (Evergy Transmission Company). Evergy Kansas Central is an integrated, regulated electric utility that provides electricity to customers in the state of Kansas. Evergy Metro is an integrated, regulated electric utility that provides electricity to customers in the states of Missouri and Kansas. Evergy Missouri West is an integrated, regulated electric utility that provides electricity to customers in the state of Missouri. Evergy Transmission Company owns 13.5% of Transource Energy, LLC (Transource) with the remaining 86.5% owned by AEP Transmission Holding Company, LLC. Transource is focused on the development of competitive electric transmission projects.</v>
    <v>4691</v>
    <v>Nasdaq Stock Market</v>
    <v>XNAS</v>
    <v>XNAS</v>
    <v>1200 Main St, KANSAS CITY, MO, 64105-2122 US</v>
    <v>84.49</v>
    <v>Electrical Utilities &amp; IPPs</v>
    <v>Stock</v>
    <v>46083.982792638279</v>
    <v>1360</v>
    <v>83.26</v>
    <v>19345957216</v>
    <v>Evergy, Inc.</v>
    <v>Evergy, Inc.</v>
    <v>83.3</v>
    <v>22.846299999999999</v>
    <v>83.66</v>
    <v>84.01</v>
    <v>84.34</v>
    <v>230281600</v>
    <v>EVRG</v>
    <v>Evergy, Inc. (XNAS:EVRG)</v>
    <v>1881847</v>
    <v>2304019</v>
    <v>2017</v>
  </rv>
  <rv s="2">
    <v>1361</v>
  </rv>
  <rv s="7">
    <fb>77.8</fb>
    <v>13</v>
  </rv>
  <rv s="7">
    <fb>77.23</fb>
    <v>13</v>
  </rv>
  <rv s="0">
    <v>https://www.bing.com/financeapi/forcetrigger?t=a23rjc&amp;q=XNAS%3aSTX&amp;form=skydnc</v>
    <v>Learn more on Bing</v>
  </rv>
  <rv s="1">
    <v>0</v>
    <v>SEAGATE TECHNOLOGY HOLDINGS PUBLIC LIMITED COMPANY (XNAS:STX)</v>
    <v>2</v>
    <v>3</v>
    <v>Finance</v>
    <v>10</v>
    <v>en-US</v>
    <v>a23rjc</v>
    <v>268435456</v>
    <v>1</v>
    <v>Powered by Refinitiv</v>
    <v>459.84</v>
    <v>63.19</v>
    <v>1.6363000000000001</v>
    <v>-28.32</v>
    <v>-6.9439000000000001E-2</v>
    <v>-0.72</v>
    <v>-1.897E-3</v>
    <v>USD</v>
    <v>Seagate Technology Holdings plc provides mass-data storage infrastructure solution. The Company’s principal products are hard disk drives, commonly referred to as disk drives, hard drives (HDDs). In addition to HDDs, the Company produces a range of data storage products, including solid state drives (SSDs), solid state hybrid drives, storage subsystems, as well as a scalable edge-to-cloud mass data platform. Its HDD products are designed for mass capacity storage and legacy markets. Mass capacity storage involves use cases, such as hyperscale data centers and public clouds, as well as emerging use cases. The Company’s HDD and SSD product portfolio includes Serial Advanced Technology Attachment, Serial Attached SCSI and Non-Volatile Memory Express based designs to support a variety of mass capacity and legacy applications. Its systems portfolio includes storage subsystems for enterprises, cloud service providers, scale-out storage servers and original equipment manufacturers.</v>
    <v>30000</v>
    <v>Nasdaq Stock Market</v>
    <v>XNAS</v>
    <v>XNAS</v>
    <v>121 Woodlands Avenue 5, 739009 SG</v>
    <v>407.7</v>
    <v>Computers, Phones &amp; Household Electronics</v>
    <v>Stock</v>
    <v>46083.913477985938</v>
    <v>1365</v>
    <v>374.53</v>
    <v>85022119808</v>
    <v>SEAGATE TECHNOLOGY HOLDINGS PUBLIC LIMITED COMPANY</v>
    <v>SEAGATE TECHNOLOGY HOLDINGS PUBLIC LIMITED COMPANY</v>
    <v>393.59</v>
    <v>46.139699999999998</v>
    <v>407.84</v>
    <v>379.52</v>
    <v>378.8</v>
    <v>224025400</v>
    <v>STX</v>
    <v>SEAGATE TECHNOLOGY HOLDINGS PUBLIC LIMITED COMPANY (XNAS:STX)</v>
    <v>4224403</v>
    <v>4932531</v>
    <v>2021</v>
  </rv>
  <rv s="2">
    <v>1366</v>
  </rv>
  <rv s="7">
    <fb>444.45</fb>
    <v>13</v>
  </rv>
  <rv s="7">
    <fb>418.63</fb>
    <v>13</v>
  </rv>
  <rv s="0">
    <v>https://www.bing.com/financeapi/forcetrigger?t=a1vjbh&amp;q=XNAS%3aINCY&amp;form=skydnc</v>
    <v>Learn more on Bing</v>
  </rv>
  <rv s="1">
    <v>0</v>
    <v>INCYTE CORPORATION (XNAS:INCY)</v>
    <v>2</v>
    <v>3</v>
    <v>Finance</v>
    <v>10</v>
    <v>en-US</v>
    <v>a1vjbh</v>
    <v>268435456</v>
    <v>1</v>
    <v>Powered by Refinitiv</v>
    <v>112.29</v>
    <v>53.56</v>
    <v>0.84379999999999999</v>
    <v>-1.23</v>
    <v>-1.2145999999999999E-2</v>
    <v>-0.5</v>
    <v>-4.9979999999999998E-3</v>
    <v>USD</v>
    <v>Incyte Corporation is a biopharmaceutical company, which is focused on the discovery, development, and commercialization of therapeutics. The Company operates in two therapeutic areas. One therapeutic area is Hematology/Oncology, which is comprised of Myeloproliferative Neoplasms and Graft-Versus-Host Disease, as well as solid tumors and hematologic malignancies. Its other therapeutic area is Inflammation and Autoimmunity, which includes its Dermatology commercial franchise. Its hematology and oncology franchise are comprised of six products, which are JAKAFI (ruxolitinib), MONJUVI (tafasitamab-cxix)/MINJUVI (tafasitamab), PEMAZYRE (pemigatinib), ICLUSIG (ponatinib), NIKTIMVO (axatilimab-csfr), and ZYNYZ (retifanlimab-dlwr), as well as numerous clinical development programs. The Company's pipeline also includes two first-in-class small molecule antagonist of Mas-related G protein-coupled receptor (MRGPRX2) and INCB000547, an oral MRGPRX4 antagonist.</v>
    <v>2844</v>
    <v>Nasdaq Stock Market</v>
    <v>XNAS</v>
    <v>XNAS</v>
    <v>1801 Augustine Cut-Off, WILMINGTON, DE, 19803 US</v>
    <v>101</v>
    <v>Pharmaceuticals</v>
    <v>Stock</v>
    <v>46083.94133798594</v>
    <v>1370</v>
    <v>97.54</v>
    <v>19909410580</v>
    <v>INCYTE CORPORATION</v>
    <v>INCYTE CORPORATION</v>
    <v>99.94</v>
    <v>15.8119</v>
    <v>101.27</v>
    <v>100.04</v>
    <v>99.54</v>
    <v>199014500</v>
    <v>INCY</v>
    <v>INCYTE CORPORATION (XNAS:INCY)</v>
    <v>1672671</v>
    <v>1907112</v>
    <v>1991</v>
  </rv>
  <rv s="2">
    <v>1371</v>
  </rv>
  <rv s="7">
    <fb>100.92</fb>
    <v>13</v>
  </rv>
  <rv s="7">
    <fb>102.6</fb>
    <v>13</v>
  </rv>
  <rv s="0">
    <v>https://www.bing.com/financeapi/forcetrigger?t=a24hfr&amp;q=XNAS%3aTRMB&amp;form=skydnc</v>
    <v>Learn more on Bing</v>
  </rv>
  <rv s="1">
    <v>0</v>
    <v>TRIMBLE INC. (XNAS:TRMB)</v>
    <v>2</v>
    <v>3</v>
    <v>Finance</v>
    <v>4</v>
    <v>en-US</v>
    <v>a24hfr</v>
    <v>268435456</v>
    <v>1</v>
    <v>Powered by Refinitiv</v>
    <v>87.5</v>
    <v>52.91</v>
    <v>1.5727</v>
    <v>1.54</v>
    <v>2.3029999999999998E-2</v>
    <v>-1.91</v>
    <v>-2.7919999999999997E-2</v>
    <v>USD</v>
    <v>Trimble Inc. is a global technology company. The Company's segments include Architects, Engineers, Construction and Owners (AECO), Field Systems, and Transportation and Logistics (T&amp;L). The AECO segment primarily serves customers working in architecture, engineering, construction, design, asset management, operations, and maintenance. Within this segment, its substantial product portfolios are software solutions focused on design, engineering, building and civil construction, capital planning, and asset management software. The Field Systems segment primarily serves customers working in surveying and mapping, civil construction, building construction field services, and positioning systems. Within this segment, its substantial product portfolios are hardware and software solutions focused on geospatial, civil engineering construction, and positioning services. The T&amp;L segment provides a suite of solutions for shippers, carriers, and intermediaries globally.</v>
    <v>11500</v>
    <v>Nasdaq Stock Market</v>
    <v>XNAS</v>
    <v>XNAS</v>
    <v>10368 Westmoor Dr, WESTMINSTER, CO, 80021 US</v>
    <v>68.540000000000006</v>
    <v>Software &amp; IT Services</v>
    <v>Stock</v>
    <v>46083.925214339841</v>
    <v>1375</v>
    <v>65.540000000000006</v>
    <v>16003110254</v>
    <v>TRIMBLE INC.</v>
    <v>TRIMBLE INC.</v>
    <v>65.540000000000006</v>
    <v>38.0047</v>
    <v>66.87</v>
    <v>68.41</v>
    <v>66.5</v>
    <v>233929400</v>
    <v>TRMB</v>
    <v>TRIMBLE INC. (XNAS:TRMB)</v>
    <v>2354310</v>
    <v>2389009</v>
    <v>2016</v>
  </rv>
  <rv s="2">
    <v>1376</v>
  </rv>
  <rv s="7">
    <fb>64.62</fb>
    <v>13</v>
  </rv>
  <rv s="7">
    <fb>65.040000000000006</fb>
    <v>13</v>
  </rv>
  <rv s="0">
    <v>https://www.bing.com/financeapi/forcetrigger?t=a1ydqh&amp;q=XNAS%3aNDSN&amp;form=skydnc</v>
    <v>Learn more on Bing</v>
  </rv>
  <rv s="1">
    <v>0</v>
    <v>NORDSON CORPORATION (XNAS:NDSN)</v>
    <v>2</v>
    <v>3</v>
    <v>Finance</v>
    <v>10</v>
    <v>en-US</v>
    <v>a1ydqh</v>
    <v>268435456</v>
    <v>1</v>
    <v>Powered by Refinitiv</v>
    <v>305.27999999999997</v>
    <v>165.03</v>
    <v>0.9879</v>
    <v>-1.26</v>
    <v>-4.2940000000000001E-3</v>
    <v>0</v>
    <v>0</v>
    <v>USD</v>
    <v>Nordson Corporation is a precision technology company. The Company engineers, manufactures and markets differentiated products and systems used for precision dispensing, applying and controlling adhesives, coatings, polymers, sealants, biomaterials, and other fluids, to test and inspect for quality, and to treat and cure surfaces and various medical products. Its segments include Industrial Precision Solutions, Medical and Fluid Solutions and Advanced Technology Solutions. The Industrial Precision Solutions segment delivers dispensing and material processing technology to diverse end markets. This segment serves the consumer durables, non-durables, agricultural and industrial markets. The Medical and Fluid Solutions segment includes fluid management solutions for medical, high-tech industrial and other diverse end markets. The Company’s Advanced Technology Solutions segment integrates its product technologies into the progressive stages of a customer’s production processes.</v>
    <v>8200</v>
    <v>Nasdaq Stock Market</v>
    <v>XNAS</v>
    <v>XNAS</v>
    <v>28601 Clemens Road, WESTLAKE, OH, 44145-4551 US</v>
    <v>293.61</v>
    <v>Machinery, Equipment &amp; Components</v>
    <v>Stock</v>
    <v>46083.978742245316</v>
    <v>1380</v>
    <v>286.07279999999997</v>
    <v>16298852248</v>
    <v>NORDSON CORPORATION</v>
    <v>NORDSON CORPORATION</v>
    <v>290.33</v>
    <v>31.715</v>
    <v>293.44</v>
    <v>292.18</v>
    <v>292.18</v>
    <v>55783600</v>
    <v>NDSN</v>
    <v>NORDSON CORPORATION (XNAS:NDSN)</v>
    <v>341844</v>
    <v>479157</v>
    <v>1935</v>
  </rv>
  <rv s="2">
    <v>1381</v>
  </rv>
  <rv s="7">
    <fb>278.17</fb>
    <v>13</v>
  </rv>
  <rv s="7">
    <fb>285.95</fb>
    <v>13</v>
  </rv>
  <rv s="0">
    <v>https://www.bing.com/financeapi/forcetrigger?t=a1oi1h&amp;q=XNYS%3aBIO&amp;form=skydnc</v>
    <v>Learn more on Bing</v>
  </rv>
  <rv s="1">
    <v>0</v>
    <v>BIO-RAD LABORATORIES, INC. (XNYS:BIO)</v>
    <v>2</v>
    <v>3</v>
    <v>Finance</v>
    <v>10</v>
    <v>en-US</v>
    <v>a1oi1h</v>
    <v>268435456</v>
    <v>1</v>
    <v>Powered by Refinitiv</v>
    <v>343.12</v>
    <v>211.43</v>
    <v>1.1852</v>
    <v>1.1499999999999999</v>
    <v>4.13E-3</v>
    <v>0</v>
    <v>0</v>
    <v>USD</v>
    <v>Bio-Rad Laboratories, Inc. is engaged in developing, manufacturing, and marketing a range of products for the life science research and clinical diagnostics markets. The Company offers a range of products and systems used to separate complex chemical and biological materials and to identify, analyze and purify their components. It operates through two segments: Life Science and Clinical Diagnostics. The Life Science segment develops, manufactures, and markets instruments, systems, reagents, and consumables used for biological research, biopharmaceutical production processes, food testing regimes, and science education. Its Clinical Diagnostics segment designs, manufactures, markets and supports test systems, informatics systems, test kits and specialized quality controls that serve clinical laboratories in the global diagnostics market. These products are sold to hospital laboratories, diagnostic reference laboratories, transfusion laboratories, and physician office laboratories.</v>
    <v>7450</v>
    <v>New York Stock Exchange</v>
    <v>XNYS</v>
    <v>XNYS</v>
    <v>1000 ALFRED NOBEL DR, HERCULES, CA, 94547 US</v>
    <v>282.32</v>
    <v>Healthcare Equipment &amp; Supplies</v>
    <v>Stock</v>
    <v>46083.957298321096</v>
    <v>1385</v>
    <v>273.56</v>
    <v>7546243140</v>
    <v>BIO-RAD LABORATORIES, INC.</v>
    <v>BIO-RAD LABORATORIES, INC.</v>
    <v>275.41000000000003</v>
    <v>9.9756999999999998</v>
    <v>278.44</v>
    <v>279.58999999999997</v>
    <v>279.58999999999997</v>
    <v>26990390</v>
    <v>BIO</v>
    <v>BIO-RAD LABORATORIES, INC. (XNYS:BIO)</v>
    <v>302937</v>
    <v>300372</v>
    <v>1975</v>
  </rv>
  <rv s="2">
    <v>1386</v>
  </rv>
  <rv s="7">
    <fb>298.98</fb>
    <v>13</v>
  </rv>
  <rv s="7">
    <fb>305.89999999999998</fb>
    <v>13</v>
  </rv>
  <rv s="0">
    <v>https://www.bing.com/financeapi/forcetrigger?t=a1w6zr&amp;q=XNAS%3aJKHY&amp;form=skydnc</v>
    <v>Learn more on Bing</v>
  </rv>
  <rv s="1">
    <v>0</v>
    <v>JACK HENRY &amp; ASSOCIATES, INC. (XNAS:JKHY)</v>
    <v>2</v>
    <v>3</v>
    <v>Finance</v>
    <v>4</v>
    <v>en-US</v>
    <v>a1w6zr</v>
    <v>268435456</v>
    <v>1</v>
    <v>Powered by Refinitiv</v>
    <v>196</v>
    <v>144.12</v>
    <v>0.7248</v>
    <v>1.74</v>
    <v>1.0709999999999999E-2</v>
    <v>-2.1</v>
    <v>-1.2789E-2</v>
    <v>USD</v>
    <v>Jack Henry &amp; Associates, Inc. is a financial technology company. The Company’s segments include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automated teller machine, debit, and credit card processing services; online and mobile bill pay solutions; automated clearinghouse origination and remote deposit capture processing; and risk management products and services. The Complementary segment provides additional software, hosted processing platforms, and services, including digital/mobile banking, treasury services, online account opening, fraud/anti-money laundering and lending/deposit solutions that can be integrated with its core solutions.</v>
    <v>7240</v>
    <v>Nasdaq Stock Market</v>
    <v>XNAS</v>
    <v>XNAS</v>
    <v>PO BOX 807, 663 HWY 60, MONETT, MO, 65708-0807 US</v>
    <v>165.77</v>
    <v>Software &amp; IT Services</v>
    <v>Stock</v>
    <v>46083.92521648125</v>
    <v>1390</v>
    <v>158.88</v>
    <v>11849882154</v>
    <v>JACK HENRY &amp; ASSOCIATES, INC.</v>
    <v>JACK HENRY &amp; ASSOCIATES, INC.</v>
    <v>160.51</v>
    <v>23.3215</v>
    <v>162.46</v>
    <v>164.2</v>
    <v>162.1</v>
    <v>72167370</v>
    <v>JKHY</v>
    <v>JACK HENRY &amp; ASSOCIATES, INC. (XNAS:JKHY)</v>
    <v>770342</v>
    <v>1222119</v>
    <v>1985</v>
  </rv>
  <rv s="2">
    <v>1391</v>
  </rv>
  <rv s="7">
    <fb>166.16</fb>
    <v>13</v>
  </rv>
  <rv s="7">
    <fb>173.78</fb>
    <v>13</v>
  </rv>
  <rv s="0">
    <v>https://www.bing.com/financeapi/forcetrigger?t=a243pr&amp;q=XNAS%3aTECH&amp;form=skydnc</v>
    <v>Learn more on Bing</v>
  </rv>
  <rv s="1">
    <v>0</v>
    <v>BIO-TECHNE CORPORATION (XNAS:TECH)</v>
    <v>2</v>
    <v>3</v>
    <v>Finance</v>
    <v>10</v>
    <v>en-US</v>
    <v>a243pr</v>
    <v>268435456</v>
    <v>1</v>
    <v>Powered by Refinitiv</v>
    <v>72.16</v>
    <v>46.01</v>
    <v>1.478</v>
    <v>-1.18</v>
    <v>-0.02</v>
    <v>-0.77</v>
    <v>-1.3317000000000001E-2</v>
    <v>USD</v>
    <v>Bio-Techne Corporation develop, manufacture and sell life science reagents, instruments and services for the research, diagnostics and bioprocessing markets worldwide. The Company’s segments include Protein Sciences segment and Diagnostics and Spatial Biology segment. The Protein Sciences segment is a developer and manufacturer of biological reagents used in all aspects of life science research, diagnostics and cell and gene therapy. The Diagnostics and Spatial Biology segment develops and manufactures diagnostic products, including controls, calibrators, and diagnostic assays for the regulated diagnostics market, advanced tissue-based in-situ hybridization assays and instrumentation for spatial genomic and tissue biopsy analysis and genetic and oncology kits for research and clinical applications. Its product portfolio and application enable scientific investigations into biological processes and molecular diagnostics and progression of specific diseases.</v>
    <v>3100</v>
    <v>Nasdaq Stock Market</v>
    <v>XNAS</v>
    <v>XNAS</v>
    <v>614 Mckinley Pl N E, Suite 1500, MINNEAPOLIS, MN, 55413 US</v>
    <v>58.424999999999997</v>
    <v>Biotechnology &amp; Medical Research</v>
    <v>Stock</v>
    <v>46083.925214710158</v>
    <v>1395</v>
    <v>56.39</v>
    <v>9046129806</v>
    <v>BIO-TECHNE CORPORATION</v>
    <v>BIO-TECHNE CORPORATION</v>
    <v>57.975000000000001</v>
    <v>116.24469999999999</v>
    <v>59</v>
    <v>57.82</v>
    <v>57.05</v>
    <v>156453300</v>
    <v>TECH</v>
    <v>BIO-TECHNE CORPORATION (XNAS:TECH)</v>
    <v>1828206</v>
    <v>2546647</v>
    <v>1981</v>
  </rv>
  <rv s="2">
    <v>1396</v>
  </rv>
  <rv s="7">
    <fb>64.63</fb>
    <v>13</v>
  </rv>
  <rv s="7">
    <fb>68.67</fb>
    <v>13</v>
  </rv>
  <rv s="0">
    <v>https://www.bing.com/financeapi/forcetrigger?t=a23tz2&amp;q=XNAS%3aSWKS&amp;form=skydnc</v>
    <v>Learn more on Bing</v>
  </rv>
  <rv s="1">
    <v>0</v>
    <v>SKYWORKS SOLUTIONS, INC. (XNAS:SWKS)</v>
    <v>2</v>
    <v>3</v>
    <v>Finance</v>
    <v>10</v>
    <v>en-US</v>
    <v>a23tz2</v>
    <v>268435456</v>
    <v>1</v>
    <v>Powered by Refinitiv</v>
    <v>90.9</v>
    <v>47.93</v>
    <v>1.2982</v>
    <v>-0.65</v>
    <v>-1.091E-2</v>
    <v>-0.43</v>
    <v>-7.2970000000000005E-3</v>
    <v>USD</v>
    <v>Skyworks Solutions, Inc. provides wireless networking services. The Company’s analog and mixed-signal semiconductors are connecting people, places, and things, spanning a number of new applications within the aerospace, automotive, broadband, cellular infrastructure, connected home, defense, entertainment and gaming, industrial, medical, smartphone, tablet, and wearable markets. It operates engineering, manufacturing, sales, and service facilities throughout Asia, Europe, and North America. The Company offers a range of products, such as Amplifiers, Attenuators, Diodes, Audio And Radio, Clocks And Timing, Front-End Modules, Isolation, Modems And DAAs, Optocouplers, Power Management, Power Over Ethernet, RF Passives, Television (TV) And Video, Switches, and Voice. Its engineering, marketing, operations, sales, and support facilities are located throughout Asia, Europe, and North America.</v>
    <v>10000</v>
    <v>Nasdaq Stock Market</v>
    <v>XNAS</v>
    <v>XNAS</v>
    <v>5260 California Avenue, IRVINE, CA, 92617 US</v>
    <v>59.54</v>
    <v>Semiconductors &amp; Semiconductor Equipment</v>
    <v>Stock</v>
    <v>46083.992639432814</v>
    <v>1400</v>
    <v>57.33</v>
    <v>8861516248</v>
    <v>SKYWORKS SOLUTIONS, INC.</v>
    <v>SKYWORKS SOLUTIONS, INC.</v>
    <v>57.75</v>
    <v>21.8444</v>
    <v>59.58</v>
    <v>58.93</v>
    <v>58.5</v>
    <v>150373600</v>
    <v>SWKS</v>
    <v>SKYWORKS SOLUTIONS, INC. (XNAS:SWKS)</v>
    <v>2633210</v>
    <v>4150633</v>
    <v>2002</v>
  </rv>
  <rv s="2">
    <v>1401</v>
  </rv>
  <rv s="7">
    <fb>55.93</fb>
    <v>13</v>
  </rv>
  <rv s="7">
    <fb>59</fb>
    <v>13</v>
  </rv>
  <rv s="0">
    <v>https://www.bing.com/financeapi/forcetrigger?t=a213kr&amp;q=XNAS%3aPOOL&amp;form=skydnc</v>
    <v>Learn more on Bing</v>
  </rv>
  <rv s="1">
    <v>0</v>
    <v>POOL CORPORATION (XNAS:POOL)</v>
    <v>2</v>
    <v>3</v>
    <v>Finance</v>
    <v>4</v>
    <v>en-US</v>
    <v>a213kr</v>
    <v>268435456</v>
    <v>1</v>
    <v>Powered by Refinitiv</v>
    <v>374.74</v>
    <v>210.67</v>
    <v>1.2445999999999999</v>
    <v>-5.18</v>
    <v>-2.2801000000000002E-2</v>
    <v>0</v>
    <v>0</v>
    <v>USD</v>
    <v>Pool Corporation is a wholesale distributor of swimming pool supplies, equipment, and related leisure products. The Company also distributes irrigation and landscape products in the United States. The Company operates approximately 448 sales centers in North America, Europe, and Australia through its five distribution networks: SCP Distributors (SCP), Superior Pool Products (Superior), Horizon Distributors (Horizon), National Pool Tile (NPT), and Sun Wholesale Supply (Sun Wholesale). The Company distributes swimming pool supplies, equipment, and related leisure products domestically through its SCP and Superior sales center networks through SCP network. Its Horizon sales centers offer organic fertilizers, organic pesticides, and irrigation and drainage products that reduce water usage and soil erosion. Sun Wholesale distributes swimming pool supplies, equipment, and related leisure products, primarily servicing independently owned and operated Pinch A Penny, Inc. franchise locations.</v>
    <v>6000</v>
    <v>Nasdaq Stock Market</v>
    <v>XNAS</v>
    <v>XNAS</v>
    <v>109 Northpark Boulevard, COVINGTON, LA, 70433-5001 US</v>
    <v>222.935</v>
    <v>Leisure Products</v>
    <v>Stock</v>
    <v>46083.949924050779</v>
    <v>1405</v>
    <v>214.995</v>
    <v>8166896040</v>
    <v>POOL CORPORATION</v>
    <v>POOL CORPORATION</v>
    <v>222.4</v>
    <v>20.974399999999999</v>
    <v>227.18</v>
    <v>222</v>
    <v>222</v>
    <v>36787820</v>
    <v>POOL</v>
    <v>POOL CORPORATION (XNAS:POOL)</v>
    <v>881850</v>
    <v>927645</v>
    <v>1993</v>
  </rv>
  <rv s="2">
    <v>1406</v>
  </rv>
  <rv s="7">
    <fb>252.95</fb>
    <v>13</v>
  </rv>
  <rv s="7">
    <fb>260.42</fb>
    <v>13</v>
  </rv>
  <rv s="0">
    <v>https://www.bing.com/financeapi/forcetrigger?t=a1pnu2&amp;q=XNAS%3aCHRW&amp;form=skydnc</v>
    <v>Learn more on Bing</v>
  </rv>
  <rv s="1">
    <v>0</v>
    <v>C.H. ROBINSON WORLDWIDE, INC. (XNAS:CHRW)</v>
    <v>2</v>
    <v>3</v>
    <v>Finance</v>
    <v>10</v>
    <v>en-US</v>
    <v>a1pnu2</v>
    <v>268435456</v>
    <v>1</v>
    <v>Powered by Refinitiv</v>
    <v>203.34</v>
    <v>84.678799999999995</v>
    <v>0.90469999999999995</v>
    <v>1.99</v>
    <v>1.0742E-2</v>
    <v>1.7</v>
    <v>9.0790000000000003E-3</v>
    <v>USD</v>
    <v>C.H. Robinson Worldwide, Inc. is a global logistics provider. The Company's segments include North American Surface Transportation (NAST), Global Forwarding, and All Other and Corporate. NAST segment provides transportation and logistics services across North America through a network of offices in the United States, Canada, and Mexico. NAST segment’s services include truckload and less than truckload transportation brokerage services. Global Forwarding segment provides transportation and logistics services through an international network of offices in North America, Europe, Asia, Oceania, South America, and the Middle East and also contracts with independent agents worldwide. Global Forwarding segment’s services include ocean freight services, air freight services, and customs brokerage. All Other and Corporate segment includes Robinson Fresh and Managed Solutions. Robinson Fresh provides sourcing services. In its Managed Solutions business, it often acts as the shipper’s agent.</v>
    <v>11855</v>
    <v>Nasdaq Stock Market</v>
    <v>XNAS</v>
    <v>XNAS</v>
    <v>14701 Charlson Rd, EDEN PRAIRIE, MN, 55347 US</v>
    <v>190.31</v>
    <v>Freight &amp; Logistics Services</v>
    <v>Stock</v>
    <v>46083.991509617968</v>
    <v>1410</v>
    <v>184</v>
    <v>22210558592</v>
    <v>C.H. ROBINSON WORLDWIDE, INC.</v>
    <v>C.H. ROBINSON WORLDWIDE, INC.</v>
    <v>184.09</v>
    <v>38.337299999999999</v>
    <v>185.25</v>
    <v>187.24</v>
    <v>188.94</v>
    <v>118620800</v>
    <v>CHRW</v>
    <v>C.H. ROBINSON WORLDWIDE, INC. (XNAS:CHRW)</v>
    <v>2645868</v>
    <v>3222133</v>
    <v>1997</v>
  </rv>
  <rv s="2">
    <v>1411</v>
  </rv>
  <rv s="7">
    <fb>199.71</fb>
    <v>13</v>
  </rv>
  <rv s="7">
    <fb>198.74</fb>
    <v>13</v>
  </rv>
  <rv s="0">
    <v>https://www.bing.com/financeapi/forcetrigger?t=a1wksm&amp;q=XNYS%3aKMX&amp;form=skydnc</v>
    <v>Learn more on Bing</v>
  </rv>
  <rv s="1">
    <v>0</v>
    <v>CarMax, Inc. (XNYS:KMX)</v>
    <v>2</v>
    <v>3</v>
    <v>Finance</v>
    <v>10</v>
    <v>en-US</v>
    <v>a1wksm</v>
    <v>268435456</v>
    <v>1</v>
    <v>Powered by Refinitiv</v>
    <v>84.49</v>
    <v>30.26</v>
    <v>1.3515999999999999</v>
    <v>-1.36</v>
    <v>-3.1503000000000003E-2</v>
    <v>0.69</v>
    <v>1.6503E-2</v>
    <v>USD</v>
    <v>CarMax, Inc. is a retailer of used autos. The Company operates through two segments: CarMax Sales Operations and CarMax Auto Finance (CAF). The CarMax Sales Operations segment consists of all aspects of its auto merchandising and service operations. The CarMax Sales Operations segment sells used vehicles, purchases used vehicles from customers and other sources, sells related products and services, and arranges financing options for customers. The CAF segment consists solely of its own finance operation that provides financing for customers buying retail vehicles from the Company. The CAF segment also services all auto loans, it originates and is responsible for providing billing statements, collecting payments, maintaining contact with delinquent customers, and arranging for the repossession of vehicles securing defaulted loans. It provides customers with a range of other related products and services, including extended protection plan (EPP) products and vehicle repair services.</v>
    <v>30048</v>
    <v>New York Stock Exchange</v>
    <v>XNYS</v>
    <v>XNYS</v>
    <v>12800 Tuckahoe Creek Pkwy, RICHMOND, VA, 23238 US</v>
    <v>42.42</v>
    <v>Specialty Retailers</v>
    <v>Stock</v>
    <v>46083.986897325784</v>
    <v>1415</v>
    <v>41.27</v>
    <v>5928515846</v>
    <v>CarMax, Inc.</v>
    <v>CarMax, Inc.</v>
    <v>42.22</v>
    <v>14.2791</v>
    <v>43.17</v>
    <v>41.81</v>
    <v>42.5</v>
    <v>141796600</v>
    <v>KMX</v>
    <v>CarMax, Inc. (XNYS:KMX)</v>
    <v>2799256</v>
    <v>3288506</v>
    <v>1996</v>
  </rv>
  <rv s="2">
    <v>1416</v>
  </rv>
  <rv s="7">
    <fb>45.17</fb>
    <v>13</v>
  </rv>
  <rv s="7">
    <fb>47.26</fb>
    <v>13</v>
  </rv>
  <rv s="0">
    <v>https://www.bing.com/financeapi/forcetrigger?t=a24tfr&amp;q=XNYS%3aUDR&amp;form=skydnc</v>
    <v>Learn more on Bing</v>
  </rv>
  <rv s="1">
    <v>0</v>
    <v>UDR, INC. (XNYS:UDR)</v>
    <v>2</v>
    <v>3</v>
    <v>Finance</v>
    <v>10</v>
    <v>en-US</v>
    <v>a24tfr</v>
    <v>268435456</v>
    <v>1</v>
    <v>Powered by Refinitiv</v>
    <v>46.47</v>
    <v>32.94</v>
    <v>0.70289999999999997</v>
    <v>-0.05</v>
    <v>-1.333E-3</v>
    <v>0</v>
    <v>0</v>
    <v>USD</v>
    <v>UDR, Inc. is a self-administered real estate investment trust. The Company owns, operates, acquires, renovates, develops, redevelops, and manages apartment communities in targeted markets located in the United States. The Company operates in two segments: Same-Store Communities and Non-Mature Communities/Other. The Same-Store Communities segment represent those communities acquired, developed, and stabilized. The Non-Mature Communities/Other segments represent those communities that do not meet the criteria to be included in Same-Store Communities, including, but not limited to acquired, developed and redeveloped communities, and the non-apartment components of mixed-use properties. The Company owns or has an ownership position in approximately 60,120 apartment homes. Its Baltimore apartments include Domain Brewers Hill, The Quarters at Towson Town Center, 20 Lambourne, Towson Promenade, 1274 at Towson, Rodgers Forge, and Calvert's Walk.</v>
    <v>1420</v>
    <v>New York Stock Exchange</v>
    <v>XNYS</v>
    <v>XNYS</v>
    <v>Suite 200, 1745 Shea Center Drive, HIGHLANDS RANCH, CO, 80129 US</v>
    <v>37.76</v>
    <v>Residential &amp; Commercial REIT</v>
    <v>Stock</v>
    <v>46083.92518045078</v>
    <v>1420</v>
    <v>37.229999999999997</v>
    <v>12305021400</v>
    <v>UDR, INC.</v>
    <v>UDR, INC.</v>
    <v>37.47</v>
    <v>33.177300000000002</v>
    <v>37.5</v>
    <v>37.450000000000003</v>
    <v>37.450000000000003</v>
    <v>328572000</v>
    <v>UDR</v>
    <v>UDR, INC. (XNYS:UDR)</v>
    <v>2853639</v>
    <v>4904358</v>
    <v>2003</v>
  </rv>
  <rv s="2">
    <v>1421</v>
  </rv>
  <rv s="7">
    <fb>36.630000000000003</fb>
    <v>13</v>
  </rv>
  <rv s="7">
    <fb>37.61</fb>
    <v>13</v>
  </rv>
  <rv s="0">
    <v>https://www.bing.com/financeapi/forcetrigger?t=a1sicw&amp;q=XNAS%3aEXPD&amp;form=skydnc</v>
    <v>Learn more on Bing</v>
  </rv>
  <rv s="1">
    <v>0</v>
    <v>EXPEDITORS INTERNATIONAL OF WASHINGTON, INC (XNYS:EXPD)</v>
    <v>2</v>
    <v>3</v>
    <v>Finance</v>
    <v>4</v>
    <v>en-US</v>
    <v>a1sicw</v>
    <v>268435456</v>
    <v>1</v>
    <v>Powered by Refinitiv</v>
    <v>167.19</v>
    <v>100.47</v>
    <v>1.1433</v>
    <v>0.53</v>
    <v>3.6540000000000001E-3</v>
    <v>0</v>
    <v>0</v>
    <v>USD</v>
    <v>Expeditors International of Washington, Inc. is a global logistics company. The Company’s services include consolidation or forwarding of air and ocean freight, customs brokerage, vendor consolidation, cargo insurance, time-definite transportation, order management, warehousing and distribution and customized logistics solutions. The Company’s primary services include airfreight services, ocean freight and ocean services, and customs brokerage and other services. It provides a full suite of global logistics services, offering customers access to an international network of people and integrated information systems to support the movement and strategic positioning of goods. As a third-party logistics provider, it purchases cargo space from carriers on a volume basis and resells that space to its customers. In addition, its Project Cargo unit handles special project shipments that move via a single method or combination of air, ocean, and/or ground transportation.</v>
    <v>19800</v>
    <v>New York Stock Exchange</v>
    <v>XNYS</v>
    <v>XNYS</v>
    <v>3545 Factoria Blvd. Se, Sterling Plaza 2, 3Rd Floor, BELLEVUE, WA, 98006 US</v>
    <v>147.87</v>
    <v>Freight &amp; Logistics Services</v>
    <v>Stock</v>
    <v>46084.03087988359</v>
    <v>1425</v>
    <v>144.11500000000001</v>
    <v>19432798572</v>
    <v>EXPEDITORS INTERNATIONAL OF WASHINGTON, INC</v>
    <v>EXPEDITORS INTERNATIONAL OF WASHINGTON, INC</v>
    <v>145</v>
    <v>24.4663</v>
    <v>145.03</v>
    <v>145.56</v>
    <v>145.63</v>
    <v>133503700</v>
    <v>EXPD</v>
    <v>EXPEDITORS INTERNATIONAL OF WASHINGTON, INC (XNYS:EXPD)</v>
    <v>1577992</v>
    <v>1927967</v>
    <v>1979</v>
  </rv>
  <rv s="2">
    <v>1426</v>
  </rv>
  <rv s="7">
    <fb>162.22</fb>
    <v>13</v>
  </rv>
  <rv s="7">
    <fb>164.92</fb>
    <v>13</v>
  </rv>
  <rv s="0">
    <v>https://www.bing.com/financeapi/forcetrigger?t=a1pqur&amp;q=XNAS%3aCINF&amp;form=skydnc</v>
    <v>Learn more on Bing</v>
  </rv>
  <rv s="1">
    <v>0</v>
    <v>CINCINNATI FINANCIAL CORPORATION (XNAS:CINF)</v>
    <v>2</v>
    <v>3</v>
    <v>Finance</v>
    <v>10</v>
    <v>en-US</v>
    <v>a1pqur</v>
    <v>268435456</v>
    <v>1</v>
    <v>Powered by Refinitiv</v>
    <v>174.27</v>
    <v>123.015</v>
    <v>0.64229999999999998</v>
    <v>6</v>
    <v>3.6589999999999998E-2</v>
    <v>-0.14000000000000001</v>
    <v>-8.2360000000000007E-4</v>
    <v>USD</v>
    <v>Cincinnati Financial Corporation offers primarily business, home and auto insurance, its main business, through The Cincinnati Insurance Company and its two standard market property casualty companies. Its segments include Commercial lines insurance, Personal lines insurance, Excess and surplus lines insurance, Life insurance, and Investments. Commercial lines insurance segment’s business includes commercial casualty, commercial property, commercial auto, workers’ compensation, and other commercial lines. Personal Lines Insurance segment’s business includes personal auto, homeowner and other personal lines. Excess and Surplus Lines Insurance segment covers commercial casualty and commercial property. Life Insurance segment’s business includes term life insurance, worksite products, whole life insurance and universal life insurance. Investments segment invests the cash it generates from insurance operations in fixed-maturity investments, equity investments and short-term investments.</v>
    <v>5705</v>
    <v>Nasdaq Stock Market</v>
    <v>XNAS</v>
    <v>XNAS</v>
    <v>6200 S Gilmore Rd, FAIRFIELD, OH, 45014 US</v>
    <v>170.1</v>
    <v>Insurance</v>
    <v>Stock</v>
    <v>46083.967318251562</v>
    <v>1430</v>
    <v>164.21</v>
    <v>26451879648</v>
    <v>CINCINNATI FINANCIAL CORPORATION</v>
    <v>CINCINNATI FINANCIAL CORPORATION</v>
    <v>164.32</v>
    <v>10.809100000000001</v>
    <v>163.98</v>
    <v>169.98</v>
    <v>169.84</v>
    <v>155617600</v>
    <v>CINF</v>
    <v>CINCINNATI FINANCIAL CORPORATION (XNAS:CINF)</v>
    <v>1136995</v>
    <v>797594</v>
    <v>1992</v>
  </rv>
  <rv s="2">
    <v>1431</v>
  </rv>
  <rv s="7">
    <fb>163.84</fb>
    <v>13</v>
  </rv>
  <rv s="7">
    <fb>168.95</fb>
    <v>13</v>
  </rv>
  <rv s="0">
    <v>https://www.bing.com/financeapi/forcetrigger?t=a23tw7&amp;q=XNYS%3aSWK&amp;form=skydnc</v>
    <v>Learn more on Bing</v>
  </rv>
  <rv s="1">
    <v>0</v>
    <v>STANLEY BLACK &amp; DECKER, INC. (XNYS:SWK)</v>
    <v>2</v>
    <v>3</v>
    <v>Finance</v>
    <v>4</v>
    <v>en-US</v>
    <v>a23tw7</v>
    <v>268435456</v>
    <v>1</v>
    <v>Powered by Refinitiv</v>
    <v>93.37</v>
    <v>53.9101</v>
    <v>1.1817</v>
    <v>-2.44</v>
    <v>-2.8211E-2</v>
    <v>-0.04</v>
    <v>-4.7600000000000002E-4</v>
    <v>USD</v>
    <v>Stanley Black &amp; Decker Inc. is a global provider of hand tools, power tools, outdoor products and related accessories, as well as a provider of engineered fastening solutions. The Company’s segments include Tools &amp; Outdoor and Engineered Fastening. The Tools &amp; Outdoor segment is comprised of the Power Tools Group (PTG), Hand Tools, Accessories &amp; Storage (HTAS) and Outdoor Power Equipment (Outdoor) product lines. The PTG product line includes both professional and consumer products. The HTAS product line sells hand tools, power tool accessories and storage products. The Outdoor product line primarily sells corded and cordless electric lawn and garden products. The Engineered Fastening segment primarily sells highly engineered components such as fasteners, fittings and various engineered products, which are designed for specific application across multiple verticals. The Company's portfolio of brands includes DEWALT, CRAFTSMAN, STANLEY, BLACK+DECKER, and Cub Cadet.</v>
    <v>43500</v>
    <v>New York Stock Exchange</v>
    <v>XNYS</v>
    <v>XNYS</v>
    <v>1000 Stanley Dr, PO Box 7000, NEW BRITAIN, CT, 06053-1675 US</v>
    <v>85.83</v>
    <v>Machinery, Equipment &amp; Components</v>
    <v>Stock</v>
    <v>46084.030371272653</v>
    <v>1435</v>
    <v>82.56</v>
    <v>13034431975</v>
    <v>STANLEY BLACK &amp; DECKER, INC.</v>
    <v>STANLEY BLACK &amp; DECKER, INC.</v>
    <v>84.26</v>
    <v>32.689700000000002</v>
    <v>86.49</v>
    <v>84.05</v>
    <v>84</v>
    <v>155079500</v>
    <v>SWK</v>
    <v>STANLEY BLACK &amp; DECKER, INC. (XNYS:SWK)</v>
    <v>1743088</v>
    <v>2086681</v>
    <v>1901</v>
  </rv>
  <rv s="2">
    <v>1436</v>
  </rv>
  <rv s="7">
    <fb>80.959999999999994</fb>
    <v>13</v>
  </rv>
  <rv s="7">
    <fb>84.63</fb>
    <v>13</v>
  </rv>
  <rv s="0">
    <v>https://www.bing.com/financeapi/forcetrigger?t=a1x7oc&amp;q=XNYS%3aLW&amp;form=skydnc</v>
    <v>Learn more on Bing</v>
  </rv>
  <rv s="1">
    <v>0</v>
    <v>LAMB WESTON HOLDINGS, INC. (XNYS:LW)</v>
    <v>2</v>
    <v>3</v>
    <v>Finance</v>
    <v>10</v>
    <v>en-US</v>
    <v>a1x7oc</v>
    <v>268435456</v>
    <v>1</v>
    <v>Powered by Refinitiv</v>
    <v>67.069999999999993</v>
    <v>39.79</v>
    <v>0.41660000000000003</v>
    <v>-1.41</v>
    <v>-2.9259E-2</v>
    <v>0.02</v>
    <v>4.2750000000000004E-4</v>
    <v>USD</v>
    <v>Lamb Weston Holdings, Inc. is a global producer, distributor, and marketer of value-added frozen potato products. The Company is a supplier of frozen potato, sweet potato, appetizer and vegetable products to restaurants and retailers around the globe. The Company’s segments include North America and International. The Company’s frozen potato products are sold in North America and international markets generally to North American-based restaurant chains and international customers, comprised of global and regional quick service and full-service restaurant chains, foodservice distributors, and retailers. Its product portfolio includes frozen potatoes and appetizers sold under the Lamb Weston brand, as well as many customer labels. The Company’s product categories include classic fries, extra crispy fries, sweet potatoes, and other products. Its recipes include appetizers, desserts, dips, sauces and seasonings, entree, salad, side dishes, and topped and loaded.</v>
    <v>10100</v>
    <v>New York Stock Exchange</v>
    <v>XNYS</v>
    <v>XNYS</v>
    <v>599 S. RIVERSHORE LANE, EAGLE, ID, 83616 US</v>
    <v>47.89</v>
    <v>Food &amp; Tobacco</v>
    <v>Stock</v>
    <v>46083.998245983596</v>
    <v>1440</v>
    <v>46.32</v>
    <v>6496801722</v>
    <v>LAMB WESTON HOLDINGS, INC.</v>
    <v>LAMB WESTON HOLDINGS, INC.</v>
    <v>47.61</v>
    <v>17.339500000000001</v>
    <v>48.19</v>
    <v>46.78</v>
    <v>46.8</v>
    <v>138879900</v>
    <v>LW</v>
    <v>LAMB WESTON HOLDINGS, INC. (XNYS:LW)</v>
    <v>1868141</v>
    <v>2363835</v>
    <v>2016</v>
  </rv>
  <rv s="2">
    <v>1441</v>
  </rv>
  <rv s="7">
    <fb>46.29</fb>
    <v>13</v>
  </rv>
  <rv s="7">
    <fb>47.78</fb>
    <v>13</v>
  </rv>
  <rv s="0">
    <v>https://www.bing.com/financeapi/forcetrigger?t=a1r9lh&amp;q=XNYS%3aDPZ&amp;form=skydnc</v>
    <v>Learn more on Bing</v>
  </rv>
  <rv s="1">
    <v>0</v>
    <v>DOMINO'S PIZZA, INC. (XNAS:DPZ)</v>
    <v>2</v>
    <v>3</v>
    <v>Finance</v>
    <v>4</v>
    <v>en-US</v>
    <v>a1r9lh</v>
    <v>268435456</v>
    <v>1</v>
    <v>Powered by Refinitiv</v>
    <v>500.55</v>
    <v>370.7</v>
    <v>1.1673</v>
    <v>-1.1399999999999999</v>
    <v>-2.8319999999999999E-3</v>
    <v>-1.37</v>
    <v>-3.4129999999999998E-3</v>
    <v>USD</v>
    <v>Domino’s Pizza, Inc. is a pizza company with a significant business in both delivery and carryout. The Company operates through three segments: U.S. stores, international franchise, and supply chain. The U.S. stores segment is comprised primarily of its franchise operations, which consists of franchised stores located in the United States. The segment also operates a network of United States Company-owned stores. The international franchise segment primarily includes operations related to the Company’s franchising business in foreign markets. The supply chain segment primarily includes the distribution of food, equipment and supplies to stores from the Company’s supply chain center operations in the United States and Canada. It is primarily a franchisor, with approximately 99% of its global stores owned and operated by its independent franchisees. In its international markets, the Company generally grants geographical rights to the Domino’s Pizza brand to master franchisees.</v>
    <v>10200</v>
    <v>Nasdaq Stock Market</v>
    <v>XNAS</v>
    <v>XNAS</v>
    <v>30 Frank Lloyd Wright Drive, ANN ARBOR, MI, 48105 US</v>
    <v>404.83499999999998</v>
    <v>Hotels &amp; Entertainment Services</v>
    <v>Stock</v>
    <v>46083.925215404684</v>
    <v>1445</v>
    <v>394</v>
    <v>13497631593</v>
    <v>DOMINO'S PIZZA, INC.</v>
    <v>DOMINO'S PIZZA, INC.</v>
    <v>397.53</v>
    <v>22.903300000000002</v>
    <v>402.51</v>
    <v>401.37</v>
    <v>400</v>
    <v>33628900</v>
    <v>DPZ</v>
    <v>DOMINO'S PIZZA, INC. (XNAS:DPZ)</v>
    <v>1026284</v>
    <v>977667</v>
    <v>2002</v>
  </rv>
  <rv s="2">
    <v>1446</v>
  </rv>
  <rv s="7">
    <fb>401.11</fb>
    <v>13</v>
  </rv>
  <rv s="7">
    <fb>401.73</fb>
    <v>13</v>
  </rv>
  <rv s="0">
    <v>https://www.bing.com/financeapi/forcetrigger?t=a1xugh&amp;q=XNYS%3aMOH&amp;form=skydnc</v>
    <v>Learn more on Bing</v>
  </rv>
  <rv s="1">
    <v>0</v>
    <v>MOLINA HEALTHCARE, INC. (XNYS:MOH)</v>
    <v>2</v>
    <v>3</v>
    <v>Finance</v>
    <v>4</v>
    <v>en-US</v>
    <v>a1xugh</v>
    <v>268435456</v>
    <v>1</v>
    <v>Powered by Refinitiv</v>
    <v>359.97</v>
    <v>121.06</v>
    <v>0.51759999999999995</v>
    <v>-1.64</v>
    <v>-1.0645999999999999E-2</v>
    <v>-0.72</v>
    <v>-4.7239999999999999E-3</v>
    <v>USD</v>
    <v>Molina Healthcare, Inc. is a provider of managed healthcare services under the Medicaid and Medicare programs, and through the state insurance marketplaces. The Company operates through four segments: Medicaid, Medicare, Marketplace and Other. The Medicaid, Medicare, and Marketplace segments represent the government-funded or sponsored programs under which it offers managed healthcare services. Medicaid provides healthcare and long-term services and support to low-income Americans. Medicare is a federal program that provides eligible persons aged 65 and over, and some disabled persons, with a variety of hospital, medical insurance, and prescription drug benefits. The Marketplace insurance exchanges allow individuals and small groups to purchase federally subsidized health insurance. It arranges healthcare services for its members through contracts with a network of providers, including independent physicians and physician groups, hospitals, ancillary providers, and pharmacies.</v>
    <v>19000</v>
    <v>New York Stock Exchange</v>
    <v>XNYS</v>
    <v>XNYS</v>
    <v>200 Oceangate, Suite 100, LONG BEACH, CA, 90802 US</v>
    <v>152.77199999999999</v>
    <v>Healthcare Providers &amp; Services</v>
    <v>Stock</v>
    <v>46084.038238321096</v>
    <v>1450</v>
    <v>148.76</v>
    <v>7849115000</v>
    <v>MOLINA HEALTHCARE, INC.</v>
    <v>MOLINA HEALTHCARE, INC.</v>
    <v>151.63</v>
    <v>17.2653</v>
    <v>154.05000000000001</v>
    <v>152.41</v>
    <v>151.69999999999999</v>
    <v>51500000</v>
    <v>MOH</v>
    <v>MOLINA HEALTHCARE, INC. (XNYS:MOH)</v>
    <v>1212182</v>
    <v>2258314</v>
    <v>2002</v>
  </rv>
  <rv s="2">
    <v>1451</v>
  </rv>
  <rv s="7">
    <fb>181.4</fb>
    <v>13</v>
  </rv>
  <rv s="0">
    <v>https://www.bing.com/financeapi/forcetrigger?t=a1u1z2&amp;q=XNYS%3aGNRC&amp;form=skydnc</v>
    <v>Learn more on Bing</v>
  </rv>
  <rv s="1">
    <v>0</v>
    <v>GENERAC HOLDINGS INC. (XNYS:GNRC)</v>
    <v>2</v>
    <v>3</v>
    <v>Finance</v>
    <v>4</v>
    <v>en-US</v>
    <v>a1u1z2</v>
    <v>268435456</v>
    <v>1</v>
    <v>Powered by Refinitiv</v>
    <v>241.09100000000001</v>
    <v>99.5</v>
    <v>1.7490000000000001</v>
    <v>4.9800000000000004</v>
    <v>2.2097000000000002E-2</v>
    <v>-0.48</v>
    <v>-2.0839999999999999E-3</v>
    <v>USD</v>
    <v>Generac Holdings Inc. is a global designer, manufacturer, and provider of energy technology solutions. The Company provides power generation equipment, energy storage systems, energy management devices &amp; solutions, and other power products serving the residential, light commercial, and industrial markets. The Company operates through two segments: Domestic and International. The Domestic segment includes the legacy Generac business and the acquisitions that are based in the United States and Canada. The International segment includes acquisitions not based in the United States and Canada. It designs and manufactures stationary, portable, and mobile power generators with single-engine outputs ranging between 800W and 3,250kW. Its residential automatic standby generators range in output from 7.5kW to 150kW, which predominantly operate on natural gas and liquid propane, and are permanently installed with an automatic transfer switch.</v>
    <v>9400</v>
    <v>New York Stock Exchange</v>
    <v>XNYS</v>
    <v>XNYS</v>
    <v>S45 W29290 HIGHWAY 59, WAUKESHA, WI, 53187 US</v>
    <v>230.45</v>
    <v>Machinery, Equipment &amp; Components</v>
    <v>Stock</v>
    <v>46084.037341689065</v>
    <v>1454</v>
    <v>217.47</v>
    <v>13515977440</v>
    <v>GENERAC HOLDINGS INC.</v>
    <v>GENERAC HOLDINGS INC.</v>
    <v>220.7</v>
    <v>83.868300000000005</v>
    <v>225.37</v>
    <v>230.35</v>
    <v>229.9</v>
    <v>58675830</v>
    <v>GNRC</v>
    <v>GENERAC HOLDINGS INC. (XNYS:GNRC)</v>
    <v>865546</v>
    <v>1377718</v>
    <v>2006</v>
  </rv>
  <rv s="2">
    <v>1455</v>
  </rv>
  <rv s="7">
    <fb>173.28</fb>
    <v>13</v>
  </rv>
  <rv s="7">
    <fb>177.18</fb>
    <v>13</v>
  </rv>
  <rv s="0">
    <v>https://www.bing.com/financeapi/forcetrigger?t=a1q9c7&amp;q=XNYS%3aCPT&amp;form=skydnc</v>
    <v>Learn more on Bing</v>
  </rv>
  <rv s="19">
    <v>48</v>
    <v>CAMDEN PROPERTY TRUST (XNYS:CPT)</v>
    <v>2</v>
    <v>49</v>
    <v>Finance</v>
    <v>4</v>
    <v>en-US</v>
    <v>a1q9c7</v>
    <v>268435456</v>
    <v>1</v>
    <v>Powered by Refinitiv</v>
    <v>126.55</v>
    <v>97.17</v>
    <v>0.82879999999999998</v>
    <v>0.92</v>
    <v>8.4919999999999995E-3</v>
    <v>0.25</v>
    <v>2.2880000000000001E-3</v>
    <v>USD</v>
    <v>Camden Property Trust is a real estate investment trust (REIT). The Company and its subsidiaries are primarily engaged in the ownership, management, development, reposition, redevelopment, acquisition, and construction of multifamily apartment communities. It owns and operates approximately 175 properties containing over 59,210 apartment homes across the United States. It also has four properties under development. Its properties typically consist of mid-rise buildings or two-and three-story buildings in a landscaped setting, as well as high-rise buildings, and provide residents with a variety of amenities common to multifamily rental properties. The Company's properties include Camden Chandler, Camden Copper Square, Camden Foothills, Camden Legacy, Camden Glendale, Camden Landmark, Camden Flatirons, Camden Ashburn Farm and others. Its properties are located in Arizona, California, Colorado, Washington District of Columbia (DC) Metro, Florida and others.</v>
    <v>1640</v>
    <v>New York Stock Exchange</v>
    <v>XNYS</v>
    <v>XNYS</v>
    <v>2800 POST OAK BOULEVARD, SUITE 2700, HOUSTON, TX, 77056 US</v>
    <v>109.48</v>
    <v>Residential &amp; Commercial REIT</v>
    <v>Stock</v>
    <v>46084.010432765623</v>
    <v>1459</v>
    <v>108.03</v>
    <v>11298379932</v>
    <v>CAMDEN PROPERTY TRUST</v>
    <v>CAMDEN PROPERTY TRUST</v>
    <v>108.26</v>
    <v>30.6325</v>
    <v>108.34</v>
    <v>109.26</v>
    <v>109.53</v>
    <v>103408200</v>
    <v>CPT</v>
    <v>CAMDEN PROPERTY TRUST (XNYS:CPT)</v>
    <v>1412716</v>
    <v>1272886</v>
  </rv>
  <rv s="2">
    <v>1460</v>
  </rv>
  <rv s="7">
    <fb>106.92</fb>
    <v>13</v>
  </rv>
  <rv s="7">
    <fb>108.71</fb>
    <v>13</v>
  </rv>
  <rv s="0">
    <v>https://www.bing.com/financeapi/forcetrigger?t=a1qbxm&amp;q=XNYS%3aCRL&amp;form=skydnc</v>
    <v>Learn more on Bing</v>
  </rv>
  <rv s="9">
    <v>14</v>
    <v>CHARLES RIVER LABORATORIES INTERNATIONAL, INC. (XNYS:CRL)</v>
    <v>2</v>
    <v>15</v>
    <v>Finance</v>
    <v>10</v>
    <v>en-US</v>
    <v>a1qbxm</v>
    <v>268435456</v>
    <v>1</v>
    <v>Powered by Refinitiv</v>
    <v>228.88</v>
    <v>91.860900000000001</v>
    <v>1.6414</v>
    <v>0.12</v>
    <v>6.7230000000000002E-4</v>
    <v>-0.61</v>
    <v>-3.4150000000000001E-3</v>
    <v>USD</v>
    <v>Charles River Laboratories International, Inc. is a drug development company. It provides essential products and services to help pharmaceutical and biotechnology companies, government agencies and academic institutions around the globe accelerate their research and drug development efforts. Its Research Models and Services segment includes three businesses that provide foundational tools that enable its clients to discover new molecules: Research Models, Research Model Services, and Cell Solutions. Its Discovery and Safety Assessment segment provides regulated and non-regulated DSA services to support the research, development, and regulatory-required safety testing of potential new drugs, including therapeutic discovery and optimization plus in vitro and in vivo studies, laboratory support services, and strategic non-clinical consulting and program management to support product development. Its Manufacturing Solutions segment includes Microbial Solutions and Biologics Solutions.</v>
    <v>18300</v>
    <v>New York Stock Exchange</v>
    <v>XNYS</v>
    <v>XNYS</v>
    <v>251 Ballardvale St, WILMINGTON, MA, 01887 US</v>
    <v>179.2</v>
    <v>Biotechnology &amp; Medical Research</v>
    <v>Stock</v>
    <v>46083.974518043753</v>
    <v>1464</v>
    <v>173.22</v>
    <v>8792577358</v>
    <v>CHARLES RIVER LABORATORIES INTERNATIONAL, INC.</v>
    <v>CHARLES RIVER LABORATORIES INTERNATIONAL, INC.</v>
    <v>175.29</v>
    <v>178.49</v>
    <v>178.61</v>
    <v>178</v>
    <v>49227800</v>
    <v>CRL</v>
    <v>CHARLES RIVER LABORATORIES INTERNATIONAL, INC. (XNYS:CRL)</v>
    <v>835459</v>
    <v>1173739</v>
    <v>1994</v>
  </rv>
  <rv s="2">
    <v>1465</v>
  </rv>
  <rv s="7">
    <fb>201.41</fb>
    <v>13</v>
  </rv>
  <rv s="7">
    <fb>201.62</fb>
    <v>13</v>
  </rv>
  <rv s="0">
    <v>https://www.bing.com/financeapi/forcetrigger?t=a21ua2&amp;q=XNAS%3aREG&amp;form=skydnc</v>
    <v>Learn more on Bing</v>
  </rv>
  <rv s="1">
    <v>0</v>
    <v>REGENCY CENTERS CORPORATION (XNAS:REG)</v>
    <v>2</v>
    <v>3</v>
    <v>Finance</v>
    <v>10</v>
    <v>en-US</v>
    <v>a21ua2</v>
    <v>268435456</v>
    <v>1</v>
    <v>Powered by Refinitiv</v>
    <v>79.894999999999996</v>
    <v>63.44</v>
    <v>0.92520000000000002</v>
    <v>0.54</v>
    <v>6.8349999999999999E-3</v>
    <v>-0.62</v>
    <v>-7.7949999999999998E-3</v>
    <v>USD</v>
    <v>Regency Centers Corporation is a fully integrated real estate company and a self-administered and self-managed real estate investment trust. The Company conducts all its operations through Regency Centers, L.P. (the Operating Partnership). It is engaged in acquiring, developing, owning, and operating income-producing retail real estate principally located in suburban trade areas with compelling demographics within the United States. Its portfolio comprises approximately 488 properties. Its properties include Amerige Heights Town Center, Friars Mission Center, Navajo Shopping Center, Point Loma Plaza, Rancho San Diego Village, Scripps Ranch Marketplace, The Hub Hillcrest Market, Twin Peaks, 200 Potrero, Bayhill Shopping Center, Clayton Valley Shopping Center, Diablo Plaza, Encina Grande, Plaza Escuela, Pleasant Hill Shopping Center, Potrero Center, Corral Hollow, Serramonte Center, Bridgepark Plaza, Mercantile West, Mercantile East, Terrace Shops, Sendero Marketplace and others.</v>
    <v>507</v>
    <v>Nasdaq Stock Market</v>
    <v>XNAS</v>
    <v>XNAS</v>
    <v>SUITE 114, ONE INDEPENDENT DRIVE, JACKSONVILLE, FL, 32202 US</v>
    <v>79.894999999999996</v>
    <v>Residential &amp; Commercial REIT</v>
    <v>Stock</v>
    <v>46083.949924039065</v>
    <v>1469</v>
    <v>78.105000000000004</v>
    <v>14548390964</v>
    <v>REGENCY CENTERS CORPORATION</v>
    <v>REGENCY CENTERS CORPORATION</v>
    <v>78.75</v>
    <v>28.082699999999999</v>
    <v>79</v>
    <v>79.540000000000006</v>
    <v>78.92</v>
    <v>182906600</v>
    <v>REG</v>
    <v>REGENCY CENTERS CORPORATION (XNAS:REG)</v>
    <v>1460882</v>
    <v>1374754</v>
    <v>1993</v>
  </rv>
  <rv s="2">
    <v>1470</v>
  </rv>
  <rv s="7">
    <fb>72.489999999999995</fb>
    <v>13</v>
  </rv>
  <rv s="7">
    <fb>74.25</fb>
    <v>13</v>
  </rv>
  <rv s="0">
    <v>https://www.bing.com/financeapi/forcetrigger?t=a1o9gh&amp;q=XNYS%3aBBY&amp;form=skydnc</v>
    <v>Learn more on Bing</v>
  </rv>
  <rv s="1">
    <v>0</v>
    <v>Best Buy Co., Inc. (XNYS:BBY)</v>
    <v>2</v>
    <v>3</v>
    <v>Finance</v>
    <v>4</v>
    <v>en-US</v>
    <v>a1o9gh</v>
    <v>268435456</v>
    <v>1</v>
    <v>Powered by Refinitiv</v>
    <v>90.86</v>
    <v>54.99</v>
    <v>1.4725999999999999</v>
    <v>-0.36</v>
    <v>-5.8089999999999999E-3</v>
    <v>-0.09</v>
    <v>-1.4610000000000001E-3</v>
    <v>USD</v>
    <v>Best Buy Co., Inc. is engaged in personalizing and humanizing technology solutions. The Company has two segments: Domestic and International. The Domestic segment comprises its operations in all states, districts and territories of the United States and its Best Buy Health business and includes the brand names Best Buy, Best Buy Ads, Best Buy Business, Best Buy Essentials, Best Buy Health, Geek Squad, Imagine That, Insignia, Lively, My Best Buy, My Best Buy Memberships, Pacific Kitchen and Home, TechLiquidators and Yardbird; and the domain names bestbuy.com, lively.com, techliquidators.com and yardbird.com. The International segment comprises all its operations in Canada under the brand names Best Buy, Best Buy Express, Best Buy Mobile, Geek Squad and TechLiquidators and the domain names bestbuy.ca and techliquidators.ca. The Company’s product categories include computing and mobile phones, consumer electronics, appliances, entertainment, services and others.</v>
    <v>85000</v>
    <v>New York Stock Exchange</v>
    <v>XNYS</v>
    <v>XNYS</v>
    <v>7601 Penn Ave S, RICHFIELD, MN, 55423 US</v>
    <v>62.31</v>
    <v>Specialty Retailers</v>
    <v>Stock</v>
    <v>46084.041330046093</v>
    <v>1474</v>
    <v>60.51</v>
    <v>12909457511</v>
    <v>Best Buy Co., Inc.</v>
    <v>Best Buy Co., Inc.</v>
    <v>60.59</v>
    <v>20.448899999999998</v>
    <v>61.97</v>
    <v>61.61</v>
    <v>61.5</v>
    <v>209535100</v>
    <v>BBY</v>
    <v>Best Buy Co., Inc. (XNYS:BBY)</v>
    <v>8518019</v>
    <v>4345320</v>
    <v>1966</v>
  </rv>
  <rv s="2">
    <v>1475</v>
  </rv>
  <rv s="7">
    <fb>65.569999999999993</fb>
    <v>13</v>
  </rv>
  <rv s="0">
    <v>https://www.bing.com/financeapi/forcetrigger?t=a212zr&amp;q=XNYS%3aPNR&amp;form=skydnc</v>
    <v>Learn more on Bing</v>
  </rv>
  <rv s="1">
    <v>0</v>
    <v>PENTAIR PUBLIC LIMITED COMPANY (XNYS:PNR)</v>
    <v>2</v>
    <v>3</v>
    <v>Finance</v>
    <v>4</v>
    <v>en-US</v>
    <v>a212zr</v>
    <v>268435456</v>
    <v>1</v>
    <v>Powered by Refinitiv</v>
    <v>113.95</v>
    <v>74.25</v>
    <v>1.2302999999999999</v>
    <v>-1.1100000000000001</v>
    <v>-1.1191E-2</v>
    <v>-0.78680000000000005</v>
    <v>-8.0190000000000001E-3</v>
    <v>USD</v>
    <v>Pentair plc is engaged in delivering a comprehensive range of smart, sustainable water solutions to homes, businesses and industries around the world. Its segments include Flow, Water Solutions, and Pool. The Flow segment designs, manufactures and sells a variety of fluid treatment and pump products and systems, including pressure vessels, gas recovery solutions, membrane bioreactors, wastewater reuse systems and advanced membrane filtration, separation systems, water disposal pumps, water supply pumps, and fluid transfer pumps. The Water Solutions segment designs, manufactures and sells commercial and residential water treatment products and systems, including pressure tanks, control valves, and activated carbon products. The Pool segment designs, manufactures and sells a complete line of energy-efficient residential and commercial pool equipment and accessories, including pumps, filters, heaters, lights, automatic controls, automatic cleaners, and maintenance equipment.</v>
    <v>9000</v>
    <v>New York Stock Exchange</v>
    <v>XNYS</v>
    <v>XNYS</v>
    <v>Regal House, 70 London Road, Twickenham, LONDON, TW1 3QS GB</v>
    <v>98.92</v>
    <v>Machinery, Equipment &amp; Components</v>
    <v>Stock</v>
    <v>46084.021182904689</v>
    <v>1478</v>
    <v>96.19</v>
    <v>16010157456</v>
    <v>PENTAIR PUBLIC LIMITED COMPANY</v>
    <v>PENTAIR PUBLIC LIMITED COMPANY</v>
    <v>97.66</v>
    <v>25.274799999999999</v>
    <v>99.19</v>
    <v>98.08</v>
    <v>97.333200000000005</v>
    <v>163235700</v>
    <v>PNR</v>
    <v>PENTAIR PUBLIC LIMITED COMPANY (XNYS:PNR)</v>
    <v>1284106</v>
    <v>2057178</v>
    <v>2013</v>
  </rv>
  <rv s="2">
    <v>1479</v>
  </rv>
  <rv s="7">
    <fb>94.79</fb>
    <v>13</v>
  </rv>
  <rv s="7">
    <fb>97.28</fb>
    <v>13</v>
  </rv>
  <rv s="0">
    <v>https://www.bing.com/financeapi/forcetrigger?t=a1pokr&amp;q=XNAS%3aCHTR&amp;form=skydnc</v>
    <v>Learn more on Bing</v>
  </rv>
  <rv s="1">
    <v>0</v>
    <v>CHARTER COMMUNICATIONS, INC. (XNAS:CHTR)</v>
    <v>2</v>
    <v>3</v>
    <v>Finance</v>
    <v>4</v>
    <v>en-US</v>
    <v>a1pokr</v>
    <v>268435456</v>
    <v>1</v>
    <v>Powered by Refinitiv</v>
    <v>437.06</v>
    <v>180.38</v>
    <v>1.0174000000000001</v>
    <v>-1.83</v>
    <v>-7.8000000000000005E-3</v>
    <v>0.2</v>
    <v>8.5910000000000001E-4</v>
    <v>USD</v>
    <v>Charter Communications, Inc. is a broadband connectivity company and cable operator serving more than 57 million homes and businesses in 41 states through its Spectrum brand. Over an advanced communications network, the Company offers a range of residential and business services, including Spectrum Internet, television (TV), Mobile and Voice. For small businesses, Spectrum Business delivers a range of broadband products and services coupled with special features and applications to enhance productivity. For mid-market and large businesses, Spectrum Business provides customized, fiber-based solutions. Spectrum Reach delivers advertising and production for the modern media landscape. The Company also distributes news coverage and sports programming to its customers through Spectrum Networks. The Company offers its customers subscription-based Internet, video, mobile and voice services, with prices and related charges based on the types of service selected.</v>
    <v>91900</v>
    <v>Nasdaq Stock Market</v>
    <v>XNAS</v>
    <v>XNAS</v>
    <v>400 Washington Blvd., STAMFORD, CT, 06902 US</v>
    <v>234.79</v>
    <v>Telecommunications Services</v>
    <v>Stock</v>
    <v>46083.925197592187</v>
    <v>1483</v>
    <v>227.32</v>
    <v>29479836480</v>
    <v>CHARTER COMMUNICATIONS, INC.</v>
    <v>CHARTER COMMUNICATIONS, INC.</v>
    <v>231.46</v>
    <v>6.4627999999999997</v>
    <v>234.63</v>
    <v>232.8</v>
    <v>233</v>
    <v>126631600</v>
    <v>CHTR</v>
    <v>CHARTER COMMUNICATIONS, INC. (XNAS:CHTR)</v>
    <v>1517586</v>
    <v>2271793</v>
    <v>2003</v>
  </rv>
  <rv s="2">
    <v>1484</v>
  </rv>
  <rv s="7">
    <fb>212.74</fb>
    <v>13</v>
  </rv>
  <rv s="7">
    <fb>224.18</fb>
    <v>13</v>
  </rv>
  <rv s="0">
    <v>https://www.bing.com/financeapi/forcetrigger?t=a2319c&amp;q=XNYS%3aSJM&amp;form=skydnc</v>
    <v>Learn more on Bing</v>
  </rv>
  <rv s="9">
    <v>14</v>
    <v>THE J. M. SMUCKER COMPANY (XNYS:SJM)</v>
    <v>2</v>
    <v>15</v>
    <v>Finance</v>
    <v>10</v>
    <v>en-US</v>
    <v>a2319c</v>
    <v>268435456</v>
    <v>1</v>
    <v>Powered by Refinitiv</v>
    <v>121.48</v>
    <v>93.3</v>
    <v>0.21110000000000001</v>
    <v>-1.27</v>
    <v>-1.0952999999999999E-2</v>
    <v>-1.51</v>
    <v>-1.3167E-2</v>
    <v>USD</v>
    <v>The J. M. Smucker Company is engaged in the manufacturing and marketing of branded food and beverage products on a worldwide basis. The Company’s branded food and beverage products include a portfolio of brands that are sold to consumers primarily through retail outlets in North America. The Company operates through four segments: U.S. Retail Coffee, U.S. Retail Frozen Handheld and Spreads, and U.S. Retail Pet Foods, and Sweet Baked Snacks. The U.S. Retail Coffee segment primarily includes the domestic sales of Folgers, Dunkin’, and Cafe Bustelo branded coffee. The U.S. Retail Frozen Handheld and Spreads segment primarily includes the domestic sales of Uncrustables, Jif, and Smucker’s branded products. The U.S. Retail Pet Foods segment primarily includes the domestic sales of Meow Mix, Milk-Bone, Pup-Peroni, and Canine Carry Outs branded products. The Sweet Baked Snacks segment primarily includes all domestic and foreign sales of Hostess branded products across all channels.</v>
    <v>8000</v>
    <v>New York Stock Exchange</v>
    <v>XNYS</v>
    <v>XNYS</v>
    <v>One Strawberry Lane, ORRVILLE, OH, 44667-1241 US</v>
    <v>116.32</v>
    <v>Food &amp; Tobacco</v>
    <v>Stock</v>
    <v>46083.949923703127</v>
    <v>1488</v>
    <v>112.74</v>
    <v>12230427044</v>
    <v>THE J. M. SMUCKER COMPANY</v>
    <v>THE J. M. SMUCKER COMPANY</v>
    <v>115.92</v>
    <v>115.95</v>
    <v>114.68</v>
    <v>113.17</v>
    <v>106648300</v>
    <v>SJM</v>
    <v>THE J. M. SMUCKER COMPANY (XNYS:SJM)</v>
    <v>2713212</v>
    <v>2382336</v>
    <v>1921</v>
  </rv>
  <rv s="2">
    <v>1489</v>
  </rv>
  <rv s="7">
    <fb>105.86</fb>
    <v>13</v>
  </rv>
  <rv s="7">
    <fb>108.53</fb>
    <v>13</v>
  </rv>
  <rv s="0">
    <v>https://www.bing.com/financeapi/forcetrigger?t=a1wy1h&amp;q=XNAS%3aLKQ&amp;form=skydnc</v>
    <v>Learn more on Bing</v>
  </rv>
  <rv s="1">
    <v>0</v>
    <v>LKQ CORPORATION (XNAS:LKQ)</v>
    <v>2</v>
    <v>3</v>
    <v>Finance</v>
    <v>4</v>
    <v>en-US</v>
    <v>a1wy1h</v>
    <v>268435456</v>
    <v>1</v>
    <v>Powered by Refinitiv</v>
    <v>44.82</v>
    <v>28.125</v>
    <v>0.8841</v>
    <v>-0.33</v>
    <v>-9.9670000000000002E-3</v>
    <v>-0.03</v>
    <v>-9.1520000000000002E-4</v>
    <v>USD</v>
    <v>LKQ Corporation is a provider of alternative and specialty parts to repair and accessorize automobiles and other vehicles. The Company offers its customers a range of original equipment manufacturer (OEM) recycled and aftermarket parts, replacement systems, components, equipment, and services. Its Wholesale - North America segment provides alternative vehicle collision replacement products, paint and body repair related products, and alternative vehicle mechanical replacement products, with its sales, processing, and distribution facilities reaching major markets in the United States and Canada. Its Europe segment provides alternative vehicle replacement and maintenance products in Germany, the United Kingdom, the Benelux region (Belgium, Netherlands, and Luxembourg), Italy, Czech Republic, Austria, Slovakia, France and other European countries. Its Specialty segment is a distributor of specialty vehicle aftermarket equipment and accessories across the United States and Canada.</v>
    <v>44000</v>
    <v>Nasdaq Stock Market</v>
    <v>XNAS</v>
    <v>XNAS</v>
    <v>5846 CROSSINGS BLVD., ANTIOCH, TN, 37013 US</v>
    <v>32.83</v>
    <v>Automobiles &amp; Auto Parts</v>
    <v>Stock</v>
    <v>46083.880393645311</v>
    <v>1493</v>
    <v>32.17</v>
    <v>8363236794</v>
    <v>LKQ CORPORATION</v>
    <v>LKQ CORPORATION</v>
    <v>32.659999999999997</v>
    <v>13.9171</v>
    <v>33.11</v>
    <v>32.78</v>
    <v>32.75</v>
    <v>255132300</v>
    <v>LKQ</v>
    <v>LKQ CORPORATION (XNAS:LKQ)</v>
    <v>1273346</v>
    <v>2536446</v>
    <v>1998</v>
  </rv>
  <rv s="2">
    <v>1494</v>
  </rv>
  <rv s="7">
    <fb>32.99</fb>
    <v>13</v>
  </rv>
  <rv s="7">
    <fb>34.369999999999997</fb>
    <v>13</v>
  </rv>
  <rv s="0">
    <v>https://www.bing.com/financeapi/forcetrigger?t=a1xonm&amp;q=XNAS%3aMKTX&amp;form=skydnc</v>
    <v>Learn more on Bing</v>
  </rv>
  <rv s="1">
    <v>0</v>
    <v>MARKETAXESS HOLDINGS INC. (XNAS:MKTX)</v>
    <v>2</v>
    <v>3</v>
    <v>Finance</v>
    <v>10</v>
    <v>en-US</v>
    <v>a1xonm</v>
    <v>268435456</v>
    <v>1</v>
    <v>Powered by Refinitiv</v>
    <v>232.83500000000001</v>
    <v>156.16999999999999</v>
    <v>0.9304</v>
    <v>0.05</v>
    <v>2.6039999999999999E-4</v>
    <v>-0.05</v>
    <v>-2.6029999999999998E-4</v>
    <v>USD</v>
    <v>MarketAxess Holdings Inc. operates electronic trading platforms. The Company offers end-to-end trading solutions, including the operation of electronic platforms for the trading of fixed-income and other securities and related data, analytics compliance tools, post-trade services, automated trading services and technology services. The Company provides an Open Trading marketplace which offers an all-to-all trading solution in the global credit markets, creating a liquidity pool for a range of credit market participants. It leverages its diverse set of trading protocols, automated and algorithmic trading solutions, intelligent data and index products and a range of post-trade services to provide an end-to-end trading solution to its robust network of platform participants. The Company also provides several integrated and actionable data offerings, including CP+ and Axess All, to assist clients. Its RFQ-hub platform is a bilateral multi-asset and multi-dealer request for quote platform.</v>
    <v>868</v>
    <v>Nasdaq Stock Market</v>
    <v>XNAS</v>
    <v>XNAS</v>
    <v>55 Hudson Yards, 15Th Floor, NEW YORK, NY, 10001 US</v>
    <v>195.965</v>
    <v>Investment Banking &amp; Investment Services</v>
    <v>Stock</v>
    <v>46083.957304328127</v>
    <v>1498</v>
    <v>191.345</v>
    <v>6827045253</v>
    <v>MARKETAXESS HOLDINGS INC.</v>
    <v>MARKETAXESS HOLDINGS INC.</v>
    <v>191.58</v>
    <v>28.8232</v>
    <v>192</v>
    <v>192.05</v>
    <v>192</v>
    <v>35548270</v>
    <v>MKTX</v>
    <v>MARKETAXESS HOLDINGS INC. (XNAS:MKTX)</v>
    <v>614108</v>
    <v>591140</v>
    <v>2000</v>
  </rv>
  <rv s="2">
    <v>1499</v>
  </rv>
  <rv s="7">
    <fb>160.28</fb>
    <v>13</v>
  </rv>
  <rv s="7">
    <fb>162.37</fb>
    <v>13</v>
  </rv>
  <rv s="0">
    <v>https://www.bing.com/financeapi/forcetrigger?t=ajflbh&amp;q=XMIL%3aIP&amp;form=skydnc</v>
    <v>Learn more on Bing</v>
  </rv>
  <rv s="20">
    <v>50</v>
    <v>Interpump Group SpA (XMIL:IP)</v>
    <v>2</v>
    <v>51</v>
    <v>Finance</v>
    <v>52</v>
    <v>en-US</v>
    <v>ajflbh</v>
    <v>268435456</v>
    <v>1</v>
    <v>Powered by Refinitiv</v>
    <v>51.3</v>
    <v>25.48</v>
    <v>1.2523</v>
    <v>-0.92</v>
    <v>-2.3529000000000001E-2</v>
    <v>EUR</v>
    <v>Interpump Group SpA is an Italy-based company that manufactures and markets high and very high pressure plunger pumps, very high pressure systems, power take-offs, gear pumps, hydraulic cylinders, directional controls, valves, hydraulic hoses and fittings, and other hydraulic components. It operates through two segments: the Hydraulic Sector and the Water Jetting Sector. The Hydraulic Sector includes the production and sale of power take-offs for industrial vehicles, cylinders, pumps, valves, hydraulic hoses and fittings and other hydraulic components under such brands as Hydrocar, PZB, Muncie, Penta among others. The Water Jetting Sector consists of high and very high pressure pumps and pumping systems used in a range of industrial sectors for the conveyance of fluids. The Water Jetting Sector also manufactures components and systems for the food, cosmetic and pharmaceutical industry under the brands Bertoli, Inoxpa and Mariotti &amp; Pecini. It operates through Fluid system 80.</v>
    <v>9417</v>
    <v>Borsa Italiana</v>
    <v>XMIL</v>
    <v>XMIL</v>
    <v>Via E. Fermi, 25, SANT'ILARIO D'ENZA, REGGIO EMILIA, 42049 IT</v>
    <v>38.54</v>
    <v>Machinery, Equipment &amp; Components</v>
    <v>Stock</v>
    <v>46083.708333333336</v>
    <v>1503</v>
    <v>37.700000000000003</v>
    <v>5041111000</v>
    <v>Interpump Group SpA</v>
    <v>Interpump Group SpA</v>
    <v>38.1</v>
    <v>19.534400000000002</v>
    <v>39.1</v>
    <v>38.18</v>
    <v>108879300</v>
    <v>IP</v>
    <v>Interpump Group SpA (XMIL:IP)</v>
    <v>276188</v>
    <v>366520</v>
  </rv>
  <rv s="2">
    <v>1504</v>
  </rv>
  <rv s="7">
    <fb>47.74</fb>
    <v>27</v>
  </rv>
  <rv s="7">
    <fb>48.8</fb>
    <v>27</v>
  </rv>
  <rv s="0">
    <v>https://www.bing.com/financeapi/forcetrigger?t=a1wifr&amp;q=XNYS%3aKIM&amp;form=skydnc</v>
    <v>Learn more on Bing</v>
  </rv>
  <rv s="1">
    <v>0</v>
    <v>KIMCO REALTY CORPORATION. (XNYS:KIM)</v>
    <v>2</v>
    <v>3</v>
    <v>Finance</v>
    <v>4</v>
    <v>en-US</v>
    <v>a1wifr</v>
    <v>268435456</v>
    <v>1</v>
    <v>Powered by Refinitiv</v>
    <v>23.905000000000001</v>
    <v>17.93</v>
    <v>1.0545</v>
    <v>0.02</v>
    <v>8.493000000000001E-4</v>
    <v>0</v>
    <v>0</v>
    <v>USD</v>
    <v>Kimco Realty Corporation is a real estate investment trust (REIT) and owner and operator of open-air, grocery-anchored shopping centers and mixed-use properties in the United States. The Company's portfolio is primarily concentrated in the first-ring suburbs of the major metropolitan markets, including high-barrier-to-entry coastal markets and rapidly expanding Sun Belt cities. Its tenant mix is focused on essential, necessity-based goods and services that drive multiple shopping trips per week. It specializes in shopping center ownership, management, acquisitions, and value-enhancing redevelopment activities. Its properties &amp; leasing services include finding available space, signature series, re/development, specialty leasing, leasing programs, acquisitions &amp; dispositions, and preferred equity &amp; mezzanine financing. The Company has interests in approximately 568 United States shopping center properties, aggregating 101 million square feet of gross leasable area, located in 30 states.</v>
    <v>710</v>
    <v>New York Stock Exchange</v>
    <v>XNYS</v>
    <v>XNYS</v>
    <v>500 North Broadway, Suite 201, P.O. Box 9010, JERICHO, NY, 11753 US</v>
    <v>23.715</v>
    <v>Residential &amp; Commercial REIT</v>
    <v>Stock</v>
    <v>46083.925212256247</v>
    <v>1508</v>
    <v>23.3</v>
    <v>15887752119</v>
    <v>KIMCO REALTY CORPORATION.</v>
    <v>KIMCO REALTY CORPORATION.</v>
    <v>23.43</v>
    <v>28.7195</v>
    <v>23.55</v>
    <v>23.57</v>
    <v>23.56</v>
    <v>674066700</v>
    <v>KIM</v>
    <v>KIMCO REALTY CORPORATION. (XNYS:KIM)</v>
    <v>6952587</v>
    <v>6758359</v>
    <v>2022</v>
  </rv>
  <rv s="2">
    <v>1509</v>
  </rv>
  <rv s="7">
    <fb>20.9</fb>
    <v>13</v>
  </rv>
  <rv s="7">
    <fb>21.51</fb>
    <v>13</v>
  </rv>
  <rv s="10">
    <v>53</v>
    <v>JUNIPER NETWORKS, INC. (XMEX:JNPR*)</v>
    <v>17</v>
    <v>54</v>
    <v>Finance</v>
    <v>55</v>
    <v>en-US</v>
    <v>c9383m</v>
    <v>268435456</v>
    <v>1</v>
    <v>Powered by Refinitiv</v>
    <v>756.03</v>
    <v>702.25</v>
    <v>0.77170000000000005</v>
    <v>14.43</v>
    <v>2.0548E-2</v>
    <v>MXN</v>
    <v>Juniper Networks, Inc. delivers secure networking technology to its customers, including network operators, telecommunication and cloud providers, enterprise information technology (IT) teams, lines of businesses and network users, such as individual devices, machines, applications, microservices and data stores. Its Artificial Intelligence (AI)-Native Networking Platform is built from the ground up to leverage AI to deliver secure and sustainable user experiences from the edge to the data center and cloud. Its AI-Native, enterprise networking operations (AIOps) software-as-a-service (SaaS) platform leverages data and automation to enable reliable, predictable, measurable user experience and superior performance for operators by simplifying deployment and day-to-day operations across the entire network. It designs and builds products and solutions to address its customer priorities, including Wide Area Networking, Campus and Branch and Data Center.</v>
    <v>11271</v>
    <v>Mexican Stock Exchange</v>
    <v>XMEX</v>
    <v>XMEX</v>
    <v>1133 Innovation Way, SUNNYVALE, CA, 94089 US</v>
    <v>716.68</v>
    <v>Communications &amp; Networking</v>
    <v>Stock</v>
    <v>45688.83053240741</v>
    <v>716.68</v>
    <v>11474640000</v>
    <v>JUNIPER NETWORKS, INC.</v>
    <v>JUNIPER NETWORKS, INC.</v>
    <v>716.68</v>
    <v>702.25</v>
    <v>716.68</v>
    <v>334382600</v>
    <v>JNPR*</v>
    <v>JUNIPER NETWORKS, INC. (XMEX:JNPR*)</v>
    <v>29100</v>
    <v>5845260</v>
    <v>1997</v>
  </rv>
  <rv s="2">
    <v>1513</v>
  </rv>
  <rv s="0">
    <v>https://www.bing.com/financeapi/forcetrigger?t=a1wrf2&amp;q=XNYS%3aBBWI&amp;form=skydnc</v>
    <v>Learn more on Bing</v>
  </rv>
  <rv s="1">
    <v>0</v>
    <v>BATH &amp; BODY WORKS, INC. (XNYS:BBWI)</v>
    <v>2</v>
    <v>3</v>
    <v>Finance</v>
    <v>4</v>
    <v>en-US</v>
    <v>a1wrf2</v>
    <v>268435456</v>
    <v>1</v>
    <v>Powered by Refinitiv</v>
    <v>36.892499999999998</v>
    <v>14.275</v>
    <v>1.4771000000000001</v>
    <v>-0.71499999999999997</v>
    <v>-3.1414999999999998E-2</v>
    <v>0</v>
    <v>0</v>
    <v>USD</v>
    <v>Bath &amp; Body Works, Inc. is a global omnichannel retailer focused on personal care and home fragrance. The Company offers a range of fragrances for the body and home, including selling collections for 3-wick candles, home fragrance diffusers, fine fragrance mists, liquid hand soaps, body lotions and body creams. It delivers customers their fragrances in multiple forms and categories. The Company sells merchandise through its retail stores in the United States and Canada, and through its Websites and other channels, under the Bath &amp; Body Works, White Barn and other brand names. The Company’s international business is conducted through franchise, license and wholesale partners. It provides in-store experiences at more than 1,890 Company-operated Bath &amp; Body Works locations in the United States and Canada, more than 525 international franchised locations and an online storefront at bathandbodyworks.com. Additionally, it offers a buy online pick-up in-store (BOPIS) option.</v>
    <v>8975</v>
    <v>New York Stock Exchange</v>
    <v>XNYS</v>
    <v>XNYS</v>
    <v>THREE LIMITED PKWY, P O BOX 16000, COLUMBUS, OH, 43230 US</v>
    <v>22.4</v>
    <v>Specialty Retailers</v>
    <v>Stock</v>
    <v>46084.033157950784</v>
    <v>1515</v>
    <v>21.69</v>
    <v>4513087672</v>
    <v>BATH &amp; BODY WORKS, INC.</v>
    <v>BATH &amp; BODY WORKS, INC.</v>
    <v>22.06</v>
    <v>6.7363999999999997</v>
    <v>22.76</v>
    <v>22.045000000000002</v>
    <v>22.04</v>
    <v>204721600</v>
    <v>BBWI</v>
    <v>BATH &amp; BODY WORKS, INC. (XNYS:BBWI)</v>
    <v>4769283</v>
    <v>4875745</v>
    <v>1982</v>
  </rv>
  <rv s="2">
    <v>1516</v>
  </rv>
  <rv s="7">
    <fb>22.09</fb>
    <v>13</v>
  </rv>
  <rv s="7">
    <fb>22.62</fb>
    <v>13</v>
  </rv>
  <rv s="0">
    <v>https://www.bing.com/financeapi/forcetrigger?t=a1nkur&amp;q=XNAS%3aAPA&amp;form=skydnc</v>
    <v>Learn more on Bing</v>
  </rv>
  <rv s="1">
    <v>0</v>
    <v>APA CORPORATION (XNAS:APA)</v>
    <v>2</v>
    <v>3</v>
    <v>Finance</v>
    <v>10</v>
    <v>en-US</v>
    <v>a1nkur</v>
    <v>268435456</v>
    <v>1</v>
    <v>Powered by Refinitiv</v>
    <v>32.75</v>
    <v>13.584</v>
    <v>0.6714</v>
    <v>1.32</v>
    <v>4.3464000000000003E-2</v>
    <v>0.11</v>
    <v>3.4710000000000001E-3</v>
    <v>USD</v>
    <v>APA Corporation is an independent energy company. The Company owns subsidiaries that explore for and produce oil and natural gas in the United States, Egypt, and the United Kingdom, and that explore for oil and natural gas offshore Suriname. The Company’s upstream business has oil and gas operations in three geographic areas: the United States, Egypt and offshore the United Kingdom in the North Sea (North Sea). It also has active exploration and appraisal operations ongoing in Suriname, as well as interests in Uruguay and other international locations. It maintains a diversified asset portfolio, including conventional and unconventional, onshore and offshore, oil and natural gas exploration and production interests. In the United States, operations are primarily focused on the Permian Basin of West Texas. The Company has conventional onshore assets in Egypt’s Western Desert, and offshore assets on the United Kingdom’s Continental Shelf.</v>
    <v>1791</v>
    <v>Nasdaq Stock Market</v>
    <v>XNAS</v>
    <v>XNAS</v>
    <v>2000 W Sam Houston Pkwy S, Suite 200, HOUSTON, TX, 77042 US</v>
    <v>32.75</v>
    <v>Oil &amp; Gas</v>
    <v>Stock</v>
    <v>46083.880581388279</v>
    <v>1520</v>
    <v>30.19</v>
    <v>11194540035</v>
    <v>APA CORPORATION</v>
    <v>APA CORPORATION</v>
    <v>32.520000000000003</v>
    <v>7.6178999999999997</v>
    <v>30.37</v>
    <v>31.69</v>
    <v>31.8</v>
    <v>353251500</v>
    <v>APA</v>
    <v>APA CORPORATION (XNAS:APA)</v>
    <v>12675170</v>
    <v>7128108</v>
    <v>2021</v>
  </rv>
  <rv s="2">
    <v>1521</v>
  </rv>
  <rv s="7">
    <fb>26.46</fb>
    <v>13</v>
  </rv>
  <rv s="7">
    <fb>27.38</fb>
    <v>13</v>
  </rv>
  <rv s="0">
    <v>https://www.bing.com/financeapi/forcetrigger?t=bvhx27&amp;q=XTSX%3aPEAK&amp;form=skydnc</v>
    <v>Learn more on Bing</v>
  </rv>
  <rv s="21">
    <v>56</v>
    <v>SUN PEAK METALS CORP. (XTSX:PEAK)</v>
    <v>2</v>
    <v>57</v>
    <v>Finance</v>
    <v>55</v>
    <v>en-US</v>
    <v>bvhx27</v>
    <v>268435456</v>
    <v>1</v>
    <v>Powered by Refinitiv</v>
    <v>0.55000000000000004</v>
    <v>0.15</v>
    <v>2.4658000000000002</v>
    <v>1.4999999999999999E-2</v>
    <v>3.4091000000000003E-2</v>
    <v>CAD</v>
    <v>Sun Peak Metals Corp. is a Canada-based company. The Company’s principal business is the acquisition, exploration, and development of resource properties for the mining of precious or base metals in Ethiopia. The Company is exploring the district-scale Shire VMS Project in the Tigray Region of northern Ethiopia. The Shire Project is comprised of six exploration licenses and covers approximately 1,450 square kilometers in the prospective Arabian Nubian Shield. The licenses are in the same geological environment as both the Bisha Mine and the Asmara Projects. The Meli and Terer Licenses are part of a joint-venture agreement with Ezana Mining, a private Ethiopian Company and the other four are 100% owned by the Company.</v>
    <v>TSX Venture Exchange</v>
    <v>XTSX</v>
    <v>XTSX</v>
    <v>Suite 3200 - 733 Seymour St, VANCOUVER, BC, V6B 0S6 CA</v>
    <v>0.45500000000000002</v>
    <v>Metals &amp; Mining</v>
    <v>Stock</v>
    <v>46083.853807870371</v>
    <v>1525</v>
    <v>0.45</v>
    <v>74718826</v>
    <v>SUN PEAK METALS CORP.</v>
    <v>SUN PEAK METALS CORP.</v>
    <v>0.45</v>
    <v>0</v>
    <v>0.44</v>
    <v>0.45500000000000002</v>
    <v>164217200</v>
    <v>PEAK</v>
    <v>SUN PEAK METALS CORP. (XTSX:PEAK)</v>
    <v>11458</v>
    <v>33680</v>
    <v>2016</v>
  </rv>
  <rv s="2">
    <v>1526</v>
  </rv>
  <rv s="7">
    <fb>0.47499999999999998</fb>
    <v>42</v>
  </rv>
  <rv s="7">
    <fb>0.49</fb>
    <v>42</v>
  </rv>
  <rv s="0">
    <v>https://www.bing.com/financeapi/forcetrigger?t=a1x8nm&amp;q=XNYS%3aLYV&amp;form=skydnc</v>
    <v>Learn more on Bing</v>
  </rv>
  <rv s="9">
    <v>14</v>
    <v>LIVE NATION ENTERTAINMENT, INC. (XNYS:LYV)</v>
    <v>2</v>
    <v>15</v>
    <v>Finance</v>
    <v>10</v>
    <v>en-US</v>
    <v>a1x8nm</v>
    <v>268435456</v>
    <v>1</v>
    <v>Powered by Refinitiv</v>
    <v>175.25</v>
    <v>112.875</v>
    <v>1.1165</v>
    <v>-0.33</v>
    <v>-2.0349999999999999E-3</v>
    <v>0.19</v>
    <v>1.1740000000000001E-3</v>
    <v>USD</v>
    <v>Live Nation Entertainment, Inc. is a live entertainment company. The Company is a producer of live music concerts. Its segments include Concerts, Ticketing and Sponsorship &amp; Advertising. The Concerts segment principally involves the global promotion of live music events in its owned or operated venues and in rented third-party venues, the operation and management of music venues, the production of music festivals across the world, the creation of associated content and the provision of management and other services to artists. The Ticketing segment is an agency business that sells tickets for events on behalf of its clients. The Sponsorship &amp; Advertising segment employs a sales force that creates and maintains relationships with sponsors through a combination of strategic, international, national, and local opportunities that allow businesses to reach customers through its concert, festival, venue and ticketing assets, including advertising on its Websites.</v>
    <v>17700</v>
    <v>New York Stock Exchange</v>
    <v>XNYS</v>
    <v>XNYS</v>
    <v>9348 Civic Center Dr, BEVERLY HILLS, CA, 90210 US</v>
    <v>161.97999999999999</v>
    <v>Media &amp; Publishing</v>
    <v>Stock</v>
    <v>46083.945000057814</v>
    <v>1530</v>
    <v>155.35</v>
    <v>37599498442</v>
    <v>LIVE NATION ENTERTAINMENT, INC.</v>
    <v>LIVE NATION ENTERTAINMENT, INC.</v>
    <v>160.11000000000001</v>
    <v>162.13999999999999</v>
    <v>161.81</v>
    <v>162</v>
    <v>232368200</v>
    <v>LYV</v>
    <v>LIVE NATION ENTERTAINMENT, INC. (XNYS:LYV)</v>
    <v>3195779</v>
    <v>3058685</v>
    <v>2005</v>
  </rv>
  <rv s="2">
    <v>1531</v>
  </rv>
  <rv s="7">
    <fb>141.34</fb>
    <v>13</v>
  </rv>
  <rv s="7">
    <fb>142.46</fb>
    <v>13</v>
  </rv>
  <rv s="0">
    <v>https://www.bing.com/financeapi/forcetrigger?t=a24fmw&amp;q=XNYS%3aTPR&amp;form=skydnc</v>
    <v>Learn more on Bing</v>
  </rv>
  <rv s="1">
    <v>0</v>
    <v>TAPESTRY, INC. (XNYS:TPR)</v>
    <v>2</v>
    <v>3</v>
    <v>Finance</v>
    <v>4</v>
    <v>en-US</v>
    <v>a24fmw</v>
    <v>268435456</v>
    <v>1</v>
    <v>Powered by Refinitiv</v>
    <v>161.97</v>
    <v>58.39</v>
    <v>1.5681</v>
    <v>0.98</v>
    <v>6.3029999999999996E-3</v>
    <v>-2.7050000000000001</v>
    <v>-1.7292999999999999E-2</v>
    <v>USD</v>
    <v>Tapestry, Inc. is a house of accessories and lifestyle brands. The Company's global house of brands include Coach and kate spade new york. Coach brand is a global fashion house of accessories and lifestyle collections. Kate Spade New York is a global lifestyle brand that designs things for the everyday, delivering seasonal collections of handbags, ready-to-wear, jewelry, footwear, gifts, home decor and more. Its products include women's handbags, women's accessories, men's and other products. Women's accessories include small leather goods which include mini and micro handbags, money pieces, wristlets, pouches and cosmetic cases. Men's includes bag collections, small leather goods, footwear, watches, sunglasses, and ready-to-wear items. Its products are sold to customers through its direct-to-consumer (DTC), wholesale and licensing businesses. Its DTC business includes retail and outlet stores, branded e-commerce sites as well as concession shop-in-shops.</v>
    <v>12500</v>
    <v>New York Stock Exchange</v>
    <v>XNYS</v>
    <v>XNYS</v>
    <v>10 Hudson Yards, NEW YORK, NY, 10001 US</v>
    <v>157.24</v>
    <v>Specialty Retailers</v>
    <v>Stock</v>
    <v>46084.026363888283</v>
    <v>1535</v>
    <v>150.65</v>
    <v>31675524089</v>
    <v>TAPESTRY, INC.</v>
    <v>TAPESTRY, INC.</v>
    <v>151.86000000000001</v>
    <v>64.156300000000002</v>
    <v>155.47</v>
    <v>156.44999999999999</v>
    <v>153.715</v>
    <v>202464200</v>
    <v>TPR</v>
    <v>TAPESTRY, INC. (XNYS:TPR)</v>
    <v>2258784</v>
    <v>2595547</v>
    <v>2000</v>
  </rv>
  <rv s="2">
    <v>1536</v>
  </rv>
  <rv s="7">
    <fb>127.03</fb>
    <v>13</v>
  </rv>
  <rv s="7">
    <fb>129.91999999999999</fb>
    <v>13</v>
  </rv>
  <rv s="0">
    <v>https://www.bing.com/financeapi/forcetrigger?t=a1stjc&amp;q=XNAS%3aFFIV&amp;form=skydnc</v>
    <v>Learn more on Bing</v>
  </rv>
  <rv s="1">
    <v>0</v>
    <v>F5, INC. (XNAS:FFIV)</v>
    <v>2</v>
    <v>3</v>
    <v>Finance</v>
    <v>10</v>
    <v>en-US</v>
    <v>a1stjc</v>
    <v>268435456</v>
    <v>1</v>
    <v>Powered by Refinitiv</v>
    <v>346</v>
    <v>223.76</v>
    <v>1.0099</v>
    <v>6.64</v>
    <v>2.4468999999999998E-2</v>
    <v>0</v>
    <v>0</v>
    <v>USD</v>
    <v>F5, Inc. is a provider of multi-cloud application security and delivery solutions. The Company enables its customers to deploy, operate, secure, optimize, and govern every application and application programming interface (API) across any architecture, on-premises, in the cloud, at the edge and across hybrid, multi-cloud environments. Its enterprise-grade application services are available as hardware, software, and software-as-a-service solutions optimized for hybrid, multicloud environments, with modules that can run independently, or as part of an integrated solution on its high-performance appliances. Through its BIG-IP, F5 NGINX and F5 Distributed Cloud Services products, it offers a range of integrated, artificial intelligence- and machine learning-driven solutions that support performance and protect applications and APIs across data center, cloud, and edge locations. Its products and solutions also include F5 Distributed Cloud CDN and F5 NGINX Ingress Controller, among others.</v>
    <v>6578</v>
    <v>Nasdaq Stock Market</v>
    <v>XNAS</v>
    <v>XNAS</v>
    <v>801 5Th Avenue, SEATTLE, WA, 98104 US</v>
    <v>279.45</v>
    <v>Software &amp; IT Services</v>
    <v>Stock</v>
    <v>46083.925194849216</v>
    <v>1540</v>
    <v>269.83999999999997</v>
    <v>15712357060</v>
    <v>F5, INC.</v>
    <v>F5, INC.</v>
    <v>271.58</v>
    <v>22.463799999999999</v>
    <v>271.36</v>
    <v>278</v>
    <v>278</v>
    <v>56519270</v>
    <v>FFIV</v>
    <v>F5, INC. (XNAS:FFIV)</v>
    <v>507311</v>
    <v>934540</v>
    <v>1996</v>
  </rv>
  <rv s="2">
    <v>1541</v>
  </rv>
  <rv s="7">
    <fb>274.63</fb>
    <v>13</v>
  </rv>
  <rv s="0">
    <v>https://www.bing.com/financeapi/forcetrigger?t=a1nkm7&amp;q=XNYS%3aAOS&amp;form=skydnc</v>
    <v>Learn more on Bing</v>
  </rv>
  <rv s="1">
    <v>0</v>
    <v>A. O. SMITH CORPORATION (XNYS:AOS)</v>
    <v>2</v>
    <v>3</v>
    <v>Finance</v>
    <v>4</v>
    <v>en-US</v>
    <v>a1nkm7</v>
    <v>268435456</v>
    <v>1</v>
    <v>Powered by Refinitiv</v>
    <v>81.864999999999995</v>
    <v>58.83</v>
    <v>1.3297000000000001</v>
    <v>-6.5000000000000002E-2</v>
    <v>-8.3330000000000003E-4</v>
    <v>0</v>
    <v>0</v>
    <v>USD</v>
    <v>A. O. Smith Corporation applies technologies and solutions to products manufactured and marketed worldwide. The Company operates through two segments: North America and Rest of World. Both the segments manufacture and market a comprehensive line of residential and commercial gas and electric water heaters, boilers, tanks, and water treatment products. Its Rest of World segment is primarily comprised of China, Europe, and India. The North America segment serves residential and commercial end markets with a range of products, including water heaters, boilers, water treatment products, and others. The Company also manufactures expansion tanks, commercial solar water heating systems, swimming pool and spa heaters, related products and parts. Its Lochinvar brand is a residential and commercial boiler brand in the United States. Its water softener branded products and problem well water solutions include the Hague, Water-Right, Master Water, Atlantic Filter, Impact, and Water Tec brands.</v>
    <v>11500</v>
    <v>New York Stock Exchange</v>
    <v>XNYS</v>
    <v>XNYS</v>
    <v>11270 W Park Pl, MILWAUKEE, WI, 53224-3623 US</v>
    <v>78.385000000000005</v>
    <v>Machinery, Equipment &amp; Components</v>
    <v>Stock</v>
    <v>46084.038757245311</v>
    <v>1544</v>
    <v>76.599999999999994</v>
    <v>10777623356</v>
    <v>A. O. SMITH CORPORATION</v>
    <v>A. O. SMITH CORPORATION</v>
    <v>77.22</v>
    <v>20.274100000000001</v>
    <v>78</v>
    <v>77.935000000000002</v>
    <v>77.930000000000007</v>
    <v>138289900</v>
    <v>AOS</v>
    <v>A. O. SMITH CORPORATION (XNYS:AOS)</v>
    <v>1016299</v>
    <v>1477307</v>
    <v>1986</v>
  </rv>
  <rv s="2">
    <v>1545</v>
  </rv>
  <rv s="7">
    <fb>76.34</fb>
    <v>13</v>
  </rv>
  <rv s="7">
    <fb>78.37</fb>
    <v>13</v>
  </rv>
  <rv s="0">
    <v>https://www.bing.com/financeapi/forcetrigger?t=br3752&amp;q=XMEX%3aCTLT*&amp;form=skydnc</v>
    <v>Learn more on Bing</v>
  </rv>
  <rv s="22">
    <v>58</v>
    <v>Catalent, Inc. (XMEX:CTLT*)</v>
    <v>2</v>
    <v>54</v>
    <v>Finance</v>
    <v>55</v>
    <v>en-US</v>
    <v>br3752</v>
    <v>268435456</v>
    <v>1</v>
    <v>Powered by Refinitiv</v>
    <v>1020</v>
    <v>1020</v>
    <v>1.1399999999999999</v>
    <v>196.81</v>
    <v>0.23908200000000002</v>
    <v>MXN</v>
    <v>Catalent, Inc. is engaged in enabling pharma, biotech, and consumer health partners to optimize product development, launch, and full life-cycle supply for patients around the world. The Company’s Biologics segment provides formulation, development, and manufacturing for biologic proteins; cell, gene, and other nucleic acid therapies; plasmid DNA; induced pluripotent stem cells (iPSCs); oncolytic viruses, and vaccines. It also provides formulation, development, and manufacturing for parenteral dose forms, including vials, prefilled syringes, and cartridges, and analytical development and testing services for large molecules. The Company’s Pharma and Consumer Health segment comprises capabilities for oral solid doses forms, softgels, Zydis fast-dissolve technologies, and gummy, soft chew, and lozenge dosage forms. It also provides formulation, development, and manufacturing platforms for oral, nasal, inhaled, and topical dose forms, and clinical trial development and supply services.</v>
    <v>16900</v>
    <v>Mexican Stock Exchange</v>
    <v>XMEX</v>
    <v>XMEX</v>
    <v>14 Schoolhouse Rd, SOMERSET, NJ, 08873-1213 US</v>
    <v>1020</v>
    <v>Pharmaceuticals</v>
    <v>Stock</v>
    <v>45498.811516203707</v>
    <v>1549</v>
    <v>1020</v>
    <v>10569220000</v>
    <v>Catalent, Inc.</v>
    <v>Catalent, Inc.</v>
    <v>1020</v>
    <v>823.19</v>
    <v>1020</v>
    <v>181511600</v>
    <v>CTLT*</v>
    <v>Catalent, Inc. (XMEX:CTLT*)</v>
    <v>2</v>
    <v>4486780</v>
    <v>2007</v>
  </rv>
  <rv s="2">
    <v>1550</v>
  </rv>
  <rv s="0">
    <v>https://www.bing.com/financeapi/forcetrigger?t=a1rec7&amp;q=XNYS%3aDVA&amp;form=skydnc</v>
    <v>Learn more on Bing</v>
  </rv>
  <rv s="1">
    <v>0</v>
    <v>DAVITA INC. (XNYS:DVA)</v>
    <v>2</v>
    <v>3</v>
    <v>Finance</v>
    <v>10</v>
    <v>en-US</v>
    <v>a1rec7</v>
    <v>268435456</v>
    <v>1</v>
    <v>Powered by Refinitiv</v>
    <v>159.41999999999999</v>
    <v>101</v>
    <v>0.93420000000000003</v>
    <v>-2.3199999999999998</v>
    <v>-1.4843E-2</v>
    <v>0.02</v>
    <v>1.2989999999999999E-4</v>
    <v>USD</v>
    <v>DaVita Inc. is a healthcare provider focused on transforming care delivery to improve the quality of life for patients globally. The Company is a provider of kidney care services in the United States. Its United States dialysis (U.S. dialysis) and related lab services business treats patients with chronic kidney failure and end-stage kidney disease (ESKD). The Company’s robust platform delivers kidney care services and includes established nephrology and payor relationships. The Company’s international operations provide dialysis and administrative services to a total of outpatient dialysis centers. The Company’s U.S. integrated kidney care (IKC) business provides integrated care and disease management services to patients in risk-based integrated care arrangements and to additional patients in other integrated care arrangements across the United States. It also maintains a few other ancillary services and investments outside its U.S. dialysis, U.S. IKC, or international operations.</v>
    <v>78000</v>
    <v>New York Stock Exchange</v>
    <v>XNYS</v>
    <v>XNYS</v>
    <v>2000 16th St, DENVER, CO, 80202-5117 US</v>
    <v>159.41999999999999</v>
    <v>Healthcare Providers &amp; Services</v>
    <v>Stock</v>
    <v>46083.991451943752</v>
    <v>1552</v>
    <v>153.79</v>
    <v>10285864000</v>
    <v>DAVITA INC.</v>
    <v>DAVITA INC.</v>
    <v>155.07</v>
    <v>16.354600000000001</v>
    <v>156.30000000000001</v>
    <v>153.97999999999999</v>
    <v>154</v>
    <v>66800000</v>
    <v>DVA</v>
    <v>DAVITA INC. (XNYS:DVA)</v>
    <v>978718</v>
    <v>1357039</v>
    <v>1994</v>
  </rv>
  <rv s="2">
    <v>1553</v>
  </rv>
  <rv s="7">
    <fb>134.72999999999999</fb>
    <v>13</v>
  </rv>
  <rv s="7">
    <fb>142.06</fb>
    <v>13</v>
  </rv>
  <rv s="0">
    <v>https://www.bing.com/financeapi/forcetrigger?t=a1xkhw&amp;q=XNYS%3aMGM&amp;form=skydnc</v>
    <v>Learn more on Bing</v>
  </rv>
  <rv s="1">
    <v>0</v>
    <v>MGM RESORTS INTERNATIONAL (XNYS:MGM)</v>
    <v>2</v>
    <v>3</v>
    <v>Finance</v>
    <v>4</v>
    <v>en-US</v>
    <v>a1xkhw</v>
    <v>268435456</v>
    <v>1</v>
    <v>Powered by Refinitiv</v>
    <v>40.159999999999997</v>
    <v>25.3</v>
    <v>1.3833</v>
    <v>-1.1399999999999999</v>
    <v>-3.0928000000000001E-2</v>
    <v>-0.21</v>
    <v>-5.8789999999999997E-3</v>
    <v>USD</v>
    <v>MGM Resorts International is a global gaming and entertainment company with national and international locations featuring hotels and casinos, meetings and conference spaces, live and theatrical entertainment experiences, and a range of restaurant, nightlife and retail offerings. The Company’s segments include Las Vegas Strip Resorts, Regional Operations, MGM China, and MGM Digital. The Las Vegas Strip Resorts segment consists of Aria, Bellagio, The Cosmopolitan of Las Vegas, MGM Grand Las Vegas, Mandalay Bay, Luxor, New York-New York, Excalibur, and Park MGM. The Regional Operations segment consists of MGM Grand Detroit in Detroit, Michigan; Beau Rivage in Biloxi, Mississippi; Gold Strike Tunica in Tunica; Borgata in Atlantic City, New Jersey; MGM National Harbor in Prince George’s County, Maryland; MGM Springfield in Springfield, Massachusetts; Empire City in Yonkers, New York, and others. MGM Digital is its online gaming portfolio which is primarily comprised of LeoVegas.</v>
    <v>44000</v>
    <v>New York Stock Exchange</v>
    <v>XNYS</v>
    <v>XNYS</v>
    <v>3600 LAS VEGAS BLVD S, LAS VEGAS, NV, 89109 US</v>
    <v>36.18</v>
    <v>Hotels &amp; Entertainment Services</v>
    <v>Stock</v>
    <v>46084.032339849218</v>
    <v>1557</v>
    <v>34.82</v>
    <v>9138194020</v>
    <v>MGM RESORTS INTERNATIONAL</v>
    <v>MGM RESORTS INTERNATIONAL</v>
    <v>35.78</v>
    <v>50.742699999999999</v>
    <v>36.86</v>
    <v>35.72</v>
    <v>35.51</v>
    <v>255828500</v>
    <v>MGM</v>
    <v>MGM RESORTS INTERNATIONAL (XNYS:MGM)</v>
    <v>4586054</v>
    <v>5216601</v>
    <v>1986</v>
  </rv>
  <rv s="2">
    <v>1558</v>
  </rv>
  <rv s="7">
    <fb>34.17</fb>
    <v>13</v>
  </rv>
  <rv s="7">
    <fb>36.93</fb>
    <v>13</v>
  </rv>
  <rv s="0">
    <v>https://www.bing.com/financeapi/forcetrigger?t=a1ug1h&amp;q=XNAS%3aHAS&amp;form=skydnc</v>
    <v>Learn more on Bing</v>
  </rv>
  <rv s="1">
    <v>0</v>
    <v>Hasbro, Inc. (XNAS:HAS)</v>
    <v>2</v>
    <v>3</v>
    <v>Finance</v>
    <v>10</v>
    <v>en-US</v>
    <v>a1ug1h</v>
    <v>268435456</v>
    <v>1</v>
    <v>Powered by Refinitiv</v>
    <v>106.98</v>
    <v>49</v>
    <v>0.52790000000000004</v>
    <v>-0.54</v>
    <v>-5.4219999999999997E-3</v>
    <v>0.42</v>
    <v>4.2399999999999998E-3</v>
    <v>USD</v>
    <v>Hasbro, Inc. is a game, intellectual property (IP) and toy company. The Company delivers play experiences to kids, families, and fans around the world, through physical and digital games, video games, and toys, among others. Its Consumer Products segment engages in the sourcing, marketing and sales of toy and game products around the world. Its Wizards of the Coast and Digital Gaming segment engages in the promotion of the Company's brands through the development of trading cards, role-playing and digital game experiences based on Hasbro and Wizards of the Coast games. Its Entertainment segment engages in the development and production of Hasbro-branded entertainment content, including film, television, children’s programming, digital content and live entertainment focused on Hasbro-owned properties. Its portfolio of brands includes MAGIC: THE GATHERING, DUNGEONS &amp; DRAGONS, MONOPOLY, HASBRO GAMES, NERF, TRANSFORMERS, PLAY-DOH and PEPPA PIG, as well as premier partner brands.</v>
    <v>4520</v>
    <v>Nasdaq Stock Market</v>
    <v>XNAS</v>
    <v>XNAS</v>
    <v>1027 Newport Ave, P O Box 1059, PAWTUCKET, RI, 02861 US</v>
    <v>99.14</v>
    <v>Leisure Products</v>
    <v>Stock</v>
    <v>46083.991475346877</v>
    <v>1562</v>
    <v>95.88</v>
    <v>13934928490</v>
    <v>Hasbro, Inc.</v>
    <v>Hasbro, Inc.</v>
    <v>97.7</v>
    <v>0</v>
    <v>99.59</v>
    <v>99.05</v>
    <v>99.47</v>
    <v>140685800</v>
    <v>HAS</v>
    <v>Hasbro, Inc. (XNAS:HAS)</v>
    <v>1782956</v>
    <v>2210612</v>
    <v>1926</v>
  </rv>
  <rv s="2">
    <v>1563</v>
  </rv>
  <rv s="7">
    <fb>94.66</fb>
    <v>13</v>
  </rv>
  <rv s="7">
    <fb>96.59</fb>
    <v>13</v>
  </rv>
  <rv s="0">
    <v>https://www.bing.com/financeapi/forcetrigger?t=a1p18m&amp;q=XNYS%3aBWA&amp;form=skydnc</v>
    <v>Learn more on Bing</v>
  </rv>
  <rv s="1">
    <v>0</v>
    <v>BORGWARNER INC. (XNYS:BWA)</v>
    <v>2</v>
    <v>3</v>
    <v>Finance</v>
    <v>4</v>
    <v>en-US</v>
    <v>a1p18m</v>
    <v>268435456</v>
    <v>1</v>
    <v>Powered by Refinitiv</v>
    <v>70.08</v>
    <v>24.4</v>
    <v>1.0458000000000001</v>
    <v>-1.41</v>
    <v>-2.4563999999999999E-2</v>
    <v>0.77</v>
    <v>1.3755E-2</v>
    <v>USD</v>
    <v>BorgWarner Inc. is engaged in clean technology solutions for combustion, hybrid and electric vehicles. The Company operates in four segments. The Turbos &amp; Thermal Technologies’ technologies include turbochargers, e-boosters, e-turbos, emissions systems, thermal systems, gasoline ignition technology, smart remote actuators, powertrain sensors, among others. The Drivetrain &amp; Morse Systems segment’s products include control modules, friction and mechanical clutch products for automatic transmissions, torque-management products and rear-wheel drive (RWD) and all-wheel drive (AWD) transfer case systems and coupling systems. The PowerDrive Systems segment’s products include power electronics such as inverters, onboard chargers, DC/DC converters and combination boxes, and others. The Battery &amp; Charging Systems segment’s products include lithium-ion battery systems for electrified bus, truck and off-highway applications and DC fast chargers suitable for all types of electric vehicles.</v>
    <v>37500</v>
    <v>New York Stock Exchange</v>
    <v>XNYS</v>
    <v>XNYS</v>
    <v>3850 Hamlin Rd, AUBURN HILLS, MI, 48326 US</v>
    <v>56.81</v>
    <v>Automobiles &amp; Auto Parts</v>
    <v>Stock</v>
    <v>46084.021365196095</v>
    <v>1567</v>
    <v>55.44</v>
    <v>11592662312</v>
    <v>BORGWARNER INC.</v>
    <v>BORGWARNER INC.</v>
    <v>56.71</v>
    <v>45.639099999999999</v>
    <v>57.4</v>
    <v>55.99</v>
    <v>56.75</v>
    <v>207048800</v>
    <v>BWA</v>
    <v>BORGWARNER INC. (XNYS:BWA)</v>
    <v>2333284</v>
    <v>3836624</v>
    <v>1987</v>
  </rv>
  <rv s="2">
    <v>1568</v>
  </rv>
  <rv s="7">
    <fb>48.57</fb>
    <v>13</v>
  </rv>
  <rv s="7">
    <fb>50.49</fb>
    <v>13</v>
  </rv>
  <rv s="0">
    <v>https://www.bing.com/financeapi/forcetrigger?t=a21zf2&amp;q=XNYS%3aRHI&amp;form=skydnc</v>
    <v>Learn more on Bing</v>
  </rv>
  <rv s="1">
    <v>0</v>
    <v>ROBERT HALF INC. (XNYS:RHI)</v>
    <v>2</v>
    <v>3</v>
    <v>Finance</v>
    <v>4</v>
    <v>en-US</v>
    <v>a21zf2</v>
    <v>268435456</v>
    <v>1</v>
    <v>Powered by Refinitiv</v>
    <v>59.61</v>
    <v>22.32</v>
    <v>0.89570000000000005</v>
    <v>-0.71</v>
    <v>-2.9075000000000004E-2</v>
    <v>0.47</v>
    <v>1.9814999999999999E-2</v>
    <v>USD</v>
    <v>Robert Half Inc. provides specialized talent solutions and business consulting services through the Robert Half and Protiviti company names. The Company operates through three segments: contract talent solutions, permanent placement talent solutions, and Protiviti. The contract talent solutions and permanent placement talent solutions segments provide engagement professionals and full-time personnel, respectively, for finance and accounting, technology, marketing and creative, legal, and administrative, and customer support roles. The Protiviti segment provides internal audit, risk, business, and technology consulting solutions. The Company and its subsidiaries own various trademarks and service marks, including Robert Half Finance &amp; Accounting, Accountemps, OfficeTeam, Robert Half Technology, Robert Half Management Resources, Robert Half Legal, and The Creative Group. The Company operates in North America, South America, Europe, Asia, and Australia.</v>
    <v>14500</v>
    <v>New York Stock Exchange</v>
    <v>XNYS</v>
    <v>XNYS</v>
    <v>2884 Sand Hill Rd, Ste 200, MENLO PARK, CA, 94025 US</v>
    <v>24.06</v>
    <v>Professional &amp; Commercial Services</v>
    <v>Stock</v>
    <v>46083.957157094534</v>
    <v>1572</v>
    <v>23.25</v>
    <v>2398114756</v>
    <v>ROBERT HALF INC.</v>
    <v>ROBERT HALF INC.</v>
    <v>23.75</v>
    <v>18.419599999999999</v>
    <v>24.42</v>
    <v>23.71</v>
    <v>24.19</v>
    <v>101143600</v>
    <v>RHI</v>
    <v>ROBERT HALF INC. (XNYS:RHI)</v>
    <v>3553632</v>
    <v>4154078</v>
    <v>1979</v>
  </rv>
  <rv s="2">
    <v>1573</v>
  </rv>
  <rv s="7">
    <fb>31.3</fb>
    <v>13</v>
  </rv>
  <rv s="7">
    <fb>32.83</fb>
    <v>13</v>
  </rv>
  <rv s="0">
    <v>https://www.bing.com/financeapi/forcetrigger?t=a2655r&amp;q=XNAS%3aWYNN&amp;form=skydnc</v>
    <v>Learn more on Bing</v>
  </rv>
  <rv s="1">
    <v>0</v>
    <v>WYNN RESORTS, LIMITED (XNAS:WYNN)</v>
    <v>2</v>
    <v>3</v>
    <v>Finance</v>
    <v>4</v>
    <v>en-US</v>
    <v>a2655r</v>
    <v>268435456</v>
    <v>1</v>
    <v>Powered by Refinitiv</v>
    <v>134.72</v>
    <v>65.25</v>
    <v>1.0103</v>
    <v>-4.75</v>
    <v>-4.3903999999999999E-2</v>
    <v>0</v>
    <v>0</v>
    <v>USD</v>
    <v>Wynn Resorts, Limited is a designer, developer, and operator of integrated resorts featuring hotel rooms, retail space, an array of dining and entertainment options, meeting and convention facilities, and gaming. The Company owns and operates Wynn Las Vegas, Wynn Macau, Wynn Palace, Cotai, Wynn Mayfair, and operates Encore Boston Harbor. Wynn and Encore Las Vegas consist of two hotel towers with a total of 4,748 spacious hotel rooms, suites, and villas. Encore Boston Harbor features 671 hotel rooms and suites, a spa, 14 dining and lounge venues, a nightclub, and a ballroom and meeting spaces. Wynn Macau is in the Macau Special Administrative Region of the People's Republic of China with two luxury hotel towers. Wynn Palace offers 1,706 exquisite rooms, suites, and villas, 14 food and beverage outlets, meeting and convention space, an extensive boutique shopping esplanade, SkyCabs that traverse an eight-acre Performance Lake, an extensive collection of rare art, a spa and salon.</v>
    <v>28000</v>
    <v>Nasdaq Stock Market</v>
    <v>XNAS</v>
    <v>XNAS</v>
    <v>3131 Las Vegas Blvd S, LAS VEGAS, NV, 89109 US</v>
    <v>105.24</v>
    <v>Hotels &amp; Entertainment Services</v>
    <v>Stock</v>
    <v>46083.875260450783</v>
    <v>1577</v>
    <v>100.95</v>
    <v>10755122280</v>
    <v>WYNN RESORTS, LIMITED</v>
    <v>WYNN RESORTS, LIMITED</v>
    <v>103.07</v>
    <v>34.437600000000003</v>
    <v>108.19</v>
    <v>103.44</v>
    <v>103.44</v>
    <v>103974500</v>
    <v>WYNN</v>
    <v>WYNN RESORTS, LIMITED (XNAS:WYNN)</v>
    <v>3285745</v>
    <v>1700093</v>
    <v>2002</v>
  </rv>
  <rv s="2">
    <v>1578</v>
  </rv>
  <rv s="7">
    <fb>109.27</fb>
    <v>13</v>
  </rv>
  <rv s="7">
    <fb>114.21</fb>
    <v>13</v>
  </rv>
  <rv s="0">
    <v>https://www.bing.com/financeapi/forcetrigger?t=a1tctc&amp;q=XNYS%3aFRT&amp;form=skydnc</v>
    <v>Learn more on Bing</v>
  </rv>
  <rv s="1">
    <v>0</v>
    <v>FEDERAL REALTY INVESTMENT TRUST (XNYS:FRT)</v>
    <v>2</v>
    <v>3</v>
    <v>Finance</v>
    <v>4</v>
    <v>en-US</v>
    <v>a1tctc</v>
    <v>268435456</v>
    <v>1</v>
    <v>Powered by Refinitiv</v>
    <v>110.83499999999999</v>
    <v>80.650000000000006</v>
    <v>1.0013000000000001</v>
    <v>1.5649999999999999</v>
    <v>1.4388000000000001E-2</v>
    <v>-0.01</v>
    <v>-9.0630000000000005E-5</v>
    <v>USD</v>
    <v>Federal Realty Investment Trust (the Trust) is an equity real estate investment trust (REIT). The Trust specializes in the ownership, operation and redevelopment of retail-based properties located primarily in major coastal markets and select underserved regions with strong economic and demographic fundamentals. Federal Realty OP LP (the Operating Partnership) is the entity through which the Trust conducts substantially all of its operations and owns substantially all of its assets. The Trust’s portfolio includes open-air shopping centers and mixed-use destinations. The Trust has approximately 105 properties, including Santana Row, Pike &amp; Rose, Assembly Row, Assembly Square, Andorra Shopping Center, Bala Cynwyd On City Avenue, Town Center Plaza, Town Center Crossing, Del Monte Shopping Center, and Annapolis Town Center, among others.</v>
    <v>314</v>
    <v>New York Stock Exchange</v>
    <v>XNYS</v>
    <v>XNYS</v>
    <v>909 Rose Avenue, Suite 200, NORTH BETHESDA, MD, 20852 US</v>
    <v>110.83499999999999</v>
    <v>Residential &amp; Commercial REIT</v>
    <v>Stock</v>
    <v>46084.041405728909</v>
    <v>1582</v>
    <v>107.24</v>
    <v>9519265770</v>
    <v>FEDERAL REALTY INVESTMENT TRUST</v>
    <v>FEDERAL REALTY INVESTMENT TRUST</v>
    <v>107.93</v>
    <v>23.377400000000002</v>
    <v>108.77</v>
    <v>110.33499999999999</v>
    <v>110.33</v>
    <v>86276030</v>
    <v>FRT</v>
    <v>FEDERAL REALTY INVESTMENT TRUST (XNYS:FRT)</v>
    <v>701368</v>
    <v>970067</v>
    <v>2021</v>
  </rv>
  <rv s="2">
    <v>1583</v>
  </rv>
  <rv s="7">
    <fb>100.36</fb>
    <v>13</v>
  </rv>
  <rv s="7">
    <fb>103.6</fb>
    <v>13</v>
  </rv>
  <rv s="0">
    <v>https://www.bing.com/financeapi/forcetrigger?t=a23xz2&amp;q=XNYS%3aTAP&amp;form=skydnc</v>
    <v>Learn more on Bing</v>
  </rv>
  <rv s="9">
    <v>14</v>
    <v>MOLSON COORS BEVERAGE COMPANY (XNYS:TAP)</v>
    <v>2</v>
    <v>15</v>
    <v>Finance</v>
    <v>4</v>
    <v>en-US</v>
    <v>a23xz2</v>
    <v>268435456</v>
    <v>1</v>
    <v>Powered by Refinitiv</v>
    <v>64.66</v>
    <v>42.94</v>
    <v>0.48709999999999998</v>
    <v>-0.4</v>
    <v>-8.1650000000000004E-3</v>
    <v>-0.26</v>
    <v>-5.3509999999999999E-3</v>
    <v>USD</v>
    <v>Molson Coors Beverage Company is a holding company. The Company operates in two segments: Americas and EMEA&amp;APAC. The Americas segment consists of the production, importing, marketing, distribution and sales of its owned brands and partner brands and licensed brands in the United States, Canada and various countries in Latin America. It operates nine primary breweries, three craft breweries and two container operations. It also includes partnership arrangements for the distribution of beer in Ontario and the western provinces of Canada. The EMEA&amp;APAC segment consists of the production, marketing and sales of its primary brands as well as other owned and licensed brands in Bulgaria, Croatia, Czech Republic, Hungary, Montenegro, the Republic of Ireland, Romania, Serbia, the United Kingdom, various other European countries and certain countries within the Middle East, Africa and Asia Pacific regions. It operates approximately 11 primary breweries, four craft breweries and one cidery.</v>
    <v>16200</v>
    <v>New York Stock Exchange</v>
    <v>XNYS</v>
    <v>XNYS</v>
    <v>P.O. Box 4030, Bc555, GOLDEN, CO, 80401 US</v>
    <v>49.4099</v>
    <v>Beverages</v>
    <v>Stock</v>
    <v>46084.03865594844</v>
    <v>1587</v>
    <v>48.3337</v>
    <v>8656585463</v>
    <v>MOLSON COORS BEVERAGE COMPANY</v>
    <v>MOLSON COORS BEVERAGE COMPANY</v>
    <v>48.56</v>
    <v>48.99</v>
    <v>48.59</v>
    <v>48.33</v>
    <v>178155700</v>
    <v>TAP</v>
    <v>MOLSON COORS BEVERAGE COMPANY (XNYS:TAP)</v>
    <v>3950206</v>
    <v>3358267</v>
    <v>2003</v>
  </rv>
  <rv s="2">
    <v>1588</v>
  </rv>
  <rv s="7">
    <fb>49.32</fb>
    <v>13</v>
  </rv>
  <rv s="7">
    <fb>51.31</fb>
    <v>13</v>
  </rv>
  <rv s="0">
    <v>https://www.bing.com/financeapi/forcetrigger?t=aoddtc&amp;q=XLON%3aSEE&amp;form=skydnc</v>
    <v>Learn more on Bing</v>
  </rv>
  <rv s="15">
    <v>28</v>
    <v>SEEING MACHINES LIMITED (XLON:SEE)</v>
    <v>2</v>
    <v>29</v>
    <v>Finance</v>
    <v>30</v>
    <v>en-US</v>
    <v>aoddtc</v>
    <v>268435456</v>
    <v>1</v>
    <v>Powered by Refinitiv</v>
    <v>6.48</v>
    <v>1.605</v>
    <v>0.7631</v>
    <v>-0.38</v>
    <v>-0.106742</v>
    <v>GBp</v>
    <v>Seeing Machines Limited is engaged in providing operator monitoring and intervention sensing technologies and services for the automotive, mining, transport and aviation industries. The Company’s principal activities include developing, selling and licensing products, services and technology to detect and manage driver fatigue and distraction, entering commercial agreements with partners for the design, development and sale of products into key target markets, and research and development of its core vision processing technologies to support the development and refinement of its products. Its OEM segment includes both the automotive and aviation business units. Its Aftermarket segment includes Fleet and Off-Road business units. It also develops machine learning (ML) and artificial intelligence (AI) capability. Its technology portfolio of AI algorithms, embedded processing and optics, power products that need to deliver reliable real-time understanding of vehicle operators.</v>
    <v>365</v>
    <v>London Stock Exchange</v>
    <v>XLON</v>
    <v>XLON</v>
    <v>80 Mildura Street, Fyshwick, CANBERRA, AUSTRALIAN CAPITAL TERRITORY, 2609 AU</v>
    <v>3.57</v>
    <v>Software &amp; IT Services</v>
    <v>Stock</v>
    <v>46083.69112380781</v>
    <v>1592</v>
    <v>3.14</v>
    <v>276919900</v>
    <v>SEEING MACHINES LIMITED</v>
    <v>SEEING MACHINES LIMITED</v>
    <v>3.57</v>
    <v>0</v>
    <v>3.56</v>
    <v>3.18</v>
    <v>4912392000</v>
    <v>SEE</v>
    <v>SEEING MACHINES LIMITED (XLON:SEE)</v>
    <v>25816166</v>
    <v>18375040</v>
    <v>2000</v>
  </rv>
  <rv s="2">
    <v>1593</v>
  </rv>
  <rv s="7">
    <fb>4.46</fb>
    <v>31</v>
  </rv>
  <rv s="7">
    <fb>4.32</fb>
    <v>31</v>
  </rv>
  <rv s="0">
    <v>https://www.bing.com/financeapi/forcetrigger?t=a1n7mw&amp;q=XNYS%3aAIZ&amp;form=skydnc</v>
    <v>Learn more on Bing</v>
  </rv>
  <rv s="1">
    <v>0</v>
    <v>ASSURANT, INC. (XNYS:AIZ)</v>
    <v>2</v>
    <v>3</v>
    <v>Finance</v>
    <v>10</v>
    <v>en-US</v>
    <v>a1n7mw</v>
    <v>268435456</v>
    <v>1</v>
    <v>Powered by Refinitiv</v>
    <v>246.31</v>
    <v>174.97380000000001</v>
    <v>0.58120000000000005</v>
    <v>3.96</v>
    <v>1.7247999999999999E-2</v>
    <v>0</v>
    <v>0</v>
    <v>USD</v>
    <v>Assurant, Inc. is a global protection company that partners with various brands to safeguard and service connected devices, homes and automobiles. It utilizes data-driven technology solutions to provide customer experiences. It operates in North America, Latin America, Europe and Asia Pacific through two operating segments: Global Lifestyle and Global Housing. Global Lifestyle segment provides mobile device solutions, extended service contracts and related services for consumer electronics and appliances and credit and other insurance products (referred to as Connected Living), and vehicle protection services, commercial equipment services and other related services (referred to as Global Automotive). Global Housing segment provides lender-placed homeowners, manufactured housing and flood insurance, as well as voluntary manufactured housing, condominium and homeowners insurance (referred to as Homeowners), and renters insurance and other products (referred to as Renters and Other).</v>
    <v>14800</v>
    <v>New York Stock Exchange</v>
    <v>XNYS</v>
    <v>XNYS</v>
    <v>260 INTERSTATE NORTH CIRCLE S.E., ATLANTA, GA, 30339 US</v>
    <v>235.5</v>
    <v>Insurance</v>
    <v>Stock</v>
    <v>46083.949924131251</v>
    <v>1597</v>
    <v>228.96</v>
    <v>11607381283</v>
    <v>ASSURANT, INC.</v>
    <v>ASSURANT, INC.</v>
    <v>229.59</v>
    <v>11.7912</v>
    <v>229.59</v>
    <v>233.55</v>
    <v>233.55</v>
    <v>49699770</v>
    <v>AIZ</v>
    <v>ASSURANT, INC. (XNYS:AIZ)</v>
    <v>345803</v>
    <v>478327</v>
    <v>2003</v>
  </rv>
  <rv s="2">
    <v>1598</v>
  </rv>
  <rv s="7">
    <fb>241.23</fb>
    <v>13</v>
  </rv>
  <rv s="7">
    <fb>241.31</fb>
    <v>13</v>
  </rv>
  <rv s="0">
    <v>https://www.bing.com/financeapi/forcetrigger?t=a21mzr&amp;q=XNAS%3aQRVO&amp;form=skydnc</v>
    <v>Learn more on Bing</v>
  </rv>
  <rv s="1">
    <v>0</v>
    <v>QORVO, INC. (XNAS:QRVO)</v>
    <v>2</v>
    <v>3</v>
    <v>Finance</v>
    <v>4</v>
    <v>en-US</v>
    <v>a21mzr</v>
    <v>268435456</v>
    <v>1</v>
    <v>Powered by Refinitiv</v>
    <v>106.3</v>
    <v>49.46</v>
    <v>1.3522000000000001</v>
    <v>-0.98</v>
    <v>-1.1821E-2</v>
    <v>1.29</v>
    <v>1.5747000000000001E-2</v>
    <v>USD</v>
    <v>Qorvo, Inc. is a global provider of connectivity and power solutions. The Company supplies semiconductor solutions. The Company operates through three segments: High Performance Analog (HPA), Connectivity and Sensors Group (CSG) and Advanced Cellular Group (ACG). The HPA segment is a global supplier of radio frequency (RF), analog mixed signal and power management solutions. The CSG segment is a global supplier of connectivity and sensor solutions, with broad expertise spanning ultra-wideband (UWB), Matter, Bluetooth Low Energy (BLE), Zigbee, Thread, Wi-Fi, cellular solutions for the Internet of Things (IoT) and microelectromechanical system (MEMS)-based sensors. The ACG segment is a global supplier of advanced cellular solutions for smartphones, wearables, laptops, tablets and other devices. The Company serves diverse segments of global markets, including automotive, consumer, defense and aerospace, industrial and enterprise, infrastructure and mobile.</v>
    <v>6200</v>
    <v>Nasdaq Stock Market</v>
    <v>XNAS</v>
    <v>XNAS</v>
    <v>7628 Thorndike Rd, GREENSBORO, NC, 27409 US</v>
    <v>82.63</v>
    <v>Semiconductors &amp; Semiconductor Equipment</v>
    <v>Stock</v>
    <v>46083.95730497656</v>
    <v>1602</v>
    <v>80.900000000000006</v>
    <v>7594449305</v>
    <v>QORVO, INC.</v>
    <v>QORVO, INC.</v>
    <v>81.17</v>
    <v>22.813500000000001</v>
    <v>82.9</v>
    <v>81.92</v>
    <v>83.21</v>
    <v>92705680</v>
    <v>QRVO</v>
    <v>QORVO, INC. (XNAS:QRVO)</v>
    <v>1369002</v>
    <v>1596543</v>
    <v>2013</v>
  </rv>
  <rv s="2">
    <v>1603</v>
  </rv>
  <rv s="7">
    <fb>78.8</fb>
    <v>13</v>
  </rv>
  <rv s="7">
    <fb>80.95</fb>
    <v>13</v>
  </rv>
  <rv s="0">
    <v>https://www.bing.com/financeapi/forcetrigger?t=c24xbh&amp;q=XNYS%3aOGN&amp;form=skydnc</v>
    <v>Learn more on Bing</v>
  </rv>
  <rv s="1">
    <v>0</v>
    <v>ORGANON &amp; CO. (XNYS:OGN)</v>
    <v>2</v>
    <v>3</v>
    <v>Finance</v>
    <v>10</v>
    <v>en-US</v>
    <v>c24xbh</v>
    <v>268435456</v>
    <v>1</v>
    <v>Powered by Refinitiv</v>
    <v>16.079999999999998</v>
    <v>6.18</v>
    <v>0.57169999999999999</v>
    <v>-0.1</v>
    <v>-1.3717E-2</v>
    <v>0.06</v>
    <v>8.345E-3</v>
    <v>USD</v>
    <v>Organon &amp; Co. is a global healthcare company. The Company is engaged in developing and delivering health solutions through a portfolio of prescription therapies and medical devices within women's health, biosimilars and a franchise of established medicines across a range of therapeutic areas. It has a portfolio of approximately 70 medicines and products across a range of therapeutic areas. It has a portfolio of contraception and fertility brands, including Nexplanon, NuvaRing, and Follistim AQ. Its Biosimilars portfolio spans across immunology and oncology treatments. It also has a portfolio of established brands, including brands in cardiovascular, dermatology and non-opioid pain management. It sells these products through various channels, including drug wholesalers and retailers, hospitals, government agencies and managed health care providers, such as pharmacy benefit managers and other institutions.</v>
    <v>10000</v>
    <v>New York Stock Exchange</v>
    <v>XNYS</v>
    <v>XNYS</v>
    <v>30 Hudson Street, Fl 33, JERSEY CITY, NJ, 07302 US</v>
    <v>7.24</v>
    <v>Pharmaceuticals</v>
    <v>Stock</v>
    <v>46083.985724687504</v>
    <v>1607</v>
    <v>7.04</v>
    <v>1871669164</v>
    <v>ORGANON &amp; CO.</v>
    <v>ORGANON &amp; CO.</v>
    <v>7.1</v>
    <v>10.172800000000001</v>
    <v>7.29</v>
    <v>7.19</v>
    <v>7.25</v>
    <v>260315600</v>
    <v>OGN</v>
    <v>ORGANON &amp; CO. (XNYS:OGN)</v>
    <v>2836736</v>
    <v>4873709</v>
    <v>2020</v>
  </rv>
  <rv s="2">
    <v>1608</v>
  </rv>
  <rv s="7">
    <fb>8</fb>
    <v>13</v>
  </rv>
  <rv s="7">
    <fb>8.2899999999999991</fb>
    <v>13</v>
  </rv>
  <rv s="0">
    <v>https://www.bing.com/financeapi/forcetrigger?t=a2139c&amp;q=XNYS%3aPNW&amp;form=skydnc</v>
    <v>Learn more on Bing</v>
  </rv>
  <rv s="1">
    <v>0</v>
    <v>PINNACLE WEST CAPITAL CORPORATION (XNYS:PNW)</v>
    <v>2</v>
    <v>3</v>
    <v>Finance</v>
    <v>10</v>
    <v>en-US</v>
    <v>a2139c</v>
    <v>268435456</v>
    <v>1</v>
    <v>Powered by Refinitiv</v>
    <v>101.13</v>
    <v>85.322999999999993</v>
    <v>0.53190000000000004</v>
    <v>0.23</v>
    <v>2.2929999999999999E-3</v>
    <v>0</v>
    <v>0</v>
    <v>USD</v>
    <v>Pinnacle West Capital Corporation is an energy holding company that conducts business through its subsidiaries, Arizona Public Service Company (APS), El Dorado Investment Company (El Dorado) and Pinnacle West Power, LLC. The Company's business segment is its regulated electricity segment, which consists of traditional regulated retail and wholesale electricity businesses (primarily electric service to Native Load customers) and related activities, and includes electricity generation, transmission, and distribution. APS provides electric service to approximately 1.4 million customers. APS is also the operator and co-owner of Palo Verde, a primary source of electricity for the southwest United States and the nuclear power plant in the United States. El Dorado owns debt investments and minority interests in several energy-related investments and Arizona community-based ventures. Palo Verde is a three-unit nuclear power plant located approximately 50 miles west of Phoenix, Arizona.</v>
    <v>94</v>
    <v>New York Stock Exchange</v>
    <v>XNYS</v>
    <v>XNYS</v>
    <v>400 North 5th Street, PHOENIX, AZ, 85004 US</v>
    <v>100.82</v>
    <v>Electrical Utilities &amp; IPPs</v>
    <v>Stock</v>
    <v>46083.949924375003</v>
    <v>1612</v>
    <v>99.51</v>
    <v>12154619862</v>
    <v>PINNACLE WEST CAPITAL CORPORATION</v>
    <v>PINNACLE WEST CAPITAL CORPORATION</v>
    <v>100.42</v>
    <v>19.8401</v>
    <v>100.3</v>
    <v>100.53</v>
    <v>100.53</v>
    <v>120905400</v>
    <v>PNW</v>
    <v>PINNACLE WEST CAPITAL CORPORATION (XNYS:PNW)</v>
    <v>1269907</v>
    <v>1357627</v>
    <v>1985</v>
  </rv>
  <rv s="2">
    <v>1613</v>
  </rv>
  <rv s="7">
    <fb>93.63</fb>
    <v>13</v>
  </rv>
  <rv s="7">
    <fb>94</fb>
    <v>13</v>
  </rv>
  <rv s="0">
    <v>https://www.bing.com/financeapi/forcetrigger?t=a1ypc7&amp;q=XNYS%3aNRG&amp;form=skydnc</v>
    <v>Learn more on Bing</v>
  </rv>
  <rv s="1">
    <v>0</v>
    <v>NRG ENERGY, INC. (XNYS:NRG)</v>
    <v>2</v>
    <v>3</v>
    <v>Finance</v>
    <v>4</v>
    <v>en-US</v>
    <v>a1ypc7</v>
    <v>268435456</v>
    <v>1</v>
    <v>Powered by Refinitiv</v>
    <v>189.96</v>
    <v>79.569999999999993</v>
    <v>1.2537</v>
    <v>-3.4</v>
    <v>-1.8998999999999999E-2</v>
    <v>-7.08</v>
    <v>-4.0323000000000005E-2</v>
    <v>USD</v>
    <v>NRG Energy, Inc. is an energy and home services company. The Company’s businesses are the sale of electricity and natural gas to residential, commercial, and industrial and wholesale customers, supported by its wholesale electric generation, as well as the sale of smart home products and services. Across the United States and Canada, the Company delivers sustainable solutions, predominately under brand names such as NRG, Reliant, Direct Energy, Green Mountain Energy, and Vivint. Its segments include Texas, East, West/Services/Other, Vivint Smart Home and Corporate activities. It sells a variety of products to residential and small commercial customers, including retail electricity and energy management, natural gas, line and surge protection products and home protection products, repair and maintenance, and carbon offsets. It owns and leases a diversified wholesale generation portfolio with approximately 13 gigawatts of fossil fuel and renewable generation capacity at 18 plants.</v>
    <v>16702</v>
    <v>New York Stock Exchange</v>
    <v>XNYS</v>
    <v>XNYS</v>
    <v>910 Louisiana Street, HOUSTON, TX, 77002 US</v>
    <v>181.57990000000001</v>
    <v>Electrical Utilities &amp; IPPs</v>
    <v>Stock</v>
    <v>46084.039931250001</v>
    <v>1617</v>
    <v>174.04</v>
    <v>37688781900</v>
    <v>NRG ENERGY, INC.</v>
    <v>NRG ENERGY, INC.</v>
    <v>175.69</v>
    <v>45.374899999999997</v>
    <v>178.96</v>
    <v>175.56</v>
    <v>168.5</v>
    <v>214677500</v>
    <v>NRG</v>
    <v>NRG ENERGY, INC. (XNYS:NRG)</v>
    <v>1770884</v>
    <v>2194808</v>
    <v>1992</v>
  </rv>
  <rv s="2">
    <v>1618</v>
  </rv>
  <rv s="7">
    <fb>152.18</fb>
    <v>13</v>
  </rv>
  <rv s="7">
    <fb>143.99</fb>
    <v>13</v>
  </rv>
  <rv s="0">
    <v>https://www.bing.com/financeapi/forcetrigger?t=a1yx9c&amp;q=XNAS%3aNWSA&amp;form=skydnc</v>
    <v>Learn more on Bing</v>
  </rv>
  <rv s="1">
    <v>0</v>
    <v>NEWS CORPORATION (XNAS:NWSA)</v>
    <v>2</v>
    <v>3</v>
    <v>Finance</v>
    <v>4</v>
    <v>en-US</v>
    <v>a1yx9c</v>
    <v>268435456</v>
    <v>1</v>
    <v>Powered by Refinitiv</v>
    <v>31.61</v>
    <v>22.2</v>
    <v>0.98340000000000005</v>
    <v>-0.32</v>
    <v>-1.3173999999999998E-2</v>
    <v>0.22570000000000001</v>
    <v>9.4160000000000008E-3</v>
    <v>USD</v>
    <v>News Corporation is a diversified media and information services company. Its Digital Real Estate Services segment consists of the Company’s interest in REA Group and Move. REA Group is a digital media business specializing in property and property-related services on its Websites and mobile apps. Move is a provider of digital real estate services in the United States and primarily operates a real estate information, advertising and services platform, as well as its referral-based services, online tools and services to do-it-yourself landlords and tenants. Its Dow Jones segment consists of Dow Jones, a global provider of news and business information, which distributes its content and data through a variety of media channels. Its Book Publishing segment consists of HarperCollins, a consumer book publisher with operations in 15 countries. Its News Media segment consists of News Corp Australia, News UK and the New York Post and includes The Australian, The Daily Telegraph, among others.</v>
    <v>22300</v>
    <v>Nasdaq Stock Market</v>
    <v>XNAS</v>
    <v>XNAS</v>
    <v>1211 Avenue of the Americas, NEW YORK, NY, 10036 US</v>
    <v>24.19</v>
    <v>Media &amp; Publishing</v>
    <v>Stock</v>
    <v>46083.956658483592</v>
    <v>1622</v>
    <v>23.76</v>
    <v>13312413057</v>
    <v>NEWS CORPORATION</v>
    <v>NEWS CORPORATION</v>
    <v>24</v>
    <v>31.3246</v>
    <v>24.29</v>
    <v>23.97</v>
    <v>24.195699999999999</v>
    <v>555378100</v>
    <v>NWSA</v>
    <v>NEWS CORPORATION (XNAS:NWSA)</v>
    <v>4251995</v>
    <v>4598834</v>
    <v>2012</v>
  </rv>
  <rv s="2">
    <v>1623</v>
  </rv>
  <rv s="7">
    <fb>25.01</fb>
    <v>13</v>
  </rv>
  <rv s="7">
    <fb>24.69</fb>
    <v>13</v>
  </rv>
  <rv s="0">
    <v>https://www.bing.com/financeapi/forcetrigger?t=a26gnm&amp;q=XNAS%3aZION&amp;form=skydnc</v>
    <v>Learn more on Bing</v>
  </rv>
  <rv s="19">
    <v>48</v>
    <v>ZIONS BANCORPORATION, NATIONAL ASSOCIATION (XNAS:ZION)</v>
    <v>2</v>
    <v>49</v>
    <v>Finance</v>
    <v>10</v>
    <v>en-US</v>
    <v>a26gnm</v>
    <v>268435456</v>
    <v>1</v>
    <v>Powered by Refinitiv</v>
    <v>66.174999999999997</v>
    <v>39.32</v>
    <v>0.82189999999999996</v>
    <v>0.86</v>
    <v>1.5014000000000001E-2</v>
    <v>0.56000000000000005</v>
    <v>9.6319999999999999E-3</v>
    <v>USD</v>
    <v>Zions Bancorporation, National Association (the Bank) is a provider of financial services. It provides a range of banking products and related services, primarily in the states of Arizona, California, Colorado, Idaho, Nevada, New Mexico, Oregon, Texas, Utah, Washington, and Wyoming. It conducts its operations primarily through seven managed and geographically defined bank divisions, each with its own local branding and management. Its products and services include commercial and small business banking, capital markets and investment banking, commercial real estate lending, retail banking, and wealth management. Its commercial small business banking products and services include commercial and industrial and owner-occupied lending and leasing, municipal and public finance services, corporate trust services, and others. Its capital markets and investment banking include loan syndications, fixed income securities underwriting, advisory and capital raising, and Power and project financing.</v>
    <v>9195</v>
    <v>Nasdaq Stock Market</v>
    <v>XNAS</v>
    <v>XNAS</v>
    <v>One South Main Street, 11Th Floor, SALT LAKE CITY, UT, 84133 US</v>
    <v>58.685000000000002</v>
    <v>Banking Services</v>
    <v>Stock</v>
    <v>46083.957308402343</v>
    <v>1627</v>
    <v>56.14</v>
    <v>8598254832</v>
    <v>ZIONS BANCORPORATION, NATIONAL ASSOCIATION</v>
    <v>ZIONS BANCORPORATION, NATIONAL ASSOCIATION</v>
    <v>57.28</v>
    <v>9.5347000000000008</v>
    <v>57.28</v>
    <v>58.14</v>
    <v>58.7</v>
    <v>147888800</v>
    <v>ZION</v>
    <v>ZIONS BANCORPORATION, NATIONAL ASSOCIATION (XNAS:ZION)</v>
    <v>1708591</v>
    <v>2125375</v>
  </rv>
  <rv s="2">
    <v>1628</v>
  </rv>
  <rv s="7">
    <fb>62.36</fb>
    <v>13</v>
  </rv>
  <rv s="7">
    <fb>63.81</fb>
    <v>13</v>
  </rv>
  <rv s="23">
    <v>59</v>
    <v>CARMA LIMITED (XASX:CMA)</v>
    <v>17</v>
    <v>60</v>
    <v>Finance</v>
    <v>55</v>
    <v>en-US</v>
    <v>cimbpr</v>
    <v>268435456</v>
    <v>1</v>
    <v>Powered by Refinitiv</v>
    <v>2.63</v>
    <v>1</v>
    <v>0.33200000000000002</v>
    <v>-0.06</v>
    <v>-5.1723999999999999E-2</v>
    <v>AUD</v>
    <v>Carma limited is an Australia-based technology-led, full-stack digital platform for buying and selling used vehicles in Australia. Its operations include consumer sourcing, inspection and in-house reconditioning, Artificial Intelligence (AI)-powered pricing, online retail, dealer-only wholesale auctions, financing and delivery. Its full-stack digital used car platform sources vehicles directly from consumers and other channels, inspects and reconditions vehicles in-house to a defined standard before listing. It sells retail-quality vehicles through a digital marketplace with integrated finance, warranties and logistics for delivery and collection, and disposes of non-retail stock through a dealer-only wholesale auction channel.</v>
    <v>Australian Securities Exchange</v>
    <v>XASX</v>
    <v>XASX</v>
    <v>Suite 5.03, 219-241 Cleveland Street, Strawberry Hills, NEW SOUTH WALES, 2012 AU</v>
    <v>1.19</v>
    <v>Specialty Retailers</v>
    <v>Stock</v>
    <v>46084.108495370368</v>
    <v>1.1000000000000001</v>
    <v>276504200</v>
    <v>CARMA LIMITED</v>
    <v>CARMA LIMITED</v>
    <v>1.19</v>
    <v>1.1599999999999999</v>
    <v>1.1000000000000001</v>
    <v>136883300</v>
    <v>CMA</v>
    <v>CARMA LIMITED (XASX:CMA)</v>
    <v>28451</v>
    <v>101640</v>
    <v>2021</v>
  </rv>
  <rv s="2">
    <v>1632</v>
  </rv>
  <rv s="7">
    <fb>1.85</fb>
    <v>61</v>
  </rv>
  <rv s="7">
    <fb>1.76</fb>
    <v>61</v>
  </rv>
  <rv s="0">
    <v>https://www.bing.com/financeapi/forcetrigger?t=a1odgh&amp;q=XNYS%3aBEN&amp;form=skydnc</v>
    <v>Learn more on Bing</v>
  </rv>
  <rv s="1">
    <v>0</v>
    <v>FRANKLIN RESOURCES, INC. (XNYS:BEN)</v>
    <v>2</v>
    <v>3</v>
    <v>Finance</v>
    <v>4</v>
    <v>en-US</v>
    <v>a1odgh</v>
    <v>268435456</v>
    <v>1</v>
    <v>Powered by Refinitiv</v>
    <v>28.32</v>
    <v>16.25</v>
    <v>1.4841</v>
    <v>0.45500000000000002</v>
    <v>1.7144E-2</v>
    <v>-0.39</v>
    <v>-1.4443999999999999E-2</v>
    <v>USD</v>
    <v>Franklin Resources, Inc. is a global investment management company with subsidiaries operating as Franklin Templeton and serving clients in over 150 countries. Through its specialist investment managers, the Company offers specialization on a global scale, bringing capabilities in equity, fixed income, alternatives and multi-asset solutions. It provides its investment management and related services to retail, institutional and high-net-worth investors in jurisdictions worldwide. Its investment products include its sponsored funds, as well as institutional and high-net-worth separate accounts, retail separately managed account programs, sub-advised products, and other investment vehicles. Its funds include registered funds (including exchange-traded funds) and unregistered funds. It offers its services and products under its various distinct brand names, including, but not limited to, Alcentra, Benefit Street Partners, Brandywine Global Investment Management, Canvas, and others.</v>
    <v>9900</v>
    <v>New York Stock Exchange</v>
    <v>XNYS</v>
    <v>XNYS</v>
    <v>One Franklin Parkway, Building 920/2, SAN MATEO, CA, 94403 US</v>
    <v>27.25</v>
    <v>Investment Banking &amp; Investment Services</v>
    <v>Stock</v>
    <v>46084.025656307815</v>
    <v>1636</v>
    <v>25.85</v>
    <v>14058007983</v>
    <v>FRANKLIN RESOURCES, INC.</v>
    <v>FRANKLIN RESOURCES, INC.</v>
    <v>25.96</v>
    <v>24.422599999999999</v>
    <v>26.54</v>
    <v>26.995000000000001</v>
    <v>26.61</v>
    <v>520763400</v>
    <v>BEN</v>
    <v>FRANKLIN RESOURCES, INC. (XNYS:BEN)</v>
    <v>4768338</v>
    <v>6384816</v>
    <v>1969</v>
  </rv>
  <rv s="2">
    <v>1637</v>
  </rv>
  <rv s="7">
    <fb>27</fb>
    <v>13</v>
  </rv>
  <rv s="7">
    <fb>27.83</fb>
    <v>13</v>
  </rv>
  <rv s="0">
    <v>https://www.bing.com/financeapi/forcetrigger?t=a1nahw&amp;q=XNYS%3aALK&amp;form=skydnc</v>
    <v>Learn more on Bing</v>
  </rv>
  <rv s="1">
    <v>0</v>
    <v>ALASKA AIR GROUP, INC. (XNYS:ALK)</v>
    <v>2</v>
    <v>3</v>
    <v>Finance</v>
    <v>4</v>
    <v>en-US</v>
    <v>a1nahw</v>
    <v>268435456</v>
    <v>1</v>
    <v>Powered by Refinitiv</v>
    <v>73.89</v>
    <v>37.630000000000003</v>
    <v>1.1671</v>
    <v>-0.82</v>
    <v>-1.5890999999999999E-2</v>
    <v>0.02</v>
    <v>3.9390000000000003E-4</v>
    <v>USD</v>
    <v>Alaska Air Group, Inc. is engaged in operating airlines. The Company operates through its subsidiaries Alaska Airlines, Inc., Hawaiian Holdings, Inc., Horizon Air Industries, Inc., and McGee Air Services. The Company's segments include Alaska Airlines, Hawaiian Airlines, and Regional. The Alaska Airlines segment includes scheduled air transportation on Alaska's Boeing jet aircraft for passengers and cargo. The Hawaiian Airlines segment includes scheduled air transportation on Hawaiian's Boeing and Airbus jet aircraft for passengers and cargo. The Regional segment includes Horizon's and other third-party carriers’ scheduled air transportation on E175 jet aircraft for passengers under capacity purchase agreements (CPAs). The Company serves more than 140 destinations throughout North America, Central America, Asia and across the Pacific. The Company provides freight and mail services (cargo) using both freighter aircraft and the bellies of its passenger aircraft.</v>
    <v>31996</v>
    <v>New York Stock Exchange</v>
    <v>XNYS</v>
    <v>XNYS</v>
    <v>19300 International Blvd, SEATTLE, WA, 98188 US</v>
    <v>51.73</v>
    <v>Passenger Transportation Services</v>
    <v>Stock</v>
    <v>46084.007352221874</v>
    <v>1641</v>
    <v>48.568399999999997</v>
    <v>5821490292</v>
    <v>ALASKA AIR GROUP, INC.</v>
    <v>ALASKA AIR GROUP, INC.</v>
    <v>50</v>
    <v>58.883299999999998</v>
    <v>51.6</v>
    <v>50.78</v>
    <v>50.79</v>
    <v>114641400</v>
    <v>ALK</v>
    <v>ALASKA AIR GROUP, INC. (XNYS:ALK)</v>
    <v>2617787</v>
    <v>3679944</v>
    <v>1985</v>
  </rv>
  <rv s="2">
    <v>1642</v>
  </rv>
  <rv s="7">
    <fb>55.14</fb>
    <v>13</v>
  </rv>
  <rv s="7">
    <fb>56.14</fb>
    <v>13</v>
  </rv>
  <rv s="0">
    <v>https://www.bing.com/financeapi/forcetrigger?t=a25afr&amp;q=XNYS%3aVFC&amp;form=skydnc</v>
    <v>Learn more on Bing</v>
  </rv>
  <rv s="1">
    <v>0</v>
    <v>V.F. CORPORATION (XNYS:VFC)</v>
    <v>2</v>
    <v>3</v>
    <v>Finance</v>
    <v>4</v>
    <v>en-US</v>
    <v>a25afr</v>
    <v>268435456</v>
    <v>1</v>
    <v>Powered by Refinitiv</v>
    <v>25.09</v>
    <v>9.41</v>
    <v>1.6668000000000001</v>
    <v>-0.49</v>
    <v>-2.5232000000000001E-2</v>
    <v>-0.52</v>
    <v>-2.7469999999999998E-2</v>
    <v>USD</v>
    <v>V.F. Corp is a global apparel, footwear and accessories company. The Company designs, procures, markets and distributes a variety of branded products, including backpacks, luggage and accessories for consumers of all ages. Its products are marketed under VF-owned brand names. Its portfolio of outdoor, active and workwear brands includes The North Face, Vans, Timberland, Altra, Smartwool, Icebreaker, Kipling, Napapijri, Eastpak, JanSport, and Timberland PRO. Its segments include Outdoor, Active, and Work. The Outdoor segment is a group of outdoor-based lifestyle brands. Product offerings include performance and performance-inspired outdoor apparel, footwear, equipment and accessories. The Active segment is a group of activity-based lifestyle brands. Product offerings include active apparel, footwear, backpacks, luggage and accessories. The Work segment consists of performance and lifestyle workwear brands with product offerings that include apparel, footwear and accessories.</v>
    <v>16200</v>
    <v>New York Stock Exchange</v>
    <v>XNYS</v>
    <v>XNYS</v>
    <v>1551 Wewatta Street, DENVER, CO, 80202 US</v>
    <v>19.149999999999999</v>
    <v>Textiles &amp; Apparel</v>
    <v>Stock</v>
    <v>46084.022588911721</v>
    <v>1646</v>
    <v>18.375</v>
    <v>7406614269</v>
    <v>V.F. CORPORATION</v>
    <v>V.F. CORPORATION</v>
    <v>18.7</v>
    <v>34.991</v>
    <v>19.420000000000002</v>
    <v>18.93</v>
    <v>18.41</v>
    <v>391263300</v>
    <v>VFC</v>
    <v>V.F. CORPORATION (XNYS:VFC)</v>
    <v>5555179</v>
    <v>7635275</v>
    <v>1899</v>
  </rv>
  <rv s="2">
    <v>1647</v>
  </rv>
  <rv s="7">
    <fb>21.18</fb>
    <v>13</v>
  </rv>
  <rv s="0">
    <v>https://www.bing.com/financeapi/forcetrigger?t=a1xlk2&amp;q=XNYS%3aMHK&amp;form=skydnc</v>
    <v>Learn more on Bing</v>
  </rv>
  <rv s="1">
    <v>0</v>
    <v>MOHAWK INDUSTRIES, INC. (XNYS:MHK)</v>
    <v>2</v>
    <v>3</v>
    <v>Finance</v>
    <v>10</v>
    <v>en-US</v>
    <v>a1xlk2</v>
    <v>268435456</v>
    <v>1</v>
    <v>Powered by Refinitiv</v>
    <v>143.13</v>
    <v>96.24</v>
    <v>1.1907000000000001</v>
    <v>-6.05</v>
    <v>-4.8295999999999999E-2</v>
    <v>2.38</v>
    <v>1.9962999999999998E-2</v>
    <v>USD</v>
    <v>Mohawk Industries, Inc. is a flooring manufacturer that creates products to enhance residential and commercial spaces around the world. Its segments include Global Ceramic, Flooring North America (Flooring NA) and Flooring Rest of the World (Flooring ROW). The Global Ceramic segment designs, manufactures, sources, distributes and markets a line of ceramic, porcelain and natural stone tile products used for floor and wall applications in residential and commercial channels. Flooring NA segment designs, manufactures, sources, distributes and markets a range of floor covering products, including broadloom carpet, carpet tile, rugs and mats, carpet pad, laminate, medium-density fiberboard (MDF), wood flooring, LVT and sheet vinyl. Flooring ROW segment designs, manufactures, sources, distributes and markets a variety of laminate, LVT and sheet vinyl, wood flooring, broadloom carpet and carpet tile collections used in residential and commercial markets for remodeling and new construction.</v>
    <v>40500</v>
    <v>New York Stock Exchange</v>
    <v>XNYS</v>
    <v>XNYS</v>
    <v>PO BOX 12069, 160 S INDUSTRIAL BLVD, CALHOUN, GA, 30701 US</v>
    <v>122.13</v>
    <v>Household Goods</v>
    <v>Stock</v>
    <v>46083.976188275003</v>
    <v>1650</v>
    <v>118.71</v>
    <v>7327304119</v>
    <v>MOHAWK INDUSTRIES, INC.</v>
    <v>MOHAWK INDUSTRIES, INC.</v>
    <v>122.12</v>
    <v>21.158799999999999</v>
    <v>125.27</v>
    <v>119.22</v>
    <v>121.6</v>
    <v>61460360</v>
    <v>MHK</v>
    <v>MOHAWK INDUSTRIES, INC. (XNYS:MHK)</v>
    <v>1383696</v>
    <v>781934</v>
    <v>1988</v>
  </rv>
  <rv s="2">
    <v>1651</v>
  </rv>
  <rv s="7">
    <fb>124.75</fb>
    <v>13</v>
  </rv>
  <rv s="7">
    <fb>130.41</fb>
    <v>13</v>
  </rv>
  <rv s="0">
    <v>https://www.bing.com/financeapi/forcetrigger?t=a1rgur&amp;q=XNYS%3aDXC&amp;form=skydnc</v>
    <v>Learn more on Bing</v>
  </rv>
  <rv s="1">
    <v>0</v>
    <v>DXC TECHNOLOGY COMPANY (XNYS:DXC)</v>
    <v>2</v>
    <v>3</v>
    <v>Finance</v>
    <v>10</v>
    <v>en-US</v>
    <v>a1rgur</v>
    <v>268435456</v>
    <v>1</v>
    <v>Powered by Refinitiv</v>
    <v>18.899999999999999</v>
    <v>11.61</v>
    <v>1.1016999999999999</v>
    <v>-0.4</v>
    <v>-3.1771000000000001E-2</v>
    <v>0.13</v>
    <v>1.0664E-2</v>
    <v>USD</v>
    <v>DXC Technology Company is a global technology services provider. The Company helps global companies run their mission-critical systems and operations while modernizing information technology (IT), optimizing data architectures, and ensuring security and scalability across public, private and hybrid clouds. The Company’s segments include Global Business Services (GBS) and Global Infrastructure Services (GIS). The GBS segment provides technology solutions that help its customers address key business challenges and accelerate transformations tailored to each customer’s industry and specific objectives. GBS offerings include consulting and engineering services and insurance software and business process services. The GIS segment provides a portfolio of technology offerings that deliver predictable outcomes and measurable results while reducing business risk and operational costs for customers. GIS offerings include cloud IT outsourcing (ITO) and security and modern workplace.</v>
    <v>120000</v>
    <v>New York Stock Exchange</v>
    <v>XNYS</v>
    <v>XNYS</v>
    <v>20408 Bashan Drive, Suite 231, ASHBURN, VA, 20147 US</v>
    <v>12.51</v>
    <v>Software &amp; IT Services</v>
    <v>Stock</v>
    <v>46083.991328159376</v>
    <v>1655</v>
    <v>12.1</v>
    <v>2069374400</v>
    <v>DXC TECHNOLOGY COMPANY</v>
    <v>DXC TECHNOLOGY COMPANY</v>
    <v>12.22</v>
    <v>5.4321000000000002</v>
    <v>12.59</v>
    <v>12.19</v>
    <v>12.32</v>
    <v>169760000</v>
    <v>DXC</v>
    <v>DXC TECHNOLOGY COMPANY (XNYS:DXC)</v>
    <v>3175746</v>
    <v>2930640</v>
    <v>2017</v>
  </rv>
  <rv s="2">
    <v>1656</v>
  </rv>
  <rv s="7">
    <fb>13.5</fb>
    <v>13</v>
  </rv>
  <rv s="7">
    <fb>14.25</fb>
    <v>13</v>
  </rv>
  <rv s="0">
    <v>https://www.bing.com/financeapi/forcetrigger?t=a1x12w&amp;q=XNYS%3aLNC&amp;form=skydnc</v>
    <v>Learn more on Bing</v>
  </rv>
  <rv s="1">
    <v>0</v>
    <v>LINCOLN NATIONAL CORPORATION (XNYS:LNC)</v>
    <v>2</v>
    <v>3</v>
    <v>Finance</v>
    <v>4</v>
    <v>en-US</v>
    <v>a1x12w</v>
    <v>268435456</v>
    <v>1</v>
    <v>Powered by Refinitiv</v>
    <v>46.82</v>
    <v>27.58</v>
    <v>1.3008</v>
    <v>0.18</v>
    <v>5.2480000000000001E-3</v>
    <v>0.08</v>
    <v>2.3189999999999999E-3</v>
    <v>USD</v>
    <v>Lincoln National Corporation is a holding company, which operates multiple insurance and retirement businesses through subsidiary companies. Its segments include Annuities, Life Insurance, Group Protection and Retirement Plan Services. The Annuities segment provides tax-deferred investment growth and lifetime income opportunities for its clients by offering variable annuities, fixed annuities and indexed variable annuities. The Life Insurance segment provides life insurance products, including term insurance, indexed universal life insurance (IUL) and variable universal life insurance (VUL) products, linked-benefit products, and critical illness and long-term care riders. The Group Protection segment offers group non-medical insurance products and services, including short- and long-term disability, statutory disability and paid family medical leave administration. The Company’s Retirement Plan Services segment provides employers with retirement plan products and services.</v>
    <v>9423</v>
    <v>New York Stock Exchange</v>
    <v>XNYS</v>
    <v>XNYS</v>
    <v>150 N RADNOR CHESTER RD, RADNOR, PA, 19087 US</v>
    <v>34.825000000000003</v>
    <v>Insurance</v>
    <v>Stock</v>
    <v>46084.025308020311</v>
    <v>1660</v>
    <v>33.590000000000003</v>
    <v>6554316991</v>
    <v>LINCOLN NATIONAL CORPORATION</v>
    <v>LINCOLN NATIONAL CORPORATION</v>
    <v>33.700000000000003</v>
    <v>6.4916999999999998</v>
    <v>34.299999999999997</v>
    <v>34.479999999999997</v>
    <v>34.58</v>
    <v>190090400</v>
    <v>LNC</v>
    <v>LINCOLN NATIONAL CORPORATION (XNYS:LNC)</v>
    <v>2825936</v>
    <v>2414478</v>
    <v>1968</v>
  </rv>
  <rv s="2">
    <v>1661</v>
  </rv>
  <rv s="7">
    <fb>40.71</fb>
    <v>13</v>
  </rv>
  <rv s="7">
    <fb>40.65</fb>
    <v>13</v>
  </rv>
  <rv s="0">
    <v>https://www.bing.com/financeapi/forcetrigger?t=a222gh&amp;q=XNYS%3aRL&amp;form=skydnc</v>
    <v>Learn more on Bing</v>
  </rv>
  <rv s="1">
    <v>0</v>
    <v>RALPH LAUREN CORPORATION (XNYS:RL)</v>
    <v>2</v>
    <v>3</v>
    <v>Finance</v>
    <v>4</v>
    <v>en-US</v>
    <v>a222gh</v>
    <v>268435456</v>
    <v>1</v>
    <v>Powered by Refinitiv</v>
    <v>389.15</v>
    <v>176.61</v>
    <v>1.482</v>
    <v>-8.3800000000000008</v>
    <v>-2.3111000000000003E-2</v>
    <v>-2.08</v>
    <v>-5.8740000000000007E-3</v>
    <v>USD</v>
    <v>Ralph Lauren Corporation is engaged in the design, marketing, and distribution of luxury lifestyle products, including apparel, footwear and accessories, home, fragrances and hospitality. Its segments include North America, Europe, and Asia. Its brands include Ralph Lauren, Ralph Lauren Collection, Ralph Lauren Purple Label, Polo Ralph Lauren, Lauren Ralph Lauren, Polo Ralph Lauren Children, and Chaps, among others. Its products include apparel and footwear and accessories for men, women, and children, as well as fragrance and home collections, together with its hospitality portfolio. Its range of footwear and accessories include casual shoes, dress shoes, boots, sneakers, sandals, eyewear, watches, scarves, hats and others. Its range of home products includes bed and bath lines, lighting, dining, floor coverings, giftware and more. Its hospitality collection is comprised of its restaurants, including The Polo Bar in New York City, RL Restaurant located in Chicago, and others.</v>
    <v>15000</v>
    <v>New York Stock Exchange</v>
    <v>XNYS</v>
    <v>XNYS</v>
    <v>650 Madison Ave, NEW YORK, NY, 10022 US</v>
    <v>358.45499999999998</v>
    <v>Textiles &amp; Apparel</v>
    <v>Stock</v>
    <v>46084.041664640623</v>
    <v>1665</v>
    <v>347</v>
    <v>21443207150</v>
    <v>RALPH LAUREN CORPORATION</v>
    <v>RALPH LAUREN CORPORATION</v>
    <v>354.25</v>
    <v>24.6829</v>
    <v>362.6</v>
    <v>354.22</v>
    <v>352.05</v>
    <v>60536410</v>
    <v>RL</v>
    <v>RALPH LAUREN CORPORATION (XNYS:RL)</v>
    <v>642323</v>
    <v>706151</v>
    <v>1997</v>
  </rv>
  <rv s="2">
    <v>1666</v>
  </rv>
  <rv s="7">
    <fb>354.04</fb>
    <v>13</v>
  </rv>
  <rv s="7">
    <fb>354.7</fb>
    <v>13</v>
  </rv>
  <rv s="0">
    <v>https://www.bing.com/financeapi/forcetrigger?t=a22rcw&amp;q=XNYS%3aSEE&amp;form=skydnc</v>
    <v>Learn more on Bing</v>
  </rv>
  <rv s="1">
    <v>0</v>
    <v>SEALED AIR CORPORATION (XNYS:SEE)</v>
    <v>2</v>
    <v>3</v>
    <v>Finance</v>
    <v>4</v>
    <v>en-US</v>
    <v>a22rcw</v>
    <v>268435456</v>
    <v>1</v>
    <v>Powered by Refinitiv</v>
    <v>44.27</v>
    <v>22.78</v>
    <v>1.3546</v>
    <v>7.4999999999999997E-2</v>
    <v>1.7910000000000001E-3</v>
    <v>-0.09</v>
    <v>-2.1449999999999998E-3</v>
    <v>USD</v>
    <v>Sealed Air Corporation is a provider of packaging solutions integrating performance materials, automation, equipment and services. The Company designs, manufactures and delivers packaging solutions that preserve food, protect good and automate packaging processes. The Company operates through two segments: Food, and Protective. The Company’s portfolio of solutions includes CRYOVAC brand for food packaging, LIQUIBOX for fluids and liquids systems, SEALED AIR brand for protective packaging, AUTOBAG brand for automated systems, BUBBLE WRAP brand for packaging. The Company delivers its packaging solutions to an array of end markets including fresh proteins, foods, fluids, medical and healthcare, e-commerce, logistics and omnichannel fulfilment operations, and industrials. Its food solutions are sold to food processors in fresh red meat, smoked and processed meats, poultry, seafood, plant-based protein, fluids and liquids and cheese markets worldwide.</v>
    <v>16400</v>
    <v>New York Stock Exchange</v>
    <v>XNYS</v>
    <v>XNYS</v>
    <v>2415 Cascade Pointe Boulevard, CHARLOTTE, NC, 28208 US</v>
    <v>41.97</v>
    <v>Containers &amp; Packaging</v>
    <v>Stock</v>
    <v>46084.028309687499</v>
    <v>1670</v>
    <v>41.85</v>
    <v>6178759000</v>
    <v>SEALED AIR CORPORATION</v>
    <v>SEALED AIR CORPORATION</v>
    <v>41.87</v>
    <v>15.5692</v>
    <v>41.88</v>
    <v>41.954999999999998</v>
    <v>41.87</v>
    <v>147271100</v>
    <v>SEE</v>
    <v>SEALED AIR CORPORATION (XNYS:SEE)</v>
    <v>3211452</v>
    <v>2872401</v>
    <v>1996</v>
  </rv>
  <rv s="2">
    <v>1671</v>
  </rv>
  <rv s="7">
    <fb>41.85</fb>
    <v>13</v>
  </rv>
  <rv s="7">
    <fb>41.8</fb>
    <v>13</v>
  </rv>
  <rv s="0">
    <v>https://www.bing.com/financeapi/forcetrigger?t=a1uozr&amp;q=XNYS%3aHII&amp;form=skydnc</v>
    <v>Learn more on Bing</v>
  </rv>
  <rv s="1">
    <v>0</v>
    <v>HUNTINGTON INGALLS INDUSTRIES, INC. (XNYS:HII)</v>
    <v>2</v>
    <v>3</v>
    <v>Finance</v>
    <v>4</v>
    <v>en-US</v>
    <v>a1uozr</v>
    <v>268435456</v>
    <v>1</v>
    <v>Powered by Refinitiv</v>
    <v>460</v>
    <v>167.7</v>
    <v>0.32119999999999999</v>
    <v>9.07</v>
    <v>2.0403999999999999E-2</v>
    <v>1.27</v>
    <v>2.7989999999999998E-3</v>
    <v>USD</v>
    <v>Huntington Ingalls Industries, Inc. is a global, all-domain defense provider. The Company delivers ships and all-domain solutions in service of the nation. It delivers critical capabilities extending from ships to unmanned systems, cyber, ISR, AI/ML and synthetic training. It operates through three segments: Ingalls Shipbuilding (Ingalls), Newport News Shipbuilding (Newport News), and Mission Technologies. Through its Ingalls segment, the Company designs and constructs non-nuclear ships for the United States Navy and Coast Guard, including amphibious assault ships, expeditionary warfare ships, surface combatants, and national security cutters (NSC). The core business of its Newport News segment is designing and constructing nuclear-powered aircraft carriers and submarines, and the refueling and overhaul and the inactivation of nuclear-powered aircraft carriers. The Company’s Mission Technologies segment develops integrated solutions that enable connected, all-domain force.</v>
    <v>44000</v>
    <v>New York Stock Exchange</v>
    <v>XNYS</v>
    <v>XNYS</v>
    <v>909-7, 7J2, 4101 Washington Avenue, NEWPORT NEWS, VA, 23607 US</v>
    <v>460</v>
    <v>Aerospace &amp; Defense</v>
    <v>Stock</v>
    <v>46084.035659883593</v>
    <v>1675</v>
    <v>445.67</v>
    <v>17800091757</v>
    <v>HUNTINGTON INGALLS INDUSTRIES, INC.</v>
    <v>HUNTINGTON INGALLS INDUSTRIES, INC.</v>
    <v>451.19</v>
    <v>29.5014</v>
    <v>444.52</v>
    <v>453.59</v>
    <v>455</v>
    <v>39242690</v>
    <v>HII</v>
    <v>HUNTINGTON INGALLS INDUSTRIES, INC. (XNYS:HII)</v>
    <v>631700</v>
    <v>571386</v>
    <v>2010</v>
  </rv>
  <rv s="2">
    <v>1676</v>
  </rv>
  <rv s="7">
    <fb>429.64</fb>
    <v>13</v>
  </rv>
  <rv s="7">
    <fb>413.14</fb>
    <v>13</v>
  </rv>
  <rv s="0">
    <v>https://www.bing.com/financeapi/forcetrigger?t=a26adm&amp;q=XNAS%3aXRAY&amp;form=skydnc</v>
    <v>Learn more on Bing</v>
  </rv>
  <rv s="1">
    <v>0</v>
    <v>DENTSPLY SIRONA INC. (XNAS:XRAY)</v>
    <v>2</v>
    <v>3</v>
    <v>Finance</v>
    <v>10</v>
    <v>en-US</v>
    <v>a26adm</v>
    <v>268435456</v>
    <v>1</v>
    <v>Powered by Refinitiv</v>
    <v>17.18</v>
    <v>9.85</v>
    <v>0.98450000000000004</v>
    <v>-0.37</v>
    <v>-2.5204000000000001E-2</v>
    <v>0.05</v>
    <v>3.4939999999999997E-3</v>
    <v>USD</v>
    <v>DENTSPLY SIRONA Inc. is a manufacturer of professional dental products and technologies. It develops, manufactures, and markets a comprehensive solutions offering including dental and oral health products as well as other consumable medical devices. Its Connected Technology Solutions segment includes design, manufacture and sales of its dental technology and equipment products. Its Essential Dental Solutions segment includes the development, manufacture and sales of its value-added endodontic, restorative, and preventive consumable products and small equipment used by dental professionals for the treatment of patients. Its Orthodontic and Implant Solutions segment includes the design, manufacture, and sales of its various digital implant systems and dental implant products, digital dentures and dental professional-directed aligner solutions. Its Wellspect Healthcare segment includes the design, manufacture, and sales of its continence care solutions for urinary and bowel management.</v>
    <v>14000</v>
    <v>Nasdaq Stock Market</v>
    <v>XNAS</v>
    <v>XNAS</v>
    <v>13320 Ballantyne Corporate Place, CHARLOTTE, NC, 28277-3607 US</v>
    <v>14.484999999999999</v>
    <v>Healthcare Equipment &amp; Supplies</v>
    <v>Stock</v>
    <v>46083.957305878903</v>
    <v>1680</v>
    <v>13.8</v>
    <v>2858412483</v>
    <v>DENTSPLY SIRONA INC.</v>
    <v>DENTSPLY SIRONA INC.</v>
    <v>14.385</v>
    <v>0</v>
    <v>14.68</v>
    <v>14.31</v>
    <v>14.36</v>
    <v>199749300</v>
    <v>XRAY</v>
    <v>DENTSPLY SIRONA INC. (XNAS:XRAY)</v>
    <v>8783843</v>
    <v>5250325</v>
    <v>1983</v>
  </rv>
  <rv s="2">
    <v>1681</v>
  </rv>
  <rv s="7">
    <fb>12</fb>
    <v>13</v>
  </rv>
  <rv s="7">
    <fb>12.54</fb>
    <v>13</v>
  </rv>
  <rv s="0">
    <v>https://www.bing.com/financeapi/forcetrigger?t=a1vwxm&amp;q=XNYS%3aIVZ&amp;form=skydnc</v>
    <v>Learn more on Bing</v>
  </rv>
  <rv s="9">
    <v>14</v>
    <v>INVESCO LTD (XNYS:IVZ)</v>
    <v>2</v>
    <v>15</v>
    <v>Finance</v>
    <v>10</v>
    <v>en-US</v>
    <v>a1vwxm</v>
    <v>268435456</v>
    <v>1</v>
    <v>Powered by Refinitiv</v>
    <v>29.61</v>
    <v>11.6</v>
    <v>1.6629</v>
    <v>-0.13</v>
    <v>-4.9499999999999995E-3</v>
    <v>-0.04</v>
    <v>-1.5310000000000002E-3</v>
    <v>USD</v>
    <v>Invesco Ltd. is an independent investment management firm. It serves the retail and institutional markets within the investment management industry in the Americas, Europe, Middle East, and Africa and Asia-Pacific in 120 countries. It offers a range of investment strategies across asset classes, investment styles, and geographies. Its asset classes include equity, fixed income, balanced, alternatives and money market. Its retail assets under management include exchange-traded funds, separately managed accounts, individual savings accounts, investment companies with variable capital, investment trusts, open-end mutual funds, unit investment trusts, and variable insurance funds. Its institutional assets include institutional separate accounts, private funds, open-end mutual funds, and collective trust funds. Its client base includes public and private entities, unions, non-profit organizations, endowments, foundations, financial institutions, and sovereign wealth funds.</v>
    <v>7499</v>
    <v>New York Stock Exchange</v>
    <v>XNYS</v>
    <v>XNYS</v>
    <v>1331 SPRING STREET NW, SUITE 2500, ATLANTA, GA, 30309 US</v>
    <v>26.41</v>
    <v>Investment Banking &amp; Investment Services</v>
    <v>Stock</v>
    <v>46083.973073784378</v>
    <v>1685</v>
    <v>25.382000000000001</v>
    <v>11593196394</v>
    <v>INVESCO LTD</v>
    <v>INVESCO LTD</v>
    <v>25.5</v>
    <v>26.26</v>
    <v>26.13</v>
    <v>26.09</v>
    <v>443673800</v>
    <v>IVZ</v>
    <v>INVESCO LTD (XNYS:IVZ)</v>
    <v>5117094</v>
    <v>6338135</v>
    <v>2007</v>
  </rv>
  <rv s="2">
    <v>1686</v>
  </rv>
  <rv s="7">
    <fb>26.53</fb>
    <v>13</v>
  </rv>
  <rv s="7">
    <fb>26.84</fb>
    <v>13</v>
  </rv>
  <rv s="0">
    <v>https://www.bing.com/financeapi/forcetrigger?t=a1ywu2&amp;q=XNAS%3aNWL&amp;form=skydnc</v>
    <v>Learn more on Bing</v>
  </rv>
  <rv s="1">
    <v>0</v>
    <v>NEWELL BRANDS INC. (XNAS:NWL)</v>
    <v>2</v>
    <v>3</v>
    <v>Finance</v>
    <v>10</v>
    <v>en-US</v>
    <v>a1ywu2</v>
    <v>268435456</v>
    <v>1</v>
    <v>Powered by Refinitiv</v>
    <v>7.02</v>
    <v>3.07</v>
    <v>0.9113</v>
    <v>-0.11</v>
    <v>-2.4176000000000003E-2</v>
    <v>0.06</v>
    <v>1.3514E-2</v>
    <v>USD</v>
    <v>Newell Brands Inc. is a global consumer goods company. The Company operates in three segments: Home and Commercial Solutions, Learning and Development, and Outdoor and Recreation. The products offered under the Home and Commercial Solutions segment include commercial cleaning and maintenance solutions; closet and garage organization; hygiene systems and material handling solutions; household products, including kitchen appliances; food and home storage products; vacuum sealing products; gourmet cookware, bakeware and cutlery and home fragrance products. The Learning and Development segment offers products in baby gear and infant care products; writing instruments, including markers and highlighters, pens and pencils; art products; activity-based products and labeling solutions. The Outdoor and Recreation segment offers products for outdoor and outdoor-related activities. Its brands include Rubbermaid, Sharpie, Graco, Coleman, Yankee Candle, Yankee Candle, and Paper Mate, among others.</v>
    <v>21900</v>
    <v>Nasdaq Stock Market</v>
    <v>XNAS</v>
    <v>XNAS</v>
    <v>5 Concourse Parkway Ne, 8Th Floor, ATLANTA, GA, 30328 US</v>
    <v>4.4800000000000004</v>
    <v>Household Goods</v>
    <v>Stock</v>
    <v>46083.985455439062</v>
    <v>1690</v>
    <v>4.3449999999999998</v>
    <v>1861248000</v>
    <v>NEWELL BRANDS INC.</v>
    <v>NEWELL BRANDS INC.</v>
    <v>4.4400000000000004</v>
    <v>0</v>
    <v>4.55</v>
    <v>4.4400000000000004</v>
    <v>4.5</v>
    <v>419200000</v>
    <v>NWL</v>
    <v>NEWELL BRANDS INC. (XNAS:NWL)</v>
    <v>4184248</v>
    <v>5692700</v>
    <v>1987</v>
  </rv>
  <rv s="2">
    <v>1691</v>
  </rv>
  <rv s="7">
    <fb>4.4000000000000004</fb>
    <v>13</v>
  </rv>
  <rv s="7">
    <fb>4.58</fb>
    <v>13</v>
  </rv>
  <rv s="0">
    <v>https://www.bing.com/financeapi/forcetrigger?t=a1tba2&amp;q=XNYS%3aFRC&amp;form=skydnc</v>
    <v>Learn more on Bing</v>
  </rv>
  <rv s="15">
    <v>28</v>
    <v>FIRST REPUBLIC BANK (OTCM:FRCB)</v>
    <v>2</v>
    <v>62</v>
    <v>Finance</v>
    <v>26</v>
    <v>en-US</v>
    <v>a1tba2</v>
    <v>268435456</v>
    <v>1</v>
    <v>Powered by Refinitiv</v>
    <v>0.30059999999999998</v>
    <v>1E-4</v>
    <v>2.5787</v>
    <v>1E-4</v>
    <v>0.25</v>
    <v>USD</v>
    <v>First Republic Bank (the Bank) is a commercial bank and trust company. The Bank specializes in providing services, including private banking, private business banking, real estate lending and wealth management services, including trust and custody services, to clients in selected metropolitan areas in the United States. It operates through two segments: Commercial Banking and Wealth Management. The principal business activities of the Commercial Banking segment are gathering deposits, originating and servicing loans and investing in investment securities. The principal business activities of the Wealth Management segment include the investment management activities of First Republic Investment Management, Inc. (FRIM), which manages investments for individuals and institutions; money market mutual fund activities through third-party providers and the brokerage activities of First Republic Securities Company, LLC (FRSC) and its foreign exchange activities conducted on behalf of clients.</v>
    <v>7213</v>
    <v>OTC Markets</v>
    <v>OTCM</v>
    <v>OTCM</v>
    <v>111 Pine St, SAN FRANCISCO, CA, 94111-5602 US</v>
    <v>5.0000000000000001E-4</v>
    <v>Banking Services</v>
    <v>Stock</v>
    <v>46083.872534305468</v>
    <v>1695</v>
    <v>2.9999999999999997E-4</v>
    <v>55961</v>
    <v>FIRST REPUBLIC BANK</v>
    <v>FIRST REPUBLIC BANK</v>
    <v>2.9999999999999997E-4</v>
    <v>1E-4</v>
    <v>4.0000000000000002E-4</v>
    <v>5.0000000000000001E-4</v>
    <v>186538200</v>
    <v>FRCB</v>
    <v>FIRST REPUBLIC BANK (OTCM:FRCB)</v>
    <v>33085</v>
    <v>56808984</v>
    <v>2009</v>
  </rv>
  <rv s="2">
    <v>1696</v>
  </rv>
  <rv s="7">
    <fb>5.0000000000000001E-4</fb>
    <v>13</v>
  </rv>
  <rv s="7">
    <fb>1E-3</fb>
    <v>13</v>
  </rv>
  <rv s="24">
    <v>63</v>
    <v>a1odgh</v>
    <v>Daily</v>
    <v>46056</v>
    <v>46056</v>
    <v>0</v>
    <v>1</v>
    <v>639056736000000000,639059116466831940,0</v>
    <v>0</v>
    <v>a1odgh</v>
    <v>XNYS:BEN</v>
    <v>1</v>
  </rv>
  <rv s="24">
    <v>63</v>
    <v>a1odgh</v>
    <v>Daily</v>
    <v>46057</v>
    <v>46057</v>
    <v>0</v>
    <v>1</v>
    <v>639057600000000000,639059118380752438,0</v>
    <v>0</v>
    <v>a1odgh</v>
    <v>XNYS:BEN</v>
    <v>2</v>
  </rv>
  <rv s="24">
    <v>63</v>
    <v>a1o1ar</v>
    <v>Daily</v>
    <v>46057</v>
    <v>46057</v>
    <v>0</v>
    <v>1</v>
    <v>639057600000000000,639059118385378426,0</v>
    <v>0</v>
    <v>a1o1ar</v>
    <v>XNYS:AVY</v>
    <v>3</v>
  </rv>
  <rv s="24">
    <v>63</v>
    <v>a1o1ar</v>
    <v>Daily</v>
    <v>46056</v>
    <v>46056</v>
    <v>0</v>
    <v>1</v>
    <v>639056736000000000,639059116465070626,0</v>
    <v>0</v>
    <v>a1o1ar</v>
    <v>XNYS:AVY</v>
    <v>4</v>
  </rv>
  <rv s="24">
    <v>64</v>
    <v>cimbpr</v>
    <v>Daily</v>
    <v>46057</v>
    <v>46057</v>
    <v>0</v>
    <v>1</v>
    <v>639057600000000000,639081038151697817,0</v>
    <v>0</v>
    <v>cimbpr</v>
    <v>XASX:CMA</v>
    <v>5</v>
  </rv>
  <rv s="24">
    <v>64</v>
    <v>cimbpr</v>
    <v>Daily</v>
    <v>46056</v>
    <v>46056</v>
    <v>0</v>
    <v>1</v>
    <v>639056736000000000,639081038157974974,0</v>
    <v>0</v>
    <v>cimbpr</v>
    <v>XASX:CMA</v>
    <v>6</v>
  </rv>
  <rv s="24">
    <v>63</v>
    <v>a1n6f2</v>
    <v>Daily</v>
    <v>46057</v>
    <v>46057</v>
    <v>0</v>
    <v>1</v>
    <v>639057600000000000,639059118382836392,0</v>
    <v>0</v>
    <v>a1n6f2</v>
    <v>XNYS:AIG</v>
    <v>7</v>
  </rv>
  <rv s="24">
    <v>63</v>
    <v>a1n6f2</v>
    <v>Daily</v>
    <v>46056</v>
    <v>46056</v>
    <v>0</v>
    <v>1</v>
    <v>639056736000000000,639059116452050738,0</v>
    <v>0</v>
    <v>a1n6f2</v>
    <v>XNYS:AIG</v>
    <v>8</v>
  </rv>
  <rv s="24">
    <v>63</v>
    <v>a1ou77</v>
    <v>Daily</v>
    <v>46057</v>
    <v>46057</v>
    <v>0</v>
    <v>1</v>
    <v>639057600000000000,639059118371291793,0</v>
    <v>0</v>
    <v>a1ou77</v>
    <v>XNYS:BRO</v>
    <v>9</v>
  </rv>
  <rv s="24">
    <v>63</v>
    <v>a1ou77</v>
    <v>Daily</v>
    <v>46056</v>
    <v>46056</v>
    <v>0</v>
    <v>1</v>
    <v>639056736000000000,639059116459902823,0</v>
    <v>0</v>
    <v>a1ou77</v>
    <v>XNYS:BRO</v>
    <v>10</v>
  </rv>
  <rv s="24">
    <v>63</v>
    <v>a23tw7</v>
    <v>Daily</v>
    <v>46057</v>
    <v>46057</v>
    <v>0</v>
    <v>1</v>
    <v>639057600000000000,639059118388822524,0</v>
    <v>0</v>
    <v>a23tw7</v>
    <v>XNYS:SWK</v>
    <v>11</v>
  </rv>
  <rv s="24">
    <v>63</v>
    <v>a23tw7</v>
    <v>Daily</v>
    <v>46056</v>
    <v>46056</v>
    <v>0</v>
    <v>1</v>
    <v>639056736000000000,639059116457547495,0</v>
    <v>0</v>
    <v>a23tw7</v>
    <v>XNYS:SWK</v>
    <v>12</v>
  </rv>
  <rv s="24">
    <v>63</v>
    <v>a23tz2</v>
    <v>Daily</v>
    <v>46057</v>
    <v>46057</v>
    <v>0</v>
    <v>1</v>
    <v>639057600000000000,639059118382322820,0</v>
    <v>0</v>
    <v>a23tz2</v>
    <v>XNAS:SWKS</v>
    <v>13</v>
  </rv>
  <rv s="24">
    <v>63</v>
    <v>a23tz2</v>
    <v>Daily</v>
    <v>46056</v>
    <v>46056</v>
    <v>0</v>
    <v>1</v>
    <v>639056736000000000,639059116462914657,0</v>
    <v>0</v>
    <v>a23tz2</v>
    <v>XNAS:SWKS</v>
    <v>14</v>
  </rv>
  <rv s="24">
    <v>63</v>
    <v>a24jvh</v>
    <v>Daily</v>
    <v>46056</v>
    <v>46056</v>
    <v>0</v>
    <v>1</v>
    <v>639056736000000000,639059116455037262,0</v>
    <v>0</v>
    <v>a24jvh</v>
    <v>XNAS:TSCO</v>
    <v>15</v>
  </rv>
  <rv s="24">
    <v>63</v>
    <v>a24jvh</v>
    <v>Daily</v>
    <v>46057</v>
    <v>46057</v>
    <v>0</v>
    <v>1</v>
    <v>639057600000000000,639059118383273901,0</v>
    <v>0</v>
    <v>a24jvh</v>
    <v>XNAS:TSCO</v>
    <v>16</v>
  </rv>
  <rv s="24">
    <v>63</v>
    <v>a1ossm</v>
    <v>Daily</v>
    <v>46057</v>
    <v>46057</v>
    <v>0</v>
    <v>1</v>
    <v>639057600000000000,639059118378847834,0</v>
    <v>0</v>
    <v>a1ossm</v>
    <v>XNYS:BR</v>
    <v>17</v>
  </rv>
  <rv s="24">
    <v>63</v>
    <v>a1ossm</v>
    <v>Daily</v>
    <v>46056</v>
    <v>46056</v>
    <v>0</v>
    <v>1</v>
    <v>639056736000000000,639059116464050162,0</v>
    <v>0</v>
    <v>a1ossm</v>
    <v>XNYS:BR</v>
    <v>18</v>
  </rv>
  <rv s="24">
    <v>63</v>
    <v>a243ec</v>
    <v>Daily</v>
    <v>46057</v>
    <v>46057</v>
    <v>0</v>
    <v>1</v>
    <v>639057600000000000,639059118375438746,0</v>
    <v>0</v>
    <v>a243ec</v>
    <v>XNYS:TDY</v>
    <v>19</v>
  </rv>
  <rv s="24">
    <v>63</v>
    <v>a243ec</v>
    <v>Daily</v>
    <v>46056</v>
    <v>46056</v>
    <v>0</v>
    <v>1</v>
    <v>639056736000000000,639059116453420890,0</v>
    <v>0</v>
    <v>a243ec</v>
    <v>XNYS:TDY</v>
    <v>20</v>
  </rv>
  <rv s="24">
    <v>63</v>
    <v>a1ywu2</v>
    <v>Daily</v>
    <v>46057</v>
    <v>46057</v>
    <v>0</v>
    <v>1</v>
    <v>639057600000000000,639059118391174971,0</v>
    <v>0</v>
    <v>a1ywu2</v>
    <v>XNAS:NWL</v>
    <v>21</v>
  </rv>
  <rv s="24">
    <v>63</v>
    <v>a1ywu2</v>
    <v>Daily</v>
    <v>46056</v>
    <v>46056</v>
    <v>0</v>
    <v>1</v>
    <v>639056736000000000,639059116467562098,0</v>
    <v>0</v>
    <v>a1ywu2</v>
    <v>XNAS:NWL</v>
    <v>22</v>
  </rv>
  <rv s="24">
    <v>63</v>
    <v>a24tfr</v>
    <v>Daily</v>
    <v>46057</v>
    <v>46057</v>
    <v>0</v>
    <v>1</v>
    <v>639057600000000000,639059118381741193,0</v>
    <v>0</v>
    <v>a24tfr</v>
    <v>XNYS:UDR</v>
    <v>23</v>
  </rv>
  <rv s="24">
    <v>63</v>
    <v>a24tfr</v>
    <v>Daily</v>
    <v>46056</v>
    <v>46056</v>
    <v>0</v>
    <v>1</v>
    <v>639056736000000000,639059116461972965,0</v>
    <v>0</v>
    <v>a24tfr</v>
    <v>XNYS:UDR</v>
    <v>24</v>
  </rv>
  <rv s="24">
    <v>63</v>
    <v>a24hfr</v>
    <v>Daily</v>
    <v>46056</v>
    <v>46056</v>
    <v>0</v>
    <v>1</v>
    <v>639056736000000000,639059116464537641,0</v>
    <v>0</v>
    <v>a24hfr</v>
    <v>XNAS:TRMB</v>
    <v>25</v>
  </rv>
  <rv s="24">
    <v>63</v>
    <v>a24hfr</v>
    <v>Daily</v>
    <v>46057</v>
    <v>46057</v>
    <v>0</v>
    <v>1</v>
    <v>639057600000000000,639059118388342370,0</v>
    <v>0</v>
    <v>a24hfr</v>
    <v>XNAS:TRMB</v>
    <v>26</v>
  </rv>
  <rv s="24">
    <v>63</v>
    <v>a1uwu2</v>
    <v>Daily</v>
    <v>46057</v>
    <v>46057</v>
    <v>0</v>
    <v>1</v>
    <v>639057600000000000,639059118382991971,0</v>
    <v>0</v>
    <v>a1uwu2</v>
    <v>XNYS:HSY</v>
    <v>27</v>
  </rv>
  <rv s="24">
    <v>63</v>
    <v>a1uwu2</v>
    <v>Daily</v>
    <v>46056</v>
    <v>46056</v>
    <v>0</v>
    <v>1</v>
    <v>639056736000000000,639059116452999791,0</v>
    <v>0</v>
    <v>a1uwu2</v>
    <v>XNYS:HSY</v>
    <v>28</v>
  </rv>
  <rv s="24">
    <v>63</v>
    <v>a24km7</v>
    <v>Daily</v>
    <v>46056</v>
    <v>46056</v>
    <v>0</v>
    <v>1</v>
    <v>639056736000000000,639059116460134013,0</v>
    <v>0</v>
    <v>a24km7</v>
    <v>XNYS:TSN</v>
    <v>29</v>
  </rv>
  <rv s="24">
    <v>63</v>
    <v>a24km7</v>
    <v>Daily</v>
    <v>46057</v>
    <v>46057</v>
    <v>0</v>
    <v>1</v>
    <v>639057600000000000,639059118374368568,0</v>
    <v>0</v>
    <v>a24km7</v>
    <v>XNYS:TSN</v>
    <v>30</v>
  </rv>
  <rv s="24">
    <v>63</v>
    <v>az6g8m</v>
    <v>Daily</v>
    <v>46057</v>
    <v>46057</v>
    <v>0</v>
    <v>1</v>
    <v>639057600000000000,639059118369267174,0</v>
    <v>0</v>
    <v>az6g8m</v>
    <v>XNAS:BKNG</v>
    <v>31</v>
  </rv>
  <rv s="24">
    <v>63</v>
    <v>az6g8m</v>
    <v>Daily</v>
    <v>46056</v>
    <v>46056</v>
    <v>0</v>
    <v>1</v>
    <v>639056736000000000,639059116449118514,0</v>
    <v>0</v>
    <v>az6g8m</v>
    <v>XNAS:BKNG</v>
    <v>32</v>
  </rv>
  <rv s="24">
    <v>63</v>
    <v>a1xonm</v>
    <v>Daily</v>
    <v>46056</v>
    <v>46056</v>
    <v>0</v>
    <v>1</v>
    <v>639056736000000000,639059116465575071,0</v>
    <v>0</v>
    <v>a1xonm</v>
    <v>XNAS:MKTX</v>
    <v>33</v>
  </rv>
  <rv s="24">
    <v>63</v>
    <v>a1xonm</v>
    <v>Daily</v>
    <v>46057</v>
    <v>46057</v>
    <v>0</v>
    <v>1</v>
    <v>639057600000000000,639059118382223245,0</v>
    <v>0</v>
    <v>a1xonm</v>
    <v>XNAS:MKTX</v>
    <v>34</v>
  </rv>
  <rv s="24">
    <v>63</v>
    <v>a1q5hw</v>
    <v>Daily</v>
    <v>46056</v>
    <v>46056</v>
    <v>0</v>
    <v>1</v>
    <v>639056736000000000,639059116459205490,0</v>
    <v>0</v>
    <v>a1q5hw</v>
    <v>XNAS:COO</v>
    <v>35</v>
  </rv>
  <rv s="24">
    <v>63</v>
    <v>a1q5hw</v>
    <v>Daily</v>
    <v>46057</v>
    <v>46057</v>
    <v>0</v>
    <v>1</v>
    <v>639057600000000000,639059118362837212,0</v>
    <v>0</v>
    <v>a1q5hw</v>
    <v>XNAS:COO</v>
    <v>36</v>
  </rv>
  <rv s="24">
    <v>63</v>
    <v>a1vb5r</v>
    <v>Daily</v>
    <v>46057</v>
    <v>46057</v>
    <v>0</v>
    <v>1</v>
    <v>639057600000000000,639059118377734784,0</v>
    <v>0</v>
    <v>a1vb5r</v>
    <v>XNAS:IDXX</v>
    <v>37</v>
  </rv>
  <rv s="24">
    <v>63</v>
    <v>a1vb5r</v>
    <v>Daily</v>
    <v>46056</v>
    <v>46056</v>
    <v>0</v>
    <v>1</v>
    <v>639056736000000000,639059116450175768,0</v>
    <v>0</v>
    <v>a1vb5r</v>
    <v>XNAS:IDXX</v>
    <v>38</v>
  </rv>
  <rv s="24">
    <v>63</v>
    <v>a1xugh</v>
    <v>Daily</v>
    <v>46057</v>
    <v>46057</v>
    <v>0</v>
    <v>1</v>
    <v>639057600000000000,639059118373144889,0</v>
    <v>0</v>
    <v>a1xugh</v>
    <v>XNYS:MOH</v>
    <v>39</v>
  </rv>
  <rv s="24">
    <v>63</v>
    <v>a1xugh</v>
    <v>Daily</v>
    <v>46056</v>
    <v>46056</v>
    <v>0</v>
    <v>1</v>
    <v>639056736000000000,639059116457238140,0</v>
    <v>0</v>
    <v>a1xugh</v>
    <v>XNYS:MOH</v>
    <v>40</v>
  </rv>
  <rv s="24">
    <v>63</v>
    <v>a1q9c7</v>
    <v>Daily</v>
    <v>46057</v>
    <v>46057</v>
    <v>0</v>
    <v>1</v>
    <v>639057600000000000,639059118389305385,0</v>
    <v>0</v>
    <v>a1q9c7</v>
    <v>XNYS:CPT</v>
    <v>41</v>
  </rv>
  <rv s="24">
    <v>63</v>
    <v>a1q9c7</v>
    <v>Daily</v>
    <v>46056</v>
    <v>46056</v>
    <v>0</v>
    <v>1</v>
    <v>639056736000000000,639059116458553065,0</v>
    <v>0</v>
    <v>a1q9c7</v>
    <v>XNYS:CPT</v>
    <v>42</v>
  </rv>
  <rv s="24">
    <v>63</v>
    <v>a212zr</v>
    <v>Daily</v>
    <v>46056</v>
    <v>46056</v>
    <v>0</v>
    <v>1</v>
    <v>639056736000000000,639059116452947425,0</v>
    <v>0</v>
    <v>a212zr</v>
    <v>XNYS:PNR</v>
    <v>43</v>
  </rv>
  <rv s="24">
    <v>63</v>
    <v>a212zr</v>
    <v>Daily</v>
    <v>46057</v>
    <v>46057</v>
    <v>0</v>
    <v>1</v>
    <v>639057600000000000,639059118380920604,0</v>
    <v>0</v>
    <v>a212zr</v>
    <v>XNYS:PNR</v>
    <v>44</v>
  </rv>
  <rv s="24">
    <v>63</v>
    <v>a1w36h</v>
    <v>Daily</v>
    <v>46057</v>
    <v>46057</v>
    <v>0</v>
    <v>1</v>
    <v>639057600000000000,639059118364394475,0</v>
    <v>0</v>
    <v>a1w36h</v>
    <v>XNYS:J</v>
    <v>45</v>
  </rv>
  <rv s="24">
    <v>63</v>
    <v>a1w36h</v>
    <v>Daily</v>
    <v>46056</v>
    <v>46056</v>
    <v>0</v>
    <v>1</v>
    <v>639056736000000000,639059116460694141,0</v>
    <v>0</v>
    <v>a1w36h</v>
    <v>XNYS:J</v>
    <v>46</v>
  </rv>
  <rv s="24">
    <v>63</v>
    <v>a1x12w</v>
    <v>Daily</v>
    <v>46057</v>
    <v>46057</v>
    <v>0</v>
    <v>1</v>
    <v>639057600000000000,639059118387858423,0</v>
    <v>0</v>
    <v>a1x12w</v>
    <v>XNYS:LNC</v>
    <v>47</v>
  </rv>
  <rv s="24">
    <v>63</v>
    <v>a1x12w</v>
    <v>Daily</v>
    <v>46056</v>
    <v>46056</v>
    <v>0</v>
    <v>1</v>
    <v>639056736000000000,639059116467202021,0</v>
    <v>0</v>
    <v>a1x12w</v>
    <v>XNYS:LNC</v>
    <v>48</v>
  </rv>
  <rv s="24">
    <v>63</v>
    <v>a1yrar</v>
    <v>Daily</v>
    <v>46057</v>
    <v>46057</v>
    <v>0</v>
    <v>1</v>
    <v>639057600000000000,639059118381250751,0</v>
    <v>0</v>
    <v>a1yrar</v>
    <v>XNAS:NTAP</v>
    <v>49</v>
  </rv>
  <rv s="24">
    <v>63</v>
    <v>a1yrar</v>
    <v>Daily</v>
    <v>46056</v>
    <v>46056</v>
    <v>0</v>
    <v>1</v>
    <v>639056736000000000,639059116464563578,0</v>
    <v>0</v>
    <v>a1yrar</v>
    <v>XNAS:NTAP</v>
    <v>50</v>
  </rv>
  <rv s="24">
    <v>63</v>
    <v>a1p55r</v>
    <v>Daily</v>
    <v>46057</v>
    <v>46057</v>
    <v>0</v>
    <v>1</v>
    <v>639057600000000000,639059118381588122,0</v>
    <v>0</v>
    <v>a1p55r</v>
    <v>XNYS:CAG</v>
    <v>51</v>
  </rv>
  <rv s="24">
    <v>63</v>
    <v>a1p55r</v>
    <v>Daily</v>
    <v>46056</v>
    <v>46056</v>
    <v>0</v>
    <v>1</v>
    <v>639056736000000000,639059116460931672,0</v>
    <v>0</v>
    <v>a1p55r</v>
    <v>XNYS:CAG</v>
    <v>52</v>
  </rv>
  <rv s="24">
    <v>63</v>
    <v>a1pffr</v>
    <v>Daily</v>
    <v>46057</v>
    <v>46057</v>
    <v>0</v>
    <v>1</v>
    <v>639057600000000000,639059118370541191,0</v>
    <v>0</v>
    <v>a1pffr</v>
    <v>XNYS:CE</v>
    <v>53</v>
  </rv>
  <rv s="24">
    <v>63</v>
    <v>a1pffr</v>
    <v>Daily</v>
    <v>46056</v>
    <v>46056</v>
    <v>0</v>
    <v>1</v>
    <v>639056736000000000,639059116457787993,0</v>
    <v>0</v>
    <v>a1pffr</v>
    <v>XNYS:CE</v>
    <v>54</v>
  </rv>
  <rv s="24">
    <v>63</v>
    <v>a26adm</v>
    <v>Daily</v>
    <v>46057</v>
    <v>46057</v>
    <v>0</v>
    <v>1</v>
    <v>639057600000000000,639059118380790025,0</v>
    <v>0</v>
    <v>a26adm</v>
    <v>XNAS:XRAY</v>
    <v>55</v>
  </rv>
  <rv s="24">
    <v>63</v>
    <v>a26adm</v>
    <v>Daily</v>
    <v>46056</v>
    <v>46056</v>
    <v>0</v>
    <v>1</v>
    <v>639056736000000000,639059116459394683,0</v>
    <v>0</v>
    <v>a26adm</v>
    <v>XNAS:XRAY</v>
    <v>56</v>
  </rv>
  <rv s="24">
    <v>63</v>
    <v>a1xaar</v>
    <v>Daily</v>
    <v>46057</v>
    <v>46057</v>
    <v>0</v>
    <v>1</v>
    <v>639057600000000000,639059118373379722,0</v>
    <v>0</v>
    <v>a1xaar</v>
    <v>XNAS:MAR</v>
    <v>57</v>
  </rv>
  <rv s="24">
    <v>63</v>
    <v>a1xaar</v>
    <v>Daily</v>
    <v>46056</v>
    <v>46056</v>
    <v>0</v>
    <v>1</v>
    <v>639056736000000000,639059116449660923,0</v>
    <v>0</v>
    <v>a1xaar</v>
    <v>XNAS:MAR</v>
    <v>58</v>
  </rv>
  <rv s="24">
    <v>63</v>
    <v>a1vjbh</v>
    <v>Daily</v>
    <v>46057</v>
    <v>46057</v>
    <v>0</v>
    <v>1</v>
    <v>639057600000000000,639059118364911127,0</v>
    <v>0</v>
    <v>a1vjbh</v>
    <v>XNAS:INCY</v>
    <v>59</v>
  </rv>
  <rv s="24">
    <v>63</v>
    <v>a1vjbh</v>
    <v>Daily</v>
    <v>46056</v>
    <v>46056</v>
    <v>0</v>
    <v>1</v>
    <v>639056736000000000,639059116462565399,0</v>
    <v>0</v>
    <v>a1vjbh</v>
    <v>XNAS:INCY</v>
    <v>60</v>
  </rv>
  <rv s="24">
    <v>63</v>
    <v>a21ua2</v>
    <v>Daily</v>
    <v>46056</v>
    <v>46056</v>
    <v>0</v>
    <v>1</v>
    <v>639056736000000000,639059116465061552,0</v>
    <v>0</v>
    <v>a21ua2</v>
    <v>XNAS:REG</v>
    <v>61</v>
  </rv>
  <rv s="24">
    <v>63</v>
    <v>a21ua2</v>
    <v>Daily</v>
    <v>46057</v>
    <v>46057</v>
    <v>0</v>
    <v>1</v>
    <v>639057600000000000,639059118366459237,0</v>
    <v>0</v>
    <v>a21ua2</v>
    <v>XNAS:REG</v>
    <v>62</v>
  </rv>
  <rv s="24">
    <v>63</v>
    <v>a1r177</v>
    <v>Daily</v>
    <v>46057</v>
    <v>46057</v>
    <v>0</v>
    <v>1</v>
    <v>639057600000000000,639059118387656667,0</v>
    <v>0</v>
    <v>a1r177</v>
    <v>XNYS:DGX</v>
    <v>63</v>
  </rv>
  <rv s="24">
    <v>63</v>
    <v>a1r177</v>
    <v>Daily</v>
    <v>46056</v>
    <v>46056</v>
    <v>0</v>
    <v>1</v>
    <v>639056736000000000,639059116466615741,0</v>
    <v>0</v>
    <v>a1r177</v>
    <v>XNYS:DGX</v>
    <v>64</v>
  </rv>
  <rv s="24">
    <v>63</v>
    <v>a22rcw</v>
    <v>Daily</v>
    <v>46057</v>
    <v>46057</v>
    <v>0</v>
    <v>1</v>
    <v>639057600000000000,639059118385144484,0</v>
    <v>0</v>
    <v>a22rcw</v>
    <v>XNYS:SEE</v>
    <v>65</v>
  </rv>
  <rv s="24">
    <v>63</v>
    <v>a22rcw</v>
    <v>Daily</v>
    <v>46056</v>
    <v>46056</v>
    <v>0</v>
    <v>1</v>
    <v>639056736000000000,639059116453436298,0</v>
    <v>0</v>
    <v>a22rcw</v>
    <v>XNYS:SEE</v>
    <v>66</v>
  </rv>
  <rv s="24">
    <v>63</v>
    <v>a1ww5r</v>
    <v>Daily</v>
    <v>46056</v>
    <v>46056</v>
    <v>0</v>
    <v>1</v>
    <v>639056736000000000,639059116456494721,0</v>
    <v>0</v>
    <v>a1ww5r</v>
    <v>XNYS:LH</v>
    <v>67</v>
  </rv>
  <rv s="24">
    <v>63</v>
    <v>a1ww5r</v>
    <v>Daily</v>
    <v>46057</v>
    <v>46057</v>
    <v>0</v>
    <v>1</v>
    <v>639057600000000000,639059118379585234,0</v>
    <v>0</v>
    <v>a1ww5r</v>
    <v>XNYS:LH</v>
    <v>68</v>
  </rv>
  <rv s="24">
    <v>63</v>
    <v>a1z11h</v>
    <v>Daily</v>
    <v>46057</v>
    <v>46057</v>
    <v>0</v>
    <v>1</v>
    <v>639057600000000000,639059118375682754,0</v>
    <v>0</v>
    <v>a1z11h</v>
    <v>XNYS:O</v>
    <v>69</v>
  </rv>
  <rv s="24">
    <v>63</v>
    <v>a1z11h</v>
    <v>Daily</v>
    <v>46056</v>
    <v>46056</v>
    <v>0</v>
    <v>1</v>
    <v>639056736000000000,639059116450429104,0</v>
    <v>0</v>
    <v>a1z11h</v>
    <v>XNYS:O</v>
    <v>70</v>
  </rv>
  <rv s="24">
    <v>63</v>
    <v>a21wsm</v>
    <v>Daily</v>
    <v>46056</v>
    <v>46056</v>
    <v>0</v>
    <v>1</v>
    <v>639056736000000000,639059116468716217,0</v>
    <v>0</v>
    <v>a21wsm</v>
    <v>XNYS:RF</v>
    <v>71</v>
  </rv>
  <rv s="24">
    <v>63</v>
    <v>a21wsm</v>
    <v>Daily</v>
    <v>46057</v>
    <v>46057</v>
    <v>0</v>
    <v>1</v>
    <v>639057600000000000,639059118385316915,0</v>
    <v>0</v>
    <v>a21wsm</v>
    <v>XNYS:RF</v>
    <v>72</v>
  </rv>
  <rv s="24">
    <v>65</v>
    <v>aayym7</v>
    <v>Daily</v>
    <v>46056</v>
    <v>46056</v>
    <v>0</v>
    <v>1</v>
    <v>639056736000000000,639059116456738761,0</v>
    <v>0</v>
    <v>aayym7</v>
    <v>XTSE:K</v>
    <v>73</v>
  </rv>
  <rv s="24">
    <v>65</v>
    <v>aayym7</v>
    <v>Daily</v>
    <v>46057</v>
    <v>46057</v>
    <v>0</v>
    <v>1</v>
    <v>639057600000000000,639059118363876220,0</v>
    <v>0</v>
    <v>aayym7</v>
    <v>XTSE:K</v>
    <v>74</v>
  </rv>
  <rv s="24">
    <v>63</v>
    <v>a21d7w</v>
    <v>Daily</v>
    <v>46057</v>
    <v>46057</v>
    <v>0</v>
    <v>1</v>
    <v>639057600000000000,639059118383603694,0</v>
    <v>0</v>
    <v>a21d7w</v>
    <v>XNAS:PTC</v>
    <v>75</v>
  </rv>
  <rv s="24">
    <v>63</v>
    <v>a21d7w</v>
    <v>Daily</v>
    <v>46056</v>
    <v>46056</v>
    <v>0</v>
    <v>1</v>
    <v>639056736000000000,639059116455758997,0</v>
    <v>0</v>
    <v>a21d7w</v>
    <v>XNAS:PTC</v>
    <v>76</v>
  </rv>
  <rv s="24">
    <v>66</v>
    <v>aoddtc</v>
    <v>Daily</v>
    <v>46056</v>
    <v>46056</v>
    <v>0</v>
    <v>1</v>
    <v>639056736000000000,639059116464033776,0</v>
    <v>0</v>
    <v>aoddtc</v>
    <v>XLON:SEE</v>
    <v>77</v>
  </rv>
  <rv s="24">
    <v>66</v>
    <v>aoddtc</v>
    <v>Daily</v>
    <v>46057</v>
    <v>46057</v>
    <v>0</v>
    <v>1</v>
    <v>639057600000000000,639059118380723798,0</v>
    <v>0</v>
    <v>aoddtc</v>
    <v>XLON:SEE</v>
    <v>78</v>
  </rv>
  <rv s="24">
    <v>63</v>
    <v>a1pvu2</v>
    <v>Daily</v>
    <v>46056</v>
    <v>46056</v>
    <v>0</v>
    <v>1</v>
    <v>639056736000000000,639059116453792657,0</v>
    <v>0</v>
    <v>a1pvu2</v>
    <v>XNYS:CLX</v>
    <v>79</v>
  </rv>
  <rv s="24">
    <v>63</v>
    <v>a1pvu2</v>
    <v>Daily</v>
    <v>46057</v>
    <v>46057</v>
    <v>0</v>
    <v>1</v>
    <v>639057600000000000,639059118375599258,0</v>
    <v>0</v>
    <v>a1pvu2</v>
    <v>XNYS:CLX</v>
    <v>80</v>
  </rv>
  <rv s="24">
    <v>63</v>
    <v>a1ug1h</v>
    <v>Daily</v>
    <v>46057</v>
    <v>46057</v>
    <v>0</v>
    <v>1</v>
    <v>639057600000000000,639059118390759072,0</v>
    <v>0</v>
    <v>a1ug1h</v>
    <v>XNAS:HAS</v>
    <v>81</v>
  </rv>
  <rv s="24">
    <v>63</v>
    <v>a1ug1h</v>
    <v>Daily</v>
    <v>46056</v>
    <v>46056</v>
    <v>0</v>
    <v>1</v>
    <v>639056736000000000,639059116463507420,0</v>
    <v>0</v>
    <v>a1ug1h</v>
    <v>XNAS:HAS</v>
    <v>82</v>
  </rv>
  <rv s="24">
    <v>63</v>
    <v>a1o1jc</v>
    <v>Daily</v>
    <v>46056</v>
    <v>46056</v>
    <v>0</v>
    <v>1</v>
    <v>639056736000000000,639059116457625479,0</v>
    <v>0</v>
    <v>a1o1jc</v>
    <v>XNYS:AWK</v>
    <v>83</v>
  </rv>
  <rv s="24">
    <v>63</v>
    <v>a1o1jc</v>
    <v>Daily</v>
    <v>46057</v>
    <v>46057</v>
    <v>0</v>
    <v>1</v>
    <v>639057600000000000,639059118375119972,0</v>
    <v>0</v>
    <v>a1o1jc</v>
    <v>XNYS:AWK</v>
    <v>84</v>
  </rv>
  <rv s="24">
    <v>63</v>
    <v>a1ztlh</v>
    <v>Daily</v>
    <v>46056</v>
    <v>46056</v>
    <v>0</v>
    <v>1</v>
    <v>639056736000000000,639059116436610364,0</v>
    <v>0</v>
    <v>a1ztlh</v>
    <v>XNYS:PGR</v>
    <v>85</v>
  </rv>
  <rv s="24">
    <v>63</v>
    <v>a1ztlh</v>
    <v>Daily</v>
    <v>46057</v>
    <v>46057</v>
    <v>0</v>
    <v>1</v>
    <v>639057600000000000,639059118359937327,0</v>
    <v>0</v>
    <v>a1ztlh</v>
    <v>XNYS:PGR</v>
    <v>86</v>
  </rv>
  <rv s="24">
    <v>63</v>
    <v>a1rgur</v>
    <v>Daily</v>
    <v>46057</v>
    <v>46057</v>
    <v>0</v>
    <v>1</v>
    <v>639057600000000000,639059118379349654,0</v>
    <v>0</v>
    <v>a1rgur</v>
    <v>XNYS:DXC</v>
    <v>87</v>
  </rv>
  <rv s="24">
    <v>63</v>
    <v>a1rgur</v>
    <v>Daily</v>
    <v>46056</v>
    <v>46056</v>
    <v>0</v>
    <v>1</v>
    <v>639056736000000000,639059116457575540,0</v>
    <v>0</v>
    <v>a1rgur</v>
    <v>XNYS:DXC</v>
    <v>88</v>
  </rv>
  <rv s="24">
    <v>63</v>
    <v>a1usr7</v>
    <v>Daily</v>
    <v>46057</v>
    <v>46057</v>
    <v>0</v>
    <v>1</v>
    <v>639057600000000000,639059118363358508,0</v>
    <v>0</v>
    <v>a1usr7</v>
    <v>XNAS:HOLX</v>
    <v>89</v>
  </rv>
  <rv s="24">
    <v>63</v>
    <v>a1usr7</v>
    <v>Daily</v>
    <v>46056</v>
    <v>46056</v>
    <v>0</v>
    <v>1</v>
    <v>639056736000000000,639059116465581665,0</v>
    <v>0</v>
    <v>a1usr7</v>
    <v>XNAS:HOLX</v>
    <v>90</v>
  </rv>
  <rv s="24">
    <v>63</v>
    <v>a1wjkr</v>
    <v>Daily</v>
    <v>46057</v>
    <v>46057</v>
    <v>0</v>
    <v>1</v>
    <v>639057600000000000,639059118361636453,0</v>
    <v>0</v>
    <v>a1wjkr</v>
    <v>XNAS:KLAC</v>
    <v>91</v>
  </rv>
  <rv s="24">
    <v>63</v>
    <v>a1wjkr</v>
    <v>Daily</v>
    <v>46056</v>
    <v>46056</v>
    <v>0</v>
    <v>1</v>
    <v>639056736000000000,639059116437037555,0</v>
    <v>0</v>
    <v>a1wjkr</v>
    <v>XNAS:KLAC</v>
    <v>92</v>
  </rv>
  <rv s="24">
    <v>63</v>
    <v>a1wifr</v>
    <v>Daily</v>
    <v>46057</v>
    <v>46057</v>
    <v>0</v>
    <v>1</v>
    <v>639057600000000000,639059118387673965,0</v>
    <v>0</v>
    <v>a1wifr</v>
    <v>XNYS:KIM</v>
    <v>93</v>
  </rv>
  <rv s="24">
    <v>63</v>
    <v>a1wifr</v>
    <v>Daily</v>
    <v>46056</v>
    <v>46056</v>
    <v>0</v>
    <v>1</v>
    <v>639056736000000000,639059116453104226,0</v>
    <v>0</v>
    <v>a1wifr</v>
    <v>XNYS:KIM</v>
    <v>94</v>
  </rv>
  <rv s="24">
    <v>63</v>
    <v>a1pl8m</v>
    <v>Daily</v>
    <v>46057</v>
    <v>46057</v>
    <v>0</v>
    <v>1</v>
    <v>639057600000000000,639059118375283728,0</v>
    <v>0</v>
    <v>a1pl8m</v>
    <v>XNYS:CHD</v>
    <v>95</v>
  </rv>
  <rv s="24">
    <v>63</v>
    <v>a1pl8m</v>
    <v>Daily</v>
    <v>46056</v>
    <v>46056</v>
    <v>0</v>
    <v>1</v>
    <v>639056736000000000,639059116455589725,0</v>
    <v>0</v>
    <v>a1pl8m</v>
    <v>XNYS:CHD</v>
    <v>96</v>
  </rv>
  <rv s="24">
    <v>67</v>
    <v>ae7t3m</v>
    <v>Daily</v>
    <v>46056</v>
    <v>46056</v>
    <v>0</v>
    <v>1</v>
    <v>639056736000000000,639059116462009958,0</v>
    <v>0</v>
    <v>ae7t3m</v>
    <v>XPAR:ATO</v>
    <v>97</v>
  </rv>
  <rv s="24">
    <v>67</v>
    <v>ae7t3m</v>
    <v>Daily</v>
    <v>46057</v>
    <v>46057</v>
    <v>0</v>
    <v>1</v>
    <v>639057600000000000,639059118383759208,0</v>
    <v>0</v>
    <v>ae7t3m</v>
    <v>XPAR:ATO</v>
    <v>98</v>
  </rv>
  <rv s="24">
    <v>63</v>
    <v>a25omw</v>
    <v>Daily</v>
    <v>46056</v>
    <v>46056</v>
    <v>0</v>
    <v>1</v>
    <v>639056736000000000,639059116437978237,0</v>
    <v>0</v>
    <v>a25omw</v>
    <v>XNYS:WAB</v>
    <v>99</v>
  </rv>
  <rv s="24">
    <v>63</v>
    <v>a25omw</v>
    <v>Daily</v>
    <v>46057</v>
    <v>46057</v>
    <v>0</v>
    <v>1</v>
    <v>639057600000000000,639059118362396388,0</v>
    <v>0</v>
    <v>a25omw</v>
    <v>XNYS:WAB</v>
    <v>100</v>
  </rv>
  <rv s="24">
    <v>63</v>
    <v>a1xlk2</v>
    <v>Daily</v>
    <v>46056</v>
    <v>46056</v>
    <v>0</v>
    <v>1</v>
    <v>639056736000000000,639059116455096831,0</v>
    <v>0</v>
    <v>a1xlk2</v>
    <v>XNYS:MHK</v>
    <v>101</v>
  </rv>
  <rv s="24">
    <v>63</v>
    <v>a1xlk2</v>
    <v>Daily</v>
    <v>46057</v>
    <v>46057</v>
    <v>0</v>
    <v>1</v>
    <v>639057600000000000,639059118387790901,0</v>
    <v>0</v>
    <v>a1xlk2</v>
    <v>XNYS:MHK</v>
    <v>102</v>
  </rv>
  <rv s="24">
    <v>63</v>
    <v>a1xyjc</v>
    <v>Daily</v>
    <v>46056</v>
    <v>46056</v>
    <v>0</v>
    <v>1</v>
    <v>639056736000000000,639059116436685678,0</v>
    <v>0</v>
    <v>a1xyjc</v>
    <v>XNYS:MS</v>
    <v>103</v>
  </rv>
  <rv s="24">
    <v>63</v>
    <v>a1xyjc</v>
    <v>Daily</v>
    <v>46057</v>
    <v>46057</v>
    <v>0</v>
    <v>1</v>
    <v>639057600000000000,639059118360323906,0</v>
    <v>0</v>
    <v>a1xyjc</v>
    <v>XNYS:MS</v>
    <v>104</v>
  </rv>
  <rv s="24">
    <v>63</v>
    <v>a2319c</v>
    <v>Daily</v>
    <v>46056</v>
    <v>46056</v>
    <v>0</v>
    <v>1</v>
    <v>639056736000000000,639059116454599520,0</v>
    <v>0</v>
    <v>a2319c</v>
    <v>XNYS:SJM</v>
    <v>105</v>
  </rv>
  <rv s="24">
    <v>63</v>
    <v>a2319c</v>
    <v>Daily</v>
    <v>46057</v>
    <v>46057</v>
    <v>0</v>
    <v>1</v>
    <v>639057600000000000,639059118373522280,0</v>
    <v>0</v>
    <v>a2319c</v>
    <v>XNYS:SJM</v>
    <v>106</v>
  </rv>
  <rv s="24">
    <v>63</v>
    <v>a1sifr</v>
    <v>Daily</v>
    <v>46057</v>
    <v>46057</v>
    <v>0</v>
    <v>1</v>
    <v>639057600000000000,639059118370916642,0</v>
    <v>0</v>
    <v>a1sifr</v>
    <v>XNAS:EXPE</v>
    <v>107</v>
  </rv>
  <rv s="24">
    <v>63</v>
    <v>a1sifr</v>
    <v>Daily</v>
    <v>46056</v>
    <v>46056</v>
    <v>0</v>
    <v>1</v>
    <v>639056736000000000,639059116453056549,0</v>
    <v>0</v>
    <v>a1sifr</v>
    <v>XNAS:EXPE</v>
    <v>108</v>
  </rv>
  <rv s="24">
    <v>63</v>
    <v>a1nahw</v>
    <v>Daily</v>
    <v>46056</v>
    <v>46056</v>
    <v>0</v>
    <v>1</v>
    <v>639056736000000000,639059116458677711,0</v>
    <v>0</v>
    <v>a1nahw</v>
    <v>XNYS:ALK</v>
    <v>109</v>
  </rv>
  <rv s="24">
    <v>63</v>
    <v>a1nahw</v>
    <v>Daily</v>
    <v>46057</v>
    <v>46057</v>
    <v>0</v>
    <v>1</v>
    <v>639057600000000000,639059118380948775,0</v>
    <v>0</v>
    <v>a1nahw</v>
    <v>XNYS:ALK</v>
    <v>110</v>
  </rv>
  <rv s="24">
    <v>63</v>
    <v>a1p58m</v>
    <v>Daily</v>
    <v>46056</v>
    <v>46056</v>
    <v>0</v>
    <v>1</v>
    <v>639056736000000000,639059116452616623,0</v>
    <v>0</v>
    <v>a1p58m</v>
    <v>XNYS:CAH</v>
    <v>111</v>
  </rv>
  <rv s="24">
    <v>63</v>
    <v>a1p58m</v>
    <v>Daily</v>
    <v>46057</v>
    <v>46057</v>
    <v>0</v>
    <v>1</v>
    <v>639057600000000000,639059118385278191,0</v>
    <v>0</v>
    <v>a1p58m</v>
    <v>XNYS:CAH</v>
    <v>112</v>
  </rv>
  <rv s="24">
    <v>63</v>
    <v>a1x7oc</v>
    <v>Daily</v>
    <v>46056</v>
    <v>46056</v>
    <v>0</v>
    <v>1</v>
    <v>639056736000000000,639059116467655134,0</v>
    <v>0</v>
    <v>a1x7oc</v>
    <v>XNYS:LW</v>
    <v>113</v>
  </rv>
  <rv s="24">
    <v>63</v>
    <v>a1x7oc</v>
    <v>Daily</v>
    <v>46057</v>
    <v>46057</v>
    <v>0</v>
    <v>1</v>
    <v>639057600000000000,639059118376075486,0</v>
    <v>0</v>
    <v>a1x7oc</v>
    <v>XNYS:LW</v>
    <v>114</v>
  </rv>
  <rv s="24">
    <v>63</v>
    <v>a1udz2</v>
    <v>Daily</v>
    <v>46056</v>
    <v>46056</v>
    <v>0</v>
    <v>1</v>
    <v>639056736000000000,639059116450450349,0</v>
    <v>0</v>
    <v>a1udz2</v>
    <v>XNYS:GWW</v>
    <v>115</v>
  </rv>
  <rv s="24">
    <v>63</v>
    <v>a1udz2</v>
    <v>Daily</v>
    <v>46057</v>
    <v>46057</v>
    <v>0</v>
    <v>1</v>
    <v>639057600000000000,639059118376162443,0</v>
    <v>0</v>
    <v>a1udz2</v>
    <v>XNYS:GWW</v>
    <v>116</v>
  </rv>
  <rv s="24">
    <v>63</v>
    <v>a222gh</v>
    <v>Daily</v>
    <v>46056</v>
    <v>46056</v>
    <v>0</v>
    <v>1</v>
    <v>639056736000000000,639059116452451905,0</v>
    <v>0</v>
    <v>a222gh</v>
    <v>XNYS:RL</v>
    <v>117</v>
  </rv>
  <rv s="24">
    <v>63</v>
    <v>a222gh</v>
    <v>Daily</v>
    <v>46057</v>
    <v>46057</v>
    <v>0</v>
    <v>1</v>
    <v>639057600000000000,639059118377372181,0</v>
    <v>0</v>
    <v>a222gh</v>
    <v>XNYS:RL</v>
    <v>118</v>
  </rv>
  <rv s="24">
    <v>63</v>
    <v>a1mybh</v>
    <v>Daily</v>
    <v>46056</v>
    <v>46056</v>
    <v>0</v>
    <v>1</v>
    <v>639056736000000000,639059116445863836,0</v>
    <v>0</v>
    <v>a1mybh</v>
    <v>XNAS:AEP</v>
    <v>119</v>
  </rv>
  <rv s="24">
    <v>63</v>
    <v>a1mybh</v>
    <v>Daily</v>
    <v>46057</v>
    <v>46057</v>
    <v>0</v>
    <v>1</v>
    <v>639057600000000000,639059118363326933,0</v>
    <v>0</v>
    <v>a1mybh</v>
    <v>XNAS:AEP</v>
    <v>120</v>
  </rv>
  <rv s="24">
    <v>63</v>
    <v>a1wksm</v>
    <v>Daily</v>
    <v>46057</v>
    <v>46057</v>
    <v>0</v>
    <v>1</v>
    <v>639057600000000000,639059118375917461,0</v>
    <v>0</v>
    <v>a1wksm</v>
    <v>XNYS:KMX</v>
    <v>121</v>
  </rv>
  <rv s="24">
    <v>63</v>
    <v>a1wksm</v>
    <v>Daily</v>
    <v>46056</v>
    <v>46056</v>
    <v>0</v>
    <v>1</v>
    <v>639056736000000000,639059116454893666,0</v>
    <v>0</v>
    <v>a1wksm</v>
    <v>XNYS:KMX</v>
    <v>122</v>
  </rv>
  <rv s="24">
    <v>63</v>
    <v>a1mwoc</v>
    <v>Daily</v>
    <v>46057</v>
    <v>46057</v>
    <v>0</v>
    <v>1</v>
    <v>639057600000000000,639059118375216994,0</v>
    <v>0</v>
    <v>a1mwoc</v>
    <v>XNAS:ADSK</v>
    <v>123</v>
  </rv>
  <rv s="24">
    <v>63</v>
    <v>a1mwoc</v>
    <v>Daily</v>
    <v>46056</v>
    <v>46056</v>
    <v>0</v>
    <v>1</v>
    <v>639056736000000000,639059116450406710,0</v>
    <v>0</v>
    <v>a1mwoc</v>
    <v>XNAS:ADSK</v>
    <v>100</v>
  </rv>
  <rv s="24">
    <v>63</v>
    <v>b17tur</v>
    <v>Daily</v>
    <v>46057</v>
    <v>46057</v>
    <v>0</v>
    <v>1</v>
    <v>639057600000000000,639059118377294496,0</v>
    <v>0</v>
    <v>b17tur</v>
    <v>XNAS:EVRG</v>
    <v>124</v>
  </rv>
  <rv s="24">
    <v>63</v>
    <v>b17tur</v>
    <v>Daily</v>
    <v>46056</v>
    <v>46056</v>
    <v>0</v>
    <v>1</v>
    <v>639056736000000000,639059116453770748,0</v>
    <v>0</v>
    <v>b17tur</v>
    <v>XNAS:EVRG</v>
    <v>125</v>
  </rv>
  <rv s="24">
    <v>63</v>
    <v>a1ydqh</v>
    <v>Daily</v>
    <v>46056</v>
    <v>46056</v>
    <v>0</v>
    <v>1</v>
    <v>639056736000000000,639059116454526726,0</v>
    <v>0</v>
    <v>a1ydqh</v>
    <v>XNAS:NDSN</v>
    <v>126</v>
  </rv>
  <rv s="24">
    <v>63</v>
    <v>a1ydqh</v>
    <v>Daily</v>
    <v>46057</v>
    <v>46057</v>
    <v>0</v>
    <v>1</v>
    <v>639057600000000000,639059118375765305,0</v>
    <v>0</v>
    <v>a1ydqh</v>
    <v>XNAS:NDSN</v>
    <v>127</v>
  </rv>
  <rv s="24">
    <v>63</v>
    <v>a1stjc</v>
    <v>Daily</v>
    <v>46057</v>
    <v>46057</v>
    <v>0</v>
    <v>1</v>
    <v>639057600000000000,639059118382391340,0</v>
    <v>0</v>
    <v>a1stjc</v>
    <v>XNAS:FFIV</v>
    <v>128</v>
  </rv>
  <rv s="24">
    <v>63</v>
    <v>a1stjc</v>
    <v>Daily</v>
    <v>46056</v>
    <v>46056</v>
    <v>0</v>
    <v>1</v>
    <v>639056736000000000,639059116454844102,0</v>
    <v>0</v>
    <v>a1stjc</v>
    <v>XNAS:FFIV</v>
    <v>129</v>
  </rv>
  <rv s="24">
    <v>63</v>
    <v>a1yoa2</v>
    <v>Daily</v>
    <v>46057</v>
    <v>46057</v>
    <v>0</v>
    <v>1</v>
    <v>639057600000000000,639059118369412445,0</v>
    <v>0</v>
    <v>a1yoa2</v>
    <v>XNYS:NOW</v>
    <v>130</v>
  </rv>
  <rv s="24">
    <v>63</v>
    <v>a1yoa2</v>
    <v>Daily</v>
    <v>46056</v>
    <v>46056</v>
    <v>0</v>
    <v>1</v>
    <v>639056736000000000,639059116448024336,0</v>
    <v>0</v>
    <v>a1yoa2</v>
    <v>XNYS:NOW</v>
    <v>131</v>
  </rv>
  <rv s="24">
    <v>63</v>
    <v>a1ydc7</v>
    <v>Daily</v>
    <v>46056</v>
    <v>46056</v>
    <v>0</v>
    <v>1</v>
    <v>639056736000000000,639059116454162736,0</v>
    <v>0</v>
    <v>a1ydc7</v>
    <v>XNAS:NDAQ</v>
    <v>132</v>
  </rv>
  <rv s="24">
    <v>63</v>
    <v>a1ydc7</v>
    <v>Daily</v>
    <v>46057</v>
    <v>46057</v>
    <v>0</v>
    <v>1</v>
    <v>639057600000000000,639059118372408914,0</v>
    <v>0</v>
    <v>a1ydc7</v>
    <v>XNAS:NDAQ</v>
    <v>133</v>
  </rv>
  <rv s="24">
    <v>63</v>
    <v>a2655r</v>
    <v>Daily</v>
    <v>46056</v>
    <v>46056</v>
    <v>0</v>
    <v>1</v>
    <v>639056736000000000,639059116459355631,0</v>
    <v>0</v>
    <v>a2655r</v>
    <v>XNAS:WYNN</v>
    <v>134</v>
  </rv>
  <rv s="24">
    <v>63</v>
    <v>a2655r</v>
    <v>Daily</v>
    <v>46057</v>
    <v>46057</v>
    <v>0</v>
    <v>1</v>
    <v>639057600000000000,639059118374402286,0</v>
    <v>0</v>
    <v>a2655r</v>
    <v>XNAS:WYNN</v>
    <v>135</v>
  </rv>
  <rv s="24">
    <v>63</v>
    <v>a21zf2</v>
    <v>Daily</v>
    <v>46056</v>
    <v>46056</v>
    <v>0</v>
    <v>1</v>
    <v>639056736000000000,639059116458705490,0</v>
    <v>0</v>
    <v>a21zf2</v>
    <v>XNYS:RHI</v>
    <v>136</v>
  </rv>
  <rv s="24">
    <v>63</v>
    <v>a21zf2</v>
    <v>Daily</v>
    <v>46057</v>
    <v>46057</v>
    <v>0</v>
    <v>1</v>
    <v>639057600000000000,639059118378384959,0</v>
    <v>0</v>
    <v>a21zf2</v>
    <v>XNYS:RHI</v>
    <v>137</v>
  </rv>
  <rv s="24">
    <v>63</v>
    <v>a218k2</v>
    <v>Daily</v>
    <v>46057</v>
    <v>46057</v>
    <v>0</v>
    <v>1</v>
    <v>639057600000000000,639059118390095440,0</v>
    <v>0</v>
    <v>a218k2</v>
    <v>XNYS:PRU</v>
    <v>138</v>
  </rv>
  <rv s="24">
    <v>63</v>
    <v>a218k2</v>
    <v>Daily</v>
    <v>46056</v>
    <v>46056</v>
    <v>0</v>
    <v>1</v>
    <v>639056736000000000,639059116450154849,0</v>
    <v>0</v>
    <v>a218k2</v>
    <v>XNYS:PRU</v>
    <v>139</v>
  </rv>
  <rv s="24">
    <v>63</v>
    <v>a1tym7</v>
    <v>Daily</v>
    <v>46057</v>
    <v>46057</v>
    <v>0</v>
    <v>1</v>
    <v>639057600000000000,639059118385218354,0</v>
    <v>0</v>
    <v>a1tym7</v>
    <v>XNYS:GLW</v>
    <v>140</v>
  </rv>
  <rv s="24">
    <v>63</v>
    <v>a1tym7</v>
    <v>Daily</v>
    <v>46056</v>
    <v>46056</v>
    <v>0</v>
    <v>1</v>
    <v>639056736000000000,639059116450119173,0</v>
    <v>0</v>
    <v>a1tym7</v>
    <v>XNYS:GLW</v>
    <v>141</v>
  </rv>
  <rv s="24">
    <v>63</v>
    <v>a1rlu2</v>
    <v>Daily</v>
    <v>46057</v>
    <v>46057</v>
    <v>0</v>
    <v>1</v>
    <v>639057600000000000,639059118363059798,0</v>
    <v>0</v>
    <v>a1rlu2</v>
    <v>XNYS:ECL</v>
    <v>142</v>
  </rv>
  <rv s="24">
    <v>63</v>
    <v>a1rlu2</v>
    <v>Daily</v>
    <v>46056</v>
    <v>46056</v>
    <v>0</v>
    <v>1</v>
    <v>639056736000000000,639059116437512530,0</v>
    <v>0</v>
    <v>a1rlu2</v>
    <v>XNYS:ECL</v>
    <v>143</v>
  </rv>
  <rv s="24">
    <v>63</v>
    <v>a1squ2</v>
    <v>Daily</v>
    <v>46057</v>
    <v>46057</v>
    <v>0</v>
    <v>1</v>
    <v>639057600000000000,639059118370741236,0</v>
    <v>0</v>
    <v>a1squ2</v>
    <v>XNYS:FE</v>
    <v>144</v>
  </rv>
  <rv s="24">
    <v>63</v>
    <v>a1squ2</v>
    <v>Daily</v>
    <v>46056</v>
    <v>46056</v>
    <v>0</v>
    <v>1</v>
    <v>639056736000000000,639059116440202087,0</v>
    <v>0</v>
    <v>a1squ2</v>
    <v>XNYS:FE</v>
    <v>145</v>
  </rv>
  <rv s="24">
    <v>63</v>
    <v>a1q1tc</v>
    <v>Daily</v>
    <v>46056</v>
    <v>46056</v>
    <v>0</v>
    <v>1</v>
    <v>639056736000000000,639059116438224507,0</v>
    <v>0</v>
    <v>a1q1tc</v>
    <v>XNYS:CNP</v>
    <v>146</v>
  </rv>
  <rv s="24">
    <v>63</v>
    <v>a1q1tc</v>
    <v>Daily</v>
    <v>46057</v>
    <v>46057</v>
    <v>0</v>
    <v>1</v>
    <v>639057600000000000,639059118362756470,0</v>
    <v>0</v>
    <v>a1q1tc</v>
    <v>XNYS:CNP</v>
    <v>147</v>
  </rv>
  <rv s="24">
    <v>63</v>
    <v>a25xm7</v>
    <v>Daily</v>
    <v>46057</v>
    <v>46057</v>
    <v>0</v>
    <v>1</v>
    <v>639057600000000000,639059118377445177,0</v>
    <v>0</v>
    <v>a25xm7</v>
    <v>XNYS:WMB</v>
    <v>148</v>
  </rv>
  <rv s="24">
    <v>63</v>
    <v>a25xm7</v>
    <v>Daily</v>
    <v>46056</v>
    <v>46056</v>
    <v>0</v>
    <v>1</v>
    <v>639056736000000000,639059116450087910,0</v>
    <v>0</v>
    <v>a25xm7</v>
    <v>XNYS:WMB</v>
    <v>149</v>
  </rv>
  <rv s="24">
    <v>63</v>
    <v>a1shjc</v>
    <v>Daily</v>
    <v>46057</v>
    <v>46057</v>
    <v>0</v>
    <v>1</v>
    <v>639057600000000000,639059118378992167,0</v>
    <v>0</v>
    <v>a1shjc</v>
    <v>XNAS:EXC</v>
    <v>150</v>
  </rv>
  <rv s="24">
    <v>63</v>
    <v>a1shjc</v>
    <v>Daily</v>
    <v>46056</v>
    <v>46056</v>
    <v>0</v>
    <v>1</v>
    <v>639056736000000000,639059116450056861,0</v>
    <v>0</v>
    <v>a1shjc</v>
    <v>XNAS:EXC</v>
    <v>151</v>
  </rv>
  <rv s="24">
    <v>63</v>
    <v>a1ser7</v>
    <v>Daily</v>
    <v>46056</v>
    <v>46056</v>
    <v>0</v>
    <v>1</v>
    <v>639056736000000000,639059116449943212,0</v>
    <v>0</v>
    <v>a1ser7</v>
    <v>XNYS:EW</v>
    <v>152</v>
  </rv>
  <rv s="24">
    <v>63</v>
    <v>a1ser7</v>
    <v>Daily</v>
    <v>46057</v>
    <v>46057</v>
    <v>0</v>
    <v>1</v>
    <v>639057600000000000,639059118377107430,0</v>
    <v>0</v>
    <v>a1ser7</v>
    <v>XNYS:EW</v>
    <v>153</v>
  </rv>
  <rv s="24">
    <v>63</v>
    <v>a1yx9c</v>
    <v>Daily</v>
    <v>46057</v>
    <v>46057</v>
    <v>0</v>
    <v>1</v>
    <v>639057600000000000,639059118382418545,0</v>
    <v>0</v>
    <v>a1yx9c</v>
    <v>XNAS:NWSA</v>
    <v>154</v>
  </rv>
  <rv s="24">
    <v>63</v>
    <v>a1yx9c</v>
    <v>Daily</v>
    <v>46056</v>
    <v>46056</v>
    <v>0</v>
    <v>1</v>
    <v>639056736000000000,639059116459784349,0</v>
    <v>0</v>
    <v>a1yx9c</v>
    <v>XNAS:NWSA</v>
    <v>155</v>
  </rv>
  <rv s="24">
    <v>63</v>
    <v>a1q3jc</v>
    <v>Daily</v>
    <v>46056</v>
    <v>46056</v>
    <v>0</v>
    <v>1</v>
    <v>639056736000000000,639059116450363043,0</v>
    <v>0</v>
    <v>a1q3jc</v>
    <v>XNYS:COF</v>
    <v>156</v>
  </rv>
  <rv s="24">
    <v>63</v>
    <v>a1q3jc</v>
    <v>Daily</v>
    <v>46057</v>
    <v>46057</v>
    <v>0</v>
    <v>1</v>
    <v>639057600000000000,639059118372391335,0</v>
    <v>0</v>
    <v>a1q3jc</v>
    <v>XNYS:COF</v>
    <v>157</v>
  </rv>
  <rv s="24">
    <v>63</v>
    <v>c24xbh</v>
    <v>Daily</v>
    <v>46057</v>
    <v>46057</v>
    <v>0</v>
    <v>1</v>
    <v>639057600000000000,639059118387759806,0</v>
    <v>0</v>
    <v>c24xbh</v>
    <v>XNYS:OGN</v>
    <v>158</v>
  </rv>
  <rv s="24">
    <v>63</v>
    <v>c24xbh</v>
    <v>Daily</v>
    <v>46056</v>
    <v>46056</v>
    <v>0</v>
    <v>1</v>
    <v>639056736000000000,639059116466619612,0</v>
    <v>0</v>
    <v>c24xbh</v>
    <v>XNYS:OGN</v>
    <v>159</v>
  </rv>
  <rv s="24">
    <v>63</v>
    <v>a23rjc</v>
    <v>Daily</v>
    <v>46057</v>
    <v>46057</v>
    <v>0</v>
    <v>1</v>
    <v>639057600000000000,639059118364237134,0</v>
    <v>0</v>
    <v>a23rjc</v>
    <v>XNAS:STX</v>
    <v>160</v>
  </rv>
  <rv s="24">
    <v>63</v>
    <v>a23rjc</v>
    <v>Daily</v>
    <v>46056</v>
    <v>46056</v>
    <v>0</v>
    <v>1</v>
    <v>639056736000000000,639059116439187303,0</v>
    <v>0</v>
    <v>a23rjc</v>
    <v>XNAS:STX</v>
    <v>161</v>
  </rv>
  <rv s="24">
    <v>67</v>
    <v>ajflbh</v>
    <v>Daily</v>
    <v>46056</v>
    <v>46056</v>
    <v>0</v>
    <v>1</v>
    <v>639056736000000000,639059116455271303,0</v>
    <v>0</v>
    <v>ajflbh</v>
    <v>XMIL:IP</v>
    <v>162</v>
  </rv>
  <rv s="24">
    <v>67</v>
    <v>ajflbh</v>
    <v>Daily</v>
    <v>46057</v>
    <v>46057</v>
    <v>0</v>
    <v>1</v>
    <v>639057600000000000,639059118382366329,0</v>
    <v>0</v>
    <v>ajflbh</v>
    <v>XMIL:IP</v>
    <v>163</v>
  </rv>
  <rv s="24">
    <v>63</v>
    <v>a1uvar</v>
    <v>Daily</v>
    <v>46056</v>
    <v>46056</v>
    <v>0</v>
    <v>1</v>
    <v>639056736000000000,639059116457602747,0</v>
    <v>0</v>
    <v>a1uvar</v>
    <v>XNYS:LHX</v>
    <v>164</v>
  </rv>
  <rv s="24">
    <v>63</v>
    <v>a1uvar</v>
    <v>Daily</v>
    <v>46057</v>
    <v>46057</v>
    <v>0</v>
    <v>1</v>
    <v>639057600000000000,639059118382523346,0</v>
    <v>0</v>
    <v>a1uvar</v>
    <v>XNYS:LHX</v>
    <v>165</v>
  </rv>
  <rv s="24">
    <v>63</v>
    <v>a1yq5r</v>
    <v>Daily</v>
    <v>46057</v>
    <v>46057</v>
    <v>0</v>
    <v>1</v>
    <v>639057600000000000,639059118371899189,0</v>
    <v>0</v>
    <v>a1yq5r</v>
    <v>XNYS:NSC</v>
    <v>166</v>
  </rv>
  <rv s="24">
    <v>63</v>
    <v>a1yq5r</v>
    <v>Daily</v>
    <v>46056</v>
    <v>46056</v>
    <v>0</v>
    <v>1</v>
    <v>639056736000000000,639059116450308936,0</v>
    <v>0</v>
    <v>a1yq5r</v>
    <v>XNYS:NSC</v>
    <v>167</v>
  </rv>
  <rv s="24">
    <v>63</v>
    <v>a1ru6h</v>
    <v>Daily</v>
    <v>46056</v>
    <v>46056</v>
    <v>0</v>
    <v>1</v>
    <v>639056736000000000,639059116460894460,0</v>
    <v>0</v>
    <v>a1ru6h</v>
    <v>XNYS:EIX</v>
    <v>168</v>
  </rv>
  <rv s="24">
    <v>63</v>
    <v>a1ru6h</v>
    <v>Daily</v>
    <v>46057</v>
    <v>46057</v>
    <v>0</v>
    <v>1</v>
    <v>639057600000000000,639059118382555924,0</v>
    <v>0</v>
    <v>a1ru6h</v>
    <v>XNYS:EIX</v>
    <v>169</v>
  </rv>
  <rv s="24">
    <v>63</v>
    <v>a1ztzr</v>
    <v>Daily</v>
    <v>46056</v>
    <v>46056</v>
    <v>0</v>
    <v>1</v>
    <v>639056736000000000,639059116448183637,0</v>
    <v>0</v>
    <v>a1ztzr</v>
    <v>XNYS:PH</v>
    <v>170</v>
  </rv>
  <rv s="24">
    <v>63</v>
    <v>a1ztzr</v>
    <v>Daily</v>
    <v>46057</v>
    <v>46057</v>
    <v>0</v>
    <v>1</v>
    <v>639057600000000000,639059118370928873,0</v>
    <v>0</v>
    <v>a1ztzr</v>
    <v>XNYS:PH</v>
    <v>171</v>
  </rv>
  <rv s="24">
    <v>63</v>
    <v>a1njmw</v>
    <v>Daily</v>
    <v>46057</v>
    <v>46057</v>
    <v>0</v>
    <v>1</v>
    <v>639057600000000000,639059118369316956,0</v>
    <v>0</v>
    <v>a1njmw</v>
    <v>XNYS:ELV</v>
    <v>172</v>
  </rv>
  <rv s="24">
    <v>63</v>
    <v>a1njmw</v>
    <v>Daily</v>
    <v>46056</v>
    <v>46056</v>
    <v>0</v>
    <v>1</v>
    <v>639056736000000000,639059116449427171,0</v>
    <v>0</v>
    <v>a1njmw</v>
    <v>XNYS:ELV</v>
    <v>173</v>
  </rv>
  <rv s="24">
    <v>63</v>
    <v>a22777</v>
    <v>Daily</v>
    <v>46056</v>
    <v>46056</v>
    <v>0</v>
    <v>1</v>
    <v>639056736000000000,639059116450279065,0</v>
    <v>0</v>
    <v>a22777</v>
    <v>XNAS:ROP</v>
    <v>174</v>
  </rv>
  <rv s="24">
    <v>63</v>
    <v>a22777</v>
    <v>Daily</v>
    <v>46057</v>
    <v>46057</v>
    <v>0</v>
    <v>1</v>
    <v>639057600000000000,639059118371658378,0</v>
    <v>0</v>
    <v>a22777</v>
    <v>XNAS:ROP</v>
    <v>175</v>
  </rv>
  <rv s="24">
    <v>63</v>
    <v>ccmvww</v>
    <v>Daily</v>
    <v>46056</v>
    <v>46056</v>
    <v>0</v>
    <v>1</v>
    <v>639056736000000000,639081038161641505,0</v>
    <v>0</v>
    <v>ccmvww</v>
    <v>XNYS:GEV</v>
    <v>176</v>
  </rv>
  <rv s="24">
    <v>63</v>
    <v>ccmvww</v>
    <v>Daily</v>
    <v>46057</v>
    <v>46057</v>
    <v>0</v>
    <v>1</v>
    <v>639057600000000000,639081038183186182,0</v>
    <v>0</v>
    <v>ccmvww</v>
    <v>XNYS:GEV</v>
    <v>177</v>
  </rv>
  <rv s="24">
    <v>63</v>
    <v>a1rfsm</v>
    <v>Daily</v>
    <v>46056</v>
    <v>46056</v>
    <v>0</v>
    <v>1</v>
    <v>639056736000000000,639059116448792230,0</v>
    <v>0</v>
    <v>a1rfsm</v>
    <v>XNYS:DD</v>
    <v>178</v>
  </rv>
  <rv s="24">
    <v>63</v>
    <v>a1rfsm</v>
    <v>Daily</v>
    <v>46057</v>
    <v>46057</v>
    <v>0</v>
    <v>1</v>
    <v>639057600000000000,639059118377314569,0</v>
    <v>0</v>
    <v>a1rfsm</v>
    <v>XNYS:DD</v>
    <v>179</v>
  </rv>
  <rv s="24">
    <v>63</v>
    <v>a25afr</v>
    <v>Daily</v>
    <v>46056</v>
    <v>46056</v>
    <v>0</v>
    <v>1</v>
    <v>639056736000000000,639059116457516667,0</v>
    <v>0</v>
    <v>a25afr</v>
    <v>XNYS:VFC</v>
    <v>94</v>
  </rv>
  <rv s="24">
    <v>63</v>
    <v>a25afr</v>
    <v>Daily</v>
    <v>46057</v>
    <v>46057</v>
    <v>0</v>
    <v>1</v>
    <v>639057600000000000,639059118382442295,0</v>
    <v>0</v>
    <v>a25afr</v>
    <v>XNYS:VFC</v>
    <v>180</v>
  </rv>
  <rv s="24">
    <v>63</v>
    <v>a1sp52</v>
    <v>Daily</v>
    <v>46056</v>
    <v>46056</v>
    <v>0</v>
    <v>1</v>
    <v>639056736000000000,639059116450253522,0</v>
    <v>0</v>
    <v>a1sp52</v>
    <v>XNYS:FCX</v>
    <v>181</v>
  </rv>
  <rv s="24">
    <v>63</v>
    <v>a1sp52</v>
    <v>Daily</v>
    <v>46057</v>
    <v>46057</v>
    <v>0</v>
    <v>1</v>
    <v>639057600000000000,639059118371407602,0</v>
    <v>0</v>
    <v>a1sp52</v>
    <v>XNYS:FCX</v>
    <v>182</v>
  </rv>
  <rv s="24">
    <v>63</v>
    <v>a214h7</v>
    <v>Daily</v>
    <v>46056</v>
    <v>46056</v>
    <v>0</v>
    <v>1</v>
    <v>639056736000000000,639059116457677970,0</v>
    <v>0</v>
    <v>a214h7</v>
    <v>XNYS:PPG</v>
    <v>183</v>
  </rv>
  <rv s="24">
    <v>63</v>
    <v>a214h7</v>
    <v>Daily</v>
    <v>46057</v>
    <v>46057</v>
    <v>0</v>
    <v>1</v>
    <v>639057600000000000,639059118382454312,0</v>
    <v>0</v>
    <v>a214h7</v>
    <v>XNYS:PPG</v>
    <v>184</v>
  </rv>
  <rv s="24">
    <v>63</v>
    <v>a1sl52</v>
    <v>Daily</v>
    <v>46056</v>
    <v>46056</v>
    <v>0</v>
    <v>1</v>
    <v>639056736000000000,639059116453478095,0</v>
    <v>0</v>
    <v>a1sl52</v>
    <v>XNAS:FAST</v>
    <v>185</v>
  </rv>
  <rv s="24">
    <v>63</v>
    <v>a1sl52</v>
    <v>Daily</v>
    <v>46057</v>
    <v>46057</v>
    <v>0</v>
    <v>1</v>
    <v>639057600000000000,639059118373586404,0</v>
    <v>0</v>
    <v>a1sl52</v>
    <v>XNAS:FAST</v>
    <v>186</v>
  </rv>
  <rv s="24">
    <v>63</v>
    <v>a21icw</v>
    <v>Daily</v>
    <v>46057</v>
    <v>46057</v>
    <v>0</v>
    <v>1</v>
    <v>639057600000000000,639059118371170339,0</v>
    <v>0</v>
    <v>a21icw</v>
    <v>XNAS:PYPL</v>
    <v>187</v>
  </rv>
  <rv s="24">
    <v>63</v>
    <v>a21icw</v>
    <v>Daily</v>
    <v>46056</v>
    <v>46056</v>
    <v>0</v>
    <v>1</v>
    <v>639056736000000000,639059116450220776,0</v>
    <v>0</v>
    <v>a21icw</v>
    <v>XNAS:PYPL</v>
    <v>188</v>
  </rv>
  <rv s="24">
    <v>63</v>
    <v>axxc6h</v>
    <v>Daily</v>
    <v>46056</v>
    <v>46056</v>
    <v>0</v>
    <v>1</v>
    <v>639056736000000000,639059116459516096,0</v>
    <v>0</v>
    <v>axxc6h</v>
    <v>XNAS:PFG</v>
    <v>189</v>
  </rv>
  <rv s="24">
    <v>63</v>
    <v>axxc6h</v>
    <v>Daily</v>
    <v>46057</v>
    <v>46057</v>
    <v>0</v>
    <v>1</v>
    <v>639057600000000000,639059118386909078,0</v>
    <v>0</v>
    <v>axxc6h</v>
    <v>XNAS:PFG</v>
    <v>190</v>
  </rv>
  <rv s="24">
    <v>63</v>
    <v>a1ock2</v>
    <v>Daily</v>
    <v>46057</v>
    <v>46057</v>
    <v>0</v>
    <v>1</v>
    <v>639057600000000000,639059118370685659,0</v>
    <v>0</v>
    <v>a1ock2</v>
    <v>XNYS:BDX</v>
    <v>191</v>
  </rv>
  <rv s="24">
    <v>63</v>
    <v>a1ock2</v>
    <v>Daily</v>
    <v>46056</v>
    <v>46056</v>
    <v>0</v>
    <v>1</v>
    <v>639056736000000000,639059116448155789,0</v>
    <v>0</v>
    <v>a1ock2</v>
    <v>XNYS:BDX</v>
    <v>192</v>
  </rv>
  <rv s="24">
    <v>63</v>
    <v>a25k5r</v>
    <v>Daily</v>
    <v>46057</v>
    <v>46057</v>
    <v>0</v>
    <v>1</v>
    <v>639057600000000000,639059118369436751,0</v>
    <v>0</v>
    <v>a25k5r</v>
    <v>XNAS:VRTX</v>
    <v>193</v>
  </rv>
  <rv s="24">
    <v>63</v>
    <v>a25k5r</v>
    <v>Daily</v>
    <v>46056</v>
    <v>46056</v>
    <v>0</v>
    <v>1</v>
    <v>639056736000000000,639059116448048828,0</v>
    <v>0</v>
    <v>a25k5r</v>
    <v>XNAS:VRTX</v>
    <v>194</v>
  </rv>
  <rv s="24">
    <v>63</v>
    <v>a246z2</v>
    <v>Daily</v>
    <v>46057</v>
    <v>46057</v>
    <v>0</v>
    <v>1</v>
    <v>639057600000000000,639059118370446854,0</v>
    <v>0</v>
    <v>a246z2</v>
    <v>XNYS:TGT</v>
    <v>195</v>
  </rv>
  <rv s="24">
    <v>63</v>
    <v>a246z2</v>
    <v>Daily</v>
    <v>46056</v>
    <v>46056</v>
    <v>0</v>
    <v>1</v>
    <v>639056736000000000,639059116448133853,0</v>
    <v>0</v>
    <v>a246z2</v>
    <v>XNYS:TGT</v>
    <v>196</v>
  </rv>
  <rv s="24">
    <v>63</v>
    <v>a1vwxm</v>
    <v>Daily</v>
    <v>46057</v>
    <v>46057</v>
    <v>0</v>
    <v>1</v>
    <v>639057600000000000,639059118374425822,0</v>
    <v>0</v>
    <v>a1vwxm</v>
    <v>XNYS:IVZ</v>
    <v>197</v>
  </rv>
  <rv s="24">
    <v>63</v>
    <v>a1vwxm</v>
    <v>Daily</v>
    <v>46056</v>
    <v>46056</v>
    <v>0</v>
    <v>1</v>
    <v>639056736000000000,639059116467145860,0</v>
    <v>0</v>
    <v>a1vwxm</v>
    <v>XNYS:IVZ</v>
    <v>198</v>
  </rv>
  <rv s="24">
    <v>63</v>
    <v>a1x6rw</v>
    <v>Daily</v>
    <v>46056</v>
    <v>46056</v>
    <v>0</v>
    <v>1</v>
    <v>639056736000000000,639059116438942680,0</v>
    <v>0</v>
    <v>a1x6rw</v>
    <v>XNYS:LUV</v>
    <v>199</v>
  </rv>
  <rv s="24">
    <v>63</v>
    <v>a1x6rw</v>
    <v>Daily</v>
    <v>46057</v>
    <v>46057</v>
    <v>0</v>
    <v>1</v>
    <v>639057600000000000,639059118363867983,0</v>
    <v>0</v>
    <v>a1x6rw</v>
    <v>XNYS:LUV</v>
    <v>200</v>
  </rv>
  <rv s="24">
    <v>63</v>
    <v>a1zqnm</v>
    <v>Daily</v>
    <v>46057</v>
    <v>46057</v>
    <v>0</v>
    <v>1</v>
    <v>639057600000000000,639059118369467219,0</v>
    <v>0</v>
    <v>a1zqnm</v>
    <v>XNYS:PFE</v>
    <v>201</v>
  </rv>
  <rv s="24">
    <v>63</v>
    <v>a1zqnm</v>
    <v>Daily</v>
    <v>46056</v>
    <v>46056</v>
    <v>0</v>
    <v>1</v>
    <v>639056736000000000,639059116448070613,0</v>
    <v>0</v>
    <v>a1zqnm</v>
    <v>XNYS:PFE</v>
    <v>202</v>
  </rv>
  <rv s="24">
    <v>63</v>
    <v>a1mzjc</v>
    <v>Daily</v>
    <v>46057</v>
    <v>46057</v>
    <v>0</v>
    <v>1</v>
    <v>639057600000000000,639059118372146259,0</v>
    <v>0</v>
    <v>a1mzjc</v>
    <v>XNYS:AFL</v>
    <v>203</v>
  </rv>
  <rv s="24">
    <v>63</v>
    <v>a1mzjc</v>
    <v>Daily</v>
    <v>46056</v>
    <v>46056</v>
    <v>0</v>
    <v>1</v>
    <v>639056736000000000,639059116450338803,0</v>
    <v>0</v>
    <v>a1mzjc</v>
    <v>XNYS:AFL</v>
    <v>204</v>
  </rv>
  <rv s="24">
    <v>63</v>
    <v>a1ook2</v>
    <v>Daily</v>
    <v>46057</v>
    <v>46057</v>
    <v>0</v>
    <v>1</v>
    <v>639057600000000000,639059118369356778,0</v>
    <v>0</v>
    <v>a1ook2</v>
    <v>XNYS:BMY</v>
    <v>205</v>
  </rv>
  <rv s="24">
    <v>63</v>
    <v>a1ook2</v>
    <v>Daily</v>
    <v>46056</v>
    <v>46056</v>
    <v>0</v>
    <v>1</v>
    <v>639056736000000000,639059116447967420,0</v>
    <v>0</v>
    <v>a1ook2</v>
    <v>XNYS:BMY</v>
    <v>206</v>
  </rv>
  <rv s="24">
    <v>63</v>
    <v>a1xe52</v>
    <v>Daily</v>
    <v>46057</v>
    <v>46057</v>
    <v>0</v>
    <v>1</v>
    <v>639057600000000000,639059118364485219,0</v>
    <v>0</v>
    <v>a1xe52</v>
    <v>XNYS:MCK</v>
    <v>207</v>
  </rv>
  <rv s="24">
    <v>63</v>
    <v>a1xe52</v>
    <v>Daily</v>
    <v>46056</v>
    <v>46056</v>
    <v>0</v>
    <v>1</v>
    <v>639056736000000000,639059116437989174,0</v>
    <v>0</v>
    <v>a1xe52</v>
    <v>XNYS:MCK</v>
    <v>208</v>
  </rv>
  <rv s="24">
    <v>63</v>
    <v>a1uozr</v>
    <v>Daily</v>
    <v>46057</v>
    <v>46057</v>
    <v>0</v>
    <v>1</v>
    <v>639057600000000000,639059118374336803,0</v>
    <v>0</v>
    <v>a1uozr</v>
    <v>XNYS:HII</v>
    <v>209</v>
  </rv>
  <rv s="24">
    <v>63</v>
    <v>a1uozr</v>
    <v>Daily</v>
    <v>46056</v>
    <v>46056</v>
    <v>0</v>
    <v>1</v>
    <v>639056736000000000,639059116461809918,0</v>
    <v>0</v>
    <v>a1uozr</v>
    <v>XNYS:HII</v>
    <v>210</v>
  </rv>
  <rv s="24">
    <v>63</v>
    <v>a1n7pr</v>
    <v>Daily</v>
    <v>46057</v>
    <v>46057</v>
    <v>0</v>
    <v>1</v>
    <v>639057600000000000,639059118364816233,0</v>
    <v>0</v>
    <v>a1n7pr</v>
    <v>XNYS:AJG</v>
    <v>211</v>
  </rv>
  <rv s="24">
    <v>63</v>
    <v>a1n7pr</v>
    <v>Daily</v>
    <v>46056</v>
    <v>46056</v>
    <v>0</v>
    <v>1</v>
    <v>639056736000000000,639059116446501832,0</v>
    <v>0</v>
    <v>a1n7pr</v>
    <v>XNYS:AJG</v>
    <v>212</v>
  </rv>
  <rv s="24">
    <v>63</v>
    <v>a1z6nm</v>
    <v>Daily</v>
    <v>46057</v>
    <v>46057</v>
    <v>0</v>
    <v>1</v>
    <v>639057600000000000,639059118383165967,0</v>
    <v>0</v>
    <v>a1z6nm</v>
    <v>XNYS:OKE</v>
    <v>213</v>
  </rv>
  <rv s="24">
    <v>63</v>
    <v>a1z6nm</v>
    <v>Daily</v>
    <v>46056</v>
    <v>46056</v>
    <v>0</v>
    <v>1</v>
    <v>639056736000000000,639059116447962472,0</v>
    <v>0</v>
    <v>a1z6nm</v>
    <v>XNYS:OKE</v>
    <v>214</v>
  </rv>
  <rv s="24">
    <v>63</v>
    <v>a1wh7w</v>
    <v>Daily</v>
    <v>46057</v>
    <v>46057</v>
    <v>0</v>
    <v>1</v>
    <v>639057600000000000,639059118383422046,0</v>
    <v>0</v>
    <v>a1wh7w</v>
    <v>XNYS:KEYS</v>
    <v>215</v>
  </rv>
  <rv s="24">
    <v>63</v>
    <v>a1wh7w</v>
    <v>Daily</v>
    <v>46056</v>
    <v>46056</v>
    <v>0</v>
    <v>1</v>
    <v>639056736000000000,639059116468186170,0</v>
    <v>0</v>
    <v>a1wh7w</v>
    <v>XNYS:KEYS</v>
    <v>216</v>
  </rv>
  <rv s="24">
    <v>63</v>
    <v>a1rk27</v>
    <v>Daily</v>
    <v>46057</v>
    <v>46057</v>
    <v>0</v>
    <v>1</v>
    <v>639057600000000000,639059118369293811,0</v>
    <v>0</v>
    <v>a1rk27</v>
    <v>XNYS:EAT</v>
    <v>217</v>
  </rv>
  <rv s="24">
    <v>63</v>
    <v>a1rk27</v>
    <v>Daily</v>
    <v>46056</v>
    <v>46056</v>
    <v>0</v>
    <v>1</v>
    <v>639056736000000000,639059116449273845,0</v>
    <v>0</v>
    <v>a1rk27</v>
    <v>XNYS:EAT</v>
    <v>218</v>
  </rv>
  <rv s="24">
    <v>63</v>
    <v>a1px2w</v>
    <v>Daily</v>
    <v>46056</v>
    <v>46056</v>
    <v>0</v>
    <v>1</v>
    <v>639056736000000000,639059116449905786,0</v>
    <v>0</v>
    <v>a1px2w</v>
    <v>XNAS:CME</v>
    <v>219</v>
  </rv>
  <rv s="24">
    <v>63</v>
    <v>a1px2w</v>
    <v>Daily</v>
    <v>46057</v>
    <v>46057</v>
    <v>0</v>
    <v>1</v>
    <v>639057600000000000,639059118382204199,0</v>
    <v>0</v>
    <v>a1px2w</v>
    <v>XNAS:CME</v>
    <v>220</v>
  </rv>
  <rv s="24">
    <v>63</v>
    <v>a1qgcw</v>
    <v>Daily</v>
    <v>46056</v>
    <v>46056</v>
    <v>0</v>
    <v>1</v>
    <v>639056736000000000,639059116449418042,0</v>
    <v>0</v>
    <v>a1qgcw</v>
    <v>XNAS:CTAS</v>
    <v>221</v>
  </rv>
  <rv s="24">
    <v>63</v>
    <v>a1qgcw</v>
    <v>Daily</v>
    <v>46057</v>
    <v>46057</v>
    <v>0</v>
    <v>1</v>
    <v>639057600000000000,639059118382043634,0</v>
    <v>0</v>
    <v>a1qgcw</v>
    <v>XNAS:CTAS</v>
    <v>222</v>
  </rv>
  <rv s="24">
    <v>63</v>
    <v>a1sqr7</v>
    <v>Daily</v>
    <v>46056</v>
    <v>46056</v>
    <v>0</v>
    <v>1</v>
    <v>639056736000000000,639059116450141048,0</v>
    <v>0</v>
    <v>a1sqr7</v>
    <v>XNYS:FDX</v>
    <v>223</v>
  </rv>
  <rv s="24">
    <v>63</v>
    <v>a1sqr7</v>
    <v>Daily</v>
    <v>46057</v>
    <v>46057</v>
    <v>0</v>
    <v>1</v>
    <v>639057600000000000,639059118373408035,0</v>
    <v>0</v>
    <v>a1sqr7</v>
    <v>XNYS:FDX</v>
    <v>224</v>
  </rv>
  <rv s="24">
    <v>63</v>
    <v>a1tppr</v>
    <v>Daily</v>
    <v>46057</v>
    <v>46057</v>
    <v>0</v>
    <v>1</v>
    <v>639057600000000000,639059118373330245,0</v>
    <v>0</v>
    <v>a1tppr</v>
    <v>XNYS:GD</v>
    <v>225</v>
  </rv>
  <rv s="24">
    <v>63</v>
    <v>a1tppr</v>
    <v>Daily</v>
    <v>46056</v>
    <v>46056</v>
    <v>0</v>
    <v>1</v>
    <v>639056736000000000,639059116448939043,0</v>
    <v>0</v>
    <v>a1tppr</v>
    <v>XNYS:GD</v>
    <v>226</v>
  </rv>
  <rv s="24">
    <v>63</v>
    <v>a1y1w7</v>
    <v>Daily</v>
    <v>46056</v>
    <v>46056</v>
    <v>0</v>
    <v>1</v>
    <v>639056736000000000,639059116457652910,0</v>
    <v>0</v>
    <v>a1y1w7</v>
    <v>XNYS:MTB</v>
    <v>227</v>
  </rv>
  <rv s="24">
    <v>63</v>
    <v>a1y1w7</v>
    <v>Daily</v>
    <v>46057</v>
    <v>46057</v>
    <v>0</v>
    <v>1</v>
    <v>639057600000000000,639059118377504915,0</v>
    <v>0</v>
    <v>a1y1w7</v>
    <v>XNYS:MTB</v>
    <v>228</v>
  </rv>
  <rv s="24">
    <v>68</v>
    <v>br3752</v>
    <v>Daily</v>
    <v>46056</v>
    <v>46056</v>
    <v>0</v>
    <v>1</v>
    <v>639056736000000000,639059116436614784,0</v>
    <v>0</v>
    <v>br3752</v>
    <v>XMEX:CTLT*</v>
    <v>229</v>
  </rv>
  <rv s="24">
    <v>68</v>
    <v>br3752</v>
    <v>Daily</v>
    <v>46057</v>
    <v>46057</v>
    <v>0</v>
    <v>1</v>
    <v>639057600000000000,639059118377912785,0</v>
    <v>0</v>
    <v>br3752</v>
    <v>XMEX:CTLT*</v>
    <v>229</v>
  </rv>
  <rv s="24">
    <v>63</v>
    <v>a1rjec</v>
    <v>Daily</v>
    <v>46057</v>
    <v>46057</v>
    <v>0</v>
    <v>1</v>
    <v>639057600000000000,639059118359238147,0</v>
    <v>0</v>
    <v>a1rjec</v>
    <v>XNAS:EA</v>
    <v>230</v>
  </rv>
  <rv s="24">
    <v>63</v>
    <v>a1rjec</v>
    <v>Daily</v>
    <v>46056</v>
    <v>46056</v>
    <v>0</v>
    <v>1</v>
    <v>639056736000000000,639059116438489866,0</v>
    <v>0</v>
    <v>a1rjec</v>
    <v>XNAS:EA</v>
    <v>231</v>
  </rv>
  <rv s="24">
    <v>63</v>
    <v>a1qvjc</v>
    <v>Daily</v>
    <v>46056</v>
    <v>46056</v>
    <v>0</v>
    <v>1</v>
    <v>639056736000000000,639059116447941183,0</v>
    <v>0</v>
    <v>a1qvjc</v>
    <v>XNYS:DE</v>
    <v>232</v>
  </rv>
  <rv s="24">
    <v>63</v>
    <v>a1qvjc</v>
    <v>Daily</v>
    <v>46057</v>
    <v>46057</v>
    <v>0</v>
    <v>1</v>
    <v>639057600000000000,639059118369337797,0</v>
    <v>0</v>
    <v>a1qvjc</v>
    <v>XNYS:DE</v>
    <v>233</v>
  </rv>
  <rv s="24">
    <v>63</v>
    <v>a23a5r</v>
    <v>Daily</v>
    <v>46056</v>
    <v>46056</v>
    <v>0</v>
    <v>1</v>
    <v>639056736000000000,639059116447945089,0</v>
    <v>0</v>
    <v>a23a5r</v>
    <v>XNYS:SO</v>
    <v>234</v>
  </rv>
  <rv s="24">
    <v>63</v>
    <v>a23a5r</v>
    <v>Daily</v>
    <v>46057</v>
    <v>46057</v>
    <v>0</v>
    <v>1</v>
    <v>639057600000000000,639059118379457391,0</v>
    <v>0</v>
    <v>a23a5r</v>
    <v>XNYS:SO</v>
    <v>235</v>
  </rv>
  <rv s="24">
    <v>63</v>
    <v>az6zf2</v>
    <v>Daily</v>
    <v>46056</v>
    <v>46056</v>
    <v>0</v>
    <v>1</v>
    <v>639056736000000000,639059116438347196,0</v>
    <v>0</v>
    <v>az6zf2</v>
    <v>XNYS:WELL</v>
    <v>236</v>
  </rv>
  <rv s="24">
    <v>63</v>
    <v>az6zf2</v>
    <v>Daily</v>
    <v>46057</v>
    <v>46057</v>
    <v>0</v>
    <v>1</v>
    <v>639057600000000000,639059118366441492,0</v>
    <v>0</v>
    <v>az6zf2</v>
    <v>XNYS:WELL</v>
    <v>237</v>
  </rv>
  <rv s="24">
    <v>63</v>
    <v>a1xr1h</v>
    <v>Daily</v>
    <v>46057</v>
    <v>46057</v>
    <v>0</v>
    <v>1</v>
    <v>639057600000000000,639059118382943414,0</v>
    <v>0</v>
    <v>a1xr1h</v>
    <v>XNYS:MRSH</v>
    <v>238</v>
  </rv>
  <rv s="24">
    <v>63</v>
    <v>a1xr1h</v>
    <v>Daily</v>
    <v>46056</v>
    <v>46056</v>
    <v>0</v>
    <v>1</v>
    <v>639056736000000000,639059116446278117,0</v>
    <v>0</v>
    <v>a1xr1h</v>
    <v>XNYS:MRSH</v>
    <v>239</v>
  </rv>
  <rv s="24">
    <v>63</v>
    <v>a1ra3m</v>
    <v>Daily</v>
    <v>46056</v>
    <v>46056</v>
    <v>0</v>
    <v>1</v>
    <v>639056736000000000,639059116440509687,0</v>
    <v>0</v>
    <v>a1ra3m</v>
    <v>XNYS:DRI</v>
    <v>240</v>
  </rv>
  <rv s="24">
    <v>63</v>
    <v>a1ra3m</v>
    <v>Daily</v>
    <v>46057</v>
    <v>46057</v>
    <v>0</v>
    <v>1</v>
    <v>639057600000000000,639059118361243386,0</v>
    <v>0</v>
    <v>a1ra3m</v>
    <v>XNYS:DRI</v>
    <v>241</v>
  </rv>
  <rv s="24">
    <v>63</v>
    <v>a22k9c</v>
    <v>Daily</v>
    <v>46057</v>
    <v>46057</v>
    <v>0</v>
    <v>1</v>
    <v>639057600000000000,639059118362966740,0</v>
    <v>0</v>
    <v>a22k9c</v>
    <v>XNAS:SBUX</v>
    <v>242</v>
  </rv>
  <rv s="24">
    <v>63</v>
    <v>a22k9c</v>
    <v>Daily</v>
    <v>46056</v>
    <v>46056</v>
    <v>0</v>
    <v>1</v>
    <v>639056736000000000,639059116445709483,0</v>
    <v>0</v>
    <v>a22k9c</v>
    <v>XNAS:SBUX</v>
    <v>243</v>
  </rv>
  <rv s="24">
    <v>63</v>
    <v>a26fim</v>
    <v>Daily</v>
    <v>46057</v>
    <v>46057</v>
    <v>0</v>
    <v>1</v>
    <v>639057600000000000,639059118369635167,0</v>
    <v>0</v>
    <v>a26fim</v>
    <v>XNYS:ZBH</v>
    <v>244</v>
  </rv>
  <rv s="24">
    <v>63</v>
    <v>a26fim</v>
    <v>Daily</v>
    <v>46056</v>
    <v>46056</v>
    <v>0</v>
    <v>1</v>
    <v>639056736000000000,639059116444531381,0</v>
    <v>0</v>
    <v>a26fim</v>
    <v>XNYS:ZBH</v>
    <v>245</v>
  </rv>
  <rv s="24">
    <v>68</v>
    <v>c9383m</v>
    <v>Daily</v>
    <v>46056</v>
    <v>46056</v>
    <v>0</v>
    <v>1</v>
    <v>639056736000000000,639059116461257265,0</v>
    <v>0</v>
    <v>c9383m</v>
    <v>XMEX:JNPR*</v>
    <v>229</v>
  </rv>
  <rv s="24">
    <v>68</v>
    <v>c9383m</v>
    <v>Daily</v>
    <v>46057</v>
    <v>46057</v>
    <v>0</v>
    <v>1</v>
    <v>639057600000000000,639059118377429871,0</v>
    <v>0</v>
    <v>c9383m</v>
    <v>XMEX:JNPR*</v>
    <v>229</v>
  </rv>
  <rv s="24">
    <v>63</v>
    <v>a1tvoc</v>
    <v>Daily</v>
    <v>46057</v>
    <v>46057</v>
    <v>0</v>
    <v>1</v>
    <v>639057600000000000,639059118369386651,0</v>
    <v>0</v>
    <v>a1tvoc</v>
    <v>XNAS:GILD</v>
    <v>246</v>
  </rv>
  <rv s="24">
    <v>63</v>
    <v>a1tvoc</v>
    <v>Daily</v>
    <v>46056</v>
    <v>46056</v>
    <v>0</v>
    <v>1</v>
    <v>639056736000000000,639059116447997288,0</v>
    <v>0</v>
    <v>a1tvoc</v>
    <v>XNAS:GILD</v>
    <v>247</v>
  </rv>
  <rv s="24">
    <v>63</v>
    <v>a1wucw</v>
    <v>Daily</v>
    <v>46056</v>
    <v>46056</v>
    <v>0</v>
    <v>1</v>
    <v>639056736000000000,639059116444429770,0</v>
    <v>0</v>
    <v>a1wucw</v>
    <v>XNYS:LEN</v>
    <v>248</v>
  </rv>
  <rv s="24">
    <v>63</v>
    <v>a1wucw</v>
    <v>Daily</v>
    <v>46057</v>
    <v>46057</v>
    <v>0</v>
    <v>1</v>
    <v>639057600000000000,639059118366927523,0</v>
    <v>0</v>
    <v>a1wucw</v>
    <v>XNYS:LEN</v>
    <v>249</v>
  </rv>
  <rv s="24">
    <v>63</v>
    <v>ay4lu2</v>
    <v>Daily</v>
    <v>46057</v>
    <v>46057</v>
    <v>0</v>
    <v>1</v>
    <v>639057600000000000,639059118366872235,0</v>
    <v>0</v>
    <v>ay4lu2</v>
    <v>XNAS:XEL</v>
    <v>250</v>
  </rv>
  <rv s="24">
    <v>63</v>
    <v>ay4lu2</v>
    <v>Daily</v>
    <v>46056</v>
    <v>46056</v>
    <v>0</v>
    <v>1</v>
    <v>639056736000000000,639059116444366718,0</v>
    <v>0</v>
    <v>ay4lu2</v>
    <v>XNAS:XEL</v>
    <v>251</v>
  </rv>
  <rv s="24">
    <v>63</v>
    <v>a1tvzr</v>
    <v>Daily</v>
    <v>46056</v>
    <v>46056</v>
    <v>0</v>
    <v>1</v>
    <v>639056736000000000,639059116451100619,0</v>
    <v>0</v>
    <v>a1tvzr</v>
    <v>XNYS:GIS</v>
    <v>252</v>
  </rv>
  <rv s="24">
    <v>63</v>
    <v>a1tvzr</v>
    <v>Daily</v>
    <v>46057</v>
    <v>46057</v>
    <v>0</v>
    <v>1</v>
    <v>639057600000000000,639059118382670884,0</v>
    <v>0</v>
    <v>a1tvzr</v>
    <v>XNYS:GIS</v>
    <v>253</v>
  </rv>
  <rv s="24">
    <v>63</v>
    <v>a25par</v>
    <v>Daily</v>
    <v>46056</v>
    <v>46056</v>
    <v>0</v>
    <v>1</v>
    <v>639056736000000000,639059116456252165,0</v>
    <v>0</v>
    <v>a25par</v>
    <v>XNYS:WAT</v>
    <v>254</v>
  </rv>
  <rv s="24">
    <v>63</v>
    <v>a25par</v>
    <v>Daily</v>
    <v>46057</v>
    <v>46057</v>
    <v>0</v>
    <v>1</v>
    <v>639057600000000000,639059118379216754,0</v>
    <v>0</v>
    <v>a25par</v>
    <v>XNYS:WAT</v>
    <v>255</v>
  </rv>
  <rv s="24">
    <v>63</v>
    <v>a1zo52</v>
    <v>Daily</v>
    <v>46057</v>
    <v>46057</v>
    <v>0</v>
    <v>1</v>
    <v>639057600000000000,639059118366801817,0</v>
    <v>0</v>
    <v>a1zo52</v>
    <v>XNYS:PEG</v>
    <v>256</v>
  </rv>
  <rv s="24">
    <v>63</v>
    <v>a1zo52</v>
    <v>Daily</v>
    <v>46056</v>
    <v>46056</v>
    <v>0</v>
    <v>1</v>
    <v>639056736000000000,639059116444307914,0</v>
    <v>0</v>
    <v>a1zo52</v>
    <v>XNYS:PEG</v>
    <v>257</v>
  </rv>
  <rv s="24">
    <v>63</v>
    <v>azetdm</v>
    <v>Daily</v>
    <v>46057</v>
    <v>46057</v>
    <v>0</v>
    <v>1</v>
    <v>639057600000000000,639059118386418429,0</v>
    <v>0</v>
    <v>azetdm</v>
    <v>XNYS:CBRE</v>
    <v>258</v>
  </rv>
  <rv s="24">
    <v>63</v>
    <v>azetdm</v>
    <v>Daily</v>
    <v>46056</v>
    <v>46056</v>
    <v>0</v>
    <v>1</v>
    <v>639056736000000000,639059116457733673,0</v>
    <v>0</v>
    <v>azetdm</v>
    <v>XNYS:CBRE</v>
    <v>259</v>
  </rv>
  <rv s="24">
    <v>63</v>
    <v>a1q7jc</v>
    <v>Daily</v>
    <v>46056</v>
    <v>46056</v>
    <v>0</v>
    <v>1</v>
    <v>639056736000000000,639059116465131568,0</v>
    <v>0</v>
    <v>a1q7jc</v>
    <v>XNAS:CPB</v>
    <v>260</v>
  </rv>
  <rv s="24">
    <v>63</v>
    <v>a1q7jc</v>
    <v>Daily</v>
    <v>46057</v>
    <v>46057</v>
    <v>0</v>
    <v>1</v>
    <v>639057600000000000,639059118377345617,0</v>
    <v>0</v>
    <v>a1q7jc</v>
    <v>XNAS:CPB</v>
    <v>261</v>
  </rv>
  <rv s="24">
    <v>63</v>
    <v>a1mw4c</v>
    <v>Daily</v>
    <v>46057</v>
    <v>46057</v>
    <v>0</v>
    <v>1</v>
    <v>639057600000000000,639059118381718336,0</v>
    <v>0</v>
    <v>a1mw4c</v>
    <v>XNAS:ADP</v>
    <v>262</v>
  </rv>
  <rv s="24">
    <v>63</v>
    <v>a1mw4c</v>
    <v>Daily</v>
    <v>46056</v>
    <v>46056</v>
    <v>0</v>
    <v>1</v>
    <v>639056736000000000,639059116446248633,0</v>
    <v>0</v>
    <v>a1mw4c</v>
    <v>XNAS:ADP</v>
    <v>263</v>
  </rv>
  <rv s="24">
    <v>63</v>
    <v>a1swvh</v>
    <v>Daily</v>
    <v>46056</v>
    <v>46056</v>
    <v>0</v>
    <v>1</v>
    <v>639056736000000000,639059116436866190,0</v>
    <v>0</v>
    <v>a1swvh</v>
    <v>XNAS:FISI</v>
    <v>264</v>
  </rv>
  <rv s="24">
    <v>63</v>
    <v>a1swvh</v>
    <v>Daily</v>
    <v>46057</v>
    <v>46057</v>
    <v>0</v>
    <v>1</v>
    <v>639057600000000000,639059118361149007,0</v>
    <v>0</v>
    <v>a1swvh</v>
    <v>XNAS:FISI</v>
    <v>265</v>
  </rv>
  <rv s="24">
    <v>63</v>
    <v>a1rmkr</v>
    <v>Daily</v>
    <v>46057</v>
    <v>46057</v>
    <v>0</v>
    <v>1</v>
    <v>639057600000000000,639059118366775213,0</v>
    <v>0</v>
    <v>a1rmkr</v>
    <v>XNYS:ED</v>
    <v>266</v>
  </rv>
  <rv s="24">
    <v>63</v>
    <v>a1rmkr</v>
    <v>Daily</v>
    <v>46056</v>
    <v>46056</v>
    <v>0</v>
    <v>1</v>
    <v>639056736000000000,639059116444287278,0</v>
    <v>0</v>
    <v>a1rmkr</v>
    <v>XNYS:ED</v>
    <v>267</v>
  </rv>
  <rv s="24">
    <v>63</v>
    <v>a1myk2</v>
    <v>Daily</v>
    <v>46057</v>
    <v>46057</v>
    <v>0</v>
    <v>1</v>
    <v>639057600000000000,639059118385349051,0</v>
    <v>0</v>
    <v>a1myk2</v>
    <v>XNYS:AES</v>
    <v>268</v>
  </rv>
  <rv s="24">
    <v>63</v>
    <v>a1myk2</v>
    <v>Daily</v>
    <v>46056</v>
    <v>46056</v>
    <v>0</v>
    <v>1</v>
    <v>639056736000000000,639059116456003007,0</v>
    <v>0</v>
    <v>a1myk2</v>
    <v>XNYS:AES</v>
    <v>269</v>
  </rv>
  <rv s="24">
    <v>63</v>
    <v>a218mw</v>
    <v>Daily</v>
    <v>46057</v>
    <v>46057</v>
    <v>0</v>
    <v>1</v>
    <v>639057600000000000,639059118362221231,0</v>
    <v>0</v>
    <v>a218mw</v>
    <v>XNYS:PSA</v>
    <v>270</v>
  </rv>
  <rv s="24">
    <v>63</v>
    <v>a218mw</v>
    <v>Daily</v>
    <v>46056</v>
    <v>46056</v>
    <v>0</v>
    <v>1</v>
    <v>639056736000000000,639059116445397446,0</v>
    <v>0</v>
    <v>a218mw</v>
    <v>XNYS:PSA</v>
    <v>271</v>
  </rv>
  <rv s="24">
    <v>63</v>
    <v>a1yy2w</v>
    <v>Daily</v>
    <v>46057</v>
    <v>46057</v>
    <v>0</v>
    <v>1</v>
    <v>639057600000000000,639059118364966983,0</v>
    <v>0</v>
    <v>a1yy2w</v>
    <v>XNAS:NXPI</v>
    <v>272</v>
  </rv>
  <rv s="24">
    <v>63</v>
    <v>a1yy2w</v>
    <v>Daily</v>
    <v>46056</v>
    <v>46056</v>
    <v>0</v>
    <v>1</v>
    <v>639056736000000000,639059116438157662,0</v>
    <v>0</v>
    <v>a1yy2w</v>
    <v>XNAS:NXPI</v>
    <v>273</v>
  </rv>
  <rv s="24">
    <v>63</v>
    <v>a1om4c</v>
    <v>Daily</v>
    <v>46057</v>
    <v>46057</v>
    <v>0</v>
    <v>1</v>
    <v>639057600000000000,639059118360201632,0</v>
    <v>0</v>
    <v>a1om4c</v>
    <v>XNYS:BLK</v>
    <v>274</v>
  </rv>
  <rv s="24">
    <v>63</v>
    <v>a1om4c</v>
    <v>Daily</v>
    <v>46056</v>
    <v>46056</v>
    <v>0</v>
    <v>1</v>
    <v>639056736000000000,639059116436666249,0</v>
    <v>0</v>
    <v>a1om4c</v>
    <v>XNYS:BLK</v>
    <v>275</v>
  </rv>
  <rv s="24">
    <v>63</v>
    <v>a1zbvh</v>
    <v>Daily</v>
    <v>46057</v>
    <v>46057</v>
    <v>0</v>
    <v>1</v>
    <v>639057600000000000,639059118364017478,0</v>
    <v>0</v>
    <v>a1zbvh</v>
    <v>XNAS:ORLY</v>
    <v>276</v>
  </rv>
  <rv s="24">
    <v>63</v>
    <v>a1zbvh</v>
    <v>Daily</v>
    <v>46056</v>
    <v>46056</v>
    <v>0</v>
    <v>1</v>
    <v>639056736000000000,639059116437839370,0</v>
    <v>0</v>
    <v>a1zbvh</v>
    <v>XNAS:ORLY</v>
    <v>277</v>
  </rv>
  <rv s="24">
    <v>63</v>
    <v>a1w6zr</v>
    <v>Daily</v>
    <v>46056</v>
    <v>46056</v>
    <v>0</v>
    <v>1</v>
    <v>639056736000000000,639059116461447307,0</v>
    <v>0</v>
    <v>a1w6zr</v>
    <v>XNAS:JKHY</v>
    <v>278</v>
  </rv>
  <rv s="24">
    <v>63</v>
    <v>a1w6zr</v>
    <v>Daily</v>
    <v>46057</v>
    <v>46057</v>
    <v>0</v>
    <v>1</v>
    <v>639057600000000000,639059118365430802,0</v>
    <v>0</v>
    <v>a1w6zr</v>
    <v>XNAS:JKHY</v>
    <v>279</v>
  </rv>
  <rv s="24">
    <v>63</v>
    <v>a1w8ec</v>
    <v>Daily</v>
    <v>46056</v>
    <v>46057</v>
    <v>0</v>
    <v>1</v>
    <v>639057600000000000,639062613040723103,0</v>
    <v>280</v>
    <v>a1w8ec</v>
    <v>XNYS:JNJ</v>
    <v>281</v>
  </rv>
  <rv s="24">
    <v>63</v>
    <v>a1xear</v>
    <v>Daily</v>
    <v>46057</v>
    <v>46057</v>
    <v>0</v>
    <v>1</v>
    <v>639057600000000000,639059118363544997,0</v>
    <v>0</v>
    <v>a1xear</v>
    <v>XNYS:MCO</v>
    <v>282</v>
  </rv>
  <rv s="24">
    <v>63</v>
    <v>a1xear</v>
    <v>Daily</v>
    <v>46056</v>
    <v>46056</v>
    <v>0</v>
    <v>1</v>
    <v>639056736000000000,639059116437670569,0</v>
    <v>0</v>
    <v>a1xear</v>
    <v>XNYS:MCO</v>
    <v>283</v>
  </rv>
  <rv s="24">
    <v>63</v>
    <v>a213kr</v>
    <v>Daily</v>
    <v>46056</v>
    <v>46056</v>
    <v>0</v>
    <v>1</v>
    <v>639056736000000000,639059116436455440,0</v>
    <v>0</v>
    <v>a213kr</v>
    <v>XNAS:POOL</v>
    <v>284</v>
  </rv>
  <rv s="24">
    <v>63</v>
    <v>a213kr</v>
    <v>Daily</v>
    <v>46057</v>
    <v>46057</v>
    <v>0</v>
    <v>1</v>
    <v>639057600000000000,639059118361806978,0</v>
    <v>0</v>
    <v>a213kr</v>
    <v>XNAS:POOL</v>
    <v>285</v>
  </rv>
  <rv s="24">
    <v>63</v>
    <v>a1vc52</v>
    <v>Daily</v>
    <v>46056</v>
    <v>46056</v>
    <v>0</v>
    <v>1</v>
    <v>639056736000000000,639059116463474743,0</v>
    <v>0</v>
    <v>a1vc52</v>
    <v>XNYS:IEX</v>
    <v>286</v>
  </rv>
  <rv s="24">
    <v>63</v>
    <v>a1vc52</v>
    <v>Daily</v>
    <v>46057</v>
    <v>46057</v>
    <v>0</v>
    <v>1</v>
    <v>639057600000000000,639059118382612105,0</v>
    <v>0</v>
    <v>a1vc52</v>
    <v>XNYS:IEX</v>
    <v>287</v>
  </rv>
  <rv s="24">
    <v>63</v>
    <v>a1pejc</v>
    <v>Daily</v>
    <v>46056</v>
    <v>46056</v>
    <v>0</v>
    <v>1</v>
    <v>639056736000000000,639059116437349610,0</v>
    <v>0</v>
    <v>a1pejc</v>
    <v>XNAS:CDNS</v>
    <v>288</v>
  </rv>
  <rv s="24">
    <v>63</v>
    <v>a1pejc</v>
    <v>Daily</v>
    <v>46057</v>
    <v>46057</v>
    <v>0</v>
    <v>1</v>
    <v>639057600000000000,639059118362585925,0</v>
    <v>0</v>
    <v>a1pejc</v>
    <v>XNAS:CDNS</v>
    <v>289</v>
  </rv>
  <rv s="24">
    <v>63</v>
    <v>a1r63m</v>
    <v>Daily</v>
    <v>46056</v>
    <v>46056</v>
    <v>0</v>
    <v>1</v>
    <v>639056736000000000,639059116438697821,0</v>
    <v>0</v>
    <v>a1r63m</v>
    <v>XNAS:DLTR</v>
    <v>290</v>
  </rv>
  <rv s="24">
    <v>63</v>
    <v>a1r63m</v>
    <v>Daily</v>
    <v>46057</v>
    <v>46057</v>
    <v>0</v>
    <v>1</v>
    <v>639057600000000000,639059118366956609,0</v>
    <v>0</v>
    <v>a1r63m</v>
    <v>XNAS:DLTR</v>
    <v>291</v>
  </rv>
  <rv s="24">
    <v>63</v>
    <v>a1ruc7</v>
    <v>Daily</v>
    <v>46057</v>
    <v>46057</v>
    <v>0</v>
    <v>1</v>
    <v>639057600000000000,639059118373502038,0</v>
    <v>0</v>
    <v>a1ruc7</v>
    <v>XNYS:EL</v>
    <v>292</v>
  </rv>
  <rv s="24">
    <v>63</v>
    <v>a1ruc7</v>
    <v>Daily</v>
    <v>46056</v>
    <v>46056</v>
    <v>0</v>
    <v>1</v>
    <v>639056736000000000,639059116450629227,0</v>
    <v>0</v>
    <v>a1ruc7</v>
    <v>XNYS:EL</v>
    <v>293</v>
  </rv>
  <rv s="24">
    <v>63</v>
    <v>a23vdm</v>
    <v>Daily</v>
    <v>46056</v>
    <v>46056</v>
    <v>0</v>
    <v>1</v>
    <v>639056736000000000,639059116446173318,0</v>
    <v>0</v>
    <v>a23vdm</v>
    <v>XNYS:SYK</v>
    <v>294</v>
  </rv>
  <rv s="24">
    <v>63</v>
    <v>a23vdm</v>
    <v>Daily</v>
    <v>46057</v>
    <v>46057</v>
    <v>0</v>
    <v>1</v>
    <v>639057600000000000,639059118376984617,0</v>
    <v>0</v>
    <v>a23vdm</v>
    <v>XNYS:SYK</v>
    <v>295</v>
  </rv>
  <rv s="24">
    <v>63</v>
    <v>a1xvzr</v>
    <v>Daily</v>
    <v>46057</v>
    <v>46057</v>
    <v>0</v>
    <v>1</v>
    <v>639057600000000000,639059118377584142,0</v>
    <v>0</v>
    <v>a1xvzr</v>
    <v>XNYS:MPC</v>
    <v>296</v>
  </rv>
  <rv s="24">
    <v>63</v>
    <v>a1xvzr</v>
    <v>Daily</v>
    <v>46056</v>
    <v>46056</v>
    <v>0</v>
    <v>1</v>
    <v>639056736000000000,639059116449971541,0</v>
    <v>0</v>
    <v>a1xvzr</v>
    <v>XNYS:MPC</v>
    <v>297</v>
  </rv>
  <rv s="24">
    <v>63</v>
    <v>a1pp5r</v>
    <v>Daily</v>
    <v>46056</v>
    <v>46056</v>
    <v>0</v>
    <v>1</v>
    <v>639056736000000000,639059116436779621,0</v>
    <v>0</v>
    <v>a1pp5r</v>
    <v>XNYS:CI</v>
    <v>298</v>
  </rv>
  <rv s="24">
    <v>63</v>
    <v>a1pp5r</v>
    <v>Daily</v>
    <v>46057</v>
    <v>46057</v>
    <v>0</v>
    <v>1</v>
    <v>639057600000000000,639059118360717495,0</v>
    <v>0</v>
    <v>a1pp5r</v>
    <v>XNYS:CI</v>
    <v>299</v>
  </rv>
  <rv s="24">
    <v>63</v>
    <v>a1wzw7</v>
    <v>Daily</v>
    <v>46057</v>
    <v>46057</v>
    <v>0</v>
    <v>1</v>
    <v>639057600000000000,639059118360587460,0</v>
    <v>0</v>
    <v>a1wzw7</v>
    <v>XNYS:LMT</v>
    <v>300</v>
  </rv>
  <rv s="24">
    <v>63</v>
    <v>a1wzw7</v>
    <v>Daily</v>
    <v>46056</v>
    <v>46056</v>
    <v>0</v>
    <v>1</v>
    <v>639056736000000000,639059116436759706,0</v>
    <v>0</v>
    <v>a1wzw7</v>
    <v>XNYS:LMT</v>
    <v>301</v>
  </rv>
  <rv s="24">
    <v>63</v>
    <v>bu3f2w</v>
    <v>Daily</v>
    <v>46056</v>
    <v>46056</v>
    <v>0</v>
    <v>1</v>
    <v>639056736000000000,639059116439109762,0</v>
    <v>0</v>
    <v>bu3f2w</v>
    <v>XNYS:OTIS</v>
    <v>302</v>
  </rv>
  <rv s="24">
    <v>63</v>
    <v>bu3f2w</v>
    <v>Daily</v>
    <v>46057</v>
    <v>46057</v>
    <v>0</v>
    <v>1</v>
    <v>639057600000000000,639059118359907709,0</v>
    <v>0</v>
    <v>bu3f2w</v>
    <v>XNYS:OTIS</v>
    <v>303</v>
  </rv>
  <rv s="24">
    <v>63</v>
    <v>a26c9c</v>
    <v>Daily</v>
    <v>46056</v>
    <v>46056</v>
    <v>0</v>
    <v>1</v>
    <v>639056736000000000,639059116440572172,0</v>
    <v>0</v>
    <v>a26c9c</v>
    <v>XNYS:XYL</v>
    <v>304</v>
  </rv>
  <rv s="24">
    <v>63</v>
    <v>a26c9c</v>
    <v>Daily</v>
    <v>46057</v>
    <v>46057</v>
    <v>0</v>
    <v>1</v>
    <v>639057600000000000,639059118371481729,0</v>
    <v>0</v>
    <v>a26c9c</v>
    <v>XNYS:XYL</v>
    <v>305</v>
  </rv>
  <rv s="24">
    <v>63</v>
    <v>a25f6h</v>
    <v>Daily</v>
    <v>46057</v>
    <v>46057</v>
    <v>0</v>
    <v>1</v>
    <v>639057600000000000,639059118370368912,0</v>
    <v>0</v>
    <v>a25f6h</v>
    <v>XNYS:VMC</v>
    <v>306</v>
  </rv>
  <rv s="24">
    <v>63</v>
    <v>a25f6h</v>
    <v>Daily</v>
    <v>46056</v>
    <v>46056</v>
    <v>0</v>
    <v>1</v>
    <v>639056736000000000,639059116439818035,0</v>
    <v>0</v>
    <v>a25f6h</v>
    <v>XNYS:VMC</v>
    <v>307</v>
  </rv>
  <rv s="24">
    <v>63</v>
    <v>a1uou2</v>
    <v>Daily</v>
    <v>46057</v>
    <v>46057</v>
    <v>0</v>
    <v>1</v>
    <v>639057600000000000,639059118369255078,0</v>
    <v>0</v>
    <v>a1uou2</v>
    <v>XNYS:HIG</v>
    <v>308</v>
  </rv>
  <rv s="24">
    <v>63</v>
    <v>a1uou2</v>
    <v>Daily</v>
    <v>46056</v>
    <v>46056</v>
    <v>0</v>
    <v>1</v>
    <v>639056736000000000,639059116439066794,0</v>
    <v>0</v>
    <v>a1uou2</v>
    <v>XNYS:HIG</v>
    <v>309</v>
  </rv>
  <rv s="24">
    <v>63</v>
    <v>a21mzr</v>
    <v>Daily</v>
    <v>46056</v>
    <v>46056</v>
    <v>0</v>
    <v>1</v>
    <v>639056736000000000,639059116438319286,0</v>
    <v>0</v>
    <v>a21mzr</v>
    <v>XNAS:QRVO</v>
    <v>310</v>
  </rv>
  <rv s="24">
    <v>63</v>
    <v>a21mzr</v>
    <v>Daily</v>
    <v>46057</v>
    <v>46057</v>
    <v>0</v>
    <v>1</v>
    <v>639057600000000000,639059118385072051,0</v>
    <v>0</v>
    <v>a21mzr</v>
    <v>XNAS:QRVO</v>
    <v>311</v>
  </rv>
  <rv s="24">
    <v>63</v>
    <v>a1xzim</v>
    <v>Daily</v>
    <v>46056</v>
    <v>46057</v>
    <v>0</v>
    <v>1</v>
    <v>639057600000000000,639059004687249326,0</v>
    <v>280</v>
    <v>a1xzim</v>
    <v>XNAS:MSFT</v>
    <v>312</v>
  </rv>
  <rv s="24">
    <v>63</v>
    <v>a24zec</v>
    <v>Daily</v>
    <v>46057</v>
    <v>46057</v>
    <v>0</v>
    <v>1</v>
    <v>639057600000000000,639059118376642548,0</v>
    <v>0</v>
    <v>a24zec</v>
    <v>XNYS:URI</v>
    <v>313</v>
  </rv>
  <rv s="24">
    <v>63</v>
    <v>a24zec</v>
    <v>Daily</v>
    <v>46056</v>
    <v>46056</v>
    <v>0</v>
    <v>1</v>
    <v>639056736000000000,639059116449905676,0</v>
    <v>0</v>
    <v>a24zec</v>
    <v>XNYS:URI</v>
    <v>314</v>
  </rv>
  <rv s="24">
    <v>63</v>
    <v>a1tctc</v>
    <v>Daily</v>
    <v>46056</v>
    <v>46056</v>
    <v>0</v>
    <v>1</v>
    <v>639056736000000000,639059116436655023,0</v>
    <v>0</v>
    <v>a1tctc</v>
    <v>XNYS:FRT</v>
    <v>315</v>
  </rv>
  <rv s="24">
    <v>63</v>
    <v>a1tctc</v>
    <v>Daily</v>
    <v>46057</v>
    <v>46057</v>
    <v>0</v>
    <v>1</v>
    <v>639057600000000000,639059118387731731,0</v>
    <v>0</v>
    <v>a1tctc</v>
    <v>XNYS:FRT</v>
    <v>316</v>
  </rv>
  <rv s="24">
    <v>63</v>
    <v>a23wlh</v>
    <v>Daily</v>
    <v>46056</v>
    <v>46056</v>
    <v>0</v>
    <v>1</v>
    <v>639056736000000000,639059116444445402,0</v>
    <v>0</v>
    <v>a23wlh</v>
    <v>XNYS:SYY</v>
    <v>317</v>
  </rv>
  <rv s="24">
    <v>63</v>
    <v>a23wlh</v>
    <v>Daily</v>
    <v>46057</v>
    <v>46057</v>
    <v>0</v>
    <v>1</v>
    <v>639057600000000000,639059118366992241,0</v>
    <v>0</v>
    <v>a23wlh</v>
    <v>XNYS:SYY</v>
    <v>318</v>
  </rv>
  <rv s="24">
    <v>63</v>
    <v>a1p18m</v>
    <v>Daily</v>
    <v>46056</v>
    <v>46056</v>
    <v>0</v>
    <v>1</v>
    <v>639056736000000000,639059116436633426,0</v>
    <v>0</v>
    <v>a1p18m</v>
    <v>XNYS:BWA</v>
    <v>319</v>
  </rv>
  <rv s="24">
    <v>63</v>
    <v>a1p18m</v>
    <v>Daily</v>
    <v>46057</v>
    <v>46057</v>
    <v>0</v>
    <v>1</v>
    <v>639057600000000000,639059118374234423,0</v>
    <v>0</v>
    <v>a1p18m</v>
    <v>XNYS:BWA</v>
    <v>320</v>
  </rv>
  <rv s="24">
    <v>63</v>
    <v>a1ngur</v>
    <v>Daily</v>
    <v>46057</v>
    <v>46057</v>
    <v>0</v>
    <v>1</v>
    <v>639057600000000000,639059118382472164,0</v>
    <v>0</v>
    <v>a1ngur</v>
    <v>XNYS:AMT</v>
    <v>321</v>
  </rv>
  <rv s="24">
    <v>63</v>
    <v>a1ngur</v>
    <v>Daily</v>
    <v>46056</v>
    <v>46056</v>
    <v>0</v>
    <v>1</v>
    <v>639056736000000000,639059116446304114,0</v>
    <v>0</v>
    <v>a1ngur</v>
    <v>XNYS:AMT</v>
    <v>322</v>
  </rv>
  <rv s="24">
    <v>63</v>
    <v>a1w1rw</v>
    <v>Daily</v>
    <v>46056</v>
    <v>46056</v>
    <v>0</v>
    <v>1</v>
    <v>639056736000000000,639059116460419361,0</v>
    <v>0</v>
    <v>a1w1rw</v>
    <v>XNAS:JBHT</v>
    <v>323</v>
  </rv>
  <rv s="24">
    <v>63</v>
    <v>a1w1rw</v>
    <v>Daily</v>
    <v>46057</v>
    <v>46057</v>
    <v>0</v>
    <v>1</v>
    <v>639057600000000000,639059118381426755,0</v>
    <v>0</v>
    <v>a1w1rw</v>
    <v>XNAS:JBHT</v>
    <v>324</v>
  </rv>
  <rv s="24">
    <v>63</v>
    <v>a22227</v>
    <v>Daily</v>
    <v>46056</v>
    <v>46056</v>
    <v>0</v>
    <v>1</v>
    <v>639056736000000000,639059116455836936,0</v>
    <v>0</v>
    <v>a22227</v>
    <v>XNYS:RJF</v>
    <v>325</v>
  </rv>
  <rv s="24">
    <v>63</v>
    <v>a22227</v>
    <v>Daily</v>
    <v>46057</v>
    <v>46057</v>
    <v>0</v>
    <v>1</v>
    <v>639057600000000000,639059118374457864,0</v>
    <v>0</v>
    <v>a22227</v>
    <v>XNYS:RJF</v>
    <v>326</v>
  </rv>
  <rv s="24">
    <v>63</v>
    <v>a1wy1h</v>
    <v>Daily</v>
    <v>46056</v>
    <v>46056</v>
    <v>0</v>
    <v>1</v>
    <v>639056736000000000,639059116436564964,0</v>
    <v>0</v>
    <v>a1wy1h</v>
    <v>XNAS:LKQ</v>
    <v>327</v>
  </rv>
  <rv s="24">
    <v>63</v>
    <v>a1wy1h</v>
    <v>Daily</v>
    <v>46057</v>
    <v>46057</v>
    <v>0</v>
    <v>1</v>
    <v>639057600000000000,639059118376394638,0</v>
    <v>0</v>
    <v>a1wy1h</v>
    <v>XNAS:LKQ</v>
    <v>328</v>
  </rv>
  <rv s="24">
    <v>63</v>
    <v>a1pokr</v>
    <v>Daily</v>
    <v>46057</v>
    <v>46057</v>
    <v>0</v>
    <v>1</v>
    <v>639057600000000000,639059118389795291,0</v>
    <v>0</v>
    <v>a1pokr</v>
    <v>XNAS:CHTR</v>
    <v>329</v>
  </rv>
  <rv s="24">
    <v>63</v>
    <v>a1pokr</v>
    <v>Daily</v>
    <v>46056</v>
    <v>46056</v>
    <v>0</v>
    <v>1</v>
    <v>639056736000000000,639059116436545095,0</v>
    <v>0</v>
    <v>a1pokr</v>
    <v>XNAS:CHTR</v>
    <v>330</v>
  </rv>
  <rv s="24">
    <v>63</v>
    <v>a1ry3m</v>
    <v>Daily</v>
    <v>46056</v>
    <v>46056</v>
    <v>0</v>
    <v>1</v>
    <v>639056736000000000,639059116437405476,0</v>
    <v>0</v>
    <v>a1ry3m</v>
    <v>XNYS:EMR</v>
    <v>331</v>
  </rv>
  <rv s="24">
    <v>63</v>
    <v>a1ry3m</v>
    <v>Daily</v>
    <v>46057</v>
    <v>46057</v>
    <v>0</v>
    <v>1</v>
    <v>639057600000000000,639059118363326098,0</v>
    <v>0</v>
    <v>a1ry3m</v>
    <v>XNYS:EMR</v>
    <v>332</v>
  </rv>
  <rv s="24">
    <v>63</v>
    <v>a1u1z2</v>
    <v>Daily</v>
    <v>46057</v>
    <v>46057</v>
    <v>0</v>
    <v>1</v>
    <v>639057600000000000,639059118374487175,0</v>
    <v>0</v>
    <v>a1u1z2</v>
    <v>XNYS:GNRC</v>
    <v>333</v>
  </rv>
  <rv s="24">
    <v>63</v>
    <v>a1u1z2</v>
    <v>Daily</v>
    <v>46056</v>
    <v>46056</v>
    <v>0</v>
    <v>1</v>
    <v>639056736000000000,639059116462484250,0</v>
    <v>0</v>
    <v>a1u1z2</v>
    <v>XNYS:GNRC</v>
    <v>334</v>
  </rv>
  <rv s="24">
    <v>63</v>
    <v>a1qbxm</v>
    <v>Daily</v>
    <v>46057</v>
    <v>46057</v>
    <v>0</v>
    <v>1</v>
    <v>639057600000000000,639059118376234793,0</v>
    <v>0</v>
    <v>a1qbxm</v>
    <v>XNYS:CRL</v>
    <v>335</v>
  </rv>
  <rv s="24">
    <v>63</v>
    <v>a1qbxm</v>
    <v>Daily</v>
    <v>46056</v>
    <v>46056</v>
    <v>0</v>
    <v>1</v>
    <v>639056736000000000,639059116436526366,0</v>
    <v>0</v>
    <v>a1qbxm</v>
    <v>XNYS:CRL</v>
    <v>336</v>
  </rv>
  <rv s="24">
    <v>63</v>
    <v>a227lh</v>
    <v>Daily</v>
    <v>46057</v>
    <v>46057</v>
    <v>0</v>
    <v>1</v>
    <v>639057600000000000,639059118378522978,0</v>
    <v>0</v>
    <v>a227lh</v>
    <v>XNAS:ROST</v>
    <v>337</v>
  </rv>
  <rv s="24">
    <v>63</v>
    <v>a227lh</v>
    <v>Daily</v>
    <v>46056</v>
    <v>46056</v>
    <v>0</v>
    <v>1</v>
    <v>639056736000000000,639059116450026182,0</v>
    <v>0</v>
    <v>a227lh</v>
    <v>XNAS:ROST</v>
    <v>338</v>
  </rv>
  <rv s="24">
    <v>63</v>
    <v>a1uj52</v>
    <v>Daily</v>
    <v>46056</v>
    <v>46057</v>
    <v>0</v>
    <v>1</v>
    <v>639057600000000000,639059004686159134,0</v>
    <v>280</v>
    <v>a1uj52</v>
    <v>XNYS:HD</v>
    <v>339</v>
  </rv>
  <rv s="24">
    <v>63</v>
    <v>a1x8nm</v>
    <v>Daily</v>
    <v>46056</v>
    <v>46056</v>
    <v>0</v>
    <v>1</v>
    <v>639056736000000000,639059116436590448,0</v>
    <v>0</v>
    <v>a1x8nm</v>
    <v>XNYS:LYV</v>
    <v>340</v>
  </rv>
  <rv s="24">
    <v>63</v>
    <v>a1x8nm</v>
    <v>Daily</v>
    <v>46057</v>
    <v>46057</v>
    <v>0</v>
    <v>1</v>
    <v>639057600000000000,639059118382384638,0</v>
    <v>0</v>
    <v>a1x8nm</v>
    <v>XNYS:LYV</v>
    <v>341</v>
  </rv>
  <rv s="24">
    <v>63</v>
    <v>a1x2ur</v>
    <v>Daily</v>
    <v>46057</v>
    <v>46057</v>
    <v>0</v>
    <v>1</v>
    <v>639057600000000000,639059118373899066,0</v>
    <v>0</v>
    <v>a1x2ur</v>
    <v>XNYS:LOW</v>
    <v>342</v>
  </rv>
  <rv s="24">
    <v>63</v>
    <v>a1x2ur</v>
    <v>Daily</v>
    <v>46056</v>
    <v>46056</v>
    <v>0</v>
    <v>1</v>
    <v>639056736000000000,639059116446134352,0</v>
    <v>0</v>
    <v>a1x2ur</v>
    <v>XNYS:LOW</v>
    <v>343</v>
  </rv>
  <rv s="24">
    <v>63</v>
    <v>a1pxec</v>
    <v>Daily</v>
    <v>46057</v>
    <v>46057</v>
    <v>0</v>
    <v>1</v>
    <v>639057600000000000,639059118364077097,0</v>
    <v>0</v>
    <v>a1pxec</v>
    <v>XNYS:CMI</v>
    <v>344</v>
  </rv>
  <rv s="24">
    <v>63</v>
    <v>a1pxec</v>
    <v>Daily</v>
    <v>46056</v>
    <v>46056</v>
    <v>0</v>
    <v>1</v>
    <v>639056736000000000,639059116446188522,0</v>
    <v>0</v>
    <v>a1pxec</v>
    <v>XNYS:CMI</v>
    <v>345</v>
  </rv>
  <rv s="24">
    <v>63</v>
    <v>a1pyar</v>
    <v>Daily</v>
    <v>46056</v>
    <v>46056</v>
    <v>0</v>
    <v>1</v>
    <v>639056736000000000,639059116441250583,0</v>
    <v>0</v>
    <v>a1pyar</v>
    <v>XNYS:CMS</v>
    <v>346</v>
  </rv>
  <rv s="24">
    <v>63</v>
    <v>a1pyar</v>
    <v>Daily</v>
    <v>46057</v>
    <v>46057</v>
    <v>0</v>
    <v>1</v>
    <v>639057600000000000,639059118361556095,0</v>
    <v>0</v>
    <v>a1pyar</v>
    <v>XNYS:CMS</v>
    <v>347</v>
  </rv>
  <rv s="24">
    <v>63</v>
    <v>a1qyvh</v>
    <v>Daily</v>
    <v>46056</v>
    <v>46056</v>
    <v>0</v>
    <v>1</v>
    <v>639056736000000000,639059116441620061,0</v>
    <v>0</v>
    <v>a1qyvh</v>
    <v>XNYS:DG</v>
    <v>348</v>
  </rv>
  <rv s="24">
    <v>63</v>
    <v>a1qyvh</v>
    <v>Daily</v>
    <v>46057</v>
    <v>46057</v>
    <v>0</v>
    <v>1</v>
    <v>639057600000000000,639059118361719244,0</v>
    <v>0</v>
    <v>a1qyvh</v>
    <v>XNYS:DG</v>
    <v>76</v>
  </rv>
  <rv s="24">
    <v>63</v>
    <v>a24poc</v>
    <v>Daily</v>
    <v>46057</v>
    <v>46057</v>
    <v>0</v>
    <v>1</v>
    <v>639057600000000000,639059118387867131,0</v>
    <v>0</v>
    <v>a24poc</v>
    <v>XNYS:TYL</v>
    <v>349</v>
  </rv>
  <rv s="24">
    <v>63</v>
    <v>a24poc</v>
    <v>Daily</v>
    <v>46056</v>
    <v>46056</v>
    <v>0</v>
    <v>1</v>
    <v>639056736000000000,639059116464010396,0</v>
    <v>0</v>
    <v>a24poc</v>
    <v>XNYS:TYL</v>
    <v>350</v>
  </rv>
  <rv s="24">
    <v>63</v>
    <v>a1wkbh</v>
    <v>Daily</v>
    <v>46056</v>
    <v>46056</v>
    <v>0</v>
    <v>1</v>
    <v>639056736000000000,639059116438868205,0</v>
    <v>0</v>
    <v>a1wkbh</v>
    <v>XNYS:KMI</v>
    <v>351</v>
  </rv>
  <rv s="24">
    <v>63</v>
    <v>a1wkbh</v>
    <v>Daily</v>
    <v>46057</v>
    <v>46057</v>
    <v>0</v>
    <v>1</v>
    <v>639057600000000000,639059118359866840,0</v>
    <v>0</v>
    <v>a1wkbh</v>
    <v>XNYS:KMI</v>
    <v>352</v>
  </rv>
  <rv s="24">
    <v>63</v>
    <v>a23ocw</v>
    <v>Daily</v>
    <v>46057</v>
    <v>46057</v>
    <v>0</v>
    <v>1</v>
    <v>639057600000000000,639059118361404271,0</v>
    <v>0</v>
    <v>a23ocw</v>
    <v>XNYS:STE</v>
    <v>353</v>
  </rv>
  <rv s="24">
    <v>63</v>
    <v>a23ocw</v>
    <v>Daily</v>
    <v>46056</v>
    <v>46056</v>
    <v>0</v>
    <v>1</v>
    <v>639056736000000000,639059116440878294,0</v>
    <v>0</v>
    <v>a23ocw</v>
    <v>XNYS:STE</v>
    <v>354</v>
  </rv>
  <rv s="24">
    <v>63</v>
    <v>a1r9lh</v>
    <v>Daily</v>
    <v>46057</v>
    <v>46057</v>
    <v>0</v>
    <v>1</v>
    <v>639057600000000000,639059118381904372,0</v>
    <v>0</v>
    <v>a1r9lh</v>
    <v>XNAS:DPZ</v>
    <v>355</v>
  </rv>
  <rv s="24">
    <v>63</v>
    <v>a1r9lh</v>
    <v>Daily</v>
    <v>46056</v>
    <v>46056</v>
    <v>0</v>
    <v>1</v>
    <v>639056736000000000,639059116436498228,0</v>
    <v>0</v>
    <v>a1r9lh</v>
    <v>XNAS:DPZ</v>
    <v>356</v>
  </rv>
  <rv s="24">
    <v>63</v>
    <v>a1nlzr</v>
    <v>Daily</v>
    <v>46057</v>
    <v>46057</v>
    <v>0</v>
    <v>1</v>
    <v>639057600000000000,639059118382291041,0</v>
    <v>0</v>
    <v>a1nlzr</v>
    <v>XNYS:APO</v>
    <v>357</v>
  </rv>
  <rv s="24">
    <v>63</v>
    <v>a1nlzr</v>
    <v>Daily</v>
    <v>46056</v>
    <v>46056</v>
    <v>0</v>
    <v>1</v>
    <v>639056736000000000,639059116462367164,0</v>
    <v>0</v>
    <v>a1nlzr</v>
    <v>XNYS:APO</v>
    <v>358</v>
  </rv>
  <rv s="24">
    <v>63</v>
    <v>a1wi77</v>
    <v>Daily</v>
    <v>46057</v>
    <v>46057</v>
    <v>0</v>
    <v>1</v>
    <v>639057600000000000,639059118385250811,0</v>
    <v>0</v>
    <v>a1wi77</v>
    <v>XNAS:KHC</v>
    <v>359</v>
  </rv>
  <rv s="24">
    <v>63</v>
    <v>a1wi77</v>
    <v>Daily</v>
    <v>46056</v>
    <v>46056</v>
    <v>0</v>
    <v>1</v>
    <v>639056736000000000,639059116448630065,0</v>
    <v>0</v>
    <v>a1wi77</v>
    <v>XNAS:KHC</v>
    <v>360</v>
  </rv>
  <rv s="24">
    <v>63</v>
    <v>a1tdvh</v>
    <v>Daily</v>
    <v>46056</v>
    <v>46056</v>
    <v>0</v>
    <v>1</v>
    <v>639056736000000000,639059116457757619,0</v>
    <v>0</v>
    <v>a1tdvh</v>
    <v>XNAS:FSLR</v>
    <v>361</v>
  </rv>
  <rv s="24">
    <v>63</v>
    <v>a1tdvh</v>
    <v>Daily</v>
    <v>46057</v>
    <v>46057</v>
    <v>0</v>
    <v>1</v>
    <v>639057600000000000,639059118381264351,0</v>
    <v>0</v>
    <v>a1tdvh</v>
    <v>XNAS:FSLR</v>
    <v>362</v>
  </rv>
  <rv s="24">
    <v>63</v>
    <v>a1yv52</v>
    <v>Daily</v>
    <v>46056</v>
    <v>46057</v>
    <v>0</v>
    <v>1</v>
    <v>639057600000000000,639059004685640182,0</v>
    <v>280</v>
    <v>a1yv52</v>
    <v>XNAS:NVDA</v>
    <v>363</v>
  </rv>
  <rv s="24">
    <v>63</v>
    <v>a1x7im</v>
    <v>Daily</v>
    <v>46057</v>
    <v>46057</v>
    <v>0</v>
    <v>1</v>
    <v>639057600000000000,639059118361083734,0</v>
    <v>0</v>
    <v>a1x7im</v>
    <v>XNYS:LVS</v>
    <v>364</v>
  </rv>
  <rv s="24">
    <v>63</v>
    <v>a1x7im</v>
    <v>Daily</v>
    <v>46056</v>
    <v>46056</v>
    <v>0</v>
    <v>1</v>
    <v>639056736000000000,639059116440129443,0</v>
    <v>0</v>
    <v>a1x7im</v>
    <v>XNYS:LVS</v>
    <v>365</v>
  </rv>
  <rv s="24">
    <v>63</v>
    <v>a1n7yc</v>
    <v>Daily</v>
    <v>46057</v>
    <v>46057</v>
    <v>0</v>
    <v>1</v>
    <v>639057600000000000,639059118376949113,0</v>
    <v>0</v>
    <v>a1n7yc</v>
    <v>XNAS:AKAM</v>
    <v>366</v>
  </rv>
  <rv s="24">
    <v>63</v>
    <v>a1n7yc</v>
    <v>Daily</v>
    <v>46056</v>
    <v>46056</v>
    <v>0</v>
    <v>1</v>
    <v>639056736000000000,639059116456987681,0</v>
    <v>0</v>
    <v>a1n7yc</v>
    <v>XNAS:AKAM</v>
    <v>367</v>
  </rv>
  <rv s="24">
    <v>63</v>
    <v>a21uim</v>
    <v>Daily</v>
    <v>46057</v>
    <v>46057</v>
    <v>0</v>
    <v>1</v>
    <v>639057600000000000,639059118360880729,0</v>
    <v>0</v>
    <v>a21uim</v>
    <v>XNAS:REGN</v>
    <v>368</v>
  </rv>
  <rv s="24">
    <v>63</v>
    <v>a21uim</v>
    <v>Daily</v>
    <v>46056</v>
    <v>46056</v>
    <v>0</v>
    <v>1</v>
    <v>639056736000000000,639059116436816675,0</v>
    <v>0</v>
    <v>a21uim</v>
    <v>XNAS:REGN</v>
    <v>369</v>
  </rv>
  <rv s="24">
    <v>63</v>
    <v>a25xgh</v>
    <v>Daily</v>
    <v>46056</v>
    <v>46056</v>
    <v>0</v>
    <v>1</v>
    <v>639056736000000000,639059116455282332,0</v>
    <v>0</v>
    <v>a25xgh</v>
    <v>XNAS:WTW</v>
    <v>370</v>
  </rv>
  <rv s="24">
    <v>63</v>
    <v>a25xgh</v>
    <v>Daily</v>
    <v>46057</v>
    <v>46057</v>
    <v>0</v>
    <v>1</v>
    <v>639057600000000000,639059118378473346,0</v>
    <v>0</v>
    <v>a25xgh</v>
    <v>XNAS:WTW</v>
    <v>371</v>
  </rv>
  <rv s="24">
    <v>63</v>
    <v>a1v6nm</v>
    <v>Daily</v>
    <v>46056</v>
    <v>46057</v>
    <v>0</v>
    <v>1</v>
    <v>639057600000000000,639059004685578289,0</v>
    <v>280</v>
    <v>a1v6nm</v>
    <v>XNYS:IBM</v>
    <v>372</v>
  </rv>
  <rv s="24">
    <v>63</v>
    <v>a22xk2</v>
    <v>Daily</v>
    <v>46057</v>
    <v>46057</v>
    <v>0</v>
    <v>1</v>
    <v>639057600000000000,639059004686058180,0</v>
    <v>0</v>
    <v>a22xk2</v>
    <v>XNYS:SHW</v>
    <v>373</v>
  </rv>
  <rv s="24">
    <v>63</v>
    <v>a22xk2</v>
    <v>Daily</v>
    <v>46056</v>
    <v>46056</v>
    <v>0</v>
    <v>1</v>
    <v>639056736000000000,639062613023884887,0</v>
    <v>0</v>
    <v>a22xk2</v>
    <v>XNYS:SHW</v>
    <v>374</v>
  </rv>
  <rv s="24">
    <v>63</v>
    <v>a22xk2</v>
    <v>Daily</v>
    <v>46056</v>
    <v>46057</v>
    <v>0</v>
    <v>1</v>
    <v>639057600000000000,639081038181454194,0</v>
    <v>280</v>
    <v>a22xk2</v>
    <v>XNYS:SHW</v>
    <v>375</v>
  </rv>
  <rv s="24">
    <v>63</v>
    <v>a1rdzr</v>
    <v>Daily</v>
    <v>46056</v>
    <v>46056</v>
    <v>0</v>
    <v>1</v>
    <v>639056736000000000,639059116448456206,0</v>
    <v>0</v>
    <v>a1rdzr</v>
    <v>XNYS:DUK</v>
    <v>376</v>
  </rv>
  <rv s="24">
    <v>63</v>
    <v>a1rdzr</v>
    <v>Daily</v>
    <v>46057</v>
    <v>46057</v>
    <v>0</v>
    <v>1</v>
    <v>639057600000000000,639059118377421967,0</v>
    <v>0</v>
    <v>a1rdzr</v>
    <v>XNYS:DUK</v>
    <v>377</v>
  </rv>
  <rv s="24">
    <v>63</v>
    <v>a1ufm7</v>
    <v>Daily</v>
    <v>46057</v>
    <v>46057</v>
    <v>0</v>
    <v>1</v>
    <v>639057600000000000,639059118359502973,0</v>
    <v>0</v>
    <v>a1ufm7</v>
    <v>XNYS:HAL</v>
    <v>378</v>
  </rv>
  <rv s="24">
    <v>63</v>
    <v>a1ufm7</v>
    <v>Daily</v>
    <v>46056</v>
    <v>46056</v>
    <v>0</v>
    <v>1</v>
    <v>639056736000000000,639059116442056538,0</v>
    <v>0</v>
    <v>a1ufm7</v>
    <v>XNYS:HAL</v>
    <v>379</v>
  </rv>
  <rv s="24">
    <v>63</v>
    <v>a1sioc</v>
    <v>Daily</v>
    <v>46056</v>
    <v>46056</v>
    <v>0</v>
    <v>1</v>
    <v>639056736000000000,639059116439759518,0</v>
    <v>0</v>
    <v>a1sioc</v>
    <v>XNYS:EXR</v>
    <v>380</v>
  </rv>
  <rv s="24">
    <v>63</v>
    <v>a1sioc</v>
    <v>Daily</v>
    <v>46057</v>
    <v>46057</v>
    <v>0</v>
    <v>1</v>
    <v>639057600000000000,639059118360924772,0</v>
    <v>0</v>
    <v>a1sioc</v>
    <v>XNYS:EXR</v>
    <v>381</v>
  </rv>
  <rv s="24">
    <v>63</v>
    <v>a23r27</v>
    <v>Daily</v>
    <v>46056</v>
    <v>46056</v>
    <v>0</v>
    <v>1</v>
    <v>639056736000000000,639059116438272693,0</v>
    <v>0</v>
    <v>a23r27</v>
    <v>XNYS:STT</v>
    <v>382</v>
  </rv>
  <rv s="24">
    <v>63</v>
    <v>a23r27</v>
    <v>Daily</v>
    <v>46057</v>
    <v>46057</v>
    <v>0</v>
    <v>1</v>
    <v>639057600000000000,639059118360285029,0</v>
    <v>0</v>
    <v>a23r27</v>
    <v>XNYS:STT</v>
    <v>383</v>
  </rv>
  <rv s="24">
    <v>63</v>
    <v>a1vv8m</v>
    <v>Daily</v>
    <v>46056</v>
    <v>46056</v>
    <v>0</v>
    <v>1</v>
    <v>639056736000000000,639059116439322256,0</v>
    <v>0</v>
    <v>a1vv8m</v>
    <v>XNYS:ITW</v>
    <v>384</v>
  </rv>
  <rv s="24">
    <v>63</v>
    <v>a1vv8m</v>
    <v>Daily</v>
    <v>46057</v>
    <v>46057</v>
    <v>0</v>
    <v>1</v>
    <v>639057600000000000,639059118361698834,0</v>
    <v>0</v>
    <v>a1vv8m</v>
    <v>XNYS:ITW</v>
    <v>385</v>
  </rv>
  <rv s="24">
    <v>63</v>
    <v>a1xam7</v>
    <v>Daily</v>
    <v>46057</v>
    <v>46057</v>
    <v>0</v>
    <v>1</v>
    <v>639057600000000000,639059118379947149,0</v>
    <v>0</v>
    <v>a1xam7</v>
    <v>XNYS:MAS</v>
    <v>386</v>
  </rv>
  <rv s="24">
    <v>63</v>
    <v>a1xam7</v>
    <v>Daily</v>
    <v>46056</v>
    <v>46056</v>
    <v>0</v>
    <v>1</v>
    <v>639056736000000000,639059116452780354,0</v>
    <v>0</v>
    <v>a1xam7</v>
    <v>XNYS:MAS</v>
    <v>387</v>
  </rv>
  <rv s="24">
    <v>63</v>
    <v>a21rw7</v>
    <v>Daily</v>
    <v>46056</v>
    <v>46056</v>
    <v>0</v>
    <v>1</v>
    <v>639056736000000000,639059116441320078,0</v>
    <v>0</v>
    <v>a21rw7</v>
    <v>XNYS:RCL</v>
    <v>388</v>
  </rv>
  <rv s="24">
    <v>63</v>
    <v>a21rw7</v>
    <v>Daily</v>
    <v>46057</v>
    <v>46057</v>
    <v>0</v>
    <v>1</v>
    <v>639057600000000000,639059118359440329,0</v>
    <v>0</v>
    <v>a21rw7</v>
    <v>XNYS:RCL</v>
    <v>389</v>
  </rv>
  <rv s="24">
    <v>63</v>
    <v>a1n7mw</v>
    <v>Daily</v>
    <v>46056</v>
    <v>46056</v>
    <v>0</v>
    <v>1</v>
    <v>639056736000000000,639059116458866259,0</v>
    <v>0</v>
    <v>a1n7mw</v>
    <v>XNYS:AIZ</v>
    <v>390</v>
  </rv>
  <rv s="24">
    <v>63</v>
    <v>a1n7mw</v>
    <v>Daily</v>
    <v>46057</v>
    <v>46057</v>
    <v>0</v>
    <v>1</v>
    <v>639057600000000000,639059118376616396,0</v>
    <v>0</v>
    <v>a1n7mw</v>
    <v>XNYS:AIZ</v>
    <v>391</v>
  </rv>
  <rv s="24">
    <v>63</v>
    <v>a1pj4c</v>
    <v>Daily</v>
    <v>46057</v>
    <v>46057</v>
    <v>0</v>
    <v>1</v>
    <v>639057600000000000,639059118361281087,0</v>
    <v>0</v>
    <v>a1pj4c</v>
    <v>XNYS:CFG</v>
    <v>392</v>
  </rv>
  <rv s="24">
    <v>63</v>
    <v>a1pj4c</v>
    <v>Daily</v>
    <v>46056</v>
    <v>46056</v>
    <v>0</v>
    <v>1</v>
    <v>639056736000000000,639059116437242783,0</v>
    <v>0</v>
    <v>a1pj4c</v>
    <v>XNYS:CFG</v>
    <v>393</v>
  </rv>
  <rv s="24">
    <v>69</v>
    <v>aqclfr</v>
    <v>Daily</v>
    <v>46056</v>
    <v>46056</v>
    <v>0</v>
    <v>1</v>
    <v>639056736000000000,639059116437736658,0</v>
    <v>0</v>
    <v>aqclfr</v>
    <v>XWAR:TXT</v>
    <v>394</v>
  </rv>
  <rv s="24">
    <v>69</v>
    <v>aqclfr</v>
    <v>Daily</v>
    <v>46057</v>
    <v>46057</v>
    <v>0</v>
    <v>1</v>
    <v>639057600000000000,639059118362026302,0</v>
    <v>0</v>
    <v>aqclfr</v>
    <v>XWAR:TXT</v>
    <v>395</v>
  </rv>
  <rv s="24">
    <v>63</v>
    <v>a1p3ww</v>
    <v>Daily</v>
    <v>46056</v>
    <v>46056</v>
    <v>0</v>
    <v>1</v>
    <v>639056736000000000,639059116446223099,0</v>
    <v>0</v>
    <v>a1p3ww</v>
    <v>XNYS:C</v>
    <v>396</v>
  </rv>
  <rv s="24">
    <v>63</v>
    <v>a1p3ww</v>
    <v>Daily</v>
    <v>46057</v>
    <v>46057</v>
    <v>0</v>
    <v>1</v>
    <v>639057600000000000,639059118379820505,0</v>
    <v>0</v>
    <v>a1p3ww</v>
    <v>XNYS:C</v>
    <v>397</v>
  </rv>
  <rv s="24">
    <v>63</v>
    <v>a242qh</v>
    <v>Daily</v>
    <v>46056</v>
    <v>46056</v>
    <v>0</v>
    <v>1</v>
    <v>639056736000000000,639059116441675230,0</v>
    <v>0</v>
    <v>a242qh</v>
    <v>XNYS:TDG</v>
    <v>398</v>
  </rv>
  <rv s="24">
    <v>63</v>
    <v>a242qh</v>
    <v>Daily</v>
    <v>46057</v>
    <v>46057</v>
    <v>0</v>
    <v>1</v>
    <v>639057600000000000,639059118372579903,0</v>
    <v>0</v>
    <v>a242qh</v>
    <v>XNYS:TDG</v>
    <v>399</v>
  </rv>
  <rv s="24">
    <v>63</v>
    <v>a1qpw7</v>
    <v>Daily</v>
    <v>46057</v>
    <v>46057</v>
    <v>0</v>
    <v>1</v>
    <v>639057600000000000,639059118363702940,0</v>
    <v>0</v>
    <v>a1qpw7</v>
    <v>XNYS:D</v>
    <v>400</v>
  </rv>
  <rv s="24">
    <v>63</v>
    <v>a1qpw7</v>
    <v>Daily</v>
    <v>46056</v>
    <v>46056</v>
    <v>0</v>
    <v>1</v>
    <v>639056736000000000,639059116446023147,0</v>
    <v>0</v>
    <v>a1qpw7</v>
    <v>XNYS:D</v>
    <v>401</v>
  </rv>
  <rv s="24">
    <v>63</v>
    <v>a1uu5r</v>
    <v>Daily</v>
    <v>46057</v>
    <v>46057</v>
    <v>0</v>
    <v>1</v>
    <v>639057600000000000,639059118366833627,0</v>
    <v>0</v>
    <v>a1uu5r</v>
    <v>XNYS:HPQ</v>
    <v>402</v>
  </rv>
  <rv s="24">
    <v>63</v>
    <v>a1uu5r</v>
    <v>Daily</v>
    <v>46056</v>
    <v>46056</v>
    <v>0</v>
    <v>1</v>
    <v>639056736000000000,639059116444336139,0</v>
    <v>0</v>
    <v>a1uu5r</v>
    <v>XNYS:HPQ</v>
    <v>403</v>
  </rv>
  <rv s="24">
    <v>63</v>
    <v>a1nkm7</v>
    <v>Daily</v>
    <v>46057</v>
    <v>46057</v>
    <v>0</v>
    <v>1</v>
    <v>639057600000000000,639059118387703201,0</v>
    <v>0</v>
    <v>a1nkm7</v>
    <v>XNYS:AOS</v>
    <v>404</v>
  </rv>
  <rv s="24">
    <v>63</v>
    <v>a1nkm7</v>
    <v>Daily</v>
    <v>46056</v>
    <v>46056</v>
    <v>0</v>
    <v>1</v>
    <v>639056736000000000,639059116456325112,0</v>
    <v>0</v>
    <v>a1nkm7</v>
    <v>XNYS:AOS</v>
    <v>405</v>
  </rv>
  <rv s="24">
    <v>67</v>
    <v>bvtlrw</v>
    <v>Daily</v>
    <v>46056</v>
    <v>46056</v>
    <v>0</v>
    <v>1</v>
    <v>639056736000000000,639059116439837623,0</v>
    <v>0</v>
    <v>bvtlrw</v>
    <v>XWBO:AMP</v>
    <v>406</v>
  </rv>
  <rv s="24">
    <v>67</v>
    <v>bvtlrw</v>
    <v>Daily</v>
    <v>46057</v>
    <v>46057</v>
    <v>0</v>
    <v>1</v>
    <v>639057600000000000,639059118359304617,0</v>
    <v>0</v>
    <v>bvtlrw</v>
    <v>XWBO:AMP</v>
    <v>407</v>
  </rv>
  <rv s="24">
    <v>63</v>
    <v>a2139c</v>
    <v>Daily</v>
    <v>46056</v>
    <v>46056</v>
    <v>0</v>
    <v>1</v>
    <v>639056736000000000,639059116466464000,0</v>
    <v>0</v>
    <v>a2139c</v>
    <v>XNYS:PNW</v>
    <v>408</v>
  </rv>
  <rv s="24">
    <v>63</v>
    <v>a2139c</v>
    <v>Daily</v>
    <v>46057</v>
    <v>46057</v>
    <v>0</v>
    <v>1</v>
    <v>639057600000000000,639059118378870205,0</v>
    <v>0</v>
    <v>a2139c</v>
    <v>XNYS:PNW</v>
    <v>409</v>
  </rv>
  <rv s="24">
    <v>63</v>
    <v>a1ne3m</v>
    <v>Daily</v>
    <v>46057</v>
    <v>46057</v>
    <v>0</v>
    <v>1</v>
    <v>639057600000000000,639059118382500860,0</v>
    <v>0</v>
    <v>a1ne3m</v>
    <v>XNYS:AME</v>
    <v>410</v>
  </rv>
  <rv s="24">
    <v>63</v>
    <v>a1ne3m</v>
    <v>Daily</v>
    <v>46056</v>
    <v>46056</v>
    <v>0</v>
    <v>1</v>
    <v>639056736000000000,639059116452686470,0</v>
    <v>0</v>
    <v>a1ne3m</v>
    <v>XNYS:AME</v>
    <v>411</v>
  </rv>
  <rv s="24">
    <v>63</v>
    <v>a1oma2</v>
    <v>Daily</v>
    <v>46057</v>
    <v>46057</v>
    <v>0</v>
    <v>1</v>
    <v>639057600000000000,639059118360759594,0</v>
    <v>0</v>
    <v>a1oma2</v>
    <v>XNYS:BALL</v>
    <v>412</v>
  </rv>
  <rv s="24">
    <v>63</v>
    <v>a1oma2</v>
    <v>Daily</v>
    <v>46056</v>
    <v>46056</v>
    <v>0</v>
    <v>1</v>
    <v>639056736000000000,639059116439390162,0</v>
    <v>0</v>
    <v>a1oma2</v>
    <v>XNYS:BALL</v>
    <v>413</v>
  </rv>
  <rv s="24">
    <v>63</v>
    <v>a1zy3m</v>
    <v>Daily</v>
    <v>46057</v>
    <v>46057</v>
    <v>0</v>
    <v>1</v>
    <v>639057600000000000,639059118360573079,0</v>
    <v>0</v>
    <v>a1zy3m</v>
    <v>XNYS:PLD</v>
    <v>414</v>
  </rv>
  <rv s="24">
    <v>63</v>
    <v>a1zy3m</v>
    <v>Daily</v>
    <v>46056</v>
    <v>46056</v>
    <v>0</v>
    <v>1</v>
    <v>639056736000000000,639059116437611502,0</v>
    <v>0</v>
    <v>a1zy3m</v>
    <v>XNYS:PLD</v>
    <v>415</v>
  </rv>
  <rv s="24">
    <v>63</v>
    <v>a1mscw</v>
    <v>Daily</v>
    <v>46057</v>
    <v>46057</v>
    <v>0</v>
    <v>1</v>
    <v>639057600000000000,639059118380302466,0</v>
    <v>0</v>
    <v>a1mscw</v>
    <v>XNAS:ACGL</v>
    <v>416</v>
  </rv>
  <rv s="24">
    <v>63</v>
    <v>a1mscw</v>
    <v>Daily</v>
    <v>46056</v>
    <v>46056</v>
    <v>0</v>
    <v>1</v>
    <v>639056736000000000,639059116467662120,0</v>
    <v>0</v>
    <v>a1mscw</v>
    <v>XNAS:ACGL</v>
    <v>417</v>
  </rv>
  <rv s="24">
    <v>63</v>
    <v>a1rrh7</v>
    <v>Daily</v>
    <v>46057</v>
    <v>46057</v>
    <v>0</v>
    <v>1</v>
    <v>639057600000000000,639059118359477347,0</v>
    <v>0</v>
    <v>a1rrh7</v>
    <v>XNYS:EFX</v>
    <v>418</v>
  </rv>
  <rv s="24">
    <v>63</v>
    <v>a1rrh7</v>
    <v>Daily</v>
    <v>46056</v>
    <v>46056</v>
    <v>0</v>
    <v>1</v>
    <v>639056736000000000,639059116441692728,0</v>
    <v>0</v>
    <v>a1rrh7</v>
    <v>XNYS:EFX</v>
    <v>419</v>
  </rv>
  <rv s="24">
    <v>63</v>
    <v>a1utqh</v>
    <v>Daily</v>
    <v>46056</v>
    <v>46056</v>
    <v>0</v>
    <v>1</v>
    <v>639056736000000000,639059116441315150,0</v>
    <v>0</v>
    <v>a1utqh</v>
    <v>XNYS:HPE</v>
    <v>420</v>
  </rv>
  <rv s="24">
    <v>63</v>
    <v>a1utqh</v>
    <v>Daily</v>
    <v>46057</v>
    <v>46057</v>
    <v>0</v>
    <v>1</v>
    <v>639057600000000000,639059118371849741,0</v>
    <v>0</v>
    <v>a1utqh</v>
    <v>XNYS:HPE</v>
    <v>421</v>
  </rv>
  <rv s="24">
    <v>63</v>
    <v>a23rm7</v>
    <v>Daily</v>
    <v>46057</v>
    <v>46057</v>
    <v>0</v>
    <v>1</v>
    <v>639057600000000000,639059118359270288,0</v>
    <v>0</v>
    <v>a23rm7</v>
    <v>XNYS:STZ</v>
    <v>422</v>
  </rv>
  <rv s="24">
    <v>63</v>
    <v>a23rm7</v>
    <v>Daily</v>
    <v>46056</v>
    <v>46056</v>
    <v>0</v>
    <v>1</v>
    <v>639056736000000000,639059116439472216,0</v>
    <v>0</v>
    <v>a23rm7</v>
    <v>XNYS:STZ</v>
    <v>423</v>
  </rv>
  <rv s="24">
    <v>63</v>
    <v>a1ogsm</v>
    <v>Daily</v>
    <v>46057</v>
    <v>46057</v>
    <v>0</v>
    <v>1</v>
    <v>639057600000000000,639059118359415512,0</v>
    <v>0</v>
    <v>a1ogsm</v>
    <v>XNAS:BKR</v>
    <v>424</v>
  </rv>
  <rv s="24">
    <v>63</v>
    <v>a1ogsm</v>
    <v>Daily</v>
    <v>46056</v>
    <v>46056</v>
    <v>0</v>
    <v>1</v>
    <v>639056736000000000,639059116440950393,0</v>
    <v>0</v>
    <v>a1ogsm</v>
    <v>XNAS:BKR</v>
    <v>425</v>
  </rv>
  <rv s="24">
    <v>63</v>
    <v>a25e77</v>
    <v>Daily</v>
    <v>46057</v>
    <v>46057</v>
    <v>0</v>
    <v>1</v>
    <v>639057600000000000,639059118364451019,0</v>
    <v>0</v>
    <v>a25e77</v>
    <v>XNYS:VLO</v>
    <v>426</v>
  </rv>
  <rv s="24">
    <v>63</v>
    <v>a25e77</v>
    <v>Daily</v>
    <v>46056</v>
    <v>46056</v>
    <v>0</v>
    <v>1</v>
    <v>639056736000000000,639059116446342078,0</v>
    <v>0</v>
    <v>a25e77</v>
    <v>XNYS:VLO</v>
    <v>427</v>
  </rv>
  <rv s="24">
    <v>63</v>
    <v>a1p8tc</v>
    <v>Daily</v>
    <v>46056</v>
    <v>46056</v>
    <v>0</v>
    <v>1</v>
    <v>639056736000000000,639059116446332621,0</v>
    <v>0</v>
    <v>a1p8tc</v>
    <v>XNYS:CB</v>
    <v>428</v>
  </rv>
  <rv s="24">
    <v>63</v>
    <v>a1p8tc</v>
    <v>Daily</v>
    <v>46057</v>
    <v>46057</v>
    <v>0</v>
    <v>1</v>
    <v>639057600000000000,639059118385177428,0</v>
    <v>0</v>
    <v>a1p8tc</v>
    <v>XNYS:CB</v>
    <v>429</v>
  </rv>
  <rv s="24">
    <v>63</v>
    <v>a1vt77</v>
    <v>Daily</v>
    <v>46056</v>
    <v>46056</v>
    <v>0</v>
    <v>1</v>
    <v>639056736000000000,639059116437126095,0</v>
    <v>0</v>
    <v>a1vt77</v>
    <v>XNAS:ISRG</v>
    <v>430</v>
  </rv>
  <rv s="24">
    <v>63</v>
    <v>a1vt77</v>
    <v>Daily</v>
    <v>46057</v>
    <v>46057</v>
    <v>0</v>
    <v>1</v>
    <v>639057600000000000,639059118360236951,0</v>
    <v>0</v>
    <v>a1vt77</v>
    <v>XNAS:ISRG</v>
    <v>431</v>
  </rv>
  <rv s="24">
    <v>63</v>
    <v>a26hyc</v>
    <v>Daily</v>
    <v>46057</v>
    <v>46057</v>
    <v>0</v>
    <v>1</v>
    <v>639057600000000000,639059118369489640,0</v>
    <v>0</v>
    <v>a26hyc</v>
    <v>XNYS:ZTS</v>
    <v>432</v>
  </rv>
  <rv s="24">
    <v>63</v>
    <v>a26hyc</v>
    <v>Daily</v>
    <v>46056</v>
    <v>46056</v>
    <v>0</v>
    <v>1</v>
    <v>639056736000000000,639059116448096039,0</v>
    <v>0</v>
    <v>a26hyc</v>
    <v>XNYS:ZTS</v>
    <v>433</v>
  </rv>
  <rv s="24">
    <v>63</v>
    <v>a1vqnm</v>
    <v>Daily</v>
    <v>46056</v>
    <v>46056</v>
    <v>0</v>
    <v>1</v>
    <v>639056736000000000,639059116445087253,0</v>
    <v>0</v>
    <v>a1vqnm</v>
    <v>XNYS:TT</v>
    <v>434</v>
  </rv>
  <rv s="24">
    <v>63</v>
    <v>a1vqnm</v>
    <v>Daily</v>
    <v>46057</v>
    <v>46057</v>
    <v>0</v>
    <v>1</v>
    <v>639057600000000000,639059118361466522,0</v>
    <v>0</v>
    <v>a1vqnm</v>
    <v>XNYS:TT</v>
    <v>435</v>
  </rv>
  <rv s="24">
    <v>63</v>
    <v>a24gur</v>
    <v>Daily</v>
    <v>46056</v>
    <v>46056</v>
    <v>0</v>
    <v>1</v>
    <v>639056736000000000,639059116438629756,0</v>
    <v>0</v>
    <v>a24gur</v>
    <v>XNYS:TRGP</v>
    <v>436</v>
  </rv>
  <rv s="24">
    <v>63</v>
    <v>a24gur</v>
    <v>Daily</v>
    <v>46057</v>
    <v>46057</v>
    <v>0</v>
    <v>1</v>
    <v>639057600000000000,639059118359841124,0</v>
    <v>0</v>
    <v>a24gur</v>
    <v>XNYS:TRGP</v>
    <v>437</v>
  </rv>
  <rv s="24">
    <v>63</v>
    <v>a1xoc7</v>
    <v>Daily</v>
    <v>46057</v>
    <v>46057</v>
    <v>0</v>
    <v>1</v>
    <v>639057600000000000,639059118387388832,0</v>
    <v>0</v>
    <v>a1xoc7</v>
    <v>XNYS:MKC</v>
    <v>438</v>
  </rv>
  <rv s="24">
    <v>63</v>
    <v>a1xoc7</v>
    <v>Daily</v>
    <v>46056</v>
    <v>46056</v>
    <v>0</v>
    <v>1</v>
    <v>639056736000000000,639059116459676431,0</v>
    <v>0</v>
    <v>a1xoc7</v>
    <v>XNYS:MKC</v>
    <v>439</v>
  </rv>
  <rv s="24">
    <v>65</v>
    <v>cdtf8m</v>
    <v>Daily</v>
    <v>46056</v>
    <v>46056</v>
    <v>0</v>
    <v>1</v>
    <v>639056736000000000,639081038147181566,0</v>
    <v>0</v>
    <v>cdtf8m</v>
    <v>NEOE:MMM</v>
    <v>229</v>
  </rv>
  <rv s="24">
    <v>65</v>
    <v>cdtf8m</v>
    <v>Daily</v>
    <v>46057</v>
    <v>46057</v>
    <v>0</v>
    <v>1</v>
    <v>639057600000000000,639081038172707194,0</v>
    <v>0</v>
    <v>cdtf8m</v>
    <v>NEOE:MMM</v>
    <v>229</v>
  </rv>
  <rv s="24">
    <v>63</v>
    <v>a1nllh</v>
    <v>Daily</v>
    <v>46056</v>
    <v>46056</v>
    <v>0</v>
    <v>1</v>
    <v>639056736000000000,639059116436933808,0</v>
    <v>0</v>
    <v>a1nllh</v>
    <v>XNYS:APH</v>
    <v>440</v>
  </rv>
  <rv s="24">
    <v>63</v>
    <v>a1nllh</v>
    <v>Daily</v>
    <v>46057</v>
    <v>46057</v>
    <v>0</v>
    <v>1</v>
    <v>639057600000000000,639059118361764575,0</v>
    <v>0</v>
    <v>a1nllh</v>
    <v>XNYS:APH</v>
    <v>441</v>
  </rv>
  <rv s="24">
    <v>63</v>
    <v>a25zz2</v>
    <v>Daily</v>
    <v>46056</v>
    <v>46056</v>
    <v>0</v>
    <v>1</v>
    <v>639056736000000000,639059116453596087,0</v>
    <v>0</v>
    <v>a25zz2</v>
    <v>XNYS:WRB</v>
    <v>442</v>
  </rv>
  <rv s="24">
    <v>63</v>
    <v>a25zz2</v>
    <v>Daily</v>
    <v>46057</v>
    <v>46057</v>
    <v>0</v>
    <v>1</v>
    <v>639057600000000000,639059118380823372,0</v>
    <v>0</v>
    <v>a25zz2</v>
    <v>XNYS:WRB</v>
    <v>443</v>
  </rv>
  <rv s="24">
    <v>63</v>
    <v>bq89dm</v>
    <v>Daily</v>
    <v>46057</v>
    <v>46057</v>
    <v>0</v>
    <v>1</v>
    <v>639057600000000000,639059118359934932,0</v>
    <v>0</v>
    <v>bq89dm</v>
    <v>XNYS:CTVA</v>
    <v>444</v>
  </rv>
  <rv s="24">
    <v>63</v>
    <v>bq89dm</v>
    <v>Daily</v>
    <v>46056</v>
    <v>46056</v>
    <v>0</v>
    <v>1</v>
    <v>639056736000000000,639059116439356056,0</v>
    <v>0</v>
    <v>bq89dm</v>
    <v>XNYS:CTVA</v>
    <v>445</v>
  </rv>
  <rv s="24">
    <v>63</v>
    <v>a1rew7</v>
    <v>Daily</v>
    <v>46056</v>
    <v>46056</v>
    <v>0</v>
    <v>1</v>
    <v>639056736000000000,639059116438380763,0</v>
    <v>0</v>
    <v>a1rew7</v>
    <v>XNYS:DVN</v>
    <v>446</v>
  </rv>
  <rv s="24">
    <v>63</v>
    <v>a1rew7</v>
    <v>Daily</v>
    <v>46057</v>
    <v>46057</v>
    <v>0</v>
    <v>1</v>
    <v>639057600000000000,639059118359823476,0</v>
    <v>0</v>
    <v>a1rew7</v>
    <v>XNYS:DVN</v>
    <v>447</v>
  </rv>
  <rv s="24">
    <v>63</v>
    <v>a25jnm</v>
    <v>Daily</v>
    <v>46056</v>
    <v>46056</v>
    <v>0</v>
    <v>1</v>
    <v>639056736000000000,639059116440209722,0</v>
    <v>0</v>
    <v>a25jnm</v>
    <v>XNAS:VRSK</v>
    <v>448</v>
  </rv>
  <rv s="24">
    <v>63</v>
    <v>a25jnm</v>
    <v>Daily</v>
    <v>46057</v>
    <v>46057</v>
    <v>0</v>
    <v>1</v>
    <v>639057600000000000,639059118359337879,0</v>
    <v>0</v>
    <v>a25jnm</v>
    <v>XNAS:VRSK</v>
    <v>449</v>
  </rv>
  <rv s="24">
    <v>63</v>
    <v>a23xz2</v>
    <v>Daily</v>
    <v>46057</v>
    <v>46057</v>
    <v>0</v>
    <v>1</v>
    <v>639057600000000000,639059118374266497,0</v>
    <v>0</v>
    <v>a23xz2</v>
    <v>XNYS:TAP</v>
    <v>450</v>
  </rv>
  <rv s="24">
    <v>63</v>
    <v>a23xz2</v>
    <v>Daily</v>
    <v>46056</v>
    <v>46056</v>
    <v>0</v>
    <v>1</v>
    <v>639056736000000000,639059116458127579,0</v>
    <v>0</v>
    <v>a23xz2</v>
    <v>XNYS:TAP</v>
    <v>451</v>
  </rv>
  <rv s="24">
    <v>63</v>
    <v>a1nanm</v>
    <v>Daily</v>
    <v>46056</v>
    <v>46056</v>
    <v>0</v>
    <v>1</v>
    <v>639056736000000000,639059116438141495,0</v>
    <v>0</v>
    <v>a1nanm</v>
    <v>XNYS:ALL</v>
    <v>452</v>
  </rv>
  <rv s="24">
    <v>63</v>
    <v>a1nanm</v>
    <v>Daily</v>
    <v>46057</v>
    <v>46057</v>
    <v>0</v>
    <v>1</v>
    <v>639057600000000000,639059118359778925,0</v>
    <v>0</v>
    <v>a1nanm</v>
    <v>XNYS:ALL</v>
    <v>453</v>
  </rv>
  <rv s="24">
    <v>63</v>
    <v>a25xjc</v>
    <v>Daily</v>
    <v>46056</v>
    <v>46056</v>
    <v>0</v>
    <v>1</v>
    <v>639056736000000000,639059116448698560,0</v>
    <v>0</v>
    <v>a25xjc</v>
    <v>XNYS:WM</v>
    <v>454</v>
  </rv>
  <rv s="24">
    <v>63</v>
    <v>a25xjc</v>
    <v>Daily</v>
    <v>46057</v>
    <v>46057</v>
    <v>0</v>
    <v>1</v>
    <v>639057600000000000,639059118381884335,0</v>
    <v>0</v>
    <v>a25xjc</v>
    <v>XNYS:WM</v>
    <v>455</v>
  </rv>
  <rv s="24">
    <v>63</v>
    <v>a1ut3m</v>
    <v>Daily</v>
    <v>46056</v>
    <v>46056</v>
    <v>0</v>
    <v>1</v>
    <v>639056736000000000,639062612997592876,0</v>
    <v>0</v>
    <v>a1ut3m</v>
    <v>XNAS:HON</v>
    <v>456</v>
  </rv>
  <rv s="24">
    <v>63</v>
    <v>a1ut3m</v>
    <v>Daily</v>
    <v>46057</v>
    <v>46057</v>
    <v>0</v>
    <v>1</v>
    <v>639057600000000000,639059004685956201,0</v>
    <v>0</v>
    <v>a1ut3m</v>
    <v>XNAS:HON</v>
    <v>457</v>
  </rv>
  <rv s="24">
    <v>63</v>
    <v>a1ut3m</v>
    <v>Daily</v>
    <v>46056</v>
    <v>46057</v>
    <v>0</v>
    <v>1</v>
    <v>639057600000000000,639081038184932718,0</v>
    <v>280</v>
    <v>a1ut3m</v>
    <v>XNAS:HON</v>
    <v>458</v>
  </rv>
  <rv s="24">
    <v>63</v>
    <v>a1xdvh</v>
    <v>Daily</v>
    <v>46056</v>
    <v>46056</v>
    <v>0</v>
    <v>1</v>
    <v>639056736000000000,639059116451571625,0</v>
    <v>0</v>
    <v>a1xdvh</v>
    <v>XNAS:MCHP</v>
    <v>459</v>
  </rv>
  <rv s="24">
    <v>63</v>
    <v>a1xdvh</v>
    <v>Daily</v>
    <v>46057</v>
    <v>46057</v>
    <v>0</v>
    <v>1</v>
    <v>639057600000000000,639059118373526657,0</v>
    <v>0</v>
    <v>a1xdvh</v>
    <v>XNAS:MCHP</v>
    <v>460</v>
  </rv>
  <rv s="24">
    <v>63</v>
    <v>a243pr</v>
    <v>Daily</v>
    <v>46057</v>
    <v>46057</v>
    <v>0</v>
    <v>1</v>
    <v>639057600000000000,639059118381009927,0</v>
    <v>0</v>
    <v>a243pr</v>
    <v>XNAS:TECH</v>
    <v>461</v>
  </rv>
  <rv s="24">
    <v>63</v>
    <v>a243pr</v>
    <v>Daily</v>
    <v>46056</v>
    <v>46056</v>
    <v>0</v>
    <v>1</v>
    <v>639056736000000000,639059116453927232,0</v>
    <v>0</v>
    <v>a243pr</v>
    <v>XNAS:TECH</v>
    <v>462</v>
  </rv>
  <rv s="24">
    <v>63</v>
    <v>a1oi1h</v>
    <v>Daily</v>
    <v>46056</v>
    <v>46056</v>
    <v>0</v>
    <v>1</v>
    <v>639056736000000000,639059116439419263,0</v>
    <v>0</v>
    <v>a1oi1h</v>
    <v>XNYS:BIO</v>
    <v>463</v>
  </rv>
  <rv s="24">
    <v>63</v>
    <v>a1oi1h</v>
    <v>Daily</v>
    <v>46057</v>
    <v>46057</v>
    <v>0</v>
    <v>1</v>
    <v>639057600000000000,639059118364606900,0</v>
    <v>0</v>
    <v>a1oi1h</v>
    <v>XNYS:BIO</v>
    <v>464</v>
  </rv>
  <rv s="24">
    <v>63</v>
    <v>a24fmw</v>
    <v>Daily</v>
    <v>46057</v>
    <v>46057</v>
    <v>0</v>
    <v>1</v>
    <v>639057600000000000,639059118387836946,0</v>
    <v>0</v>
    <v>a24fmw</v>
    <v>XNYS:TPR</v>
    <v>465</v>
  </rv>
  <rv s="24">
    <v>63</v>
    <v>a24fmw</v>
    <v>Daily</v>
    <v>46056</v>
    <v>46056</v>
    <v>0</v>
    <v>1</v>
    <v>639056736000000000,639059116462994372,0</v>
    <v>0</v>
    <v>a24fmw</v>
    <v>XNYS:TPR</v>
    <v>466</v>
  </rv>
  <rv s="24">
    <v>63</v>
    <v>a1wjz2</v>
    <v>Daily</v>
    <v>46057</v>
    <v>46057</v>
    <v>0</v>
    <v>1</v>
    <v>639057600000000000,639059118359664390,0</v>
    <v>0</v>
    <v>a1wjz2</v>
    <v>XNAS:KMB</v>
    <v>467</v>
  </rv>
  <rv s="24">
    <v>63</v>
    <v>a1wjz2</v>
    <v>Daily</v>
    <v>46056</v>
    <v>46056</v>
    <v>0</v>
    <v>1</v>
    <v>639056736000000000,639059116437175385,0</v>
    <v>0</v>
    <v>a1wjz2</v>
    <v>XNAS:KMB</v>
    <v>468</v>
  </rv>
  <rv s="24">
    <v>63</v>
    <v>a1qga2</v>
    <v>Daily</v>
    <v>46057</v>
    <v>46057</v>
    <v>0</v>
    <v>1</v>
    <v>639057600000000000,639059118363836721,0</v>
    <v>0</v>
    <v>a1qga2</v>
    <v>XNAS:CSX</v>
    <v>469</v>
  </rv>
  <rv s="24">
    <v>63</v>
    <v>a1qga2</v>
    <v>Daily</v>
    <v>46056</v>
    <v>46056</v>
    <v>0</v>
    <v>1</v>
    <v>639056736000000000,639059116437553598,0</v>
    <v>0</v>
    <v>a1qga2</v>
    <v>XNAS:CSX</v>
    <v>470</v>
  </rv>
  <rv s="24">
    <v>63</v>
    <v>a1yw1h</v>
    <v>Daily</v>
    <v>46056</v>
    <v>46056</v>
    <v>0</v>
    <v>1</v>
    <v>639056736000000000,639059116456083187,0</v>
    <v>0</v>
    <v>a1yw1h</v>
    <v>XNYS:NVR</v>
    <v>471</v>
  </rv>
  <rv s="24">
    <v>63</v>
    <v>a1yw1h</v>
    <v>Daily</v>
    <v>46057</v>
    <v>46057</v>
    <v>0</v>
    <v>1</v>
    <v>639057600000000000,639059118382292540,0</v>
    <v>0</v>
    <v>a1yw1h</v>
    <v>XNYS:NVR</v>
    <v>472</v>
  </rv>
  <rv s="24">
    <v>63</v>
    <v>a1zhcw</v>
    <v>Daily</v>
    <v>46056</v>
    <v>46056</v>
    <v>0</v>
    <v>1</v>
    <v>639056736000000000,639059116437416264,0</v>
    <v>0</v>
    <v>a1zhcw</v>
    <v>XNAS:PAYX</v>
    <v>473</v>
  </rv>
  <rv s="24">
    <v>63</v>
    <v>a1zhcw</v>
    <v>Daily</v>
    <v>46057</v>
    <v>46057</v>
    <v>0</v>
    <v>1</v>
    <v>639057600000000000,639059118359694378,0</v>
    <v>0</v>
    <v>a1zhcw</v>
    <v>XNAS:PAYX</v>
    <v>474</v>
  </rv>
  <rv s="24">
    <v>63</v>
    <v>a251gh</v>
    <v>Daily</v>
    <v>46057</v>
    <v>46057</v>
    <v>0</v>
    <v>1</v>
    <v>639057600000000000,639059118362286584,0</v>
    <v>0</v>
    <v>a251gh</v>
    <v>XNYS:USB</v>
    <v>475</v>
  </rv>
  <rv s="24">
    <v>63</v>
    <v>a251gh</v>
    <v>Daily</v>
    <v>46056</v>
    <v>46056</v>
    <v>0</v>
    <v>1</v>
    <v>639056736000000000,639059116437097289,0</v>
    <v>0</v>
    <v>a251gh</v>
    <v>XNYS:USB</v>
    <v>476</v>
  </rv>
  <rv s="24">
    <v>63</v>
    <v>a1r1lh</v>
    <v>Daily</v>
    <v>46056</v>
    <v>46056</v>
    <v>0</v>
    <v>1</v>
    <v>639056736000000000,639059116444472561,0</v>
    <v>0</v>
    <v>a1r1lh</v>
    <v>XNYS:DHI</v>
    <v>477</v>
  </rv>
  <rv s="24">
    <v>63</v>
    <v>a1r1lh</v>
    <v>Daily</v>
    <v>46057</v>
    <v>46057</v>
    <v>0</v>
    <v>1</v>
    <v>639057600000000000,639059118367019966,0</v>
    <v>0</v>
    <v>a1r1lh</v>
    <v>XNYS:DHI</v>
    <v>478</v>
  </rv>
  <rv s="24">
    <v>63</v>
    <v>a1qe5r</v>
    <v>Daily</v>
    <v>46056</v>
    <v>46057</v>
    <v>0</v>
    <v>1</v>
    <v>639057600000000000,639059004686259421,0</v>
    <v>280</v>
    <v>a1qe5r</v>
    <v>XNAS:CSCO</v>
    <v>479</v>
  </rv>
  <rv s="24">
    <v>63</v>
    <v>a23d9c</v>
    <v>Daily</v>
    <v>46057</v>
    <v>46057</v>
    <v>0</v>
    <v>1</v>
    <v>639057600000000000,639059118360063989,0</v>
    <v>0</v>
    <v>a23d9c</v>
    <v>XNYS:SPGI</v>
    <v>480</v>
  </rv>
  <rv s="24">
    <v>63</v>
    <v>a23d9c</v>
    <v>Daily</v>
    <v>46056</v>
    <v>46056</v>
    <v>0</v>
    <v>1</v>
    <v>639056736000000000,639059116436637620,0</v>
    <v>0</v>
    <v>a23d9c</v>
    <v>XNYS:SPGI</v>
    <v>481</v>
  </rv>
  <rv s="24">
    <v>63</v>
    <v>a1xzr7</v>
    <v>Daily</v>
    <v>46057</v>
    <v>46057</v>
    <v>0</v>
    <v>1</v>
    <v>639057600000000000,639059118364879945,0</v>
    <v>0</v>
    <v>a1xzr7</v>
    <v>XNYS:MSI</v>
    <v>482</v>
  </rv>
  <rv s="24">
    <v>63</v>
    <v>a1xzr7</v>
    <v>Daily</v>
    <v>46056</v>
    <v>46056</v>
    <v>0</v>
    <v>1</v>
    <v>639056736000000000,639059116437864253,0</v>
    <v>0</v>
    <v>a1xzr7</v>
    <v>XNYS:MSI</v>
    <v>483</v>
  </rv>
  <rv s="24">
    <v>63</v>
    <v>a1xxmw</v>
    <v>Daily</v>
    <v>46056</v>
    <v>46057</v>
    <v>0</v>
    <v>1</v>
    <v>639057600000000000,639059004688754521,0</v>
    <v>280</v>
    <v>a1xxmw</v>
    <v>XNYS:MRK</v>
    <v>484</v>
  </rv>
  <rv s="24">
    <v>63</v>
    <v>a21d27</v>
    <v>Daily</v>
    <v>46057</v>
    <v>46057</v>
    <v>0</v>
    <v>1</v>
    <v>639057600000000000,639059118365437798,0</v>
    <v>0</v>
    <v>a21d27</v>
    <v>XNYS:PSX</v>
    <v>485</v>
  </rv>
  <rv s="24">
    <v>63</v>
    <v>a21d27</v>
    <v>Daily</v>
    <v>46056</v>
    <v>46056</v>
    <v>0</v>
    <v>1</v>
    <v>639056736000000000,639059116438311957,0</v>
    <v>0</v>
    <v>a21d27</v>
    <v>XNYS:PSX</v>
    <v>486</v>
  </rv>
  <rv s="24">
    <v>63</v>
    <v>a1zgm7</v>
    <v>Daily</v>
    <v>46057</v>
    <v>46057</v>
    <v>0</v>
    <v>1</v>
    <v>639057600000000000,639059118361008997,0</v>
    <v>0</v>
    <v>a1zgm7</v>
    <v>XNAS:PANW</v>
    <v>487</v>
  </rv>
  <rv s="24">
    <v>63</v>
    <v>a1zgm7</v>
    <v>Daily</v>
    <v>46056</v>
    <v>46056</v>
    <v>0</v>
    <v>1</v>
    <v>639056736000000000,639059116436843740,0</v>
    <v>0</v>
    <v>a1zgm7</v>
    <v>XNAS:PANW</v>
    <v>488</v>
  </rv>
  <rv s="24">
    <v>63</v>
    <v>a1mnrw</v>
    <v>Daily</v>
    <v>46056</v>
    <v>46056</v>
    <v>0</v>
    <v>1</v>
    <v>639056736000000000,639059116448951843,0</v>
    <v>0</v>
    <v>a1mnrw</v>
    <v>XNYS:A</v>
    <v>489</v>
  </rv>
  <rv s="24">
    <v>63</v>
    <v>a1mnrw</v>
    <v>Daily</v>
    <v>46057</v>
    <v>46057</v>
    <v>0</v>
    <v>1</v>
    <v>639057600000000000,639059118378103282,0</v>
    <v>0</v>
    <v>a1mnrw</v>
    <v>XNYS:A</v>
    <v>490</v>
  </rv>
  <rv s="24">
    <v>63</v>
    <v>a239hw</v>
    <v>Daily</v>
    <v>46057</v>
    <v>46057</v>
    <v>0</v>
    <v>1</v>
    <v>639057600000000000,639059118377360957,0</v>
    <v>0</v>
    <v>a239hw</v>
    <v>XNAS:SNPS</v>
    <v>491</v>
  </rv>
  <rv s="24">
    <v>63</v>
    <v>a239hw</v>
    <v>Daily</v>
    <v>46056</v>
    <v>46056</v>
    <v>0</v>
    <v>1</v>
    <v>639056736000000000,639059116448212049,0</v>
    <v>0</v>
    <v>a239hw</v>
    <v>XNAS:SNPS</v>
    <v>492</v>
  </rv>
  <rv s="24">
    <v>63</v>
    <v>a1o2lh</v>
    <v>Daily</v>
    <v>46056</v>
    <v>46056</v>
    <v>0</v>
    <v>1</v>
    <v>639056736000000000,639062612983715653,0</v>
    <v>0</v>
    <v>a1o2lh</v>
    <v>XNYS:AXP</v>
    <v>493</v>
  </rv>
  <rv s="24">
    <v>63</v>
    <v>a1o2lh</v>
    <v>Daily</v>
    <v>46057</v>
    <v>46057</v>
    <v>0</v>
    <v>1</v>
    <v>639057600000000000,639059004686534199,0</v>
    <v>0</v>
    <v>a1o2lh</v>
    <v>XNYS:AXP</v>
    <v>494</v>
  </rv>
  <rv s="24">
    <v>63</v>
    <v>a1o2lh</v>
    <v>Daily</v>
    <v>46056</v>
    <v>46057</v>
    <v>0</v>
    <v>1</v>
    <v>639057600000000000,639081038182229532,0</v>
    <v>280</v>
    <v>a1o2lh</v>
    <v>XNYS:AXP</v>
    <v>495</v>
  </rv>
  <rv s="24">
    <v>63</v>
    <v>a24war</v>
    <v>Daily</v>
    <v>46056</v>
    <v>46056</v>
    <v>0</v>
    <v>1</v>
    <v>639056736000000000,639059116446106687,0</v>
    <v>0</v>
    <v>a24war</v>
    <v>XNAS:ULTA</v>
    <v>496</v>
  </rv>
  <rv s="24">
    <v>63</v>
    <v>a24war</v>
    <v>Daily</v>
    <v>46057</v>
    <v>46057</v>
    <v>0</v>
    <v>1</v>
    <v>639057600000000000,639059118372219823,0</v>
    <v>0</v>
    <v>a24war</v>
    <v>XNAS:ULTA</v>
    <v>497</v>
  </rv>
  <rv s="24">
    <v>63</v>
    <v>a1waa2</v>
    <v>Daily</v>
    <v>46056</v>
    <v>46057</v>
    <v>0</v>
    <v>1</v>
    <v>639057600000000000,639059004632482542,0</v>
    <v>280</v>
    <v>a1waa2</v>
    <v>XNYS:JPM</v>
    <v>498</v>
  </rv>
  <rv s="24">
    <v>63</v>
    <v>a1y4oc</v>
    <v>Daily</v>
    <v>46056</v>
    <v>46056</v>
    <v>0</v>
    <v>1</v>
    <v>639056736000000000,639059116439087021,0</v>
    <v>0</v>
    <v>a1y4oc</v>
    <v>XNAS:MU</v>
    <v>499</v>
  </rv>
  <rv s="24">
    <v>63</v>
    <v>a1y4oc</v>
    <v>Daily</v>
    <v>46057</v>
    <v>46057</v>
    <v>0</v>
    <v>1</v>
    <v>639057600000000000,639059118361540720,0</v>
    <v>0</v>
    <v>a1y4oc</v>
    <v>XNAS:MU</v>
    <v>500</v>
  </rv>
  <rv s="24">
    <v>63</v>
    <v>a1vrec</v>
    <v>Daily</v>
    <v>46056</v>
    <v>46056</v>
    <v>0</v>
    <v>1</v>
    <v>639056736000000000,639059116438639360,0</v>
    <v>0</v>
    <v>a1vrec</v>
    <v>XNYS:IRM</v>
    <v>501</v>
  </rv>
  <rv s="24">
    <v>63</v>
    <v>a1vrec</v>
    <v>Daily</v>
    <v>46057</v>
    <v>46057</v>
    <v>0</v>
    <v>1</v>
    <v>639057600000000000,639059118360441856,0</v>
    <v>0</v>
    <v>a1vrec</v>
    <v>XNYS:IRM</v>
    <v>502</v>
  </rv>
  <rv s="24">
    <v>63</v>
    <v>a1oxur</v>
    <v>Daily</v>
    <v>46056</v>
    <v>46056</v>
    <v>0</v>
    <v>1</v>
    <v>639056736000000000,639059116436723965,0</v>
    <v>0</v>
    <v>a1oxur</v>
    <v>XNYS:BSX</v>
    <v>503</v>
  </rv>
  <rv s="24">
    <v>63</v>
    <v>a1oxur</v>
    <v>Daily</v>
    <v>46057</v>
    <v>46057</v>
    <v>0</v>
    <v>1</v>
    <v>639057600000000000,639059118360450994,0</v>
    <v>0</v>
    <v>a1oxur</v>
    <v>XNYS:BSX</v>
    <v>504</v>
  </rv>
  <rv s="24">
    <v>63</v>
    <v>a1nhlh</v>
    <v>Daily</v>
    <v>46056</v>
    <v>46057</v>
    <v>0</v>
    <v>1</v>
    <v>639057600000000000,639059004685177204,0</v>
    <v>280</v>
    <v>a1nhlh</v>
    <v>XNAS:AMZN</v>
    <v>505</v>
  </rv>
  <rv s="24">
    <v>63</v>
    <v>a1uhnm</v>
    <v>Daily</v>
    <v>46057</v>
    <v>46057</v>
    <v>0</v>
    <v>1</v>
    <v>639057600000000000,639059118364356840,0</v>
    <v>0</v>
    <v>a1uhnm</v>
    <v>XNYS:HCA</v>
    <v>506</v>
  </rv>
  <rv s="24">
    <v>63</v>
    <v>a1uhnm</v>
    <v>Daily</v>
    <v>46056</v>
    <v>46056</v>
    <v>0</v>
    <v>1</v>
    <v>639056736000000000,639059116437712901,0</v>
    <v>0</v>
    <v>a1uhnm</v>
    <v>XNYS:HCA</v>
    <v>507</v>
  </rv>
  <rv s="24">
    <v>63</v>
    <v>a1xfoc</v>
    <v>Daily</v>
    <v>46056</v>
    <v>46056</v>
    <v>0</v>
    <v>1</v>
    <v>639056736000000000,639059116438601056,0</v>
    <v>0</v>
    <v>a1xfoc</v>
    <v>XNAS:MDLZ</v>
    <v>508</v>
  </rv>
  <rv s="24">
    <v>63</v>
    <v>a1xfoc</v>
    <v>Daily</v>
    <v>46057</v>
    <v>46057</v>
    <v>0</v>
    <v>1</v>
    <v>639057600000000000,639059118361220415,0</v>
    <v>0</v>
    <v>a1xfoc</v>
    <v>XNAS:MDLZ</v>
    <v>509</v>
  </rv>
  <rv s="24">
    <v>63</v>
    <v>a1xkhw</v>
    <v>Daily</v>
    <v>46057</v>
    <v>46057</v>
    <v>0</v>
    <v>1</v>
    <v>639057600000000000,639059118390823927,0</v>
    <v>0</v>
    <v>a1xkhw</v>
    <v>XNYS:MGM</v>
    <v>510</v>
  </rv>
  <rv s="24">
    <v>63</v>
    <v>a1xkhw</v>
    <v>Daily</v>
    <v>46056</v>
    <v>46056</v>
    <v>0</v>
    <v>1</v>
    <v>639056736000000000,639059116456008391,0</v>
    <v>0</v>
    <v>a1xkhw</v>
    <v>XNYS:MGM</v>
    <v>511</v>
  </rv>
  <rv s="24">
    <v>63</v>
    <v>a1p7zr</v>
    <v>Daily</v>
    <v>46056</v>
    <v>46057</v>
    <v>0</v>
    <v>1</v>
    <v>639057600000000000,639059004687273812,0</v>
    <v>280</v>
    <v>a1p7zr</v>
    <v>XNYS:CAT</v>
    <v>512</v>
  </rv>
  <rv s="24">
    <v>63</v>
    <v>a1pshw</v>
    <v>Daily</v>
    <v>46057</v>
    <v>46057</v>
    <v>0</v>
    <v>1</v>
    <v>639057600000000000,639059118362106561,0</v>
    <v>0</v>
    <v>a1pshw</v>
    <v>XNYS:CL</v>
    <v>513</v>
  </rv>
  <rv s="24">
    <v>63</v>
    <v>a1pshw</v>
    <v>Daily</v>
    <v>46056</v>
    <v>46056</v>
    <v>0</v>
    <v>1</v>
    <v>639056736000000000,639059116437189672,0</v>
    <v>0</v>
    <v>a1pshw</v>
    <v>XNYS:CL</v>
    <v>514</v>
  </rv>
  <rv s="24">
    <v>63</v>
    <v>a1tba2</v>
    <v>Daily</v>
    <v>46056</v>
    <v>46056</v>
    <v>0</v>
    <v>1</v>
    <v>639056736000000000,639059116459234647,0</v>
    <v>0</v>
    <v>a1tba2</v>
    <v>OTCM:FRCB</v>
    <v>515</v>
  </rv>
  <rv s="24">
    <v>63</v>
    <v>a1tba2</v>
    <v>Daily</v>
    <v>46057</v>
    <v>46057</v>
    <v>0</v>
    <v>1</v>
    <v>639057600000000000,639059118387809187,0</v>
    <v>0</v>
    <v>a1tba2</v>
    <v>OTCM:FRCB</v>
    <v>516</v>
  </rv>
  <rv s="24">
    <v>63</v>
    <v>a1rec7</v>
    <v>Daily</v>
    <v>46056</v>
    <v>46056</v>
    <v>0</v>
    <v>1</v>
    <v>639056736000000000,639059116468684483,0</v>
    <v>0</v>
    <v>a1rec7</v>
    <v>XNYS:DVA</v>
    <v>517</v>
  </rv>
  <rv s="24">
    <v>63</v>
    <v>a1rec7</v>
    <v>Daily</v>
    <v>46057</v>
    <v>46057</v>
    <v>0</v>
    <v>1</v>
    <v>639057600000000000,639059118382541580,0</v>
    <v>0</v>
    <v>a1rec7</v>
    <v>XNYS:DVA</v>
    <v>518</v>
  </rv>
  <rv s="24">
    <v>63</v>
    <v>a25rnm</v>
    <v>Daily</v>
    <v>46057</v>
    <v>46057</v>
    <v>0</v>
    <v>1</v>
    <v>639057600000000000,639059118387626678,0</v>
    <v>0</v>
    <v>a25rnm</v>
    <v>XNAS:WDC</v>
    <v>519</v>
  </rv>
  <rv s="24">
    <v>63</v>
    <v>a25rnm</v>
    <v>Daily</v>
    <v>46056</v>
    <v>46056</v>
    <v>0</v>
    <v>1</v>
    <v>639056736000000000,639059116466103893,0</v>
    <v>0</v>
    <v>a25rnm</v>
    <v>XNAS:WDC</v>
    <v>520</v>
  </rv>
  <rv s="24">
    <v>63</v>
    <v>a25ya2</v>
    <v>Daily</v>
    <v>46056</v>
    <v>46057</v>
    <v>0</v>
    <v>1</v>
    <v>639057600000000000,639059004685820413,0</v>
    <v>280</v>
    <v>a25ya2</v>
    <v>XNAS:WMT</v>
    <v>521</v>
  </rv>
  <rv s="24">
    <v>63</v>
    <v>a1qqbh</v>
    <v>Daily</v>
    <v>46057</v>
    <v>46057</v>
    <v>0</v>
    <v>1</v>
    <v>639057600000000000,639059118359530109,0</v>
    <v>0</v>
    <v>a1qqbh</v>
    <v>XNYS:DAL</v>
    <v>522</v>
  </rv>
  <rv s="24">
    <v>63</v>
    <v>a1qqbh</v>
    <v>Daily</v>
    <v>46056</v>
    <v>46056</v>
    <v>0</v>
    <v>1</v>
    <v>639056736000000000,639059116442438421,0</v>
    <v>0</v>
    <v>a1qqbh</v>
    <v>XNYS:DAL</v>
    <v>523</v>
  </rv>
  <rv s="24">
    <v>63</v>
    <v>a25552</v>
    <v>Daily</v>
    <v>46056</v>
    <v>46056</v>
    <v>0</v>
    <v>1</v>
    <v>639056736000000000,639059116437375190,0</v>
    <v>0</v>
    <v>a25552</v>
    <v>XNYS:RTX</v>
    <v>524</v>
  </rv>
  <rv s="24">
    <v>63</v>
    <v>a25552</v>
    <v>Daily</v>
    <v>46057</v>
    <v>46057</v>
    <v>0</v>
    <v>1</v>
    <v>639057600000000000,639059118360410133,0</v>
    <v>0</v>
    <v>a25552</v>
    <v>XNYS:RTX</v>
    <v>525</v>
  </rv>
  <rv s="24">
    <v>63</v>
    <v>a1rk52</v>
    <v>Daily</v>
    <v>46057</v>
    <v>46057</v>
    <v>0</v>
    <v>1</v>
    <v>639057600000000000,639059118367065531,0</v>
    <v>0</v>
    <v>a1rk52</v>
    <v>XNAS:EBAY</v>
    <v>526</v>
  </rv>
  <rv s="24">
    <v>63</v>
    <v>a1rk52</v>
    <v>Daily</v>
    <v>46056</v>
    <v>46056</v>
    <v>0</v>
    <v>1</v>
    <v>639056736000000000,639059116444503711,0</v>
    <v>0</v>
    <v>a1rk52</v>
    <v>XNAS:EBAY</v>
    <v>527</v>
  </rv>
  <rv s="24">
    <v>63</v>
    <v>a1r2z2</v>
    <v>Daily</v>
    <v>46056</v>
    <v>46057</v>
    <v>0</v>
    <v>1</v>
    <v>639057600000000000,639059004686106556,0</v>
    <v>280</v>
    <v>a1r2z2</v>
    <v>XNYS:DIS</v>
    <v>528</v>
  </rv>
  <rv s="24">
    <v>63</v>
    <v>a26gnm</v>
    <v>Daily</v>
    <v>46056</v>
    <v>46056</v>
    <v>0</v>
    <v>1</v>
    <v>639056736000000000,639059116459036581,0</v>
    <v>0</v>
    <v>a26gnm</v>
    <v>XNAS:ZION</v>
    <v>529</v>
  </rv>
  <rv s="24">
    <v>63</v>
    <v>a26gnm</v>
    <v>Daily</v>
    <v>46057</v>
    <v>46057</v>
    <v>0</v>
    <v>1</v>
    <v>639057600000000000,639059118385103312,0</v>
    <v>0</v>
    <v>a26gnm</v>
    <v>XNAS:ZION</v>
    <v>530</v>
  </rv>
  <rv s="24">
    <v>63</v>
    <v>a1v8ar</v>
    <v>Daily</v>
    <v>46057</v>
    <v>46057</v>
    <v>0</v>
    <v>1</v>
    <v>639057600000000000,639059118362806480,0</v>
    <v>0</v>
    <v>a1v8ar</v>
    <v>XNYS:ICE</v>
    <v>531</v>
  </rv>
  <rv s="24">
    <v>63</v>
    <v>a1v8ar</v>
    <v>Daily</v>
    <v>46056</v>
    <v>46056</v>
    <v>0</v>
    <v>1</v>
    <v>639056736000000000,639059116437254966,0</v>
    <v>0</v>
    <v>a1v8ar</v>
    <v>XNYS:ICE</v>
    <v>532</v>
  </rv>
  <rv s="24">
    <v>63</v>
    <v>a1pxbh</v>
    <v>Daily</v>
    <v>46056</v>
    <v>46056</v>
    <v>0</v>
    <v>1</v>
    <v>639056736000000000,639059116449183175,0</v>
    <v>0</v>
    <v>a1pxbh</v>
    <v>XNYS:CMG</v>
    <v>533</v>
  </rv>
  <rv s="24">
    <v>63</v>
    <v>a1pxbh</v>
    <v>Daily</v>
    <v>46057</v>
    <v>46057</v>
    <v>0</v>
    <v>1</v>
    <v>639057600000000000,639059118373363577,0</v>
    <v>0</v>
    <v>a1pxbh</v>
    <v>XNYS:CMG</v>
    <v>534</v>
  </rv>
  <rv s="24">
    <v>63</v>
    <v>a232mw</v>
    <v>Daily</v>
    <v>46057</v>
    <v>46057</v>
    <v>0</v>
    <v>1</v>
    <v>639057600000000000,639059118382360000,0</v>
    <v>0</v>
    <v>a232mw</v>
    <v>XNYS:SLB</v>
    <v>535</v>
  </rv>
  <rv s="24">
    <v>63</v>
    <v>a232mw</v>
    <v>Daily</v>
    <v>46056</v>
    <v>46056</v>
    <v>0</v>
    <v>1</v>
    <v>639056736000000000,639059116449199094,0</v>
    <v>0</v>
    <v>a232mw</v>
    <v>XNYS:SLB</v>
    <v>536</v>
  </rv>
  <rv s="24">
    <v>63</v>
    <v>a1s6ww</v>
    <v>Daily</v>
    <v>46056</v>
    <v>46056</v>
    <v>0</v>
    <v>1</v>
    <v>639056736000000000,639059116460337051,0</v>
    <v>0</v>
    <v>a1s6ww</v>
    <v>XNYS:ES</v>
    <v>537</v>
  </rv>
  <rv s="24">
    <v>63</v>
    <v>a1s6ww</v>
    <v>Daily</v>
    <v>46057</v>
    <v>46057</v>
    <v>0</v>
    <v>1</v>
    <v>639057600000000000,639059118377483826,0</v>
    <v>0</v>
    <v>a1s6ww</v>
    <v>XNYS:ES</v>
    <v>538</v>
  </rv>
  <rv s="24">
    <v>63</v>
    <v>a1o9gh</v>
    <v>Daily</v>
    <v>46056</v>
    <v>46056</v>
    <v>0</v>
    <v>1</v>
    <v>639056736000000000,639059116468171071,0</v>
    <v>0</v>
    <v>a1o9gh</v>
    <v>XNYS:BBY</v>
    <v>539</v>
  </rv>
  <rv s="24">
    <v>63</v>
    <v>a1o9gh</v>
    <v>Daily</v>
    <v>46057</v>
    <v>46057</v>
    <v>0</v>
    <v>1</v>
    <v>639057600000000000,639059118382061586,0</v>
    <v>0</v>
    <v>a1o9gh</v>
    <v>XNYS:BBY</v>
    <v>149</v>
  </rv>
  <rv s="24">
    <v>63</v>
    <v>a1wrf2</v>
    <v>Daily</v>
    <v>46057</v>
    <v>46057</v>
    <v>0</v>
    <v>1</v>
    <v>639057600000000000,639059118382772149,0</v>
    <v>0</v>
    <v>a1wrf2</v>
    <v>XNYS:BBWI</v>
    <v>540</v>
  </rv>
  <rv s="24">
    <v>63</v>
    <v>a1wrf2</v>
    <v>Daily</v>
    <v>46056</v>
    <v>46056</v>
    <v>0</v>
    <v>1</v>
    <v>639056736000000000,639059116463115127,0</v>
    <v>0</v>
    <v>a1wrf2</v>
    <v>XNYS:BBWI</v>
    <v>541</v>
  </rv>
  <rv s="24">
    <v>63</v>
    <v>a1xroc</v>
    <v>Daily</v>
    <v>46056</v>
    <v>46057</v>
    <v>0</v>
    <v>1</v>
    <v>639057600000000000,639059004688013828,0</v>
    <v>280</v>
    <v>a1xroc</v>
    <v>XNYS:MMM</v>
    <v>542</v>
  </rv>
  <rv s="24">
    <v>63</v>
    <v>a1s4mw</v>
    <v>Daily</v>
    <v>46056</v>
    <v>46056</v>
    <v>0</v>
    <v>1</v>
    <v>639056736000000000,639059116450157370,0</v>
    <v>0</v>
    <v>a1s4mw</v>
    <v>XNAS:EQIX</v>
    <v>543</v>
  </rv>
  <rv s="24">
    <v>63</v>
    <v>a1s4mw</v>
    <v>Daily</v>
    <v>46057</v>
    <v>46057</v>
    <v>0</v>
    <v>1</v>
    <v>639057600000000000,639059118382517230,0</v>
    <v>0</v>
    <v>a1s4mw</v>
    <v>XNAS:EQIX</v>
    <v>544</v>
  </rv>
  <rv s="24">
    <v>63</v>
    <v>a256cw</v>
    <v>Daily</v>
    <v>46056</v>
    <v>46057</v>
    <v>0</v>
    <v>1</v>
    <v>639057600000000000,639059004686534031,0</v>
    <v>280</v>
    <v>a256cw</v>
    <v>XNYS:V</v>
    <v>545</v>
  </rv>
  <rv s="24">
    <v>63</v>
    <v>a1wpxm</v>
    <v>Daily</v>
    <v>46057</v>
    <v>46057</v>
    <v>0</v>
    <v>1</v>
    <v>639057600000000000,639059118363495061,0</v>
    <v>0</v>
    <v>a1wpxm</v>
    <v>XNYS:L</v>
    <v>546</v>
  </rv>
  <rv s="24">
    <v>63</v>
    <v>a1wpxm</v>
    <v>Daily</v>
    <v>46056</v>
    <v>46056</v>
    <v>0</v>
    <v>1</v>
    <v>639056736000000000,639059116438705617,0</v>
    <v>0</v>
    <v>a1wpxm</v>
    <v>XNYS:L</v>
    <v>547</v>
  </rv>
  <rv s="24">
    <v>63</v>
    <v>a1mou2</v>
    <v>Daily</v>
    <v>46056</v>
    <v>46057</v>
    <v>0</v>
    <v>1</v>
    <v>639057600000000000,639059004685791999,0</v>
    <v>280</v>
    <v>a1mou2</v>
    <v>XNAS:AAPL</v>
    <v>548</v>
  </rv>
  <rv s="24">
    <v>63</v>
    <v>a1zutc</v>
    <v>Daily</v>
    <v>46056</v>
    <v>46056</v>
    <v>0</v>
    <v>1</v>
    <v>639056736000000000,639059116440942254,0</v>
    <v>0</v>
    <v>a1zutc</v>
    <v>XNYS:PHM</v>
    <v>549</v>
  </rv>
  <rv s="24">
    <v>63</v>
    <v>a1zutc</v>
    <v>Daily</v>
    <v>46057</v>
    <v>46057</v>
    <v>0</v>
    <v>1</v>
    <v>639057600000000000,639059118362322887,0</v>
    <v>0</v>
    <v>a1zutc</v>
    <v>XNYS:PHM</v>
    <v>550</v>
  </rv>
  <rv s="24">
    <v>63</v>
    <v>a1safr</v>
    <v>Daily</v>
    <v>46057</v>
    <v>46057</v>
    <v>0</v>
    <v>1</v>
    <v>639057600000000000,639059118377394217,0</v>
    <v>0</v>
    <v>a1safr</v>
    <v>XNYS:ETN</v>
    <v>551</v>
  </rv>
  <rv s="24">
    <v>63</v>
    <v>a1safr</v>
    <v>Daily</v>
    <v>46056</v>
    <v>46056</v>
    <v>0</v>
    <v>1</v>
    <v>639056736000000000,639059116446204026,0</v>
    <v>0</v>
    <v>a1safr</v>
    <v>XNYS:ETN</v>
    <v>552</v>
  </rv>
  <rv s="24">
    <v>63</v>
    <v>a1uqpr</v>
    <v>Daily</v>
    <v>46056</v>
    <v>46056</v>
    <v>0</v>
    <v>1</v>
    <v>639056736000000000,639059116445557181,0</v>
    <v>0</v>
    <v>a1uqpr</v>
    <v>XNYS:HLT</v>
    <v>553</v>
  </rv>
  <rv s="24">
    <v>63</v>
    <v>a1uqpr</v>
    <v>Daily</v>
    <v>46057</v>
    <v>46057</v>
    <v>0</v>
    <v>1</v>
    <v>639057600000000000,639059118362590577,0</v>
    <v>0</v>
    <v>a1uqpr</v>
    <v>XNYS:HLT</v>
    <v>554</v>
  </rv>
  <rv s="24">
    <v>63</v>
    <v>a1zk27</v>
    <v>Daily</v>
    <v>46057</v>
    <v>46057</v>
    <v>0</v>
    <v>1</v>
    <v>639057600000000000,639059118372634302,0</v>
    <v>0</v>
    <v>a1zk27</v>
    <v>XNAS:PCAR</v>
    <v>555</v>
  </rv>
  <rv s="24">
    <v>63</v>
    <v>a1zk27</v>
    <v>Daily</v>
    <v>46056</v>
    <v>46056</v>
    <v>0</v>
    <v>1</v>
    <v>639056736000000000,639059116450378994,0</v>
    <v>0</v>
    <v>a1zk27</v>
    <v>XNAS:PCAR</v>
    <v>556</v>
  </rv>
  <rv s="24">
    <v>63</v>
    <v>a1nec7</v>
    <v>Daily</v>
    <v>46056</v>
    <v>46057</v>
    <v>0</v>
    <v>1</v>
    <v>639057600000000000,639059004686300559,0</v>
    <v>280</v>
    <v>a1nec7</v>
    <v>XNAS:AMGN</v>
    <v>557</v>
  </rv>
  <rv s="24">
    <v>63</v>
    <v>a1nkur</v>
    <v>Daily</v>
    <v>46057</v>
    <v>46057</v>
    <v>0</v>
    <v>1</v>
    <v>639057600000000000,639059118390281786,0</v>
    <v>0</v>
    <v>a1nkur</v>
    <v>XNAS:APA</v>
    <v>558</v>
  </rv>
  <rv s="24">
    <v>63</v>
    <v>a1nkur</v>
    <v>Daily</v>
    <v>46056</v>
    <v>46056</v>
    <v>0</v>
    <v>1</v>
    <v>639056736000000000,639059116466091779,0</v>
    <v>0</v>
    <v>a1nkur</v>
    <v>XNAS:APA</v>
    <v>559</v>
  </rv>
  <rv s="24">
    <v>65</v>
    <v>bvhx27</v>
    <v>Daily</v>
    <v>46056</v>
    <v>46056</v>
    <v>0</v>
    <v>1</v>
    <v>639056736000000000,639059116455643156,0</v>
    <v>0</v>
    <v>bvhx27</v>
    <v>XTSX:PEAK</v>
    <v>560</v>
  </rv>
  <rv s="24">
    <v>65</v>
    <v>bvhx27</v>
    <v>Daily</v>
    <v>46057</v>
    <v>46057</v>
    <v>0</v>
    <v>1</v>
    <v>639057600000000000,639059118374199768,0</v>
    <v>0</v>
    <v>bvhx27</v>
    <v>XTSX:PEAK</v>
    <v>561</v>
  </rv>
  <rv s="24">
    <v>63</v>
    <v>bptw77</v>
    <v>Daily</v>
    <v>46057</v>
    <v>46057</v>
    <v>0</v>
    <v>1</v>
    <v>639057600000000000,639059118070043497,0</v>
    <v>0</v>
    <v>bptw77</v>
    <v>XNYS:UBER</v>
    <v>562</v>
  </rv>
  <rv s="24">
    <v>63</v>
    <v>bptw77</v>
    <v>Daily</v>
    <v>46056</v>
    <v>46056</v>
    <v>0</v>
    <v>1</v>
    <v>639056736000000000,639059116297290131,0</v>
    <v>0</v>
    <v>bptw77</v>
    <v>XNYS:UBER</v>
    <v>563</v>
  </rv>
  <rv s="24">
    <v>63</v>
    <v>a1ysr7</v>
    <v>Daily</v>
    <v>46056</v>
    <v>46056</v>
    <v>0</v>
    <v>1</v>
    <v>639056736000000000,639059116461452848,0</v>
    <v>0</v>
    <v>a1ysr7</v>
    <v>XNAS:NTRS</v>
    <v>564</v>
  </rv>
  <rv s="24">
    <v>63</v>
    <v>a1ysr7</v>
    <v>Daily</v>
    <v>46057</v>
    <v>46057</v>
    <v>0</v>
    <v>1</v>
    <v>639057600000000000,639059118381082073,0</v>
    <v>0</v>
    <v>a1ysr7</v>
    <v>XNAS:NTRS</v>
    <v>565</v>
  </rv>
  <rv s="24">
    <v>63</v>
    <v>a1mvjc</v>
    <v>Daily</v>
    <v>46057</v>
    <v>46057</v>
    <v>0</v>
    <v>1</v>
    <v>639057600000000000,639059118361057190,0</v>
    <v>0</v>
    <v>a1mvjc</v>
    <v>XNAS:ADI</v>
    <v>566</v>
  </rv>
  <rv s="24">
    <v>63</v>
    <v>a1mvjc</v>
    <v>Daily</v>
    <v>46056</v>
    <v>46056</v>
    <v>0</v>
    <v>1</v>
    <v>639056736000000000,639059116438362709,0</v>
    <v>0</v>
    <v>a1mvjc</v>
    <v>XNAS:ADI</v>
    <v>567</v>
  </rv>
  <rv s="24">
    <v>65</v>
    <v>cgm86h</v>
    <v>Daily</v>
    <v>46056</v>
    <v>46056</v>
    <v>0</v>
    <v>1</v>
    <v>639056736000000000,639081038165502863,0</v>
    <v>0</v>
    <v>cgm86h</v>
    <v>NEOE:AZO</v>
    <v>229</v>
  </rv>
  <rv s="24">
    <v>65</v>
    <v>cgm86h</v>
    <v>Daily</v>
    <v>46057</v>
    <v>46057</v>
    <v>0</v>
    <v>1</v>
    <v>639057600000000000,639081038171238292,0</v>
    <v>0</v>
    <v>cgm86h</v>
    <v>NEOE:AZO</v>
    <v>229</v>
  </rv>
  <rv s="24">
    <v>63</v>
    <v>a1sicw</v>
    <v>Daily</v>
    <v>46057</v>
    <v>46057</v>
    <v>0</v>
    <v>1</v>
    <v>639057600000000000,639059118390453845,0</v>
    <v>0</v>
    <v>a1sicw</v>
    <v>XNYS:EXPD</v>
    <v>568</v>
  </rv>
  <rv s="24">
    <v>63</v>
    <v>a1sicw</v>
    <v>Daily</v>
    <v>46056</v>
    <v>46056</v>
    <v>0</v>
    <v>1</v>
    <v>639056736000000000,639059116436474131,0</v>
    <v>0</v>
    <v>a1sicw</v>
    <v>XNYS:EXPD</v>
    <v>569</v>
  </rv>
  <rv s="24">
    <v>63</v>
    <v>a1u4zr</v>
    <v>Daily</v>
    <v>46057</v>
    <v>46057</v>
    <v>0</v>
    <v>1</v>
    <v>639057600000000000,639059118380769969,0</v>
    <v>0</v>
    <v>a1u4zr</v>
    <v>XNYS:GPN</v>
    <v>570</v>
  </rv>
  <rv s="24">
    <v>63</v>
    <v>a1u4zr</v>
    <v>Daily</v>
    <v>46056</v>
    <v>46056</v>
    <v>0</v>
    <v>1</v>
    <v>639056736000000000,639059116455521151,0</v>
    <v>0</v>
    <v>a1u4zr</v>
    <v>XNYS:GPN</v>
    <v>571</v>
  </rv>
  <rv s="24">
    <v>63</v>
    <v>a1xtpr</v>
    <v>Daily</v>
    <v>46057</v>
    <v>46057</v>
    <v>0</v>
    <v>1</v>
    <v>639057600000000000,639059118361376931,0</v>
    <v>0</v>
    <v>a1xtpr</v>
    <v>XNYS:MO</v>
    <v>572</v>
  </rv>
  <rv s="24">
    <v>63</v>
    <v>a1xtpr</v>
    <v>Daily</v>
    <v>46056</v>
    <v>46056</v>
    <v>0</v>
    <v>1</v>
    <v>639056736000000000,639059116438848802,0</v>
    <v>0</v>
    <v>a1xtpr</v>
    <v>XNYS:MO</v>
    <v>573</v>
  </rv>
  <rv s="24">
    <v>63</v>
    <v>a1pqur</v>
    <v>Daily</v>
    <v>46057</v>
    <v>46057</v>
    <v>0</v>
    <v>1</v>
    <v>639057600000000000,639059118365951067,0</v>
    <v>0</v>
    <v>a1pqur</v>
    <v>XNAS:CINF</v>
    <v>574</v>
  </rv>
  <rv s="24">
    <v>63</v>
    <v>a1pqur</v>
    <v>Daily</v>
    <v>46056</v>
    <v>46056</v>
    <v>0</v>
    <v>1</v>
    <v>639056736000000000,639059116458395944,0</v>
    <v>0</v>
    <v>a1pqur</v>
    <v>XNAS:CINF</v>
    <v>575</v>
  </rv>
  <rv s="24">
    <v>66</v>
    <v>ao7qa2</v>
    <v>Daily</v>
    <v>46056</v>
    <v>46056</v>
    <v>0</v>
    <v>1</v>
    <v>639056736000000000,639059116456814447,0</v>
    <v>0</v>
    <v>ao7qa2</v>
    <v>XLON:DFS</v>
    <v>576</v>
  </rv>
  <rv s="24">
    <v>66</v>
    <v>ao7qa2</v>
    <v>Daily</v>
    <v>46057</v>
    <v>46057</v>
    <v>0</v>
    <v>1</v>
    <v>639057600000000000,639059118380975962,0</v>
    <v>0</v>
    <v>ao7qa2</v>
    <v>XLON:DFS</v>
    <v>577</v>
  </rv>
  <rv s="24">
    <v>63</v>
    <v>a1o4ec</v>
    <v>Daily</v>
    <v>46056</v>
    <v>46056</v>
    <v>0</v>
    <v>1</v>
    <v>639056736000000000,639062612998182985,0</v>
    <v>0</v>
    <v>a1o4ec</v>
    <v>XNYS:BA</v>
    <v>578</v>
  </rv>
  <rv s="24">
    <v>63</v>
    <v>a1o4ec</v>
    <v>Daily</v>
    <v>46057</v>
    <v>46057</v>
    <v>0</v>
    <v>1</v>
    <v>639057600000000000,639059004685330130,0</v>
    <v>0</v>
    <v>a1o4ec</v>
    <v>XNYS:BA</v>
    <v>579</v>
  </rv>
  <rv s="24">
    <v>63</v>
    <v>a1o4ec</v>
    <v>Daily</v>
    <v>46056</v>
    <v>46057</v>
    <v>0</v>
    <v>1</v>
    <v>639057600000000000,639081038181206640,0</v>
    <v>280</v>
    <v>a1o4ec</v>
    <v>XNYS:BA</v>
    <v>580</v>
  </rv>
  <rv s="24">
    <v>63</v>
    <v>a1w2cw</v>
    <v>Daily</v>
    <v>46056</v>
    <v>46056</v>
    <v>0</v>
    <v>1</v>
    <v>639056736000000000,639059116448134665,0</v>
    <v>0</v>
    <v>a1w2cw</v>
    <v>XNYS:JCI</v>
    <v>581</v>
  </rv>
  <rv s="24">
    <v>63</v>
    <v>a1w2cw</v>
    <v>Daily</v>
    <v>46057</v>
    <v>46057</v>
    <v>0</v>
    <v>1</v>
    <v>639057600000000000,639059118373612045,0</v>
    <v>0</v>
    <v>a1w2cw</v>
    <v>XNYS:JCI</v>
    <v>582</v>
  </rv>
  <rv s="24">
    <v>63</v>
    <v>a26em7</v>
    <v>Daily</v>
    <v>46056</v>
    <v>46056</v>
    <v>0</v>
    <v>1</v>
    <v>639056736000000000,639059116449998727,0</v>
    <v>0</v>
    <v>a26em7</v>
    <v>XNYS:YUM</v>
    <v>583</v>
  </rv>
  <rv s="24">
    <v>63</v>
    <v>a26em7</v>
    <v>Daily</v>
    <v>46057</v>
    <v>46057</v>
    <v>0</v>
    <v>1</v>
    <v>639057600000000000,639059118378054856,0</v>
    <v>0</v>
    <v>a26em7</v>
    <v>XNYS:YUM</v>
    <v>584</v>
  </rv>
  <rv s="24">
    <v>63</v>
    <v>a1wmu2</v>
    <v>Daily</v>
    <v>46057</v>
    <v>46057</v>
    <v>0</v>
    <v>1</v>
    <v>639057600000000000,639059118373562262,0</v>
    <v>0</v>
    <v>a1wmu2</v>
    <v>XNYS:KR</v>
    <v>585</v>
  </rv>
  <rv s="24">
    <v>63</v>
    <v>a1wmu2</v>
    <v>Daily</v>
    <v>46056</v>
    <v>46056</v>
    <v>0</v>
    <v>1</v>
    <v>639056736000000000,639059116452528820,0</v>
    <v>0</v>
    <v>a1wmu2</v>
    <v>XNYS:KR</v>
    <v>586</v>
  </rv>
  <rv s="24">
    <v>63</v>
    <v>a24i3m</v>
    <v>Daily</v>
    <v>46057</v>
    <v>46057</v>
    <v>0</v>
    <v>1</v>
    <v>639057600000000000,639059118360601136,0</v>
    <v>0</v>
    <v>a24i3m</v>
    <v>XNAS:TROW</v>
    <v>587</v>
  </rv>
  <rv s="24">
    <v>63</v>
    <v>a24i3m</v>
    <v>Daily</v>
    <v>46056</v>
    <v>46056</v>
    <v>0</v>
    <v>1</v>
    <v>639056736000000000,639059116439022155,0</v>
    <v>0</v>
    <v>a24i3m</v>
    <v>XNAS:TROW</v>
    <v>588</v>
  </rv>
  <rv s="24">
    <v>63</v>
    <v>a25obh</v>
    <v>Daily</v>
    <v>46056</v>
    <v>46057</v>
    <v>0</v>
    <v>1</v>
    <v>639057600000000000,639059004685333738,0</v>
    <v>280</v>
    <v>a25obh</v>
    <v>XNYS:VZ</v>
    <v>589</v>
  </rv>
  <rv s="24">
    <v>63</v>
    <v>a1wljc</v>
    <v>Daily</v>
    <v>46056</v>
    <v>46057</v>
    <v>0</v>
    <v>1</v>
    <v>639057600000000000,639059004687645327,0</v>
    <v>280</v>
    <v>a1wljc</v>
    <v>XNYS:KO</v>
    <v>590</v>
  </rv>
  <rv s="24">
    <v>63</v>
    <v>a1z3h7</v>
    <v>Daily</v>
    <v>46057</v>
    <v>46057</v>
    <v>0</v>
    <v>1</v>
    <v>639057600000000000,639059118377465092,0</v>
    <v>0</v>
    <v>a1z3h7</v>
    <v>XNAS:ODFL</v>
    <v>591</v>
  </rv>
  <rv s="24">
    <v>63</v>
    <v>a1z3h7</v>
    <v>Daily</v>
    <v>46056</v>
    <v>46056</v>
    <v>0</v>
    <v>1</v>
    <v>639056736000000000,639059116448463224,0</v>
    <v>0</v>
    <v>a1z3h7</v>
    <v>XNAS:ODFL</v>
    <v>592</v>
  </rv>
  <rv s="24">
    <v>63</v>
    <v>a1nqw7</v>
    <v>Daily</v>
    <v>46056</v>
    <v>46056</v>
    <v>0</v>
    <v>1</v>
    <v>639056736000000000,639059116444396048,0</v>
    <v>0</v>
    <v>a1nqw7</v>
    <v>XNYS:HWM</v>
    <v>593</v>
  </rv>
  <rv s="24">
    <v>63</v>
    <v>a1nqw7</v>
    <v>Daily</v>
    <v>46057</v>
    <v>46057</v>
    <v>0</v>
    <v>1</v>
    <v>639057600000000000,639059118366902632,0</v>
    <v>0</v>
    <v>a1nqw7</v>
    <v>XNYS:HWM</v>
    <v>594</v>
  </rv>
  <rv s="24">
    <v>63</v>
    <v>a1xg3m</v>
    <v>Daily</v>
    <v>46056</v>
    <v>46056</v>
    <v>0</v>
    <v>1</v>
    <v>639056736000000000,639059116438117619,0</v>
    <v>0</v>
    <v>a1xg3m</v>
    <v>XNYS:MDT</v>
    <v>595</v>
  </rv>
  <rv s="24">
    <v>63</v>
    <v>a1xg3m</v>
    <v>Daily</v>
    <v>46057</v>
    <v>46057</v>
    <v>0</v>
    <v>1</v>
    <v>639057600000000000,639059118360900290,0</v>
    <v>0</v>
    <v>a1xg3m</v>
    <v>XNYS:MDT</v>
    <v>596</v>
  </rv>
  <rv s="24">
    <v>67</v>
    <v>afnixm</v>
    <v>Daily</v>
    <v>46056</v>
    <v>46056</v>
    <v>0</v>
    <v>1</v>
    <v>639056736000000000,639059116438463458,0</v>
    <v>0</v>
    <v>afnixm</v>
    <v>XFRA:VEN</v>
    <v>597</v>
  </rv>
  <rv s="24">
    <v>67</v>
    <v>afnixm</v>
    <v>Daily</v>
    <v>46057</v>
    <v>46057</v>
    <v>0</v>
    <v>1</v>
    <v>639057600000000000,639059118363126557,0</v>
    <v>0</v>
    <v>afnixm</v>
    <v>XFRA:VEN</v>
    <v>598</v>
  </rv>
  <rv s="24">
    <v>63</v>
    <v>a1sqcw</v>
    <v>Daily</v>
    <v>46057</v>
    <v>46057</v>
    <v>0</v>
    <v>1</v>
    <v>639057600000000000,639059118372038624,0</v>
    <v>0</v>
    <v>a1sqcw</v>
    <v>XNYS:FDS</v>
    <v>599</v>
  </rv>
  <rv s="24">
    <v>63</v>
    <v>a1sqcw</v>
    <v>Daily</v>
    <v>46056</v>
    <v>46056</v>
    <v>0</v>
    <v>1</v>
    <v>639056736000000000,639059116459841568,0</v>
    <v>0</v>
    <v>a1sqcw</v>
    <v>XNYS:FDS</v>
    <v>600</v>
  </rv>
  <rv s="24">
    <v>63</v>
    <v>a1zsjc</v>
    <v>Daily</v>
    <v>46056</v>
    <v>46057</v>
    <v>0</v>
    <v>1</v>
    <v>639057600000000000,639059004686902812,0</v>
    <v>280</v>
    <v>a1zsjc</v>
    <v>XNYS:PG</v>
    <v>601</v>
  </rv>
  <rv s="24">
    <v>63</v>
    <v>a1sx7w</v>
    <v>Daily</v>
    <v>46056</v>
    <v>46056</v>
    <v>0</v>
    <v>1</v>
    <v>639056736000000000,639059116439440070,0</v>
    <v>0</v>
    <v>a1sx7w</v>
    <v>XNAS:FITB</v>
    <v>602</v>
  </rv>
  <rv s="24">
    <v>63</v>
    <v>a1sx7w</v>
    <v>Daily</v>
    <v>46057</v>
    <v>46057</v>
    <v>0</v>
    <v>1</v>
    <v>639057600000000000,639059118370001087,0</v>
    <v>0</v>
    <v>a1sx7w</v>
    <v>XNAS:FITB</v>
    <v>603</v>
  </rv>
  <rv s="24">
    <v>63</v>
    <v>a1pnu2</v>
    <v>Daily</v>
    <v>46056</v>
    <v>46056</v>
    <v>0</v>
    <v>1</v>
    <v>639056736000000000,639059116467132004,0</v>
    <v>0</v>
    <v>a1pnu2</v>
    <v>XNAS:CHRW</v>
    <v>604</v>
  </rv>
  <rv s="24">
    <v>63</v>
    <v>a1pnu2</v>
    <v>Daily</v>
    <v>46057</v>
    <v>46057</v>
    <v>0</v>
    <v>1</v>
    <v>639057600000000000,639059118372777189,0</v>
    <v>0</v>
    <v>a1pnu2</v>
    <v>XNAS:CHRW</v>
    <v>605</v>
  </rv>
  <rv s="24">
    <v>63</v>
    <v>a1tyrw</v>
    <v>Daily</v>
    <v>46057</v>
    <v>46057</v>
    <v>0</v>
    <v>1</v>
    <v>639057600000000000,639059118365917202,0</v>
    <v>0</v>
    <v>a1tyrw</v>
    <v>XNYS:GM</v>
    <v>606</v>
  </rv>
  <rv s="24">
    <v>63</v>
    <v>a1tyrw</v>
    <v>Daily</v>
    <v>46056</v>
    <v>46056</v>
    <v>0</v>
    <v>1</v>
    <v>639056736000000000,639059116438476265,0</v>
    <v>0</v>
    <v>a1tyrw</v>
    <v>XNYS:GM</v>
    <v>607</v>
  </rv>
  <rv s="24">
    <v>63</v>
    <v>a1ypc7</v>
    <v>Daily</v>
    <v>46057</v>
    <v>46057</v>
    <v>0</v>
    <v>1</v>
    <v>639057600000000000,639059118380858764,0</v>
    <v>0</v>
    <v>a1ypc7</v>
    <v>XNYS:NRG</v>
    <v>608</v>
  </rv>
  <rv s="24">
    <v>63</v>
    <v>a1ypc7</v>
    <v>Daily</v>
    <v>46056</v>
    <v>46056</v>
    <v>0</v>
    <v>1</v>
    <v>639056736000000000,639059116453267940,0</v>
    <v>0</v>
    <v>a1ypc7</v>
    <v>XNYS:NRG</v>
    <v>609</v>
  </rv>
  <rv s="24">
    <v>63</v>
    <v>bzwuz2</v>
    <v>Daily</v>
    <v>46057</v>
    <v>46057</v>
    <v>0</v>
    <v>1</v>
    <v>639057600000000000,639059118359379269,0</v>
    <v>0</v>
    <v>bzwuz2</v>
    <v>XLON:FANG</v>
    <v>610</v>
  </rv>
  <rv s="24">
    <v>63</v>
    <v>bzwuz2</v>
    <v>Daily</v>
    <v>46056</v>
    <v>46056</v>
    <v>0</v>
    <v>1</v>
    <v>639056736000000000,639059116440574987,0</v>
    <v>0</v>
    <v>bzwuz2</v>
    <v>XLON:FANG</v>
    <v>611</v>
  </rv>
  <rv s="24">
    <v>63</v>
    <v>a1xdec</v>
    <v>Daily</v>
    <v>46056</v>
    <v>46057</v>
    <v>0</v>
    <v>1</v>
    <v>639057600000000000,639059004688389410,0</v>
    <v>280</v>
    <v>a1xdec</v>
    <v>XNYS:MCD</v>
    <v>612</v>
  </rv>
  <rv s="24">
    <v>63</v>
    <v>a1qc1h</v>
    <v>Daily</v>
    <v>46056</v>
    <v>46057</v>
    <v>0</v>
    <v>1</v>
    <v>639057600000000000,639059004687491576,0</v>
    <v>280</v>
    <v>a1qc1h</v>
    <v>XNYS:CRM</v>
    <v>613</v>
  </rv>
  <rv s="24">
    <v>63</v>
    <v>a1z7mw</v>
    <v>Daily</v>
    <v>46057</v>
    <v>46057</v>
    <v>0</v>
    <v>1</v>
    <v>639057600000000000,639059118371666925,0</v>
    <v>0</v>
    <v>a1z7mw</v>
    <v>XNYS:OMC</v>
    <v>614</v>
  </rv>
  <rv s="24">
    <v>63</v>
    <v>a1z7mw</v>
    <v>Daily</v>
    <v>46056</v>
    <v>46056</v>
    <v>0</v>
    <v>1</v>
    <v>639056736000000000,639059116464021327,0</v>
    <v>0</v>
    <v>a1z7mw</v>
    <v>XNYS:OMC</v>
    <v>615</v>
  </rv>
  <rv s="24">
    <v>63</v>
    <v>a24j8m</v>
    <v>Daily</v>
    <v>46057</v>
    <v>46057</v>
    <v>0</v>
    <v>1</v>
    <v>639057600000000000,639059004687007214,0</v>
    <v>0</v>
    <v>a24j8m</v>
    <v>XNYS:TRV</v>
    <v>616</v>
  </rv>
  <rv s="24">
    <v>63</v>
    <v>a24j8m</v>
    <v>Daily</v>
    <v>46056</v>
    <v>46056</v>
    <v>0</v>
    <v>1</v>
    <v>639056736000000000,639062613004371556,0</v>
    <v>0</v>
    <v>a24j8m</v>
    <v>XNYS:TRV</v>
    <v>617</v>
  </rv>
  <rv s="24">
    <v>63</v>
    <v>a24j8m</v>
    <v>Daily</v>
    <v>46056</v>
    <v>46057</v>
    <v>0</v>
    <v>1</v>
    <v>639057600000000000,639081038184452282,0</v>
    <v>280</v>
    <v>a24j8m</v>
    <v>XNYS:TRV</v>
    <v>618</v>
  </rv>
  <rv s="24">
    <v>63</v>
    <v>a1zez2</v>
    <v>Daily</v>
    <v>46056</v>
    <v>46056</v>
    <v>0</v>
    <v>1</v>
    <v>639056736000000000,639059116438021551,0</v>
    <v>0</v>
    <v>a1zez2</v>
    <v>XNYS:OXY</v>
    <v>619</v>
  </rv>
  <rv s="24">
    <v>63</v>
    <v>a1zez2</v>
    <v>Daily</v>
    <v>46057</v>
    <v>46057</v>
    <v>0</v>
    <v>1</v>
    <v>639057600000000000,639059118365397082,0</v>
    <v>0</v>
    <v>a1zez2</v>
    <v>XNYS:OXY</v>
    <v>620</v>
  </rv>
  <rv s="24">
    <v>63</v>
    <v>a1yjxm</v>
    <v>Daily</v>
    <v>46057</v>
    <v>46057</v>
    <v>0</v>
    <v>1</v>
    <v>639057600000000000,639059004686423647,0</v>
    <v>0</v>
    <v>a1yjxm</v>
    <v>XNYS:NKE</v>
    <v>621</v>
  </rv>
  <rv s="24">
    <v>63</v>
    <v>a1yjxm</v>
    <v>Daily</v>
    <v>46056</v>
    <v>46056</v>
    <v>0</v>
    <v>1</v>
    <v>639056736000000000,639062612983213172,0</v>
    <v>0</v>
    <v>a1yjxm</v>
    <v>XNYS:NKE</v>
    <v>622</v>
  </rv>
  <rv s="24">
    <v>63</v>
    <v>a1yjxm</v>
    <v>Daily</v>
    <v>46056</v>
    <v>46057</v>
    <v>0</v>
    <v>1</v>
    <v>639057600000000000,639081038182470995,0</v>
    <v>280</v>
    <v>a1yjxm</v>
    <v>XNYS:NKE</v>
    <v>623</v>
  </rv>
  <rv s="24">
    <v>63</v>
    <v>a1qlz2</v>
    <v>Daily</v>
    <v>46056</v>
    <v>46057</v>
    <v>0</v>
    <v>1</v>
    <v>639057600000000000,639059004685487554,0</v>
    <v>280</v>
    <v>a1qlz2</v>
    <v>XNYS:CVX</v>
    <v>624</v>
  </rv>
  <rv s="24">
    <v>63</v>
    <v>a25sk2</v>
    <v>Daily</v>
    <v>46057</v>
    <v>46057</v>
    <v>0</v>
    <v>1</v>
    <v>639057600000000000,639059118374960381,0</v>
    <v>0</v>
    <v>a25sk2</v>
    <v>XNYS:WEC</v>
    <v>625</v>
  </rv>
  <rv s="24">
    <v>63</v>
    <v>a25sk2</v>
    <v>Daily</v>
    <v>46056</v>
    <v>46056</v>
    <v>0</v>
    <v>1</v>
    <v>639056736000000000,639059116455336192,0</v>
    <v>0</v>
    <v>a25sk2</v>
    <v>XNYS:WEC</v>
    <v>626</v>
  </rv>
  <rv s="24">
    <v>63</v>
    <v>a1vn8m</v>
    <v>Daily</v>
    <v>46056</v>
    <v>46056</v>
    <v>0</v>
    <v>1</v>
    <v>639056736000000000,639059116437487738,0</v>
    <v>0</v>
    <v>a1vn8m</v>
    <v>XNYS:INVH</v>
    <v>627</v>
  </rv>
  <rv s="24">
    <v>63</v>
    <v>a1vn8m</v>
    <v>Daily</v>
    <v>46057</v>
    <v>46057</v>
    <v>0</v>
    <v>1</v>
    <v>639057600000000000,639059118361656216,0</v>
    <v>0</v>
    <v>a1vn8m</v>
    <v>XNYS:INVH</v>
    <v>628</v>
  </rv>
  <rv s="24">
    <v>63</v>
    <v>a1u7xm</v>
    <v>Daily</v>
    <v>46056</v>
    <v>46056</v>
    <v>0</v>
    <v>1</v>
    <v>639056736000000000,639062613014001120,0</v>
    <v>0</v>
    <v>a1u7xm</v>
    <v>XNYS:GS</v>
    <v>629</v>
  </rv>
  <rv s="24">
    <v>63</v>
    <v>a1u7xm</v>
    <v>Daily</v>
    <v>46057</v>
    <v>46057</v>
    <v>0</v>
    <v>1</v>
    <v>639057600000000000,639059004686773528,0</v>
    <v>0</v>
    <v>a1u7xm</v>
    <v>XNYS:GS</v>
    <v>630</v>
  </rv>
  <rv s="24">
    <v>63</v>
    <v>a1u7xm</v>
    <v>Daily</v>
    <v>46056</v>
    <v>46057</v>
    <v>0</v>
    <v>1</v>
    <v>639057600000000000,639081038183026615,0</v>
    <v>280</v>
    <v>a1u7xm</v>
    <v>XNYS:GS</v>
    <v>631</v>
  </rv>
  <rv s="24">
    <v>63</v>
    <v>a1nl77</v>
    <v>Daily</v>
    <v>46057</v>
    <v>46057</v>
    <v>0</v>
    <v>1</v>
    <v>639057600000000000,639059118365920159,0</v>
    <v>0</v>
    <v>a1nl77</v>
    <v>XNYS:APD</v>
    <v>632</v>
  </rv>
  <rv s="24">
    <v>63</v>
    <v>a1nl77</v>
    <v>Daily</v>
    <v>46056</v>
    <v>46056</v>
    <v>0</v>
    <v>1</v>
    <v>639056736000000000,639059116438183973,0</v>
    <v>0</v>
    <v>a1nl77</v>
    <v>XNYS:APD</v>
    <v>633</v>
  </rv>
  <rv s="24">
    <v>63</v>
    <v>a24xlh</v>
    <v>Daily</v>
    <v>46056</v>
    <v>46057</v>
    <v>0</v>
    <v>1</v>
    <v>639057600000000000,639059004685001521,0</v>
    <v>280</v>
    <v>a24xlh</v>
    <v>XNYS:UNH</v>
    <v>634</v>
  </rv>
  <rv s="24">
    <v>63</v>
    <v>a1sjw7</v>
    <v>Daily</v>
    <v>46056</v>
    <v>46056</v>
    <v>0</v>
    <v>1</v>
    <v>639056736000000000,639059116437907497,0</v>
    <v>0</v>
    <v>a1sjw7</v>
    <v>XNYS:F</v>
    <v>635</v>
  </rv>
  <rv s="24">
    <v>63</v>
    <v>a1sjw7</v>
    <v>Daily</v>
    <v>46057</v>
    <v>46057</v>
    <v>0</v>
    <v>1</v>
    <v>639057600000000000,639059118359753780,0</v>
    <v>0</v>
    <v>a1sjw7</v>
    <v>XNYS:F</v>
    <v>636</v>
  </rv>
  <rv s="24">
    <v>63</v>
    <v>a1xhvh</v>
    <v>Daily</v>
    <v>46057</v>
    <v>46057</v>
    <v>0</v>
    <v>1</v>
    <v>639057600000000000,639059118359719186,0</v>
    <v>0</v>
    <v>a1xhvh</v>
    <v>XNYS:MET</v>
    <v>637</v>
  </rv>
  <rv s="24">
    <v>63</v>
    <v>a1xhvh</v>
    <v>Daily</v>
    <v>46056</v>
    <v>46056</v>
    <v>0</v>
    <v>1</v>
    <v>639056736000000000,639059116437663602,0</v>
    <v>0</v>
    <v>a1xhvh</v>
    <v>XNYS:MET</v>
    <v>638</v>
  </rv>
  <rv s="24">
    <v>63</v>
    <v>a249r7</v>
    <v>Daily</v>
    <v>46057</v>
    <v>46057</v>
    <v>0</v>
    <v>1</v>
    <v>639057600000000000,639059118360737115,0</v>
    <v>0</v>
    <v>a249r7</v>
    <v>XNYS:TJX</v>
    <v>639</v>
  </rv>
  <rv s="24">
    <v>63</v>
    <v>a249r7</v>
    <v>Daily</v>
    <v>46056</v>
    <v>46056</v>
    <v>0</v>
    <v>1</v>
    <v>639056736000000000,639059116437853155,0</v>
    <v>0</v>
    <v>a249r7</v>
    <v>XNYS:TJX</v>
    <v>640</v>
  </rv>
  <rv s="24">
    <v>63</v>
    <v>a1r8ur</v>
    <v>Daily</v>
    <v>46056</v>
    <v>46056</v>
    <v>0</v>
    <v>1</v>
    <v>639056736000000000,639059116446084550,0</v>
    <v>0</v>
    <v>a1r8ur</v>
    <v>XNYS:DOV</v>
    <v>641</v>
  </rv>
  <rv s="24">
    <v>63</v>
    <v>a1r8ur</v>
    <v>Daily</v>
    <v>46057</v>
    <v>46057</v>
    <v>0</v>
    <v>1</v>
    <v>639057600000000000,639059118371112049,0</v>
    <v>0</v>
    <v>a1r8ur</v>
    <v>XNYS:DOV</v>
    <v>642</v>
  </rv>
</rvData>
</file>

<file path=xl/richData/rdrichvaluestructure.xml><?xml version="1.0" encoding="utf-8"?>
<rvStructures xmlns="http://schemas.microsoft.com/office/spreadsheetml/2017/richdata" count="25">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Name" t="s"/>
    <k n="Official name" t="s"/>
    <k n="Open"/>
    <k n="P/E"/>
    <k n="Previous close"/>
    <k n="Price"/>
    <k n="Price (Extended hours)"/>
    <k n="Shares outstanding"/>
    <k n="Ticker symbol" t="s"/>
    <k n="UniqueName" t="s"/>
    <k n="Volume"/>
    <k n="Volume average"/>
    <k n="Year incorporated"/>
  </s>
  <s t="_formattednumber">
    <k n="_Format" t="spb"/>
  </s>
  <s t="_error">
    <k n="errorType" t="i"/>
    <k n="propagated" t="b"/>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error">
    <k n="errorType" t="i"/>
    <k n="subType" t="i"/>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Change"/>
    <k n="Change (%)"/>
    <k n="Currency" t="s"/>
    <k n="Exchange" t="s"/>
    <k n="Exchange abbreviation" t="s"/>
    <k n="High"/>
    <k n="Instrument type" t="s"/>
    <k n="Last trade time"/>
    <k n="LearnMoreOnLink" t="r"/>
    <k n="Low"/>
    <k n="Name" t="s"/>
    <k n="Open"/>
    <k n="Previous close"/>
    <k n="Price"/>
    <k n="Ticker symbol" t="s"/>
    <k n="UniqueName" t="s"/>
    <k n="Volume"/>
  </s>
  <s t="_error">
    <k n="errorType" t="i"/>
    <k n="field" t="s"/>
    <k n="subType" t="i"/>
  </s>
  <s t="_linkedentitycore">
    <k n="_Display" t="spb"/>
    <k n="_DisplayString" t="s"/>
    <k n="_Flags" t="spb"/>
    <k n="_Format" t="spb"/>
    <k n="_Icon" t="s"/>
    <k n="_SubLabel" t="spb"/>
    <k n="%EntityCulture" t="s"/>
    <k n="%EntityId" t="s"/>
    <k n="%EntityServiceId"/>
    <k n="%IsRefreshable" t="b"/>
    <k n="%ProviderInfo" t="s"/>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UniqueName"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7">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Image</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8">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Volume</v>
      <v t="s">Instrument type</v>
      <v t="s">_Flags</v>
      <v t="s">UniqueName</v>
      <v t="s">_DisplayString</v>
      <v t="s">LearnMoreOnLink</v>
      <v t="s">%ProviderInfo</v>
    </a>
    <a count="33">
      <v t="s">%EntityServiceId</v>
      <v t="s">_Format</v>
      <v t="s">%IsRefreshable</v>
      <v t="s">%EntityCulture</v>
      <v t="s">%EntityId</v>
      <v t="s">_Icon</v>
      <v t="s">_Display</v>
      <v t="s">Name</v>
      <v t="s">Price</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Headquarters</v>
      <v t="s">Industry</v>
      <v t="s">Instrument type</v>
      <v t="s">Year incorporated</v>
      <v t="s">_Flags</v>
      <v t="s">UniqueName</v>
      <v t="s">_DisplayString</v>
      <v t="s">ExchangeID</v>
      <v t="s">%ProviderInfo</v>
    </a>
  </spbArrays>
  <spbData count="70">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0</v>
      <v>0</v>
    </spb>
    <spb s="6">
      <v>6</v>
      <v>1</v>
      <v>1</v>
      <v>1</v>
      <v>1</v>
    </spb>
    <spb s="7">
      <v>1</v>
      <v>2</v>
      <v>2</v>
      <v>1</v>
      <v>3</v>
      <v>1</v>
      <v>10</v>
      <v>1</v>
      <v>1</v>
      <v>4</v>
      <v>4</v>
      <v>5</v>
      <v>6</v>
      <v>1</v>
      <v>1</v>
      <v>1</v>
      <v>4</v>
      <v>7</v>
      <v>8</v>
      <v>9</v>
      <v>4</v>
      <v>1</v>
      <v>1</v>
      <v>5</v>
    </spb>
    <spb s="8">
      <v>Powered by Refinitiv</v>
    </spb>
    <spb s="4">
      <v>at close</v>
      <v>from previous close</v>
      <v>from previous close</v>
      <v>Source: Nasdaq</v>
      <v>GMT</v>
      <v>Delayed 15 minutes</v>
      <v>from close</v>
      <v>from close</v>
    </spb>
    <spb s="0">
      <v>2</v>
      <v>Name</v>
      <v>LearnMoreOnLink</v>
    </spb>
    <spb s="9">
      <v>1</v>
      <v>2</v>
      <v>2</v>
      <v>1</v>
      <v>3</v>
      <v>1</v>
      <v>1</v>
      <v>1</v>
      <v>4</v>
      <v>4</v>
      <v>5</v>
      <v>1</v>
      <v>1</v>
      <v>1</v>
      <v>4</v>
      <v>7</v>
      <v>8</v>
      <v>9</v>
      <v>4</v>
      <v>1</v>
      <v>1</v>
      <v>5</v>
    </spb>
    <spb s="10">
      <v>1</v>
    </spb>
    <spb s="0">
      <v>3</v>
      <v>Name</v>
      <v>LearnMoreOnLink</v>
    </spb>
    <spb s="11">
      <v>1</v>
      <v>2</v>
      <v>1</v>
      <v>3</v>
      <v>1</v>
      <v>1</v>
      <v>1</v>
      <v>4</v>
      <v>4</v>
      <v>5</v>
      <v>6</v>
      <v>1</v>
      <v>1</v>
      <v>1</v>
      <v>4</v>
      <v>7</v>
      <v>8</v>
      <v>9</v>
      <v>4</v>
      <v>1</v>
      <v>1</v>
      <v>5</v>
    </spb>
    <spb s="12">
      <v>4</v>
      <v>Name</v>
    </spb>
    <spb s="13">
      <v>1</v>
      <v>1</v>
      <v>1</v>
    </spb>
    <spb s="14">
      <v>11</v>
      <v>2</v>
      <v>11</v>
      <v>3</v>
      <v>11</v>
      <v>11</v>
      <v>11</v>
      <v>4</v>
      <v>4</v>
      <v>5</v>
      <v>6</v>
      <v>11</v>
      <v>11</v>
      <v>11</v>
      <v>4</v>
      <v>7</v>
      <v>8</v>
      <v>9</v>
      <v>4</v>
    </spb>
    <spb s="15">
      <v>from previous close</v>
      <v>from previous close</v>
      <v>GMT</v>
    </spb>
    <spb s="14">
      <v>11</v>
      <v>2</v>
      <v>11</v>
      <v>3</v>
      <v>11</v>
      <v>11</v>
      <v>11</v>
      <v>4</v>
      <v>4</v>
      <v>5</v>
      <v>12</v>
      <v>11</v>
      <v>11</v>
      <v>11</v>
      <v>4</v>
      <v>7</v>
      <v>8</v>
      <v>9</v>
      <v>4</v>
    </spb>
    <spb s="0">
      <v>5</v>
      <v>Name</v>
      <v>LearnMoreOnLink</v>
    </spb>
    <spb s="16">
      <v>1</v>
      <v>2</v>
      <v>1</v>
      <v>3</v>
      <v>1</v>
      <v>10</v>
      <v>1</v>
      <v>1</v>
      <v>4</v>
      <v>4</v>
      <v>5</v>
      <v>6</v>
      <v>1</v>
      <v>1</v>
      <v>1</v>
      <v>4</v>
      <v>7</v>
      <v>8</v>
      <v>9</v>
      <v>4</v>
      <v>1</v>
      <v>1</v>
      <v>5</v>
    </spb>
    <spb s="12">
      <v>6</v>
      <v>Name</v>
    </spb>
    <spb s="0">
      <v>7</v>
      <v>Name</v>
      <v>LearnMoreOnLink</v>
    </spb>
    <spb s="17">
      <v>13</v>
      <v>2</v>
      <v>2</v>
      <v>13</v>
      <v>3</v>
      <v>13</v>
      <v>13</v>
      <v>13</v>
      <v>4</v>
      <v>4</v>
      <v>5</v>
      <v>14</v>
      <v>13</v>
      <v>4</v>
      <v>15</v>
      <v>9</v>
      <v>4</v>
    </spb>
    <spb s="18">
      <v>Delayed 15 minutes</v>
      <v>from previous close</v>
      <v>from previous close</v>
      <v>GMT</v>
    </spb>
    <spb s="10">
      <v>13</v>
    </spb>
    <spb s="0">
      <v>8</v>
      <v>Name</v>
      <v>LearnMoreOnLink</v>
    </spb>
    <spb s="19">
      <v>16</v>
      <v>2</v>
      <v>2</v>
      <v>16</v>
      <v>3</v>
      <v>16</v>
      <v>16</v>
      <v>16</v>
      <v>4</v>
      <v>4</v>
      <v>5</v>
      <v>17</v>
      <v>16</v>
      <v>16</v>
      <v>16</v>
      <v>4</v>
      <v>7</v>
      <v>8</v>
      <v>9</v>
      <v>4</v>
    </spb>
    <spb s="20">
      <v>Delayed 15 minutes</v>
      <v>from previous close</v>
      <v>from previous close</v>
      <v>LSE</v>
      <v>GMT</v>
    </spb>
    <spb s="10">
      <v>16</v>
    </spb>
    <spb s="0">
      <v>9</v>
      <v>Name</v>
      <v>LearnMoreOnLink</v>
    </spb>
    <spb s="21">
      <v>1</v>
      <v>1</v>
      <v>1</v>
    </spb>
    <spb s="22">
      <v>1</v>
      <v>1</v>
      <v>3</v>
      <v>1</v>
      <v>1</v>
      <v>1</v>
      <v>4</v>
      <v>5</v>
      <v>1</v>
      <v>7</v>
      <v>9</v>
    </spb>
    <spb s="23">
      <v>Delayed 15 minutes</v>
      <v>from previous close</v>
      <v>LSE</v>
      <v>from previous close</v>
      <v>GMT</v>
    </spb>
    <spb s="19">
      <v>13</v>
      <v>2</v>
      <v>2</v>
      <v>13</v>
      <v>3</v>
      <v>13</v>
      <v>13</v>
      <v>13</v>
      <v>4</v>
      <v>4</v>
      <v>5</v>
      <v>14</v>
      <v>13</v>
      <v>13</v>
      <v>13</v>
      <v>4</v>
      <v>7</v>
      <v>8</v>
      <v>9</v>
      <v>4</v>
    </spb>
    <spb s="19">
      <v>18</v>
      <v>2</v>
      <v>2</v>
      <v>18</v>
      <v>3</v>
      <v>18</v>
      <v>18</v>
      <v>18</v>
      <v>4</v>
      <v>4</v>
      <v>5</v>
      <v>19</v>
      <v>18</v>
      <v>18</v>
      <v>18</v>
      <v>4</v>
      <v>7</v>
      <v>8</v>
      <v>9</v>
      <v>4</v>
    </spb>
    <spb s="18">
      <v>End of Day</v>
      <v>from previous close</v>
      <v>from previous close</v>
      <v>GMT</v>
    </spb>
    <spb s="10">
      <v>18</v>
    </spb>
    <spb s="3">
      <v>11</v>
      <v>2</v>
      <v>2</v>
      <v>11</v>
      <v>3</v>
      <v>11</v>
      <v>11</v>
      <v>11</v>
      <v>4</v>
      <v>4</v>
      <v>5</v>
      <v>12</v>
      <v>11</v>
      <v>11</v>
      <v>11</v>
      <v>4</v>
      <v>7</v>
      <v>8</v>
      <v>9</v>
      <v>4</v>
      <v>11</v>
      <v>11</v>
      <v>5</v>
    </spb>
    <spb s="24">
      <v>at close</v>
      <v>from previous close</v>
      <v>from previous close</v>
      <v>GMT</v>
      <v>Delayed 20 minutes</v>
      <v>from close</v>
      <v>from close</v>
    </spb>
    <spb s="10">
      <v>11</v>
    </spb>
    <spb s="0">
      <v>10</v>
      <v>Name</v>
      <v>LearnMoreOnLink</v>
    </spb>
    <spb s="25">
      <v>1</v>
      <v>1</v>
      <v>1</v>
      <v>1</v>
    </spb>
    <spb s="26">
      <v>3</v>
      <v>13</v>
      <v>13</v>
      <v>4</v>
      <v>5</v>
      <v>14</v>
      <v>5</v>
      <v>5</v>
      <v>5</v>
      <v>5</v>
      <v>5</v>
      <v>5</v>
      <v>5</v>
      <v>5</v>
      <v>13</v>
      <v>15</v>
      <v>7</v>
      <v>9</v>
    </spb>
    <spb s="27">
      <v>from previous close</v>
      <v>from previous close</v>
      <v>GMT</v>
      <v>GMT</v>
    </spb>
    <spb s="19">
      <v>13</v>
      <v>2</v>
      <v>2</v>
      <v>13</v>
      <v>3</v>
      <v>13</v>
      <v>13</v>
      <v>13</v>
      <v>4</v>
      <v>4</v>
      <v>5</v>
      <v>6</v>
      <v>13</v>
      <v>13</v>
      <v>13</v>
      <v>4</v>
      <v>7</v>
      <v>8</v>
      <v>9</v>
      <v>4</v>
    </spb>
    <spb s="0">
      <v>11</v>
      <v>Name</v>
      <v>LearnMoreOnLink</v>
    </spb>
    <spb s="28">
      <v>1</v>
      <v>2</v>
      <v>2</v>
      <v>1</v>
      <v>3</v>
      <v>1</v>
      <v>1</v>
      <v>1</v>
      <v>4</v>
      <v>4</v>
      <v>5</v>
      <v>6</v>
      <v>1</v>
      <v>1</v>
      <v>1</v>
      <v>4</v>
      <v>7</v>
      <v>9</v>
      <v>4</v>
      <v>1</v>
      <v>1</v>
      <v>5</v>
    </spb>
    <spb s="0">
      <v>12</v>
      <v>Name</v>
      <v>LearnMoreOnLink</v>
    </spb>
    <spb s="29">
      <v>13</v>
      <v>2</v>
      <v>2</v>
      <v>13</v>
      <v>3</v>
      <v>13</v>
      <v>13</v>
      <v>13</v>
      <v>4</v>
      <v>4</v>
      <v>5</v>
      <v>14</v>
      <v>13</v>
      <v>13</v>
      <v>13</v>
      <v>4</v>
      <v>7</v>
      <v>9</v>
      <v>4</v>
    </spb>
    <spb s="20">
      <v>Delayed 15 minutes</v>
      <v>from previous close</v>
      <v>from previous close</v>
      <v>Borsa Italia</v>
      <v>GMT</v>
    </spb>
    <spb s="12">
      <v>13</v>
      <v>Name</v>
    </spb>
    <spb s="14">
      <v>20</v>
      <v>2</v>
      <v>20</v>
      <v>3</v>
      <v>20</v>
      <v>20</v>
      <v>20</v>
      <v>4</v>
      <v>4</v>
      <v>5</v>
      <v>6</v>
      <v>20</v>
      <v>20</v>
      <v>20</v>
      <v>4</v>
      <v>7</v>
      <v>8</v>
      <v>9</v>
      <v>4</v>
    </spb>
    <spb s="18">
      <v>Delayed 20 minutes</v>
      <v>from previous close</v>
      <v>from previous close</v>
      <v>GMT</v>
    </spb>
    <spb s="0">
      <v>14</v>
      <v>Name</v>
      <v>LearnMoreOnLink</v>
    </spb>
    <spb s="30">
      <v>11</v>
      <v>2</v>
      <v>2</v>
      <v>11</v>
      <v>3</v>
      <v>11</v>
      <v>11</v>
      <v>11</v>
      <v>4</v>
      <v>5</v>
      <v>12</v>
      <v>11</v>
      <v>11</v>
      <v>11</v>
      <v>4</v>
      <v>7</v>
      <v>8</v>
      <v>9</v>
      <v>4</v>
    </spb>
    <spb s="0">
      <v>15</v>
      <v>Name</v>
      <v>LearnMoreOnLink</v>
    </spb>
    <spb s="12">
      <v>16</v>
      <v>Name</v>
    </spb>
    <spb s="31">
      <v>21</v>
      <v>2</v>
      <v>21</v>
      <v>3</v>
      <v>21</v>
      <v>21</v>
      <v>21</v>
      <v>4</v>
      <v>5</v>
      <v>22</v>
      <v>21</v>
      <v>21</v>
      <v>21</v>
      <v>4</v>
      <v>7</v>
      <v>8</v>
      <v>9</v>
      <v>4</v>
    </spb>
    <spb s="10">
      <v>21</v>
    </spb>
    <spb s="19">
      <v>1</v>
      <v>2</v>
      <v>2</v>
      <v>1</v>
      <v>3</v>
      <v>1</v>
      <v>1</v>
      <v>1</v>
      <v>4</v>
      <v>4</v>
      <v>5</v>
      <v>6</v>
      <v>1</v>
      <v>1</v>
      <v>1</v>
      <v>4</v>
      <v>7</v>
      <v>8</v>
      <v>9</v>
      <v>4</v>
    </spb>
    <spb s="32">
      <v>15</v>
      <v>1</v>
    </spb>
    <spb s="32">
      <v>15</v>
      <v>21</v>
    </spb>
    <spb s="32">
      <v>15</v>
      <v>11</v>
    </spb>
    <spb s="32">
      <v>15</v>
      <v>16</v>
    </spb>
    <spb s="32">
      <v>15</v>
      <v>13</v>
    </spb>
    <spb s="32">
      <v>15</v>
      <v>20</v>
    </spb>
    <spb s="32">
      <v>15</v>
      <v>18</v>
    </spb>
  </spbData>
</supportingPropertyBags>
</file>

<file path=xl/richData/rdsupportingpropertybagstructure.xml><?xml version="1.0" encoding="utf-8"?>
<spbStructures xmlns="http://schemas.microsoft.com/office/spreadsheetml/2017/richdata2" count="33">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P/E" t="i"/>
    <k n="Beta" t="i"/>
    <k n="High" t="i"/>
    <k n="Name" t="i"/>
    <k n="Open" t="i"/>
    <k n="Price" t="i"/>
    <k n="Change" t="i"/>
    <k n="Volume" t="i"/>
    <k n="Employees" t="i"/>
    <k n="Change (%)" t="i"/>
    <k n="52 week low" t="i"/>
    <k n="52 week high" t="i"/>
    <k n="Previous close" t="i"/>
    <k n="Volume average" t="i"/>
    <k n="Last trade time" t="i"/>
    <k n="Year incorporated" t="i"/>
    <k n="`%EntityServiceId" t="i"/>
    <k n="Shares outstanding" t="i"/>
    <k n="Price (Extended hours)" t="i"/>
    <k n="Change (Extended hours)" t="i"/>
    <k n="Change % (Extended hours)" t="i"/>
  </s>
  <s>
    <k n="_Self"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Order" t="spba"/>
    <k n="TitleProperty" t="s"/>
  </s>
  <s>
    <k n="ExchangeID" t="spb"/>
    <k n="UniqueName" t="spb"/>
    <k n="`%ProviderInfo"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Change" t="s"/>
    <k n="Change (%)" t="s"/>
    <k n="Last trade time" t="s"/>
  </s>
  <s>
    <k n="Low"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P/E" t="i"/>
    <k n="Beta" t="i"/>
    <k n="High" t="i"/>
    <k n="Name" t="i"/>
    <k n="Open" t="i"/>
    <k n="Price" t="i"/>
    <k n="Change" t="i"/>
    <k n="Volume" t="i"/>
    <k n="Employees" t="i"/>
    <k n="Change (%)" t="i"/>
    <k n="Market cap" t="i"/>
    <k n="Previous close" t="i"/>
    <k n="Volume average" t="i"/>
    <k n="Last trade time"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UniqueName" t="spb"/>
    <k n="`%ProviderInfo" t="spb"/>
    <k n="LearnMoreOnLink" t="spb"/>
  </s>
  <s>
    <k n="Low" t="i"/>
    <k n="High" t="i"/>
    <k n="Name" t="i"/>
    <k n="Open" t="i"/>
    <k n="Price" t="i"/>
    <k n="Change" t="i"/>
    <k n="Volume" t="i"/>
    <k n="Change (%)" t="i"/>
    <k n="Previous close" t="i"/>
    <k n="Last trade time" t="i"/>
    <k n="`%EntityServiceId" t="i"/>
  </s>
  <s>
    <k n="Price" t="s"/>
    <k n="Change" t="s"/>
    <k n="Exchange" t="s"/>
    <k n="Change (%)" t="s"/>
    <k n="Last trade time" t="s"/>
  </s>
  <s>
    <k n="Price" t="s"/>
    <k n="Change" t="s"/>
    <k n="Change (%)" t="s"/>
    <k n="Last trade time" t="s"/>
    <k n="Price (Extended hours)" t="s"/>
    <k n="Change (Extended hours)" t="s"/>
    <k n="Change % (Extended hours)" t="s"/>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x:dxf>
      <x:numFmt numFmtId="19" formatCode="m/d/yy"/>
    </x:dxf>
    <x:dxf>
      <x:numFmt numFmtId="35" formatCode="_(* #,##0.00_);_(* \(#,##0.00\);_(* &quot;-&quot;??_);_(@_)"/>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1">
      <rpv i="0">_([$$-en-CA]* #,##0.00_);_([$$-en-CA]* (#,##0.00);_([$$-en-CA]* "-"??_);_(@_)</rpv>
    </rSty>
    <rSty dxfid="1">
      <rpv i="0">_([$$-en-CA]* #,##0_);_([$$-en-CA]* (#,##0);_([$$-en-CA]* "-"_);_(@_)</rpv>
    </rSty>
    <rSty dxfid="1">
      <rpv i="0">_([$€-x-euro2] * #,##0.00_);_([$€-x-euro2] * (#,##0.00);_([$€-x-euro2] * "-"??_);_(@_)</rpv>
    </rSty>
    <rSty dxfid="1">
      <rpv i="0">_([$€-x-euro2] * #,##0_);_([$€-x-euro2] * (#,##0);_([$€-x-euro2] * "-"_);_(@_)</rpv>
    </rSty>
    <rSty dxfid="7"/>
    <rSty dxfid="8">
      <rpv i="0">_(* #,##0.00_);_(* (#,##0.00);_(* "-"??_);_(@_)</rpv>
    </rSty>
    <rSty dxfid="1">
      <rpv i="0">_([$£-en-GB]* #,##0_);_([$£-en-GB]* (#,##0);_([$£-en-GB]* "-"_);_(@_)</rpv>
    </rSty>
    <rSty dxfid="1">
      <rpv i="0" xml:space="preserve">_ * #,##0.00_) [$zł-pl-PL]_ ;_ * (#,##0.00) [$zł-pl-PL]_ ;_ * "-"??_) [$zł-pl-PL]_ ;_ @_ </rpv>
    </rSty>
    <rSty dxfid="1">
      <rpv i="0" xml:space="preserve">_ * #,##0_) [$zł-pl-PL]_ ;_ * (#,##0) [$zł-pl-PL]_ ;_ * "-"_) [$zł-pl-PL]_ ;_ @_ </rpv>
    </rSty>
    <rSty dxfid="1">
      <rpv i="0">_-[$$-es-MX]* #,##0.00_-;-[$$-es-MX]* #,##0.00_-;_-[$$-es-MX]* "-"??_-;_-@_-</rpv>
    </rSty>
    <rSty dxfid="1">
      <rpv i="0">_([$$-en-AU]* #,##0.00_);_([$$-en-AU]* (#,##0.00);_([$$-en-AU]* "-"??_);_(@_)</rpv>
    </rSty>
    <rSty dxfid="1">
      <rpv i="0">_([$$-en-AU]* #,##0_);_([$$-en-AU]* (#,##0);_([$$-en-AU]*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F1D47-4F6D-4A42-AC9F-32D761F5E5C7}">
  <dimension ref="A1:AE15"/>
  <sheetViews>
    <sheetView tabSelected="1" zoomScale="170" zoomScaleNormal="170" workbookViewId="0">
      <selection activeCell="C13" sqref="C13"/>
    </sheetView>
  </sheetViews>
  <sheetFormatPr baseColWidth="10" defaultRowHeight="16" x14ac:dyDescent="0.2"/>
  <sheetData>
    <row r="1" spans="1:31" x14ac:dyDescent="0.2">
      <c r="A1" t="s">
        <v>0</v>
      </c>
      <c r="B1" t="e" vm="1">
        <v>#VALUE!</v>
      </c>
      <c r="C1" t="e" vm="2">
        <v>#VALUE!</v>
      </c>
      <c r="D1" t="e" vm="3">
        <v>#VALUE!</v>
      </c>
      <c r="E1" t="e" vm="4">
        <v>#VALUE!</v>
      </c>
      <c r="F1" t="e" vm="5">
        <v>#VALUE!</v>
      </c>
      <c r="G1" t="e" vm="6">
        <v>#VALUE!</v>
      </c>
      <c r="H1" t="e" vm="7">
        <v>#VALUE!</v>
      </c>
      <c r="I1" t="e" vm="8">
        <v>#VALUE!</v>
      </c>
      <c r="J1" t="e" vm="9">
        <v>#VALUE!</v>
      </c>
      <c r="K1" t="e" vm="10">
        <v>#VALUE!</v>
      </c>
      <c r="L1" t="e" vm="11">
        <v>#VALUE!</v>
      </c>
      <c r="M1" t="e" vm="12">
        <v>#VALUE!</v>
      </c>
      <c r="N1" t="e" vm="13">
        <v>#VALUE!</v>
      </c>
      <c r="O1" t="e" vm="14">
        <v>#VALUE!</v>
      </c>
      <c r="P1" t="e" vm="15">
        <v>#VALUE!</v>
      </c>
      <c r="Q1" t="e" vm="16">
        <v>#VALUE!</v>
      </c>
      <c r="R1" t="e" vm="17">
        <v>#VALUE!</v>
      </c>
      <c r="S1" t="e" vm="18">
        <v>#VALUE!</v>
      </c>
      <c r="T1" t="e" vm="19">
        <v>#VALUE!</v>
      </c>
      <c r="U1" t="e" vm="20">
        <v>#VALUE!</v>
      </c>
      <c r="V1" t="e" vm="21">
        <v>#VALUE!</v>
      </c>
      <c r="W1" t="e" vm="22">
        <v>#VALUE!</v>
      </c>
      <c r="X1" t="e" vm="23">
        <v>#VALUE!</v>
      </c>
      <c r="Y1" t="e" vm="24">
        <v>#VALUE!</v>
      </c>
      <c r="Z1" t="e" vm="25">
        <v>#VALUE!</v>
      </c>
      <c r="AA1" t="e" vm="26">
        <v>#VALUE!</v>
      </c>
      <c r="AB1" t="e" vm="27">
        <v>#VALUE!</v>
      </c>
      <c r="AC1" t="e" vm="28">
        <v>#VALUE!</v>
      </c>
      <c r="AD1" t="e" vm="29">
        <v>#VALUE!</v>
      </c>
      <c r="AE1" t="e" vm="30">
        <v>#VALUE!</v>
      </c>
    </row>
    <row r="2" spans="1:31" x14ac:dyDescent="0.2">
      <c r="A2" s="1">
        <v>46056</v>
      </c>
      <c r="B2" cm="1" vm="31">
        <f t="array" aca="1" ref="B2:B3" ca="1">_xlfn.STOCKHISTORY(B1,$A$2,$A$3,0,0,1)</f>
        <v>233.1</v>
      </c>
      <c r="C2" cm="1" vm="32">
        <f t="array" aca="1" ref="C2:C3" ca="1">_xlfn.STOCKHISTORY(C1,$A$2,$A$3,0,0,1)</f>
        <v>314.85000000000002</v>
      </c>
      <c r="D2" cm="1" vm="33">
        <f t="array" aca="1" ref="D2:D3" ca="1">_xlfn.STOCKHISTORY(D1,$A$2,$A$3,0,0,1)</f>
        <v>46.25</v>
      </c>
      <c r="E2" cm="1" vm="34">
        <f t="array" aca="1" ref="E2:E3" ca="1">_xlfn.STOCKHISTORY(E1,$A$2,$A$3,0,0,1)</f>
        <v>83.11</v>
      </c>
      <c r="F2" cm="1" vm="35">
        <f t="array" aca="1" ref="F2:F3" ca="1">_xlfn.STOCKHISTORY(F1,$A$2,$A$3,0,0,1)</f>
        <v>328.93</v>
      </c>
      <c r="G2" cm="1" vm="36">
        <f t="array" aca="1" ref="G2:G3" ca="1">_xlfn.STOCKHISTORY(G1,$A$2,$A$3,0,0,1)</f>
        <v>230.91</v>
      </c>
      <c r="H2" cm="1" vm="37">
        <f t="array" aca="1" ref="H2:H3" ca="1">_xlfn.STOCKHISTORY(H1,$A$2,$A$3,0,0,1)</f>
        <v>294.31</v>
      </c>
      <c r="I2" cm="1" vm="38">
        <f t="array" aca="1" ref="I2:I3" ca="1">_xlfn.STOCKHISTORY(I1,$A$2,$A$3,0,0,1)</f>
        <v>196.38</v>
      </c>
      <c r="J2" cm="1" vm="39">
        <f t="array" aca="1" ref="J2:J3" ca="1">_xlfn.STOCKHISTORY(J1,$A$2,$A$3,0,0,1)</f>
        <v>178.04</v>
      </c>
      <c r="K2" cm="1" vm="40">
        <f t="array" aca="1" ref="K2:K3" ca="1">_xlfn.STOCKHISTORY(K1,$A$2,$A$3,0,0,1)</f>
        <v>288.23</v>
      </c>
      <c r="L2" cm="1" vm="41">
        <f t="array" aca="1" ref="L2:L3" ca="1">_xlfn.STOCKHISTORY(L1,$A$2,$A$3,0,0,1)</f>
        <v>127.71</v>
      </c>
      <c r="M2" cm="1" vm="42">
        <f t="array" aca="1" ref="M2:M3" ca="1">_xlfn.STOCKHISTORY(M1,$A$2,$A$3,0,0,1)</f>
        <v>284.18</v>
      </c>
      <c r="N2" cm="1" vm="43">
        <f t="array" aca="1" ref="N2:N3" ca="1">_xlfn.STOCKHISTORY(N1,$A$2,$A$3,0,0,1)</f>
        <v>155.32</v>
      </c>
      <c r="O2" cm="1" vm="44">
        <f t="array" aca="1" ref="O2:O3" ca="1">_xlfn.STOCKHISTORY(O1,$A$2,$A$3,0,0,1)</f>
        <v>155.68</v>
      </c>
      <c r="P2" cm="1" vm="45">
        <f t="array" aca="1" ref="P2:P3" ca="1">_xlfn.STOCKHISTORY(P1,$A$2,$A$3,0,0,1)</f>
        <v>359.64</v>
      </c>
      <c r="Q2" cm="1" vm="46">
        <f t="array" aca="1" ref="Q2:Q3" ca="1">_xlfn.STOCKHISTORY(Q1,$A$2,$A$3,0,0,1)</f>
        <v>60.93</v>
      </c>
      <c r="R2" cm="1" vm="47">
        <f t="array" aca="1" ref="R2:R3" ca="1">_xlfn.STOCKHISTORY(R1,$A$2,$A$3,0,0,1)</f>
        <v>180.34</v>
      </c>
      <c r="S2" cm="1" vm="48">
        <f t="array" aca="1" ref="S2:S3" ca="1">_xlfn.STOCKHISTORY(S1,$A$2,$A$3,0,0,1)</f>
        <v>411.21</v>
      </c>
      <c r="T2" cm="1" vm="49">
        <f t="array" aca="1" ref="T2:T3" ca="1">_xlfn.STOCKHISTORY(T1,$A$2,$A$3,0,0,1)</f>
        <v>338.59</v>
      </c>
      <c r="U2" cm="1" vm="50">
        <f t="array" aca="1" ref="U2:U3" ca="1">_xlfn.STOCKHISTORY(U1,$A$2,$A$3,0,0,1)</f>
        <v>238.62</v>
      </c>
      <c r="V2" cm="1" vm="51">
        <f t="array" aca="1" ref="V2:V3" ca="1">_xlfn.STOCKHISTORY(V1,$A$2,$A$3,0,0,1)</f>
        <v>702.89</v>
      </c>
      <c r="W2" cm="1" vm="52">
        <f t="array" aca="1" ref="W2:W3" ca="1">_xlfn.STOCKHISTORY(W1,$A$2,$A$3,0,0,1)</f>
        <v>104.22</v>
      </c>
      <c r="X2" cm="1" vm="53">
        <f t="array" aca="1" ref="X2:X3" ca="1">_xlfn.STOCKHISTORY(X1,$A$2,$A$3,0,0,1)</f>
        <v>349.63</v>
      </c>
      <c r="Y2" cm="1" vm="54">
        <f t="array" aca="1" ref="Y2:Y3" ca="1">_xlfn.STOCKHISTORY(Y1,$A$2,$A$3,0,0,1)</f>
        <v>233.15</v>
      </c>
      <c r="Z2" cm="1" vm="55">
        <f t="array" aca="1" ref="Z2:Z3" ca="1">_xlfn.STOCKHISTORY(Z1,$A$2,$A$3,0,0,1)</f>
        <v>269.48</v>
      </c>
      <c r="AA2" cm="1" vm="56">
        <f t="array" aca="1" ref="AA2:AA3" ca="1">_xlfn.STOCKHISTORY(AA1,$A$2,$A$3,0,0,1)</f>
        <v>319.48</v>
      </c>
      <c r="AB2" cm="1" vm="57">
        <f t="array" aca="1" ref="AB2:AB3" ca="1">_xlfn.STOCKHISTORY(AB1,$A$2,$A$3,0,0,1)</f>
        <v>938.99</v>
      </c>
      <c r="AC2" cm="1" vm="58">
        <f t="array" aca="1" ref="AC2:AC3" ca="1">_xlfn.STOCKHISTORY(AC1,$A$2,$A$3,0,0,1)</f>
        <v>381.1</v>
      </c>
      <c r="AD2" cm="1" vm="59">
        <f t="array" aca="1" ref="AD2:AD3" ca="1">_xlfn.STOCKHISTORY(AD1,$A$2,$A$3,0,0,1)</f>
        <v>76.89</v>
      </c>
      <c r="AE2" cm="1" vm="60">
        <f t="array" aca="1" ref="AE2:AE3" ca="1">_xlfn.STOCKHISTORY(AE1,$A$2,$A$3,0,0,1)</f>
        <v>115.84</v>
      </c>
    </row>
    <row r="3" spans="1:31" x14ac:dyDescent="0.2">
      <c r="A3" s="1">
        <v>46057</v>
      </c>
      <c r="B3" vm="61">
        <f ca="1"/>
        <v>234.47</v>
      </c>
      <c r="C3" vm="62">
        <f ca="1"/>
        <v>317.27</v>
      </c>
      <c r="D3" vm="63">
        <f ca="1"/>
        <v>47.01</v>
      </c>
      <c r="E3" vm="64">
        <f ca="1"/>
        <v>81.16</v>
      </c>
      <c r="F3" vm="65">
        <f ca="1"/>
        <v>329.95</v>
      </c>
      <c r="G3" vm="66">
        <f ca="1"/>
        <v>235.35</v>
      </c>
      <c r="H3" vm="67">
        <f ca="1"/>
        <v>289.05</v>
      </c>
      <c r="I3" vm="68">
        <f ca="1"/>
        <v>199.44</v>
      </c>
      <c r="J3" vm="69">
        <f ca="1"/>
        <v>181.23</v>
      </c>
      <c r="K3" vm="70">
        <f ca="1"/>
        <v>295.22000000000003</v>
      </c>
      <c r="L3" vm="71">
        <f ca="1"/>
        <v>128</v>
      </c>
      <c r="M3" vm="72">
        <f ca="1"/>
        <v>275.92</v>
      </c>
      <c r="N3" vm="73">
        <f ca="1"/>
        <v>156.87</v>
      </c>
      <c r="O3" vm="74">
        <f ca="1"/>
        <v>163.79</v>
      </c>
      <c r="P3" vm="75">
        <f ca="1"/>
        <v>368.91</v>
      </c>
      <c r="Q3" vm="76">
        <f ca="1"/>
        <v>64.22</v>
      </c>
      <c r="R3" vm="77">
        <f ca="1"/>
        <v>174.19</v>
      </c>
      <c r="S3" vm="78">
        <f ca="1"/>
        <v>414.19</v>
      </c>
      <c r="T3" vm="79">
        <f ca="1"/>
        <v>366.2</v>
      </c>
      <c r="U3" vm="80">
        <f ca="1"/>
        <v>232.99</v>
      </c>
      <c r="V3" vm="81">
        <f ca="1"/>
        <v>691.82</v>
      </c>
      <c r="W3" vm="82">
        <f ca="1"/>
        <v>107.05</v>
      </c>
      <c r="X3" vm="83">
        <f ca="1"/>
        <v>353.67</v>
      </c>
      <c r="Y3" vm="84">
        <f ca="1"/>
        <v>235.95</v>
      </c>
      <c r="Z3" vm="85">
        <f ca="1"/>
        <v>276.49</v>
      </c>
      <c r="AA3" vm="86">
        <f ca="1"/>
        <v>323.69</v>
      </c>
      <c r="AB3" vm="87">
        <f ca="1"/>
        <v>913.3</v>
      </c>
      <c r="AC3" vm="88">
        <f ca="1"/>
        <v>387.2</v>
      </c>
      <c r="AD3" vm="89">
        <f ca="1"/>
        <v>77.349999999999994</v>
      </c>
      <c r="AE3" vm="90">
        <f ca="1"/>
        <v>118.33</v>
      </c>
    </row>
    <row r="6" spans="1:31" x14ac:dyDescent="0.2">
      <c r="A6" t="s">
        <v>1</v>
      </c>
      <c r="B6">
        <v>0.16268413125742001</v>
      </c>
    </row>
    <row r="7" spans="1:31" x14ac:dyDescent="0.2">
      <c r="A7" t="s">
        <v>2</v>
      </c>
      <c r="B7">
        <f ca="1">SUM(B2:AE2)</f>
        <v>7998.0000000000009</v>
      </c>
    </row>
    <row r="8" spans="1:31" x14ac:dyDescent="0.2">
      <c r="A8" t="s">
        <v>3</v>
      </c>
      <c r="B8">
        <f ca="1">B7/B6</f>
        <v>49162.75446278484</v>
      </c>
    </row>
    <row r="11" spans="1:31" x14ac:dyDescent="0.2">
      <c r="A11" t="s">
        <v>1</v>
      </c>
      <c r="B11">
        <f>B6</f>
        <v>0.16268413125742001</v>
      </c>
    </row>
    <row r="12" spans="1:31" x14ac:dyDescent="0.2">
      <c r="A12" t="s">
        <v>2</v>
      </c>
      <c r="B12">
        <f ca="1">SUM(B3:AE3)</f>
        <v>8040.2799999999988</v>
      </c>
    </row>
    <row r="13" spans="1:31" x14ac:dyDescent="0.2">
      <c r="A13" t="s">
        <v>4</v>
      </c>
      <c r="B13">
        <f ca="1">B12/B11</f>
        <v>49422.644592653116</v>
      </c>
    </row>
    <row r="15" spans="1:31" x14ac:dyDescent="0.2">
      <c r="A15" t="s">
        <v>5</v>
      </c>
      <c r="B15">
        <f ca="1">(B13-B8)/B8</f>
        <v>5.2863215803949136E-3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9359-95EF-6A4B-A0D2-ACB6E7845695}">
  <dimension ref="A2:KI323"/>
  <sheetViews>
    <sheetView workbookViewId="0">
      <selection activeCell="K24" sqref="K24"/>
    </sheetView>
  </sheetViews>
  <sheetFormatPr baseColWidth="10" defaultRowHeight="16" x14ac:dyDescent="0.2"/>
  <cols>
    <col min="3" max="3" width="12.6640625" bestFit="1" customWidth="1"/>
    <col min="4" max="4" width="14.6640625" bestFit="1" customWidth="1"/>
    <col min="5" max="5" width="8.1640625" customWidth="1"/>
    <col min="6" max="6" width="17.1640625" bestFit="1" customWidth="1"/>
  </cols>
  <sheetData>
    <row r="2" spans="1:295" x14ac:dyDescent="0.2">
      <c r="A2" t="s">
        <v>7</v>
      </c>
    </row>
    <row r="3" spans="1:295" x14ac:dyDescent="0.2">
      <c r="A3" t="s">
        <v>6</v>
      </c>
      <c r="B3" s="3" t="e" vm="91">
        <f ca="1">SUM(C7:C323)</f>
        <v>#VALUE!</v>
      </c>
      <c r="F3" s="3"/>
    </row>
    <row r="4" spans="1:295" x14ac:dyDescent="0.2">
      <c r="A4" t="s">
        <v>6</v>
      </c>
      <c r="B4" s="2" t="e" vm="92">
        <f ca="1">SUM(F7:F323)</f>
        <v>#N/A</v>
      </c>
    </row>
    <row r="6" spans="1:295" x14ac:dyDescent="0.2">
      <c r="D6" s="1">
        <v>46056</v>
      </c>
      <c r="F6" s="5">
        <v>46057</v>
      </c>
    </row>
    <row r="7" spans="1:295" x14ac:dyDescent="0.2">
      <c r="A7" t="e" vm="93">
        <v>#VALUE!</v>
      </c>
      <c r="B7" cm="1" vm="94">
        <f t="array" aca="1" ref="B7" ca="1">_xlfn.STOCKHISTORY(A7,$D$6,$D$6,0,0,1)</f>
        <v>77.930000000000007</v>
      </c>
      <c r="C7" s="4" cm="1">
        <f t="array" aca="1" ref="C7" ca="1">_FV(A7,"Shares outstanding",TRUE)</f>
        <v>2058116000</v>
      </c>
      <c r="D7" s="4">
        <f ca="1">B7*C7</f>
        <v>160388979880</v>
      </c>
      <c r="E7" s="2" cm="1" vm="95">
        <f t="array" aca="1" ref="E7" ca="1">_xlfn.STOCKHISTORY(A7,$F$6,$F$6,0,0,1)</f>
        <v>73.92</v>
      </c>
      <c r="F7" s="2">
        <f ca="1">C7*E7</f>
        <v>152135934720</v>
      </c>
    </row>
    <row r="8" spans="1:295" x14ac:dyDescent="0.2">
      <c r="A8" t="e" vm="96">
        <v>#VALUE!</v>
      </c>
      <c r="B8" cm="1" vm="97">
        <f t="array" aca="1" ref="B8" ca="1">_xlfn.STOCKHISTORY(A8,$D$6,$D$6,0,0,1)</f>
        <v>478.88</v>
      </c>
      <c r="C8" s="4" cm="1">
        <f t="array" aca="1" ref="C8" ca="1">_FV(A8,"Shares outstanding",TRUE)</f>
        <v>355130200</v>
      </c>
      <c r="D8" s="4">
        <f t="shared" ref="D8:D71" ca="1" si="0">B8*C8</f>
        <v>170064750176</v>
      </c>
      <c r="E8" s="2" cm="1" vm="98">
        <f t="array" aca="1" ref="E8" ca="1">_xlfn.STOCKHISTORY(A8,$F$6,$F$6,0,0,1)</f>
        <v>478.49</v>
      </c>
      <c r="F8" s="2">
        <f t="shared" ref="F8:F71" ca="1" si="1">C8*E8</f>
        <v>169926249398</v>
      </c>
      <c r="H8" s="2"/>
      <c r="I8" s="2"/>
      <c r="J8" s="2"/>
      <c r="K8" s="2"/>
      <c r="L8" s="2"/>
      <c r="M8" s="2"/>
      <c r="N8" s="2"/>
      <c r="O8" s="2"/>
      <c r="P8" s="2"/>
      <c r="Q8" s="2"/>
      <c r="R8" s="2"/>
      <c r="S8" s="2"/>
      <c r="T8" s="2"/>
      <c r="U8" s="2"/>
      <c r="V8" s="2"/>
      <c r="W8" s="2"/>
      <c r="X8" s="2"/>
      <c r="Y8" s="2"/>
      <c r="Z8" s="2"/>
      <c r="AA8" s="2"/>
      <c r="AB8" s="2"/>
      <c r="AC8" s="2"/>
      <c r="AD8" s="2"/>
      <c r="KI8" s="2"/>
    </row>
    <row r="9" spans="1:295" x14ac:dyDescent="0.2">
      <c r="A9" t="e" vm="99">
        <v>#VALUE!</v>
      </c>
      <c r="B9" cm="1" vm="100">
        <f t="array" aca="1" ref="B9" ca="1">_xlfn.STOCKHISTORY(A9,$D$6,$D$6,0,0,1)</f>
        <v>201.03</v>
      </c>
      <c r="C9" s="4" cm="1">
        <f t="array" aca="1" ref="C9" ca="1">_FV(A9,"Shares outstanding",TRUE)</f>
        <v>585900000</v>
      </c>
      <c r="D9" s="4">
        <f t="shared" ca="1" si="0"/>
        <v>117783477000</v>
      </c>
      <c r="E9" s="2" cm="1" vm="101">
        <f t="array" aca="1" ref="E9" ca="1">_xlfn.STOCKHISTORY(A9,$F$6,$F$6,0,0,1)</f>
        <v>205.54</v>
      </c>
      <c r="F9" s="2">
        <f t="shared" ca="1" si="1"/>
        <v>120425886000</v>
      </c>
    </row>
    <row r="10" spans="1:295" x14ac:dyDescent="0.2">
      <c r="A10" t="e" vm="102">
        <v>#VALUE!</v>
      </c>
      <c r="B10" cm="1" vm="103">
        <f t="array" aca="1" ref="B10" ca="1">_xlfn.STOCKHISTORY(A10,$D$6,$D$6,0,0,1)</f>
        <v>274.85000000000002</v>
      </c>
      <c r="C10" s="4" cm="1">
        <f t="array" aca="1" ref="C10" ca="1">_FV(A10,"Shares outstanding",TRUE)</f>
        <v>561000000</v>
      </c>
      <c r="D10" s="4">
        <f t="shared" ca="1" si="0"/>
        <v>154190850000</v>
      </c>
      <c r="E10" s="2" cm="1" vm="104">
        <f t="array" aca="1" ref="E10" ca="1">_xlfn.STOCKHISTORY(A10,$F$6,$F$6,0,0,1)</f>
        <v>275.85000000000002</v>
      </c>
      <c r="F10" s="2">
        <f t="shared" ca="1" si="1"/>
        <v>154751850000</v>
      </c>
    </row>
    <row r="11" spans="1:295" x14ac:dyDescent="0.2">
      <c r="A11" t="e" vm="105">
        <v>#VALUE!</v>
      </c>
      <c r="B11" cm="1" vm="106">
        <f t="array" aca="1" ref="B11" ca="1">_xlfn.STOCKHISTORY(A11,$D$6,$D$6,0,0,1)</f>
        <v>4644.6400000000003</v>
      </c>
      <c r="C11" s="4" cm="1">
        <f t="array" aca="1" ref="C11" ca="1">_FV(A11,"Shares outstanding",TRUE)</f>
        <v>31673350</v>
      </c>
      <c r="D11" s="4">
        <f t="shared" ca="1" si="0"/>
        <v>147111308344</v>
      </c>
      <c r="E11" s="2" cm="1" vm="107">
        <f t="array" aca="1" ref="E11" ca="1">_xlfn.STOCKHISTORY(A11,$F$6,$F$6,0,0,1)</f>
        <v>4607.13</v>
      </c>
      <c r="F11" s="2">
        <f t="shared" ca="1" si="1"/>
        <v>145923240985.5</v>
      </c>
    </row>
    <row r="12" spans="1:295" x14ac:dyDescent="0.2">
      <c r="A12" t="e" vm="108">
        <v>#VALUE!</v>
      </c>
      <c r="B12" cm="1" vm="109">
        <f t="array" aca="1" ref="B12" ca="1">_xlfn.STOCKHISTORY(A12,$D$6,$D$6,0,0,1)</f>
        <v>203.5</v>
      </c>
      <c r="C12" s="4" cm="1">
        <f t="array" aca="1" ref="C12" ca="1">_FV(A12,"Shares outstanding",TRUE)</f>
        <v>1342288000</v>
      </c>
      <c r="D12" s="4">
        <f t="shared" ca="1" si="0"/>
        <v>273155608000</v>
      </c>
      <c r="E12" s="2" cm="1" vm="110">
        <f t="array" aca="1" ref="E12" ca="1">_xlfn.STOCKHISTORY(A12,$F$6,$F$6,0,0,1)</f>
        <v>196.74</v>
      </c>
      <c r="F12" s="2">
        <f t="shared" ca="1" si="1"/>
        <v>264081741120</v>
      </c>
    </row>
    <row r="13" spans="1:295" x14ac:dyDescent="0.2">
      <c r="A13" t="e" vm="111">
        <v>#VALUE!</v>
      </c>
      <c r="B13" cm="1" vm="112">
        <f t="array" aca="1" ref="B13" ca="1">_xlfn.STOCKHISTORY(A13,$D$6,$D$6,0,0,1)</f>
        <v>468.21</v>
      </c>
      <c r="C13" s="4" cm="1">
        <f t="array" aca="1" ref="C13" ca="1">_FV(A13,"Shares outstanding",TRUE)</f>
        <v>298800000</v>
      </c>
      <c r="D13" s="4">
        <f t="shared" ca="1" si="0"/>
        <v>139901148000</v>
      </c>
      <c r="E13" s="2" cm="1" vm="113">
        <f t="array" aca="1" ref="E13" ca="1">_xlfn.STOCKHISTORY(A13,$F$6,$F$6,0,0,1)</f>
        <v>465.51</v>
      </c>
      <c r="F13" s="2">
        <f t="shared" ca="1" si="1"/>
        <v>139094388000</v>
      </c>
    </row>
    <row r="14" spans="1:295" x14ac:dyDescent="0.2">
      <c r="A14" t="e" vm="6">
        <v>#VALUE!</v>
      </c>
      <c r="B14" cm="1" vm="36">
        <f t="array" aca="1" ref="B14" ca="1">_xlfn.STOCKHISTORY(A14,$D$6,$D$6,0,0,1)</f>
        <v>230.91</v>
      </c>
      <c r="C14" s="4" cm="1">
        <f t="array" aca="1" ref="C14" ca="1">_FV(A14,"Shares outstanding",TRUE)</f>
        <v>635675700</v>
      </c>
      <c r="D14" s="4">
        <f t="shared" ca="1" si="0"/>
        <v>146783875887</v>
      </c>
      <c r="E14" s="2" cm="1" vm="66">
        <f t="array" aca="1" ref="E14" ca="1">_xlfn.STOCKHISTORY(A14,$F$6,$F$6,0,0,1)</f>
        <v>235.35</v>
      </c>
      <c r="F14" s="2">
        <f t="shared" ca="1" si="1"/>
        <v>149606275995</v>
      </c>
    </row>
    <row r="15" spans="1:295" x14ac:dyDescent="0.2">
      <c r="A15" t="e" vm="23">
        <v>#VALUE!</v>
      </c>
      <c r="B15" cm="1" vm="53">
        <f t="array" aca="1" ref="B15" ca="1">_xlfn.STOCKHISTORY(A15,$D$6,$D$6,0,0,1)</f>
        <v>349.63</v>
      </c>
      <c r="C15" s="4" cm="1">
        <f t="array" aca="1" ref="C15" ca="1">_FV(A15,"Shares outstanding",TRUE)</f>
        <v>686614000</v>
      </c>
      <c r="D15" s="4">
        <f t="shared" ca="1" si="0"/>
        <v>240060852820</v>
      </c>
      <c r="E15" s="2" cm="1" vm="83">
        <f t="array" aca="1" ref="E15" ca="1">_xlfn.STOCKHISTORY(A15,$F$6,$F$6,0,0,1)</f>
        <v>353.67</v>
      </c>
      <c r="F15" s="2">
        <f t="shared" ca="1" si="1"/>
        <v>242834773380</v>
      </c>
    </row>
    <row r="16" spans="1:295" x14ac:dyDescent="0.2">
      <c r="A16" t="e" vm="27">
        <v>#VALUE!</v>
      </c>
      <c r="B16" cm="1" vm="57">
        <f t="array" aca="1" ref="B16" ca="1">_xlfn.STOCKHISTORY(A16,$D$6,$D$6,0,0,1)</f>
        <v>938.99</v>
      </c>
      <c r="C16" s="4" cm="1">
        <f t="array" aca="1" ref="C16" ca="1">_FV(A16,"Shares outstanding",TRUE)</f>
        <v>296752900</v>
      </c>
      <c r="D16" s="4">
        <f t="shared" ca="1" si="0"/>
        <v>278648005571</v>
      </c>
      <c r="E16" s="2" cm="1" vm="87">
        <f t="array" aca="1" ref="E16" ca="1">_xlfn.STOCKHISTORY(A16,$F$6,$F$6,0,0,1)</f>
        <v>913.3</v>
      </c>
      <c r="F16" s="2">
        <f t="shared" ca="1" si="1"/>
        <v>271024423570</v>
      </c>
    </row>
    <row r="17" spans="1:6" x14ac:dyDescent="0.2">
      <c r="A17" t="e" vm="114">
        <v>#VALUE!</v>
      </c>
      <c r="B17" cm="1" vm="115">
        <f t="array" aca="1" ref="B17" ca="1">_xlfn.STOCKHISTORY(A17,$D$6,$D$6,0,0,1)</f>
        <v>1070.08</v>
      </c>
      <c r="C17" s="4" cm="1">
        <f t="array" aca="1" ref="C17" ca="1">_FV(A17,"Shares outstanding",TRUE)</f>
        <v>155541500</v>
      </c>
      <c r="D17" s="4">
        <f t="shared" ca="1" si="0"/>
        <v>166441848320</v>
      </c>
      <c r="E17" s="2" cm="1" vm="116">
        <f t="array" aca="1" ref="E17" ca="1">_xlfn.STOCKHISTORY(A17,$F$6,$F$6,0,0,1)</f>
        <v>1076.1600000000001</v>
      </c>
      <c r="F17" s="2">
        <f t="shared" ca="1" si="1"/>
        <v>167387540640</v>
      </c>
    </row>
    <row r="18" spans="1:6" x14ac:dyDescent="0.2">
      <c r="A18" t="e" vm="117">
        <v>#VALUE!</v>
      </c>
      <c r="B18" cm="1" vm="118">
        <f t="array" aca="1" ref="B18" ca="1">_xlfn.STOCKHISTORY(A18,$D$6,$D$6,0,0,1)</f>
        <v>360.82</v>
      </c>
      <c r="C18" s="4" cm="1">
        <f t="array" aca="1" ref="C18" ca="1">_FV(A18,"Shares outstanding",TRUE)</f>
        <v>382688700</v>
      </c>
      <c r="D18" s="4">
        <f t="shared" ca="1" si="0"/>
        <v>138081736734</v>
      </c>
      <c r="E18" s="2" cm="1" vm="119">
        <f t="array" aca="1" ref="E18" ca="1">_xlfn.STOCKHISTORY(A18,$F$6,$F$6,0,0,1)</f>
        <v>360.66</v>
      </c>
      <c r="F18" s="2">
        <f t="shared" ca="1" si="1"/>
        <v>138020506542</v>
      </c>
    </row>
    <row r="19" spans="1:6" x14ac:dyDescent="0.2">
      <c r="A19" t="e" vm="120">
        <v>#VALUE!</v>
      </c>
      <c r="B19" cm="1" vm="121">
        <f t="array" aca="1" ref="B19" ca="1">_xlfn.STOCKHISTORY(A19,$D$6,$D$6,0,0,1)</f>
        <v>163.44999999999999</v>
      </c>
      <c r="C19" s="4" cm="1">
        <f t="array" aca="1" ref="C19" ca="1">_FV(A19,"Shares outstanding",TRUE)</f>
        <v>43550330</v>
      </c>
      <c r="D19" s="4">
        <f t="shared" ca="1" si="0"/>
        <v>7118301438.499999</v>
      </c>
      <c r="E19" s="2" cm="1" vm="122">
        <f t="array" aca="1" ref="E19" ca="1">_xlfn.STOCKHISTORY(A19,$F$6,$F$6,0,0,1)</f>
        <v>162.06</v>
      </c>
      <c r="F19" s="2">
        <f t="shared" ca="1" si="1"/>
        <v>7057766479.8000002</v>
      </c>
    </row>
    <row r="20" spans="1:6" x14ac:dyDescent="0.2">
      <c r="A20" t="e" vm="123">
        <v>#VALUE!</v>
      </c>
      <c r="B20" cm="1" vm="124">
        <f t="array" aca="1" ref="B20" ca="1">_xlfn.STOCKHISTORY(A20,$D$6,$D$6,0,0,1)</f>
        <v>131.88</v>
      </c>
      <c r="C20" s="4" cm="1">
        <f t="array" aca="1" ref="C20" ca="1">_FV(A20,"Shares outstanding",TRUE)</f>
        <v>929559000</v>
      </c>
      <c r="D20" s="4">
        <f t="shared" ca="1" si="0"/>
        <v>122590240920</v>
      </c>
      <c r="E20" s="2" cm="1" vm="125">
        <f t="array" aca="1" ref="E20" ca="1">_xlfn.STOCKHISTORY(A20,$F$6,$F$6,0,0,1)</f>
        <v>134.84</v>
      </c>
      <c r="F20" s="2">
        <f t="shared" ca="1" si="1"/>
        <v>125341735560</v>
      </c>
    </row>
    <row r="21" spans="1:6" x14ac:dyDescent="0.2">
      <c r="A21" t="e" vm="126">
        <v>#VALUE!</v>
      </c>
      <c r="B21" cm="1" vm="127">
        <f t="array" aca="1" ref="B21" ca="1">_xlfn.STOCKHISTORY(A21,$D$6,$D$6,0,0,1)</f>
        <v>182.91</v>
      </c>
      <c r="C21" s="4" cm="1">
        <f t="array" aca="1" ref="C21" ca="1">_FV(A21,"Shares outstanding",TRUE)</f>
        <v>1587860000</v>
      </c>
      <c r="D21" s="4">
        <f t="shared" ca="1" si="0"/>
        <v>290435472600</v>
      </c>
      <c r="E21" s="2" cm="1" vm="128">
        <f t="array" aca="1" ref="E21" ca="1">_xlfn.STOCKHISTORY(A21,$F$6,$F$6,0,0,1)</f>
        <v>180.08</v>
      </c>
      <c r="F21" s="2">
        <f t="shared" ca="1" si="1"/>
        <v>285941828800</v>
      </c>
    </row>
    <row r="22" spans="1:6" x14ac:dyDescent="0.2">
      <c r="A22" t="e" vm="129">
        <v>#VALUE!</v>
      </c>
      <c r="B22" cm="1" vm="130">
        <f t="array" aca="1" ref="B22" ca="1">_xlfn.STOCKHISTORY(A22,$D$6,$D$6,0,0,1)</f>
        <v>362.53</v>
      </c>
      <c r="C22" s="4" cm="1">
        <f t="array" aca="1" ref="C22" ca="1">_FV(A22,"Shares outstanding",TRUE)</f>
        <v>387900000</v>
      </c>
      <c r="D22" s="4">
        <f t="shared" ca="1" si="0"/>
        <v>140625387000</v>
      </c>
      <c r="E22" s="2" cm="1" vm="131">
        <f t="array" aca="1" ref="E22" ca="1">_xlfn.STOCKHISTORY(A22,$F$6,$F$6,0,0,1)</f>
        <v>365</v>
      </c>
      <c r="F22" s="2">
        <f t="shared" ca="1" si="1"/>
        <v>141583500000</v>
      </c>
    </row>
    <row r="23" spans="1:6" x14ac:dyDescent="0.2">
      <c r="A23" t="e" vm="132">
        <v>#VALUE!</v>
      </c>
      <c r="B23" cm="1" vm="133">
        <f t="array" aca="1" ref="B23" ca="1">_xlfn.STOCKHISTORY(A23,$D$6,$D$6,0,0,1)</f>
        <v>338.65</v>
      </c>
      <c r="C23" s="4" cm="1">
        <f t="array" aca="1" ref="C23" ca="1">_FV(A23,"Shares outstanding",TRUE)</f>
        <v>220704700</v>
      </c>
      <c r="D23" s="4">
        <f t="shared" ca="1" si="0"/>
        <v>74741646655</v>
      </c>
      <c r="E23" s="2" cm="1" vm="134">
        <f t="array" aca="1" ref="E23" ca="1">_xlfn.STOCKHISTORY(A23,$F$6,$F$6,0,0,1)</f>
        <v>340.6</v>
      </c>
      <c r="F23" s="2">
        <f t="shared" ca="1" si="1"/>
        <v>75172020820</v>
      </c>
    </row>
    <row r="24" spans="1:6" x14ac:dyDescent="0.2">
      <c r="A24" t="e" vm="135">
        <v>#VALUE!</v>
      </c>
      <c r="B24" cm="1" vm="136">
        <f t="array" aca="1" ref="B24" ca="1">_xlfn.STOCKHISTORY(A24,$D$6,$D$6,0,0,1)</f>
        <v>152.07</v>
      </c>
      <c r="C24" s="4" cm="1">
        <f t="array" aca="1" ref="C24" ca="1">_FV(A24,"Shares outstanding",TRUE)</f>
        <v>1110467000</v>
      </c>
      <c r="D24" s="4">
        <f t="shared" ca="1" si="0"/>
        <v>168868716690</v>
      </c>
      <c r="E24" s="2" cm="1" vm="137">
        <f t="array" aca="1" ref="E24" ca="1">_xlfn.STOCKHISTORY(A24,$F$6,$F$6,0,0,1)</f>
        <v>153.94</v>
      </c>
      <c r="F24" s="2">
        <f t="shared" ca="1" si="1"/>
        <v>170945289980</v>
      </c>
    </row>
    <row r="25" spans="1:6" x14ac:dyDescent="0.2">
      <c r="A25" t="e" vm="138">
        <v>#VALUE!</v>
      </c>
      <c r="B25" cm="1" vm="139">
        <f t="array" aca="1" ref="B25" ca="1">_xlfn.STOCKHISTORY(A25,$D$6,$D$6,0,0,1)</f>
        <v>91.62</v>
      </c>
      <c r="C25" s="4" cm="1">
        <f t="array" aca="1" ref="C25" ca="1">_FV(A25,"Shares outstanding",TRUE)</f>
        <v>1483885000</v>
      </c>
      <c r="D25" s="4">
        <f t="shared" ca="1" si="0"/>
        <v>135953543700</v>
      </c>
      <c r="E25" s="2" cm="1" vm="140">
        <f t="array" aca="1" ref="E25" ca="1">_xlfn.STOCKHISTORY(A25,$F$6,$F$6,0,0,1)</f>
        <v>75.5</v>
      </c>
      <c r="F25" s="2">
        <f t="shared" ca="1" si="1"/>
        <v>112033317500</v>
      </c>
    </row>
    <row r="26" spans="1:6" x14ac:dyDescent="0.2">
      <c r="A26" t="e" vm="141">
        <v>#VALUE!</v>
      </c>
      <c r="B26" cm="1" vm="142">
        <f t="array" aca="1" ref="B26" ca="1">_xlfn.STOCKHISTORY(A26,$D$6,$D$6,0,0,1)</f>
        <v>117.71</v>
      </c>
      <c r="C26" s="4" cm="1">
        <f t="array" aca="1" ref="C26" ca="1">_FV(A26,"Shares outstanding",TRUE)</f>
        <v>1749319000</v>
      </c>
      <c r="D26" s="4">
        <f t="shared" ca="1" si="0"/>
        <v>205912339490</v>
      </c>
      <c r="E26" s="2" cm="1" vm="143">
        <f t="array" aca="1" ref="E26" ca="1">_xlfn.STOCKHISTORY(A26,$F$6,$F$6,0,0,1)</f>
        <v>117.43</v>
      </c>
      <c r="F26" s="2">
        <f t="shared" ca="1" si="1"/>
        <v>205422530170</v>
      </c>
    </row>
    <row r="27" spans="1:6" x14ac:dyDescent="0.2">
      <c r="A27" t="e" vm="144">
        <v>#VALUE!</v>
      </c>
      <c r="B27" cm="1" vm="145">
        <f t="array" aca="1" ref="B27" ca="1">_xlfn.STOCKHISTORY(A27,$D$6,$D$6,0,0,1)</f>
        <v>545</v>
      </c>
      <c r="C27" s="4" cm="1">
        <f t="array" aca="1" ref="C27" ca="1">_FV(A27,"Shares outstanding",TRUE)</f>
        <v>270107300</v>
      </c>
      <c r="D27" s="4">
        <f t="shared" ca="1" si="0"/>
        <v>147208478500</v>
      </c>
      <c r="E27" s="2" cm="1" vm="146">
        <f t="array" aca="1" ref="E27" ca="1">_xlfn.STOCKHISTORY(A27,$F$6,$F$6,0,0,1)</f>
        <v>567.26</v>
      </c>
      <c r="F27" s="2">
        <f t="shared" ca="1" si="1"/>
        <v>153221066998</v>
      </c>
    </row>
    <row r="28" spans="1:6" x14ac:dyDescent="0.2">
      <c r="A28" t="e" vm="147">
        <v>#VALUE!</v>
      </c>
      <c r="B28" cm="1" vm="148">
        <f t="array" aca="1" ref="B28" ca="1">_xlfn.STOCKHISTORY(A28,$D$6,$D$6,0,0,1)</f>
        <v>103.18</v>
      </c>
      <c r="C28" s="4" cm="1">
        <f t="array" aca="1" ref="C28" ca="1">_FV(A28,"Shares outstanding",TRUE)</f>
        <v>1283885000</v>
      </c>
      <c r="D28" s="4">
        <f t="shared" ca="1" si="0"/>
        <v>132471254300.00002</v>
      </c>
      <c r="E28" s="2" cm="1" vm="149">
        <f t="array" aca="1" ref="E28" ca="1">_xlfn.STOCKHISTORY(A28,$F$6,$F$6,0,0,1)</f>
        <v>101.84</v>
      </c>
      <c r="F28" s="2">
        <f t="shared" ca="1" si="1"/>
        <v>130750848400</v>
      </c>
    </row>
    <row r="29" spans="1:6" x14ac:dyDescent="0.2">
      <c r="A29" t="e" vm="150">
        <v>#VALUE!</v>
      </c>
      <c r="B29" cm="1" vm="151">
        <f t="array" aca="1" ref="B29" ca="1">_xlfn.STOCKHISTORY(A29,$D$6,$D$6,0,0,1)</f>
        <v>628.26</v>
      </c>
      <c r="C29" s="4" cm="1">
        <f t="array" aca="1" ref="C29" ca="1">_FV(A29,"Shares outstanding",TRUE)</f>
        <v>230080200</v>
      </c>
      <c r="D29" s="4">
        <f t="shared" ca="1" si="0"/>
        <v>144550186452</v>
      </c>
      <c r="E29" s="2" cm="1" vm="152">
        <f t="array" aca="1" ref="E29" ca="1">_xlfn.STOCKHISTORY(A29,$F$6,$F$6,0,0,1)</f>
        <v>602.76</v>
      </c>
      <c r="F29" s="2">
        <f t="shared" ca="1" si="1"/>
        <v>138683141352</v>
      </c>
    </row>
    <row r="30" spans="1:6" x14ac:dyDescent="0.2">
      <c r="A30" t="e" vm="153">
        <v>#VALUE!</v>
      </c>
      <c r="B30" cm="1" vm="154">
        <f t="array" aca="1" ref="B30" ca="1">_xlfn.STOCKHISTORY(A30,$D$6,$D$6,0,0,1)</f>
        <v>235.08</v>
      </c>
      <c r="C30" s="4" cm="1">
        <f t="array" aca="1" ref="C30" ca="1">_FV(A30,"Shares outstanding",TRUE)</f>
        <v>402644300</v>
      </c>
      <c r="D30" s="4">
        <f t="shared" ca="1" si="0"/>
        <v>94653622044</v>
      </c>
      <c r="E30" s="2" cm="1" vm="155">
        <f t="array" aca="1" ref="E30" ca="1">_xlfn.STOCKHISTORY(A30,$F$6,$F$6,0,0,1)</f>
        <v>234.67</v>
      </c>
      <c r="F30" s="2">
        <f t="shared" ca="1" si="1"/>
        <v>94488537881</v>
      </c>
    </row>
    <row r="31" spans="1:6" x14ac:dyDescent="0.2">
      <c r="A31" t="e" vm="156">
        <v>#VALUE!</v>
      </c>
      <c r="B31" cm="1" vm="157">
        <f t="array" aca="1" ref="B31" ca="1">_xlfn.STOCKHISTORY(A31,$D$6,$D$6,0,0,1)</f>
        <v>55.99</v>
      </c>
      <c r="C31" s="4" cm="1">
        <f t="array" aca="1" ref="C31" ca="1">_FV(A31,"Shares outstanding",TRUE)</f>
        <v>2036474000</v>
      </c>
      <c r="D31" s="4">
        <f t="shared" ca="1" si="0"/>
        <v>114022179260</v>
      </c>
      <c r="E31" s="2" cm="1" vm="158">
        <f t="array" aca="1" ref="E31" ca="1">_xlfn.STOCKHISTORY(A31,$F$6,$F$6,0,0,1)</f>
        <v>57.62</v>
      </c>
      <c r="F31" s="2">
        <f t="shared" ca="1" si="1"/>
        <v>117341631880</v>
      </c>
    </row>
    <row r="32" spans="1:6" x14ac:dyDescent="0.2">
      <c r="A32" t="e" vm="159">
        <v>#VALUE!</v>
      </c>
      <c r="B32" cm="1" vm="160">
        <f t="array" aca="1" ref="B32" ca="1">_xlfn.STOCKHISTORY(A32,$D$6,$D$6,0,0,1)</f>
        <v>311.29000000000002</v>
      </c>
      <c r="C32" s="4" cm="1">
        <f t="array" aca="1" ref="C32" ca="1">_FV(A32,"Shares outstanding",TRUE)</f>
        <v>488204200</v>
      </c>
      <c r="D32" s="4">
        <f t="shared" ca="1" si="0"/>
        <v>151973085418</v>
      </c>
      <c r="E32" s="2" cm="1" vm="161">
        <f t="array" aca="1" ref="E32" ca="1">_xlfn.STOCKHISTORY(A32,$F$6,$F$6,0,0,1)</f>
        <v>320.44</v>
      </c>
      <c r="F32" s="2">
        <f t="shared" ca="1" si="1"/>
        <v>156440153848</v>
      </c>
    </row>
    <row r="33" spans="1:6" x14ac:dyDescent="0.2">
      <c r="A33" t="e" vm="162">
        <v>#VALUE!</v>
      </c>
      <c r="B33" cm="1" vm="163">
        <f t="array" aca="1" ref="B33" ca="1">_xlfn.STOCKHISTORY(A33,$D$6,$D$6,0,0,1)</f>
        <v>275.39</v>
      </c>
      <c r="C33" s="4" cm="1">
        <f t="array" aca="1" ref="C33" ca="1">_FV(A33,"Shares outstanding",TRUE)</f>
        <v>263528300</v>
      </c>
      <c r="D33" s="4">
        <f t="shared" ca="1" si="0"/>
        <v>72573058537</v>
      </c>
      <c r="E33" s="2" cm="1" vm="164">
        <f t="array" aca="1" ref="E33" ca="1">_xlfn.STOCKHISTORY(A33,$F$6,$F$6,0,0,1)</f>
        <v>271.70999999999998</v>
      </c>
      <c r="F33" s="2">
        <f t="shared" ca="1" si="1"/>
        <v>71603274393</v>
      </c>
    </row>
    <row r="34" spans="1:6" x14ac:dyDescent="0.2">
      <c r="A34" t="e" vm="165">
        <v>#VALUE!</v>
      </c>
      <c r="B34" cm="1" vm="166">
        <f t="array" aca="1" ref="B34" ca="1">_xlfn.STOCKHISTORY(A34,$D$6,$D$6,0,0,1)</f>
        <v>188.49</v>
      </c>
      <c r="C34" s="4" cm="1">
        <f t="array" aca="1" ref="C34" ca="1">_FV(A34,"Shares outstanding",TRUE)</f>
        <v>484124200</v>
      </c>
      <c r="D34" s="4">
        <f t="shared" ca="1" si="0"/>
        <v>91252570458</v>
      </c>
      <c r="E34" s="2" cm="1" vm="167">
        <f t="array" aca="1" ref="E34" ca="1">_xlfn.STOCKHISTORY(A34,$F$6,$F$6,0,0,1)</f>
        <v>189.75</v>
      </c>
      <c r="F34" s="2">
        <f t="shared" ca="1" si="1"/>
        <v>91862566950</v>
      </c>
    </row>
    <row r="35" spans="1:6" x14ac:dyDescent="0.2">
      <c r="A35" t="e" vm="168">
        <v>#VALUE!</v>
      </c>
      <c r="B35" cm="1" vm="169">
        <f t="array" aca="1" ref="B35" ca="1">_xlfn.STOCKHISTORY(A35,$D$6,$D$6,0,0,1)</f>
        <v>143.28</v>
      </c>
      <c r="C35" s="4" cm="1">
        <f t="array" aca="1" ref="C35" ca="1">_FV(A35,"Shares outstanding",TRUE)</f>
        <v>1241421000</v>
      </c>
      <c r="D35" s="4">
        <f t="shared" ca="1" si="0"/>
        <v>177870800880</v>
      </c>
      <c r="E35" s="2" cm="1" vm="170">
        <f t="array" aca="1" ref="E35" ca="1">_xlfn.STOCKHISTORY(A35,$F$6,$F$6,0,0,1)</f>
        <v>146.22999999999999</v>
      </c>
      <c r="F35" s="2">
        <f t="shared" ca="1" si="1"/>
        <v>181532992830</v>
      </c>
    </row>
    <row r="36" spans="1:6" x14ac:dyDescent="0.2">
      <c r="A36" t="e" vm="171">
        <v>#VALUE!</v>
      </c>
      <c r="B36" cm="1" vm="172">
        <f t="array" aca="1" ref="B36" ca="1">_xlfn.STOCKHISTORY(A36,$D$6,$D$6,0,0,1)</f>
        <v>59.47</v>
      </c>
      <c r="C36" s="4" cm="1">
        <f t="array" aca="1" ref="C36" ca="1">_FV(A36,"Shares outstanding",TRUE)</f>
        <v>1281846000</v>
      </c>
      <c r="D36" s="4">
        <f t="shared" ca="1" si="0"/>
        <v>76231381620</v>
      </c>
      <c r="E36" s="2" cm="1" vm="173">
        <f t="array" aca="1" ref="E36" ca="1">_xlfn.STOCKHISTORY(A36,$F$6,$F$6,0,0,1)</f>
        <v>59.4</v>
      </c>
      <c r="F36" s="2">
        <f t="shared" ca="1" si="1"/>
        <v>76141652400</v>
      </c>
    </row>
    <row r="37" spans="1:6" x14ac:dyDescent="0.2">
      <c r="A37" t="e" vm="174">
        <v>#VALUE!</v>
      </c>
      <c r="B37" cm="1" vm="175">
        <f t="array" aca="1" ref="B37" ca="1">_xlfn.STOCKHISTORY(A37,$D$6,$D$6,0,0,1)</f>
        <v>759.18</v>
      </c>
      <c r="C37" s="4" cm="1">
        <f t="array" aca="1" ref="C37" ca="1">_FV(A37,"Shares outstanding",TRUE)</f>
        <v>105719800</v>
      </c>
      <c r="D37" s="4">
        <f t="shared" ca="1" si="0"/>
        <v>80260357764</v>
      </c>
      <c r="E37" s="2" cm="1" vm="176">
        <f t="array" aca="1" ref="E37" ca="1">_xlfn.STOCKHISTORY(A37,$F$6,$F$6,0,0,1)</f>
        <v>775.06</v>
      </c>
      <c r="F37" s="2">
        <f t="shared" ca="1" si="1"/>
        <v>81939188188</v>
      </c>
    </row>
    <row r="38" spans="1:6" x14ac:dyDescent="0.2">
      <c r="A38" t="e" vm="177">
        <v>#VALUE!</v>
      </c>
      <c r="B38" cm="1" vm="178">
        <f t="array" aca="1" ref="B38" ca="1">_xlfn.STOCKHISTORY(A38,$D$6,$D$6,0,0,1)</f>
        <v>173.13</v>
      </c>
      <c r="C38" s="4" cm="1">
        <f t="array" aca="1" ref="C38" ca="1">_FV(A38,"Shares outstanding",TRUE)</f>
        <v>466084800</v>
      </c>
      <c r="D38" s="4">
        <f t="shared" ca="1" si="0"/>
        <v>80693261424</v>
      </c>
      <c r="E38" s="2" cm="1" vm="179">
        <f t="array" aca="1" ref="E38" ca="1">_xlfn.STOCKHISTORY(A38,$F$6,$F$6,0,0,1)</f>
        <v>176.55</v>
      </c>
      <c r="F38" s="2">
        <f t="shared" ca="1" si="1"/>
        <v>82287271440</v>
      </c>
    </row>
    <row r="39" spans="1:6" x14ac:dyDescent="0.2">
      <c r="A39" t="e" vm="180">
        <v>#VALUE!</v>
      </c>
      <c r="B39" cm="1" vm="181">
        <f t="array" aca="1" ref="B39" ca="1">_xlfn.STOCKHISTORY(A39,$D$6,$D$6,0,0,1)</f>
        <v>109.77</v>
      </c>
      <c r="C39" s="4" cm="1">
        <f t="array" aca="1" ref="C39" ca="1">_FV(A39,"Shares outstanding",TRUE)</f>
        <v>1046000000</v>
      </c>
      <c r="D39" s="4">
        <f t="shared" ca="1" si="0"/>
        <v>114819420000</v>
      </c>
      <c r="E39" s="2" cm="1" vm="182">
        <f t="array" aca="1" ref="E39" ca="1">_xlfn.STOCKHISTORY(A39,$F$6,$F$6,0,0,1)</f>
        <v>111.07</v>
      </c>
      <c r="F39" s="2">
        <f t="shared" ca="1" si="1"/>
        <v>116179220000</v>
      </c>
    </row>
    <row r="40" spans="1:6" x14ac:dyDescent="0.2">
      <c r="A40" t="e" vm="24">
        <v>#VALUE!</v>
      </c>
      <c r="B40" cm="1" vm="54">
        <f t="array" aca="1" ref="B40" ca="1">_xlfn.STOCKHISTORY(A40,$D$6,$D$6,0,0,1)</f>
        <v>233.15</v>
      </c>
      <c r="C40" s="4" cm="1">
        <f t="array" aca="1" ref="C40" ca="1">_FV(A40,"Shares outstanding",TRUE)</f>
        <v>785347100</v>
      </c>
      <c r="D40" s="4">
        <f t="shared" ca="1" si="0"/>
        <v>183103676365</v>
      </c>
      <c r="E40" s="2" cm="1" vm="84">
        <f t="array" aca="1" ref="E40" ca="1">_xlfn.STOCKHISTORY(A40,$F$6,$F$6,0,0,1)</f>
        <v>235.95</v>
      </c>
      <c r="F40" s="2">
        <f t="shared" ca="1" si="1"/>
        <v>185302648245</v>
      </c>
    </row>
    <row r="41" spans="1:6" x14ac:dyDescent="0.2">
      <c r="A41" t="e" vm="183">
        <v>#VALUE!</v>
      </c>
      <c r="B41" cm="1" vm="184">
        <f t="array" aca="1" ref="B41" ca="1">_xlfn.STOCKHISTORY(A41,$D$6,$D$6,0,0,1)</f>
        <v>166.24</v>
      </c>
      <c r="C41" s="4" cm="1">
        <f t="array" aca="1" ref="C41" ca="1">_FV(A41,"Shares outstanding",TRUE)</f>
        <v>816000000</v>
      </c>
      <c r="D41" s="4">
        <f t="shared" ca="1" si="0"/>
        <v>135651840000</v>
      </c>
      <c r="E41" s="2" cm="1" vm="185">
        <f t="array" aca="1" ref="E41" ca="1">_xlfn.STOCKHISTORY(A41,$F$6,$F$6,0,0,1)</f>
        <v>166.72</v>
      </c>
      <c r="F41" s="2">
        <f t="shared" ca="1" si="1"/>
        <v>136043520000</v>
      </c>
    </row>
    <row r="42" spans="1:6" x14ac:dyDescent="0.2">
      <c r="A42" t="e" vm="186">
        <v>#VALUE!</v>
      </c>
      <c r="B42" cm="1" vm="187">
        <f t="array" aca="1" ref="B42" ca="1">_xlfn.STOCKHISTORY(A42,$D$6,$D$6,0,0,1)</f>
        <v>313.38</v>
      </c>
      <c r="C42" s="4" cm="1">
        <f t="array" aca="1" ref="C42" ca="1">_FV(A42,"Shares outstanding",TRUE)</f>
        <v>391101200</v>
      </c>
      <c r="D42" s="4">
        <f t="shared" ca="1" si="0"/>
        <v>122563294056</v>
      </c>
      <c r="E42" s="2" cm="1" vm="188">
        <f t="array" aca="1" ref="E42" ca="1">_xlfn.STOCKHISTORY(A42,$F$6,$F$6,0,0,1)</f>
        <v>329.45</v>
      </c>
      <c r="F42" s="2">
        <f t="shared" ca="1" si="1"/>
        <v>128848290340</v>
      </c>
    </row>
    <row r="43" spans="1:6" x14ac:dyDescent="0.2">
      <c r="A43" t="e" vm="189">
        <v>#VALUE!</v>
      </c>
      <c r="B43" cm="1" vm="190">
        <f t="array" aca="1" ref="B43" ca="1">_xlfn.STOCKHISTORY(A43,$D$6,$D$6,0,0,1)</f>
        <v>465.61</v>
      </c>
      <c r="C43" s="4" cm="1">
        <f t="array" aca="1" ref="C43" ca="1">_FV(A43,"Shares outstanding",TRUE)</f>
        <v>254034200</v>
      </c>
      <c r="D43" s="4">
        <f t="shared" ca="1" si="0"/>
        <v>118280863862</v>
      </c>
      <c r="E43" s="2" cm="1" vm="191">
        <f t="array" aca="1" ref="E43" ca="1">_xlfn.STOCKHISTORY(A43,$F$6,$F$6,0,0,1)</f>
        <v>470.52</v>
      </c>
      <c r="F43" s="2">
        <f t="shared" ca="1" si="1"/>
        <v>119528171784</v>
      </c>
    </row>
    <row r="44" spans="1:6" x14ac:dyDescent="0.2">
      <c r="A44" t="e" vm="192">
        <v>#VALUE!</v>
      </c>
      <c r="B44" cm="1" vm="193">
        <f t="array" aca="1" ref="B44" ca="1">_xlfn.STOCKHISTORY(A44,$D$6,$D$6,0,0,1)</f>
        <v>64.16</v>
      </c>
      <c r="C44" s="4" cm="1">
        <f t="array" aca="1" ref="C44" ca="1">_FV(A44,"Shares outstanding",TRUE)</f>
        <v>1671898000</v>
      </c>
      <c r="D44" s="4">
        <f t="shared" ca="1" si="0"/>
        <v>107268975680</v>
      </c>
      <c r="E44" s="2" cm="1" vm="194">
        <f t="array" aca="1" ref="E44" ca="1">_xlfn.STOCKHISTORY(A44,$F$6,$F$6,0,0,1)</f>
        <v>65.16</v>
      </c>
      <c r="F44" s="2">
        <f t="shared" ca="1" si="1"/>
        <v>108940873680</v>
      </c>
    </row>
    <row r="45" spans="1:6" x14ac:dyDescent="0.2">
      <c r="A45" t="e" vm="195">
        <v>#VALUE!</v>
      </c>
      <c r="B45" cm="1" vm="196">
        <f t="array" aca="1" ref="B45" ca="1">_xlfn.STOCKHISTORY(A45,$D$6,$D$6,0,0,1)</f>
        <v>34.270000000000003</v>
      </c>
      <c r="C45" s="4" cm="1">
        <f t="array" aca="1" ref="C45" ca="1">_FV(A45,"Shares outstanding",TRUE)</f>
        <v>19797000</v>
      </c>
      <c r="D45" s="4">
        <f t="shared" ca="1" si="0"/>
        <v>678443190.00000012</v>
      </c>
      <c r="E45" s="2" cm="1" vm="197">
        <f t="array" aca="1" ref="E45" ca="1">_xlfn.STOCKHISTORY(A45,$F$6,$F$6,0,0,1)</f>
        <v>34.78</v>
      </c>
      <c r="F45" s="2">
        <f t="shared" ca="1" si="1"/>
        <v>688539660</v>
      </c>
    </row>
    <row r="46" spans="1:6" x14ac:dyDescent="0.2">
      <c r="A46" t="e" vm="198">
        <v>#VALUE!</v>
      </c>
      <c r="B46" cm="1" vm="199">
        <f t="array" aca="1" ref="B46" ca="1">_xlfn.STOCKHISTORY(A46,$D$6,$D$6,0,0,1)</f>
        <v>90.13</v>
      </c>
      <c r="C46" s="4" cm="1">
        <f t="array" aca="1" ref="C46" ca="1">_FV(A46,"Shares outstanding",TRUE)</f>
        <v>1119391000</v>
      </c>
      <c r="D46" s="4">
        <f t="shared" ca="1" si="0"/>
        <v>100890710830</v>
      </c>
      <c r="E46" s="2" cm="1" vm="200">
        <f t="array" aca="1" ref="E46" ca="1">_xlfn.STOCKHISTORY(A46,$F$6,$F$6,0,0,1)</f>
        <v>90.29</v>
      </c>
      <c r="F46" s="2">
        <f t="shared" ca="1" si="1"/>
        <v>101069813390</v>
      </c>
    </row>
    <row r="47" spans="1:6" x14ac:dyDescent="0.2">
      <c r="A47" t="e" vm="201">
        <v>#VALUE!</v>
      </c>
      <c r="B47" cm="1" vm="202">
        <f t="array" aca="1" ref="B47" ca="1">_xlfn.STOCKHISTORY(A47,$D$6,$D$6,0,0,1)</f>
        <v>25.77</v>
      </c>
      <c r="C47" s="4" cm="1">
        <f t="array" aca="1" ref="C47" ca="1">_FV(A47,"Shares outstanding",TRUE)</f>
        <v>5686268000</v>
      </c>
      <c r="D47" s="4">
        <f t="shared" ca="1" si="0"/>
        <v>146535126360</v>
      </c>
      <c r="E47" s="2" cm="1" vm="203">
        <f t="array" aca="1" ref="E47" ca="1">_xlfn.STOCKHISTORY(A47,$F$6,$F$6,0,0,1)</f>
        <v>26.78</v>
      </c>
      <c r="F47" s="2">
        <f t="shared" ca="1" si="1"/>
        <v>152278257040</v>
      </c>
    </row>
    <row r="48" spans="1:6" x14ac:dyDescent="0.2">
      <c r="A48" t="e" vm="204">
        <v>#VALUE!</v>
      </c>
      <c r="B48" cm="1" vm="205">
        <f t="array" aca="1" ref="B48" ca="1">_xlfn.STOCKHISTORY(A48,$D$6,$D$6,0,0,1)</f>
        <v>419.44</v>
      </c>
      <c r="C48" s="4" cm="1">
        <f t="array" aca="1" ref="C48" ca="1">_FV(A48,"Shares outstanding",TRUE)</f>
        <v>1125509000</v>
      </c>
      <c r="D48" s="4">
        <f t="shared" ca="1" si="0"/>
        <v>472083494960</v>
      </c>
      <c r="E48" s="2" cm="1" vm="206">
        <f t="array" aca="1" ref="E48" ca="1">_xlfn.STOCKHISTORY(A48,$F$6,$F$6,0,0,1)</f>
        <v>379.4</v>
      </c>
      <c r="F48" s="2">
        <f t="shared" ca="1" si="1"/>
        <v>427018114600</v>
      </c>
    </row>
    <row r="49" spans="1:6" x14ac:dyDescent="0.2">
      <c r="A49" t="e" vm="207">
        <v>#VALUE!</v>
      </c>
      <c r="B49" cm="1" vm="208">
        <f t="array" aca="1" ref="B49" ca="1">_xlfn.STOCKHISTORY(A49,$D$6,$D$6,0,0,1)</f>
        <v>1355.54</v>
      </c>
      <c r="C49" s="4" cm="1">
        <f t="array" aca="1" ref="C49" ca="1">_FV(A49,"Shares outstanding",TRUE)</f>
        <v>131076600</v>
      </c>
      <c r="D49" s="4">
        <f t="shared" ca="1" si="0"/>
        <v>177679574364</v>
      </c>
      <c r="E49" s="2" cm="1" vm="209">
        <f t="array" aca="1" ref="E49" ca="1">_xlfn.STOCKHISTORY(A49,$F$6,$F$6,0,0,1)</f>
        <v>1307.22</v>
      </c>
      <c r="F49" s="2">
        <f t="shared" ca="1" si="1"/>
        <v>171345953052</v>
      </c>
    </row>
    <row r="50" spans="1:6" x14ac:dyDescent="0.2">
      <c r="A50" t="e" vm="210">
        <v>#VALUE!</v>
      </c>
      <c r="B50" cm="1" vm="211">
        <f t="array" aca="1" ref="B50" ca="1">_xlfn.STOCKHISTORY(A50,$D$6,$D$6,0,0,1)</f>
        <v>419.14</v>
      </c>
      <c r="C50" s="4" cm="1">
        <f t="array" aca="1" ref="C50" ca="1">_FV(A50,"Shares outstanding",TRUE)</f>
        <v>191562000</v>
      </c>
      <c r="D50" s="4">
        <f t="shared" ca="1" si="0"/>
        <v>80291296680</v>
      </c>
      <c r="E50" s="2" cm="1" vm="212">
        <f t="array" aca="1" ref="E50" ca="1">_xlfn.STOCKHISTORY(A50,$F$6,$F$6,0,0,1)</f>
        <v>418.98</v>
      </c>
      <c r="F50" s="2">
        <f t="shared" ca="1" si="1"/>
        <v>80260646760</v>
      </c>
    </row>
    <row r="51" spans="1:6" x14ac:dyDescent="0.2">
      <c r="A51" t="e" vm="15">
        <v>#VALUE!</v>
      </c>
      <c r="B51" cm="1" vm="45">
        <f t="array" aca="1" ref="B51" ca="1">_xlfn.STOCKHISTORY(A51,$D$6,$D$6,0,0,1)</f>
        <v>359.64</v>
      </c>
      <c r="C51" s="4" cm="1">
        <f t="array" aca="1" ref="C51" ca="1">_FV(A51,"Shares outstanding",TRUE)</f>
        <v>247774800</v>
      </c>
      <c r="D51" s="4">
        <f t="shared" ca="1" si="0"/>
        <v>89109729072</v>
      </c>
      <c r="E51" s="2" cm="1" vm="75">
        <f t="array" aca="1" ref="E51" ca="1">_xlfn.STOCKHISTORY(A51,$F$6,$F$6,0,0,1)</f>
        <v>368.91</v>
      </c>
      <c r="F51" s="2">
        <f t="shared" ca="1" si="1"/>
        <v>91406601468</v>
      </c>
    </row>
    <row r="52" spans="1:6" x14ac:dyDescent="0.2">
      <c r="A52" t="e" vm="213">
        <v>#VALUE!</v>
      </c>
      <c r="B52" cm="1" vm="214">
        <f t="array" aca="1" ref="B52" ca="1">_xlfn.STOCKHISTORY(A52,$D$6,$D$6,0,0,1)</f>
        <v>278.91000000000003</v>
      </c>
      <c r="C52" s="4" cm="1">
        <f t="array" aca="1" ref="C52" ca="1">_FV(A52,"Shares outstanding",TRUE)</f>
        <v>288200000</v>
      </c>
      <c r="D52" s="4">
        <f t="shared" ca="1" si="0"/>
        <v>80381862000</v>
      </c>
      <c r="E52" s="2" cm="1" vm="215">
        <f t="array" aca="1" ref="E52" ca="1">_xlfn.STOCKHISTORY(A52,$F$6,$F$6,0,0,1)</f>
        <v>288.8</v>
      </c>
      <c r="F52" s="2">
        <f t="shared" ca="1" si="1"/>
        <v>83232160000</v>
      </c>
    </row>
    <row r="53" spans="1:6" x14ac:dyDescent="0.2">
      <c r="A53" t="e" vm="216">
        <v>#VALUE!</v>
      </c>
      <c r="B53" cm="1" vm="217">
        <f t="array" aca="1" ref="B53" ca="1">_xlfn.STOCKHISTORY(A53,$D$6,$D$6,0,0,1)</f>
        <v>93.15</v>
      </c>
      <c r="C53" s="4" cm="1">
        <f t="array" aca="1" ref="C53" ca="1">_FV(A53,"Shares outstanding",TRUE)</f>
        <v>801548000</v>
      </c>
      <c r="D53" s="4">
        <f t="shared" ca="1" si="0"/>
        <v>74664196200</v>
      </c>
      <c r="E53" s="2" cm="1" vm="218">
        <f t="array" aca="1" ref="E53" ca="1">_xlfn.STOCKHISTORY(A53,$F$6,$F$6,0,0,1)</f>
        <v>94.37</v>
      </c>
      <c r="F53" s="2">
        <f t="shared" ca="1" si="1"/>
        <v>75642084760</v>
      </c>
    </row>
    <row r="54" spans="1:6" x14ac:dyDescent="0.2">
      <c r="A54" t="e" vm="219">
        <v>#VALUE!</v>
      </c>
      <c r="B54" cm="1" vm="220">
        <f t="array" aca="1" ref="B54" ca="1">_xlfn.STOCKHISTORY(A54,$D$6,$D$6,0,0,1)</f>
        <v>121.67</v>
      </c>
      <c r="C54" s="4" cm="1">
        <f t="array" aca="1" ref="C54" ca="1">_FV(A54,"Shares outstanding",TRUE)</f>
        <v>777670900</v>
      </c>
      <c r="D54" s="4">
        <f t="shared" ca="1" si="0"/>
        <v>94619218403</v>
      </c>
      <c r="E54" s="2" cm="1" vm="221">
        <f t="array" aca="1" ref="E54" ca="1">_xlfn.STOCKHISTORY(A54,$F$6,$F$6,0,0,1)</f>
        <v>122.21</v>
      </c>
      <c r="F54" s="2">
        <f t="shared" ca="1" si="1"/>
        <v>95039160689</v>
      </c>
    </row>
    <row r="55" spans="1:6" x14ac:dyDescent="0.2">
      <c r="A55" t="e" vm="222">
        <v>#VALUE!</v>
      </c>
      <c r="B55" cm="1" vm="223">
        <f t="array" aca="1" ref="B55" ca="1">_xlfn.STOCKHISTORY(A55,$D$6,$D$6,0,0,1)</f>
        <v>122.41</v>
      </c>
      <c r="C55" s="4" cm="1">
        <f t="array" aca="1" ref="C55" ca="1">_FV(A55,"Shares outstanding",TRUE)</f>
        <v>422127700</v>
      </c>
      <c r="D55" s="4">
        <f t="shared" ca="1" si="0"/>
        <v>51672651757</v>
      </c>
      <c r="E55" s="2" cm="1" vm="224">
        <f t="array" aca="1" ref="E55" ca="1">_xlfn.STOCKHISTORY(A55,$F$6,$F$6,0,0,1)</f>
        <v>126.7</v>
      </c>
      <c r="F55" s="2">
        <f t="shared" ca="1" si="1"/>
        <v>53483579590</v>
      </c>
    </row>
    <row r="56" spans="1:6" x14ac:dyDescent="0.2">
      <c r="A56" t="e" vm="225">
        <v>#VALUE!</v>
      </c>
      <c r="B56" cm="1" vm="226">
        <f t="array" aca="1" ref="B56" ca="1">_xlfn.STOCKHISTORY(A56,$D$6,$D$6,0,0,1)</f>
        <v>147.06</v>
      </c>
      <c r="C56" s="4" cm="1">
        <f t="array" aca="1" ref="C56" ca="1">_FV(A56,"Shares outstanding",TRUE)</f>
        <v>1229215000</v>
      </c>
      <c r="D56" s="4">
        <f t="shared" ca="1" si="0"/>
        <v>180768357900</v>
      </c>
      <c r="E56" s="2" cm="1" vm="227">
        <f t="array" aca="1" ref="E56" ca="1">_xlfn.STOCKHISTORY(A56,$F$6,$F$6,0,0,1)</f>
        <v>130</v>
      </c>
      <c r="F56" s="2">
        <f t="shared" ca="1" si="1"/>
        <v>159797950000</v>
      </c>
    </row>
    <row r="57" spans="1:6" x14ac:dyDescent="0.2">
      <c r="A57" t="e" vm="228">
        <v>#VALUE!</v>
      </c>
      <c r="B57" cm="1" vm="229">
        <f t="array" aca="1" ref="B57" ca="1">_xlfn.STOCKHISTORY(A57,$D$6,$D$6,0,0,1)</f>
        <v>268.5</v>
      </c>
      <c r="C57" s="4" cm="1">
        <f t="array" aca="1" ref="C57" ca="1">_FV(A57,"Shares outstanding",TRUE)</f>
        <v>275875500</v>
      </c>
      <c r="D57" s="4">
        <f t="shared" ca="1" si="0"/>
        <v>74072571750</v>
      </c>
      <c r="E57" s="2" cm="1" vm="230">
        <f t="array" aca="1" ref="E57" ca="1">_xlfn.STOCKHISTORY(A57,$F$6,$F$6,0,0,1)</f>
        <v>271.42</v>
      </c>
      <c r="F57" s="2">
        <f t="shared" ca="1" si="1"/>
        <v>74878128210</v>
      </c>
    </row>
    <row r="58" spans="1:6" x14ac:dyDescent="0.2">
      <c r="A58" t="e" vm="231">
        <v>#VALUE!</v>
      </c>
      <c r="B58" cm="1" vm="232">
        <f t="array" aca="1" ref="B58" ca="1">_xlfn.STOCKHISTORY(A58,$D$6,$D$6,0,0,1)</f>
        <v>225.09</v>
      </c>
      <c r="C58" s="4" cm="1">
        <f t="array" aca="1" ref="C58" ca="1">_FV(A58,"Shares outstanding",TRUE)</f>
        <v>403335800</v>
      </c>
      <c r="D58" s="4">
        <f t="shared" ca="1" si="0"/>
        <v>90786855222</v>
      </c>
      <c r="E58" s="2" cm="1" vm="233">
        <f t="array" aca="1" ref="E58" ca="1">_xlfn.STOCKHISTORY(A58,$F$6,$F$6,0,0,1)</f>
        <v>226.43</v>
      </c>
      <c r="F58" s="2">
        <f t="shared" ca="1" si="1"/>
        <v>91327325194</v>
      </c>
    </row>
    <row r="59" spans="1:6" x14ac:dyDescent="0.2">
      <c r="A59" t="e" vm="234">
        <v>#VALUE!</v>
      </c>
      <c r="B59" cm="1" vm="235">
        <f t="array" aca="1" ref="B59" ca="1">_xlfn.STOCKHISTORY(A59,$D$6,$D$6,0,0,1)</f>
        <v>111.3</v>
      </c>
      <c r="C59" s="4" cm="1">
        <f t="array" aca="1" ref="C59" ca="1">_FV(A59,"Shares outstanding",TRUE)</f>
        <v>452806400</v>
      </c>
      <c r="D59" s="4">
        <f t="shared" ca="1" si="0"/>
        <v>50397352320</v>
      </c>
      <c r="E59" s="2" cm="1" vm="236">
        <f t="array" aca="1" ref="E59" ca="1">_xlfn.STOCKHISTORY(A59,$F$6,$F$6,0,0,1)</f>
        <v>114.13</v>
      </c>
      <c r="F59" s="2">
        <f t="shared" ca="1" si="1"/>
        <v>51678794432</v>
      </c>
    </row>
    <row r="60" spans="1:6" x14ac:dyDescent="0.2">
      <c r="A60" t="e" vm="237">
        <v>#VALUE!</v>
      </c>
      <c r="B60" cm="1" vm="238">
        <f t="array" aca="1" ref="B60" ca="1">_xlfn.STOCKHISTORY(A60,$D$6,$D$6,0,0,1)</f>
        <v>58.69</v>
      </c>
      <c r="C60" s="4" cm="1">
        <f t="array" aca="1" ref="C60" ca="1">_FV(A60,"Shares outstanding",TRUE)</f>
        <v>1553696000</v>
      </c>
      <c r="D60" s="4">
        <f t="shared" ca="1" si="0"/>
        <v>91186418240</v>
      </c>
      <c r="E60" s="2" cm="1" vm="239">
        <f t="array" aca="1" ref="E60" ca="1">_xlfn.STOCKHISTORY(A60,$F$6,$F$6,0,0,1)</f>
        <v>59.42</v>
      </c>
      <c r="F60" s="2">
        <f t="shared" ca="1" si="1"/>
        <v>92320616320</v>
      </c>
    </row>
    <row r="61" spans="1:6" x14ac:dyDescent="0.2">
      <c r="A61" t="e" vm="240">
        <v>#VALUE!</v>
      </c>
      <c r="B61" cm="1" vm="241">
        <f t="array" aca="1" ref="B61" ca="1">_xlfn.STOCKHISTORY(A61,$D$6,$D$6,0,0,1)</f>
        <v>282.42</v>
      </c>
      <c r="C61" s="4" cm="1">
        <f t="array" aca="1" ref="C61" ca="1">_FV(A61,"Shares outstanding",TRUE)</f>
        <v>281969500</v>
      </c>
      <c r="D61" s="4">
        <f t="shared" ca="1" si="0"/>
        <v>79633826190</v>
      </c>
      <c r="E61" s="2" cm="1" vm="242">
        <f t="array" aca="1" ref="E61" ca="1">_xlfn.STOCKHISTORY(A61,$F$6,$F$6,0,0,1)</f>
        <v>288.16000000000003</v>
      </c>
      <c r="F61" s="2">
        <f t="shared" ca="1" si="1"/>
        <v>81252331120</v>
      </c>
    </row>
    <row r="62" spans="1:6" x14ac:dyDescent="0.2">
      <c r="A62" t="e" vm="243">
        <v>#VALUE!</v>
      </c>
      <c r="B62" cm="1" vm="244">
        <f t="array" aca="1" ref="B62" ca="1">_xlfn.STOCKHISTORY(A62,$D$6,$D$6,0,0,1)</f>
        <v>355.31</v>
      </c>
      <c r="C62" s="4" cm="1">
        <f t="array" aca="1" ref="C62" ca="1">_FV(A62,"Shares outstanding",TRUE)</f>
        <v>270389800</v>
      </c>
      <c r="D62" s="4">
        <f t="shared" ca="1" si="0"/>
        <v>96072199838</v>
      </c>
      <c r="E62" s="2" cm="1" vm="245">
        <f t="array" aca="1" ref="E62" ca="1">_xlfn.STOCKHISTORY(A62,$F$6,$F$6,0,0,1)</f>
        <v>353.37</v>
      </c>
      <c r="F62" s="2">
        <f t="shared" ca="1" si="1"/>
        <v>95547643626</v>
      </c>
    </row>
    <row r="63" spans="1:6" x14ac:dyDescent="0.2">
      <c r="A63" t="e" vm="246">
        <v>#VALUE!</v>
      </c>
      <c r="B63" cm="1" vm="247">
        <f t="array" aca="1" ref="B63" ca="1">_xlfn.STOCKHISTORY(A63,$D$6,$D$6,0,0,1)</f>
        <v>206.5</v>
      </c>
      <c r="C63" s="4" cm="1">
        <f t="array" aca="1" ref="C63" ca="1">_FV(A63,"Shares outstanding",TRUE)</f>
        <v>284741800</v>
      </c>
      <c r="D63" s="4">
        <f t="shared" ca="1" si="0"/>
        <v>58799181700</v>
      </c>
      <c r="E63" s="2" cm="1" vm="248">
        <f t="array" aca="1" ref="E63" ca="1">_xlfn.STOCKHISTORY(A63,$F$6,$F$6,0,0,1)</f>
        <v>207.87</v>
      </c>
      <c r="F63" s="2">
        <f t="shared" ca="1" si="1"/>
        <v>59189277966</v>
      </c>
    </row>
    <row r="64" spans="1:6" x14ac:dyDescent="0.2">
      <c r="A64" t="e" vm="249">
        <v>#VALUE!</v>
      </c>
      <c r="B64" cm="1" vm="250">
        <f t="array" aca="1" ref="B64" ca="1">_xlfn.STOCKHISTORY(A64,$D$6,$D$6,0,0,1)</f>
        <v>163.07</v>
      </c>
      <c r="C64" s="4" cm="1">
        <f t="array" aca="1" ref="C64" ca="1">_FV(A64,"Shares outstanding",TRUE)</f>
        <v>567896500</v>
      </c>
      <c r="D64" s="4">
        <f t="shared" ca="1" si="0"/>
        <v>92606882255</v>
      </c>
      <c r="E64" s="2" cm="1" vm="251">
        <f t="array" aca="1" ref="E64" ca="1">_xlfn.STOCKHISTORY(A64,$F$6,$F$6,0,0,1)</f>
        <v>164.85</v>
      </c>
      <c r="F64" s="2">
        <f t="shared" ca="1" si="1"/>
        <v>93617738025</v>
      </c>
    </row>
    <row r="65" spans="1:6" x14ac:dyDescent="0.2">
      <c r="A65" t="e" vm="252">
        <v>#VALUE!</v>
      </c>
      <c r="B65" cm="1" vm="253">
        <f t="array" aca="1" ref="B65" ca="1">_xlfn.STOCKHISTORY(A65,$D$6,$D$6,0,0,1)</f>
        <v>471.05</v>
      </c>
      <c r="C65" s="4" cm="1">
        <f t="array" aca="1" ref="C65" ca="1">_FV(A65,"Shares outstanding",TRUE)</f>
        <v>177300000</v>
      </c>
      <c r="D65" s="4">
        <f t="shared" ca="1" si="0"/>
        <v>83517165000</v>
      </c>
      <c r="E65" s="2" cm="1" vm="254">
        <f t="array" aca="1" ref="E65" ca="1">_xlfn.STOCKHISTORY(A65,$F$6,$F$6,0,0,1)</f>
        <v>461.21</v>
      </c>
      <c r="F65" s="2">
        <f t="shared" ca="1" si="1"/>
        <v>81772533000</v>
      </c>
    </row>
    <row r="66" spans="1:6" x14ac:dyDescent="0.2">
      <c r="A66" t="e" vm="16">
        <v>#VALUE!</v>
      </c>
      <c r="B66" cm="1" vm="46">
        <f t="array" aca="1" ref="B66" ca="1">_xlfn.STOCKHISTORY(A66,$D$6,$D$6,0,0,1)</f>
        <v>60.93</v>
      </c>
      <c r="C66" s="4" cm="1">
        <f t="array" aca="1" ref="C66" ca="1">_FV(A66,"Shares outstanding",TRUE)</f>
        <v>1480383000</v>
      </c>
      <c r="D66" s="4">
        <f t="shared" ca="1" si="0"/>
        <v>90199736190</v>
      </c>
      <c r="E66" s="2" cm="1" vm="76">
        <f t="array" aca="1" ref="E66" ca="1">_xlfn.STOCKHISTORY(A66,$F$6,$F$6,0,0,1)</f>
        <v>64.22</v>
      </c>
      <c r="F66" s="2">
        <f t="shared" ca="1" si="1"/>
        <v>95070196260</v>
      </c>
    </row>
    <row r="67" spans="1:6" x14ac:dyDescent="0.2">
      <c r="A67" t="e" vm="255">
        <v>#VALUE!</v>
      </c>
      <c r="B67" cm="1" vm="256">
        <f t="array" aca="1" ref="B67" ca="1">_xlfn.STOCKHISTORY(A67,$D$6,$D$6,0,0,1)</f>
        <v>964.33</v>
      </c>
      <c r="C67" s="4" cm="1">
        <f t="array" aca="1" ref="C67" ca="1">_FV(A67,"Shares outstanding",TRUE)</f>
        <v>126216500</v>
      </c>
      <c r="D67" s="4">
        <f t="shared" ca="1" si="0"/>
        <v>121714357445</v>
      </c>
      <c r="E67" s="2" cm="1" vm="257">
        <f t="array" aca="1" ref="E67" ca="1">_xlfn.STOCKHISTORY(A67,$F$6,$F$6,0,0,1)</f>
        <v>967.99</v>
      </c>
      <c r="F67" s="2">
        <f t="shared" ca="1" si="1"/>
        <v>122176309835</v>
      </c>
    </row>
    <row r="68" spans="1:6" x14ac:dyDescent="0.2">
      <c r="A68" t="e" vm="258">
        <v>#VALUE!</v>
      </c>
      <c r="B68" cm="1" vm="259">
        <f t="array" aca="1" ref="B68" ca="1">_xlfn.STOCKHISTORY(A68,$D$6,$D$6,0,0,1)</f>
        <v>152.1</v>
      </c>
      <c r="C68" s="4" cm="1">
        <f t="array" aca="1" ref="C68" ca="1">_FV(A68,"Shares outstanding",TRUE)</f>
        <v>562000000</v>
      </c>
      <c r="D68" s="4">
        <f t="shared" ca="1" si="0"/>
        <v>85480200000</v>
      </c>
      <c r="E68" s="2" cm="1" vm="260">
        <f t="array" aca="1" ref="E68" ca="1">_xlfn.STOCKHISTORY(A68,$F$6,$F$6,0,0,1)</f>
        <v>157.32</v>
      </c>
      <c r="F68" s="2">
        <f t="shared" ca="1" si="1"/>
        <v>88413840000</v>
      </c>
    </row>
    <row r="69" spans="1:6" x14ac:dyDescent="0.2">
      <c r="A69" t="e" vm="261">
        <v>#VALUE!</v>
      </c>
      <c r="B69" cm="1" vm="262">
        <f t="array" aca="1" ref="B69" ca="1">_xlfn.STOCKHISTORY(A69,$D$6,$D$6,0,0,1)</f>
        <v>97.1</v>
      </c>
      <c r="C69" s="4" cm="1">
        <f t="array" aca="1" ref="C69" ca="1">_FV(A69,"Shares outstanding",TRUE)</f>
        <v>841909200</v>
      </c>
      <c r="D69" s="4">
        <f t="shared" ca="1" si="0"/>
        <v>81749383320</v>
      </c>
      <c r="E69" s="2" cm="1" vm="263">
        <f t="array" aca="1" ref="E69" ca="1">_xlfn.STOCKHISTORY(A69,$F$6,$F$6,0,0,1)</f>
        <v>96.74</v>
      </c>
      <c r="F69" s="2">
        <f t="shared" ca="1" si="1"/>
        <v>81446296008</v>
      </c>
    </row>
    <row r="70" spans="1:6" x14ac:dyDescent="0.2">
      <c r="A70" t="e" vm="264">
        <v>#VALUE!</v>
      </c>
      <c r="B70" cm="1" vm="265">
        <f t="array" aca="1" ref="B70" ca="1">_xlfn.STOCKHISTORY(A70,$D$6,$D$6,0,0,1)</f>
        <v>39.17</v>
      </c>
      <c r="C70" s="4" cm="1">
        <f t="array" aca="1" ref="C70" ca="1">_FV(A70,"Shares outstanding",TRUE)</f>
        <v>1302423000</v>
      </c>
      <c r="D70" s="4">
        <f t="shared" ca="1" si="0"/>
        <v>51015908910</v>
      </c>
      <c r="E70" s="2" cm="1" vm="266">
        <f t="array" aca="1" ref="E70" ca="1">_xlfn.STOCKHISTORY(A70,$F$6,$F$6,0,0,1)</f>
        <v>39.93</v>
      </c>
      <c r="F70" s="2">
        <f t="shared" ca="1" si="1"/>
        <v>52005750390</v>
      </c>
    </row>
    <row r="71" spans="1:6" x14ac:dyDescent="0.2">
      <c r="A71" t="e" vm="267">
        <v>#VALUE!</v>
      </c>
      <c r="B71" cm="1" vm="268">
        <f t="array" aca="1" ref="B71" ca="1">_xlfn.STOCKHISTORY(A71,$D$6,$D$6,0,0,1)</f>
        <v>41.7</v>
      </c>
      <c r="C71" s="4" cm="1">
        <f t="array" aca="1" ref="C71" ca="1">_FV(A71,"Shares outstanding",TRUE)</f>
        <v>920664600</v>
      </c>
      <c r="D71" s="4">
        <f t="shared" ca="1" si="0"/>
        <v>38391713820</v>
      </c>
      <c r="E71" s="2" cm="1" vm="269">
        <f t="array" aca="1" ref="E71" ca="1">_xlfn.STOCKHISTORY(A71,$F$6,$F$6,0,0,1)</f>
        <v>41.03</v>
      </c>
      <c r="F71" s="2">
        <f t="shared" ca="1" si="1"/>
        <v>37774868538</v>
      </c>
    </row>
    <row r="72" spans="1:6" x14ac:dyDescent="0.2">
      <c r="A72" t="e" vm="270">
        <v>#VALUE!</v>
      </c>
      <c r="B72" cm="1" vm="271">
        <f t="array" aca="1" ref="B72" ca="1">_xlfn.STOCKHISTORY(A72,$D$6,$D$6,0,0,1)</f>
        <v>39.15</v>
      </c>
      <c r="C72" s="4" cm="1">
        <f t="array" aca="1" ref="C72" ca="1">_FV(A72,"Shares outstanding",TRUE)</f>
        <v>1859557000</v>
      </c>
      <c r="D72" s="4">
        <f t="shared" ref="D72:D135" ca="1" si="2">B72*C72</f>
        <v>72801656550</v>
      </c>
      <c r="E72" s="2" cm="1" vm="272">
        <f t="array" aca="1" ref="E72" ca="1">_xlfn.STOCKHISTORY(A72,$F$6,$F$6,0,0,1)</f>
        <v>39.85</v>
      </c>
      <c r="F72" s="2">
        <f t="shared" ref="F72:F135" ca="1" si="3">C72*E72</f>
        <v>74103346450</v>
      </c>
    </row>
    <row r="73" spans="1:6" x14ac:dyDescent="0.2">
      <c r="A73" t="e" vm="273">
        <v>#VALUE!</v>
      </c>
      <c r="B73" cm="1" vm="274">
        <f t="array" aca="1" ref="B73" ca="1">_xlfn.STOCKHISTORY(A73,$D$6,$D$6,0,0,1)</f>
        <v>851.12</v>
      </c>
      <c r="C73" s="4" cm="1">
        <f t="array" aca="1" ref="C73" ca="1">_FV(A73,"Shares outstanding",TRUE)</f>
        <v>122487500</v>
      </c>
      <c r="D73" s="4">
        <f t="shared" ca="1" si="2"/>
        <v>104251561000</v>
      </c>
      <c r="E73" s="2" cm="1" vm="275">
        <f t="array" aca="1" ref="E73" ca="1">_xlfn.STOCKHISTORY(A73,$F$6,$F$6,0,0,1)</f>
        <v>822</v>
      </c>
      <c r="F73" s="2">
        <f t="shared" ca="1" si="3"/>
        <v>100684725000</v>
      </c>
    </row>
    <row r="74" spans="1:6" x14ac:dyDescent="0.2">
      <c r="A74" t="e" vm="276">
        <v>#VALUE!</v>
      </c>
      <c r="B74" cm="1" vm="277">
        <f t="array" aca="1" ref="B74" ca="1">_xlfn.STOCKHISTORY(A74,$D$6,$D$6,0,0,1)</f>
        <v>190.73</v>
      </c>
      <c r="C74" s="4" cm="1">
        <f t="array" aca="1" ref="C74" ca="1">_FV(A74,"Shares outstanding",TRUE)</f>
        <v>399889600</v>
      </c>
      <c r="D74" s="4">
        <f t="shared" ca="1" si="2"/>
        <v>76270943408</v>
      </c>
      <c r="E74" s="2" cm="1" vm="278">
        <f t="array" aca="1" ref="E74" ca="1">_xlfn.STOCKHISTORY(A74,$F$6,$F$6,0,0,1)</f>
        <v>192.61</v>
      </c>
      <c r="F74" s="2">
        <f t="shared" ca="1" si="3"/>
        <v>77022735856</v>
      </c>
    </row>
    <row r="75" spans="1:6" x14ac:dyDescent="0.2">
      <c r="A75" t="e" vm="279">
        <v>#VALUE!</v>
      </c>
      <c r="B75" cm="1" vm="280">
        <f t="array" aca="1" ref="B75" ca="1">_xlfn.STOCKHISTORY(A75,$D$6,$D$6,0,0,1)</f>
        <v>64.67</v>
      </c>
      <c r="C75" s="4" cm="1">
        <f t="array" aca="1" ref="C75" ca="1">_FV(A75,"Shares outstanding",TRUE)</f>
        <v>1437202000</v>
      </c>
      <c r="D75" s="4">
        <f t="shared" ca="1" si="2"/>
        <v>92943853340</v>
      </c>
      <c r="E75" s="2" cm="1" vm="281">
        <f t="array" aca="1" ref="E75" ca="1">_xlfn.STOCKHISTORY(A75,$F$6,$F$6,0,0,1)</f>
        <v>61.86</v>
      </c>
      <c r="F75" s="2">
        <f t="shared" ca="1" si="3"/>
        <v>88905315720</v>
      </c>
    </row>
    <row r="76" spans="1:6" x14ac:dyDescent="0.2">
      <c r="A76" t="e" vm="282">
        <v>#VALUE!</v>
      </c>
      <c r="B76" cm="1" vm="283">
        <f t="array" aca="1" ref="B76" ca="1">_xlfn.STOCKHISTORY(A76,$D$6,$D$6,0,0,1)</f>
        <v>499.21</v>
      </c>
      <c r="C76" s="4" cm="1">
        <f t="array" aca="1" ref="C76" ca="1">_FV(A76,"Shares outstanding",TRUE)</f>
        <v>223622200</v>
      </c>
      <c r="D76" s="4">
        <f t="shared" ca="1" si="2"/>
        <v>111634438462</v>
      </c>
      <c r="E76" s="2" cm="1" vm="284">
        <f t="array" aca="1" ref="E76" ca="1">_xlfn.STOCKHISTORY(A76,$F$6,$F$6,0,0,1)</f>
        <v>493.64</v>
      </c>
      <c r="F76" s="2">
        <f t="shared" ca="1" si="3"/>
        <v>110388862808</v>
      </c>
    </row>
    <row r="77" spans="1:6" x14ac:dyDescent="0.2">
      <c r="A77" t="e" vm="285">
        <v>#VALUE!</v>
      </c>
      <c r="B77" cm="1" vm="286">
        <f t="array" aca="1" ref="B77" ca="1">_xlfn.STOCKHISTORY(A77,$D$6,$D$6,0,0,1)</f>
        <v>220.66</v>
      </c>
      <c r="C77" s="4" cm="1">
        <f t="array" aca="1" ref="C77" ca="1">_FV(A77,"Shares outstanding",TRUE)</f>
        <v>252692900</v>
      </c>
      <c r="D77" s="4">
        <f t="shared" ca="1" si="2"/>
        <v>55759215314</v>
      </c>
      <c r="E77" s="2" cm="1" vm="287">
        <f t="array" aca="1" ref="E77" ca="1">_xlfn.STOCKHISTORY(A77,$F$6,$F$6,0,0,1)</f>
        <v>226.86</v>
      </c>
      <c r="F77" s="2">
        <f t="shared" ca="1" si="3"/>
        <v>57325911294</v>
      </c>
    </row>
    <row r="78" spans="1:6" x14ac:dyDescent="0.2">
      <c r="A78" t="e" vm="288">
        <v>#VALUE!</v>
      </c>
      <c r="B78" cm="1" vm="289">
        <f t="array" aca="1" ref="B78" ca="1">_xlfn.STOCKHISTORY(A78,$D$6,$D$6,0,0,1)</f>
        <v>318.42</v>
      </c>
      <c r="C78" s="4" cm="1">
        <f t="array" aca="1" ref="C78" ca="1">_FV(A78,"Shares outstanding",TRUE)</f>
        <v>264984600</v>
      </c>
      <c r="D78" s="4">
        <f t="shared" ca="1" si="2"/>
        <v>84376396332</v>
      </c>
      <c r="E78" s="2" cm="1" vm="290">
        <f t="array" aca="1" ref="E78" ca="1">_xlfn.STOCKHISTORY(A78,$F$6,$F$6,0,0,1)</f>
        <v>324.56</v>
      </c>
      <c r="F78" s="2">
        <f t="shared" ca="1" si="3"/>
        <v>86003401776</v>
      </c>
    </row>
    <row r="79" spans="1:6" x14ac:dyDescent="0.2">
      <c r="A79" t="e" vm="291">
        <v>#VALUE!</v>
      </c>
      <c r="B79" cm="1" vm="292">
        <f t="array" aca="1" ref="B79" ca="1">_xlfn.STOCKHISTORY(A79,$D$6,$D$6,0,0,1)</f>
        <v>348.82</v>
      </c>
      <c r="C79" s="4" cm="1">
        <f t="array" aca="1" ref="C79" ca="1">_FV(A79,"Shares outstanding",TRUE)</f>
        <v>102927500</v>
      </c>
      <c r="D79" s="4">
        <f t="shared" ca="1" si="2"/>
        <v>35903170550</v>
      </c>
      <c r="E79" s="2" cm="1" vm="293">
        <f t="array" aca="1" ref="E79" ca="1">_xlfn.STOCKHISTORY(A79,$F$6,$F$6,0,0,1)</f>
        <v>359.71</v>
      </c>
      <c r="F79" s="2">
        <f t="shared" ca="1" si="3"/>
        <v>37024051025</v>
      </c>
    </row>
    <row r="80" spans="1:6" x14ac:dyDescent="0.2">
      <c r="A80" t="e" vm="294">
        <v>#VALUE!</v>
      </c>
      <c r="B80" cm="1" vm="295">
        <f t="array" aca="1" ref="B80" ca="1">_xlfn.STOCKHISTORY(A80,$D$6,$D$6,0,0,1)</f>
        <v>409.47</v>
      </c>
      <c r="C80" s="4" cm="1">
        <f t="array" aca="1" ref="C80" ca="1">_FV(A80,"Shares outstanding",TRUE)</f>
        <v>165658900</v>
      </c>
      <c r="D80" s="4">
        <f t="shared" ca="1" si="2"/>
        <v>67832349783.000008</v>
      </c>
      <c r="E80" s="2" cm="1" vm="296">
        <f t="array" aca="1" ref="E80" ca="1">_xlfn.STOCKHISTORY(A80,$F$6,$F$6,0,0,1)</f>
        <v>416.3</v>
      </c>
      <c r="F80" s="2">
        <f t="shared" ca="1" si="3"/>
        <v>68963800070</v>
      </c>
    </row>
    <row r="81" spans="1:6" x14ac:dyDescent="0.2">
      <c r="A81" t="e" vm="297">
        <v>#VALUE!</v>
      </c>
      <c r="B81" cm="1" vm="298">
        <f t="array" aca="1" ref="B81" ca="1">_xlfn.STOCKHISTORY(A81,$D$6,$D$6,0,0,1)</f>
        <v>148.09</v>
      </c>
      <c r="C81" s="4" cm="1">
        <f t="array" aca="1" ref="C81" ca="1">_FV(A81,"Shares outstanding",TRUE)</f>
        <v>400744000</v>
      </c>
      <c r="D81" s="4">
        <f t="shared" ca="1" si="2"/>
        <v>59346178960</v>
      </c>
      <c r="E81" s="2" cm="1" vm="299">
        <f t="array" aca="1" ref="E81" ca="1">_xlfn.STOCKHISTORY(A81,$F$6,$F$6,0,0,1)</f>
        <v>154.69</v>
      </c>
      <c r="F81" s="2">
        <f t="shared" ca="1" si="3"/>
        <v>61991089360</v>
      </c>
    </row>
    <row r="82" spans="1:6" x14ac:dyDescent="0.2">
      <c r="A82" t="e" vm="300">
        <v>#VALUE!</v>
      </c>
      <c r="B82" cm="1" vm="301">
        <f t="array" aca="1" ref="B82" ca="1">_xlfn.STOCKHISTORY(A82,$D$6,$D$6,0,0,1)</f>
        <v>293.07</v>
      </c>
      <c r="C82" s="4" cm="1">
        <f t="array" aca="1" ref="C82" ca="1">_FV(A82,"Shares outstanding",TRUE)</f>
        <v>358622300</v>
      </c>
      <c r="D82" s="4">
        <f t="shared" ca="1" si="2"/>
        <v>105101437461</v>
      </c>
      <c r="E82" s="2" cm="1" vm="302">
        <f t="array" aca="1" ref="E82" ca="1">_xlfn.STOCKHISTORY(A82,$F$6,$F$6,0,0,1)</f>
        <v>294.62</v>
      </c>
      <c r="F82" s="2">
        <f t="shared" ca="1" si="3"/>
        <v>105657302026</v>
      </c>
    </row>
    <row r="83" spans="1:6" x14ac:dyDescent="0.2">
      <c r="A83" t="e" vm="303">
        <v>#VALUE!</v>
      </c>
      <c r="B83" cm="1" vm="304">
        <f t="array" aca="1" ref="B83" ca="1">_xlfn.STOCKHISTORY(A83,$D$6,$D$6,0,0,1)</f>
        <v>298.32</v>
      </c>
      <c r="C83" s="4" cm="1">
        <f t="array" aca="1" ref="C83" ca="1">_FV(A83,"Shares outstanding",TRUE)</f>
        <v>224572000</v>
      </c>
      <c r="D83" s="4">
        <f t="shared" ca="1" si="2"/>
        <v>66994319040</v>
      </c>
      <c r="E83" s="2" cm="1" vm="305">
        <f t="array" aca="1" ref="E83" ca="1">_xlfn.STOCKHISTORY(A83,$F$6,$F$6,0,0,1)</f>
        <v>306.83999999999997</v>
      </c>
      <c r="F83" s="2">
        <f t="shared" ca="1" si="3"/>
        <v>68907672480</v>
      </c>
    </row>
    <row r="84" spans="1:6" x14ac:dyDescent="0.2">
      <c r="A84" t="e" vm="306">
        <v>#VALUE!</v>
      </c>
      <c r="B84" cm="1" vm="307">
        <f t="array" aca="1" ref="B84" ca="1">_xlfn.STOCKHISTORY(A84,$D$6,$D$6,0,0,1)</f>
        <v>45.26</v>
      </c>
      <c r="C84" s="4" cm="1">
        <f t="array" aca="1" ref="C84" ca="1">_FV(A84,"Shares outstanding",TRUE)</f>
        <v>986266700</v>
      </c>
      <c r="D84" s="4">
        <f t="shared" ca="1" si="2"/>
        <v>44638430842</v>
      </c>
      <c r="E84" s="2" cm="1" vm="308">
        <f t="array" aca="1" ref="E84" ca="1">_xlfn.STOCKHISTORY(A84,$F$6,$F$6,0,0,1)</f>
        <v>46.69</v>
      </c>
      <c r="F84" s="2">
        <f t="shared" ca="1" si="3"/>
        <v>46048792223</v>
      </c>
    </row>
    <row r="85" spans="1:6" x14ac:dyDescent="0.2">
      <c r="A85" t="e" vm="309">
        <v>#VALUE!</v>
      </c>
      <c r="B85" cm="1" vm="310">
        <f t="array" aca="1" ref="B85" ca="1">_xlfn.STOCKHISTORY(A85,$D$6,$D$6,0,0,1)</f>
        <v>85.71</v>
      </c>
      <c r="C85" s="4" cm="1">
        <f t="array" aca="1" ref="C85" ca="1">_FV(A85,"Shares outstanding",TRUE)</f>
        <v>903967800</v>
      </c>
      <c r="D85" s="4">
        <f t="shared" ca="1" si="2"/>
        <v>77479080138</v>
      </c>
      <c r="E85" s="2" cm="1" vm="311">
        <f t="array" aca="1" ref="E85" ca="1">_xlfn.STOCKHISTORY(A85,$F$6,$F$6,0,0,1)</f>
        <v>86.29</v>
      </c>
      <c r="F85" s="2">
        <f t="shared" ca="1" si="3"/>
        <v>78003381462</v>
      </c>
    </row>
    <row r="86" spans="1:6" x14ac:dyDescent="0.2">
      <c r="A86" t="e" vm="312">
        <v>#VALUE!</v>
      </c>
      <c r="B86" cm="1" vm="313">
        <f t="array" aca="1" ref="B86" ca="1">_xlfn.STOCKHISTORY(A86,$D$6,$D$6,0,0,1)</f>
        <v>353.43</v>
      </c>
      <c r="C86" s="4" cm="1">
        <f t="array" aca="1" ref="C86" ca="1">_FV(A86,"Shares outstanding",TRUE)</f>
        <v>235122800</v>
      </c>
      <c r="D86" s="4">
        <f t="shared" ca="1" si="2"/>
        <v>83099451204</v>
      </c>
      <c r="E86" s="2" cm="1" vm="314">
        <f t="array" aca="1" ref="E86" ca="1">_xlfn.STOCKHISTORY(A86,$F$6,$F$6,0,0,1)</f>
        <v>362.54</v>
      </c>
      <c r="F86" s="2">
        <f t="shared" ca="1" si="3"/>
        <v>85241419912</v>
      </c>
    </row>
    <row r="87" spans="1:6" x14ac:dyDescent="0.2">
      <c r="A87" t="e" vm="315">
        <v>#VALUE!</v>
      </c>
      <c r="B87" cm="1" vm="316">
        <f t="array" aca="1" ref="B87" ca="1">_xlfn.STOCKHISTORY(A87,$D$6,$D$6,0,0,1)</f>
        <v>112.04</v>
      </c>
      <c r="C87" s="4" cm="1">
        <f t="array" aca="1" ref="C87" ca="1">_FV(A87,"Shares outstanding",TRUE)</f>
        <v>516369400</v>
      </c>
      <c r="D87" s="4">
        <f t="shared" ca="1" si="2"/>
        <v>57854027576</v>
      </c>
      <c r="E87" s="2" cm="1" vm="317">
        <f t="array" aca="1" ref="E87" ca="1">_xlfn.STOCKHISTORY(A87,$F$6,$F$6,0,0,1)</f>
        <v>113.62</v>
      </c>
      <c r="F87" s="2">
        <f t="shared" ca="1" si="3"/>
        <v>58669891228</v>
      </c>
    </row>
    <row r="88" spans="1:6" x14ac:dyDescent="0.2">
      <c r="A88" t="e" vm="318">
        <v>#VALUE!</v>
      </c>
      <c r="B88" cm="1" vm="319">
        <f t="array" aca="1" ref="B88" ca="1">_xlfn.STOCKHISTORY(A88,$D$6,$D$6,0,0,1)</f>
        <v>277.95999999999998</v>
      </c>
      <c r="C88" s="4" cm="1">
        <f t="array" aca="1" ref="C88" ca="1">_FV(A88,"Shares outstanding",TRUE)</f>
        <v>222656000</v>
      </c>
      <c r="D88" s="4">
        <f t="shared" ca="1" si="2"/>
        <v>61889461759.999992</v>
      </c>
      <c r="E88" s="2" cm="1" vm="320">
        <f t="array" aca="1" ref="E88" ca="1">_xlfn.STOCKHISTORY(A88,$F$6,$F$6,0,0,1)</f>
        <v>286.58999999999997</v>
      </c>
      <c r="F88" s="2">
        <f t="shared" ca="1" si="3"/>
        <v>63810983039.999992</v>
      </c>
    </row>
    <row r="89" spans="1:6" x14ac:dyDescent="0.2">
      <c r="A89" t="e" vm="321">
        <v>#VALUE!</v>
      </c>
      <c r="B89" cm="1" vm="322">
        <f t="array" aca="1" ref="B89" ca="1">_xlfn.STOCKHISTORY(A89,$D$6,$D$6,0,0,1)</f>
        <v>435.36</v>
      </c>
      <c r="C89" s="4" cm="1">
        <f t="array" aca="1" ref="C89" ca="1">_FV(A89,"Shares outstanding",TRUE)</f>
        <v>221331900</v>
      </c>
      <c r="D89" s="4">
        <f t="shared" ca="1" si="2"/>
        <v>96359055984</v>
      </c>
      <c r="E89" s="2" cm="1" vm="323">
        <f t="array" aca="1" ref="E89" ca="1">_xlfn.STOCKHISTORY(A89,$F$6,$F$6,0,0,1)</f>
        <v>441.2</v>
      </c>
      <c r="F89" s="2">
        <f t="shared" ca="1" si="3"/>
        <v>97651634280</v>
      </c>
    </row>
    <row r="90" spans="1:6" x14ac:dyDescent="0.2">
      <c r="A90" t="e" vm="324">
        <v>#VALUE!</v>
      </c>
      <c r="B90" cm="1" vm="325">
        <f t="array" aca="1" ref="B90" ca="1">_xlfn.STOCKHISTORY(A90,$D$6,$D$6,0,0,1)</f>
        <v>49.76</v>
      </c>
      <c r="C90" s="4" cm="1">
        <f t="array" aca="1" ref="C90" ca="1">_FV(A90,"Shares outstanding",TRUE)</f>
        <v>1501133000</v>
      </c>
      <c r="D90" s="4">
        <f t="shared" ca="1" si="2"/>
        <v>74696378080</v>
      </c>
      <c r="E90" s="2" cm="1" vm="326">
        <f t="array" aca="1" ref="E90" ca="1">_xlfn.STOCKHISTORY(A90,$F$6,$F$6,0,0,1)</f>
        <v>51.35</v>
      </c>
      <c r="F90" s="2">
        <f t="shared" ca="1" si="3"/>
        <v>77083179550</v>
      </c>
    </row>
    <row r="91" spans="1:6" x14ac:dyDescent="0.2">
      <c r="A91" t="e" vm="327">
        <v>#VALUE!</v>
      </c>
      <c r="B91" cm="1" vm="328">
        <f t="array" aca="1" ref="B91" ca="1">_xlfn.STOCKHISTORY(A91,$D$6,$D$6,0,0,1)</f>
        <v>223.34</v>
      </c>
      <c r="C91" s="4" cm="1">
        <f t="array" aca="1" ref="C91" ca="1">_FV(A91,"Shares outstanding",TRUE)</f>
        <v>621931600</v>
      </c>
      <c r="D91" s="4">
        <f t="shared" ca="1" si="2"/>
        <v>138902203544</v>
      </c>
      <c r="E91" s="2" cm="1" vm="329">
        <f t="array" aca="1" ref="E91" ca="1">_xlfn.STOCKHISTORY(A91,$F$6,$F$6,0,0,1)</f>
        <v>225.46</v>
      </c>
      <c r="F91" s="2">
        <f t="shared" ca="1" si="3"/>
        <v>140220698536</v>
      </c>
    </row>
    <row r="92" spans="1:6" x14ac:dyDescent="0.2">
      <c r="A92" t="e" vm="330">
        <v>#VALUE!</v>
      </c>
      <c r="B92" cm="1" vm="331">
        <f t="array" aca="1" ref="B92" ca="1">_xlfn.STOCKHISTORY(A92,$D$6,$D$6,0,0,1)</f>
        <v>187.5</v>
      </c>
      <c r="C92" s="4" cm="1">
        <f t="array" aca="1" ref="C92" ca="1">_FV(A92,"Shares outstanding",TRUE)</f>
        <v>697752500</v>
      </c>
      <c r="D92" s="4">
        <f t="shared" ca="1" si="2"/>
        <v>130828593750</v>
      </c>
      <c r="E92" s="2" cm="1" vm="332">
        <f t="array" aca="1" ref="E92" ca="1">_xlfn.STOCKHISTORY(A92,$F$6,$F$6,0,0,1)</f>
        <v>185.48</v>
      </c>
      <c r="F92" s="2">
        <f t="shared" ca="1" si="3"/>
        <v>129419133700</v>
      </c>
    </row>
    <row r="93" spans="1:6" x14ac:dyDescent="0.2">
      <c r="A93" t="e" vm="333">
        <v>#VALUE!</v>
      </c>
      <c r="B93" t="e" cm="1" vm="334">
        <f t="array" aca="1" ref="B93" ca="1">_xlfn.STOCKHISTORY(A93,$D$6,$D$6,0,0,1)</f>
        <v>#N/A</v>
      </c>
      <c r="C93" s="4" cm="1">
        <f t="array" aca="1" ref="C93" ca="1">_FV(A93,"Shares outstanding",TRUE)</f>
        <v>16567820</v>
      </c>
      <c r="D93" s="4" t="e" vm="92">
        <f t="shared" ca="1" si="2"/>
        <v>#N/A</v>
      </c>
      <c r="E93" s="2" t="e" cm="1" vm="334">
        <f t="array" aca="1" ref="E93" ca="1">_xlfn.STOCKHISTORY(A93,$F$6,$F$6,0,0,1)</f>
        <v>#N/A</v>
      </c>
      <c r="F93" s="2" t="e" vm="92">
        <f t="shared" ca="1" si="3"/>
        <v>#N/A</v>
      </c>
    </row>
    <row r="94" spans="1:6" x14ac:dyDescent="0.2">
      <c r="A94" t="e" vm="335">
        <v>#VALUE!</v>
      </c>
      <c r="B94" t="e" cm="1" vm="334">
        <f t="array" aca="1" ref="B94" ca="1">_xlfn.STOCKHISTORY(A94,$D$6,$D$6,0,0,1)</f>
        <v>#N/A</v>
      </c>
      <c r="C94" s="4" cm="1">
        <f t="array" aca="1" ref="C94" ca="1">_FV(A94,"Shares outstanding",TRUE)</f>
        <v>43175880</v>
      </c>
      <c r="D94" s="4" t="e" vm="92">
        <f t="shared" ca="1" si="2"/>
        <v>#N/A</v>
      </c>
      <c r="E94" s="2" t="e" cm="1" vm="334">
        <f t="array" aca="1" ref="E94" ca="1">_xlfn.STOCKHISTORY(A94,$F$6,$F$6,0,0,1)</f>
        <v>#N/A</v>
      </c>
      <c r="F94" s="2" t="e" vm="92">
        <f t="shared" ca="1" si="3"/>
        <v>#N/A</v>
      </c>
    </row>
    <row r="95" spans="1:6" x14ac:dyDescent="0.2">
      <c r="A95" t="e" vm="336">
        <v>#VALUE!</v>
      </c>
      <c r="B95" cm="1" vm="337">
        <f t="array" aca="1" ref="B95" ca="1">_xlfn.STOCKHISTORY(A95,$D$6,$D$6,0,0,1)</f>
        <v>127.9</v>
      </c>
      <c r="C95" s="4" cm="1">
        <f t="array" aca="1" ref="C95" ca="1">_FV(A95,"Shares outstanding",TRUE)</f>
        <v>525894500</v>
      </c>
      <c r="D95" s="4">
        <f t="shared" ca="1" si="2"/>
        <v>67261906550</v>
      </c>
      <c r="E95" s="2" cm="1" vm="338">
        <f t="array" aca="1" ref="E95" ca="1">_xlfn.STOCKHISTORY(A95,$F$6,$F$6,0,0,1)</f>
        <v>128.78</v>
      </c>
      <c r="F95" s="2">
        <f t="shared" ca="1" si="3"/>
        <v>67724693710</v>
      </c>
    </row>
    <row r="96" spans="1:6" x14ac:dyDescent="0.2">
      <c r="A96" t="e" vm="339">
        <v>#VALUE!</v>
      </c>
      <c r="B96" cm="1" vm="340">
        <f t="array" aca="1" ref="B96" ca="1">_xlfn.STOCKHISTORY(A96,$D$6,$D$6,0,0,1)</f>
        <v>100.77</v>
      </c>
      <c r="C96" s="4" cm="1">
        <f t="array" aca="1" ref="C96" ca="1">_FV(A96,"Shares outstanding",TRUE)</f>
        <v>331922400</v>
      </c>
      <c r="D96" s="4">
        <f t="shared" ca="1" si="2"/>
        <v>33447820248</v>
      </c>
      <c r="E96" s="2" cm="1" vm="341">
        <f t="array" aca="1" ref="E96" ca="1">_xlfn.STOCKHISTORY(A96,$F$6,$F$6,0,0,1)</f>
        <v>103.21</v>
      </c>
      <c r="F96" s="2">
        <f t="shared" ca="1" si="3"/>
        <v>34257710903.999996</v>
      </c>
    </row>
    <row r="97" spans="1:6" x14ac:dyDescent="0.2">
      <c r="A97" t="e" vm="342">
        <v>#VALUE!</v>
      </c>
      <c r="B97" cm="1" vm="343">
        <f t="array" aca="1" ref="B97" ca="1">_xlfn.STOCKHISTORY(A97,$D$6,$D$6,0,0,1)</f>
        <v>279.54000000000002</v>
      </c>
      <c r="C97" s="4" cm="1">
        <f t="array" aca="1" ref="C97" ca="1">_FV(A97,"Shares outstanding",TRUE)</f>
        <v>175506500</v>
      </c>
      <c r="D97" s="4">
        <f t="shared" ca="1" si="2"/>
        <v>49061087010</v>
      </c>
      <c r="E97" s="2" cm="1" vm="344">
        <f t="array" aca="1" ref="E97" ca="1">_xlfn.STOCKHISTORY(A97,$F$6,$F$6,0,0,1)</f>
        <v>288.5</v>
      </c>
      <c r="F97" s="2">
        <f t="shared" ca="1" si="3"/>
        <v>50633625250</v>
      </c>
    </row>
    <row r="98" spans="1:6" x14ac:dyDescent="0.2">
      <c r="A98" t="e" vm="345">
        <v>#VALUE!</v>
      </c>
      <c r="B98" cm="1" vm="346">
        <f t="array" aca="1" ref="B98" ca="1">_xlfn.STOCKHISTORY(A98,$D$6,$D$6,0,0,1)</f>
        <v>801.83</v>
      </c>
      <c r="C98" s="4" cm="1">
        <f t="array" aca="1" ref="C98" ca="1">_FV(A98,"Shares outstanding",TRUE)</f>
        <v>98254930</v>
      </c>
      <c r="D98" s="4">
        <f t="shared" ca="1" si="2"/>
        <v>78783750521.900009</v>
      </c>
      <c r="E98" s="2" cm="1" vm="347">
        <f t="array" aca="1" ref="E98" ca="1">_xlfn.STOCKHISTORY(A98,$F$6,$F$6,0,0,1)</f>
        <v>802.13</v>
      </c>
      <c r="F98" s="2">
        <f t="shared" ca="1" si="3"/>
        <v>78813227000.899994</v>
      </c>
    </row>
    <row r="99" spans="1:6" x14ac:dyDescent="0.2">
      <c r="A99" t="e" vm="348">
        <v>#VALUE!</v>
      </c>
      <c r="B99" cm="1" vm="349">
        <f t="array" aca="1" ref="B99" ca="1">_xlfn.STOCKHISTORY(A99,$D$6,$D$6,0,0,1)</f>
        <v>240.79</v>
      </c>
      <c r="C99" s="4" cm="1">
        <f t="array" aca="1" ref="C99" ca="1">_FV(A99,"Shares outstanding",TRUE)</f>
        <v>212000000</v>
      </c>
      <c r="D99" s="4">
        <f t="shared" ca="1" si="2"/>
        <v>51047480000</v>
      </c>
      <c r="E99" s="2" cm="1" vm="350">
        <f t="array" aca="1" ref="E99" ca="1">_xlfn.STOCKHISTORY(A99,$F$6,$F$6,0,0,1)</f>
        <v>243.41</v>
      </c>
      <c r="F99" s="2">
        <f t="shared" ca="1" si="3"/>
        <v>51602920000</v>
      </c>
    </row>
    <row r="100" spans="1:6" x14ac:dyDescent="0.2">
      <c r="A100" t="e" vm="351">
        <v>#VALUE!</v>
      </c>
      <c r="B100" cm="1" vm="352">
        <f t="array" aca="1" ref="B100" ca="1">_xlfn.STOCKHISTORY(A100,$D$6,$D$6,0,0,1)</f>
        <v>97.15</v>
      </c>
      <c r="C100" s="4" cm="1">
        <f t="array" aca="1" ref="C100" ca="1">_FV(A100,"Shares outstanding",TRUE)</f>
        <v>358967400</v>
      </c>
      <c r="D100" s="4">
        <f t="shared" ca="1" si="2"/>
        <v>34873682910</v>
      </c>
      <c r="E100" s="2" cm="1" vm="353">
        <f t="array" aca="1" ref="E100" ca="1">_xlfn.STOCKHISTORY(A100,$F$6,$F$6,0,0,1)</f>
        <v>98.48</v>
      </c>
      <c r="F100" s="2">
        <f t="shared" ca="1" si="3"/>
        <v>35351109552</v>
      </c>
    </row>
    <row r="101" spans="1:6" x14ac:dyDescent="0.2">
      <c r="A101" t="e" vm="354">
        <v>#VALUE!</v>
      </c>
      <c r="B101" cm="1" vm="355">
        <f t="array" aca="1" ref="B101" ca="1">_xlfn.STOCKHISTORY(A101,$D$6,$D$6,0,0,1)</f>
        <v>304.60000000000002</v>
      </c>
      <c r="C101" s="4" cm="1">
        <f t="array" aca="1" ref="C101" ca="1">_FV(A101,"Shares outstanding",TRUE)</f>
        <v>229291600</v>
      </c>
      <c r="D101" s="4">
        <f t="shared" ca="1" si="2"/>
        <v>69842221360</v>
      </c>
      <c r="E101" s="2" cm="1" vm="356">
        <f t="array" aca="1" ref="E101" ca="1">_xlfn.STOCKHISTORY(A101,$F$6,$F$6,0,0,1)</f>
        <v>308.81</v>
      </c>
      <c r="F101" s="2">
        <f t="shared" ca="1" si="3"/>
        <v>70807538996</v>
      </c>
    </row>
    <row r="102" spans="1:6" x14ac:dyDescent="0.2">
      <c r="A102" t="e" vm="357">
        <v>#VALUE!</v>
      </c>
      <c r="B102" cm="1" vm="358">
        <f t="array" aca="1" ref="B102" ca="1">_xlfn.STOCKHISTORY(A102,$D$6,$D$6,0,0,1)</f>
        <v>116.27</v>
      </c>
      <c r="C102" s="4" cm="1">
        <f t="array" aca="1" ref="C102" ca="1">_FV(A102,"Shares outstanding",TRUE)</f>
        <v>361727100</v>
      </c>
      <c r="D102" s="4">
        <f t="shared" ca="1" si="2"/>
        <v>42058009917</v>
      </c>
      <c r="E102" s="2" cm="1" vm="359">
        <f t="array" aca="1" ref="E102" ca="1">_xlfn.STOCKHISTORY(A102,$F$6,$F$6,0,0,1)</f>
        <v>119.61</v>
      </c>
      <c r="F102" s="2">
        <f t="shared" ca="1" si="3"/>
        <v>43266178431</v>
      </c>
    </row>
    <row r="103" spans="1:6" x14ac:dyDescent="0.2">
      <c r="A103" t="e" vm="360">
        <v>#VALUE!</v>
      </c>
      <c r="B103" cm="1" vm="361">
        <f t="array" aca="1" ref="B103" ca="1">_xlfn.STOCKHISTORY(A103,$D$6,$D$6,0,0,1)</f>
        <v>61.46</v>
      </c>
      <c r="C103" s="4" cm="1">
        <f t="array" aca="1" ref="C103" ca="1">_FV(A103,"Shares outstanding",TRUE)</f>
        <v>932440200</v>
      </c>
      <c r="D103" s="4">
        <f t="shared" ca="1" si="2"/>
        <v>57307774692</v>
      </c>
      <c r="E103" s="2" cm="1" vm="362">
        <f t="array" aca="1" ref="E103" ca="1">_xlfn.STOCKHISTORY(A103,$F$6,$F$6,0,0,1)</f>
        <v>62.46</v>
      </c>
      <c r="F103" s="2">
        <f t="shared" ca="1" si="3"/>
        <v>58240214892</v>
      </c>
    </row>
    <row r="104" spans="1:6" x14ac:dyDescent="0.2">
      <c r="A104" t="e" vm="10">
        <v>#VALUE!</v>
      </c>
      <c r="B104" cm="1" vm="40">
        <f t="array" aca="1" ref="B104" ca="1">_xlfn.STOCKHISTORY(A104,$D$6,$D$6,0,0,1)</f>
        <v>288.23</v>
      </c>
      <c r="C104" s="4" cm="1">
        <f t="array" aca="1" ref="C104" ca="1">_FV(A104,"Shares outstanding",TRUE)</f>
        <v>216237900</v>
      </c>
      <c r="D104" s="4">
        <f t="shared" ca="1" si="2"/>
        <v>62326249917.000008</v>
      </c>
      <c r="E104" s="2" cm="1" vm="70">
        <f t="array" aca="1" ref="E104" ca="1">_xlfn.STOCKHISTORY(A104,$F$6,$F$6,0,0,1)</f>
        <v>295.22000000000003</v>
      </c>
      <c r="F104" s="2">
        <f t="shared" ca="1" si="3"/>
        <v>63837752838.000008</v>
      </c>
    </row>
    <row r="105" spans="1:6" x14ac:dyDescent="0.2">
      <c r="A105" t="e" vm="363">
        <v>#VALUE!</v>
      </c>
      <c r="B105" cm="1" vm="364">
        <f t="array" aca="1" ref="B105" ca="1">_xlfn.STOCKHISTORY(A105,$D$6,$D$6,0,0,1)</f>
        <v>93.04</v>
      </c>
      <c r="C105" s="4" cm="1">
        <f t="array" aca="1" ref="C105" ca="1">_FV(A105,"Shares outstanding",TRUE)</f>
        <v>1139300000</v>
      </c>
      <c r="D105" s="4">
        <f t="shared" ca="1" si="2"/>
        <v>106000472000</v>
      </c>
      <c r="E105" s="2" cm="1" vm="365">
        <f t="array" aca="1" ref="E105" ca="1">_xlfn.STOCKHISTORY(A105,$F$6,$F$6,0,0,1)</f>
        <v>96.97</v>
      </c>
      <c r="F105" s="2">
        <f t="shared" ca="1" si="3"/>
        <v>110477921000</v>
      </c>
    </row>
    <row r="106" spans="1:6" x14ac:dyDescent="0.2">
      <c r="A106" t="e" vm="366">
        <v>#VALUE!</v>
      </c>
      <c r="B106" cm="1" vm="367">
        <f t="array" aca="1" ref="B106" ca="1">_xlfn.STOCKHISTORY(A106,$D$6,$D$6,0,0,1)</f>
        <v>46.5</v>
      </c>
      <c r="C106" s="4" cm="1">
        <f t="array" aca="1" ref="C106" ca="1">_FV(A106,"Shares outstanding",TRUE)</f>
        <v>533582100</v>
      </c>
      <c r="D106" s="4">
        <f t="shared" ca="1" si="2"/>
        <v>24811567650</v>
      </c>
      <c r="E106" s="2" cm="1" vm="368">
        <f t="array" aca="1" ref="E106" ca="1">_xlfn.STOCKHISTORY(A106,$F$6,$F$6,0,0,1)</f>
        <v>48.5</v>
      </c>
      <c r="F106" s="2">
        <f t="shared" ca="1" si="3"/>
        <v>25878731850</v>
      </c>
    </row>
    <row r="107" spans="1:6" x14ac:dyDescent="0.2">
      <c r="A107" t="e" vm="369">
        <v>#VALUE!</v>
      </c>
      <c r="B107" cm="1" vm="370">
        <f t="array" aca="1" ref="B107" ca="1">_xlfn.STOCKHISTORY(A107,$D$6,$D$6,0,0,1)</f>
        <v>1155</v>
      </c>
      <c r="C107" s="4" cm="1">
        <f t="array" aca="1" ref="C107" ca="1">_FV(A107,"Shares outstanding",TRUE)</f>
        <v>47373020</v>
      </c>
      <c r="D107" s="4">
        <f t="shared" ca="1" si="2"/>
        <v>54715838100</v>
      </c>
      <c r="E107" s="2" cm="1" vm="371">
        <f t="array" aca="1" ref="E107" ca="1">_xlfn.STOCKHISTORY(A107,$F$6,$F$6,0,0,1)</f>
        <v>1194.93</v>
      </c>
      <c r="F107" s="2">
        <f t="shared" ca="1" si="3"/>
        <v>56607442788.600006</v>
      </c>
    </row>
    <row r="108" spans="1:6" x14ac:dyDescent="0.2">
      <c r="A108" t="e" vm="372">
        <v>#VALUE!</v>
      </c>
      <c r="B108" cm="1" vm="373">
        <f t="array" aca="1" ref="B108" ca="1">_xlfn.STOCKHISTORY(A108,$D$6,$D$6,0,0,1)</f>
        <v>76.900000000000006</v>
      </c>
      <c r="C108" s="4" cm="1">
        <f t="array" aca="1" ref="C108" ca="1">_FV(A108,"Shares outstanding",TRUE)</f>
        <v>652053900</v>
      </c>
      <c r="D108" s="4">
        <f t="shared" ca="1" si="2"/>
        <v>50142944910</v>
      </c>
      <c r="E108" s="2" cm="1" vm="374">
        <f t="array" aca="1" ref="E108" ca="1">_xlfn.STOCKHISTORY(A108,$F$6,$F$6,0,0,1)</f>
        <v>78.010000000000005</v>
      </c>
      <c r="F108" s="2">
        <f t="shared" ca="1" si="3"/>
        <v>50866724739</v>
      </c>
    </row>
    <row r="109" spans="1:6" x14ac:dyDescent="0.2">
      <c r="A109" t="e" vm="375">
        <v>#VALUE!</v>
      </c>
      <c r="B109" cm="1" vm="376">
        <f t="array" aca="1" ref="B109" ca="1">_xlfn.STOCKHISTORY(A109,$D$6,$D$6,0,0,1)</f>
        <v>120.67</v>
      </c>
      <c r="C109" s="4" cm="1">
        <f t="array" aca="1" ref="C109" ca="1">_FV(A109,"Shares outstanding",TRUE)</f>
        <v>540861500</v>
      </c>
      <c r="D109" s="4">
        <f t="shared" ca="1" si="2"/>
        <v>65265757205</v>
      </c>
      <c r="E109" s="2" cm="1" vm="377">
        <f t="array" aca="1" ref="E109" ca="1">_xlfn.STOCKHISTORY(A109,$F$6,$F$6,0,0,1)</f>
        <v>119.98</v>
      </c>
      <c r="F109" s="2">
        <f t="shared" ca="1" si="3"/>
        <v>64892562770</v>
      </c>
    </row>
    <row r="110" spans="1:6" x14ac:dyDescent="0.2">
      <c r="A110" t="e" vm="378">
        <v>#VALUE!</v>
      </c>
      <c r="B110" cm="1" vm="379">
        <f t="array" aca="1" ref="B110" ca="1">_xlfn.STOCKHISTORY(A110,$D$6,$D$6,0,0,1)</f>
        <v>76.66</v>
      </c>
      <c r="C110" s="4" cm="1">
        <f t="array" aca="1" ref="C110" ca="1">_FV(A110,"Shares outstanding",TRUE)</f>
        <v>541135400</v>
      </c>
      <c r="D110" s="4">
        <f t="shared" ca="1" si="2"/>
        <v>41483439764</v>
      </c>
      <c r="E110" s="2" cm="1" vm="380">
        <f t="array" aca="1" ref="E110" ca="1">_xlfn.STOCKHISTORY(A110,$F$6,$F$6,0,0,1)</f>
        <v>78.23</v>
      </c>
      <c r="F110" s="2">
        <f t="shared" ca="1" si="3"/>
        <v>42333022342</v>
      </c>
    </row>
    <row r="111" spans="1:6" x14ac:dyDescent="0.2">
      <c r="A111" t="e" vm="381">
        <v>#VALUE!</v>
      </c>
      <c r="B111" cm="1" vm="382">
        <f t="array" aca="1" ref="B111" ca="1">_xlfn.STOCKHISTORY(A111,$D$6,$D$6,0,0,1)</f>
        <v>792.75</v>
      </c>
      <c r="C111" s="4" cm="1">
        <f t="array" aca="1" ref="C111" ca="1">_FV(A111,"Shares outstanding",TRUE)</f>
        <v>62998150</v>
      </c>
      <c r="D111" s="4">
        <f t="shared" ca="1" si="2"/>
        <v>49941783412.5</v>
      </c>
      <c r="E111" s="2" cm="1" vm="383">
        <f t="array" aca="1" ref="E111" ca="1">_xlfn.STOCKHISTORY(A111,$F$6,$F$6,0,0,1)</f>
        <v>848.13</v>
      </c>
      <c r="F111" s="2">
        <f t="shared" ca="1" si="3"/>
        <v>53430620959.5</v>
      </c>
    </row>
    <row r="112" spans="1:6" x14ac:dyDescent="0.2">
      <c r="A112" t="e" vm="384">
        <v>#VALUE!</v>
      </c>
      <c r="B112" cm="1" vm="385">
        <f t="array" aca="1" ref="B112" ca="1">_xlfn.STOCKHISTORY(A112,$D$6,$D$6,0,0,1)</f>
        <v>13.73</v>
      </c>
      <c r="C112" s="4" cm="1">
        <f t="array" aca="1" ref="C112" ca="1">_FV(A112,"Shares outstanding",TRUE)</f>
        <v>3989475000</v>
      </c>
      <c r="D112" s="4">
        <f t="shared" ca="1" si="2"/>
        <v>54775491750</v>
      </c>
      <c r="E112" s="2" cm="1" vm="386">
        <f t="array" aca="1" ref="E112" ca="1">_xlfn.STOCKHISTORY(A112,$F$6,$F$6,0,0,1)</f>
        <v>13.82</v>
      </c>
      <c r="F112" s="2">
        <f t="shared" ca="1" si="3"/>
        <v>55134544500</v>
      </c>
    </row>
    <row r="113" spans="1:6" x14ac:dyDescent="0.2">
      <c r="A113" t="e" vm="387">
        <v>#VALUE!</v>
      </c>
      <c r="B113" cm="1" vm="388">
        <f t="array" aca="1" ref="B113" ca="1">_xlfn.STOCKHISTORY(A113,$D$6,$D$6,0,0,1)</f>
        <v>61.43</v>
      </c>
      <c r="C113" s="4" cm="1">
        <f t="array" aca="1" ref="C113" ca="1">_FV(A113,"Shares outstanding",TRUE)</f>
        <v>878785600</v>
      </c>
      <c r="D113" s="4">
        <f t="shared" ca="1" si="2"/>
        <v>53983799408</v>
      </c>
      <c r="E113" s="2" cm="1" vm="389">
        <f t="array" aca="1" ref="E113" ca="1">_xlfn.STOCKHISTORY(A113,$F$6,$F$6,0,0,1)</f>
        <v>62.33</v>
      </c>
      <c r="F113" s="2">
        <f t="shared" ca="1" si="3"/>
        <v>54774706448</v>
      </c>
    </row>
    <row r="114" spans="1:6" x14ac:dyDescent="0.2">
      <c r="A114" t="e" vm="390">
        <v>#VALUE!</v>
      </c>
      <c r="B114" cm="1" vm="391">
        <f t="array" aca="1" ref="B114" ca="1">_xlfn.STOCKHISTORY(A114,$D$6,$D$6,0,0,1)</f>
        <v>74.13</v>
      </c>
      <c r="C114" s="4" cm="1">
        <f t="array" aca="1" ref="C114" ca="1">_FV(A114,"Shares outstanding",TRUE)</f>
        <v>536559600</v>
      </c>
      <c r="D114" s="4">
        <f t="shared" ca="1" si="2"/>
        <v>39775163148</v>
      </c>
      <c r="E114" s="2" cm="1" vm="392">
        <f t="array" aca="1" ref="E114" ca="1">_xlfn.STOCKHISTORY(A114,$F$6,$F$6,0,0,1)</f>
        <v>76.37</v>
      </c>
      <c r="F114" s="2">
        <f t="shared" ca="1" si="3"/>
        <v>40977056652</v>
      </c>
    </row>
    <row r="115" spans="1:6" x14ac:dyDescent="0.2">
      <c r="A115" t="e" vm="393">
        <v>#VALUE!</v>
      </c>
      <c r="B115" cm="1" vm="394">
        <f t="array" aca="1" ref="B115" ca="1">_xlfn.STOCKHISTORY(A115,$D$6,$D$6,0,0,1)</f>
        <v>82.1</v>
      </c>
      <c r="C115" s="4" cm="1">
        <f t="array" aca="1" ref="C115" ca="1">_FV(A115,"Shares outstanding",TRUE)</f>
        <v>580800000</v>
      </c>
      <c r="D115" s="4">
        <f t="shared" ca="1" si="2"/>
        <v>47683680000</v>
      </c>
      <c r="E115" s="2" cm="1" vm="395">
        <f t="array" aca="1" ref="E115" ca="1">_xlfn.STOCKHISTORY(A115,$F$6,$F$6,0,0,1)</f>
        <v>79.77</v>
      </c>
      <c r="F115" s="2">
        <f t="shared" ca="1" si="3"/>
        <v>46330416000</v>
      </c>
    </row>
    <row r="116" spans="1:6" x14ac:dyDescent="0.2">
      <c r="A116" t="e" vm="396">
        <v>#VALUE!</v>
      </c>
      <c r="B116" cm="1" vm="397">
        <f t="array" aca="1" ref="B116" ca="1">_xlfn.STOCKHISTORY(A116,$D$6,$D$6,0,0,1)</f>
        <v>201.77</v>
      </c>
      <c r="C116" s="4" cm="1">
        <f t="array" aca="1" ref="C116" ca="1">_FV(A116,"Shares outstanding",TRUE)</f>
        <v>259535800</v>
      </c>
      <c r="D116" s="4">
        <f t="shared" ca="1" si="2"/>
        <v>52366538366</v>
      </c>
      <c r="E116" s="2" cm="1" vm="398">
        <f t="array" aca="1" ref="E116" ca="1">_xlfn.STOCKHISTORY(A116,$F$6,$F$6,0,0,1)</f>
        <v>207.12</v>
      </c>
      <c r="F116" s="2">
        <f t="shared" ca="1" si="3"/>
        <v>53755054896</v>
      </c>
    </row>
    <row r="117" spans="1:6" x14ac:dyDescent="0.2">
      <c r="A117" t="e" vm="399">
        <v>#VALUE!</v>
      </c>
      <c r="B117" cm="1" vm="400">
        <f t="array" aca="1" ref="B117" ca="1">_xlfn.STOCKHISTORY(A117,$D$6,$D$6,0,0,1)</f>
        <v>602.69000000000005</v>
      </c>
      <c r="C117" s="4" cm="1">
        <f t="array" aca="1" ref="C117" ca="1">_FV(A117,"Shares outstanding",TRUE)</f>
        <v>138165500</v>
      </c>
      <c r="D117" s="4">
        <f t="shared" ca="1" si="2"/>
        <v>83270965195</v>
      </c>
      <c r="E117" s="2" cm="1" vm="401">
        <f t="array" aca="1" ref="E117" ca="1">_xlfn.STOCKHISTORY(A117,$F$6,$F$6,0,0,1)</f>
        <v>605.63</v>
      </c>
      <c r="F117" s="2">
        <f t="shared" ca="1" si="3"/>
        <v>83677171765</v>
      </c>
    </row>
    <row r="118" spans="1:6" x14ac:dyDescent="0.2">
      <c r="A118" t="e" vm="402">
        <v>#VALUE!</v>
      </c>
      <c r="B118" cm="1" vm="403">
        <f t="array" aca="1" ref="B118" ca="1">_xlfn.STOCKHISTORY(A118,$D$6,$D$6,0,0,1)</f>
        <v>64.17</v>
      </c>
      <c r="C118" s="4" cm="1">
        <f t="array" aca="1" ref="C118" ca="1">_FV(A118,"Shares outstanding",TRUE)</f>
        <v>632849200</v>
      </c>
      <c r="D118" s="4">
        <f t="shared" ca="1" si="2"/>
        <v>40609933164</v>
      </c>
      <c r="E118" s="2" cm="1" vm="404">
        <f t="array" aca="1" ref="E118" ca="1">_xlfn.STOCKHISTORY(A118,$F$6,$F$6,0,0,1)</f>
        <v>66.8</v>
      </c>
      <c r="F118" s="2">
        <f t="shared" ca="1" si="3"/>
        <v>42274326560</v>
      </c>
    </row>
    <row r="119" spans="1:6" x14ac:dyDescent="0.2">
      <c r="A119" t="e" vm="405">
        <v>#VALUE!</v>
      </c>
      <c r="B119" cm="1" vm="406">
        <f t="array" aca="1" ref="B119" ca="1">_xlfn.STOCKHISTORY(A119,$D$6,$D$6,0,0,1)</f>
        <v>187.58</v>
      </c>
      <c r="C119" s="4" cm="1">
        <f t="array" aca="1" ref="C119" ca="1">_FV(A119,"Shares outstanding",TRUE)</f>
        <v>294740200</v>
      </c>
      <c r="D119" s="4">
        <f t="shared" ca="1" si="2"/>
        <v>55287366716</v>
      </c>
      <c r="E119" s="2" cm="1" vm="407">
        <f t="array" aca="1" ref="E119" ca="1">_xlfn.STOCKHISTORY(A119,$F$6,$F$6,0,0,1)</f>
        <v>195.92</v>
      </c>
      <c r="F119" s="2">
        <f t="shared" ca="1" si="3"/>
        <v>57745499984</v>
      </c>
    </row>
    <row r="120" spans="1:6" x14ac:dyDescent="0.2">
      <c r="A120" t="e" vm="408">
        <v>#VALUE!</v>
      </c>
      <c r="B120" cm="1" vm="409">
        <f t="array" aca="1" ref="B120" ca="1">_xlfn.STOCKHISTORY(A120,$D$6,$D$6,0,0,1)</f>
        <v>41.11</v>
      </c>
      <c r="C120" s="4" cm="1">
        <f t="array" aca="1" ref="C120" ca="1">_FV(A120,"Shares outstanding",TRUE)</f>
        <v>620000000</v>
      </c>
      <c r="D120" s="4">
        <f t="shared" ca="1" si="2"/>
        <v>25488200000</v>
      </c>
      <c r="E120" s="2" cm="1" vm="410">
        <f t="array" aca="1" ref="E120" ca="1">_xlfn.STOCKHISTORY(A120,$F$6,$F$6,0,0,1)</f>
        <v>43.39</v>
      </c>
      <c r="F120" s="2">
        <f t="shared" ca="1" si="3"/>
        <v>26901800000</v>
      </c>
    </row>
    <row r="121" spans="1:6" x14ac:dyDescent="0.2">
      <c r="A121" t="e" vm="411">
        <v>#VALUE!</v>
      </c>
      <c r="B121" cm="1" vm="412">
        <f t="array" aca="1" ref="B121" ca="1">_xlfn.STOCKHISTORY(A121,$D$6,$D$6,0,0,1)</f>
        <v>192.27</v>
      </c>
      <c r="C121" s="4" cm="1">
        <f t="array" aca="1" ref="C121" ca="1">_FV(A121,"Shares outstanding",TRUE)</f>
        <v>299026200</v>
      </c>
      <c r="D121" s="4">
        <f t="shared" ca="1" si="2"/>
        <v>57493767474</v>
      </c>
      <c r="E121" s="2" cm="1" vm="413">
        <f t="array" aca="1" ref="E121" ca="1">_xlfn.STOCKHISTORY(A121,$F$6,$F$6,0,0,1)</f>
        <v>197.41</v>
      </c>
      <c r="F121" s="2">
        <f t="shared" ca="1" si="3"/>
        <v>59030762142</v>
      </c>
    </row>
    <row r="122" spans="1:6" x14ac:dyDescent="0.2">
      <c r="A122" t="e" vm="414">
        <v>#VALUE!</v>
      </c>
      <c r="B122" cm="1" vm="415">
        <f t="array" aca="1" ref="B122" ca="1">_xlfn.STOCKHISTORY(A122,$D$6,$D$6,0,0,1)</f>
        <v>201.47</v>
      </c>
      <c r="C122" s="4" cm="1">
        <f t="array" aca="1" ref="C122" ca="1">_FV(A122,"Shares outstanding",TRUE)</f>
        <v>202690900</v>
      </c>
      <c r="D122" s="4">
        <f t="shared" ca="1" si="2"/>
        <v>40836135623</v>
      </c>
      <c r="E122" s="2" cm="1" vm="416">
        <f t="array" aca="1" ref="E122" ca="1">_xlfn.STOCKHISTORY(A122,$F$6,$F$6,0,0,1)</f>
        <v>205.79</v>
      </c>
      <c r="F122" s="2">
        <f t="shared" ca="1" si="3"/>
        <v>41711760311</v>
      </c>
    </row>
    <row r="123" spans="1:6" x14ac:dyDescent="0.2">
      <c r="A123" t="e" vm="417">
        <v>#VALUE!</v>
      </c>
      <c r="B123" cm="1" vm="418">
        <f t="array" aca="1" ref="B123" ca="1">_xlfn.STOCKHISTORY(A123,$D$6,$D$6,0,0,1)</f>
        <v>158.74</v>
      </c>
      <c r="C123" s="4" cm="1">
        <f t="array" aca="1" ref="C123" ca="1">_FV(A123,"Shares outstanding",TRUE)</f>
        <v>276430100</v>
      </c>
      <c r="D123" s="4">
        <f t="shared" ca="1" si="2"/>
        <v>43880514074</v>
      </c>
      <c r="E123" s="2" cm="1" vm="419">
        <f t="array" aca="1" ref="E123" ca="1">_xlfn.STOCKHISTORY(A123,$F$6,$F$6,0,0,1)</f>
        <v>159.57</v>
      </c>
      <c r="F123" s="2">
        <f t="shared" ca="1" si="3"/>
        <v>44109951057</v>
      </c>
    </row>
    <row r="124" spans="1:6" x14ac:dyDescent="0.2">
      <c r="A124" t="e" vm="420">
        <v>#VALUE!</v>
      </c>
      <c r="B124" cm="1" vm="421">
        <f t="array" aca="1" ref="B124" ca="1">_xlfn.STOCKHISTORY(A124,$D$6,$D$6,0,0,1)</f>
        <v>203.64</v>
      </c>
      <c r="C124" s="4" cm="1">
        <f t="array" aca="1" ref="C124" ca="1">_FV(A124,"Shares outstanding",TRUE)</f>
        <v>214951800</v>
      </c>
      <c r="D124" s="4">
        <f t="shared" ca="1" si="2"/>
        <v>43772784552</v>
      </c>
      <c r="E124" s="2" cm="1" vm="422">
        <f t="array" aca="1" ref="E124" ca="1">_xlfn.STOCKHISTORY(A124,$F$6,$F$6,0,0,1)</f>
        <v>204.44</v>
      </c>
      <c r="F124" s="2">
        <f t="shared" ca="1" si="3"/>
        <v>43944745992</v>
      </c>
    </row>
    <row r="125" spans="1:6" x14ac:dyDescent="0.2">
      <c r="A125" t="e" vm="423">
        <v>#VALUE!</v>
      </c>
      <c r="B125" cm="1" vm="424">
        <f t="array" aca="1" ref="B125" ca="1">_xlfn.STOCKHISTORY(A125,$D$6,$D$6,0,0,1)</f>
        <v>247.73</v>
      </c>
      <c r="C125" s="4" cm="1">
        <f t="array" aca="1" ref="C125" ca="1">_FV(A125,"Shares outstanding",TRUE)</f>
        <v>257100000</v>
      </c>
      <c r="D125" s="4">
        <f t="shared" ca="1" si="2"/>
        <v>63691383000</v>
      </c>
      <c r="E125" s="2" cm="1" vm="425">
        <f t="array" aca="1" ref="E125" ca="1">_xlfn.STOCKHISTORY(A125,$F$6,$F$6,0,0,1)</f>
        <v>249.55</v>
      </c>
      <c r="F125" s="2">
        <f t="shared" ca="1" si="3"/>
        <v>64159305000</v>
      </c>
    </row>
    <row r="126" spans="1:6" x14ac:dyDescent="0.2">
      <c r="A126" t="e" vm="426">
        <v>#VALUE!</v>
      </c>
      <c r="B126" cm="1" vm="427">
        <f t="array" aca="1" ref="B126" ca="1">_xlfn.STOCKHISTORY(A126,$D$6,$D$6,0,0,1)</f>
        <v>46.34</v>
      </c>
      <c r="C126" s="4" cm="1">
        <f t="array" aca="1" ref="C126" ca="1">_FV(A126,"Shares outstanding",TRUE)</f>
        <v>1148328000</v>
      </c>
      <c r="D126" s="4">
        <f t="shared" ca="1" si="2"/>
        <v>53213519520.000008</v>
      </c>
      <c r="E126" s="2" cm="1" vm="428">
        <f t="array" aca="1" ref="E126" ca="1">_xlfn.STOCKHISTORY(A126,$F$6,$F$6,0,0,1)</f>
        <v>48.28</v>
      </c>
      <c r="F126" s="2">
        <f t="shared" ca="1" si="3"/>
        <v>55441275840</v>
      </c>
    </row>
    <row r="127" spans="1:6" x14ac:dyDescent="0.2">
      <c r="A127" t="e" vm="429">
        <v>#VALUE!</v>
      </c>
      <c r="B127" cm="1" vm="430">
        <f t="array" aca="1" ref="B127" ca="1">_xlfn.STOCKHISTORY(A127,$D$6,$D$6,0,0,1)</f>
        <v>191.12</v>
      </c>
      <c r="C127" s="4" cm="1">
        <f t="array" aca="1" ref="C127" ca="1">_FV(A127,"Shares outstanding",TRUE)</f>
        <v>323444900</v>
      </c>
      <c r="D127" s="4">
        <f t="shared" ca="1" si="2"/>
        <v>61816789288</v>
      </c>
      <c r="E127" s="2" cm="1" vm="431">
        <f t="array" aca="1" ref="E127" ca="1">_xlfn.STOCKHISTORY(A127,$F$6,$F$6,0,0,1)</f>
        <v>189.27</v>
      </c>
      <c r="F127" s="2">
        <f t="shared" ca="1" si="3"/>
        <v>61218416223</v>
      </c>
    </row>
    <row r="128" spans="1:6" x14ac:dyDescent="0.2">
      <c r="A128" t="e" vm="432">
        <v>#VALUE!</v>
      </c>
      <c r="B128" cm="1" vm="433">
        <f t="array" aca="1" ref="B128" ca="1">_xlfn.STOCKHISTORY(A128,$D$6,$D$6,0,0,1)</f>
        <v>30.32</v>
      </c>
      <c r="C128" s="4" cm="1">
        <f t="array" aca="1" ref="C128" ca="1">_FV(A128,"Shares outstanding",TRUE)</f>
        <v>2224806000</v>
      </c>
      <c r="D128" s="4">
        <f t="shared" ca="1" si="2"/>
        <v>67456117920</v>
      </c>
      <c r="E128" s="2" cm="1" vm="434">
        <f t="array" aca="1" ref="E128" ca="1">_xlfn.STOCKHISTORY(A128,$F$6,$F$6,0,0,1)</f>
        <v>30.06</v>
      </c>
      <c r="F128" s="2">
        <f t="shared" ca="1" si="3"/>
        <v>66877668360</v>
      </c>
    </row>
    <row r="129" spans="1:6" x14ac:dyDescent="0.2">
      <c r="A129" t="e" vm="435">
        <v>#VALUE!</v>
      </c>
      <c r="B129" cm="1" vm="436">
        <f t="array" aca="1" ref="B129" ca="1">_xlfn.STOCKHISTORY(A129,$D$6,$D$6,0,0,1)</f>
        <v>107.45</v>
      </c>
      <c r="C129" s="4" cm="1">
        <f t="array" aca="1" ref="C129" ca="1">_FV(A129,"Shares outstanding",TRUE)</f>
        <v>361302700</v>
      </c>
      <c r="D129" s="4">
        <f t="shared" ca="1" si="2"/>
        <v>38821975115</v>
      </c>
      <c r="E129" s="2" cm="1" vm="437">
        <f t="array" aca="1" ref="E129" ca="1">_xlfn.STOCKHISTORY(A129,$F$6,$F$6,0,0,1)</f>
        <v>108.38</v>
      </c>
      <c r="F129" s="2">
        <f t="shared" ca="1" si="3"/>
        <v>39157986626</v>
      </c>
    </row>
    <row r="130" spans="1:6" x14ac:dyDescent="0.2">
      <c r="A130" t="e" vm="438">
        <v>#VALUE!</v>
      </c>
      <c r="B130" cm="1" vm="439">
        <f t="array" aca="1" ref="B130" ca="1">_xlfn.STOCKHISTORY(A130,$D$6,$D$6,0,0,1)</f>
        <v>78.27</v>
      </c>
      <c r="C130" s="4" cm="1">
        <f t="array" aca="1" ref="C130" ca="1">_FV(A130,"Shares outstanding",TRUE)</f>
        <v>629783600</v>
      </c>
      <c r="D130" s="4">
        <f t="shared" ca="1" si="2"/>
        <v>49293162372</v>
      </c>
      <c r="E130" s="2" cm="1" vm="440">
        <f t="array" aca="1" ref="E130" ca="1">_xlfn.STOCKHISTORY(A130,$F$6,$F$6,0,0,1)</f>
        <v>80.34</v>
      </c>
      <c r="F130" s="2">
        <f t="shared" ca="1" si="3"/>
        <v>50596814424</v>
      </c>
    </row>
    <row r="131" spans="1:6" x14ac:dyDescent="0.2">
      <c r="A131" t="e" vm="441">
        <v>#VALUE!</v>
      </c>
      <c r="B131" cm="1" vm="442">
        <f t="array" aca="1" ref="B131" ca="1">_xlfn.STOCKHISTORY(A131,$D$6,$D$6,0,0,1)</f>
        <v>44.01</v>
      </c>
      <c r="C131" s="4" cm="1">
        <f t="array" aca="1" ref="C131" ca="1">_FV(A131,"Shares outstanding",TRUE)</f>
        <v>1022893000</v>
      </c>
      <c r="D131" s="4">
        <f t="shared" ca="1" si="2"/>
        <v>45017520930</v>
      </c>
      <c r="E131" s="2" cm="1" vm="443">
        <f t="array" aca="1" ref="E131" ca="1">_xlfn.STOCKHISTORY(A131,$F$6,$F$6,0,0,1)</f>
        <v>43.43</v>
      </c>
      <c r="F131" s="2">
        <f t="shared" ca="1" si="3"/>
        <v>44424242990</v>
      </c>
    </row>
    <row r="132" spans="1:6" x14ac:dyDescent="0.2">
      <c r="A132" t="e" vm="444">
        <v>#VALUE!</v>
      </c>
      <c r="B132" cm="1" vm="445">
        <f t="array" aca="1" ref="B132" ca="1">_xlfn.STOCKHISTORY(A132,$D$6,$D$6,0,0,1)</f>
        <v>87.16</v>
      </c>
      <c r="C132" s="4" cm="1">
        <f t="array" aca="1" ref="C132" ca="1">_FV(A132,"Shares outstanding",TRUE)</f>
        <v>388720800</v>
      </c>
      <c r="D132" s="4">
        <f t="shared" ca="1" si="2"/>
        <v>33880904928</v>
      </c>
      <c r="E132" s="2" cm="1" vm="446">
        <f t="array" aca="1" ref="E132" ca="1">_xlfn.STOCKHISTORY(A132,$F$6,$F$6,0,0,1)</f>
        <v>90.37</v>
      </c>
      <c r="F132" s="2">
        <f t="shared" ca="1" si="3"/>
        <v>35128698696</v>
      </c>
    </row>
    <row r="133" spans="1:6" x14ac:dyDescent="0.2">
      <c r="A133" t="e" vm="447">
        <v>#VALUE!</v>
      </c>
      <c r="B133" cm="1" vm="448">
        <f t="array" aca="1" ref="B133" ca="1">_xlfn.STOCKHISTORY(A133,$D$6,$D$6,0,0,1)</f>
        <v>81.56</v>
      </c>
      <c r="C133" s="4" cm="1">
        <f t="array" aca="1" ref="C133" ca="1">_FV(A133,"Shares outstanding",TRUE)</f>
        <v>498739900</v>
      </c>
      <c r="D133" s="4">
        <f t="shared" ca="1" si="2"/>
        <v>40677226244</v>
      </c>
      <c r="E133" s="2" cm="1" vm="449">
        <f t="array" aca="1" ref="E133" ca="1">_xlfn.STOCKHISTORY(A133,$F$6,$F$6,0,0,1)</f>
        <v>80.14</v>
      </c>
      <c r="F133" s="2">
        <f t="shared" ca="1" si="3"/>
        <v>39969015586</v>
      </c>
    </row>
    <row r="134" spans="1:6" x14ac:dyDescent="0.2">
      <c r="A134" t="e" vm="450">
        <v>#VALUE!</v>
      </c>
      <c r="B134" cm="1" vm="451">
        <f t="array" aca="1" ref="B134" ca="1">_xlfn.STOCKHISTORY(A134,$D$6,$D$6,0,0,1)</f>
        <v>124.01</v>
      </c>
      <c r="C134" s="4" cm="1">
        <f t="array" aca="1" ref="C134" ca="1">_FV(A134,"Shares outstanding",TRUE)</f>
        <v>612066200</v>
      </c>
      <c r="D134" s="4">
        <f t="shared" ca="1" si="2"/>
        <v>75902329462</v>
      </c>
      <c r="E134" s="2" cm="1" vm="452">
        <f t="array" aca="1" ref="E134" ca="1">_xlfn.STOCKHISTORY(A134,$F$6,$F$6,0,0,1)</f>
        <v>129.49</v>
      </c>
      <c r="F134" s="2">
        <f t="shared" ca="1" si="3"/>
        <v>79256452238</v>
      </c>
    </row>
    <row r="135" spans="1:6" x14ac:dyDescent="0.2">
      <c r="A135" t="e" vm="453">
        <v>#VALUE!</v>
      </c>
      <c r="B135" cm="1" vm="454">
        <f t="array" aca="1" ref="B135" ca="1">_xlfn.STOCKHISTORY(A135,$D$6,$D$6,0,0,1)</f>
        <v>68.5</v>
      </c>
      <c r="C135" s="4" cm="1">
        <f t="array" aca="1" ref="C135" ca="1">_FV(A135,"Shares outstanding",TRUE)</f>
        <v>1221563000</v>
      </c>
      <c r="D135" s="4">
        <f t="shared" ca="1" si="2"/>
        <v>83677065500</v>
      </c>
      <c r="E135" s="2" cm="1" vm="455">
        <f t="array" aca="1" ref="E135" ca="1">_xlfn.STOCKHISTORY(A135,$F$6,$F$6,0,0,1)</f>
        <v>66.459999999999994</v>
      </c>
      <c r="F135" s="2">
        <f t="shared" ca="1" si="3"/>
        <v>81185076979.999985</v>
      </c>
    </row>
    <row r="136" spans="1:6" x14ac:dyDescent="0.2">
      <c r="A136" t="e" vm="456">
        <v>#VALUE!</v>
      </c>
      <c r="B136" cm="1" vm="457">
        <f t="array" aca="1" ref="B136" ca="1">_xlfn.STOCKHISTORY(A136,$D$6,$D$6,0,0,1)</f>
        <v>75.040000000000006</v>
      </c>
      <c r="C136" s="4" cm="1">
        <f t="array" aca="1" ref="C136" ca="1">_FV(A136,"Shares outstanding",TRUE)</f>
        <v>672524000</v>
      </c>
      <c r="D136" s="4">
        <f t="shared" ref="D136:D199" ca="1" si="4">B136*C136</f>
        <v>50466200960.000008</v>
      </c>
      <c r="E136" s="2" cm="1" vm="458">
        <f t="array" aca="1" ref="E136" ca="1">_xlfn.STOCKHISTORY(A136,$F$6,$F$6,0,0,1)</f>
        <v>75.12</v>
      </c>
      <c r="F136" s="2">
        <f t="shared" ref="F136:F199" ca="1" si="5">C136*E136</f>
        <v>50520002880</v>
      </c>
    </row>
    <row r="137" spans="1:6" x14ac:dyDescent="0.2">
      <c r="A137" t="e" vm="459">
        <v>#VALUE!</v>
      </c>
      <c r="B137" cm="1" vm="460">
        <f t="array" aca="1" ref="B137" ca="1">_xlfn.STOCKHISTORY(A137,$D$6,$D$6,0,0,1)</f>
        <v>19</v>
      </c>
      <c r="C137" s="4" cm="1">
        <f t="array" aca="1" ref="C137" ca="1">_FV(A137,"Shares outstanding",TRUE)</f>
        <v>914550200</v>
      </c>
      <c r="D137" s="4">
        <f t="shared" ca="1" si="4"/>
        <v>17376453800</v>
      </c>
      <c r="E137" s="2" cm="1" vm="461">
        <f t="array" aca="1" ref="E137" ca="1">_xlfn.STOCKHISTORY(A137,$F$6,$F$6,0,0,1)</f>
        <v>19.82</v>
      </c>
      <c r="F137" s="2">
        <f t="shared" ca="1" si="5"/>
        <v>18126384964</v>
      </c>
    </row>
    <row r="138" spans="1:6" x14ac:dyDescent="0.2">
      <c r="A138" t="e" vm="462">
        <v>#VALUE!</v>
      </c>
      <c r="B138" cm="1" vm="463">
        <f t="array" aca="1" ref="B138" ca="1">_xlfn.STOCKHISTORY(A138,$D$6,$D$6,0,0,1)</f>
        <v>780.25</v>
      </c>
      <c r="C138" s="4" cm="1">
        <f t="array" aca="1" ref="C138" ca="1">_FV(A138,"Shares outstanding",TRUE)</f>
        <v>269529400</v>
      </c>
      <c r="D138" s="4">
        <f t="shared" ca="1" si="4"/>
        <v>210300314350</v>
      </c>
      <c r="E138" s="2" cm="1" vm="464">
        <f t="array" aca="1" ref="E138" ca="1">_xlfn.STOCKHISTORY(A138,$F$6,$F$6,0,0,1)</f>
        <v>746.22</v>
      </c>
      <c r="F138" s="2">
        <f t="shared" ca="1" si="5"/>
        <v>201128228868</v>
      </c>
    </row>
    <row r="139" spans="1:6" x14ac:dyDescent="0.2">
      <c r="A139" t="e" vm="465">
        <v>#VALUE!</v>
      </c>
      <c r="B139" cm="1" vm="466">
        <f t="array" aca="1" ref="B139" ca="1">_xlfn.STOCKHISTORY(A139,$D$6,$D$6,0,0,1)</f>
        <v>112.79</v>
      </c>
      <c r="C139" s="4" cm="1">
        <f t="array" aca="1" ref="C139" ca="1">_FV(A139,"Shares outstanding",TRUE)</f>
        <v>857948100</v>
      </c>
      <c r="D139" s="4">
        <f t="shared" ca="1" si="4"/>
        <v>96767966199</v>
      </c>
      <c r="E139" s="2" cm="1" vm="467">
        <f t="array" aca="1" ref="E139" ca="1">_xlfn.STOCKHISTORY(A139,$F$6,$F$6,0,0,1)</f>
        <v>109.69</v>
      </c>
      <c r="F139" s="2">
        <f t="shared" ca="1" si="5"/>
        <v>94108327089</v>
      </c>
    </row>
    <row r="140" spans="1:6" x14ac:dyDescent="0.2">
      <c r="A140" t="e" vm="468">
        <v>#VALUE!</v>
      </c>
      <c r="B140" cm="1" vm="469">
        <f t="array" aca="1" ref="B140" ca="1">_xlfn.STOCKHISTORY(A140,$D$6,$D$6,0,0,1)</f>
        <v>201.39</v>
      </c>
      <c r="C140" s="4" cm="1">
        <f t="array" aca="1" ref="C140" ca="1">_FV(A140,"Shares outstanding",TRUE)</f>
        <v>250253700</v>
      </c>
      <c r="D140" s="4">
        <f t="shared" ca="1" si="4"/>
        <v>50398592643</v>
      </c>
      <c r="E140" s="2" cm="1" vm="470">
        <f t="array" aca="1" ref="E140" ca="1">_xlfn.STOCKHISTORY(A140,$F$6,$F$6,0,0,1)</f>
        <v>196.84</v>
      </c>
      <c r="F140" s="2">
        <f t="shared" ca="1" si="5"/>
        <v>49259938308</v>
      </c>
    </row>
    <row r="141" spans="1:6" x14ac:dyDescent="0.2">
      <c r="A141" t="e" vm="471">
        <v>#VALUE!</v>
      </c>
      <c r="B141" cm="1" vm="472">
        <f t="array" aca="1" ref="B141" ca="1">_xlfn.STOCKHISTORY(A141,$D$6,$D$6,0,0,1)</f>
        <v>75.95</v>
      </c>
      <c r="C141" s="4" cm="1">
        <f t="array" aca="1" ref="C141" ca="1">_FV(A141,"Shares outstanding",TRUE)</f>
        <v>623876800</v>
      </c>
      <c r="D141" s="4">
        <f t="shared" ca="1" si="4"/>
        <v>47383442960</v>
      </c>
      <c r="E141" s="2" cm="1" vm="473">
        <f t="array" aca="1" ref="E141" ca="1">_xlfn.STOCKHISTORY(A141,$F$6,$F$6,0,0,1)</f>
        <v>76.2</v>
      </c>
      <c r="F141" s="2">
        <f t="shared" ca="1" si="5"/>
        <v>47539412160</v>
      </c>
    </row>
    <row r="142" spans="1:6" x14ac:dyDescent="0.2">
      <c r="A142" t="e" vm="474">
        <v>#VALUE!</v>
      </c>
      <c r="B142" cm="1" vm="475">
        <f t="array" aca="1" ref="B142" ca="1">_xlfn.STOCKHISTORY(A142,$D$6,$D$6,0,0,1)</f>
        <v>189.77</v>
      </c>
      <c r="C142" s="4" cm="1">
        <f t="array" aca="1" ref="C142" ca="1">_FV(A142,"Shares outstanding",TRUE)</f>
        <v>208425600</v>
      </c>
      <c r="D142" s="4">
        <f t="shared" ca="1" si="4"/>
        <v>39552926112</v>
      </c>
      <c r="E142" s="2" cm="1" vm="476">
        <f t="array" aca="1" ref="E142" ca="1">_xlfn.STOCKHISTORY(A142,$F$6,$F$6,0,0,1)</f>
        <v>208.54</v>
      </c>
      <c r="F142" s="2">
        <f t="shared" ca="1" si="5"/>
        <v>43465074624</v>
      </c>
    </row>
    <row r="143" spans="1:6" x14ac:dyDescent="0.2">
      <c r="A143" t="e" vm="477">
        <v>#VALUE!</v>
      </c>
      <c r="B143" cm="1" vm="478">
        <f t="array" aca="1" ref="B143" ca="1">_xlfn.STOCKHISTORY(A143,$D$6,$D$6,0,0,1)</f>
        <v>107.18</v>
      </c>
      <c r="C143" s="4" cm="1">
        <f t="array" aca="1" ref="C143" ca="1">_FV(A143,"Shares outstanding",TRUE)</f>
        <v>348000000</v>
      </c>
      <c r="D143" s="4">
        <f t="shared" ca="1" si="4"/>
        <v>37298640000</v>
      </c>
      <c r="E143" s="2" cm="1" vm="479">
        <f t="array" aca="1" ref="E143" ca="1">_xlfn.STOCKHISTORY(A143,$F$6,$F$6,0,0,1)</f>
        <v>102.17</v>
      </c>
      <c r="F143" s="2">
        <f t="shared" ca="1" si="5"/>
        <v>35555160000</v>
      </c>
    </row>
    <row r="144" spans="1:6" x14ac:dyDescent="0.2">
      <c r="A144" t="e" vm="480">
        <v>#VALUE!</v>
      </c>
      <c r="B144" cm="1" vm="481">
        <f t="array" aca="1" ref="B144" ca="1">_xlfn.STOCKHISTORY(A144,$D$6,$D$6,0,0,1)</f>
        <v>160.62</v>
      </c>
      <c r="C144" s="4" cm="1">
        <f t="array" aca="1" ref="C144" ca="1">_FV(A144,"Shares outstanding",TRUE)</f>
        <v>173410800</v>
      </c>
      <c r="D144" s="4">
        <f t="shared" ca="1" si="4"/>
        <v>27853242696</v>
      </c>
      <c r="E144" s="2" cm="1" vm="482">
        <f t="array" aca="1" ref="E144" ca="1">_xlfn.STOCKHISTORY(A144,$F$6,$F$6,0,0,1)</f>
        <v>166.68</v>
      </c>
      <c r="F144" s="2">
        <f t="shared" ca="1" si="5"/>
        <v>28904112144</v>
      </c>
    </row>
    <row r="145" spans="1:6" x14ac:dyDescent="0.2">
      <c r="A145" t="e" vm="483">
        <v>#VALUE!</v>
      </c>
      <c r="B145" cm="1" vm="484">
        <f t="array" aca="1" ref="B145" ca="1">_xlfn.STOCKHISTORY(A145,$D$6,$D$6,0,0,1)</f>
        <v>213.49</v>
      </c>
      <c r="C145" s="4" cm="1">
        <f t="array" aca="1" ref="C145" ca="1">_FV(A145,"Shares outstanding",TRUE)</f>
        <v>400940100</v>
      </c>
      <c r="D145" s="4">
        <f t="shared" ca="1" si="4"/>
        <v>85596701949</v>
      </c>
      <c r="E145" s="2" cm="1" vm="485">
        <f t="array" aca="1" ref="E145" ca="1">_xlfn.STOCKHISTORY(A145,$F$6,$F$6,0,0,1)</f>
        <v>208.61</v>
      </c>
      <c r="F145" s="2">
        <f t="shared" ca="1" si="5"/>
        <v>83640114261</v>
      </c>
    </row>
    <row r="146" spans="1:6" x14ac:dyDescent="0.2">
      <c r="A146" t="e" vm="486">
        <v>#VALUE!</v>
      </c>
      <c r="B146" cm="1" vm="487">
        <f t="array" aca="1" ref="B146" ca="1">_xlfn.STOCKHISTORY(A146,$D$6,$D$6,0,0,1)</f>
        <v>23.87</v>
      </c>
      <c r="C146" s="4" cm="1">
        <f t="array" aca="1" ref="C146" ca="1">_FV(A146,"Shares outstanding",TRUE)</f>
        <v>1183745000</v>
      </c>
      <c r="D146" s="4">
        <f t="shared" ca="1" si="4"/>
        <v>28255993150</v>
      </c>
      <c r="E146" s="2" cm="1" vm="488">
        <f t="array" aca="1" ref="E146" ca="1">_xlfn.STOCKHISTORY(A146,$F$6,$F$6,0,0,1)</f>
        <v>24.48</v>
      </c>
      <c r="F146" s="2">
        <f t="shared" ca="1" si="5"/>
        <v>28978077600</v>
      </c>
    </row>
    <row r="147" spans="1:6" x14ac:dyDescent="0.2">
      <c r="A147" t="e" vm="489">
        <v>#VALUE!</v>
      </c>
      <c r="B147" cm="1" vm="490">
        <f t="array" aca="1" ref="B147" ca="1">_xlfn.STOCKHISTORY(A147,$D$6,$D$6,0,0,1)</f>
        <v>632.55999999999995</v>
      </c>
      <c r="C147" s="4" cm="1">
        <f t="array" aca="1" ref="C147" ca="1">_FV(A147,"Shares outstanding",TRUE)</f>
        <v>79624030</v>
      </c>
      <c r="D147" s="4">
        <f t="shared" ca="1" si="4"/>
        <v>50366976416.799995</v>
      </c>
      <c r="E147" s="2" cm="1" vm="491">
        <f t="array" aca="1" ref="E147" ca="1">_xlfn.STOCKHISTORY(A147,$F$6,$F$6,0,0,1)</f>
        <v>642.94000000000005</v>
      </c>
      <c r="F147" s="2">
        <f t="shared" ca="1" si="5"/>
        <v>51193473848.200005</v>
      </c>
    </row>
    <row r="148" spans="1:6" x14ac:dyDescent="0.2">
      <c r="A148" t="e" vm="492">
        <v>#VALUE!</v>
      </c>
      <c r="B148" cm="1" vm="493">
        <f t="array" aca="1" ref="B148" ca="1">_xlfn.STOCKHISTORY(A148,$D$6,$D$6,0,0,1)</f>
        <v>13.244999999999999</v>
      </c>
      <c r="C148" s="4" cm="1">
        <f t="array" aca="1" ref="C148" ca="1">_FV(A148,"Shares outstanding",TRUE)</f>
        <v>226388600</v>
      </c>
      <c r="D148" s="4">
        <f t="shared" ca="1" si="4"/>
        <v>2998517007</v>
      </c>
      <c r="E148" s="2" cm="1" vm="494">
        <f t="array" aca="1" ref="E148" ca="1">_xlfn.STOCKHISTORY(A148,$F$6,$F$6,0,0,1)</f>
        <v>13.35</v>
      </c>
      <c r="F148" s="2">
        <f t="shared" ca="1" si="5"/>
        <v>3022287810</v>
      </c>
    </row>
    <row r="149" spans="1:6" x14ac:dyDescent="0.2">
      <c r="A149" t="e" vm="495">
        <v>#VALUE!</v>
      </c>
      <c r="B149" cm="1" vm="496">
        <f t="array" aca="1" ref="B149" ca="1">_xlfn.STOCKHISTORY(A149,$D$6,$D$6,0,0,1)</f>
        <v>112.53</v>
      </c>
      <c r="C149" s="4" cm="1">
        <f t="array" aca="1" ref="C149" ca="1">_FV(A149,"Shares outstanding",TRUE)</f>
        <v>247621200</v>
      </c>
      <c r="D149" s="4">
        <f t="shared" ca="1" si="4"/>
        <v>27864813636</v>
      </c>
      <c r="E149" s="2" cm="1" vm="497">
        <f t="array" aca="1" ref="E149" ca="1">_xlfn.STOCKHISTORY(A149,$F$6,$F$6,0,0,1)</f>
        <v>115.27</v>
      </c>
      <c r="F149" s="2">
        <f t="shared" ca="1" si="5"/>
        <v>28543295724</v>
      </c>
    </row>
    <row r="150" spans="1:6" x14ac:dyDescent="0.2">
      <c r="A150" t="e" vm="498">
        <v>#VALUE!</v>
      </c>
      <c r="B150" cm="1" vm="499">
        <f t="array" aca="1" ref="B150" ca="1">_xlfn.STOCKHISTORY(A150,$D$6,$D$6,0,0,1)</f>
        <v>45.3</v>
      </c>
      <c r="C150" s="4" cm="1">
        <f t="array" aca="1" ref="C150" ca="1">_FV(A150,"Shares outstanding",TRUE)</f>
        <v>408923900</v>
      </c>
      <c r="D150" s="4">
        <f t="shared" ca="1" si="4"/>
        <v>18524252670</v>
      </c>
      <c r="E150" s="2" cm="1" vm="500">
        <f t="array" aca="1" ref="E150" ca="1">_xlfn.STOCKHISTORY(A150,$F$6,$F$6,0,0,1)</f>
        <v>47.83</v>
      </c>
      <c r="F150" s="2">
        <f t="shared" ca="1" si="5"/>
        <v>19558830137</v>
      </c>
    </row>
    <row r="151" spans="1:6" x14ac:dyDescent="0.2">
      <c r="A151" t="e" vm="501">
        <v>#VALUE!</v>
      </c>
      <c r="B151" cm="1" vm="502">
        <f t="array" aca="1" ref="B151" ca="1">_xlfn.STOCKHISTORY(A151,$D$6,$D$6,0,0,1)</f>
        <v>228.92</v>
      </c>
      <c r="C151" s="4" cm="1">
        <f t="array" aca="1" ref="C151" ca="1">_FV(A151,"Shares outstanding",TRUE)</f>
        <v>228977200</v>
      </c>
      <c r="D151" s="4">
        <f t="shared" ca="1" si="4"/>
        <v>52417460624</v>
      </c>
      <c r="E151" s="2" cm="1" vm="503">
        <f t="array" aca="1" ref="E151" ca="1">_xlfn.STOCKHISTORY(A151,$F$6,$F$6,0,0,1)</f>
        <v>227.83</v>
      </c>
      <c r="F151" s="2">
        <f t="shared" ca="1" si="5"/>
        <v>52167875476</v>
      </c>
    </row>
    <row r="152" spans="1:6" x14ac:dyDescent="0.2">
      <c r="A152" t="e" vm="504">
        <v>#VALUE!</v>
      </c>
      <c r="B152" cm="1" vm="505">
        <f t="array" aca="1" ref="B152" ca="1">_xlfn.STOCKHISTORY(A152,$D$6,$D$6,0,0,1)</f>
        <v>192.49</v>
      </c>
      <c r="C152" s="4" cm="1">
        <f t="array" aca="1" ref="C152" ca="1">_FV(A152,"Shares outstanding",TRUE)</f>
        <v>137941900</v>
      </c>
      <c r="D152" s="4">
        <f t="shared" ca="1" si="4"/>
        <v>26552436331</v>
      </c>
      <c r="E152" s="2" cm="1" vm="506">
        <f t="array" aca="1" ref="E152" ca="1">_xlfn.STOCKHISTORY(A152,$F$6,$F$6,0,0,1)</f>
        <v>189.51</v>
      </c>
      <c r="F152" s="2">
        <f t="shared" ca="1" si="5"/>
        <v>26141369469</v>
      </c>
    </row>
    <row r="153" spans="1:6" x14ac:dyDescent="0.2">
      <c r="A153" t="e" vm="507">
        <v>#VALUE!</v>
      </c>
      <c r="B153" cm="1" vm="508">
        <f t="array" aca="1" ref="B153" ca="1">_xlfn.STOCKHISTORY(A153,$D$6,$D$6,0,0,1)</f>
        <v>119.69</v>
      </c>
      <c r="C153" s="4" cm="1">
        <f t="array" aca="1" ref="C153" ca="1">_FV(A153,"Shares outstanding",TRUE)</f>
        <v>198853200</v>
      </c>
      <c r="D153" s="4">
        <f t="shared" ca="1" si="4"/>
        <v>23800739508</v>
      </c>
      <c r="E153" s="2" cm="1" vm="509">
        <f t="array" aca="1" ref="E153" ca="1">_xlfn.STOCKHISTORY(A153,$F$6,$F$6,0,0,1)</f>
        <v>121.83</v>
      </c>
      <c r="F153" s="2">
        <f t="shared" ca="1" si="5"/>
        <v>24226285356</v>
      </c>
    </row>
    <row r="154" spans="1:6" x14ac:dyDescent="0.2">
      <c r="A154" t="e" vm="510">
        <v>#VALUE!</v>
      </c>
      <c r="B154" cm="1" vm="511">
        <f t="array" aca="1" ref="B154" ca="1">_xlfn.STOCKHISTORY(A154,$D$6,$D$6,0,0,1)</f>
        <v>132.13999999999999</v>
      </c>
      <c r="C154" s="4" cm="1">
        <f t="array" aca="1" ref="C154" ca="1">_FV(A154,"Shares outstanding",TRUE)</f>
        <v>282695800</v>
      </c>
      <c r="D154" s="4">
        <f t="shared" ca="1" si="4"/>
        <v>37355423011.999992</v>
      </c>
      <c r="E154" s="2" cm="1" vm="512">
        <f t="array" aca="1" ref="E154" ca="1">_xlfn.STOCKHISTORY(A154,$F$6,$F$6,0,0,1)</f>
        <v>132.97999999999999</v>
      </c>
      <c r="F154" s="2">
        <f t="shared" ca="1" si="5"/>
        <v>37592887484</v>
      </c>
    </row>
    <row r="155" spans="1:6" x14ac:dyDescent="0.2">
      <c r="A155" t="e" vm="513">
        <v>#VALUE!</v>
      </c>
      <c r="B155" cm="1" vm="514">
        <f t="array" aca="1" ref="B155" ca="1">_xlfn.STOCKHISTORY(A155,$D$6,$D$6,0,0,1)</f>
        <v>199</v>
      </c>
      <c r="C155" s="4" cm="1">
        <f t="array" aca="1" ref="C155" ca="1">_FV(A155,"Shares outstanding",TRUE)</f>
        <v>234144400</v>
      </c>
      <c r="D155" s="4">
        <f t="shared" ca="1" si="4"/>
        <v>46594735600</v>
      </c>
      <c r="E155" s="2" cm="1" vm="515">
        <f t="array" aca="1" ref="E155" ca="1">_xlfn.STOCKHISTORY(A155,$F$6,$F$6,0,0,1)</f>
        <v>199.5</v>
      </c>
      <c r="F155" s="2">
        <f t="shared" ca="1" si="5"/>
        <v>46711807800</v>
      </c>
    </row>
    <row r="156" spans="1:6" x14ac:dyDescent="0.2">
      <c r="A156" t="e" vm="516">
        <v>#VALUE!</v>
      </c>
      <c r="B156" cm="1" vm="517">
        <f t="array" aca="1" ref="B156" ca="1">_xlfn.STOCKHISTORY(A156,$D$6,$D$6,0,0,1)</f>
        <v>64.405000000000001</v>
      </c>
      <c r="C156" s="4" t="e" cm="1" vm="518">
        <f t="array" ref="C156">_FV(A156,"Shares outstanding",TRUE)</f>
        <v>#VALUE!</v>
      </c>
      <c r="D156" s="4" t="e" vm="91">
        <f t="shared" ca="1" si="4"/>
        <v>#VALUE!</v>
      </c>
      <c r="E156" s="2" cm="1" vm="519">
        <f t="array" aca="1" ref="E156" ca="1">_xlfn.STOCKHISTORY(A156,$F$6,$F$6,0,0,1)</f>
        <v>63.92</v>
      </c>
      <c r="F156" s="2" t="e" vm="91">
        <f t="shared" ca="1" si="5"/>
        <v>#VALUE!</v>
      </c>
    </row>
    <row r="157" spans="1:6" x14ac:dyDescent="0.2">
      <c r="A157" t="e" vm="520">
        <v>#VALUE!</v>
      </c>
      <c r="B157" cm="1" vm="521">
        <f t="array" aca="1" ref="B157" ca="1">_xlfn.STOCKHISTORY(A157,$D$6,$D$6,0,0,1)</f>
        <v>84.62</v>
      </c>
      <c r="C157" s="4" cm="1">
        <f t="array" aca="1" ref="C157" ca="1">_FV(A157,"Shares outstanding",TRUE)</f>
        <v>478930700</v>
      </c>
      <c r="D157" s="4">
        <f t="shared" ca="1" si="4"/>
        <v>40527115834</v>
      </c>
      <c r="E157" s="2" cm="1" vm="522">
        <f t="array" aca="1" ref="E157" ca="1">_xlfn.STOCKHISTORY(A157,$F$6,$F$6,0,0,1)</f>
        <v>84.65</v>
      </c>
      <c r="F157" s="2">
        <f t="shared" ca="1" si="5"/>
        <v>40541483755</v>
      </c>
    </row>
    <row r="158" spans="1:6" x14ac:dyDescent="0.2">
      <c r="A158" t="e" vm="523">
        <v>#VALUE!</v>
      </c>
      <c r="B158" cm="1" vm="524">
        <f t="array" aca="1" ref="B158" ca="1">_xlfn.STOCKHISTORY(A158,$D$6,$D$6,0,0,1)</f>
        <v>351.57</v>
      </c>
      <c r="C158" s="4" cm="1">
        <f t="array" aca="1" ref="C158" ca="1">_FV(A158,"Shares outstanding",TRUE)</f>
        <v>186776300</v>
      </c>
      <c r="D158" s="4">
        <f t="shared" ca="1" si="4"/>
        <v>65664943791</v>
      </c>
      <c r="E158" s="2" cm="1" vm="525">
        <f t="array" aca="1" ref="E158" ca="1">_xlfn.STOCKHISTORY(A158,$F$6,$F$6,0,0,1)</f>
        <v>339.07</v>
      </c>
      <c r="F158" s="2">
        <f t="shared" ca="1" si="5"/>
        <v>63330240041</v>
      </c>
    </row>
    <row r="159" spans="1:6" x14ac:dyDescent="0.2">
      <c r="A159" t="e" vm="526">
        <v>#VALUE!</v>
      </c>
      <c r="B159" cm="1" vm="527">
        <f t="array" aca="1" ref="B159" ca="1">_xlfn.STOCKHISTORY(A159,$D$6,$D$6,0,0,1)</f>
        <v>112.26</v>
      </c>
      <c r="C159" s="4" cm="1">
        <f t="array" aca="1" ref="C159" ca="1">_FV(A159,"Shares outstanding",TRUE)</f>
        <v>325531400</v>
      </c>
      <c r="D159" s="4">
        <f t="shared" ca="1" si="4"/>
        <v>36544154964</v>
      </c>
      <c r="E159" s="2" cm="1" vm="528">
        <f t="array" aca="1" ref="E159" ca="1">_xlfn.STOCKHISTORY(A159,$F$6,$F$6,0,0,1)</f>
        <v>113.33</v>
      </c>
      <c r="F159" s="2">
        <f t="shared" ca="1" si="5"/>
        <v>36892473562</v>
      </c>
    </row>
    <row r="160" spans="1:6" x14ac:dyDescent="0.2">
      <c r="A160" t="e" vm="529">
        <v>#VALUE!</v>
      </c>
      <c r="B160" cm="1" vm="530">
        <f t="array" aca="1" ref="B160" ca="1">_xlfn.STOCKHISTORY(A160,$D$6,$D$6,0,0,1)</f>
        <v>58</v>
      </c>
      <c r="C160" s="4" cm="1">
        <f t="array" aca="1" ref="C160" ca="1">_FV(A160,"Shares outstanding",TRUE)</f>
        <v>988236500</v>
      </c>
      <c r="D160" s="4">
        <f t="shared" ca="1" si="4"/>
        <v>57317717000</v>
      </c>
      <c r="E160" s="2" cm="1" vm="531">
        <f t="array" aca="1" ref="E160" ca="1">_xlfn.STOCKHISTORY(A160,$F$6,$F$6,0,0,1)</f>
        <v>59.17</v>
      </c>
      <c r="F160" s="2">
        <f t="shared" ca="1" si="5"/>
        <v>58473953705</v>
      </c>
    </row>
    <row r="161" spans="1:6" x14ac:dyDescent="0.2">
      <c r="A161" t="e" vm="532">
        <v>#VALUE!</v>
      </c>
      <c r="B161" cm="1" vm="533">
        <f t="array" aca="1" ref="B161" ca="1">_xlfn.STOCKHISTORY(A161,$D$6,$D$6,0,0,1)</f>
        <v>153.83000000000001</v>
      </c>
      <c r="C161" s="4" cm="1">
        <f t="array" aca="1" ref="C161" ca="1">_FV(A161,"Shares outstanding",TRUE)</f>
        <v>289703400</v>
      </c>
      <c r="D161" s="4">
        <f t="shared" ca="1" si="4"/>
        <v>44565074022</v>
      </c>
      <c r="E161" s="2" cm="1" vm="534">
        <f t="array" aca="1" ref="E161" ca="1">_xlfn.STOCKHISTORY(A161,$F$6,$F$6,0,0,1)</f>
        <v>158.22</v>
      </c>
      <c r="F161" s="2">
        <f t="shared" ca="1" si="5"/>
        <v>45836871948</v>
      </c>
    </row>
    <row r="162" spans="1:6" x14ac:dyDescent="0.2">
      <c r="A162" t="e" vm="535">
        <v>#VALUE!</v>
      </c>
      <c r="B162" cm="1" vm="536">
        <f t="array" aca="1" ref="B162" ca="1">_xlfn.STOCKHISTORY(A162,$D$6,$D$6,0,0,1)</f>
        <v>96.82</v>
      </c>
      <c r="C162" s="4" cm="1">
        <f t="array" aca="1" ref="C162" ca="1">_FV(A162,"Shares outstanding",TRUE)</f>
        <v>355803300</v>
      </c>
      <c r="D162" s="4">
        <f t="shared" ca="1" si="4"/>
        <v>34448875506</v>
      </c>
      <c r="E162" s="2" cm="1" vm="537">
        <f t="array" aca="1" ref="E162" ca="1">_xlfn.STOCKHISTORY(A162,$F$6,$F$6,0,0,1)</f>
        <v>100.13</v>
      </c>
      <c r="F162" s="2">
        <f t="shared" ca="1" si="5"/>
        <v>35626584429</v>
      </c>
    </row>
    <row r="163" spans="1:6" x14ac:dyDescent="0.2">
      <c r="A163" t="e" vm="538">
        <v>#VALUE!</v>
      </c>
      <c r="B163" cm="1" vm="539">
        <f t="array" aca="1" ref="B163" ca="1">_xlfn.STOCKHISTORY(A163,$D$6,$D$6,0,0,1)</f>
        <v>53.47</v>
      </c>
      <c r="C163" s="4" cm="1">
        <f t="array" aca="1" ref="C163" ca="1">_FV(A163,"Shares outstanding",TRUE)</f>
        <v>526351300</v>
      </c>
      <c r="D163" s="4">
        <f t="shared" ca="1" si="4"/>
        <v>28144004011</v>
      </c>
      <c r="E163" s="2" cm="1" vm="540">
        <f t="array" aca="1" ref="E163" ca="1">_xlfn.STOCKHISTORY(A163,$F$6,$F$6,0,0,1)</f>
        <v>55.28</v>
      </c>
      <c r="F163" s="2">
        <f t="shared" ca="1" si="5"/>
        <v>29096699864</v>
      </c>
    </row>
    <row r="164" spans="1:6" x14ac:dyDescent="0.2">
      <c r="A164" t="e" vm="541">
        <v>#VALUE!</v>
      </c>
      <c r="B164" cm="1" vm="542">
        <f t="array" aca="1" ref="B164" ca="1">_xlfn.STOCKHISTORY(A164,$D$6,$D$6,0,0,1)</f>
        <v>326.29000000000002</v>
      </c>
      <c r="C164" s="4" cm="1">
        <f t="array" aca="1" ref="C164" ca="1">_FV(A164,"Shares outstanding",TRUE)</f>
        <v>270528300</v>
      </c>
      <c r="D164" s="4">
        <f t="shared" ca="1" si="4"/>
        <v>88270679007</v>
      </c>
      <c r="E164" s="2" cm="1" vm="543">
        <f t="array" aca="1" ref="E164" ca="1">_xlfn.STOCKHISTORY(A164,$F$6,$F$6,0,0,1)</f>
        <v>328.65</v>
      </c>
      <c r="F164" s="2">
        <f t="shared" ca="1" si="5"/>
        <v>88909125795</v>
      </c>
    </row>
    <row r="165" spans="1:6" x14ac:dyDescent="0.2">
      <c r="A165" t="e" vm="544">
        <v>#VALUE!</v>
      </c>
      <c r="B165" cm="1" vm="545">
        <f t="array" aca="1" ref="B165" ca="1">_xlfn.STOCKHISTORY(A165,$D$6,$D$6,0,0,1)</f>
        <v>92.38</v>
      </c>
      <c r="C165" s="4" cm="1">
        <f t="array" aca="1" ref="C165" ca="1">_FV(A165,"Shares outstanding",TRUE)</f>
        <v>448000000</v>
      </c>
      <c r="D165" s="4">
        <f t="shared" ca="1" si="4"/>
        <v>41386240000</v>
      </c>
      <c r="E165" s="2" cm="1" vm="546">
        <f t="array" aca="1" ref="E165" ca="1">_xlfn.STOCKHISTORY(A165,$F$6,$F$6,0,0,1)</f>
        <v>85.84</v>
      </c>
      <c r="F165" s="2">
        <f t="shared" ca="1" si="5"/>
        <v>38456320000</v>
      </c>
    </row>
    <row r="166" spans="1:6" x14ac:dyDescent="0.2">
      <c r="A166" t="e" vm="547">
        <v>#VALUE!</v>
      </c>
      <c r="B166" cm="1" vm="548">
        <f t="array" aca="1" ref="B166" ca="1">_xlfn.STOCKHISTORY(A166,$D$6,$D$6,0,0,1)</f>
        <v>125.89</v>
      </c>
      <c r="C166" s="4" cm="1">
        <f t="array" aca="1" ref="C166" ca="1">_FV(A166,"Shares outstanding",TRUE)</f>
        <v>195208700</v>
      </c>
      <c r="D166" s="4">
        <f t="shared" ca="1" si="4"/>
        <v>24574823243</v>
      </c>
      <c r="E166" s="2" cm="1" vm="549">
        <f t="array" aca="1" ref="E166" ca="1">_xlfn.STOCKHISTORY(A166,$F$6,$F$6,0,0,1)</f>
        <v>124.3</v>
      </c>
      <c r="F166" s="2">
        <f t="shared" ca="1" si="5"/>
        <v>24264441410</v>
      </c>
    </row>
    <row r="167" spans="1:6" x14ac:dyDescent="0.2">
      <c r="A167" t="e" vm="550">
        <v>#VALUE!</v>
      </c>
      <c r="B167" cm="1" vm="551">
        <f t="array" aca="1" ref="B167" ca="1">_xlfn.STOCKHISTORY(A167,$D$6,$D$6,0,0,1)</f>
        <v>68.540000000000006</v>
      </c>
      <c r="C167" s="4" cm="1">
        <f t="array" aca="1" ref="C167" ca="1">_FV(A167,"Shares outstanding",TRUE)</f>
        <v>375496600</v>
      </c>
      <c r="D167" s="4">
        <f t="shared" ca="1" si="4"/>
        <v>25736536964.000004</v>
      </c>
      <c r="E167" s="2" cm="1" vm="552">
        <f t="array" aca="1" ref="E167" ca="1">_xlfn.STOCKHISTORY(A167,$F$6,$F$6,0,0,1)</f>
        <v>68.239999999999995</v>
      </c>
      <c r="F167" s="2">
        <f t="shared" ca="1" si="5"/>
        <v>25623887983.999996</v>
      </c>
    </row>
    <row r="168" spans="1:6" x14ac:dyDescent="0.2">
      <c r="A168" t="e" vm="553">
        <v>#VALUE!</v>
      </c>
      <c r="B168" cm="1" vm="554">
        <f t="array" aca="1" ref="B168" ca="1">_xlfn.STOCKHISTORY(A168,$D$6,$D$6,0,0,1)</f>
        <v>175.05</v>
      </c>
      <c r="C168" s="4" cm="1">
        <f t="array" aca="1" ref="C168" ca="1">_FV(A168,"Shares outstanding",TRUE)</f>
        <v>120270000</v>
      </c>
      <c r="D168" s="4">
        <f t="shared" ca="1" si="4"/>
        <v>21053263500</v>
      </c>
      <c r="E168" s="2" cm="1" vm="555">
        <f t="array" aca="1" ref="E168" ca="1">_xlfn.STOCKHISTORY(A168,$F$6,$F$6,0,0,1)</f>
        <v>181.04</v>
      </c>
      <c r="F168" s="2">
        <f t="shared" ca="1" si="5"/>
        <v>21773680800</v>
      </c>
    </row>
    <row r="169" spans="1:6" x14ac:dyDescent="0.2">
      <c r="A169" t="e" vm="556">
        <v>#VALUE!</v>
      </c>
      <c r="B169" cm="1" vm="557">
        <f t="array" aca="1" ref="B169" ca="1">_xlfn.STOCKHISTORY(A169,$D$6,$D$6,0,0,1)</f>
        <v>138.44</v>
      </c>
      <c r="C169" s="4" cm="1">
        <f t="array" aca="1" ref="C169" ca="1">_FV(A169,"Shares outstanding",TRUE)</f>
        <v>275863200</v>
      </c>
      <c r="D169" s="4">
        <f t="shared" ca="1" si="4"/>
        <v>38190501408</v>
      </c>
      <c r="E169" s="2" cm="1" vm="558">
        <f t="array" aca="1" ref="E169" ca="1">_xlfn.STOCKHISTORY(A169,$F$6,$F$6,0,0,1)</f>
        <v>140.86000000000001</v>
      </c>
      <c r="F169" s="2">
        <f t="shared" ca="1" si="5"/>
        <v>38858090352</v>
      </c>
    </row>
    <row r="170" spans="1:6" x14ac:dyDescent="0.2">
      <c r="A170" t="e" vm="559">
        <v>#VALUE!</v>
      </c>
      <c r="B170" cm="1" vm="560">
        <f t="array" aca="1" ref="B170" ca="1">_xlfn.STOCKHISTORY(A170,$D$6,$D$6,0,0,1)</f>
        <v>227.16</v>
      </c>
      <c r="C170" s="4" cm="1">
        <f t="array" aca="1" ref="C170" ca="1">_FV(A170,"Shares outstanding",TRUE)</f>
        <v>171517800</v>
      </c>
      <c r="D170" s="4">
        <f t="shared" ca="1" si="4"/>
        <v>38961983448</v>
      </c>
      <c r="E170" s="2" cm="1" vm="561">
        <f t="array" aca="1" ref="E170" ca="1">_xlfn.STOCKHISTORY(A170,$F$6,$F$6,0,0,1)</f>
        <v>221.6</v>
      </c>
      <c r="F170" s="2">
        <f t="shared" ca="1" si="5"/>
        <v>38008344480</v>
      </c>
    </row>
    <row r="171" spans="1:6" x14ac:dyDescent="0.2">
      <c r="A171" t="e" vm="562">
        <v>#VALUE!</v>
      </c>
      <c r="B171" cm="1" vm="563">
        <f t="array" aca="1" ref="B171" ca="1">_xlfn.STOCKHISTORY(A171,$D$6,$D$6,0,0,1)</f>
        <v>218</v>
      </c>
      <c r="C171" s="4" cm="1">
        <f t="array" aca="1" ref="C171" ca="1">_FV(A171,"Shares outstanding",TRUE)</f>
        <v>235316000</v>
      </c>
      <c r="D171" s="4">
        <f t="shared" ca="1" si="4"/>
        <v>51298888000</v>
      </c>
      <c r="E171" s="2" cm="1" vm="564">
        <f t="array" aca="1" ref="E171" ca="1">_xlfn.STOCKHISTORY(A171,$F$6,$F$6,0,0,1)</f>
        <v>206.85</v>
      </c>
      <c r="F171" s="2">
        <f t="shared" ca="1" si="5"/>
        <v>48675114600</v>
      </c>
    </row>
    <row r="172" spans="1:6" x14ac:dyDescent="0.2">
      <c r="A172" t="e" vm="565">
        <v>#VALUE!</v>
      </c>
      <c r="B172" cm="1" vm="566">
        <f t="array" aca="1" ref="B172" ca="1">_xlfn.STOCKHISTORY(A172,$D$6,$D$6,0,0,1)</f>
        <v>33.869999999999997</v>
      </c>
      <c r="C172" s="4" cm="1">
        <f t="array" aca="1" ref="C172" ca="1">_FV(A172,"Shares outstanding",TRUE)</f>
        <v>837548300</v>
      </c>
      <c r="D172" s="4">
        <f t="shared" ca="1" si="4"/>
        <v>28367760920.999996</v>
      </c>
      <c r="E172" s="2" cm="1" vm="567">
        <f t="array" aca="1" ref="E172" ca="1">_xlfn.STOCKHISTORY(A172,$F$6,$F$6,0,0,1)</f>
        <v>34.340000000000003</v>
      </c>
      <c r="F172" s="2">
        <f t="shared" ca="1" si="5"/>
        <v>28761408622.000004</v>
      </c>
    </row>
    <row r="173" spans="1:6" x14ac:dyDescent="0.2">
      <c r="A173" t="e" vm="568">
        <v>#VALUE!</v>
      </c>
      <c r="B173" cm="1" vm="569">
        <f t="array" aca="1" ref="B173" ca="1">_xlfn.STOCKHISTORY(A173,$D$6,$D$6,0,0,1)</f>
        <v>86.18</v>
      </c>
      <c r="C173" s="4" cm="1">
        <f t="array" aca="1" ref="C173" ca="1">_FV(A173,"Shares outstanding",TRUE)</f>
        <v>195652000</v>
      </c>
      <c r="D173" s="4">
        <f t="shared" ca="1" si="4"/>
        <v>16861289360.000002</v>
      </c>
      <c r="E173" s="2" cm="1" vm="570">
        <f t="array" aca="1" ref="E173" ca="1">_xlfn.STOCKHISTORY(A173,$F$6,$F$6,0,0,1)</f>
        <v>88.09</v>
      </c>
      <c r="F173" s="2">
        <f t="shared" ca="1" si="5"/>
        <v>17234984680</v>
      </c>
    </row>
    <row r="174" spans="1:6" x14ac:dyDescent="0.2">
      <c r="A174" t="e" vm="571">
        <v>#VALUE!</v>
      </c>
      <c r="B174" cm="1" vm="572">
        <f t="array" aca="1" ref="B174" ca="1">_xlfn.STOCKHISTORY(A174,$D$6,$D$6,0,0,1)</f>
        <v>228.12</v>
      </c>
      <c r="C174" s="4" cm="1">
        <f t="array" aca="1" ref="C174" ca="1">_FV(A174,"Shares outstanding",TRUE)</f>
        <v>149000200</v>
      </c>
      <c r="D174" s="4">
        <f t="shared" ca="1" si="4"/>
        <v>33989925624</v>
      </c>
      <c r="E174" s="2" cm="1" vm="573">
        <f t="array" aca="1" ref="E174" ca="1">_xlfn.STOCKHISTORY(A174,$F$6,$F$6,0,0,1)</f>
        <v>232.26</v>
      </c>
      <c r="F174" s="2">
        <f t="shared" ca="1" si="5"/>
        <v>34606786452</v>
      </c>
    </row>
    <row r="175" spans="1:6" x14ac:dyDescent="0.2">
      <c r="A175" t="e" vm="574">
        <v>#VALUE!</v>
      </c>
      <c r="B175" cm="1" vm="575">
        <f t="array" aca="1" ref="B175" ca="1">_xlfn.STOCKHISTORY(A175,$D$6,$D$6,0,0,1)</f>
        <v>126.85</v>
      </c>
      <c r="C175" s="4" cm="1">
        <f t="array" aca="1" ref="C175" ca="1">_FV(A175,"Shares outstanding",TRUE)</f>
        <v>578247300</v>
      </c>
      <c r="D175" s="4">
        <f t="shared" ca="1" si="4"/>
        <v>73350670005</v>
      </c>
      <c r="E175" s="2" cm="1" vm="576">
        <f t="array" aca="1" ref="E175" ca="1">_xlfn.STOCKHISTORY(A175,$F$6,$F$6,0,0,1)</f>
        <v>132.80000000000001</v>
      </c>
      <c r="F175" s="2">
        <f t="shared" ca="1" si="5"/>
        <v>76791241440</v>
      </c>
    </row>
    <row r="176" spans="1:6" x14ac:dyDescent="0.2">
      <c r="A176" t="e" vm="577">
        <v>#VALUE!</v>
      </c>
      <c r="B176" cm="1" vm="578">
        <f t="array" aca="1" ref="B176" ca="1">_xlfn.STOCKHISTORY(A176,$D$6,$D$6,0,0,1)</f>
        <v>70.44</v>
      </c>
      <c r="C176" s="4" cm="1">
        <f t="array" aca="1" ref="C176" ca="1">_FV(A176,"Shares outstanding",TRUE)</f>
        <v>653130700</v>
      </c>
      <c r="D176" s="4">
        <f t="shared" ca="1" si="4"/>
        <v>46006526508</v>
      </c>
      <c r="E176" s="2" cm="1" vm="579">
        <f t="array" aca="1" ref="E176" ca="1">_xlfn.STOCKHISTORY(A176,$F$6,$F$6,0,0,1)</f>
        <v>70.86</v>
      </c>
      <c r="F176" s="2">
        <f t="shared" ca="1" si="5"/>
        <v>46280841402</v>
      </c>
    </row>
    <row r="177" spans="1:6" x14ac:dyDescent="0.2">
      <c r="A177" t="e" vm="580">
        <v>#VALUE!</v>
      </c>
      <c r="B177" cm="1" vm="581">
        <f t="array" aca="1" ref="B177" ca="1">_xlfn.STOCKHISTORY(A177,$D$6,$D$6,0,0,1)</f>
        <v>52.75</v>
      </c>
      <c r="C177" s="4" cm="1">
        <f t="array" aca="1" ref="C177" ca="1">_FV(A177,"Shares outstanding",TRUE)</f>
        <v>901819000</v>
      </c>
      <c r="D177" s="4">
        <f t="shared" ca="1" si="4"/>
        <v>47570952250</v>
      </c>
      <c r="E177" s="2" cm="1" vm="582">
        <f t="array" aca="1" ref="E177" ca="1">_xlfn.STOCKHISTORY(A177,$F$6,$F$6,0,0,1)</f>
        <v>54.09</v>
      </c>
      <c r="F177" s="2">
        <f t="shared" ca="1" si="5"/>
        <v>48779389710</v>
      </c>
    </row>
    <row r="178" spans="1:6" x14ac:dyDescent="0.2">
      <c r="A178" t="e" vm="583">
        <v>#VALUE!</v>
      </c>
      <c r="B178" cm="1" vm="584">
        <f t="array" aca="1" ref="B178" ca="1">_xlfn.STOCKHISTORY(A178,$D$6,$D$6,0,0,1)</f>
        <v>29.83</v>
      </c>
      <c r="C178" s="4" cm="1">
        <f t="array" aca="1" ref="C178" ca="1">_FV(A178,"Shares outstanding",TRUE)</f>
        <v>863506700</v>
      </c>
      <c r="D178" s="4">
        <f t="shared" ca="1" si="4"/>
        <v>25758404861</v>
      </c>
      <c r="E178" s="2" cm="1" vm="585">
        <f t="array" aca="1" ref="E178" ca="1">_xlfn.STOCKHISTORY(A178,$F$6,$F$6,0,0,1)</f>
        <v>30.44</v>
      </c>
      <c r="F178" s="2">
        <f t="shared" ca="1" si="5"/>
        <v>26285143948</v>
      </c>
    </row>
    <row r="179" spans="1:6" x14ac:dyDescent="0.2">
      <c r="A179" t="e" vm="586">
        <v>#VALUE!</v>
      </c>
      <c r="B179" cm="1" vm="587">
        <f t="array" aca="1" ref="B179" ca="1">_xlfn.STOCKHISTORY(A179,$D$6,$D$6,0,0,1)</f>
        <v>335.1</v>
      </c>
      <c r="C179" s="4" cm="1">
        <f t="array" aca="1" ref="C179" ca="1">_FV(A179,"Shares outstanding",TRUE)</f>
        <v>94545900</v>
      </c>
      <c r="D179" s="4">
        <f t="shared" ca="1" si="4"/>
        <v>31682331090.000004</v>
      </c>
      <c r="E179" s="2" cm="1" vm="588">
        <f t="array" aca="1" ref="E179" ca="1">_xlfn.STOCKHISTORY(A179,$F$6,$F$6,0,0,1)</f>
        <v>339.74</v>
      </c>
      <c r="F179" s="2">
        <f t="shared" ca="1" si="5"/>
        <v>32121024066</v>
      </c>
    </row>
    <row r="180" spans="1:6" x14ac:dyDescent="0.2">
      <c r="A180" t="e" vm="589">
        <v>#VALUE!</v>
      </c>
      <c r="B180" cm="1" vm="590">
        <f t="array" aca="1" ref="B180" ca="1">_xlfn.STOCKHISTORY(A180,$D$6,$D$6,0,0,1)</f>
        <v>130.09</v>
      </c>
      <c r="C180" s="4" cm="1">
        <f t="array" aca="1" ref="C180" ca="1">_FV(A180,"Shares outstanding",TRUE)</f>
        <v>278728200</v>
      </c>
      <c r="D180" s="4">
        <f t="shared" ca="1" si="4"/>
        <v>36259751538</v>
      </c>
      <c r="E180" s="2" cm="1" vm="591">
        <f t="array" aca="1" ref="E180" ca="1">_xlfn.STOCKHISTORY(A180,$F$6,$F$6,0,0,1)</f>
        <v>132.03</v>
      </c>
      <c r="F180" s="2">
        <f t="shared" ca="1" si="5"/>
        <v>36800484246</v>
      </c>
    </row>
    <row r="181" spans="1:6" x14ac:dyDescent="0.2">
      <c r="A181" t="e" vm="592">
        <v>#VALUE!</v>
      </c>
      <c r="B181" cm="1" vm="593">
        <f t="array" aca="1" ref="B181" ca="1">_xlfn.STOCKHISTORY(A181,$D$6,$D$6,0,0,1)</f>
        <v>311.01</v>
      </c>
      <c r="C181" s="4" cm="1">
        <f t="array" aca="1" ref="C181" ca="1">_FV(A181,"Shares outstanding",TRUE)</f>
        <v>130580400</v>
      </c>
      <c r="D181" s="4">
        <f t="shared" ca="1" si="4"/>
        <v>40611810204</v>
      </c>
      <c r="E181" s="2" cm="1" vm="594">
        <f t="array" aca="1" ref="E181" ca="1">_xlfn.STOCKHISTORY(A181,$F$6,$F$6,0,0,1)</f>
        <v>311.49</v>
      </c>
      <c r="F181" s="2">
        <f t="shared" ca="1" si="5"/>
        <v>40674488796</v>
      </c>
    </row>
    <row r="182" spans="1:6" x14ac:dyDescent="0.2">
      <c r="A182" t="e" vm="595">
        <v>#VALUE!</v>
      </c>
      <c r="B182" cm="1" vm="596">
        <f t="array" aca="1" ref="B182" ca="1">_xlfn.STOCKHISTORY(A182,$D$6,$D$6,0,0,1)</f>
        <v>119.52</v>
      </c>
      <c r="C182" s="4" cm="1">
        <f t="array" aca="1" ref="C182" ca="1">_FV(A182,"Shares outstanding",TRUE)</f>
        <v>223494700</v>
      </c>
      <c r="D182" s="4">
        <f t="shared" ca="1" si="4"/>
        <v>26712086544</v>
      </c>
      <c r="E182" s="2" cm="1" vm="597">
        <f t="array" aca="1" ref="E182" ca="1">_xlfn.STOCKHISTORY(A182,$F$6,$F$6,0,0,1)</f>
        <v>125.95</v>
      </c>
      <c r="F182" s="2">
        <f t="shared" ca="1" si="5"/>
        <v>28149157465</v>
      </c>
    </row>
    <row r="183" spans="1:6" x14ac:dyDescent="0.2">
      <c r="A183" t="e" vm="598">
        <v>#VALUE!</v>
      </c>
      <c r="B183" cm="1" vm="599">
        <f t="array" aca="1" ref="B183" ca="1">_xlfn.STOCKHISTORY(A183,$D$6,$D$6,0,0,1)</f>
        <v>61.48</v>
      </c>
      <c r="C183" s="4" cm="1">
        <f t="array" aca="1" ref="C183" ca="1">_FV(A183,"Shares outstanding",TRUE)</f>
        <v>384790900</v>
      </c>
      <c r="D183" s="4">
        <f t="shared" ca="1" si="4"/>
        <v>23656944532</v>
      </c>
      <c r="E183" s="2" cm="1" vm="600">
        <f t="array" aca="1" ref="E183" ca="1">_xlfn.STOCKHISTORY(A183,$F$6,$F$6,0,0,1)</f>
        <v>63.46</v>
      </c>
      <c r="F183" s="2">
        <f t="shared" ca="1" si="5"/>
        <v>24418830514</v>
      </c>
    </row>
    <row r="184" spans="1:6" x14ac:dyDescent="0.2">
      <c r="A184" t="e" vm="601">
        <v>#VALUE!</v>
      </c>
      <c r="B184" cm="1" vm="602">
        <f t="array" aca="1" ref="B184" ca="1">_xlfn.STOCKHISTORY(A184,$D$6,$D$6,0,0,1)</f>
        <v>88.61</v>
      </c>
      <c r="C184" s="4" cm="1">
        <f t="array" aca="1" ref="C184" ca="1">_FV(A184,"Shares outstanding",TRUE)</f>
        <v>295835200</v>
      </c>
      <c r="D184" s="4">
        <f t="shared" ca="1" si="4"/>
        <v>26213957072</v>
      </c>
      <c r="E184" s="2" cm="1" vm="603">
        <f t="array" aca="1" ref="E184" ca="1">_xlfn.STOCKHISTORY(A184,$F$6,$F$6,0,0,1)</f>
        <v>90.07</v>
      </c>
      <c r="F184" s="2">
        <f t="shared" ca="1" si="5"/>
        <v>26645876463.999996</v>
      </c>
    </row>
    <row r="185" spans="1:6" x14ac:dyDescent="0.2">
      <c r="A185" t="e" vm="604">
        <v>#VALUE!</v>
      </c>
      <c r="B185" cm="1" vm="605">
        <f t="array" aca="1" ref="B185" ca="1">_xlfn.STOCKHISTORY(A185,$D$6,$D$6,0,0,1)</f>
        <v>46.89</v>
      </c>
      <c r="C185" s="4" cm="1">
        <f t="array" aca="1" ref="C185" ca="1">_FV(A185,"Shares outstanding",TRUE)</f>
        <v>577932900</v>
      </c>
      <c r="D185" s="4">
        <f t="shared" ca="1" si="4"/>
        <v>27099273681</v>
      </c>
      <c r="E185" s="2" cm="1" vm="606">
        <f t="array" aca="1" ref="E185" ca="1">_xlfn.STOCKHISTORY(A185,$F$6,$F$6,0,0,1)</f>
        <v>46.4</v>
      </c>
      <c r="F185" s="2">
        <f t="shared" ca="1" si="5"/>
        <v>26816086560</v>
      </c>
    </row>
    <row r="186" spans="1:6" x14ac:dyDescent="0.2">
      <c r="A186" t="e" vm="607">
        <v>#VALUE!</v>
      </c>
      <c r="B186" cm="1" vm="608">
        <f t="array" aca="1" ref="B186" ca="1">_xlfn.STOCKHISTORY(A186,$D$6,$D$6,0,0,1)</f>
        <v>185.95</v>
      </c>
      <c r="C186" s="4" cm="1">
        <f t="array" aca="1" ref="C186" ca="1">_FV(A186,"Shares outstanding",TRUE)</f>
        <v>116748700</v>
      </c>
      <c r="D186" s="4">
        <f t="shared" ca="1" si="4"/>
        <v>21709420765</v>
      </c>
      <c r="E186" s="2" cm="1" vm="609">
        <f t="array" aca="1" ref="E186" ca="1">_xlfn.STOCKHISTORY(A186,$F$6,$F$6,0,0,1)</f>
        <v>190.12</v>
      </c>
      <c r="F186" s="2">
        <f t="shared" ca="1" si="5"/>
        <v>22196262844</v>
      </c>
    </row>
    <row r="187" spans="1:6" x14ac:dyDescent="0.2">
      <c r="A187" t="e" vm="610">
        <v>#VALUE!</v>
      </c>
      <c r="B187" cm="1" vm="611">
        <f t="array" aca="1" ref="B187" ca="1">_xlfn.STOCKHISTORY(A187,$D$6,$D$6,0,0,1)</f>
        <v>67.209999999999994</v>
      </c>
      <c r="C187" s="4" cm="1">
        <f t="array" aca="1" ref="C187" ca="1">_FV(A187,"Shares outstanding",TRUE)</f>
        <v>279901300</v>
      </c>
      <c r="D187" s="4">
        <f t="shared" ca="1" si="4"/>
        <v>18812166373</v>
      </c>
      <c r="E187" s="2" cm="1" vm="612">
        <f t="array" aca="1" ref="E187" ca="1">_xlfn.STOCKHISTORY(A187,$F$6,$F$6,0,0,1)</f>
        <v>70.8</v>
      </c>
      <c r="F187" s="2">
        <f t="shared" ca="1" si="5"/>
        <v>19817012040</v>
      </c>
    </row>
    <row r="188" spans="1:6" x14ac:dyDescent="0.2">
      <c r="A188" t="e" vm="613">
        <v>#VALUE!</v>
      </c>
      <c r="B188" cm="1" vm="614">
        <f t="array" aca="1" ref="B188" ca="1">_xlfn.STOCKHISTORY(A188,$D$6,$D$6,0,0,1)</f>
        <v>102.66</v>
      </c>
      <c r="C188" s="4" cm="1">
        <f t="array" aca="1" ref="C188" ca="1">_FV(A188,"Shares outstanding",TRUE)</f>
        <v>218072900</v>
      </c>
      <c r="D188" s="4">
        <f t="shared" ca="1" si="4"/>
        <v>22387363914</v>
      </c>
      <c r="E188" s="2" cm="1" vm="615">
        <f t="array" aca="1" ref="E188" ca="1">_xlfn.STOCKHISTORY(A188,$F$6,$F$6,0,0,1)</f>
        <v>97.02</v>
      </c>
      <c r="F188" s="2">
        <f t="shared" ca="1" si="5"/>
        <v>21157432758</v>
      </c>
    </row>
    <row r="189" spans="1:6" x14ac:dyDescent="0.2">
      <c r="A189" t="e" vm="616">
        <v>#VALUE!</v>
      </c>
      <c r="B189" cm="1" vm="617">
        <f t="array" aca="1" ref="B189" ca="1">_xlfn.STOCKHISTORY(A189,$D$6,$D$6,0,0,1)</f>
        <v>211.66</v>
      </c>
      <c r="C189" s="4" cm="1">
        <f t="array" aca="1" ref="C189" ca="1">_FV(A189,"Shares outstanding",TRUE)</f>
        <v>134866600</v>
      </c>
      <c r="D189" s="4">
        <f t="shared" ca="1" si="4"/>
        <v>28545864556</v>
      </c>
      <c r="E189" s="2" cm="1" vm="618">
        <f t="array" aca="1" ref="E189" ca="1">_xlfn.STOCKHISTORY(A189,$F$6,$F$6,0,0,1)</f>
        <v>220.02</v>
      </c>
      <c r="F189" s="2">
        <f t="shared" ca="1" si="5"/>
        <v>29673349332</v>
      </c>
    </row>
    <row r="190" spans="1:6" x14ac:dyDescent="0.2">
      <c r="A190" t="e" vm="619">
        <v>#VALUE!</v>
      </c>
      <c r="B190" cm="1" vm="620">
        <f t="array" aca="1" ref="B190" ca="1">_xlfn.STOCKHISTORY(A190,$D$6,$D$6,0,0,1)</f>
        <v>163.35</v>
      </c>
      <c r="C190" s="4" cm="1">
        <f t="array" aca="1" ref="C190" ca="1">_FV(A190,"Shares outstanding",TRUE)</f>
        <v>295158500</v>
      </c>
      <c r="D190" s="4">
        <f t="shared" ca="1" si="4"/>
        <v>48214140975</v>
      </c>
      <c r="E190" s="2" cm="1" vm="621">
        <f t="array" aca="1" ref="E190" ca="1">_xlfn.STOCKHISTORY(A190,$F$6,$F$6,0,0,1)</f>
        <v>165.89</v>
      </c>
      <c r="F190" s="2">
        <f t="shared" ca="1" si="5"/>
        <v>48963843564.999992</v>
      </c>
    </row>
    <row r="191" spans="1:6" x14ac:dyDescent="0.2">
      <c r="A191" t="e" vm="622">
        <v>#VALUE!</v>
      </c>
      <c r="B191" cm="1" vm="623">
        <f t="array" aca="1" ref="B191" ca="1">_xlfn.STOCKHISTORY(A191,$D$6,$D$6,0,0,1)</f>
        <v>98.77</v>
      </c>
      <c r="C191" s="4" cm="1">
        <f t="array" aca="1" ref="C191" ca="1">_FV(A191,"Shares outstanding",TRUE)</f>
        <v>236694200</v>
      </c>
      <c r="D191" s="4">
        <f t="shared" ca="1" si="4"/>
        <v>23378286134</v>
      </c>
      <c r="E191" s="2" cm="1" vm="624">
        <f t="array" aca="1" ref="E191" ca="1">_xlfn.STOCKHISTORY(A191,$F$6,$F$6,0,0,1)</f>
        <v>100.59</v>
      </c>
      <c r="F191" s="2">
        <f t="shared" ca="1" si="5"/>
        <v>23809069578</v>
      </c>
    </row>
    <row r="192" spans="1:6" x14ac:dyDescent="0.2">
      <c r="A192" t="e" vm="625">
        <v>#VALUE!</v>
      </c>
      <c r="B192" cm="1" vm="626">
        <f t="array" aca="1" ref="B192" ca="1">_xlfn.STOCKHISTORY(A192,$D$6,$D$6,0,0,1)</f>
        <v>61.77</v>
      </c>
      <c r="C192" s="4" cm="1">
        <f t="array" aca="1" ref="C192" ca="1">_FV(A192,"Shares outstanding",TRUE)</f>
        <v>266077200</v>
      </c>
      <c r="D192" s="4">
        <f t="shared" ca="1" si="4"/>
        <v>16435588644</v>
      </c>
      <c r="E192" s="2" cm="1" vm="627">
        <f t="array" aca="1" ref="E192" ca="1">_xlfn.STOCKHISTORY(A192,$F$6,$F$6,0,0,1)</f>
        <v>64.81</v>
      </c>
      <c r="F192" s="2">
        <f t="shared" ca="1" si="5"/>
        <v>17244463332</v>
      </c>
    </row>
    <row r="193" spans="1:6" x14ac:dyDescent="0.2">
      <c r="A193" t="e" vm="628">
        <v>#VALUE!</v>
      </c>
      <c r="B193" cm="1" vm="629">
        <f t="array" aca="1" ref="B193" ca="1">_xlfn.STOCKHISTORY(A193,$D$6,$D$6,0,0,1)</f>
        <v>138.57</v>
      </c>
      <c r="C193" s="4" cm="1">
        <f t="array" aca="1" ref="C193" ca="1">_FV(A193,"Shares outstanding",TRUE)</f>
        <v>243141400</v>
      </c>
      <c r="D193" s="4">
        <f t="shared" ca="1" si="4"/>
        <v>33692103798</v>
      </c>
      <c r="E193" s="2" cm="1" vm="630">
        <f t="array" aca="1" ref="E193" ca="1">_xlfn.STOCKHISTORY(A193,$F$6,$F$6,0,0,1)</f>
        <v>139.74</v>
      </c>
      <c r="F193" s="2">
        <f t="shared" ca="1" si="5"/>
        <v>33976579236.000004</v>
      </c>
    </row>
    <row r="194" spans="1:6" x14ac:dyDescent="0.2">
      <c r="A194" t="e" vm="631">
        <v>#VALUE!</v>
      </c>
      <c r="B194" cm="1" vm="632">
        <f t="array" aca="1" ref="B194" ca="1">_xlfn.STOCKHISTORY(A194,$D$6,$D$6,0,0,1)</f>
        <v>95.49</v>
      </c>
      <c r="C194" s="4" cm="1">
        <f t="array" aca="1" ref="C194" ca="1">_FV(A194,"Shares outstanding",TRUE)</f>
        <v>197330400</v>
      </c>
      <c r="D194" s="4">
        <f t="shared" ca="1" si="4"/>
        <v>18843079896</v>
      </c>
      <c r="E194" s="2" cm="1" vm="633">
        <f t="array" aca="1" ref="E194" ca="1">_xlfn.STOCKHISTORY(A194,$F$6,$F$6,0,0,1)</f>
        <v>100.53</v>
      </c>
      <c r="F194" s="2">
        <f t="shared" ca="1" si="5"/>
        <v>19837625112</v>
      </c>
    </row>
    <row r="195" spans="1:6" x14ac:dyDescent="0.2">
      <c r="A195" t="e" vm="634">
        <v>#VALUE!</v>
      </c>
      <c r="B195" cm="1" vm="635">
        <f t="array" aca="1" ref="B195" ca="1">_xlfn.STOCKHISTORY(A195,$D$6,$D$6,0,0,1)</f>
        <v>149.25</v>
      </c>
      <c r="C195" s="4" cm="1">
        <f t="array" aca="1" ref="C195" ca="1">_FV(A195,"Shares outstanding",TRUE)</f>
        <v>118996100</v>
      </c>
      <c r="D195" s="4">
        <f t="shared" ca="1" si="4"/>
        <v>17760167925</v>
      </c>
      <c r="E195" s="2" cm="1" vm="636">
        <f t="array" aca="1" ref="E195" ca="1">_xlfn.STOCKHISTORY(A195,$F$6,$F$6,0,0,1)</f>
        <v>151.34</v>
      </c>
      <c r="F195" s="2">
        <f t="shared" ca="1" si="5"/>
        <v>18008869774</v>
      </c>
    </row>
    <row r="196" spans="1:6" x14ac:dyDescent="0.2">
      <c r="A196" t="e" vm="637">
        <v>#VALUE!</v>
      </c>
      <c r="B196" cm="1" vm="638">
        <f t="array" aca="1" ref="B196" ca="1">_xlfn.STOCKHISTORY(A196,$D$6,$D$6,0,0,1)</f>
        <v>138.12</v>
      </c>
      <c r="C196" s="4" cm="1">
        <f t="array" aca="1" ref="C196" ca="1">_FV(A196,"Shares outstanding",TRUE)</f>
        <v>211137700</v>
      </c>
      <c r="D196" s="4">
        <f t="shared" ca="1" si="4"/>
        <v>29162339124</v>
      </c>
      <c r="E196" s="2" cm="1" vm="639">
        <f t="array" aca="1" ref="E196" ca="1">_xlfn.STOCKHISTORY(A196,$F$6,$F$6,0,0,1)</f>
        <v>141.71</v>
      </c>
      <c r="F196" s="2">
        <f t="shared" ca="1" si="5"/>
        <v>29920323467</v>
      </c>
    </row>
    <row r="197" spans="1:6" x14ac:dyDescent="0.2">
      <c r="A197" t="e" vm="640">
        <v>#VALUE!</v>
      </c>
      <c r="B197" cm="1" vm="641">
        <f t="array" aca="1" ref="B197" ca="1">_xlfn.STOCKHISTORY(A197,$D$6,$D$6,0,0,1)</f>
        <v>130.46</v>
      </c>
      <c r="C197" s="4" cm="1">
        <f t="array" aca="1" ref="C197" ca="1">_FV(A197,"Shares outstanding",TRUE)</f>
        <v>192141600</v>
      </c>
      <c r="D197" s="4">
        <f t="shared" ca="1" si="4"/>
        <v>25066793136</v>
      </c>
      <c r="E197" s="2" cm="1" vm="642">
        <f t="array" aca="1" ref="E197" ca="1">_xlfn.STOCKHISTORY(A197,$F$6,$F$6,0,0,1)</f>
        <v>134.57</v>
      </c>
      <c r="F197" s="2">
        <f t="shared" ca="1" si="5"/>
        <v>25856495112</v>
      </c>
    </row>
    <row r="198" spans="1:6" x14ac:dyDescent="0.2">
      <c r="A198" t="e" vm="643">
        <v>#VALUE!</v>
      </c>
      <c r="B198" cm="1" vm="644">
        <f t="array" aca="1" ref="B198" ca="1">_xlfn.STOCKHISTORY(A198,$D$6,$D$6,0,0,1)</f>
        <v>40.19</v>
      </c>
      <c r="C198" s="4" cm="1">
        <f t="array" aca="1" ref="C198" ca="1">_FV(A198,"Shares outstanding",TRUE)</f>
        <v>652871600</v>
      </c>
      <c r="D198" s="4">
        <f t="shared" ca="1" si="4"/>
        <v>26238909604</v>
      </c>
      <c r="E198" s="2" cm="1" vm="645">
        <f t="array" aca="1" ref="E198" ca="1">_xlfn.STOCKHISTORY(A198,$F$6,$F$6,0,0,1)</f>
        <v>40.35</v>
      </c>
      <c r="F198" s="2">
        <f t="shared" ca="1" si="5"/>
        <v>26343369060</v>
      </c>
    </row>
    <row r="199" spans="1:6" x14ac:dyDescent="0.2">
      <c r="A199" t="e" vm="646">
        <v>#VALUE!</v>
      </c>
      <c r="B199" cm="1" vm="647">
        <f t="array" aca="1" ref="B199" ca="1">_xlfn.STOCKHISTORY(A199,$D$6,$D$6,0,0,1)</f>
        <v>149.84</v>
      </c>
      <c r="C199" s="4" cm="1">
        <f t="array" aca="1" ref="C199" ca="1">_FV(A199,"Shares outstanding",TRUE)</f>
        <v>185827800</v>
      </c>
      <c r="D199" s="4">
        <f t="shared" ca="1" si="4"/>
        <v>27844437552</v>
      </c>
      <c r="E199" s="2" cm="1" vm="648">
        <f t="array" aca="1" ref="E199" ca="1">_xlfn.STOCKHISTORY(A199,$F$6,$F$6,0,0,1)</f>
        <v>150.80000000000001</v>
      </c>
      <c r="F199" s="2">
        <f t="shared" ca="1" si="5"/>
        <v>28022832240.000004</v>
      </c>
    </row>
    <row r="200" spans="1:6" x14ac:dyDescent="0.2">
      <c r="A200" t="e" vm="649">
        <v>#VALUE!</v>
      </c>
      <c r="B200" cm="1" vm="650">
        <f t="array" aca="1" ref="B200" ca="1">_xlfn.STOCKHISTORY(A200,$D$6,$D$6,0,0,1)</f>
        <v>56.94</v>
      </c>
      <c r="C200" s="4" cm="1">
        <f t="array" aca="1" ref="C200" ca="1">_FV(A200,"Shares outstanding",TRUE)</f>
        <v>671910700</v>
      </c>
      <c r="D200" s="4">
        <f t="shared" ref="D200:D263" ca="1" si="6">B200*C200</f>
        <v>38258595258</v>
      </c>
      <c r="E200" s="2" cm="1" vm="651">
        <f t="array" aca="1" ref="E200" ca="1">_xlfn.STOCKHISTORY(A200,$F$6,$F$6,0,0,1)</f>
        <v>57.5</v>
      </c>
      <c r="F200" s="2">
        <f t="shared" ref="F200:F263" ca="1" si="7">C200*E200</f>
        <v>38634865250</v>
      </c>
    </row>
    <row r="201" spans="1:6" x14ac:dyDescent="0.2">
      <c r="A201" t="e" vm="652">
        <v>#VALUE!</v>
      </c>
      <c r="B201" cm="1" vm="653">
        <f t="array" aca="1" ref="B201" ca="1">_xlfn.STOCKHISTORY(A201,$D$6,$D$6,0,0,1)</f>
        <v>21.78</v>
      </c>
      <c r="C201" s="4" cm="1">
        <f t="array" aca="1" ref="C201" ca="1">_FV(A201,"Shares outstanding",TRUE)</f>
        <v>1328808000</v>
      </c>
      <c r="D201" s="4">
        <f t="shared" ca="1" si="6"/>
        <v>28941438240</v>
      </c>
      <c r="E201" s="2" cm="1" vm="654">
        <f t="array" aca="1" ref="E201" ca="1">_xlfn.STOCKHISTORY(A201,$F$6,$F$6,0,0,1)</f>
        <v>23.24</v>
      </c>
      <c r="F201" s="2">
        <f t="shared" ca="1" si="7"/>
        <v>30881497919.999996</v>
      </c>
    </row>
    <row r="202" spans="1:6" x14ac:dyDescent="0.2">
      <c r="A202" t="e" vm="655">
        <v>#VALUE!</v>
      </c>
      <c r="B202" cm="1" vm="656">
        <f t="array" aca="1" ref="B202" ca="1">_xlfn.STOCKHISTORY(A202,$D$6,$D$6,0,0,1)</f>
        <v>236.27</v>
      </c>
      <c r="C202" s="4" cm="1">
        <f t="array" aca="1" ref="C202" ca="1">_FV(A202,"Shares outstanding",TRUE)</f>
        <v>170517200</v>
      </c>
      <c r="D202" s="4">
        <f t="shared" ca="1" si="6"/>
        <v>40288098844</v>
      </c>
      <c r="E202" s="2" cm="1" vm="349">
        <f t="array" aca="1" ref="E202" ca="1">_xlfn.STOCKHISTORY(A202,$F$6,$F$6,0,0,1)</f>
        <v>240.79</v>
      </c>
      <c r="F202" s="2">
        <f t="shared" ca="1" si="7"/>
        <v>41058836588</v>
      </c>
    </row>
    <row r="203" spans="1:6" x14ac:dyDescent="0.2">
      <c r="A203" t="e" vm="657">
        <v>#VALUE!</v>
      </c>
      <c r="B203" cm="1" vm="658">
        <f t="array" aca="1" ref="B203" ca="1">_xlfn.STOCKHISTORY(A203,$D$6,$D$6,0,0,1)</f>
        <v>16.09</v>
      </c>
      <c r="C203" s="4" cm="1">
        <f t="array" aca="1" ref="C203" ca="1">_FV(A203,"Shares outstanding",TRUE)</f>
        <v>712120900</v>
      </c>
      <c r="D203" s="4">
        <f t="shared" ca="1" si="6"/>
        <v>11458025281</v>
      </c>
      <c r="E203" s="2" cm="1" vm="659">
        <f t="array" aca="1" ref="E203" ca="1">_xlfn.STOCKHISTORY(A203,$F$6,$F$6,0,0,1)</f>
        <v>15.75</v>
      </c>
      <c r="F203" s="2">
        <f t="shared" ca="1" si="7"/>
        <v>11215904175</v>
      </c>
    </row>
    <row r="204" spans="1:6" x14ac:dyDescent="0.2">
      <c r="A204" t="e" vm="660">
        <v>#VALUE!</v>
      </c>
      <c r="B204" cm="1" vm="661">
        <f t="array" aca="1" ref="B204" ca="1">_xlfn.STOCKHISTORY(A204,$D$6,$D$6,0,0,1)</f>
        <v>205.49</v>
      </c>
      <c r="C204" s="4" cm="1">
        <f t="array" aca="1" ref="C204" ca="1">_FV(A204,"Shares outstanding",TRUE)</f>
        <v>115139300</v>
      </c>
      <c r="D204" s="4">
        <f t="shared" ca="1" si="6"/>
        <v>23659974757</v>
      </c>
      <c r="E204" s="2" cm="1" vm="662">
        <f t="array" aca="1" ref="E204" ca="1">_xlfn.STOCKHISTORY(A204,$F$6,$F$6,0,0,1)</f>
        <v>212.22</v>
      </c>
      <c r="F204" s="2">
        <f t="shared" ca="1" si="7"/>
        <v>24434862246</v>
      </c>
    </row>
    <row r="205" spans="1:6" x14ac:dyDescent="0.2">
      <c r="A205" t="e" vm="663">
        <v>#VALUE!</v>
      </c>
      <c r="B205" cm="1" vm="664">
        <f t="array" aca="1" ref="B205" ca="1">_xlfn.STOCKHISTORY(A205,$D$6,$D$6,0,0,1)</f>
        <v>673.39</v>
      </c>
      <c r="C205" s="4" cm="1">
        <f t="array" aca="1" ref="C205" ca="1">_FV(A205,"Shares outstanding",TRUE)</f>
        <v>44362170</v>
      </c>
      <c r="D205" s="4">
        <f t="shared" ca="1" si="6"/>
        <v>29873041656.299999</v>
      </c>
      <c r="E205" s="2" cm="1" vm="665">
        <f t="array" aca="1" ref="E205" ca="1">_xlfn.STOCKHISTORY(A205,$F$6,$F$6,0,0,1)</f>
        <v>678.64</v>
      </c>
      <c r="F205" s="2">
        <f t="shared" ca="1" si="7"/>
        <v>30105943048.799999</v>
      </c>
    </row>
    <row r="206" spans="1:6" x14ac:dyDescent="0.2">
      <c r="A206" t="e" vm="666">
        <v>#VALUE!</v>
      </c>
      <c r="B206" cm="1" vm="667">
        <f t="array" aca="1" ref="B206" ca="1">_xlfn.STOCKHISTORY(A206,$D$6,$D$6,0,0,1)</f>
        <v>239.04</v>
      </c>
      <c r="C206" s="4" cm="1">
        <f t="array" aca="1" ref="C206" ca="1">_FV(A206,"Shares outstanding",TRUE)</f>
        <v>107311000</v>
      </c>
      <c r="D206" s="4">
        <f t="shared" ca="1" si="6"/>
        <v>25651621440</v>
      </c>
      <c r="E206" s="2" cm="1" vm="668">
        <f t="array" aca="1" ref="E206" ca="1">_xlfn.STOCKHISTORY(A206,$F$6,$F$6,0,0,1)</f>
        <v>238.06</v>
      </c>
      <c r="F206" s="2">
        <f t="shared" ca="1" si="7"/>
        <v>25546456660</v>
      </c>
    </row>
    <row r="207" spans="1:6" x14ac:dyDescent="0.2">
      <c r="A207" t="e" vm="669">
        <v>#VALUE!</v>
      </c>
      <c r="B207" cm="1" vm="670">
        <f t="array" aca="1" ref="B207" ca="1">_xlfn.STOCKHISTORY(A207,$D$6,$D$6,0,0,1)</f>
        <v>166.2</v>
      </c>
      <c r="C207" s="4" cm="1">
        <f t="array" aca="1" ref="C207" ca="1">_FV(A207,"Shares outstanding",TRUE)</f>
        <v>197091000</v>
      </c>
      <c r="D207" s="4">
        <f t="shared" ca="1" si="6"/>
        <v>32756524199.999996</v>
      </c>
      <c r="E207" s="2" cm="1" vm="671">
        <f t="array" aca="1" ref="E207" ca="1">_xlfn.STOCKHISTORY(A207,$F$6,$F$6,0,0,1)</f>
        <v>169.89</v>
      </c>
      <c r="F207" s="2">
        <f t="shared" ca="1" si="7"/>
        <v>33483789989.999996</v>
      </c>
    </row>
    <row r="208" spans="1:6" x14ac:dyDescent="0.2">
      <c r="A208" t="e" vm="672">
        <v>#VALUE!</v>
      </c>
      <c r="B208" cm="1" vm="673">
        <f t="array" aca="1" ref="B208" ca="1">_xlfn.STOCKHISTORY(A208,$D$6,$D$6,0,0,1)</f>
        <v>261.67</v>
      </c>
      <c r="C208" s="4" cm="1">
        <f t="array" aca="1" ref="C208" ca="1">_FV(A208,"Shares outstanding",TRUE)</f>
        <v>98075020</v>
      </c>
      <c r="D208" s="4">
        <f t="shared" ca="1" si="6"/>
        <v>25663290483.400002</v>
      </c>
      <c r="E208" s="2" cm="1" vm="674">
        <f t="array" aca="1" ref="E208" ca="1">_xlfn.STOCKHISTORY(A208,$F$6,$F$6,0,0,1)</f>
        <v>264.27</v>
      </c>
      <c r="F208" s="2">
        <f t="shared" ca="1" si="7"/>
        <v>25918285535.399998</v>
      </c>
    </row>
    <row r="209" spans="1:6" x14ac:dyDescent="0.2">
      <c r="A209" t="e" vm="675">
        <v>#VALUE!</v>
      </c>
      <c r="B209" cm="1" vm="676">
        <f t="array" aca="1" ref="B209" ca="1">_xlfn.STOCKHISTORY(A209,$D$6,$D$6,0,0,1)</f>
        <v>1301.93</v>
      </c>
      <c r="C209" s="4" cm="1">
        <f t="array" aca="1" ref="C209" ca="1">_FV(A209,"Shares outstanding",TRUE)</f>
        <v>56473560</v>
      </c>
      <c r="D209" s="4">
        <f t="shared" ca="1" si="6"/>
        <v>73524621970.800003</v>
      </c>
      <c r="E209" s="2" cm="1" vm="677">
        <f t="array" aca="1" ref="E209" ca="1">_xlfn.STOCKHISTORY(A209,$F$6,$F$6,0,0,1)</f>
        <v>1264.79</v>
      </c>
      <c r="F209" s="2">
        <f t="shared" ca="1" si="7"/>
        <v>71427193952.399994</v>
      </c>
    </row>
    <row r="210" spans="1:6" x14ac:dyDescent="0.2">
      <c r="A210" t="e" vm="678">
        <v>#VALUE!</v>
      </c>
      <c r="B210" cm="1" vm="679">
        <f t="array" aca="1" ref="B210" ca="1">_xlfn.STOCKHISTORY(A210,$D$6,$D$6,0,0,1)</f>
        <v>186.82</v>
      </c>
      <c r="C210" s="4" cm="1">
        <f t="array" aca="1" ref="C210" ca="1">_FV(A210,"Shares outstanding",TRUE)</f>
        <v>76877940</v>
      </c>
      <c r="D210" s="4">
        <f t="shared" ca="1" si="6"/>
        <v>14362336750.799999</v>
      </c>
      <c r="E210" s="2" cm="1" vm="680">
        <f t="array" aca="1" ref="E210" ca="1">_xlfn.STOCKHISTORY(A210,$F$6,$F$6,0,0,1)</f>
        <v>193.13</v>
      </c>
      <c r="F210" s="2">
        <f t="shared" ca="1" si="7"/>
        <v>14847436552.199999</v>
      </c>
    </row>
    <row r="211" spans="1:6" x14ac:dyDescent="0.2">
      <c r="A211" t="e" vm="681">
        <v>#VALUE!</v>
      </c>
      <c r="B211" cm="1" vm="682">
        <f t="array" aca="1" ref="B211" ca="1">_xlfn.STOCKHISTORY(A211,$D$6,$D$6,0,0,1)</f>
        <v>378.95</v>
      </c>
      <c r="C211" s="4" cm="1">
        <f t="array" aca="1" ref="C211" ca="1">_FV(A211,"Shares outstanding",TRUE)</f>
        <v>98101870</v>
      </c>
      <c r="D211" s="4">
        <f t="shared" ca="1" si="6"/>
        <v>37175703636.5</v>
      </c>
      <c r="E211" s="2" cm="1" vm="683">
        <f t="array" aca="1" ref="E211" ca="1">_xlfn.STOCKHISTORY(A211,$F$6,$F$6,0,0,1)</f>
        <v>384.33</v>
      </c>
      <c r="F211" s="2">
        <f t="shared" ca="1" si="7"/>
        <v>37703491697.099998</v>
      </c>
    </row>
    <row r="212" spans="1:6" x14ac:dyDescent="0.2">
      <c r="A212" t="e" vm="684">
        <v>#VALUE!</v>
      </c>
      <c r="B212" cm="1" vm="685">
        <f t="array" aca="1" ref="B212" ca="1">_xlfn.STOCKHISTORY(A212,$D$6,$D$6,0,0,1)</f>
        <v>71.8</v>
      </c>
      <c r="C212" s="4" cm="1">
        <f t="array" aca="1" ref="C212" ca="1">_FV(A212,"Shares outstanding",TRUE)</f>
        <v>306420900</v>
      </c>
      <c r="D212" s="4">
        <f t="shared" ca="1" si="6"/>
        <v>22001020620</v>
      </c>
      <c r="E212" s="2" cm="1" vm="686">
        <f t="array" aca="1" ref="E212" ca="1">_xlfn.STOCKHISTORY(A212,$F$6,$F$6,0,0,1)</f>
        <v>71.599999999999994</v>
      </c>
      <c r="F212" s="2">
        <f t="shared" ca="1" si="7"/>
        <v>21939736440</v>
      </c>
    </row>
    <row r="213" spans="1:6" x14ac:dyDescent="0.2">
      <c r="A213" t="e" vm="687">
        <v>#VALUE!</v>
      </c>
      <c r="B213" cm="1" vm="688">
        <f t="array" aca="1" ref="B213" ca="1">_xlfn.STOCKHISTORY(A213,$D$6,$D$6,0,0,1)</f>
        <v>48.04</v>
      </c>
      <c r="C213" s="4" cm="1">
        <f t="array" aca="1" ref="C213" ca="1">_FV(A213,"Shares outstanding",TRUE)</f>
        <v>109572000</v>
      </c>
      <c r="D213" s="4">
        <f t="shared" ca="1" si="6"/>
        <v>5263838880</v>
      </c>
      <c r="E213" s="2" cm="1" vm="689">
        <f t="array" aca="1" ref="E213" ca="1">_xlfn.STOCKHISTORY(A213,$F$6,$F$6,0,0,1)</f>
        <v>52.81</v>
      </c>
      <c r="F213" s="2">
        <f t="shared" ca="1" si="7"/>
        <v>5786497320</v>
      </c>
    </row>
    <row r="214" spans="1:6" x14ac:dyDescent="0.2">
      <c r="A214" t="e" vm="690">
        <v>#VALUE!</v>
      </c>
      <c r="B214" cm="1" vm="691">
        <f t="array" aca="1" ref="B214" ca="1">_xlfn.STOCKHISTORY(A214,$D$6,$D$6,0,0,1)</f>
        <v>201.61</v>
      </c>
      <c r="C214" s="4" cm="1">
        <f t="array" aca="1" ref="C214" ca="1">_FV(A214,"Shares outstanding",TRUE)</f>
        <v>74347820</v>
      </c>
      <c r="D214" s="4">
        <f t="shared" ca="1" si="6"/>
        <v>14989263990.200001</v>
      </c>
      <c r="E214" s="2" cm="1" vm="692">
        <f t="array" aca="1" ref="E214" ca="1">_xlfn.STOCKHISTORY(A214,$F$6,$F$6,0,0,1)</f>
        <v>212.25</v>
      </c>
      <c r="F214" s="2">
        <f t="shared" ca="1" si="7"/>
        <v>15780324795</v>
      </c>
    </row>
    <row r="215" spans="1:6" x14ac:dyDescent="0.2">
      <c r="A215" t="e" vm="693">
        <v>#VALUE!</v>
      </c>
      <c r="B215" cm="1" vm="694">
        <f t="array" aca="1" ref="B215" ca="1">_xlfn.STOCKHISTORY(A215,$D$6,$D$6,0,0,1)</f>
        <v>95.29</v>
      </c>
      <c r="C215" s="4" cm="1">
        <f t="array" aca="1" ref="C215" ca="1">_FV(A215,"Shares outstanding",TRUE)</f>
        <v>216835100</v>
      </c>
      <c r="D215" s="4">
        <f t="shared" ca="1" si="6"/>
        <v>20662216679</v>
      </c>
      <c r="E215" s="2" cm="1" vm="695">
        <f t="array" aca="1" ref="E215" ca="1">_xlfn.STOCKHISTORY(A215,$F$6,$F$6,0,0,1)</f>
        <v>96.4</v>
      </c>
      <c r="F215" s="2">
        <f t="shared" ca="1" si="7"/>
        <v>20902903640</v>
      </c>
    </row>
    <row r="216" spans="1:6" x14ac:dyDescent="0.2">
      <c r="A216" t="e" vm="696">
        <v>#VALUE!</v>
      </c>
      <c r="B216" cm="1" vm="697">
        <f t="array" aca="1" ref="B216" ca="1">_xlfn.STOCKHISTORY(A216,$D$6,$D$6,0,0,1)</f>
        <v>148.04</v>
      </c>
      <c r="C216" s="4" cm="1">
        <f t="array" aca="1" ref="C216" ca="1">_FV(A216,"Shares outstanding",TRUE)</f>
        <v>220118900</v>
      </c>
      <c r="D216" s="4">
        <f t="shared" ca="1" si="6"/>
        <v>32586401956</v>
      </c>
      <c r="E216" s="2" cm="1" vm="635">
        <f t="array" aca="1" ref="E216" ca="1">_xlfn.STOCKHISTORY(A216,$F$6,$F$6,0,0,1)</f>
        <v>149.25</v>
      </c>
      <c r="F216" s="2">
        <f t="shared" ca="1" si="7"/>
        <v>32852745825</v>
      </c>
    </row>
    <row r="217" spans="1:6" x14ac:dyDescent="0.2">
      <c r="A217" t="e" vm="698">
        <v>#VALUE!</v>
      </c>
      <c r="B217" cm="1" vm="699">
        <f t="array" aca="1" ref="B217" ca="1">_xlfn.STOCKHISTORY(A217,$D$6,$D$6,0,0,1)</f>
        <v>234.46</v>
      </c>
      <c r="C217" s="4" cm="1">
        <f t="array" aca="1" ref="C217" ca="1">_FV(A217,"Shares outstanding",TRUE)</f>
        <v>122534900</v>
      </c>
      <c r="D217" s="4">
        <f t="shared" ca="1" si="6"/>
        <v>28729532654</v>
      </c>
      <c r="E217" s="2" cm="1" vm="700">
        <f t="array" aca="1" ref="E217" ca="1">_xlfn.STOCKHISTORY(A217,$F$6,$F$6,0,0,1)</f>
        <v>236.48</v>
      </c>
      <c r="F217" s="2">
        <f t="shared" ca="1" si="7"/>
        <v>28977053152</v>
      </c>
    </row>
    <row r="218" spans="1:6" x14ac:dyDescent="0.2">
      <c r="A218" t="e" vm="701">
        <v>#VALUE!</v>
      </c>
      <c r="B218" cm="1" vm="702">
        <f t="array" aca="1" ref="B218" ca="1">_xlfn.STOCKHISTORY(A218,$D$6,$D$6,0,0,1)</f>
        <v>272.2</v>
      </c>
      <c r="C218" s="4" cm="1">
        <f t="array" aca="1" ref="C218" ca="1">_FV(A218,"Shares outstanding",TRUE)</f>
        <v>82400000</v>
      </c>
      <c r="D218" s="4">
        <f t="shared" ca="1" si="6"/>
        <v>22429280000</v>
      </c>
      <c r="E218" s="2" cm="1" vm="703">
        <f t="array" aca="1" ref="E218" ca="1">_xlfn.STOCKHISTORY(A218,$F$6,$F$6,0,0,1)</f>
        <v>276.16000000000003</v>
      </c>
      <c r="F218" s="2">
        <f t="shared" ca="1" si="7"/>
        <v>22755584000.000004</v>
      </c>
    </row>
    <row r="219" spans="1:6" x14ac:dyDescent="0.2">
      <c r="A219" t="e" vm="704">
        <v>#VALUE!</v>
      </c>
      <c r="B219" cm="1" vm="705">
        <f t="array" aca="1" ref="B219" ca="1">_xlfn.STOCKHISTORY(A219,$D$6,$D$6,0,0,1)</f>
        <v>69.19</v>
      </c>
      <c r="C219" s="4" cm="1">
        <f t="array" aca="1" ref="C219" ca="1">_FV(A219,"Shares outstanding",TRUE)</f>
        <v>377156000</v>
      </c>
      <c r="D219" s="4">
        <f t="shared" ca="1" si="6"/>
        <v>26095423640</v>
      </c>
      <c r="E219" s="2" cm="1" vm="706">
        <f t="array" aca="1" ref="E219" ca="1">_xlfn.STOCKHISTORY(A219,$F$6,$F$6,0,0,1)</f>
        <v>70.19</v>
      </c>
      <c r="F219" s="2">
        <f t="shared" ca="1" si="7"/>
        <v>26472579640</v>
      </c>
    </row>
    <row r="220" spans="1:6" x14ac:dyDescent="0.2">
      <c r="A220" t="e" vm="707">
        <v>#VALUE!</v>
      </c>
      <c r="B220" cm="1" vm="708">
        <f t="array" aca="1" ref="B220" ca="1">_xlfn.STOCKHISTORY(A220,$D$6,$D$6,0,0,1)</f>
        <v>65.97</v>
      </c>
      <c r="C220" s="4" cm="1">
        <f t="array" aca="1" ref="C220" ca="1">_FV(A220,"Shares outstanding",TRUE)</f>
        <v>424983700</v>
      </c>
      <c r="D220" s="4">
        <f t="shared" ca="1" si="6"/>
        <v>28036174689</v>
      </c>
      <c r="E220" s="2" cm="1" vm="709">
        <f t="array" aca="1" ref="E220" ca="1">_xlfn.STOCKHISTORY(A220,$F$6,$F$6,0,0,1)</f>
        <v>66.599999999999994</v>
      </c>
      <c r="F220" s="2">
        <f t="shared" ca="1" si="7"/>
        <v>28303914419.999996</v>
      </c>
    </row>
    <row r="221" spans="1:6" x14ac:dyDescent="0.2">
      <c r="A221" t="e" vm="710">
        <v>#VALUE!</v>
      </c>
      <c r="B221" cm="1" vm="711">
        <f t="array" aca="1" ref="B221" ca="1">_xlfn.STOCKHISTORY(A221,$D$6,$D$6,0,0,1)</f>
        <v>79.33</v>
      </c>
      <c r="C221" s="4" cm="1">
        <f t="array" aca="1" ref="C221" ca="1">_FV(A221,"Shares outstanding",TRUE)</f>
        <v>195114200</v>
      </c>
      <c r="D221" s="4">
        <f t="shared" ca="1" si="6"/>
        <v>15478409486</v>
      </c>
      <c r="E221" s="2" cm="1" vm="712">
        <f t="array" aca="1" ref="E221" ca="1">_xlfn.STOCKHISTORY(A221,$F$6,$F$6,0,0,1)</f>
        <v>80.92</v>
      </c>
      <c r="F221" s="2">
        <f t="shared" ca="1" si="7"/>
        <v>15788641064</v>
      </c>
    </row>
    <row r="222" spans="1:6" x14ac:dyDescent="0.2">
      <c r="A222" t="e" vm="713">
        <v>#VALUE!</v>
      </c>
      <c r="B222" cm="1" vm="714">
        <f t="array" aca="1" ref="B222" ca="1">_xlfn.STOCKHISTORY(A222,$D$6,$D$6,0,0,1)</f>
        <v>63.29</v>
      </c>
      <c r="C222" s="4" cm="1">
        <f t="array" aca="1" ref="C222" ca="1">_FV(A222,"Shares outstanding",TRUE)</f>
        <v>268438200</v>
      </c>
      <c r="D222" s="4">
        <f t="shared" ca="1" si="6"/>
        <v>16989453678</v>
      </c>
      <c r="E222" s="2" cm="1" vm="715">
        <f t="array" aca="1" ref="E222" ca="1">_xlfn.STOCKHISTORY(A222,$F$6,$F$6,0,0,1)</f>
        <v>66.58</v>
      </c>
      <c r="F222" s="2">
        <f t="shared" ca="1" si="7"/>
        <v>17872615356</v>
      </c>
    </row>
    <row r="223" spans="1:6" x14ac:dyDescent="0.2">
      <c r="A223" t="e" vm="716">
        <v>#VALUE!</v>
      </c>
      <c r="B223" cm="1" vm="717">
        <f t="array" aca="1" ref="B223" ca="1">_xlfn.STOCKHISTORY(A223,$D$6,$D$6,0,0,1)</f>
        <v>640.41999999999996</v>
      </c>
      <c r="C223" s="4" cm="1">
        <f t="array" aca="1" ref="C223" ca="1">_FV(A223,"Shares outstanding",TRUE)</f>
        <v>46305310</v>
      </c>
      <c r="D223" s="4">
        <f t="shared" ca="1" si="6"/>
        <v>29654846630.199997</v>
      </c>
      <c r="E223" s="2" cm="1" vm="718">
        <f t="array" aca="1" ref="E223" ca="1">_xlfn.STOCKHISTORY(A223,$F$6,$F$6,0,0,1)</f>
        <v>629.73</v>
      </c>
      <c r="F223" s="2">
        <f t="shared" ca="1" si="7"/>
        <v>29159842866.299999</v>
      </c>
    </row>
    <row r="224" spans="1:6" x14ac:dyDescent="0.2">
      <c r="A224" t="e" vm="719">
        <v>#VALUE!</v>
      </c>
      <c r="B224" cm="1" vm="720">
        <f t="array" aca="1" ref="B224" ca="1">_xlfn.STOCKHISTORY(A224,$D$6,$D$6,0,0,1)</f>
        <v>26.18</v>
      </c>
      <c r="C224" s="4" cm="1">
        <f t="array" aca="1" ref="C224" ca="1">_FV(A224,"Shares outstanding",TRUE)</f>
        <v>609386100</v>
      </c>
      <c r="D224" s="4">
        <f t="shared" ca="1" si="6"/>
        <v>15953728098</v>
      </c>
      <c r="E224" s="2" cm="1" vm="721">
        <f t="array" aca="1" ref="E224" ca="1">_xlfn.STOCKHISTORY(A224,$F$6,$F$6,0,0,1)</f>
        <v>26.47</v>
      </c>
      <c r="F224" s="2">
        <f t="shared" ca="1" si="7"/>
        <v>16130450067</v>
      </c>
    </row>
    <row r="225" spans="1:6" x14ac:dyDescent="0.2">
      <c r="A225" t="e" vm="722">
        <v>#VALUE!</v>
      </c>
      <c r="B225" cm="1" vm="723">
        <f t="array" aca="1" ref="B225" ca="1">_xlfn.STOCKHISTORY(A225,$D$6,$D$6,0,0,1)</f>
        <v>71.959999999999994</v>
      </c>
      <c r="C225" s="4" cm="1">
        <f t="array" aca="1" ref="C225" ca="1">_FV(A225,"Shares outstanding",TRUE)</f>
        <v>340420000</v>
      </c>
      <c r="D225" s="4">
        <f t="shared" ca="1" si="6"/>
        <v>24496623199.999996</v>
      </c>
      <c r="E225" s="2" cm="1" vm="724">
        <f t="array" aca="1" ref="E225" ca="1">_xlfn.STOCKHISTORY(A225,$F$6,$F$6,0,0,1)</f>
        <v>74.03</v>
      </c>
      <c r="F225" s="2">
        <f t="shared" ca="1" si="7"/>
        <v>25201292600</v>
      </c>
    </row>
    <row r="226" spans="1:6" x14ac:dyDescent="0.2">
      <c r="A226" t="e" vm="725">
        <v>#VALUE!</v>
      </c>
      <c r="B226" cm="1" vm="726">
        <f t="array" aca="1" ref="B226" ca="1">_xlfn.STOCKHISTORY(A226,$D$6,$D$6,0,0,1)</f>
        <v>64.760000000000005</v>
      </c>
      <c r="C226" s="4" cm="1">
        <f t="array" aca="1" ref="C226" ca="1">_FV(A226,"Shares outstanding",TRUE)</f>
        <v>352079000</v>
      </c>
      <c r="D226" s="4">
        <f t="shared" ca="1" si="6"/>
        <v>22800636040</v>
      </c>
      <c r="E226" s="2" cm="1" vm="727">
        <f t="array" aca="1" ref="E226" ca="1">_xlfn.STOCKHISTORY(A226,$F$6,$F$6,0,0,1)</f>
        <v>65</v>
      </c>
      <c r="F226" s="2">
        <f t="shared" ca="1" si="7"/>
        <v>22885135000</v>
      </c>
    </row>
    <row r="227" spans="1:6" x14ac:dyDescent="0.2">
      <c r="A227" t="e" vm="728">
        <v>#VALUE!</v>
      </c>
      <c r="B227" cm="1" vm="729">
        <f t="array" aca="1" ref="B227" ca="1">_xlfn.STOCKHISTORY(A227,$D$6,$D$6,0,0,1)</f>
        <v>54.1</v>
      </c>
      <c r="C227" s="4" cm="1">
        <f t="array" aca="1" ref="C227" ca="1">_FV(A227,"Shares outstanding",TRUE)</f>
        <v>19750180</v>
      </c>
      <c r="D227" s="4">
        <f t="shared" ca="1" si="6"/>
        <v>1068484738</v>
      </c>
      <c r="E227" s="2" cm="1" vm="730">
        <f t="array" aca="1" ref="E227" ca="1">_xlfn.STOCKHISTORY(A227,$F$6,$F$6,0,0,1)</f>
        <v>51.9</v>
      </c>
      <c r="F227" s="2">
        <f t="shared" ca="1" si="7"/>
        <v>1025034342</v>
      </c>
    </row>
    <row r="228" spans="1:6" x14ac:dyDescent="0.2">
      <c r="A228" t="e" vm="731">
        <v>#VALUE!</v>
      </c>
      <c r="B228" cm="1" vm="732">
        <f t="array" aca="1" ref="B228" ca="1">_xlfn.STOCKHISTORY(A228,$D$6,$D$6,0,0,1)</f>
        <v>42</v>
      </c>
      <c r="C228" s="4" cm="1">
        <f t="array" aca="1" ref="C228" ca="1">_FV(A228,"Shares outstanding",TRUE)</f>
        <v>25750000</v>
      </c>
      <c r="D228" s="4">
        <f t="shared" ca="1" si="6"/>
        <v>1081500000</v>
      </c>
      <c r="E228" s="2" cm="1" vm="733">
        <f t="array" aca="1" ref="E228" ca="1">_xlfn.STOCKHISTORY(A228,$F$6,$F$6,0,0,1)</f>
        <v>41.6</v>
      </c>
      <c r="F228" s="2">
        <f t="shared" ca="1" si="7"/>
        <v>1071200000</v>
      </c>
    </row>
    <row r="229" spans="1:6" x14ac:dyDescent="0.2">
      <c r="A229" t="e" vm="734">
        <v>#VALUE!</v>
      </c>
      <c r="B229" cm="1" vm="735">
        <f t="array" aca="1" ref="B229" ca="1">_xlfn.STOCKHISTORY(A229,$D$6,$D$6,0,0,1)</f>
        <v>74.63</v>
      </c>
      <c r="C229" s="4" cm="1">
        <f t="array" aca="1" ref="C229" ca="1">_FV(A229,"Shares outstanding",TRUE)</f>
        <v>223244900</v>
      </c>
      <c r="D229" s="4">
        <f t="shared" ca="1" si="6"/>
        <v>16660766886.999998</v>
      </c>
      <c r="E229" s="2" cm="1" vm="736">
        <f t="array" aca="1" ref="E229" ca="1">_xlfn.STOCKHISTORY(A229,$F$6,$F$6,0,0,1)</f>
        <v>74.59</v>
      </c>
      <c r="F229" s="2">
        <f t="shared" ca="1" si="7"/>
        <v>16651837091</v>
      </c>
    </row>
    <row r="230" spans="1:6" x14ac:dyDescent="0.2">
      <c r="A230" t="e" vm="737">
        <v>#VALUE!</v>
      </c>
      <c r="B230" cm="1" vm="738">
        <f t="array" aca="1" ref="B230" ca="1">_xlfn.STOCKHISTORY(A230,$D$6,$D$6,0,0,1)</f>
        <v>114.98</v>
      </c>
      <c r="C230" s="4" cm="1">
        <f t="array" aca="1" ref="C230" ca="1">_FV(A230,"Shares outstanding",TRUE)</f>
        <v>120911900</v>
      </c>
      <c r="D230" s="4">
        <f t="shared" ca="1" si="6"/>
        <v>13902450262</v>
      </c>
      <c r="E230" s="2" cm="1" vm="739">
        <f t="array" aca="1" ref="E230" ca="1">_xlfn.STOCKHISTORY(A230,$F$6,$F$6,0,0,1)</f>
        <v>117.77</v>
      </c>
      <c r="F230" s="2">
        <f t="shared" ca="1" si="7"/>
        <v>14239794463</v>
      </c>
    </row>
    <row r="231" spans="1:6" x14ac:dyDescent="0.2">
      <c r="A231" t="e" vm="740">
        <v>#VALUE!</v>
      </c>
      <c r="B231" cm="1" vm="741">
        <f t="array" aca="1" ref="B231" ca="1">_xlfn.STOCKHISTORY(A231,$D$6,$D$6,0,0,1)</f>
        <v>220.61</v>
      </c>
      <c r="C231" s="4" cm="1">
        <f t="array" aca="1" ref="C231" ca="1">_FV(A231,"Shares outstanding",TRUE)</f>
        <v>94604080</v>
      </c>
      <c r="D231" s="4">
        <f t="shared" ca="1" si="6"/>
        <v>20870606088.800003</v>
      </c>
      <c r="E231" s="2" cm="1" vm="742">
        <f t="array" aca="1" ref="E231" ca="1">_xlfn.STOCKHISTORY(A231,$F$6,$F$6,0,0,1)</f>
        <v>228.22</v>
      </c>
      <c r="F231" s="2">
        <f t="shared" ca="1" si="7"/>
        <v>21590543137.599998</v>
      </c>
    </row>
    <row r="232" spans="1:6" x14ac:dyDescent="0.2">
      <c r="A232" t="e" vm="655">
        <v>#VALUE!</v>
      </c>
      <c r="B232" cm="1" vm="656">
        <f t="array" aca="1" ref="B232" ca="1">_xlfn.STOCKHISTORY(A232,$D$6,$D$6,0,0,1)</f>
        <v>236.27</v>
      </c>
      <c r="C232" s="4" cm="1">
        <f t="array" aca="1" ref="C232" ca="1">_FV(A232,"Shares outstanding",TRUE)</f>
        <v>170517200</v>
      </c>
      <c r="D232" s="4">
        <f t="shared" ca="1" si="6"/>
        <v>40288098844</v>
      </c>
      <c r="E232" s="2" cm="1" vm="349">
        <f t="array" aca="1" ref="E232" ca="1">_xlfn.STOCKHISTORY(A232,$F$6,$F$6,0,0,1)</f>
        <v>240.79</v>
      </c>
      <c r="F232" s="2">
        <f t="shared" ca="1" si="7"/>
        <v>41058836588</v>
      </c>
    </row>
    <row r="233" spans="1:6" x14ac:dyDescent="0.2">
      <c r="A233" t="e" vm="743">
        <v>#VALUE!</v>
      </c>
      <c r="B233" cm="1" vm="744">
        <f t="array" aca="1" ref="B233" ca="1">_xlfn.STOCKHISTORY(A233,$D$6,$D$6,0,0,1)</f>
        <v>67.989999999999995</v>
      </c>
      <c r="C233" s="4" cm="1">
        <f t="array" aca="1" ref="C233" ca="1">_FV(A233,"Shares outstanding",TRUE)</f>
        <v>310336300</v>
      </c>
      <c r="D233" s="4">
        <f t="shared" ca="1" si="6"/>
        <v>21099765037</v>
      </c>
      <c r="E233" s="2" cm="1" vm="745">
        <f t="array" aca="1" ref="E233" ca="1">_xlfn.STOCKHISTORY(A233,$F$6,$F$6,0,0,1)</f>
        <v>69.14</v>
      </c>
      <c r="F233" s="2">
        <f t="shared" ca="1" si="7"/>
        <v>21456651782</v>
      </c>
    </row>
    <row r="234" spans="1:6" x14ac:dyDescent="0.2">
      <c r="A234" t="e" vm="746">
        <v>#VALUE!</v>
      </c>
      <c r="B234" cm="1" vm="747">
        <f t="array" aca="1" ref="B234" ca="1">_xlfn.STOCKHISTORY(A234,$D$6,$D$6,0,0,1)</f>
        <v>7770.86</v>
      </c>
      <c r="C234" s="4" cm="1">
        <f t="array" aca="1" ref="C234" ca="1">_FV(A234,"Shares outstanding",TRUE)</f>
        <v>2793760</v>
      </c>
      <c r="D234" s="4">
        <f t="shared" ca="1" si="6"/>
        <v>21709917833.599998</v>
      </c>
      <c r="E234" s="2" cm="1" vm="748">
        <f t="array" aca="1" ref="E234" ca="1">_xlfn.STOCKHISTORY(A234,$F$6,$F$6,0,0,1)</f>
        <v>8025.84</v>
      </c>
      <c r="F234" s="2">
        <f t="shared" ca="1" si="7"/>
        <v>22422270758.400002</v>
      </c>
    </row>
    <row r="235" spans="1:6" x14ac:dyDescent="0.2">
      <c r="A235" t="e" vm="749">
        <v>#VALUE!</v>
      </c>
      <c r="B235" cm="1" vm="750">
        <f t="array" aca="1" ref="B235" ca="1">_xlfn.STOCKHISTORY(A235,$D$6,$D$6,0,0,1)</f>
        <v>290.24</v>
      </c>
      <c r="C235" s="4" cm="1">
        <f t="array" aca="1" ref="C235" ca="1">_FV(A235,"Shares outstanding",TRUE)</f>
        <v>339037900</v>
      </c>
      <c r="D235" s="4">
        <f t="shared" ca="1" si="6"/>
        <v>98402360096</v>
      </c>
      <c r="E235" s="2" cm="1" vm="751">
        <f t="array" aca="1" ref="E235" ca="1">_xlfn.STOCKHISTORY(A235,$F$6,$F$6,0,0,1)</f>
        <v>269.41000000000003</v>
      </c>
      <c r="F235" s="2">
        <f t="shared" ca="1" si="7"/>
        <v>91340200639.000015</v>
      </c>
    </row>
    <row r="236" spans="1:6" x14ac:dyDescent="0.2">
      <c r="A236" t="e" vm="643">
        <v>#VALUE!</v>
      </c>
      <c r="B236" cm="1" vm="644">
        <f t="array" aca="1" ref="B236" ca="1">_xlfn.STOCKHISTORY(A236,$D$6,$D$6,0,0,1)</f>
        <v>40.19</v>
      </c>
      <c r="C236" s="4" cm="1">
        <f t="array" aca="1" ref="C236" ca="1">_FV(A236,"Shares outstanding",TRUE)</f>
        <v>652871600</v>
      </c>
      <c r="D236" s="4">
        <f t="shared" ca="1" si="6"/>
        <v>26238909604</v>
      </c>
      <c r="E236" s="2" cm="1" vm="645">
        <f t="array" aca="1" ref="E236" ca="1">_xlfn.STOCKHISTORY(A236,$F$6,$F$6,0,0,1)</f>
        <v>40.35</v>
      </c>
      <c r="F236" s="2">
        <f t="shared" ca="1" si="7"/>
        <v>26343369060</v>
      </c>
    </row>
    <row r="237" spans="1:6" x14ac:dyDescent="0.2">
      <c r="A237" t="e" vm="752">
        <v>#VALUE!</v>
      </c>
      <c r="B237" cm="1" vm="753">
        <f t="array" aca="1" ref="B237" ca="1">_xlfn.STOCKHISTORY(A237,$D$6,$D$6,0,0,1)</f>
        <v>45.38</v>
      </c>
      <c r="C237" s="4" cm="1">
        <f t="array" aca="1" ref="C237" ca="1">_FV(A237,"Shares outstanding",TRUE)</f>
        <v>1199843000</v>
      </c>
      <c r="D237" s="4">
        <f t="shared" ca="1" si="6"/>
        <v>54448875340</v>
      </c>
      <c r="E237" s="2" cm="1" vm="754">
        <f t="array" aca="1" ref="E237" ca="1">_xlfn.STOCKHISTORY(A237,$F$6,$F$6,0,0,1)</f>
        <v>45.1</v>
      </c>
      <c r="F237" s="2">
        <f t="shared" ca="1" si="7"/>
        <v>54112919300</v>
      </c>
    </row>
    <row r="238" spans="1:6" x14ac:dyDescent="0.2">
      <c r="A238" t="e" vm="755">
        <v>#VALUE!</v>
      </c>
      <c r="B238" cm="1" vm="756">
        <f t="array" aca="1" ref="B238" ca="1">_xlfn.STOCKHISTORY(A238,$D$6,$D$6,0,0,1)</f>
        <v>19.11</v>
      </c>
      <c r="C238" s="4" cm="1">
        <f t="array" aca="1" ref="C238" ca="1">_FV(A238,"Shares outstanding",TRUE)</f>
        <v>478369500</v>
      </c>
      <c r="D238" s="4">
        <f t="shared" ca="1" si="6"/>
        <v>9141641145</v>
      </c>
      <c r="E238" s="2" cm="1" vm="757">
        <f t="array" aca="1" ref="E238" ca="1">_xlfn.STOCKHISTORY(A238,$F$6,$F$6,0,0,1)</f>
        <v>19.8</v>
      </c>
      <c r="F238" s="2">
        <f t="shared" ca="1" si="7"/>
        <v>9471716100</v>
      </c>
    </row>
    <row r="239" spans="1:6" x14ac:dyDescent="0.2">
      <c r="A239" t="e" vm="758">
        <v>#VALUE!</v>
      </c>
      <c r="B239" t="e" cm="1" vm="759">
        <f t="array" aca="1" ref="B239" ca="1">_xlfn.STOCKHISTORY(A239,$D$6,$D$6,0,0,1)</f>
        <v>#VALUE!</v>
      </c>
      <c r="C239" s="4" t="e" cm="1" vm="518">
        <f t="array" ref="C239">_FV(A239,"Shares outstanding",TRUE)</f>
        <v>#VALUE!</v>
      </c>
      <c r="D239" s="4" t="e" vm="760">
        <f t="shared" ca="1" si="6"/>
        <v>#VALUE!</v>
      </c>
      <c r="E239" s="2" t="e" cm="1" vm="759">
        <f t="array" aca="1" ref="E239" ca="1">_xlfn.STOCKHISTORY(A239,$F$6,$F$6,0,0,1)</f>
        <v>#VALUE!</v>
      </c>
      <c r="F239" s="2" t="e" vm="91">
        <f t="shared" ca="1" si="7"/>
        <v>#VALUE!</v>
      </c>
    </row>
    <row r="240" spans="1:6" x14ac:dyDescent="0.2">
      <c r="A240" t="e" vm="761">
        <v>#VALUE!</v>
      </c>
      <c r="B240" cm="1" vm="762">
        <f t="array" aca="1" ref="B240" ca="1">_xlfn.STOCKHISTORY(A240,$D$6,$D$6,0,0,1)</f>
        <v>65.28</v>
      </c>
      <c r="C240" s="4" cm="1">
        <f t="array" aca="1" ref="C240" ca="1">_FV(A240,"Shares outstanding",TRUE)</f>
        <v>474965200</v>
      </c>
      <c r="D240" s="4">
        <f t="shared" ca="1" si="6"/>
        <v>31005728256</v>
      </c>
      <c r="E240" s="2" cm="1" vm="763">
        <f t="array" aca="1" ref="E240" ca="1">_xlfn.STOCKHISTORY(A240,$F$6,$F$6,0,0,1)</f>
        <v>65.5</v>
      </c>
      <c r="F240" s="2">
        <f t="shared" ca="1" si="7"/>
        <v>31110220600</v>
      </c>
    </row>
    <row r="241" spans="1:6" x14ac:dyDescent="0.2">
      <c r="A241" t="e" vm="764">
        <v>#VALUE!</v>
      </c>
      <c r="B241" cm="1" vm="765">
        <f t="array" aca="1" ref="B241" ca="1">_xlfn.STOCKHISTORY(A241,$D$6,$D$6,0,0,1)</f>
        <v>222.62</v>
      </c>
      <c r="C241" s="4" cm="1">
        <f t="array" aca="1" ref="C241" ca="1">_FV(A241,"Shares outstanding",TRUE)</f>
        <v>37099260</v>
      </c>
      <c r="D241" s="4">
        <f t="shared" ca="1" si="6"/>
        <v>8259037261.1999998</v>
      </c>
      <c r="E241" s="2" cm="1" vm="766">
        <f t="array" aca="1" ref="E241" ca="1">_xlfn.STOCKHISTORY(A241,$F$6,$F$6,0,0,1)</f>
        <v>225.43</v>
      </c>
      <c r="F241" s="2">
        <f t="shared" ca="1" si="7"/>
        <v>8363286181.8000002</v>
      </c>
    </row>
    <row r="242" spans="1:6" x14ac:dyDescent="0.2">
      <c r="A242" t="e" vm="767">
        <v>#VALUE!</v>
      </c>
      <c r="B242" cm="1" vm="768">
        <f t="array" aca="1" ref="B242" ca="1">_xlfn.STOCKHISTORY(A242,$D$6,$D$6,0,0,1)</f>
        <v>185.17</v>
      </c>
      <c r="C242" s="4" cm="1">
        <f t="array" aca="1" ref="C242" ca="1">_FV(A242,"Shares outstanding",TRUE)</f>
        <v>109866300</v>
      </c>
      <c r="D242" s="4">
        <f t="shared" ca="1" si="6"/>
        <v>20343942771</v>
      </c>
      <c r="E242" s="2" cm="1" vm="769">
        <f t="array" aca="1" ref="E242" ca="1">_xlfn.STOCKHISTORY(A242,$F$6,$F$6,0,0,1)</f>
        <v>189.23</v>
      </c>
      <c r="F242" s="2">
        <f t="shared" ca="1" si="7"/>
        <v>20789999949</v>
      </c>
    </row>
    <row r="243" spans="1:6" x14ac:dyDescent="0.2">
      <c r="A243" t="e" vm="770">
        <v>#VALUE!</v>
      </c>
      <c r="B243" cm="1" vm="771">
        <f t="array" aca="1" ref="B243" ca="1">_xlfn.STOCKHISTORY(A243,$D$6,$D$6,0,0,1)</f>
        <v>68.05</v>
      </c>
      <c r="C243" s="4" cm="1">
        <f t="array" aca="1" ref="C243" ca="1">_FV(A243,"Shares outstanding",TRUE)</f>
        <v>203607100</v>
      </c>
      <c r="D243" s="4">
        <f t="shared" ca="1" si="6"/>
        <v>13855463155</v>
      </c>
      <c r="E243" s="2" cm="1" vm="772">
        <f t="array" aca="1" ref="E243" ca="1">_xlfn.STOCKHISTORY(A243,$F$6,$F$6,0,0,1)</f>
        <v>71.41</v>
      </c>
      <c r="F243" s="2">
        <f t="shared" ca="1" si="7"/>
        <v>14539583011</v>
      </c>
    </row>
    <row r="244" spans="1:6" x14ac:dyDescent="0.2">
      <c r="A244" t="e" vm="773">
        <v>#VALUE!</v>
      </c>
      <c r="B244" cm="1" vm="774">
        <f t="array" aca="1" ref="B244" ca="1">_xlfn.STOCKHISTORY(A244,$D$6,$D$6,0,0,1)</f>
        <v>107.41</v>
      </c>
      <c r="C244" s="4" cm="1">
        <f t="array" aca="1" ref="C244" ca="1">_FV(A244,"Shares outstanding",TRUE)</f>
        <v>206052900</v>
      </c>
      <c r="D244" s="4">
        <f t="shared" ca="1" si="6"/>
        <v>22132141989</v>
      </c>
      <c r="E244" s="2" cm="1" vm="775">
        <f t="array" aca="1" ref="E244" ca="1">_xlfn.STOCKHISTORY(A244,$F$6,$F$6,0,0,1)</f>
        <v>109.43</v>
      </c>
      <c r="F244" s="2">
        <f t="shared" ca="1" si="7"/>
        <v>22548368847</v>
      </c>
    </row>
    <row r="245" spans="1:6" x14ac:dyDescent="0.2">
      <c r="A245" t="e" vm="776">
        <v>#VALUE!</v>
      </c>
      <c r="B245" cm="1" vm="777">
        <f t="array" aca="1" ref="B245" ca="1">_xlfn.STOCKHISTORY(A245,$D$6,$D$6,0,0,1)</f>
        <v>132.91</v>
      </c>
      <c r="C245" s="4" cm="1">
        <f t="array" aca="1" ref="C245" ca="1">_FV(A245,"Shares outstanding",TRUE)</f>
        <v>117446700</v>
      </c>
      <c r="D245" s="4">
        <f t="shared" ca="1" si="6"/>
        <v>15609840897</v>
      </c>
      <c r="E245" s="2" cm="1" vm="778">
        <f t="array" aca="1" ref="E245" ca="1">_xlfn.STOCKHISTORY(A245,$F$6,$F$6,0,0,1)</f>
        <v>143.33000000000001</v>
      </c>
      <c r="F245" s="2">
        <f t="shared" ca="1" si="7"/>
        <v>16833635511.000002</v>
      </c>
    </row>
    <row r="246" spans="1:6" x14ac:dyDescent="0.2">
      <c r="A246" t="e" vm="779">
        <v>#VALUE!</v>
      </c>
      <c r="B246" cm="1" vm="780">
        <f t="array" aca="1" ref="B246" ca="1">_xlfn.STOCKHISTORY(A246,$D$6,$D$6,0,0,1)</f>
        <v>26.9</v>
      </c>
      <c r="C246" s="4" cm="1">
        <f t="array" aca="1" ref="C246" ca="1">_FV(A246,"Shares outstanding",TRUE)</f>
        <v>298134200</v>
      </c>
      <c r="D246" s="4">
        <f t="shared" ca="1" si="6"/>
        <v>8019809980</v>
      </c>
      <c r="E246" s="2" cm="1" vm="781">
        <f t="array" aca="1" ref="E246" ca="1">_xlfn.STOCKHISTORY(A246,$F$6,$F$6,0,0,1)</f>
        <v>28.43</v>
      </c>
      <c r="F246" s="2">
        <f t="shared" ca="1" si="7"/>
        <v>8475955306</v>
      </c>
    </row>
    <row r="247" spans="1:6" x14ac:dyDescent="0.2">
      <c r="A247" t="e" vm="782">
        <v>#VALUE!</v>
      </c>
      <c r="B247" cm="1" vm="783">
        <f t="array" aca="1" ref="B247" ca="1">_xlfn.STOCKHISTORY(A247,$D$6,$D$6,0,0,1)</f>
        <v>332.05</v>
      </c>
      <c r="C247" s="4" cm="1">
        <f t="array" aca="1" ref="C247" ca="1">_FV(A247,"Shares outstanding",TRUE)</f>
        <v>42985340</v>
      </c>
      <c r="D247" s="4">
        <f t="shared" ca="1" si="6"/>
        <v>14273282147</v>
      </c>
      <c r="E247" s="2" cm="1" vm="784">
        <f t="array" aca="1" ref="E247" ca="1">_xlfn.STOCKHISTORY(A247,$F$6,$F$6,0,0,1)</f>
        <v>343.24</v>
      </c>
      <c r="F247" s="2">
        <f t="shared" ca="1" si="7"/>
        <v>14754288101.6</v>
      </c>
    </row>
    <row r="248" spans="1:6" x14ac:dyDescent="0.2">
      <c r="A248" t="e" vm="785">
        <v>#VALUE!</v>
      </c>
      <c r="B248" cm="1" vm="786">
        <f t="array" aca="1" ref="B248" ca="1">_xlfn.STOCKHISTORY(A248,$D$6,$D$6,0,0,1)</f>
        <v>51.19</v>
      </c>
      <c r="C248" s="4" cm="1">
        <f t="array" aca="1" ref="C248" ca="1">_FV(A248,"Shares outstanding",TRUE)</f>
        <v>491318000</v>
      </c>
      <c r="D248" s="4">
        <f t="shared" ca="1" si="6"/>
        <v>25150568420</v>
      </c>
      <c r="E248" s="2" cm="1" vm="787">
        <f t="array" aca="1" ref="E248" ca="1">_xlfn.STOCKHISTORY(A248,$F$6,$F$6,0,0,1)</f>
        <v>52.59</v>
      </c>
      <c r="F248" s="2">
        <f t="shared" ca="1" si="7"/>
        <v>25838413620</v>
      </c>
    </row>
    <row r="249" spans="1:6" x14ac:dyDescent="0.2">
      <c r="A249" t="e" vm="788">
        <v>#VALUE!</v>
      </c>
      <c r="B249" cm="1" vm="789">
        <f t="array" aca="1" ref="B249" ca="1">_xlfn.STOCKHISTORY(A249,$D$6,$D$6,0,0,1)</f>
        <v>87.71</v>
      </c>
      <c r="C249" s="4" cm="1">
        <f t="array" aca="1" ref="C249" ca="1">_FV(A249,"Shares outstanding",TRUE)</f>
        <v>568443800</v>
      </c>
      <c r="D249" s="4">
        <f t="shared" ca="1" si="6"/>
        <v>49858205698</v>
      </c>
      <c r="E249" s="2" cm="1" vm="790">
        <f t="array" aca="1" ref="E249" ca="1">_xlfn.STOCKHISTORY(A249,$F$6,$F$6,0,0,1)</f>
        <v>88.49</v>
      </c>
      <c r="F249" s="2">
        <f t="shared" ca="1" si="7"/>
        <v>50301591862</v>
      </c>
    </row>
    <row r="250" spans="1:6" x14ac:dyDescent="0.2">
      <c r="A250" t="e" vm="791">
        <v>#VALUE!</v>
      </c>
      <c r="B250" cm="1" vm="792">
        <f t="array" aca="1" ref="B250" ca="1">_xlfn.STOCKHISTORY(A250,$D$6,$D$6,0,0,1)</f>
        <v>91.79</v>
      </c>
      <c r="C250" s="4" cm="1">
        <f t="array" aca="1" ref="C250" ca="1">_FV(A250,"Shares outstanding",TRUE)</f>
        <v>144888100</v>
      </c>
      <c r="D250" s="4">
        <f t="shared" ca="1" si="6"/>
        <v>13299278699</v>
      </c>
      <c r="E250" s="2" cm="1" vm="793">
        <f t="array" aca="1" ref="E250" ca="1">_xlfn.STOCKHISTORY(A250,$F$6,$F$6,0,0,1)</f>
        <v>91.92</v>
      </c>
      <c r="F250" s="2">
        <f t="shared" ca="1" si="7"/>
        <v>13318114152</v>
      </c>
    </row>
    <row r="251" spans="1:6" x14ac:dyDescent="0.2">
      <c r="A251" t="e" vm="794">
        <v>#VALUE!</v>
      </c>
      <c r="B251" cm="1" vm="795">
        <f t="array" aca="1" ref="B251" ca="1">_xlfn.STOCKHISTORY(A251,$D$6,$D$6,0,0,1)</f>
        <v>77.8</v>
      </c>
      <c r="C251" s="4" cm="1">
        <f t="array" aca="1" ref="C251" ca="1">_FV(A251,"Shares outstanding",TRUE)</f>
        <v>230281600</v>
      </c>
      <c r="D251" s="4">
        <f t="shared" ca="1" si="6"/>
        <v>17915908480</v>
      </c>
      <c r="E251" s="2" cm="1" vm="796">
        <f t="array" aca="1" ref="E251" ca="1">_xlfn.STOCKHISTORY(A251,$F$6,$F$6,0,0,1)</f>
        <v>77.23</v>
      </c>
      <c r="F251" s="2">
        <f t="shared" ca="1" si="7"/>
        <v>17784647968</v>
      </c>
    </row>
    <row r="252" spans="1:6" x14ac:dyDescent="0.2">
      <c r="A252" t="e" vm="797">
        <v>#VALUE!</v>
      </c>
      <c r="B252" cm="1" vm="798">
        <f t="array" aca="1" ref="B252" ca="1">_xlfn.STOCKHISTORY(A252,$D$6,$D$6,0,0,1)</f>
        <v>444.45</v>
      </c>
      <c r="C252" s="4" cm="1">
        <f t="array" aca="1" ref="C252" ca="1">_FV(A252,"Shares outstanding",TRUE)</f>
        <v>224025400</v>
      </c>
      <c r="D252" s="4">
        <f t="shared" ca="1" si="6"/>
        <v>99568089030</v>
      </c>
      <c r="E252" s="2" cm="1" vm="799">
        <f t="array" aca="1" ref="E252" ca="1">_xlfn.STOCKHISTORY(A252,$F$6,$F$6,0,0,1)</f>
        <v>418.63</v>
      </c>
      <c r="F252" s="2">
        <f t="shared" ca="1" si="7"/>
        <v>93783753202</v>
      </c>
    </row>
    <row r="253" spans="1:6" x14ac:dyDescent="0.2">
      <c r="A253" t="e" vm="800">
        <v>#VALUE!</v>
      </c>
      <c r="B253" cm="1" vm="801">
        <f t="array" aca="1" ref="B253" ca="1">_xlfn.STOCKHISTORY(A253,$D$6,$D$6,0,0,1)</f>
        <v>100.92</v>
      </c>
      <c r="C253" s="4" cm="1">
        <f t="array" aca="1" ref="C253" ca="1">_FV(A253,"Shares outstanding",TRUE)</f>
        <v>199014500</v>
      </c>
      <c r="D253" s="4">
        <f t="shared" ca="1" si="6"/>
        <v>20084543340</v>
      </c>
      <c r="E253" s="2" cm="1" vm="802">
        <f t="array" aca="1" ref="E253" ca="1">_xlfn.STOCKHISTORY(A253,$F$6,$F$6,0,0,1)</f>
        <v>102.6</v>
      </c>
      <c r="F253" s="2">
        <f t="shared" ca="1" si="7"/>
        <v>20418887700</v>
      </c>
    </row>
    <row r="254" spans="1:6" x14ac:dyDescent="0.2">
      <c r="A254" t="e" vm="803">
        <v>#VALUE!</v>
      </c>
      <c r="B254" cm="1" vm="804">
        <f t="array" aca="1" ref="B254" ca="1">_xlfn.STOCKHISTORY(A254,$D$6,$D$6,0,0,1)</f>
        <v>64.62</v>
      </c>
      <c r="C254" s="4" cm="1">
        <f t="array" aca="1" ref="C254" ca="1">_FV(A254,"Shares outstanding",TRUE)</f>
        <v>233929400</v>
      </c>
      <c r="D254" s="4">
        <f t="shared" ca="1" si="6"/>
        <v>15116517828.000002</v>
      </c>
      <c r="E254" s="2" cm="1" vm="805">
        <f t="array" aca="1" ref="E254" ca="1">_xlfn.STOCKHISTORY(A254,$F$6,$F$6,0,0,1)</f>
        <v>65.040000000000006</v>
      </c>
      <c r="F254" s="2">
        <f t="shared" ca="1" si="7"/>
        <v>15214768176.000002</v>
      </c>
    </row>
    <row r="255" spans="1:6" x14ac:dyDescent="0.2">
      <c r="A255" t="e" vm="806">
        <v>#VALUE!</v>
      </c>
      <c r="B255" cm="1" vm="807">
        <f t="array" aca="1" ref="B255" ca="1">_xlfn.STOCKHISTORY(A255,$D$6,$D$6,0,0,1)</f>
        <v>278.17</v>
      </c>
      <c r="C255" s="4" cm="1">
        <f t="array" aca="1" ref="C255" ca="1">_FV(A255,"Shares outstanding",TRUE)</f>
        <v>55783600</v>
      </c>
      <c r="D255" s="4">
        <f t="shared" ca="1" si="6"/>
        <v>15517324012</v>
      </c>
      <c r="E255" s="2" cm="1" vm="808">
        <f t="array" aca="1" ref="E255" ca="1">_xlfn.STOCKHISTORY(A255,$F$6,$F$6,0,0,1)</f>
        <v>285.95</v>
      </c>
      <c r="F255" s="2">
        <f t="shared" ca="1" si="7"/>
        <v>15951320420</v>
      </c>
    </row>
    <row r="256" spans="1:6" x14ac:dyDescent="0.2">
      <c r="A256" t="e" vm="809">
        <v>#VALUE!</v>
      </c>
      <c r="B256" cm="1" vm="810">
        <f t="array" aca="1" ref="B256" ca="1">_xlfn.STOCKHISTORY(A256,$D$6,$D$6,0,0,1)</f>
        <v>298.98</v>
      </c>
      <c r="C256" s="4" cm="1">
        <f t="array" aca="1" ref="C256" ca="1">_FV(A256,"Shares outstanding",TRUE)</f>
        <v>26990390</v>
      </c>
      <c r="D256" s="4">
        <f t="shared" ca="1" si="6"/>
        <v>8069586802.2000008</v>
      </c>
      <c r="E256" s="2" cm="1" vm="811">
        <f t="array" aca="1" ref="E256" ca="1">_xlfn.STOCKHISTORY(A256,$F$6,$F$6,0,0,1)</f>
        <v>305.89999999999998</v>
      </c>
      <c r="F256" s="2">
        <f t="shared" ca="1" si="7"/>
        <v>8256360300.999999</v>
      </c>
    </row>
    <row r="257" spans="1:6" x14ac:dyDescent="0.2">
      <c r="A257" t="e" vm="812">
        <v>#VALUE!</v>
      </c>
      <c r="B257" cm="1" vm="813">
        <f t="array" aca="1" ref="B257" ca="1">_xlfn.STOCKHISTORY(A257,$D$6,$D$6,0,0,1)</f>
        <v>166.16</v>
      </c>
      <c r="C257" s="4" cm="1">
        <f t="array" aca="1" ref="C257" ca="1">_FV(A257,"Shares outstanding",TRUE)</f>
        <v>72167370</v>
      </c>
      <c r="D257" s="4">
        <f t="shared" ca="1" si="6"/>
        <v>11991330199.199999</v>
      </c>
      <c r="E257" s="2" cm="1" vm="814">
        <f t="array" aca="1" ref="E257" ca="1">_xlfn.STOCKHISTORY(A257,$F$6,$F$6,0,0,1)</f>
        <v>173.78</v>
      </c>
      <c r="F257" s="2">
        <f t="shared" ca="1" si="7"/>
        <v>12541245558.6</v>
      </c>
    </row>
    <row r="258" spans="1:6" x14ac:dyDescent="0.2">
      <c r="A258" t="e" vm="815">
        <v>#VALUE!</v>
      </c>
      <c r="B258" cm="1" vm="816">
        <f t="array" aca="1" ref="B258" ca="1">_xlfn.STOCKHISTORY(A258,$D$6,$D$6,0,0,1)</f>
        <v>64.63</v>
      </c>
      <c r="C258" s="4" cm="1">
        <f t="array" aca="1" ref="C258" ca="1">_FV(A258,"Shares outstanding",TRUE)</f>
        <v>156453300</v>
      </c>
      <c r="D258" s="4">
        <f t="shared" ca="1" si="6"/>
        <v>10111576779</v>
      </c>
      <c r="E258" s="2" cm="1" vm="817">
        <f t="array" aca="1" ref="E258" ca="1">_xlfn.STOCKHISTORY(A258,$F$6,$F$6,0,0,1)</f>
        <v>68.67</v>
      </c>
      <c r="F258" s="2">
        <f t="shared" ca="1" si="7"/>
        <v>10743648111</v>
      </c>
    </row>
    <row r="259" spans="1:6" x14ac:dyDescent="0.2">
      <c r="A259" t="e" vm="818">
        <v>#VALUE!</v>
      </c>
      <c r="B259" cm="1" vm="819">
        <f t="array" aca="1" ref="B259" ca="1">_xlfn.STOCKHISTORY(A259,$D$6,$D$6,0,0,1)</f>
        <v>55.93</v>
      </c>
      <c r="C259" s="4" cm="1">
        <f t="array" aca="1" ref="C259" ca="1">_FV(A259,"Shares outstanding",TRUE)</f>
        <v>150373600</v>
      </c>
      <c r="D259" s="4">
        <f t="shared" ca="1" si="6"/>
        <v>8410395448</v>
      </c>
      <c r="E259" s="2" cm="1" vm="820">
        <f t="array" aca="1" ref="E259" ca="1">_xlfn.STOCKHISTORY(A259,$F$6,$F$6,0,0,1)</f>
        <v>59</v>
      </c>
      <c r="F259" s="2">
        <f t="shared" ca="1" si="7"/>
        <v>8872042400</v>
      </c>
    </row>
    <row r="260" spans="1:6" x14ac:dyDescent="0.2">
      <c r="A260" t="e" vm="821">
        <v>#VALUE!</v>
      </c>
      <c r="B260" cm="1" vm="822">
        <f t="array" aca="1" ref="B260" ca="1">_xlfn.STOCKHISTORY(A260,$D$6,$D$6,0,0,1)</f>
        <v>252.95</v>
      </c>
      <c r="C260" s="4" cm="1">
        <f t="array" aca="1" ref="C260" ca="1">_FV(A260,"Shares outstanding",TRUE)</f>
        <v>36787820</v>
      </c>
      <c r="D260" s="4">
        <f t="shared" ca="1" si="6"/>
        <v>9305479069</v>
      </c>
      <c r="E260" s="2" cm="1" vm="823">
        <f t="array" aca="1" ref="E260" ca="1">_xlfn.STOCKHISTORY(A260,$F$6,$F$6,0,0,1)</f>
        <v>260.42</v>
      </c>
      <c r="F260" s="2">
        <f t="shared" ca="1" si="7"/>
        <v>9580284084.4000015</v>
      </c>
    </row>
    <row r="261" spans="1:6" x14ac:dyDescent="0.2">
      <c r="A261" t="e" vm="824">
        <v>#VALUE!</v>
      </c>
      <c r="B261" cm="1" vm="825">
        <f t="array" aca="1" ref="B261" ca="1">_xlfn.STOCKHISTORY(A261,$D$6,$D$6,0,0,1)</f>
        <v>199.71</v>
      </c>
      <c r="C261" s="4" cm="1">
        <f t="array" aca="1" ref="C261" ca="1">_FV(A261,"Shares outstanding",TRUE)</f>
        <v>118620800</v>
      </c>
      <c r="D261" s="4">
        <f t="shared" ca="1" si="6"/>
        <v>23689759968</v>
      </c>
      <c r="E261" s="2" cm="1" vm="826">
        <f t="array" aca="1" ref="E261" ca="1">_xlfn.STOCKHISTORY(A261,$F$6,$F$6,0,0,1)</f>
        <v>198.74</v>
      </c>
      <c r="F261" s="2">
        <f t="shared" ca="1" si="7"/>
        <v>23574697792</v>
      </c>
    </row>
    <row r="262" spans="1:6" x14ac:dyDescent="0.2">
      <c r="A262" t="e" vm="827">
        <v>#VALUE!</v>
      </c>
      <c r="B262" cm="1" vm="828">
        <f t="array" aca="1" ref="B262" ca="1">_xlfn.STOCKHISTORY(A262,$D$6,$D$6,0,0,1)</f>
        <v>45.17</v>
      </c>
      <c r="C262" s="4" cm="1">
        <f t="array" aca="1" ref="C262" ca="1">_FV(A262,"Shares outstanding",TRUE)</f>
        <v>141796600</v>
      </c>
      <c r="D262" s="4">
        <f t="shared" ca="1" si="6"/>
        <v>6404952422</v>
      </c>
      <c r="E262" s="2" cm="1" vm="829">
        <f t="array" aca="1" ref="E262" ca="1">_xlfn.STOCKHISTORY(A262,$F$6,$F$6,0,0,1)</f>
        <v>47.26</v>
      </c>
      <c r="F262" s="2">
        <f t="shared" ca="1" si="7"/>
        <v>6701307316</v>
      </c>
    </row>
    <row r="263" spans="1:6" x14ac:dyDescent="0.2">
      <c r="A263" t="e" vm="830">
        <v>#VALUE!</v>
      </c>
      <c r="B263" cm="1" vm="831">
        <f t="array" aca="1" ref="B263" ca="1">_xlfn.STOCKHISTORY(A263,$D$6,$D$6,0,0,1)</f>
        <v>36.630000000000003</v>
      </c>
      <c r="C263" s="4" cm="1">
        <f t="array" aca="1" ref="C263" ca="1">_FV(A263,"Shares outstanding",TRUE)</f>
        <v>328572000</v>
      </c>
      <c r="D263" s="4">
        <f t="shared" ca="1" si="6"/>
        <v>12035592360</v>
      </c>
      <c r="E263" s="2" cm="1" vm="832">
        <f t="array" aca="1" ref="E263" ca="1">_xlfn.STOCKHISTORY(A263,$F$6,$F$6,0,0,1)</f>
        <v>37.61</v>
      </c>
      <c r="F263" s="2">
        <f t="shared" ca="1" si="7"/>
        <v>12357592920</v>
      </c>
    </row>
    <row r="264" spans="1:6" x14ac:dyDescent="0.2">
      <c r="A264" t="e" vm="833">
        <v>#VALUE!</v>
      </c>
      <c r="B264" cm="1" vm="834">
        <f t="array" aca="1" ref="B264" ca="1">_xlfn.STOCKHISTORY(A264,$D$6,$D$6,0,0,1)</f>
        <v>162.22</v>
      </c>
      <c r="C264" s="4" cm="1">
        <f t="array" aca="1" ref="C264" ca="1">_FV(A264,"Shares outstanding",TRUE)</f>
        <v>133503700</v>
      </c>
      <c r="D264" s="4">
        <f t="shared" ref="D264:D323" ca="1" si="8">B264*C264</f>
        <v>21656970214</v>
      </c>
      <c r="E264" s="2" cm="1" vm="835">
        <f t="array" aca="1" ref="E264" ca="1">_xlfn.STOCKHISTORY(A264,$F$6,$F$6,0,0,1)</f>
        <v>164.92</v>
      </c>
      <c r="F264" s="2">
        <f t="shared" ref="F264:F323" ca="1" si="9">C264*E264</f>
        <v>22017430204</v>
      </c>
    </row>
    <row r="265" spans="1:6" x14ac:dyDescent="0.2">
      <c r="A265" t="e" vm="836">
        <v>#VALUE!</v>
      </c>
      <c r="B265" cm="1" vm="837">
        <f t="array" aca="1" ref="B265" ca="1">_xlfn.STOCKHISTORY(A265,$D$6,$D$6,0,0,1)</f>
        <v>163.84</v>
      </c>
      <c r="C265" s="4" cm="1">
        <f t="array" aca="1" ref="C265" ca="1">_FV(A265,"Shares outstanding",TRUE)</f>
        <v>155617600</v>
      </c>
      <c r="D265" s="4">
        <f t="shared" ca="1" si="8"/>
        <v>25496387584</v>
      </c>
      <c r="E265" s="2" cm="1" vm="838">
        <f t="array" aca="1" ref="E265" ca="1">_xlfn.STOCKHISTORY(A265,$F$6,$F$6,0,0,1)</f>
        <v>168.95</v>
      </c>
      <c r="F265" s="2">
        <f t="shared" ca="1" si="9"/>
        <v>26291593520</v>
      </c>
    </row>
    <row r="266" spans="1:6" x14ac:dyDescent="0.2">
      <c r="A266" t="e" vm="839">
        <v>#VALUE!</v>
      </c>
      <c r="B266" cm="1" vm="840">
        <f t="array" aca="1" ref="B266" ca="1">_xlfn.STOCKHISTORY(A266,$D$6,$D$6,0,0,1)</f>
        <v>80.959999999999994</v>
      </c>
      <c r="C266" s="4" cm="1">
        <f t="array" aca="1" ref="C266" ca="1">_FV(A266,"Shares outstanding",TRUE)</f>
        <v>155079500</v>
      </c>
      <c r="D266" s="4">
        <f t="shared" ca="1" si="8"/>
        <v>12555236319.999998</v>
      </c>
      <c r="E266" s="2" cm="1" vm="841">
        <f t="array" aca="1" ref="E266" ca="1">_xlfn.STOCKHISTORY(A266,$F$6,$F$6,0,0,1)</f>
        <v>84.63</v>
      </c>
      <c r="F266" s="2">
        <f t="shared" ca="1" si="9"/>
        <v>13124378085</v>
      </c>
    </row>
    <row r="267" spans="1:6" x14ac:dyDescent="0.2">
      <c r="A267" t="e" vm="842">
        <v>#VALUE!</v>
      </c>
      <c r="B267" cm="1" vm="843">
        <f t="array" aca="1" ref="B267" ca="1">_xlfn.STOCKHISTORY(A267,$D$6,$D$6,0,0,1)</f>
        <v>46.29</v>
      </c>
      <c r="C267" s="4" cm="1">
        <f t="array" aca="1" ref="C267" ca="1">_FV(A267,"Shares outstanding",TRUE)</f>
        <v>138879900</v>
      </c>
      <c r="D267" s="4">
        <f t="shared" ca="1" si="8"/>
        <v>6428750571</v>
      </c>
      <c r="E267" s="2" cm="1" vm="844">
        <f t="array" aca="1" ref="E267" ca="1">_xlfn.STOCKHISTORY(A267,$F$6,$F$6,0,0,1)</f>
        <v>47.78</v>
      </c>
      <c r="F267" s="2">
        <f t="shared" ca="1" si="9"/>
        <v>6635681622</v>
      </c>
    </row>
    <row r="268" spans="1:6" x14ac:dyDescent="0.2">
      <c r="A268" t="e" vm="845">
        <v>#VALUE!</v>
      </c>
      <c r="B268" cm="1" vm="846">
        <f t="array" aca="1" ref="B268" ca="1">_xlfn.STOCKHISTORY(A268,$D$6,$D$6,0,0,1)</f>
        <v>401.11</v>
      </c>
      <c r="C268" s="4" cm="1">
        <f t="array" aca="1" ref="C268" ca="1">_FV(A268,"Shares outstanding",TRUE)</f>
        <v>33628900</v>
      </c>
      <c r="D268" s="4">
        <f t="shared" ca="1" si="8"/>
        <v>13488888079</v>
      </c>
      <c r="E268" s="2" cm="1" vm="847">
        <f t="array" aca="1" ref="E268" ca="1">_xlfn.STOCKHISTORY(A268,$F$6,$F$6,0,0,1)</f>
        <v>401.73</v>
      </c>
      <c r="F268" s="2">
        <f t="shared" ca="1" si="9"/>
        <v>13509737997</v>
      </c>
    </row>
    <row r="269" spans="1:6" x14ac:dyDescent="0.2">
      <c r="A269" t="e" vm="848">
        <v>#VALUE!</v>
      </c>
      <c r="B269" cm="1" vm="849">
        <f t="array" aca="1" ref="B269" ca="1">_xlfn.STOCKHISTORY(A269,$D$6,$D$6,0,0,1)</f>
        <v>181.4</v>
      </c>
      <c r="C269" s="4" cm="1">
        <f t="array" aca="1" ref="C269" ca="1">_FV(A269,"Shares outstanding",TRUE)</f>
        <v>51500000</v>
      </c>
      <c r="D269" s="4">
        <f t="shared" ca="1" si="8"/>
        <v>9342100000</v>
      </c>
      <c r="E269" s="2" cm="1" vm="39">
        <f t="array" aca="1" ref="E269" ca="1">_xlfn.STOCKHISTORY(A269,$F$6,$F$6,0,0,1)</f>
        <v>178.04</v>
      </c>
      <c r="F269" s="2">
        <f t="shared" ca="1" si="9"/>
        <v>9169060000</v>
      </c>
    </row>
    <row r="270" spans="1:6" x14ac:dyDescent="0.2">
      <c r="A270" t="e" vm="850">
        <v>#VALUE!</v>
      </c>
      <c r="B270" cm="1" vm="851">
        <f t="array" aca="1" ref="B270" ca="1">_xlfn.STOCKHISTORY(A270,$D$6,$D$6,0,0,1)</f>
        <v>173.28</v>
      </c>
      <c r="C270" s="4" cm="1">
        <f t="array" aca="1" ref="C270" ca="1">_FV(A270,"Shares outstanding",TRUE)</f>
        <v>58675830</v>
      </c>
      <c r="D270" s="4">
        <f t="shared" ca="1" si="8"/>
        <v>10167347822.4</v>
      </c>
      <c r="E270" s="2" cm="1" vm="852">
        <f t="array" aca="1" ref="E270" ca="1">_xlfn.STOCKHISTORY(A270,$F$6,$F$6,0,0,1)</f>
        <v>177.18</v>
      </c>
      <c r="F270" s="2">
        <f t="shared" ca="1" si="9"/>
        <v>10396183559.4</v>
      </c>
    </row>
    <row r="271" spans="1:6" x14ac:dyDescent="0.2">
      <c r="A271" t="e" vm="853">
        <v>#VALUE!</v>
      </c>
      <c r="B271" cm="1" vm="854">
        <f t="array" aca="1" ref="B271" ca="1">_xlfn.STOCKHISTORY(A271,$D$6,$D$6,0,0,1)</f>
        <v>106.92</v>
      </c>
      <c r="C271" s="4" cm="1">
        <f t="array" aca="1" ref="C271" ca="1">_FV(A271,"Shares outstanding",TRUE)</f>
        <v>103408200</v>
      </c>
      <c r="D271" s="4">
        <f t="shared" ca="1" si="8"/>
        <v>11056404744</v>
      </c>
      <c r="E271" s="2" cm="1" vm="855">
        <f t="array" aca="1" ref="E271" ca="1">_xlfn.STOCKHISTORY(A271,$F$6,$F$6,0,0,1)</f>
        <v>108.71</v>
      </c>
      <c r="F271" s="2">
        <f t="shared" ca="1" si="9"/>
        <v>11241505422</v>
      </c>
    </row>
    <row r="272" spans="1:6" x14ac:dyDescent="0.2">
      <c r="A272" t="e" vm="856">
        <v>#VALUE!</v>
      </c>
      <c r="B272" cm="1" vm="857">
        <f t="array" aca="1" ref="B272" ca="1">_xlfn.STOCKHISTORY(A272,$D$6,$D$6,0,0,1)</f>
        <v>201.41</v>
      </c>
      <c r="C272" s="4" cm="1">
        <f t="array" aca="1" ref="C272" ca="1">_FV(A272,"Shares outstanding",TRUE)</f>
        <v>49227800</v>
      </c>
      <c r="D272" s="4">
        <f t="shared" ca="1" si="8"/>
        <v>9914971198</v>
      </c>
      <c r="E272" s="2" cm="1" vm="858">
        <f t="array" aca="1" ref="E272" ca="1">_xlfn.STOCKHISTORY(A272,$F$6,$F$6,0,0,1)</f>
        <v>201.62</v>
      </c>
      <c r="F272" s="2">
        <f t="shared" ca="1" si="9"/>
        <v>9925309036</v>
      </c>
    </row>
    <row r="273" spans="1:6" x14ac:dyDescent="0.2">
      <c r="A273" t="e" vm="859">
        <v>#VALUE!</v>
      </c>
      <c r="B273" cm="1" vm="860">
        <f t="array" aca="1" ref="B273" ca="1">_xlfn.STOCKHISTORY(A273,$D$6,$D$6,0,0,1)</f>
        <v>72.489999999999995</v>
      </c>
      <c r="C273" s="4" cm="1">
        <f t="array" aca="1" ref="C273" ca="1">_FV(A273,"Shares outstanding",TRUE)</f>
        <v>182906600</v>
      </c>
      <c r="D273" s="4">
        <f t="shared" ca="1" si="8"/>
        <v>13258899434</v>
      </c>
      <c r="E273" s="2" cm="1" vm="861">
        <f t="array" aca="1" ref="E273" ca="1">_xlfn.STOCKHISTORY(A273,$F$6,$F$6,0,0,1)</f>
        <v>74.25</v>
      </c>
      <c r="F273" s="2">
        <f t="shared" ca="1" si="9"/>
        <v>13580815050</v>
      </c>
    </row>
    <row r="274" spans="1:6" x14ac:dyDescent="0.2">
      <c r="A274" t="e" vm="862">
        <v>#VALUE!</v>
      </c>
      <c r="B274" cm="1" vm="863">
        <f t="array" aca="1" ref="B274" ca="1">_xlfn.STOCKHISTORY(A274,$D$6,$D$6,0,0,1)</f>
        <v>65.569999999999993</v>
      </c>
      <c r="C274" s="4" cm="1">
        <f t="array" aca="1" ref="C274" ca="1">_FV(A274,"Shares outstanding",TRUE)</f>
        <v>209535100</v>
      </c>
      <c r="D274" s="4">
        <f t="shared" ca="1" si="8"/>
        <v>13739216506.999998</v>
      </c>
      <c r="E274" s="2" cm="1" vm="454">
        <f t="array" aca="1" ref="E274" ca="1">_xlfn.STOCKHISTORY(A274,$F$6,$F$6,0,0,1)</f>
        <v>68.5</v>
      </c>
      <c r="F274" s="2">
        <f t="shared" ca="1" si="9"/>
        <v>14353154350</v>
      </c>
    </row>
    <row r="275" spans="1:6" x14ac:dyDescent="0.2">
      <c r="A275" t="e" vm="864">
        <v>#VALUE!</v>
      </c>
      <c r="B275" cm="1" vm="865">
        <f t="array" aca="1" ref="B275" ca="1">_xlfn.STOCKHISTORY(A275,$D$6,$D$6,0,0,1)</f>
        <v>94.79</v>
      </c>
      <c r="C275" s="4" cm="1">
        <f t="array" aca="1" ref="C275" ca="1">_FV(A275,"Shares outstanding",TRUE)</f>
        <v>163235700</v>
      </c>
      <c r="D275" s="4">
        <f t="shared" ca="1" si="8"/>
        <v>15473112003.000002</v>
      </c>
      <c r="E275" s="2" cm="1" vm="866">
        <f t="array" aca="1" ref="E275" ca="1">_xlfn.STOCKHISTORY(A275,$F$6,$F$6,0,0,1)</f>
        <v>97.28</v>
      </c>
      <c r="F275" s="2">
        <f t="shared" ca="1" si="9"/>
        <v>15879568896</v>
      </c>
    </row>
    <row r="276" spans="1:6" x14ac:dyDescent="0.2">
      <c r="A276" t="e" vm="867">
        <v>#VALUE!</v>
      </c>
      <c r="B276" cm="1" vm="868">
        <f t="array" aca="1" ref="B276" ca="1">_xlfn.STOCKHISTORY(A276,$D$6,$D$6,0,0,1)</f>
        <v>212.74</v>
      </c>
      <c r="C276" s="4" cm="1">
        <f t="array" aca="1" ref="C276" ca="1">_FV(A276,"Shares outstanding",TRUE)</f>
        <v>126631600</v>
      </c>
      <c r="D276" s="4">
        <f t="shared" ca="1" si="8"/>
        <v>26939606584</v>
      </c>
      <c r="E276" s="2" cm="1" vm="869">
        <f t="array" aca="1" ref="E276" ca="1">_xlfn.STOCKHISTORY(A276,$F$6,$F$6,0,0,1)</f>
        <v>224.18</v>
      </c>
      <c r="F276" s="2">
        <f t="shared" ca="1" si="9"/>
        <v>28388272088</v>
      </c>
    </row>
    <row r="277" spans="1:6" x14ac:dyDescent="0.2">
      <c r="A277" t="e" vm="870">
        <v>#VALUE!</v>
      </c>
      <c r="B277" cm="1" vm="871">
        <f t="array" aca="1" ref="B277" ca="1">_xlfn.STOCKHISTORY(A277,$D$6,$D$6,0,0,1)</f>
        <v>105.86</v>
      </c>
      <c r="C277" s="4" cm="1">
        <f t="array" aca="1" ref="C277" ca="1">_FV(A277,"Shares outstanding",TRUE)</f>
        <v>106648300</v>
      </c>
      <c r="D277" s="4">
        <f t="shared" ca="1" si="8"/>
        <v>11289789038</v>
      </c>
      <c r="E277" s="2" cm="1" vm="872">
        <f t="array" aca="1" ref="E277" ca="1">_xlfn.STOCKHISTORY(A277,$F$6,$F$6,0,0,1)</f>
        <v>108.53</v>
      </c>
      <c r="F277" s="2">
        <f t="shared" ca="1" si="9"/>
        <v>11574539999</v>
      </c>
    </row>
    <row r="278" spans="1:6" x14ac:dyDescent="0.2">
      <c r="A278" t="e" vm="873">
        <v>#VALUE!</v>
      </c>
      <c r="B278" cm="1" vm="874">
        <f t="array" aca="1" ref="B278" ca="1">_xlfn.STOCKHISTORY(A278,$D$6,$D$6,0,0,1)</f>
        <v>32.99</v>
      </c>
      <c r="C278" s="4" cm="1">
        <f t="array" aca="1" ref="C278" ca="1">_FV(A278,"Shares outstanding",TRUE)</f>
        <v>255132300</v>
      </c>
      <c r="D278" s="4">
        <f t="shared" ca="1" si="8"/>
        <v>8416814577.000001</v>
      </c>
      <c r="E278" s="2" cm="1" vm="875">
        <f t="array" aca="1" ref="E278" ca="1">_xlfn.STOCKHISTORY(A278,$F$6,$F$6,0,0,1)</f>
        <v>34.369999999999997</v>
      </c>
      <c r="F278" s="2">
        <f t="shared" ca="1" si="9"/>
        <v>8768897151</v>
      </c>
    </row>
    <row r="279" spans="1:6" x14ac:dyDescent="0.2">
      <c r="A279" t="e" vm="876">
        <v>#VALUE!</v>
      </c>
      <c r="B279" cm="1" vm="877">
        <f t="array" aca="1" ref="B279" ca="1">_xlfn.STOCKHISTORY(A279,$D$6,$D$6,0,0,1)</f>
        <v>160.28</v>
      </c>
      <c r="C279" s="4" cm="1">
        <f t="array" aca="1" ref="C279" ca="1">_FV(A279,"Shares outstanding",TRUE)</f>
        <v>35548270</v>
      </c>
      <c r="D279" s="4">
        <f t="shared" ca="1" si="8"/>
        <v>5697676715.6000004</v>
      </c>
      <c r="E279" s="2" cm="1" vm="878">
        <f t="array" aca="1" ref="E279" ca="1">_xlfn.STOCKHISTORY(A279,$F$6,$F$6,0,0,1)</f>
        <v>162.37</v>
      </c>
      <c r="F279" s="2">
        <f t="shared" ca="1" si="9"/>
        <v>5771972599.9000006</v>
      </c>
    </row>
    <row r="280" spans="1:6" x14ac:dyDescent="0.2">
      <c r="A280" t="e" vm="731">
        <v>#VALUE!</v>
      </c>
      <c r="B280" cm="1" vm="732">
        <f t="array" aca="1" ref="B280" ca="1">_xlfn.STOCKHISTORY(A280,$D$6,$D$6,0,0,1)</f>
        <v>42</v>
      </c>
      <c r="C280" s="4" cm="1">
        <f t="array" aca="1" ref="C280" ca="1">_FV(A280,"Shares outstanding",TRUE)</f>
        <v>25750000</v>
      </c>
      <c r="D280" s="4">
        <f t="shared" ca="1" si="8"/>
        <v>1081500000</v>
      </c>
      <c r="E280" s="2" cm="1" vm="733">
        <f t="array" aca="1" ref="E280" ca="1">_xlfn.STOCKHISTORY(A280,$F$6,$F$6,0,0,1)</f>
        <v>41.6</v>
      </c>
      <c r="F280" s="2">
        <f t="shared" ca="1" si="9"/>
        <v>1071200000</v>
      </c>
    </row>
    <row r="281" spans="1:6" x14ac:dyDescent="0.2">
      <c r="A281" t="e" vm="879">
        <v>#VALUE!</v>
      </c>
      <c r="B281" cm="1" vm="880">
        <f t="array" aca="1" ref="B281" ca="1">_xlfn.STOCKHISTORY(A281,$D$6,$D$6,0,0,1)</f>
        <v>47.74</v>
      </c>
      <c r="C281" s="4" cm="1">
        <f t="array" aca="1" ref="C281" ca="1">_FV(A281,"Shares outstanding",TRUE)</f>
        <v>108879300</v>
      </c>
      <c r="D281" s="4">
        <f t="shared" ca="1" si="8"/>
        <v>5197897782</v>
      </c>
      <c r="E281" s="2" cm="1" vm="881">
        <f t="array" aca="1" ref="E281" ca="1">_xlfn.STOCKHISTORY(A281,$F$6,$F$6,0,0,1)</f>
        <v>48.8</v>
      </c>
      <c r="F281" s="2">
        <f t="shared" ca="1" si="9"/>
        <v>5313309840</v>
      </c>
    </row>
    <row r="282" spans="1:6" x14ac:dyDescent="0.2">
      <c r="A282" t="e" vm="882">
        <v>#VALUE!</v>
      </c>
      <c r="B282" cm="1" vm="883">
        <f t="array" aca="1" ref="B282" ca="1">_xlfn.STOCKHISTORY(A282,$D$6,$D$6,0,0,1)</f>
        <v>20.9</v>
      </c>
      <c r="C282" s="4" cm="1">
        <f t="array" aca="1" ref="C282" ca="1">_FV(A282,"Shares outstanding",TRUE)</f>
        <v>674066700</v>
      </c>
      <c r="D282" s="4">
        <f t="shared" ca="1" si="8"/>
        <v>14087994029.999998</v>
      </c>
      <c r="E282" s="2" cm="1" vm="884">
        <f t="array" aca="1" ref="E282" ca="1">_xlfn.STOCKHISTORY(A282,$F$6,$F$6,0,0,1)</f>
        <v>21.51</v>
      </c>
      <c r="F282" s="2">
        <f t="shared" ca="1" si="9"/>
        <v>14499174717.000002</v>
      </c>
    </row>
    <row r="283" spans="1:6" x14ac:dyDescent="0.2">
      <c r="A283" t="e" vm="885">
        <v>#VALUE!</v>
      </c>
      <c r="B283" t="e" cm="1" vm="334">
        <f t="array" aca="1" ref="B283" ca="1">_xlfn.STOCKHISTORY(A283,$D$6,$D$6,0,0,1)</f>
        <v>#N/A</v>
      </c>
      <c r="C283" s="4" cm="1">
        <f t="array" aca="1" ref="C283" ca="1">_FV(A283,"Shares outstanding",TRUE)</f>
        <v>334382600</v>
      </c>
      <c r="D283" s="4" t="e" vm="92">
        <f t="shared" ca="1" si="8"/>
        <v>#N/A</v>
      </c>
      <c r="E283" s="2" t="e" cm="1" vm="334">
        <f t="array" aca="1" ref="E283" ca="1">_xlfn.STOCKHISTORY(A283,$F$6,$F$6,0,0,1)</f>
        <v>#N/A</v>
      </c>
      <c r="F283" s="2" t="e" vm="92">
        <f t="shared" ca="1" si="9"/>
        <v>#N/A</v>
      </c>
    </row>
    <row r="284" spans="1:6" x14ac:dyDescent="0.2">
      <c r="A284" t="e" vm="873">
        <v>#VALUE!</v>
      </c>
      <c r="B284" cm="1" vm="874">
        <f t="array" aca="1" ref="B284" ca="1">_xlfn.STOCKHISTORY(A284,$D$6,$D$6,0,0,1)</f>
        <v>32.99</v>
      </c>
      <c r="C284" s="4" cm="1">
        <f t="array" aca="1" ref="C284" ca="1">_FV(A284,"Shares outstanding",TRUE)</f>
        <v>255132300</v>
      </c>
      <c r="D284" s="4">
        <f t="shared" ca="1" si="8"/>
        <v>8416814577.000001</v>
      </c>
      <c r="E284" s="2" cm="1" vm="875">
        <f t="array" aca="1" ref="E284" ca="1">_xlfn.STOCKHISTORY(A284,$F$6,$F$6,0,0,1)</f>
        <v>34.369999999999997</v>
      </c>
      <c r="F284" s="2">
        <f t="shared" ca="1" si="9"/>
        <v>8768897151</v>
      </c>
    </row>
    <row r="285" spans="1:6" x14ac:dyDescent="0.2">
      <c r="A285" t="e" vm="886">
        <v>#VALUE!</v>
      </c>
      <c r="B285" cm="1" vm="887">
        <f t="array" aca="1" ref="B285" ca="1">_xlfn.STOCKHISTORY(A285,$D$6,$D$6,0,0,1)</f>
        <v>22.09</v>
      </c>
      <c r="C285" s="4" cm="1">
        <f t="array" aca="1" ref="C285" ca="1">_FV(A285,"Shares outstanding",TRUE)</f>
        <v>204721600</v>
      </c>
      <c r="D285" s="4">
        <f t="shared" ca="1" si="8"/>
        <v>4522300144</v>
      </c>
      <c r="E285" s="2" cm="1" vm="888">
        <f t="array" aca="1" ref="E285" ca="1">_xlfn.STOCKHISTORY(A285,$F$6,$F$6,0,0,1)</f>
        <v>22.62</v>
      </c>
      <c r="F285" s="2">
        <f t="shared" ca="1" si="9"/>
        <v>4630802592</v>
      </c>
    </row>
    <row r="286" spans="1:6" x14ac:dyDescent="0.2">
      <c r="A286" t="e" vm="889">
        <v>#VALUE!</v>
      </c>
      <c r="B286" cm="1" vm="890">
        <f t="array" aca="1" ref="B286" ca="1">_xlfn.STOCKHISTORY(A286,$D$6,$D$6,0,0,1)</f>
        <v>26.46</v>
      </c>
      <c r="C286" s="4" cm="1">
        <f t="array" aca="1" ref="C286" ca="1">_FV(A286,"Shares outstanding",TRUE)</f>
        <v>353251500</v>
      </c>
      <c r="D286" s="4">
        <f t="shared" ca="1" si="8"/>
        <v>9347034690</v>
      </c>
      <c r="E286" s="2" cm="1" vm="891">
        <f t="array" aca="1" ref="E286" ca="1">_xlfn.STOCKHISTORY(A286,$F$6,$F$6,0,0,1)</f>
        <v>27.38</v>
      </c>
      <c r="F286" s="2">
        <f t="shared" ca="1" si="9"/>
        <v>9672026070</v>
      </c>
    </row>
    <row r="287" spans="1:6" x14ac:dyDescent="0.2">
      <c r="A287" t="e" vm="892">
        <v>#VALUE!</v>
      </c>
      <c r="B287" cm="1" vm="893">
        <f t="array" aca="1" ref="B287" ca="1">_xlfn.STOCKHISTORY(A287,$D$6,$D$6,0,0,1)</f>
        <v>0.47499999999999998</v>
      </c>
      <c r="C287" s="4" cm="1">
        <f t="array" aca="1" ref="C287" ca="1">_FV(A287,"Shares outstanding",TRUE)</f>
        <v>164217200</v>
      </c>
      <c r="D287" s="4">
        <f t="shared" ca="1" si="8"/>
        <v>78003170</v>
      </c>
      <c r="E287" s="2" cm="1" vm="894">
        <f t="array" aca="1" ref="E287" ca="1">_xlfn.STOCKHISTORY(A287,$F$6,$F$6,0,0,1)</f>
        <v>0.49</v>
      </c>
      <c r="F287" s="2">
        <f t="shared" ca="1" si="9"/>
        <v>80466428</v>
      </c>
    </row>
    <row r="288" spans="1:6" x14ac:dyDescent="0.2">
      <c r="A288" t="e" vm="895">
        <v>#VALUE!</v>
      </c>
      <c r="B288" cm="1" vm="896">
        <f t="array" aca="1" ref="B288" ca="1">_xlfn.STOCKHISTORY(A288,$D$6,$D$6,0,0,1)</f>
        <v>141.34</v>
      </c>
      <c r="C288" s="4" cm="1">
        <f t="array" aca="1" ref="C288" ca="1">_FV(A288,"Shares outstanding",TRUE)</f>
        <v>232368200</v>
      </c>
      <c r="D288" s="4">
        <f t="shared" ca="1" si="8"/>
        <v>32842921388</v>
      </c>
      <c r="E288" s="2" cm="1" vm="897">
        <f t="array" aca="1" ref="E288" ca="1">_xlfn.STOCKHISTORY(A288,$F$6,$F$6,0,0,1)</f>
        <v>142.46</v>
      </c>
      <c r="F288" s="2">
        <f t="shared" ca="1" si="9"/>
        <v>33103173772</v>
      </c>
    </row>
    <row r="289" spans="1:6" x14ac:dyDescent="0.2">
      <c r="A289" t="e" vm="898">
        <v>#VALUE!</v>
      </c>
      <c r="B289" cm="1" vm="899">
        <f t="array" aca="1" ref="B289" ca="1">_xlfn.STOCKHISTORY(A289,$D$6,$D$6,0,0,1)</f>
        <v>127.03</v>
      </c>
      <c r="C289" s="4" cm="1">
        <f t="array" aca="1" ref="C289" ca="1">_FV(A289,"Shares outstanding",TRUE)</f>
        <v>202464200</v>
      </c>
      <c r="D289" s="4">
        <f t="shared" ca="1" si="8"/>
        <v>25719027326</v>
      </c>
      <c r="E289" s="2" cm="1" vm="900">
        <f t="array" aca="1" ref="E289" ca="1">_xlfn.STOCKHISTORY(A289,$F$6,$F$6,0,0,1)</f>
        <v>129.91999999999999</v>
      </c>
      <c r="F289" s="2">
        <f t="shared" ca="1" si="9"/>
        <v>26304148863.999996</v>
      </c>
    </row>
    <row r="290" spans="1:6" x14ac:dyDescent="0.2">
      <c r="A290" t="e" vm="901">
        <v>#VALUE!</v>
      </c>
      <c r="B290" cm="1" vm="902">
        <f t="array" aca="1" ref="B290" ca="1">_xlfn.STOCKHISTORY(A290,$D$6,$D$6,0,0,1)</f>
        <v>274.63</v>
      </c>
      <c r="C290" s="4" cm="1">
        <f t="array" aca="1" ref="C290" ca="1">_FV(A290,"Shares outstanding",TRUE)</f>
        <v>56519270</v>
      </c>
      <c r="D290" s="4">
        <f t="shared" ca="1" si="8"/>
        <v>15521887120.1</v>
      </c>
      <c r="E290" s="2" cm="1" vm="85">
        <f t="array" aca="1" ref="E290" ca="1">_xlfn.STOCKHISTORY(A290,$F$6,$F$6,0,0,1)</f>
        <v>276.49</v>
      </c>
      <c r="F290" s="2">
        <f t="shared" ca="1" si="9"/>
        <v>15627012962.300001</v>
      </c>
    </row>
    <row r="291" spans="1:6" x14ac:dyDescent="0.2">
      <c r="A291" t="e" vm="903">
        <v>#VALUE!</v>
      </c>
      <c r="B291" cm="1" vm="904">
        <f t="array" aca="1" ref="B291" ca="1">_xlfn.STOCKHISTORY(A291,$D$6,$D$6,0,0,1)</f>
        <v>76.34</v>
      </c>
      <c r="C291" s="4" cm="1">
        <f t="array" aca="1" ref="C291" ca="1">_FV(A291,"Shares outstanding",TRUE)</f>
        <v>138289900</v>
      </c>
      <c r="D291" s="4">
        <f t="shared" ca="1" si="8"/>
        <v>10557050966</v>
      </c>
      <c r="E291" s="2" cm="1" vm="905">
        <f t="array" aca="1" ref="E291" ca="1">_xlfn.STOCKHISTORY(A291,$F$6,$F$6,0,0,1)</f>
        <v>78.37</v>
      </c>
      <c r="F291" s="2">
        <f t="shared" ca="1" si="9"/>
        <v>10837779463</v>
      </c>
    </row>
    <row r="292" spans="1:6" x14ac:dyDescent="0.2">
      <c r="A292" t="e" vm="906">
        <v>#VALUE!</v>
      </c>
      <c r="B292" t="e" cm="1" vm="334">
        <f t="array" aca="1" ref="B292" ca="1">_xlfn.STOCKHISTORY(A292,$D$6,$D$6,0,0,1)</f>
        <v>#N/A</v>
      </c>
      <c r="C292" s="4" cm="1">
        <f t="array" aca="1" ref="C292" ca="1">_FV(A292,"Shares outstanding",TRUE)</f>
        <v>181511600</v>
      </c>
      <c r="D292" s="4" t="e" vm="92">
        <f t="shared" ca="1" si="8"/>
        <v>#N/A</v>
      </c>
      <c r="E292" s="2" t="e" cm="1" vm="334">
        <f t="array" aca="1" ref="E292" ca="1">_xlfn.STOCKHISTORY(A292,$F$6,$F$6,0,0,1)</f>
        <v>#N/A</v>
      </c>
      <c r="F292" s="2" t="e" vm="92">
        <f t="shared" ca="1" si="9"/>
        <v>#N/A</v>
      </c>
    </row>
    <row r="293" spans="1:6" x14ac:dyDescent="0.2">
      <c r="A293" t="e" vm="907">
        <v>#VALUE!</v>
      </c>
      <c r="B293" cm="1" vm="908">
        <f t="array" aca="1" ref="B293" ca="1">_xlfn.STOCKHISTORY(A293,$D$6,$D$6,0,0,1)</f>
        <v>134.72999999999999</v>
      </c>
      <c r="C293" s="4" cm="1">
        <f t="array" aca="1" ref="C293" ca="1">_FV(A293,"Shares outstanding",TRUE)</f>
        <v>66800000</v>
      </c>
      <c r="D293" s="4">
        <f t="shared" ca="1" si="8"/>
        <v>8999964000</v>
      </c>
      <c r="E293" s="2" cm="1" vm="909">
        <f t="array" aca="1" ref="E293" ca="1">_xlfn.STOCKHISTORY(A293,$F$6,$F$6,0,0,1)</f>
        <v>142.06</v>
      </c>
      <c r="F293" s="2">
        <f t="shared" ca="1" si="9"/>
        <v>9489608000</v>
      </c>
    </row>
    <row r="294" spans="1:6" x14ac:dyDescent="0.2">
      <c r="A294" t="e" vm="910">
        <v>#VALUE!</v>
      </c>
      <c r="B294" cm="1" vm="911">
        <f t="array" aca="1" ref="B294" ca="1">_xlfn.STOCKHISTORY(A294,$D$6,$D$6,0,0,1)</f>
        <v>34.17</v>
      </c>
      <c r="C294" s="4" cm="1">
        <f t="array" aca="1" ref="C294" ca="1">_FV(A294,"Shares outstanding",TRUE)</f>
        <v>255828500</v>
      </c>
      <c r="D294" s="4">
        <f t="shared" ca="1" si="8"/>
        <v>8741659845</v>
      </c>
      <c r="E294" s="2" cm="1" vm="912">
        <f t="array" aca="1" ref="E294" ca="1">_xlfn.STOCKHISTORY(A294,$F$6,$F$6,0,0,1)</f>
        <v>36.93</v>
      </c>
      <c r="F294" s="2">
        <f t="shared" ca="1" si="9"/>
        <v>9447746505</v>
      </c>
    </row>
    <row r="295" spans="1:6" x14ac:dyDescent="0.2">
      <c r="A295" t="e" vm="913">
        <v>#VALUE!</v>
      </c>
      <c r="B295" cm="1" vm="914">
        <f t="array" aca="1" ref="B295" ca="1">_xlfn.STOCKHISTORY(A295,$D$6,$D$6,0,0,1)</f>
        <v>94.66</v>
      </c>
      <c r="C295" s="4" cm="1">
        <f t="array" aca="1" ref="C295" ca="1">_FV(A295,"Shares outstanding",TRUE)</f>
        <v>140685800</v>
      </c>
      <c r="D295" s="4">
        <f t="shared" ca="1" si="8"/>
        <v>13317317828</v>
      </c>
      <c r="E295" s="2" cm="1" vm="915">
        <f t="array" aca="1" ref="E295" ca="1">_xlfn.STOCKHISTORY(A295,$F$6,$F$6,0,0,1)</f>
        <v>96.59</v>
      </c>
      <c r="F295" s="2">
        <f t="shared" ca="1" si="9"/>
        <v>13588841422</v>
      </c>
    </row>
    <row r="296" spans="1:6" x14ac:dyDescent="0.2">
      <c r="A296" t="e" vm="916">
        <v>#VALUE!</v>
      </c>
      <c r="B296" cm="1" vm="917">
        <f t="array" aca="1" ref="B296" ca="1">_xlfn.STOCKHISTORY(A296,$D$6,$D$6,0,0,1)</f>
        <v>48.57</v>
      </c>
      <c r="C296" s="4" cm="1">
        <f t="array" aca="1" ref="C296" ca="1">_FV(A296,"Shares outstanding",TRUE)</f>
        <v>207048800</v>
      </c>
      <c r="D296" s="4">
        <f t="shared" ca="1" si="8"/>
        <v>10056360216</v>
      </c>
      <c r="E296" s="2" cm="1" vm="918">
        <f t="array" aca="1" ref="E296" ca="1">_xlfn.STOCKHISTORY(A296,$F$6,$F$6,0,0,1)</f>
        <v>50.49</v>
      </c>
      <c r="F296" s="2">
        <f t="shared" ca="1" si="9"/>
        <v>10453893912</v>
      </c>
    </row>
    <row r="297" spans="1:6" x14ac:dyDescent="0.2">
      <c r="A297" t="e" vm="919">
        <v>#VALUE!</v>
      </c>
      <c r="B297" cm="1" vm="920">
        <f t="array" aca="1" ref="B297" ca="1">_xlfn.STOCKHISTORY(A297,$D$6,$D$6,0,0,1)</f>
        <v>31.3</v>
      </c>
      <c r="C297" s="4" cm="1">
        <f t="array" aca="1" ref="C297" ca="1">_FV(A297,"Shares outstanding",TRUE)</f>
        <v>101143600</v>
      </c>
      <c r="D297" s="4">
        <f t="shared" ca="1" si="8"/>
        <v>3165794680</v>
      </c>
      <c r="E297" s="2" cm="1" vm="921">
        <f t="array" aca="1" ref="E297" ca="1">_xlfn.STOCKHISTORY(A297,$F$6,$F$6,0,0,1)</f>
        <v>32.83</v>
      </c>
      <c r="F297" s="2">
        <f t="shared" ca="1" si="9"/>
        <v>3320544388</v>
      </c>
    </row>
    <row r="298" spans="1:6" x14ac:dyDescent="0.2">
      <c r="A298" t="e" vm="922">
        <v>#VALUE!</v>
      </c>
      <c r="B298" cm="1" vm="923">
        <f t="array" aca="1" ref="B298" ca="1">_xlfn.STOCKHISTORY(A298,$D$6,$D$6,0,0,1)</f>
        <v>109.27</v>
      </c>
      <c r="C298" s="4" cm="1">
        <f t="array" aca="1" ref="C298" ca="1">_FV(A298,"Shares outstanding",TRUE)</f>
        <v>103974500</v>
      </c>
      <c r="D298" s="4">
        <f t="shared" ca="1" si="8"/>
        <v>11361293615</v>
      </c>
      <c r="E298" s="2" cm="1" vm="924">
        <f t="array" aca="1" ref="E298" ca="1">_xlfn.STOCKHISTORY(A298,$F$6,$F$6,0,0,1)</f>
        <v>114.21</v>
      </c>
      <c r="F298" s="2">
        <f t="shared" ca="1" si="9"/>
        <v>11874927645</v>
      </c>
    </row>
    <row r="299" spans="1:6" x14ac:dyDescent="0.2">
      <c r="A299" t="e" vm="687">
        <v>#VALUE!</v>
      </c>
      <c r="B299" cm="1" vm="688">
        <f t="array" aca="1" ref="B299" ca="1">_xlfn.STOCKHISTORY(A299,$D$6,$D$6,0,0,1)</f>
        <v>48.04</v>
      </c>
      <c r="C299" s="4" cm="1">
        <f t="array" aca="1" ref="C299" ca="1">_FV(A299,"Shares outstanding",TRUE)</f>
        <v>109572000</v>
      </c>
      <c r="D299" s="4">
        <f t="shared" ca="1" si="8"/>
        <v>5263838880</v>
      </c>
      <c r="E299" s="2" cm="1" vm="689">
        <f t="array" aca="1" ref="E299" ca="1">_xlfn.STOCKHISTORY(A299,$F$6,$F$6,0,0,1)</f>
        <v>52.81</v>
      </c>
      <c r="F299" s="2">
        <f t="shared" ca="1" si="9"/>
        <v>5786497320</v>
      </c>
    </row>
    <row r="300" spans="1:6" x14ac:dyDescent="0.2">
      <c r="A300" t="e" vm="925">
        <v>#VALUE!</v>
      </c>
      <c r="B300" cm="1" vm="926">
        <f t="array" aca="1" ref="B300" ca="1">_xlfn.STOCKHISTORY(A300,$D$6,$D$6,0,0,1)</f>
        <v>100.36</v>
      </c>
      <c r="C300" s="4" cm="1">
        <f t="array" aca="1" ref="C300" ca="1">_FV(A300,"Shares outstanding",TRUE)</f>
        <v>86276030</v>
      </c>
      <c r="D300" s="4">
        <f t="shared" ca="1" si="8"/>
        <v>8658662370.7999992</v>
      </c>
      <c r="E300" s="2" cm="1" vm="927">
        <f t="array" aca="1" ref="E300" ca="1">_xlfn.STOCKHISTORY(A300,$F$6,$F$6,0,0,1)</f>
        <v>103.6</v>
      </c>
      <c r="F300" s="2">
        <f t="shared" ca="1" si="9"/>
        <v>8938196708</v>
      </c>
    </row>
    <row r="301" spans="1:6" x14ac:dyDescent="0.2">
      <c r="A301" t="e" vm="928">
        <v>#VALUE!</v>
      </c>
      <c r="B301" cm="1" vm="929">
        <f t="array" aca="1" ref="B301" ca="1">_xlfn.STOCKHISTORY(A301,$D$6,$D$6,0,0,1)</f>
        <v>49.32</v>
      </c>
      <c r="C301" s="4" cm="1">
        <f t="array" aca="1" ref="C301" ca="1">_FV(A301,"Shares outstanding",TRUE)</f>
        <v>178155700</v>
      </c>
      <c r="D301" s="4">
        <f t="shared" ca="1" si="8"/>
        <v>8786639124</v>
      </c>
      <c r="E301" s="2" cm="1" vm="930">
        <f t="array" aca="1" ref="E301" ca="1">_xlfn.STOCKHISTORY(A301,$F$6,$F$6,0,0,1)</f>
        <v>51.31</v>
      </c>
      <c r="F301" s="2">
        <f t="shared" ca="1" si="9"/>
        <v>9141168967</v>
      </c>
    </row>
    <row r="302" spans="1:6" x14ac:dyDescent="0.2">
      <c r="A302" t="e" vm="931">
        <v>#VALUE!</v>
      </c>
      <c r="B302" cm="1" vm="932">
        <f t="array" aca="1" ref="B302" ca="1">_xlfn.STOCKHISTORY(A302,$D$6,$D$6,0,0,1)</f>
        <v>4.46</v>
      </c>
      <c r="C302" s="4" cm="1">
        <f t="array" aca="1" ref="C302" ca="1">_FV(A302,"Shares outstanding",TRUE)</f>
        <v>4912392000</v>
      </c>
      <c r="D302" s="4">
        <f t="shared" ca="1" si="8"/>
        <v>21909268320</v>
      </c>
      <c r="E302" s="2" cm="1" vm="933">
        <f t="array" aca="1" ref="E302" ca="1">_xlfn.STOCKHISTORY(A302,$F$6,$F$6,0,0,1)</f>
        <v>4.32</v>
      </c>
      <c r="F302" s="2">
        <f t="shared" ca="1" si="9"/>
        <v>21221533440</v>
      </c>
    </row>
    <row r="303" spans="1:6" x14ac:dyDescent="0.2">
      <c r="A303" t="e" vm="934">
        <v>#VALUE!</v>
      </c>
      <c r="B303" cm="1" vm="935">
        <f t="array" aca="1" ref="B303" ca="1">_xlfn.STOCKHISTORY(A303,$D$6,$D$6,0,0,1)</f>
        <v>241.23</v>
      </c>
      <c r="C303" s="4" cm="1">
        <f t="array" aca="1" ref="C303" ca="1">_FV(A303,"Shares outstanding",TRUE)</f>
        <v>49699770</v>
      </c>
      <c r="D303" s="4">
        <f t="shared" ca="1" si="8"/>
        <v>11989075517.1</v>
      </c>
      <c r="E303" s="2" cm="1" vm="936">
        <f t="array" aca="1" ref="E303" ca="1">_xlfn.STOCKHISTORY(A303,$F$6,$F$6,0,0,1)</f>
        <v>241.31</v>
      </c>
      <c r="F303" s="2">
        <f t="shared" ca="1" si="9"/>
        <v>11993051498.700001</v>
      </c>
    </row>
    <row r="304" spans="1:6" x14ac:dyDescent="0.2">
      <c r="A304" t="e" vm="937">
        <v>#VALUE!</v>
      </c>
      <c r="B304" cm="1" vm="938">
        <f t="array" aca="1" ref="B304" ca="1">_xlfn.STOCKHISTORY(A304,$D$6,$D$6,0,0,1)</f>
        <v>78.8</v>
      </c>
      <c r="C304" s="4" cm="1">
        <f t="array" aca="1" ref="C304" ca="1">_FV(A304,"Shares outstanding",TRUE)</f>
        <v>92705680</v>
      </c>
      <c r="D304" s="4">
        <f t="shared" ca="1" si="8"/>
        <v>7305207584</v>
      </c>
      <c r="E304" s="2" cm="1" vm="939">
        <f t="array" aca="1" ref="E304" ca="1">_xlfn.STOCKHISTORY(A304,$F$6,$F$6,0,0,1)</f>
        <v>80.95</v>
      </c>
      <c r="F304" s="2">
        <f t="shared" ca="1" si="9"/>
        <v>7504524796</v>
      </c>
    </row>
    <row r="305" spans="1:6" x14ac:dyDescent="0.2">
      <c r="A305" t="e" vm="940">
        <v>#VALUE!</v>
      </c>
      <c r="B305" cm="1" vm="941">
        <f t="array" aca="1" ref="B305" ca="1">_xlfn.STOCKHISTORY(A305,$D$6,$D$6,0,0,1)</f>
        <v>8</v>
      </c>
      <c r="C305" s="4" cm="1">
        <f t="array" aca="1" ref="C305" ca="1">_FV(A305,"Shares outstanding",TRUE)</f>
        <v>260315600</v>
      </c>
      <c r="D305" s="4">
        <f t="shared" ca="1" si="8"/>
        <v>2082524800</v>
      </c>
      <c r="E305" s="2" cm="1" vm="942">
        <f t="array" aca="1" ref="E305" ca="1">_xlfn.STOCKHISTORY(A305,$F$6,$F$6,0,0,1)</f>
        <v>8.2899999999999991</v>
      </c>
      <c r="F305" s="2">
        <f t="shared" ca="1" si="9"/>
        <v>2158016324</v>
      </c>
    </row>
    <row r="306" spans="1:6" x14ac:dyDescent="0.2">
      <c r="A306" t="e" vm="943">
        <v>#VALUE!</v>
      </c>
      <c r="B306" cm="1" vm="944">
        <f t="array" aca="1" ref="B306" ca="1">_xlfn.STOCKHISTORY(A306,$D$6,$D$6,0,0,1)</f>
        <v>93.63</v>
      </c>
      <c r="C306" s="4" cm="1">
        <f t="array" aca="1" ref="C306" ca="1">_FV(A306,"Shares outstanding",TRUE)</f>
        <v>120905400</v>
      </c>
      <c r="D306" s="4">
        <f t="shared" ca="1" si="8"/>
        <v>11320372602</v>
      </c>
      <c r="E306" s="2" cm="1" vm="945">
        <f t="array" aca="1" ref="E306" ca="1">_xlfn.STOCKHISTORY(A306,$F$6,$F$6,0,0,1)</f>
        <v>94</v>
      </c>
      <c r="F306" s="2">
        <f t="shared" ca="1" si="9"/>
        <v>11365107600</v>
      </c>
    </row>
    <row r="307" spans="1:6" x14ac:dyDescent="0.2">
      <c r="A307" t="e" vm="946">
        <v>#VALUE!</v>
      </c>
      <c r="B307" cm="1" vm="947">
        <f t="array" aca="1" ref="B307" ca="1">_xlfn.STOCKHISTORY(A307,$D$6,$D$6,0,0,1)</f>
        <v>152.18</v>
      </c>
      <c r="C307" s="4" cm="1">
        <f t="array" aca="1" ref="C307" ca="1">_FV(A307,"Shares outstanding",TRUE)</f>
        <v>214677500</v>
      </c>
      <c r="D307" s="4">
        <f t="shared" ca="1" si="8"/>
        <v>32669621950</v>
      </c>
      <c r="E307" s="2" cm="1" vm="948">
        <f t="array" aca="1" ref="E307" ca="1">_xlfn.STOCKHISTORY(A307,$F$6,$F$6,0,0,1)</f>
        <v>143.99</v>
      </c>
      <c r="F307" s="2">
        <f t="shared" ca="1" si="9"/>
        <v>30911413225.000004</v>
      </c>
    </row>
    <row r="308" spans="1:6" x14ac:dyDescent="0.2">
      <c r="A308" t="e" vm="949">
        <v>#VALUE!</v>
      </c>
      <c r="B308" cm="1" vm="950">
        <f t="array" aca="1" ref="B308" ca="1">_xlfn.STOCKHISTORY(A308,$D$6,$D$6,0,0,1)</f>
        <v>25.01</v>
      </c>
      <c r="C308" s="4" cm="1">
        <f t="array" aca="1" ref="C308" ca="1">_FV(A308,"Shares outstanding",TRUE)</f>
        <v>555378100</v>
      </c>
      <c r="D308" s="4">
        <f t="shared" ca="1" si="8"/>
        <v>13890006281</v>
      </c>
      <c r="E308" s="2" cm="1" vm="951">
        <f t="array" aca="1" ref="E308" ca="1">_xlfn.STOCKHISTORY(A308,$F$6,$F$6,0,0,1)</f>
        <v>24.69</v>
      </c>
      <c r="F308" s="2">
        <f t="shared" ca="1" si="9"/>
        <v>13712285289</v>
      </c>
    </row>
    <row r="309" spans="1:6" x14ac:dyDescent="0.2">
      <c r="A309" t="e" vm="952">
        <v>#VALUE!</v>
      </c>
      <c r="B309" cm="1" vm="953">
        <f t="array" aca="1" ref="B309" ca="1">_xlfn.STOCKHISTORY(A309,$D$6,$D$6,0,0,1)</f>
        <v>62.36</v>
      </c>
      <c r="C309" s="4" cm="1">
        <f t="array" aca="1" ref="C309" ca="1">_FV(A309,"Shares outstanding",TRUE)</f>
        <v>147888800</v>
      </c>
      <c r="D309" s="4">
        <f t="shared" ca="1" si="8"/>
        <v>9222345568</v>
      </c>
      <c r="E309" s="2" cm="1" vm="954">
        <f t="array" aca="1" ref="E309" ca="1">_xlfn.STOCKHISTORY(A309,$F$6,$F$6,0,0,1)</f>
        <v>63.81</v>
      </c>
      <c r="F309" s="2">
        <f t="shared" ca="1" si="9"/>
        <v>9436784328</v>
      </c>
    </row>
    <row r="310" spans="1:6" x14ac:dyDescent="0.2">
      <c r="A310" t="e" vm="955">
        <v>#VALUE!</v>
      </c>
      <c r="B310" cm="1" vm="956">
        <f t="array" aca="1" ref="B310" ca="1">_xlfn.STOCKHISTORY(A310,$D$6,$D$6,0,0,1)</f>
        <v>1.85</v>
      </c>
      <c r="C310" s="4" cm="1">
        <f t="array" aca="1" ref="C310" ca="1">_FV(A310,"Shares outstanding",TRUE)</f>
        <v>136883300</v>
      </c>
      <c r="D310" s="4">
        <f t="shared" ca="1" si="8"/>
        <v>253234105</v>
      </c>
      <c r="E310" s="2" cm="1" vm="957">
        <f t="array" aca="1" ref="E310" ca="1">_xlfn.STOCKHISTORY(A310,$F$6,$F$6,0,0,1)</f>
        <v>1.76</v>
      </c>
      <c r="F310" s="2">
        <f t="shared" ca="1" si="9"/>
        <v>240914608</v>
      </c>
    </row>
    <row r="311" spans="1:6" x14ac:dyDescent="0.2">
      <c r="A311" t="e" vm="958">
        <v>#VALUE!</v>
      </c>
      <c r="B311" cm="1" vm="959">
        <f t="array" aca="1" ref="B311" ca="1">_xlfn.STOCKHISTORY(A311,$D$6,$D$6,0,0,1)</f>
        <v>27</v>
      </c>
      <c r="C311" s="4" cm="1">
        <f t="array" aca="1" ref="C311" ca="1">_FV(A311,"Shares outstanding",TRUE)</f>
        <v>520763400</v>
      </c>
      <c r="D311" s="4">
        <f t="shared" ca="1" si="8"/>
        <v>14060611800</v>
      </c>
      <c r="E311" s="2" cm="1" vm="960">
        <f t="array" aca="1" ref="E311" ca="1">_xlfn.STOCKHISTORY(A311,$F$6,$F$6,0,0,1)</f>
        <v>27.83</v>
      </c>
      <c r="F311" s="2">
        <f t="shared" ca="1" si="9"/>
        <v>14492845422</v>
      </c>
    </row>
    <row r="312" spans="1:6" x14ac:dyDescent="0.2">
      <c r="A312" t="e" vm="961">
        <v>#VALUE!</v>
      </c>
      <c r="B312" cm="1" vm="962">
        <f t="array" aca="1" ref="B312" ca="1">_xlfn.STOCKHISTORY(A312,$D$6,$D$6,0,0,1)</f>
        <v>55.14</v>
      </c>
      <c r="C312" s="4" cm="1">
        <f t="array" aca="1" ref="C312" ca="1">_FV(A312,"Shares outstanding",TRUE)</f>
        <v>114641400</v>
      </c>
      <c r="D312" s="4">
        <f t="shared" ca="1" si="8"/>
        <v>6321326796</v>
      </c>
      <c r="E312" s="2" cm="1" vm="963">
        <f t="array" aca="1" ref="E312" ca="1">_xlfn.STOCKHISTORY(A312,$F$6,$F$6,0,0,1)</f>
        <v>56.14</v>
      </c>
      <c r="F312" s="2">
        <f t="shared" ca="1" si="9"/>
        <v>6435968196</v>
      </c>
    </row>
    <row r="313" spans="1:6" x14ac:dyDescent="0.2">
      <c r="A313" t="e" vm="964">
        <v>#VALUE!</v>
      </c>
      <c r="B313" cm="1" vm="883">
        <f t="array" aca="1" ref="B313" ca="1">_xlfn.STOCKHISTORY(A313,$D$6,$D$6,0,0,1)</f>
        <v>20.9</v>
      </c>
      <c r="C313" s="4" cm="1">
        <f t="array" aca="1" ref="C313" ca="1">_FV(A313,"Shares outstanding",TRUE)</f>
        <v>391263300</v>
      </c>
      <c r="D313" s="4">
        <f t="shared" ca="1" si="8"/>
        <v>8177402969.999999</v>
      </c>
      <c r="E313" s="2" cm="1" vm="965">
        <f t="array" aca="1" ref="E313" ca="1">_xlfn.STOCKHISTORY(A313,$F$6,$F$6,0,0,1)</f>
        <v>21.18</v>
      </c>
      <c r="F313" s="2">
        <f t="shared" ca="1" si="9"/>
        <v>8286956694</v>
      </c>
    </row>
    <row r="314" spans="1:6" x14ac:dyDescent="0.2">
      <c r="A314" t="e" vm="966">
        <v>#VALUE!</v>
      </c>
      <c r="B314" cm="1" vm="967">
        <f t="array" aca="1" ref="B314" ca="1">_xlfn.STOCKHISTORY(A314,$D$6,$D$6,0,0,1)</f>
        <v>124.75</v>
      </c>
      <c r="C314" s="4" cm="1">
        <f t="array" aca="1" ref="C314" ca="1">_FV(A314,"Shares outstanding",TRUE)</f>
        <v>61460360</v>
      </c>
      <c r="D314" s="4">
        <f t="shared" ca="1" si="8"/>
        <v>7667179910</v>
      </c>
      <c r="E314" s="2" cm="1" vm="968">
        <f t="array" aca="1" ref="E314" ca="1">_xlfn.STOCKHISTORY(A314,$F$6,$F$6,0,0,1)</f>
        <v>130.41</v>
      </c>
      <c r="F314" s="2">
        <f t="shared" ca="1" si="9"/>
        <v>8015045547.5999994</v>
      </c>
    </row>
    <row r="315" spans="1:6" x14ac:dyDescent="0.2">
      <c r="A315" t="e" vm="969">
        <v>#VALUE!</v>
      </c>
      <c r="B315" cm="1" vm="970">
        <f t="array" aca="1" ref="B315" ca="1">_xlfn.STOCKHISTORY(A315,$D$6,$D$6,0,0,1)</f>
        <v>13.5</v>
      </c>
      <c r="C315" s="4" cm="1">
        <f t="array" aca="1" ref="C315" ca="1">_FV(A315,"Shares outstanding",TRUE)</f>
        <v>169760000</v>
      </c>
      <c r="D315" s="4">
        <f t="shared" ca="1" si="8"/>
        <v>2291760000</v>
      </c>
      <c r="E315" s="2" cm="1" vm="971">
        <f t="array" aca="1" ref="E315" ca="1">_xlfn.STOCKHISTORY(A315,$F$6,$F$6,0,0,1)</f>
        <v>14.25</v>
      </c>
      <c r="F315" s="2">
        <f t="shared" ca="1" si="9"/>
        <v>2419080000</v>
      </c>
    </row>
    <row r="316" spans="1:6" x14ac:dyDescent="0.2">
      <c r="A316" t="e" vm="972">
        <v>#VALUE!</v>
      </c>
      <c r="B316" cm="1" vm="973">
        <f t="array" aca="1" ref="B316" ca="1">_xlfn.STOCKHISTORY(A316,$D$6,$D$6,0,0,1)</f>
        <v>40.71</v>
      </c>
      <c r="C316" s="4" cm="1">
        <f t="array" aca="1" ref="C316" ca="1">_FV(A316,"Shares outstanding",TRUE)</f>
        <v>190090400</v>
      </c>
      <c r="D316" s="4">
        <f t="shared" ca="1" si="8"/>
        <v>7738580184</v>
      </c>
      <c r="E316" s="2" cm="1" vm="974">
        <f t="array" aca="1" ref="E316" ca="1">_xlfn.STOCKHISTORY(A316,$F$6,$F$6,0,0,1)</f>
        <v>40.65</v>
      </c>
      <c r="F316" s="2">
        <f t="shared" ca="1" si="9"/>
        <v>7727174760</v>
      </c>
    </row>
    <row r="317" spans="1:6" x14ac:dyDescent="0.2">
      <c r="A317" t="e" vm="975">
        <v>#VALUE!</v>
      </c>
      <c r="B317" cm="1" vm="976">
        <f t="array" aca="1" ref="B317" ca="1">_xlfn.STOCKHISTORY(A317,$D$6,$D$6,0,0,1)</f>
        <v>354.04</v>
      </c>
      <c r="C317" s="4" cm="1">
        <f t="array" aca="1" ref="C317" ca="1">_FV(A317,"Shares outstanding",TRUE)</f>
        <v>60536410</v>
      </c>
      <c r="D317" s="4">
        <f t="shared" ca="1" si="8"/>
        <v>21432310596.400002</v>
      </c>
      <c r="E317" s="2" cm="1" vm="977">
        <f t="array" aca="1" ref="E317" ca="1">_xlfn.STOCKHISTORY(A317,$F$6,$F$6,0,0,1)</f>
        <v>354.7</v>
      </c>
      <c r="F317" s="2">
        <f t="shared" ca="1" si="9"/>
        <v>21472264627</v>
      </c>
    </row>
    <row r="318" spans="1:6" x14ac:dyDescent="0.2">
      <c r="A318" t="e" vm="978">
        <v>#VALUE!</v>
      </c>
      <c r="B318" cm="1" vm="979">
        <f t="array" aca="1" ref="B318" ca="1">_xlfn.STOCKHISTORY(A318,$D$6,$D$6,0,0,1)</f>
        <v>41.85</v>
      </c>
      <c r="C318" s="4" cm="1">
        <f t="array" aca="1" ref="C318" ca="1">_FV(A318,"Shares outstanding",TRUE)</f>
        <v>147271100</v>
      </c>
      <c r="D318" s="4">
        <f t="shared" ca="1" si="8"/>
        <v>6163295535</v>
      </c>
      <c r="E318" s="2" cm="1" vm="980">
        <f t="array" aca="1" ref="E318" ca="1">_xlfn.STOCKHISTORY(A318,$F$6,$F$6,0,0,1)</f>
        <v>41.8</v>
      </c>
      <c r="F318" s="2">
        <f t="shared" ca="1" si="9"/>
        <v>6155931980</v>
      </c>
    </row>
    <row r="319" spans="1:6" x14ac:dyDescent="0.2">
      <c r="A319" t="e" vm="981">
        <v>#VALUE!</v>
      </c>
      <c r="B319" cm="1" vm="982">
        <f t="array" aca="1" ref="B319" ca="1">_xlfn.STOCKHISTORY(A319,$D$6,$D$6,0,0,1)</f>
        <v>429.64</v>
      </c>
      <c r="C319" s="4" cm="1">
        <f t="array" aca="1" ref="C319" ca="1">_FV(A319,"Shares outstanding",TRUE)</f>
        <v>39242690</v>
      </c>
      <c r="D319" s="4">
        <f t="shared" ca="1" si="8"/>
        <v>16860229331.6</v>
      </c>
      <c r="E319" s="2" cm="1" vm="983">
        <f t="array" aca="1" ref="E319" ca="1">_xlfn.STOCKHISTORY(A319,$F$6,$F$6,0,0,1)</f>
        <v>413.14</v>
      </c>
      <c r="F319" s="2">
        <f t="shared" ca="1" si="9"/>
        <v>16212724946.6</v>
      </c>
    </row>
    <row r="320" spans="1:6" x14ac:dyDescent="0.2">
      <c r="A320" t="e" vm="984">
        <v>#VALUE!</v>
      </c>
      <c r="B320" cm="1" vm="985">
        <f t="array" aca="1" ref="B320" ca="1">_xlfn.STOCKHISTORY(A320,$D$6,$D$6,0,0,1)</f>
        <v>12</v>
      </c>
      <c r="C320" s="4" cm="1">
        <f t="array" aca="1" ref="C320" ca="1">_FV(A320,"Shares outstanding",TRUE)</f>
        <v>199749300</v>
      </c>
      <c r="D320" s="4">
        <f t="shared" ca="1" si="8"/>
        <v>2396991600</v>
      </c>
      <c r="E320" s="2" cm="1" vm="986">
        <f t="array" aca="1" ref="E320" ca="1">_xlfn.STOCKHISTORY(A320,$F$6,$F$6,0,0,1)</f>
        <v>12.54</v>
      </c>
      <c r="F320" s="2">
        <f t="shared" ca="1" si="9"/>
        <v>2504856222</v>
      </c>
    </row>
    <row r="321" spans="1:6" x14ac:dyDescent="0.2">
      <c r="A321" t="e" vm="987">
        <v>#VALUE!</v>
      </c>
      <c r="B321" cm="1" vm="988">
        <f t="array" aca="1" ref="B321" ca="1">_xlfn.STOCKHISTORY(A321,$D$6,$D$6,0,0,1)</f>
        <v>26.53</v>
      </c>
      <c r="C321" s="4" cm="1">
        <f t="array" aca="1" ref="C321" ca="1">_FV(A321,"Shares outstanding",TRUE)</f>
        <v>443673800</v>
      </c>
      <c r="D321" s="4">
        <f t="shared" ca="1" si="8"/>
        <v>11770665914</v>
      </c>
      <c r="E321" s="2" cm="1" vm="989">
        <f t="array" aca="1" ref="E321" ca="1">_xlfn.STOCKHISTORY(A321,$F$6,$F$6,0,0,1)</f>
        <v>26.84</v>
      </c>
      <c r="F321" s="2">
        <f t="shared" ca="1" si="9"/>
        <v>11908204792</v>
      </c>
    </row>
    <row r="322" spans="1:6" x14ac:dyDescent="0.2">
      <c r="A322" t="e" vm="990">
        <v>#VALUE!</v>
      </c>
      <c r="B322" cm="1" vm="991">
        <f t="array" aca="1" ref="B322" ca="1">_xlfn.STOCKHISTORY(A322,$D$6,$D$6,0,0,1)</f>
        <v>4.4000000000000004</v>
      </c>
      <c r="C322" s="4" cm="1">
        <f t="array" aca="1" ref="C322" ca="1">_FV(A322,"Shares outstanding",TRUE)</f>
        <v>419200000</v>
      </c>
      <c r="D322" s="4">
        <f t="shared" ca="1" si="8"/>
        <v>1844480000.0000002</v>
      </c>
      <c r="E322" s="2" cm="1" vm="992">
        <f t="array" aca="1" ref="E322" ca="1">_xlfn.STOCKHISTORY(A322,$F$6,$F$6,0,0,1)</f>
        <v>4.58</v>
      </c>
      <c r="F322" s="2">
        <f t="shared" ca="1" si="9"/>
        <v>1919936000</v>
      </c>
    </row>
    <row r="323" spans="1:6" x14ac:dyDescent="0.2">
      <c r="A323" t="e" vm="993">
        <v>#VALUE!</v>
      </c>
      <c r="B323" cm="1" vm="994">
        <f t="array" aca="1" ref="B323" ca="1">_xlfn.STOCKHISTORY(A323,$D$6,$D$6,0,0,1)</f>
        <v>5.0000000000000001E-4</v>
      </c>
      <c r="C323" s="4" cm="1">
        <f t="array" aca="1" ref="C323" ca="1">_FV(A323,"Shares outstanding",TRUE)</f>
        <v>186538200</v>
      </c>
      <c r="D323" s="4">
        <f t="shared" ca="1" si="8"/>
        <v>93269.1</v>
      </c>
      <c r="E323" s="2" cm="1" vm="995">
        <f t="array" aca="1" ref="E323" ca="1">_xlfn.STOCKHISTORY(A323,$F$6,$F$6,0,0,1)</f>
        <v>1E-3</v>
      </c>
      <c r="F323" s="2">
        <f t="shared" ca="1" si="9"/>
        <v>186538.2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Price Weighted</vt:lpstr>
      <vt:lpstr>Market-cap Weighted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Brody Blanchard</dc:creator>
  <cp:lastModifiedBy>Brody Blanchard</cp:lastModifiedBy>
  <dcterms:created xsi:type="dcterms:W3CDTF">2026-02-05T14:42:39Z</dcterms:created>
  <dcterms:modified xsi:type="dcterms:W3CDTF">2026-03-03T03:06:49Z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3188ad8-4875-42e6-925c-bd11f6824504_Enabled">
    <vt:lpwstr>true</vt:lpwstr>
  </property>
  <property fmtid="{D5CDD505-2E9C-101B-9397-08002B2CF9AE}" pid="3" name="MSIP_Label_33188ad8-4875-42e6-925c-bd11f6824504_SetDate">
    <vt:lpwstr>2026-03-03T03:06:49Z</vt:lpwstr>
  </property>
  <property fmtid="{D5CDD505-2E9C-101B-9397-08002B2CF9AE}" pid="4" name="MSIP_Label_33188ad8-4875-42e6-925c-bd11f6824504_Method">
    <vt:lpwstr>Standard</vt:lpwstr>
  </property>
  <property fmtid="{D5CDD505-2E9C-101B-9397-08002B2CF9AE}" pid="5" name="MSIP_Label_33188ad8-4875-42e6-925c-bd11f6824504_Name">
    <vt:lpwstr>defa4170-0d19-0005-0004-bc88714345d2</vt:lpwstr>
  </property>
  <property fmtid="{D5CDD505-2E9C-101B-9397-08002B2CF9AE}" pid="6" name="MSIP_Label_33188ad8-4875-42e6-925c-bd11f6824504_SiteId">
    <vt:lpwstr>8143a300-2c64-4dd4-bb14-bcd3f04c1963</vt:lpwstr>
  </property>
  <property fmtid="{D5CDD505-2E9C-101B-9397-08002B2CF9AE}" pid="7" name="MSIP_Label_33188ad8-4875-42e6-925c-bd11f6824504_ActionId">
    <vt:lpwstr>9a69f862-52f1-4c5d-ab64-4fdb9aece6ce</vt:lpwstr>
  </property>
  <property fmtid="{D5CDD505-2E9C-101B-9397-08002B2CF9AE}" pid="8" name="MSIP_Label_33188ad8-4875-42e6-925c-bd11f6824504_ContentBits">
    <vt:lpwstr>0</vt:lpwstr>
  </property>
  <property fmtid="{D5CDD505-2E9C-101B-9397-08002B2CF9AE}" pid="9" name="MSIP_Label_33188ad8-4875-42e6-925c-bd11f6824504_Tag">
    <vt:lpwstr>50, 3, 0, 1</vt:lpwstr>
  </property>
</Properties>
</file>