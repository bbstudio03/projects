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ratus/Desktop/"/>
    </mc:Choice>
  </mc:AlternateContent>
  <xr:revisionPtr revIDLastSave="0" documentId="13_ncr:1_{38906069-8538-7B45-8F72-793FAB81A2FF}" xr6:coauthVersionLast="47" xr6:coauthVersionMax="47" xr10:uidLastSave="{00000000-0000-0000-0000-000000000000}"/>
  <bookViews>
    <workbookView xWindow="-76800" yWindow="-3420" windowWidth="38400" windowHeight="21600" xr2:uid="{9BDECFFC-5C5E-2644-B0F8-56FDC4D48D85}"/>
  </bookViews>
  <sheets>
    <sheet name="Sheet1" sheetId="1" r:id="rId1"/>
  </sheets>
  <definedNames>
    <definedName name="solver_adj" localSheetId="0" hidden="1">Sheet1!$B$3:$C$3</definedName>
    <definedName name="solver_cvg" localSheetId="0" hidden="1">0.0001</definedName>
    <definedName name="solver_drv" localSheetId="0" hidden="1">1</definedName>
    <definedName name="solver_eng" localSheetId="0" hidden="1">3</definedName>
    <definedName name="solver_itr" localSheetId="0" hidden="1">2147483647</definedName>
    <definedName name="solver_lhs1" localSheetId="0" hidden="1">Sheet1!$B$3</definedName>
    <definedName name="solver_lhs2" localSheetId="0" hidden="1">Sheet1!$B$3:$C$3</definedName>
    <definedName name="solver_lhs3" localSheetId="0" hidden="1">Sheet1!$C$3</definedName>
    <definedName name="solver_lhs4" localSheetId="0" hidden="1">Sheet1!$C$3</definedName>
    <definedName name="solver_lhs5" localSheetId="0" hidden="1">Sheet1!$C$3</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2</definedName>
    <definedName name="solver_nod" localSheetId="0" hidden="1">2147483647</definedName>
    <definedName name="solver_num" localSheetId="0" hidden="1">4</definedName>
    <definedName name="solver_opt" localSheetId="0" hidden="1">Sheet1!$G$3</definedName>
    <definedName name="solver_pre" localSheetId="0" hidden="1">0.000001</definedName>
    <definedName name="solver_rbv" localSheetId="0" hidden="1">1</definedName>
    <definedName name="solver_rel1" localSheetId="0" hidden="1">3</definedName>
    <definedName name="solver_rel2" localSheetId="0" hidden="1">4</definedName>
    <definedName name="solver_rel3" localSheetId="0" hidden="1">1</definedName>
    <definedName name="solver_rel4" localSheetId="0" hidden="1">3</definedName>
    <definedName name="solver_rel5" localSheetId="0" hidden="1">3</definedName>
    <definedName name="solver_rhs1" localSheetId="0" hidden="1">30</definedName>
    <definedName name="solver_rhs2" localSheetId="0" hidden="1">"integer"</definedName>
    <definedName name="solver_rhs3" localSheetId="0" hidden="1">80</definedName>
    <definedName name="solver_rhs4" localSheetId="0" hidden="1">Sheet1!$C$3</definedName>
    <definedName name="solver_rhs5" localSheetId="0" hidden="1">Sheet1!$C$3</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2000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1" l="1"/>
  <c r="W38" i="1" s="1"/>
  <c r="D2" i="1"/>
  <c r="C2" i="1" s="1"/>
  <c r="A7" i="1" a="1"/>
  <c r="AB46" i="1" l="1"/>
  <c r="AE53" i="1"/>
  <c r="AB52" i="1"/>
  <c r="AG51" i="1"/>
  <c r="Y51" i="1"/>
  <c r="AD50" i="1"/>
  <c r="AI49" i="1"/>
  <c r="AA49" i="1"/>
  <c r="AF48" i="1"/>
  <c r="X48" i="1"/>
  <c r="AC47" i="1"/>
  <c r="AH46" i="1"/>
  <c r="Z46" i="1"/>
  <c r="AE45" i="1"/>
  <c r="W45" i="1"/>
  <c r="AB44" i="1"/>
  <c r="AG43" i="1"/>
  <c r="Y43" i="1"/>
  <c r="AD42" i="1"/>
  <c r="AI41" i="1"/>
  <c r="AA41" i="1"/>
  <c r="AF40" i="1"/>
  <c r="X40" i="1"/>
  <c r="AC39" i="1"/>
  <c r="AF53" i="1"/>
  <c r="X53" i="1"/>
  <c r="AC52" i="1"/>
  <c r="AH51" i="1"/>
  <c r="Z51" i="1"/>
  <c r="AE50" i="1"/>
  <c r="W50" i="1"/>
  <c r="AB49" i="1"/>
  <c r="AG48" i="1"/>
  <c r="Y48" i="1"/>
  <c r="AD47" i="1"/>
  <c r="AI46" i="1"/>
  <c r="AA46" i="1"/>
  <c r="AF45" i="1"/>
  <c r="X45" i="1"/>
  <c r="AC44" i="1"/>
  <c r="AH43" i="1"/>
  <c r="Z43" i="1"/>
  <c r="AE42" i="1"/>
  <c r="W42" i="1"/>
  <c r="AB41" i="1"/>
  <c r="AG40" i="1"/>
  <c r="Y40" i="1"/>
  <c r="AD39" i="1"/>
  <c r="W53" i="1"/>
  <c r="AD53" i="1"/>
  <c r="AI52" i="1"/>
  <c r="AA52" i="1"/>
  <c r="AF51" i="1"/>
  <c r="X51" i="1"/>
  <c r="AC50" i="1"/>
  <c r="AH49" i="1"/>
  <c r="Z49" i="1"/>
  <c r="AE48" i="1"/>
  <c r="W48" i="1"/>
  <c r="AB47" i="1"/>
  <c r="AG46" i="1"/>
  <c r="Y46" i="1"/>
  <c r="AD45" i="1"/>
  <c r="AI44" i="1"/>
  <c r="AA44" i="1"/>
  <c r="AF43" i="1"/>
  <c r="X43" i="1"/>
  <c r="AC42" i="1"/>
  <c r="AH41" i="1"/>
  <c r="Z41" i="1"/>
  <c r="AE40" i="1"/>
  <c r="W40" i="1"/>
  <c r="AB39" i="1"/>
  <c r="AC53" i="1"/>
  <c r="Z52" i="1"/>
  <c r="W51" i="1"/>
  <c r="AG49" i="1"/>
  <c r="AD48" i="1"/>
  <c r="AA47" i="1"/>
  <c r="X46" i="1"/>
  <c r="AH44" i="1"/>
  <c r="AE43" i="1"/>
  <c r="AB42" i="1"/>
  <c r="Y41" i="1"/>
  <c r="AI39" i="1"/>
  <c r="AB53" i="1"/>
  <c r="Y52" i="1"/>
  <c r="AA50" i="1"/>
  <c r="AC48" i="1"/>
  <c r="Z47" i="1"/>
  <c r="AB45" i="1"/>
  <c r="AI42" i="1"/>
  <c r="Z39" i="1"/>
  <c r="AI53" i="1"/>
  <c r="AA53" i="1"/>
  <c r="AF52" i="1"/>
  <c r="X52" i="1"/>
  <c r="AC51" i="1"/>
  <c r="AH50" i="1"/>
  <c r="Z50" i="1"/>
  <c r="AE49" i="1"/>
  <c r="W49" i="1"/>
  <c r="AB48" i="1"/>
  <c r="AG47" i="1"/>
  <c r="Y47" i="1"/>
  <c r="AD46" i="1"/>
  <c r="AI45" i="1"/>
  <c r="AA45" i="1"/>
  <c r="AF44" i="1"/>
  <c r="X44" i="1"/>
  <c r="AC43" i="1"/>
  <c r="AH42" i="1"/>
  <c r="Z42" i="1"/>
  <c r="AE41" i="1"/>
  <c r="W41" i="1"/>
  <c r="AB40" i="1"/>
  <c r="AG39" i="1"/>
  <c r="Y39" i="1"/>
  <c r="AD51" i="1"/>
  <c r="AF49" i="1"/>
  <c r="AH47" i="1"/>
  <c r="W46" i="1"/>
  <c r="Y44" i="1"/>
  <c r="AA42" i="1"/>
  <c r="X41" i="1"/>
  <c r="AH39" i="1"/>
  <c r="AH53" i="1"/>
  <c r="Z53" i="1"/>
  <c r="AE52" i="1"/>
  <c r="W52" i="1"/>
  <c r="AB51" i="1"/>
  <c r="AG50" i="1"/>
  <c r="Y50" i="1"/>
  <c r="AD49" i="1"/>
  <c r="AI48" i="1"/>
  <c r="AA48" i="1"/>
  <c r="AF47" i="1"/>
  <c r="X47" i="1"/>
  <c r="AC46" i="1"/>
  <c r="AH45" i="1"/>
  <c r="Z45" i="1"/>
  <c r="AE44" i="1"/>
  <c r="W44" i="1"/>
  <c r="AB43" i="1"/>
  <c r="AG42" i="1"/>
  <c r="Y42" i="1"/>
  <c r="AD41" i="1"/>
  <c r="AI40" i="1"/>
  <c r="AA40" i="1"/>
  <c r="AF39" i="1"/>
  <c r="X39" i="1"/>
  <c r="AH52" i="1"/>
  <c r="AE51" i="1"/>
  <c r="AB50" i="1"/>
  <c r="Y49" i="1"/>
  <c r="AI47" i="1"/>
  <c r="AF46" i="1"/>
  <c r="AC45" i="1"/>
  <c r="Z44" i="1"/>
  <c r="W43" i="1"/>
  <c r="AG41" i="1"/>
  <c r="AD40" i="1"/>
  <c r="AA39" i="1"/>
  <c r="AG52" i="1"/>
  <c r="AI50" i="1"/>
  <c r="X49" i="1"/>
  <c r="AE46" i="1"/>
  <c r="AG44" i="1"/>
  <c r="AD43" i="1"/>
  <c r="AF41" i="1"/>
  <c r="AC40" i="1"/>
  <c r="AG53" i="1"/>
  <c r="Y53" i="1"/>
  <c r="AD52" i="1"/>
  <c r="AI51" i="1"/>
  <c r="AA51" i="1"/>
  <c r="AF50" i="1"/>
  <c r="X50" i="1"/>
  <c r="AC49" i="1"/>
  <c r="AH48" i="1"/>
  <c r="Z48" i="1"/>
  <c r="AE47" i="1"/>
  <c r="W47" i="1"/>
  <c r="AG45" i="1"/>
  <c r="Y45" i="1"/>
  <c r="AD44" i="1"/>
  <c r="AI43" i="1"/>
  <c r="AA43" i="1"/>
  <c r="AF42" i="1"/>
  <c r="X42" i="1"/>
  <c r="AC41" i="1"/>
  <c r="AH40" i="1"/>
  <c r="Z40" i="1"/>
  <c r="AE39" i="1"/>
  <c r="W39" i="1"/>
  <c r="AE38" i="1"/>
  <c r="Z38" i="1"/>
  <c r="AI38" i="1"/>
  <c r="AH38" i="1"/>
  <c r="AG38" i="1"/>
  <c r="Y38" i="1"/>
  <c r="AD38" i="1"/>
  <c r="AC38" i="1"/>
  <c r="AB38" i="1"/>
  <c r="AA38" i="1"/>
  <c r="AF38" i="1"/>
  <c r="X38" i="1"/>
  <c r="A7" i="1"/>
  <c r="C9" i="1"/>
  <c r="C17" i="1"/>
  <c r="C25" i="1"/>
  <c r="C33" i="1"/>
  <c r="C41" i="1"/>
  <c r="C49" i="1"/>
  <c r="C57" i="1"/>
  <c r="C65" i="1"/>
  <c r="C73" i="1"/>
  <c r="C81" i="1"/>
  <c r="C89" i="1"/>
  <c r="C97" i="1"/>
  <c r="C105" i="1"/>
  <c r="C113" i="1"/>
  <c r="C121" i="1"/>
  <c r="C129" i="1"/>
  <c r="C137" i="1"/>
  <c r="C145" i="1"/>
  <c r="C153" i="1"/>
  <c r="C161" i="1"/>
  <c r="C169" i="1"/>
  <c r="C177" i="1"/>
  <c r="C185" i="1"/>
  <c r="C193" i="1"/>
  <c r="C201" i="1"/>
  <c r="C209" i="1"/>
  <c r="C217" i="1"/>
  <c r="C225" i="1"/>
  <c r="C233" i="1"/>
  <c r="C241" i="1"/>
  <c r="C249" i="1"/>
  <c r="C257" i="1"/>
  <c r="C265" i="1"/>
  <c r="C273" i="1"/>
  <c r="C281" i="1"/>
  <c r="C289" i="1"/>
  <c r="C297" i="1"/>
  <c r="C305" i="1"/>
  <c r="C313" i="1"/>
  <c r="C321" i="1"/>
  <c r="C329" i="1"/>
  <c r="C337" i="1"/>
  <c r="C345" i="1"/>
  <c r="C353" i="1"/>
  <c r="C361" i="1"/>
  <c r="C369" i="1"/>
  <c r="C377" i="1"/>
  <c r="C385" i="1"/>
  <c r="C393" i="1"/>
  <c r="C401" i="1"/>
  <c r="C409" i="1"/>
  <c r="C417" i="1"/>
  <c r="C425" i="1"/>
  <c r="C433" i="1"/>
  <c r="C441" i="1"/>
  <c r="C449" i="1"/>
  <c r="C457" i="1"/>
  <c r="C465" i="1"/>
  <c r="C473" i="1"/>
  <c r="C481" i="1"/>
  <c r="C489" i="1"/>
  <c r="C497" i="1"/>
  <c r="C505" i="1"/>
  <c r="C513" i="1"/>
  <c r="C521" i="1"/>
  <c r="C529" i="1"/>
  <c r="C537" i="1"/>
  <c r="C545" i="1"/>
  <c r="C553" i="1"/>
  <c r="C561" i="1"/>
  <c r="C569" i="1"/>
  <c r="C577" i="1"/>
  <c r="C585" i="1"/>
  <c r="C593" i="1"/>
  <c r="C601" i="1"/>
  <c r="C609" i="1"/>
  <c r="C617" i="1"/>
  <c r="C625" i="1"/>
  <c r="C633" i="1"/>
  <c r="C641" i="1"/>
  <c r="C649" i="1"/>
  <c r="C657" i="1"/>
  <c r="C665" i="1"/>
  <c r="C673" i="1"/>
  <c r="C681" i="1"/>
  <c r="C10" i="1"/>
  <c r="C18" i="1"/>
  <c r="C26" i="1"/>
  <c r="C34" i="1"/>
  <c r="C42" i="1"/>
  <c r="C50" i="1"/>
  <c r="C58" i="1"/>
  <c r="C66" i="1"/>
  <c r="C74" i="1"/>
  <c r="C82" i="1"/>
  <c r="C90" i="1"/>
  <c r="C98" i="1"/>
  <c r="C106" i="1"/>
  <c r="C114" i="1"/>
  <c r="C122" i="1"/>
  <c r="C130" i="1"/>
  <c r="C138" i="1"/>
  <c r="C146" i="1"/>
  <c r="C154" i="1"/>
  <c r="C162" i="1"/>
  <c r="C170" i="1"/>
  <c r="C178" i="1"/>
  <c r="C186" i="1"/>
  <c r="C194" i="1"/>
  <c r="C202" i="1"/>
  <c r="C210" i="1"/>
  <c r="C218" i="1"/>
  <c r="C226" i="1"/>
  <c r="C234" i="1"/>
  <c r="C242" i="1"/>
  <c r="C250" i="1"/>
  <c r="C258" i="1"/>
  <c r="C266" i="1"/>
  <c r="C274" i="1"/>
  <c r="C282" i="1"/>
  <c r="C290" i="1"/>
  <c r="C298" i="1"/>
  <c r="C306" i="1"/>
  <c r="C314" i="1"/>
  <c r="C322" i="1"/>
  <c r="C330" i="1"/>
  <c r="C338" i="1"/>
  <c r="C346" i="1"/>
  <c r="C354" i="1"/>
  <c r="C362" i="1"/>
  <c r="C370" i="1"/>
  <c r="C378" i="1"/>
  <c r="C386" i="1"/>
  <c r="C394" i="1"/>
  <c r="C402" i="1"/>
  <c r="C410" i="1"/>
  <c r="C418" i="1"/>
  <c r="C426" i="1"/>
  <c r="C434" i="1"/>
  <c r="C442" i="1"/>
  <c r="C450" i="1"/>
  <c r="C458" i="1"/>
  <c r="C466" i="1"/>
  <c r="C474" i="1"/>
  <c r="C482" i="1"/>
  <c r="C490" i="1"/>
  <c r="C498" i="1"/>
  <c r="C506" i="1"/>
  <c r="C514" i="1"/>
  <c r="C522" i="1"/>
  <c r="C530" i="1"/>
  <c r="C538" i="1"/>
  <c r="C546" i="1"/>
  <c r="C554" i="1"/>
  <c r="C562" i="1"/>
  <c r="C570" i="1"/>
  <c r="C578" i="1"/>
  <c r="C586" i="1"/>
  <c r="C594" i="1"/>
  <c r="C602" i="1"/>
  <c r="C610" i="1"/>
  <c r="C618" i="1"/>
  <c r="C626" i="1"/>
  <c r="C634" i="1"/>
  <c r="C642" i="1"/>
  <c r="C650" i="1"/>
  <c r="C658" i="1"/>
  <c r="C666" i="1"/>
  <c r="C674" i="1"/>
  <c r="C682" i="1"/>
  <c r="C11" i="1"/>
  <c r="C19" i="1"/>
  <c r="C27" i="1"/>
  <c r="C35" i="1"/>
  <c r="C43" i="1"/>
  <c r="C51" i="1"/>
  <c r="C59" i="1"/>
  <c r="C67" i="1"/>
  <c r="C75" i="1"/>
  <c r="C83" i="1"/>
  <c r="C91" i="1"/>
  <c r="C99" i="1"/>
  <c r="C107" i="1"/>
  <c r="C115" i="1"/>
  <c r="C123" i="1"/>
  <c r="C131" i="1"/>
  <c r="C139" i="1"/>
  <c r="C147" i="1"/>
  <c r="C155" i="1"/>
  <c r="C163" i="1"/>
  <c r="C171" i="1"/>
  <c r="C179" i="1"/>
  <c r="C187" i="1"/>
  <c r="C195" i="1"/>
  <c r="C203" i="1"/>
  <c r="C211" i="1"/>
  <c r="C219" i="1"/>
  <c r="C227" i="1"/>
  <c r="C235" i="1"/>
  <c r="C243" i="1"/>
  <c r="C251" i="1"/>
  <c r="C259" i="1"/>
  <c r="C267" i="1"/>
  <c r="C275" i="1"/>
  <c r="C283" i="1"/>
  <c r="C291" i="1"/>
  <c r="C299" i="1"/>
  <c r="C307" i="1"/>
  <c r="C315" i="1"/>
  <c r="C323" i="1"/>
  <c r="C331" i="1"/>
  <c r="C339" i="1"/>
  <c r="C347" i="1"/>
  <c r="C355" i="1"/>
  <c r="C363" i="1"/>
  <c r="C371" i="1"/>
  <c r="C379" i="1"/>
  <c r="C387" i="1"/>
  <c r="C395" i="1"/>
  <c r="C403" i="1"/>
  <c r="C411" i="1"/>
  <c r="C419" i="1"/>
  <c r="C427" i="1"/>
  <c r="C435" i="1"/>
  <c r="C443" i="1"/>
  <c r="C451" i="1"/>
  <c r="C459" i="1"/>
  <c r="C467" i="1"/>
  <c r="C475" i="1"/>
  <c r="C483" i="1"/>
  <c r="C491" i="1"/>
  <c r="C499" i="1"/>
  <c r="C507" i="1"/>
  <c r="C515" i="1"/>
  <c r="C523" i="1"/>
  <c r="C531" i="1"/>
  <c r="C539" i="1"/>
  <c r="C547" i="1"/>
  <c r="C555" i="1"/>
  <c r="C563" i="1"/>
  <c r="C571" i="1"/>
  <c r="C579" i="1"/>
  <c r="C587" i="1"/>
  <c r="C595" i="1"/>
  <c r="C603" i="1"/>
  <c r="C611" i="1"/>
  <c r="C619" i="1"/>
  <c r="C627" i="1"/>
  <c r="C635" i="1"/>
  <c r="C643" i="1"/>
  <c r="C651" i="1"/>
  <c r="C659" i="1"/>
  <c r="C667" i="1"/>
  <c r="C675" i="1"/>
  <c r="C683" i="1"/>
  <c r="C14" i="1"/>
  <c r="C22" i="1"/>
  <c r="C30" i="1"/>
  <c r="C38" i="1"/>
  <c r="C46" i="1"/>
  <c r="C54" i="1"/>
  <c r="C62" i="1"/>
  <c r="C70" i="1"/>
  <c r="C78" i="1"/>
  <c r="C86" i="1"/>
  <c r="C94" i="1"/>
  <c r="C102" i="1"/>
  <c r="C110" i="1"/>
  <c r="C118" i="1"/>
  <c r="C126" i="1"/>
  <c r="C134" i="1"/>
  <c r="C142" i="1"/>
  <c r="C150" i="1"/>
  <c r="C158" i="1"/>
  <c r="C166" i="1"/>
  <c r="C174" i="1"/>
  <c r="C182" i="1"/>
  <c r="C190" i="1"/>
  <c r="C198" i="1"/>
  <c r="C206" i="1"/>
  <c r="C214" i="1"/>
  <c r="C222" i="1"/>
  <c r="C230" i="1"/>
  <c r="C238" i="1"/>
  <c r="C246" i="1"/>
  <c r="C254" i="1"/>
  <c r="C262" i="1"/>
  <c r="C270" i="1"/>
  <c r="C278" i="1"/>
  <c r="C286" i="1"/>
  <c r="C294" i="1"/>
  <c r="C302" i="1"/>
  <c r="C310" i="1"/>
  <c r="C318" i="1"/>
  <c r="C326" i="1"/>
  <c r="C334" i="1"/>
  <c r="C342" i="1"/>
  <c r="C350" i="1"/>
  <c r="C358" i="1"/>
  <c r="C366" i="1"/>
  <c r="C374" i="1"/>
  <c r="C382" i="1"/>
  <c r="C390" i="1"/>
  <c r="C12" i="1"/>
  <c r="C28" i="1"/>
  <c r="C44" i="1"/>
  <c r="C60" i="1"/>
  <c r="C76" i="1"/>
  <c r="C92" i="1"/>
  <c r="C108" i="1"/>
  <c r="C124" i="1"/>
  <c r="C140" i="1"/>
  <c r="C156" i="1"/>
  <c r="C172" i="1"/>
  <c r="C188" i="1"/>
  <c r="C204" i="1"/>
  <c r="C220" i="1"/>
  <c r="C236" i="1"/>
  <c r="C252" i="1"/>
  <c r="C268" i="1"/>
  <c r="C284" i="1"/>
  <c r="C300" i="1"/>
  <c r="C316" i="1"/>
  <c r="C332" i="1"/>
  <c r="C348" i="1"/>
  <c r="C364" i="1"/>
  <c r="C380" i="1"/>
  <c r="C396" i="1"/>
  <c r="C407" i="1"/>
  <c r="C421" i="1"/>
  <c r="C432" i="1"/>
  <c r="C446" i="1"/>
  <c r="C460" i="1"/>
  <c r="C471" i="1"/>
  <c r="C485" i="1"/>
  <c r="C496" i="1"/>
  <c r="C510" i="1"/>
  <c r="C524" i="1"/>
  <c r="C535" i="1"/>
  <c r="C549" i="1"/>
  <c r="C560" i="1"/>
  <c r="C574" i="1"/>
  <c r="C588" i="1"/>
  <c r="C599" i="1"/>
  <c r="C613" i="1"/>
  <c r="C624" i="1"/>
  <c r="C638" i="1"/>
  <c r="C652" i="1"/>
  <c r="C663" i="1"/>
  <c r="C677" i="1"/>
  <c r="C688" i="1"/>
  <c r="C696" i="1"/>
  <c r="C704" i="1"/>
  <c r="C712" i="1"/>
  <c r="C720" i="1"/>
  <c r="C728" i="1"/>
  <c r="C736" i="1"/>
  <c r="C744" i="1"/>
  <c r="C752" i="1"/>
  <c r="C760" i="1"/>
  <c r="C768" i="1"/>
  <c r="C776" i="1"/>
  <c r="C784" i="1"/>
  <c r="C792" i="1"/>
  <c r="C800" i="1"/>
  <c r="C808" i="1"/>
  <c r="C816" i="1"/>
  <c r="C824" i="1"/>
  <c r="C832" i="1"/>
  <c r="C840" i="1"/>
  <c r="C848" i="1"/>
  <c r="C856" i="1"/>
  <c r="C864" i="1"/>
  <c r="C872" i="1"/>
  <c r="C880" i="1"/>
  <c r="C888" i="1"/>
  <c r="C896" i="1"/>
  <c r="C904" i="1"/>
  <c r="C912" i="1"/>
  <c r="C920" i="1"/>
  <c r="C928" i="1"/>
  <c r="C936" i="1"/>
  <c r="C944" i="1"/>
  <c r="C13" i="1"/>
  <c r="C29" i="1"/>
  <c r="C45" i="1"/>
  <c r="C61" i="1"/>
  <c r="C77" i="1"/>
  <c r="C93" i="1"/>
  <c r="C109" i="1"/>
  <c r="C125" i="1"/>
  <c r="C141" i="1"/>
  <c r="C157" i="1"/>
  <c r="C173" i="1"/>
  <c r="C189" i="1"/>
  <c r="C205" i="1"/>
  <c r="C221" i="1"/>
  <c r="C237" i="1"/>
  <c r="C253" i="1"/>
  <c r="C269" i="1"/>
  <c r="C285" i="1"/>
  <c r="C301" i="1"/>
  <c r="C317" i="1"/>
  <c r="C333" i="1"/>
  <c r="C349" i="1"/>
  <c r="C365" i="1"/>
  <c r="C381" i="1"/>
  <c r="C397" i="1"/>
  <c r="C408" i="1"/>
  <c r="C422" i="1"/>
  <c r="C436" i="1"/>
  <c r="C447" i="1"/>
  <c r="C461" i="1"/>
  <c r="C472" i="1"/>
  <c r="C486" i="1"/>
  <c r="C500" i="1"/>
  <c r="C511" i="1"/>
  <c r="C525" i="1"/>
  <c r="C536" i="1"/>
  <c r="C550" i="1"/>
  <c r="C564" i="1"/>
  <c r="C575" i="1"/>
  <c r="C589" i="1"/>
  <c r="C600" i="1"/>
  <c r="C614" i="1"/>
  <c r="C628" i="1"/>
  <c r="C639" i="1"/>
  <c r="C653" i="1"/>
  <c r="C664" i="1"/>
  <c r="C678" i="1"/>
  <c r="C689" i="1"/>
  <c r="C697" i="1"/>
  <c r="C705" i="1"/>
  <c r="C713" i="1"/>
  <c r="C721" i="1"/>
  <c r="C729" i="1"/>
  <c r="C737" i="1"/>
  <c r="C745" i="1"/>
  <c r="C753" i="1"/>
  <c r="C761" i="1"/>
  <c r="C769" i="1"/>
  <c r="C777" i="1"/>
  <c r="C785" i="1"/>
  <c r="C793" i="1"/>
  <c r="C801" i="1"/>
  <c r="C809" i="1"/>
  <c r="C817" i="1"/>
  <c r="C825" i="1"/>
  <c r="C833" i="1"/>
  <c r="C841" i="1"/>
  <c r="C849" i="1"/>
  <c r="C857" i="1"/>
  <c r="C865" i="1"/>
  <c r="C873" i="1"/>
  <c r="C881" i="1"/>
  <c r="C889" i="1"/>
  <c r="C897" i="1"/>
  <c r="C905" i="1"/>
  <c r="C913" i="1"/>
  <c r="C921" i="1"/>
  <c r="C929" i="1"/>
  <c r="C937" i="1"/>
  <c r="C945" i="1"/>
  <c r="C953" i="1"/>
  <c r="C961" i="1"/>
  <c r="C969" i="1"/>
  <c r="C977" i="1"/>
  <c r="C985" i="1"/>
  <c r="C15" i="1"/>
  <c r="C31" i="1"/>
  <c r="C47" i="1"/>
  <c r="C63" i="1"/>
  <c r="C79" i="1"/>
  <c r="C95" i="1"/>
  <c r="C111" i="1"/>
  <c r="C127" i="1"/>
  <c r="C143" i="1"/>
  <c r="C159" i="1"/>
  <c r="C175" i="1"/>
  <c r="C191" i="1"/>
  <c r="C207" i="1"/>
  <c r="C223" i="1"/>
  <c r="C239" i="1"/>
  <c r="C255" i="1"/>
  <c r="C271" i="1"/>
  <c r="C287" i="1"/>
  <c r="C303" i="1"/>
  <c r="C319" i="1"/>
  <c r="C335" i="1"/>
  <c r="C351" i="1"/>
  <c r="C367" i="1"/>
  <c r="C383" i="1"/>
  <c r="C398" i="1"/>
  <c r="C412" i="1"/>
  <c r="C423" i="1"/>
  <c r="C437" i="1"/>
  <c r="C448" i="1"/>
  <c r="C462" i="1"/>
  <c r="C476" i="1"/>
  <c r="C487" i="1"/>
  <c r="C501" i="1"/>
  <c r="C512" i="1"/>
  <c r="C526" i="1"/>
  <c r="C540" i="1"/>
  <c r="C551" i="1"/>
  <c r="C565" i="1"/>
  <c r="C576" i="1"/>
  <c r="C590" i="1"/>
  <c r="C604" i="1"/>
  <c r="C615" i="1"/>
  <c r="C629" i="1"/>
  <c r="C640" i="1"/>
  <c r="C654" i="1"/>
  <c r="C668" i="1"/>
  <c r="C679" i="1"/>
  <c r="C690" i="1"/>
  <c r="C698" i="1"/>
  <c r="C706" i="1"/>
  <c r="C714" i="1"/>
  <c r="C722" i="1"/>
  <c r="C730" i="1"/>
  <c r="C738" i="1"/>
  <c r="C746" i="1"/>
  <c r="C754" i="1"/>
  <c r="C762" i="1"/>
  <c r="C770" i="1"/>
  <c r="C778" i="1"/>
  <c r="C786" i="1"/>
  <c r="C794" i="1"/>
  <c r="C802" i="1"/>
  <c r="C810" i="1"/>
  <c r="C818" i="1"/>
  <c r="C826" i="1"/>
  <c r="C834" i="1"/>
  <c r="C842" i="1"/>
  <c r="C850" i="1"/>
  <c r="C858" i="1"/>
  <c r="C866" i="1"/>
  <c r="C874" i="1"/>
  <c r="C882" i="1"/>
  <c r="C890" i="1"/>
  <c r="C898" i="1"/>
  <c r="C906" i="1"/>
  <c r="C914" i="1"/>
  <c r="C922" i="1"/>
  <c r="C930" i="1"/>
  <c r="C938" i="1"/>
  <c r="C946" i="1"/>
  <c r="C20" i="1"/>
  <c r="C36" i="1"/>
  <c r="C52" i="1"/>
  <c r="C68" i="1"/>
  <c r="C84" i="1"/>
  <c r="C100" i="1"/>
  <c r="C116" i="1"/>
  <c r="C132" i="1"/>
  <c r="C148" i="1"/>
  <c r="C164" i="1"/>
  <c r="C180" i="1"/>
  <c r="C196" i="1"/>
  <c r="C212" i="1"/>
  <c r="C228" i="1"/>
  <c r="C244" i="1"/>
  <c r="C260" i="1"/>
  <c r="C276" i="1"/>
  <c r="C292" i="1"/>
  <c r="C308" i="1"/>
  <c r="C324" i="1"/>
  <c r="C340" i="1"/>
  <c r="C356" i="1"/>
  <c r="C372" i="1"/>
  <c r="C388" i="1"/>
  <c r="C400" i="1"/>
  <c r="C414" i="1"/>
  <c r="C428" i="1"/>
  <c r="C439" i="1"/>
  <c r="C453" i="1"/>
  <c r="C464" i="1"/>
  <c r="C478" i="1"/>
  <c r="C492" i="1"/>
  <c r="C503" i="1"/>
  <c r="C517" i="1"/>
  <c r="C528" i="1"/>
  <c r="C542" i="1"/>
  <c r="C556" i="1"/>
  <c r="C567" i="1"/>
  <c r="C581" i="1"/>
  <c r="C592" i="1"/>
  <c r="C606" i="1"/>
  <c r="C620" i="1"/>
  <c r="C631" i="1"/>
  <c r="C645" i="1"/>
  <c r="C656" i="1"/>
  <c r="C670" i="1"/>
  <c r="C684" i="1"/>
  <c r="C692" i="1"/>
  <c r="C700" i="1"/>
  <c r="C708" i="1"/>
  <c r="C716" i="1"/>
  <c r="C724" i="1"/>
  <c r="C732" i="1"/>
  <c r="C740" i="1"/>
  <c r="C748" i="1"/>
  <c r="C756" i="1"/>
  <c r="C764" i="1"/>
  <c r="C772" i="1"/>
  <c r="C780" i="1"/>
  <c r="C788" i="1"/>
  <c r="C796" i="1"/>
  <c r="C804" i="1"/>
  <c r="C812" i="1"/>
  <c r="C820" i="1"/>
  <c r="C828" i="1"/>
  <c r="C836" i="1"/>
  <c r="C844" i="1"/>
  <c r="C852" i="1"/>
  <c r="C860" i="1"/>
  <c r="C868" i="1"/>
  <c r="C876" i="1"/>
  <c r="C16" i="1"/>
  <c r="C48" i="1"/>
  <c r="C80" i="1"/>
  <c r="C112" i="1"/>
  <c r="C144" i="1"/>
  <c r="C176" i="1"/>
  <c r="C208" i="1"/>
  <c r="C240" i="1"/>
  <c r="C272" i="1"/>
  <c r="C304" i="1"/>
  <c r="C336" i="1"/>
  <c r="C368" i="1"/>
  <c r="C399" i="1"/>
  <c r="C424" i="1"/>
  <c r="C452" i="1"/>
  <c r="C477" i="1"/>
  <c r="C502" i="1"/>
  <c r="C527" i="1"/>
  <c r="C552" i="1"/>
  <c r="C580" i="1"/>
  <c r="C605" i="1"/>
  <c r="C630" i="1"/>
  <c r="C655" i="1"/>
  <c r="C680" i="1"/>
  <c r="C699" i="1"/>
  <c r="C715" i="1"/>
  <c r="C731" i="1"/>
  <c r="C747" i="1"/>
  <c r="C763" i="1"/>
  <c r="C779" i="1"/>
  <c r="C795" i="1"/>
  <c r="C811" i="1"/>
  <c r="C827" i="1"/>
  <c r="C843" i="1"/>
  <c r="C859" i="1"/>
  <c r="C875" i="1"/>
  <c r="C887" i="1"/>
  <c r="C901" i="1"/>
  <c r="C915" i="1"/>
  <c r="C926" i="1"/>
  <c r="C940" i="1"/>
  <c r="C951" i="1"/>
  <c r="C960" i="1"/>
  <c r="C970" i="1"/>
  <c r="C979" i="1"/>
  <c r="C988" i="1"/>
  <c r="C996" i="1"/>
  <c r="C1004" i="1"/>
  <c r="C1012" i="1"/>
  <c r="C1020" i="1"/>
  <c r="C1028" i="1"/>
  <c r="C1036" i="1"/>
  <c r="C1044" i="1"/>
  <c r="C1052" i="1"/>
  <c r="C1060" i="1"/>
  <c r="C1068" i="1"/>
  <c r="C1076" i="1"/>
  <c r="C1084" i="1"/>
  <c r="C1092" i="1"/>
  <c r="C1100" i="1"/>
  <c r="C1108" i="1"/>
  <c r="C1116" i="1"/>
  <c r="C1124" i="1"/>
  <c r="C1132" i="1"/>
  <c r="C1140" i="1"/>
  <c r="C1148" i="1"/>
  <c r="C1156" i="1"/>
  <c r="C1164" i="1"/>
  <c r="C1172" i="1"/>
  <c r="C1180" i="1"/>
  <c r="C1188" i="1"/>
  <c r="C1196" i="1"/>
  <c r="C1204" i="1"/>
  <c r="C1212" i="1"/>
  <c r="C1220" i="1"/>
  <c r="C1228" i="1"/>
  <c r="C1236" i="1"/>
  <c r="C1244" i="1"/>
  <c r="C1252" i="1"/>
  <c r="C1260" i="1"/>
  <c r="C1134" i="1"/>
  <c r="C1174" i="1"/>
  <c r="C1198" i="1"/>
  <c r="C1214" i="1"/>
  <c r="C1238" i="1"/>
  <c r="C21" i="1"/>
  <c r="C53" i="1"/>
  <c r="C85" i="1"/>
  <c r="C117" i="1"/>
  <c r="C149" i="1"/>
  <c r="C181" i="1"/>
  <c r="C213" i="1"/>
  <c r="C245" i="1"/>
  <c r="C277" i="1"/>
  <c r="C309" i="1"/>
  <c r="C341" i="1"/>
  <c r="C373" i="1"/>
  <c r="C404" i="1"/>
  <c r="C429" i="1"/>
  <c r="C454" i="1"/>
  <c r="C479" i="1"/>
  <c r="C504" i="1"/>
  <c r="C532" i="1"/>
  <c r="C557" i="1"/>
  <c r="C582" i="1"/>
  <c r="C607" i="1"/>
  <c r="C632" i="1"/>
  <c r="C660" i="1"/>
  <c r="C685" i="1"/>
  <c r="C701" i="1"/>
  <c r="C717" i="1"/>
  <c r="C733" i="1"/>
  <c r="C749" i="1"/>
  <c r="C765" i="1"/>
  <c r="C781" i="1"/>
  <c r="C797" i="1"/>
  <c r="C813" i="1"/>
  <c r="C829" i="1"/>
  <c r="C845" i="1"/>
  <c r="C861" i="1"/>
  <c r="C877" i="1"/>
  <c r="C891" i="1"/>
  <c r="C902" i="1"/>
  <c r="C916" i="1"/>
  <c r="C927" i="1"/>
  <c r="C941" i="1"/>
  <c r="C952" i="1"/>
  <c r="C962" i="1"/>
  <c r="C971" i="1"/>
  <c r="C980" i="1"/>
  <c r="C989" i="1"/>
  <c r="C997" i="1"/>
  <c r="C1005" i="1"/>
  <c r="C1013" i="1"/>
  <c r="C1021" i="1"/>
  <c r="C1029" i="1"/>
  <c r="C1037" i="1"/>
  <c r="C1045" i="1"/>
  <c r="C1053" i="1"/>
  <c r="C1061" i="1"/>
  <c r="C1069" i="1"/>
  <c r="C1077" i="1"/>
  <c r="C1085" i="1"/>
  <c r="C1093" i="1"/>
  <c r="C1101" i="1"/>
  <c r="C1109" i="1"/>
  <c r="C1117" i="1"/>
  <c r="C1125" i="1"/>
  <c r="C1133" i="1"/>
  <c r="C1141" i="1"/>
  <c r="C1149" i="1"/>
  <c r="C1157" i="1"/>
  <c r="C1165" i="1"/>
  <c r="C1173" i="1"/>
  <c r="C1181" i="1"/>
  <c r="C1189" i="1"/>
  <c r="C1197" i="1"/>
  <c r="C1205" i="1"/>
  <c r="C1213" i="1"/>
  <c r="C1221" i="1"/>
  <c r="C1229" i="1"/>
  <c r="C1237" i="1"/>
  <c r="C1245" i="1"/>
  <c r="C1253" i="1"/>
  <c r="C1261" i="1"/>
  <c r="C1142" i="1"/>
  <c r="C1166" i="1"/>
  <c r="C1190" i="1"/>
  <c r="C1222" i="1"/>
  <c r="C1246" i="1"/>
  <c r="C534" i="1"/>
  <c r="C637" i="1"/>
  <c r="C662" i="1"/>
  <c r="C719" i="1"/>
  <c r="C751" i="1"/>
  <c r="C783" i="1"/>
  <c r="C815" i="1"/>
  <c r="C847" i="1"/>
  <c r="C879" i="1"/>
  <c r="C907" i="1"/>
  <c r="C918" i="1"/>
  <c r="C955" i="1"/>
  <c r="C982" i="1"/>
  <c r="C999" i="1"/>
  <c r="C1015" i="1"/>
  <c r="C1023" i="1"/>
  <c r="C1047" i="1"/>
  <c r="C23" i="1"/>
  <c r="C55" i="1"/>
  <c r="C87" i="1"/>
  <c r="C119" i="1"/>
  <c r="C151" i="1"/>
  <c r="C183" i="1"/>
  <c r="C215" i="1"/>
  <c r="C247" i="1"/>
  <c r="C279" i="1"/>
  <c r="C311" i="1"/>
  <c r="C343" i="1"/>
  <c r="C375" i="1"/>
  <c r="C405" i="1"/>
  <c r="C430" i="1"/>
  <c r="C455" i="1"/>
  <c r="C480" i="1"/>
  <c r="C508" i="1"/>
  <c r="C533" i="1"/>
  <c r="C558" i="1"/>
  <c r="C583" i="1"/>
  <c r="C608" i="1"/>
  <c r="C636" i="1"/>
  <c r="C661" i="1"/>
  <c r="C686" i="1"/>
  <c r="C702" i="1"/>
  <c r="C718" i="1"/>
  <c r="C734" i="1"/>
  <c r="C750" i="1"/>
  <c r="C766" i="1"/>
  <c r="C782" i="1"/>
  <c r="C798" i="1"/>
  <c r="C814" i="1"/>
  <c r="C830" i="1"/>
  <c r="C846" i="1"/>
  <c r="C862" i="1"/>
  <c r="C878" i="1"/>
  <c r="C892" i="1"/>
  <c r="C903" i="1"/>
  <c r="C917" i="1"/>
  <c r="C931" i="1"/>
  <c r="C942" i="1"/>
  <c r="C954" i="1"/>
  <c r="C963" i="1"/>
  <c r="C972" i="1"/>
  <c r="C981" i="1"/>
  <c r="C990" i="1"/>
  <c r="C998" i="1"/>
  <c r="C1006" i="1"/>
  <c r="C1014" i="1"/>
  <c r="C1022" i="1"/>
  <c r="C1030" i="1"/>
  <c r="C1038" i="1"/>
  <c r="C1046" i="1"/>
  <c r="C1054" i="1"/>
  <c r="C1062" i="1"/>
  <c r="C1070" i="1"/>
  <c r="C1078" i="1"/>
  <c r="C1086" i="1"/>
  <c r="C1094" i="1"/>
  <c r="C1102" i="1"/>
  <c r="C1110" i="1"/>
  <c r="C1118" i="1"/>
  <c r="C1126" i="1"/>
  <c r="C1150" i="1"/>
  <c r="C1158" i="1"/>
  <c r="C1182" i="1"/>
  <c r="C1206" i="1"/>
  <c r="C1230" i="1"/>
  <c r="C1254" i="1"/>
  <c r="C559" i="1"/>
  <c r="C612" i="1"/>
  <c r="C687" i="1"/>
  <c r="C735" i="1"/>
  <c r="C767" i="1"/>
  <c r="C799" i="1"/>
  <c r="C831" i="1"/>
  <c r="C863" i="1"/>
  <c r="C893" i="1"/>
  <c r="C932" i="1"/>
  <c r="C964" i="1"/>
  <c r="C973" i="1"/>
  <c r="C991" i="1"/>
  <c r="C1007" i="1"/>
  <c r="C1031" i="1"/>
  <c r="C1039" i="1"/>
  <c r="C24" i="1"/>
  <c r="C56" i="1"/>
  <c r="C88" i="1"/>
  <c r="C120" i="1"/>
  <c r="C152" i="1"/>
  <c r="C184" i="1"/>
  <c r="C216" i="1"/>
  <c r="C248" i="1"/>
  <c r="C280" i="1"/>
  <c r="C312" i="1"/>
  <c r="C344" i="1"/>
  <c r="C376" i="1"/>
  <c r="C406" i="1"/>
  <c r="C431" i="1"/>
  <c r="C456" i="1"/>
  <c r="C484" i="1"/>
  <c r="C584" i="1"/>
  <c r="C703" i="1"/>
  <c r="C32" i="1"/>
  <c r="C64" i="1"/>
  <c r="C96" i="1"/>
  <c r="C128" i="1"/>
  <c r="C160" i="1"/>
  <c r="C192" i="1"/>
  <c r="C224" i="1"/>
  <c r="C256" i="1"/>
  <c r="C288" i="1"/>
  <c r="C320" i="1"/>
  <c r="C352" i="1"/>
  <c r="C384" i="1"/>
  <c r="C413" i="1"/>
  <c r="C438" i="1"/>
  <c r="C463" i="1"/>
  <c r="C488" i="1"/>
  <c r="C516" i="1"/>
  <c r="C541" i="1"/>
  <c r="C566" i="1"/>
  <c r="C591" i="1"/>
  <c r="C616" i="1"/>
  <c r="C644" i="1"/>
  <c r="C669" i="1"/>
  <c r="C691" i="1"/>
  <c r="C707" i="1"/>
  <c r="C723" i="1"/>
  <c r="C739" i="1"/>
  <c r="C39" i="1"/>
  <c r="C71" i="1"/>
  <c r="C103" i="1"/>
  <c r="C135" i="1"/>
  <c r="C167" i="1"/>
  <c r="C199" i="1"/>
  <c r="C231" i="1"/>
  <c r="C263" i="1"/>
  <c r="C295" i="1"/>
  <c r="C327" i="1"/>
  <c r="C359" i="1"/>
  <c r="C391" i="1"/>
  <c r="C416" i="1"/>
  <c r="C444" i="1"/>
  <c r="C469" i="1"/>
  <c r="C494" i="1"/>
  <c r="C519" i="1"/>
  <c r="C544" i="1"/>
  <c r="C572" i="1"/>
  <c r="C597" i="1"/>
  <c r="C622" i="1"/>
  <c r="C647" i="1"/>
  <c r="C672" i="1"/>
  <c r="C694" i="1"/>
  <c r="C710" i="1"/>
  <c r="C726" i="1"/>
  <c r="C742" i="1"/>
  <c r="C758" i="1"/>
  <c r="C774" i="1"/>
  <c r="C790" i="1"/>
  <c r="C806" i="1"/>
  <c r="C822" i="1"/>
  <c r="C838" i="1"/>
  <c r="C854" i="1"/>
  <c r="C870" i="1"/>
  <c r="C885" i="1"/>
  <c r="C899" i="1"/>
  <c r="C910" i="1"/>
  <c r="C924" i="1"/>
  <c r="C935" i="1"/>
  <c r="C949" i="1"/>
  <c r="C958" i="1"/>
  <c r="C967" i="1"/>
  <c r="C976" i="1"/>
  <c r="C986" i="1"/>
  <c r="C994" i="1"/>
  <c r="C1002" i="1"/>
  <c r="C1010" i="1"/>
  <c r="C1018" i="1"/>
  <c r="C1026" i="1"/>
  <c r="C1034" i="1"/>
  <c r="C1042" i="1"/>
  <c r="C1050" i="1"/>
  <c r="C1058" i="1"/>
  <c r="C1066" i="1"/>
  <c r="C1074" i="1"/>
  <c r="C1082" i="1"/>
  <c r="C1090" i="1"/>
  <c r="C1098" i="1"/>
  <c r="C1106" i="1"/>
  <c r="C1114" i="1"/>
  <c r="C1122" i="1"/>
  <c r="C1130" i="1"/>
  <c r="C1138" i="1"/>
  <c r="C1146" i="1"/>
  <c r="C1154" i="1"/>
  <c r="C1162" i="1"/>
  <c r="C1170" i="1"/>
  <c r="C1178" i="1"/>
  <c r="C1186" i="1"/>
  <c r="C1194" i="1"/>
  <c r="C1202" i="1"/>
  <c r="C1210" i="1"/>
  <c r="C1218" i="1"/>
  <c r="C1226" i="1"/>
  <c r="C1234" i="1"/>
  <c r="C1242" i="1"/>
  <c r="C1250" i="1"/>
  <c r="C1258" i="1"/>
  <c r="C37" i="1"/>
  <c r="C165" i="1"/>
  <c r="C293" i="1"/>
  <c r="C415" i="1"/>
  <c r="C509" i="1"/>
  <c r="C598" i="1"/>
  <c r="C695" i="1"/>
  <c r="C757" i="1"/>
  <c r="C803" i="1"/>
  <c r="C839" i="1"/>
  <c r="C884" i="1"/>
  <c r="C919" i="1"/>
  <c r="C948" i="1"/>
  <c r="C974" i="1"/>
  <c r="C995" i="1"/>
  <c r="C1017" i="1"/>
  <c r="C1040" i="1"/>
  <c r="C1057" i="1"/>
  <c r="C1073" i="1"/>
  <c r="C1089" i="1"/>
  <c r="C1105" i="1"/>
  <c r="C1121" i="1"/>
  <c r="C1137" i="1"/>
  <c r="C1153" i="1"/>
  <c r="C1169" i="1"/>
  <c r="C1185" i="1"/>
  <c r="C1201" i="1"/>
  <c r="C1217" i="1"/>
  <c r="C1233" i="1"/>
  <c r="C1249" i="1"/>
  <c r="C1091" i="1"/>
  <c r="C1123" i="1"/>
  <c r="C1155" i="1"/>
  <c r="C1171" i="1"/>
  <c r="C1187" i="1"/>
  <c r="C1219" i="1"/>
  <c r="C1235" i="1"/>
  <c r="C1024" i="1"/>
  <c r="C1079" i="1"/>
  <c r="C1127" i="1"/>
  <c r="C1143" i="1"/>
  <c r="C1175" i="1"/>
  <c r="C1207" i="1"/>
  <c r="C1239" i="1"/>
  <c r="C72" i="1"/>
  <c r="C773" i="1"/>
  <c r="C895" i="1"/>
  <c r="C983" i="1"/>
  <c r="C1048" i="1"/>
  <c r="C1096" i="1"/>
  <c r="C1144" i="1"/>
  <c r="C1192" i="1"/>
  <c r="C1224" i="1"/>
  <c r="C40" i="1"/>
  <c r="C168" i="1"/>
  <c r="C296" i="1"/>
  <c r="C420" i="1"/>
  <c r="C518" i="1"/>
  <c r="C621" i="1"/>
  <c r="C709" i="1"/>
  <c r="C759" i="1"/>
  <c r="C805" i="1"/>
  <c r="C851" i="1"/>
  <c r="C886" i="1"/>
  <c r="C923" i="1"/>
  <c r="C950" i="1"/>
  <c r="C975" i="1"/>
  <c r="C1000" i="1"/>
  <c r="C1019" i="1"/>
  <c r="C1041" i="1"/>
  <c r="C1059" i="1"/>
  <c r="C1075" i="1"/>
  <c r="C1107" i="1"/>
  <c r="C1139" i="1"/>
  <c r="C1203" i="1"/>
  <c r="C1251" i="1"/>
  <c r="C1095" i="1"/>
  <c r="C1159" i="1"/>
  <c r="C1223" i="1"/>
  <c r="C1255" i="1"/>
  <c r="C200" i="1"/>
  <c r="C543" i="1"/>
  <c r="C725" i="1"/>
  <c r="C855" i="1"/>
  <c r="C957" i="1"/>
  <c r="C1003" i="1"/>
  <c r="C1064" i="1"/>
  <c r="C1112" i="1"/>
  <c r="C1160" i="1"/>
  <c r="C1240" i="1"/>
  <c r="C101" i="1"/>
  <c r="C357" i="1"/>
  <c r="C548" i="1"/>
  <c r="C727" i="1"/>
  <c r="C821" i="1"/>
  <c r="C900" i="1"/>
  <c r="C934" i="1"/>
  <c r="C959" i="1"/>
  <c r="C984" i="1"/>
  <c r="C1027" i="1"/>
  <c r="C1081" i="1"/>
  <c r="C1113" i="1"/>
  <c r="C1129" i="1"/>
  <c r="C1161" i="1"/>
  <c r="C1193" i="1"/>
  <c r="C1225" i="1"/>
  <c r="C1257" i="1"/>
  <c r="C104" i="1"/>
  <c r="C671" i="1"/>
  <c r="C787" i="1"/>
  <c r="C869" i="1"/>
  <c r="C939" i="1"/>
  <c r="C987" i="1"/>
  <c r="C1009" i="1"/>
  <c r="C1051" i="1"/>
  <c r="C1099" i="1"/>
  <c r="C1131" i="1"/>
  <c r="C1163" i="1"/>
  <c r="C1179" i="1"/>
  <c r="C1195" i="1"/>
  <c r="C1243" i="1"/>
  <c r="C69" i="1"/>
  <c r="C197" i="1"/>
  <c r="C325" i="1"/>
  <c r="C440" i="1"/>
  <c r="C520" i="1"/>
  <c r="C623" i="1"/>
  <c r="C711" i="1"/>
  <c r="C771" i="1"/>
  <c r="C807" i="1"/>
  <c r="C853" i="1"/>
  <c r="C894" i="1"/>
  <c r="C925" i="1"/>
  <c r="C956" i="1"/>
  <c r="C978" i="1"/>
  <c r="C1001" i="1"/>
  <c r="C1043" i="1"/>
  <c r="C1063" i="1"/>
  <c r="C1111" i="1"/>
  <c r="C1191" i="1"/>
  <c r="C328" i="1"/>
  <c r="C445" i="1"/>
  <c r="C646" i="1"/>
  <c r="C819" i="1"/>
  <c r="C933" i="1"/>
  <c r="C1025" i="1"/>
  <c r="C1080" i="1"/>
  <c r="C1128" i="1"/>
  <c r="C1176" i="1"/>
  <c r="C1208" i="1"/>
  <c r="C1256" i="1"/>
  <c r="C229" i="1"/>
  <c r="C468" i="1"/>
  <c r="C648" i="1"/>
  <c r="C775" i="1"/>
  <c r="C867" i="1"/>
  <c r="C1008" i="1"/>
  <c r="C1049" i="1"/>
  <c r="C1065" i="1"/>
  <c r="C1097" i="1"/>
  <c r="C1145" i="1"/>
  <c r="C1177" i="1"/>
  <c r="C1209" i="1"/>
  <c r="C1241" i="1"/>
  <c r="C232" i="1"/>
  <c r="C360" i="1"/>
  <c r="C470" i="1"/>
  <c r="C568" i="1"/>
  <c r="C741" i="1"/>
  <c r="C823" i="1"/>
  <c r="C908" i="1"/>
  <c r="C965" i="1"/>
  <c r="C1032" i="1"/>
  <c r="C1067" i="1"/>
  <c r="C1083" i="1"/>
  <c r="C1115" i="1"/>
  <c r="C1147" i="1"/>
  <c r="C1211" i="1"/>
  <c r="C1227" i="1"/>
  <c r="C1259" i="1"/>
  <c r="C133" i="1"/>
  <c r="C261" i="1"/>
  <c r="C389" i="1"/>
  <c r="C493" i="1"/>
  <c r="C573" i="1"/>
  <c r="C676" i="1"/>
  <c r="C743" i="1"/>
  <c r="C789" i="1"/>
  <c r="C835" i="1"/>
  <c r="C871" i="1"/>
  <c r="C909" i="1"/>
  <c r="C943" i="1"/>
  <c r="C966" i="1"/>
  <c r="C992" i="1"/>
  <c r="C1011" i="1"/>
  <c r="C1033" i="1"/>
  <c r="C1055" i="1"/>
  <c r="C1071" i="1"/>
  <c r="C1087" i="1"/>
  <c r="C1103" i="1"/>
  <c r="C1119" i="1"/>
  <c r="C1135" i="1"/>
  <c r="C1151" i="1"/>
  <c r="C1167" i="1"/>
  <c r="C1183" i="1"/>
  <c r="C1199" i="1"/>
  <c r="C1215" i="1"/>
  <c r="C1231" i="1"/>
  <c r="C1247" i="1"/>
  <c r="C136" i="1"/>
  <c r="C264" i="1"/>
  <c r="C392" i="1"/>
  <c r="C495" i="1"/>
  <c r="C596" i="1"/>
  <c r="C693" i="1"/>
  <c r="C755" i="1"/>
  <c r="C791" i="1"/>
  <c r="C837" i="1"/>
  <c r="C883" i="1"/>
  <c r="C911" i="1"/>
  <c r="C947" i="1"/>
  <c r="C968" i="1"/>
  <c r="C993" i="1"/>
  <c r="C1016" i="1"/>
  <c r="C1035" i="1"/>
  <c r="C1056" i="1"/>
  <c r="C1072" i="1"/>
  <c r="C1088" i="1"/>
  <c r="C1104" i="1"/>
  <c r="C1120" i="1"/>
  <c r="C1136" i="1"/>
  <c r="C1152" i="1"/>
  <c r="C1168" i="1"/>
  <c r="C1184" i="1"/>
  <c r="C1200" i="1"/>
  <c r="C1216" i="1"/>
  <c r="C1232" i="1"/>
  <c r="C1248" i="1"/>
  <c r="C8" i="1"/>
  <c r="D62" i="1" l="1"/>
  <c r="E62" i="1"/>
  <c r="D480" i="1"/>
  <c r="E480" i="1"/>
  <c r="D158" i="1"/>
  <c r="E158" i="1"/>
  <c r="D999" i="1"/>
  <c r="E999" i="1"/>
  <c r="D924" i="1"/>
  <c r="E924" i="1"/>
  <c r="D812" i="1"/>
  <c r="E812" i="1"/>
  <c r="D837" i="1"/>
  <c r="E837" i="1"/>
  <c r="D1233" i="1"/>
  <c r="E1233" i="1"/>
  <c r="D748" i="1"/>
  <c r="E748" i="1"/>
  <c r="D1111" i="1"/>
  <c r="E1111" i="1"/>
  <c r="D773" i="1"/>
  <c r="E773" i="1"/>
  <c r="D1015" i="1"/>
  <c r="E1015" i="1"/>
  <c r="D1237" i="1"/>
  <c r="E1237" i="1"/>
  <c r="D926" i="1"/>
  <c r="E926" i="1"/>
  <c r="D312" i="1"/>
  <c r="E312" i="1"/>
  <c r="D1260" i="1"/>
  <c r="E1260" i="1"/>
  <c r="D1004" i="1"/>
  <c r="E1004" i="1"/>
  <c r="D598" i="1"/>
  <c r="E598" i="1"/>
  <c r="D1235" i="1"/>
  <c r="E1235" i="1"/>
  <c r="D979" i="1"/>
  <c r="E979" i="1"/>
  <c r="D790" i="1"/>
  <c r="E790" i="1"/>
  <c r="D520" i="1"/>
  <c r="E520" i="1"/>
  <c r="D1210" i="1"/>
  <c r="E1210" i="1"/>
  <c r="D954" i="1"/>
  <c r="E954" i="1"/>
  <c r="D444" i="1"/>
  <c r="E444" i="1"/>
  <c r="D461" i="1"/>
  <c r="E461" i="1"/>
  <c r="D22" i="1"/>
  <c r="E22" i="1"/>
  <c r="D698" i="1"/>
  <c r="E698" i="1"/>
  <c r="D325" i="1"/>
  <c r="E325" i="1"/>
  <c r="D873" i="1"/>
  <c r="E873" i="1"/>
  <c r="D603" i="1"/>
  <c r="E603" i="1"/>
  <c r="D296" i="1"/>
  <c r="E296" i="1"/>
  <c r="D784" i="1"/>
  <c r="E784" i="1"/>
  <c r="D462" i="1"/>
  <c r="E462" i="1"/>
  <c r="D141" i="1"/>
  <c r="E141" i="1"/>
  <c r="D92" i="1"/>
  <c r="E92" i="1"/>
  <c r="D419" i="1"/>
  <c r="E419" i="1"/>
  <c r="D163" i="1"/>
  <c r="E163" i="1"/>
  <c r="D586" i="1"/>
  <c r="E586" i="1"/>
  <c r="D330" i="1"/>
  <c r="E330" i="1"/>
  <c r="D74" i="1"/>
  <c r="E74" i="1"/>
  <c r="D449" i="1"/>
  <c r="E449" i="1"/>
  <c r="D129" i="1"/>
  <c r="E129" i="1"/>
  <c r="D1229" i="1"/>
  <c r="E1229" i="1"/>
  <c r="D735" i="1"/>
  <c r="E735" i="1"/>
  <c r="D356" i="1"/>
  <c r="E356" i="1"/>
  <c r="D1097" i="1"/>
  <c r="E1097" i="1"/>
  <c r="D772" i="1"/>
  <c r="E772" i="1"/>
  <c r="D891" i="1"/>
  <c r="E891" i="1"/>
  <c r="D1253" i="1"/>
  <c r="E1253" i="1"/>
  <c r="D1223" i="1"/>
  <c r="E1223" i="1"/>
  <c r="D1001" i="1"/>
  <c r="E1001" i="1"/>
  <c r="D703" i="1"/>
  <c r="E703" i="1"/>
  <c r="D915" i="1"/>
  <c r="E915" i="1"/>
  <c r="D909" i="1"/>
  <c r="E909" i="1"/>
  <c r="D493" i="1"/>
  <c r="E493" i="1"/>
  <c r="D248" i="1"/>
  <c r="E248" i="1"/>
  <c r="D1060" i="1"/>
  <c r="E1060" i="1"/>
  <c r="D574" i="1"/>
  <c r="E574" i="1"/>
  <c r="D1035" i="1"/>
  <c r="E1035" i="1"/>
  <c r="D1202" i="1"/>
  <c r="E1202" i="1"/>
  <c r="D1010" i="1"/>
  <c r="E1010" i="1"/>
  <c r="D416" i="1"/>
  <c r="E416" i="1"/>
  <c r="D447" i="1"/>
  <c r="E447" i="1"/>
  <c r="D21" i="1"/>
  <c r="E21" i="1"/>
  <c r="D818" i="1"/>
  <c r="E818" i="1"/>
  <c r="D614" i="1"/>
  <c r="E614" i="1"/>
  <c r="D79" i="1"/>
  <c r="E79" i="1"/>
  <c r="D801" i="1"/>
  <c r="E801" i="1"/>
  <c r="D488" i="1"/>
  <c r="E488" i="1"/>
  <c r="D46" i="1"/>
  <c r="E46" i="1"/>
  <c r="D776" i="1"/>
  <c r="E776" i="1"/>
  <c r="D348" i="1"/>
  <c r="E348" i="1"/>
  <c r="D148" i="1"/>
  <c r="E148" i="1"/>
  <c r="D475" i="1"/>
  <c r="E475" i="1"/>
  <c r="D155" i="1"/>
  <c r="E155" i="1"/>
  <c r="D578" i="1"/>
  <c r="E578" i="1"/>
  <c r="D322" i="1"/>
  <c r="E322" i="1"/>
  <c r="D130" i="1"/>
  <c r="E130" i="1"/>
  <c r="D569" i="1"/>
  <c r="E569" i="1"/>
  <c r="D441" i="1"/>
  <c r="E441" i="1"/>
  <c r="D313" i="1"/>
  <c r="E313" i="1"/>
  <c r="D185" i="1"/>
  <c r="E185" i="1"/>
  <c r="D1112" i="1"/>
  <c r="E1112" i="1"/>
  <c r="D380" i="1"/>
  <c r="E380" i="1"/>
  <c r="D332" i="1"/>
  <c r="E332" i="1"/>
  <c r="D708" i="1"/>
  <c r="E708" i="1"/>
  <c r="D328" i="1"/>
  <c r="E328" i="1"/>
  <c r="D1085" i="1"/>
  <c r="E1085" i="1"/>
  <c r="D847" i="1"/>
  <c r="E847" i="1"/>
  <c r="D895" i="1"/>
  <c r="E895" i="1"/>
  <c r="D723" i="1"/>
  <c r="E723" i="1"/>
  <c r="D87" i="1"/>
  <c r="E87" i="1"/>
  <c r="D1052" i="1"/>
  <c r="E1052" i="1"/>
  <c r="D343" i="1"/>
  <c r="E343" i="1"/>
  <c r="D868" i="1"/>
  <c r="E868" i="1"/>
  <c r="D1066" i="1"/>
  <c r="E1066" i="1"/>
  <c r="D725" i="1"/>
  <c r="E725" i="1"/>
  <c r="D536" i="1"/>
  <c r="E536" i="1"/>
  <c r="D230" i="1"/>
  <c r="E230" i="1"/>
  <c r="D112" i="1"/>
  <c r="E112" i="1"/>
  <c r="D810" i="1"/>
  <c r="E810" i="1"/>
  <c r="D681" i="1"/>
  <c r="E681" i="1"/>
  <c r="D604" i="1"/>
  <c r="E604" i="1"/>
  <c r="D503" i="1"/>
  <c r="E503" i="1"/>
  <c r="D400" i="1"/>
  <c r="E400" i="1"/>
  <c r="D300" i="1"/>
  <c r="E300" i="1"/>
  <c r="D191" i="1"/>
  <c r="E191" i="1"/>
  <c r="D63" i="1"/>
  <c r="E63" i="1"/>
  <c r="D921" i="1"/>
  <c r="E921" i="1"/>
  <c r="D857" i="1"/>
  <c r="E857" i="1"/>
  <c r="D793" i="1"/>
  <c r="E793" i="1"/>
  <c r="D729" i="1"/>
  <c r="E729" i="1"/>
  <c r="D662" i="1"/>
  <c r="E662" i="1"/>
  <c r="D271" i="1"/>
  <c r="E271" i="1"/>
  <c r="D30" i="1"/>
  <c r="E30" i="1"/>
  <c r="D896" i="1"/>
  <c r="E896" i="1"/>
  <c r="D832" i="1"/>
  <c r="E832" i="1"/>
  <c r="D768" i="1"/>
  <c r="E768" i="1"/>
  <c r="D704" i="1"/>
  <c r="E704" i="1"/>
  <c r="D632" i="1"/>
  <c r="E632" i="1"/>
  <c r="D540" i="1"/>
  <c r="E540" i="1"/>
  <c r="D437" i="1"/>
  <c r="E437" i="1"/>
  <c r="D334" i="1"/>
  <c r="E334" i="1"/>
  <c r="D231" i="1"/>
  <c r="E231" i="1"/>
  <c r="D109" i="1"/>
  <c r="E109" i="1"/>
  <c r="D204" i="1"/>
  <c r="E204" i="1"/>
  <c r="D140" i="1"/>
  <c r="E140" i="1"/>
  <c r="D76" i="1"/>
  <c r="E76" i="1"/>
  <c r="D12" i="1"/>
  <c r="E12" i="1"/>
  <c r="D531" i="1"/>
  <c r="E531" i="1"/>
  <c r="D467" i="1"/>
  <c r="E467" i="1"/>
  <c r="D403" i="1"/>
  <c r="E403" i="1"/>
  <c r="D339" i="1"/>
  <c r="E339" i="1"/>
  <c r="D275" i="1"/>
  <c r="E275" i="1"/>
  <c r="D211" i="1"/>
  <c r="E211" i="1"/>
  <c r="D147" i="1"/>
  <c r="E147" i="1"/>
  <c r="D83" i="1"/>
  <c r="E83" i="1"/>
  <c r="D19" i="1"/>
  <c r="E19" i="1"/>
  <c r="D634" i="1"/>
  <c r="E634" i="1"/>
  <c r="D570" i="1"/>
  <c r="E570" i="1"/>
  <c r="D506" i="1"/>
  <c r="E506" i="1"/>
  <c r="D442" i="1"/>
  <c r="E442" i="1"/>
  <c r="D378" i="1"/>
  <c r="E378" i="1"/>
  <c r="D314" i="1"/>
  <c r="E314" i="1"/>
  <c r="D250" i="1"/>
  <c r="E250" i="1"/>
  <c r="D186" i="1"/>
  <c r="E186" i="1"/>
  <c r="D122" i="1"/>
  <c r="E122" i="1"/>
  <c r="D58" i="1"/>
  <c r="E58" i="1"/>
  <c r="D625" i="1"/>
  <c r="E625" i="1"/>
  <c r="D561" i="1"/>
  <c r="E561" i="1"/>
  <c r="D497" i="1"/>
  <c r="E497" i="1"/>
  <c r="D433" i="1"/>
  <c r="E433" i="1"/>
  <c r="D369" i="1"/>
  <c r="E369" i="1"/>
  <c r="D305" i="1"/>
  <c r="E305" i="1"/>
  <c r="D241" i="1"/>
  <c r="E241" i="1"/>
  <c r="D177" i="1"/>
  <c r="E177" i="1"/>
  <c r="D113" i="1"/>
  <c r="E113" i="1"/>
  <c r="D49" i="1"/>
  <c r="E49" i="1"/>
  <c r="D1241" i="1"/>
  <c r="E1241" i="1"/>
  <c r="D885" i="1"/>
  <c r="E885" i="1"/>
  <c r="D667" i="1"/>
  <c r="E667" i="1"/>
  <c r="D1201" i="1"/>
  <c r="E1201" i="1"/>
  <c r="D1101" i="1"/>
  <c r="E1101" i="1"/>
  <c r="D998" i="1"/>
  <c r="E998" i="1"/>
  <c r="D861" i="1"/>
  <c r="E861" i="1"/>
  <c r="D693" i="1"/>
  <c r="E693" i="1"/>
  <c r="D278" i="1"/>
  <c r="E278" i="1"/>
  <c r="D429" i="1"/>
  <c r="E429" i="1"/>
  <c r="D649" i="1"/>
  <c r="E649" i="1"/>
  <c r="D134" i="1"/>
  <c r="E134" i="1"/>
  <c r="D229" i="1"/>
  <c r="E229" i="1"/>
  <c r="D862" i="1"/>
  <c r="E862" i="1"/>
  <c r="D1022" i="1"/>
  <c r="E1022" i="1"/>
  <c r="D664" i="1"/>
  <c r="E664" i="1"/>
  <c r="D1021" i="1"/>
  <c r="E1021" i="1"/>
  <c r="D1145" i="1"/>
  <c r="E1145" i="1"/>
  <c r="D648" i="1"/>
  <c r="E648" i="1"/>
  <c r="D1197" i="1"/>
  <c r="E1197" i="1"/>
  <c r="D1094" i="1"/>
  <c r="E1094" i="1"/>
  <c r="D991" i="1"/>
  <c r="E991" i="1"/>
  <c r="D851" i="1"/>
  <c r="E851" i="1"/>
  <c r="D678" i="1"/>
  <c r="E678" i="1"/>
  <c r="D228" i="1"/>
  <c r="E228" i="1"/>
  <c r="D1024" i="1"/>
  <c r="E1024" i="1"/>
  <c r="D1214" i="1"/>
  <c r="E1214" i="1"/>
  <c r="D997" i="1"/>
  <c r="E997" i="1"/>
  <c r="D734" i="1"/>
  <c r="E734" i="1"/>
  <c r="D1046" i="1"/>
  <c r="E1046" i="1"/>
  <c r="D1134" i="1"/>
  <c r="E1134" i="1"/>
  <c r="D683" i="1"/>
  <c r="E683" i="1"/>
  <c r="D1182" i="1"/>
  <c r="E1182" i="1"/>
  <c r="D1079" i="1"/>
  <c r="E1079" i="1"/>
  <c r="D976" i="1"/>
  <c r="E976" i="1"/>
  <c r="D827" i="1"/>
  <c r="E827" i="1"/>
  <c r="D646" i="1"/>
  <c r="E646" i="1"/>
  <c r="D55" i="1"/>
  <c r="E55" i="1"/>
  <c r="D1057" i="1"/>
  <c r="E1057" i="1"/>
  <c r="D1109" i="1"/>
  <c r="E1109" i="1"/>
  <c r="D835" i="1"/>
  <c r="E835" i="1"/>
  <c r="D1206" i="1"/>
  <c r="E1206" i="1"/>
  <c r="D1103" i="1"/>
  <c r="E1103" i="1"/>
  <c r="D1000" i="1"/>
  <c r="E1000" i="1"/>
  <c r="D863" i="1"/>
  <c r="E863" i="1"/>
  <c r="D695" i="1"/>
  <c r="E695" i="1"/>
  <c r="D303" i="1"/>
  <c r="E303" i="1"/>
  <c r="D637" i="1"/>
  <c r="E637" i="1"/>
  <c r="D440" i="1"/>
  <c r="E440" i="1"/>
  <c r="D237" i="1"/>
  <c r="E237" i="1"/>
  <c r="D302" i="1"/>
  <c r="E302" i="1"/>
  <c r="D53" i="1"/>
  <c r="E53" i="1"/>
  <c r="D192" i="1"/>
  <c r="E192" i="1"/>
  <c r="D1236" i="1"/>
  <c r="E1236" i="1"/>
  <c r="D1172" i="1"/>
  <c r="E1172" i="1"/>
  <c r="D1108" i="1"/>
  <c r="E1108" i="1"/>
  <c r="D1044" i="1"/>
  <c r="E1044" i="1"/>
  <c r="D980" i="1"/>
  <c r="E980" i="1"/>
  <c r="D894" i="1"/>
  <c r="E894" i="1"/>
  <c r="D791" i="1"/>
  <c r="E791" i="1"/>
  <c r="D691" i="1"/>
  <c r="E691" i="1"/>
  <c r="D524" i="1"/>
  <c r="E524" i="1"/>
  <c r="D318" i="1"/>
  <c r="E318" i="1"/>
  <c r="D85" i="1"/>
  <c r="E85" i="1"/>
  <c r="D1211" i="1"/>
  <c r="E1211" i="1"/>
  <c r="D1147" i="1"/>
  <c r="E1147" i="1"/>
  <c r="D1083" i="1"/>
  <c r="E1083" i="1"/>
  <c r="D1019" i="1"/>
  <c r="E1019" i="1"/>
  <c r="D955" i="1"/>
  <c r="E955" i="1"/>
  <c r="D854" i="1"/>
  <c r="E854" i="1"/>
  <c r="D751" i="1"/>
  <c r="E751" i="1"/>
  <c r="D639" i="1"/>
  <c r="E639" i="1"/>
  <c r="D445" i="1"/>
  <c r="E445" i="1"/>
  <c r="D239" i="1"/>
  <c r="E239" i="1"/>
  <c r="D1250" i="1"/>
  <c r="E1250" i="1"/>
  <c r="D1186" i="1"/>
  <c r="E1186" i="1"/>
  <c r="D1122" i="1"/>
  <c r="E1122" i="1"/>
  <c r="D1058" i="1"/>
  <c r="E1058" i="1"/>
  <c r="D994" i="1"/>
  <c r="E994" i="1"/>
  <c r="D917" i="1"/>
  <c r="E917" i="1"/>
  <c r="D814" i="1"/>
  <c r="E814" i="1"/>
  <c r="D711" i="1"/>
  <c r="E711" i="1"/>
  <c r="D572" i="1"/>
  <c r="E572" i="1"/>
  <c r="D366" i="1"/>
  <c r="E366" i="1"/>
  <c r="D149" i="1"/>
  <c r="E149" i="1"/>
  <c r="D621" i="1"/>
  <c r="E621" i="1"/>
  <c r="D525" i="1"/>
  <c r="E525" i="1"/>
  <c r="D422" i="1"/>
  <c r="E422" i="1"/>
  <c r="D319" i="1"/>
  <c r="E319" i="1"/>
  <c r="D216" i="1"/>
  <c r="E216" i="1"/>
  <c r="D88" i="1"/>
  <c r="E88" i="1"/>
  <c r="D96" i="1"/>
  <c r="E96" i="1"/>
  <c r="D930" i="1"/>
  <c r="E930" i="1"/>
  <c r="D866" i="1"/>
  <c r="E866" i="1"/>
  <c r="D802" i="1"/>
  <c r="E802" i="1"/>
  <c r="D738" i="1"/>
  <c r="E738" i="1"/>
  <c r="D672" i="1"/>
  <c r="E672" i="1"/>
  <c r="D592" i="1"/>
  <c r="E592" i="1"/>
  <c r="D492" i="1"/>
  <c r="E492" i="1"/>
  <c r="D389" i="1"/>
  <c r="E389" i="1"/>
  <c r="D286" i="1"/>
  <c r="E286" i="1"/>
  <c r="D175" i="1"/>
  <c r="E175" i="1"/>
  <c r="D47" i="1"/>
  <c r="E47" i="1"/>
  <c r="D913" i="1"/>
  <c r="E913" i="1"/>
  <c r="D849" i="1"/>
  <c r="E849" i="1"/>
  <c r="D785" i="1"/>
  <c r="E785" i="1"/>
  <c r="D721" i="1"/>
  <c r="E721" i="1"/>
  <c r="D653" i="1"/>
  <c r="E653" i="1"/>
  <c r="D566" i="1"/>
  <c r="E566" i="1"/>
  <c r="D463" i="1"/>
  <c r="E463" i="1"/>
  <c r="D360" i="1"/>
  <c r="E360" i="1"/>
  <c r="D260" i="1"/>
  <c r="E260" i="1"/>
  <c r="D142" i="1"/>
  <c r="E142" i="1"/>
  <c r="D14" i="1"/>
  <c r="E14" i="1"/>
  <c r="D888" i="1"/>
  <c r="E888" i="1"/>
  <c r="D824" i="1"/>
  <c r="E824" i="1"/>
  <c r="D760" i="1"/>
  <c r="E760" i="1"/>
  <c r="D696" i="1"/>
  <c r="E696" i="1"/>
  <c r="D622" i="1"/>
  <c r="E622" i="1"/>
  <c r="D526" i="1"/>
  <c r="E526" i="1"/>
  <c r="D423" i="1"/>
  <c r="E423" i="1"/>
  <c r="D320" i="1"/>
  <c r="E320" i="1"/>
  <c r="D220" i="1"/>
  <c r="E220" i="1"/>
  <c r="D93" i="1"/>
  <c r="E93" i="1"/>
  <c r="D196" i="1"/>
  <c r="E196" i="1"/>
  <c r="D132" i="1"/>
  <c r="E132" i="1"/>
  <c r="D68" i="1"/>
  <c r="E68" i="1"/>
  <c r="D587" i="1"/>
  <c r="E587" i="1"/>
  <c r="D523" i="1"/>
  <c r="E523" i="1"/>
  <c r="D459" i="1"/>
  <c r="E459" i="1"/>
  <c r="D395" i="1"/>
  <c r="E395" i="1"/>
  <c r="D331" i="1"/>
  <c r="E331" i="1"/>
  <c r="D267" i="1"/>
  <c r="E267" i="1"/>
  <c r="D203" i="1"/>
  <c r="E203" i="1"/>
  <c r="D139" i="1"/>
  <c r="E139" i="1"/>
  <c r="D75" i="1"/>
  <c r="E75" i="1"/>
  <c r="D11" i="1"/>
  <c r="E11" i="1"/>
  <c r="D626" i="1"/>
  <c r="E626" i="1"/>
  <c r="D562" i="1"/>
  <c r="E562" i="1"/>
  <c r="D498" i="1"/>
  <c r="E498" i="1"/>
  <c r="D434" i="1"/>
  <c r="E434" i="1"/>
  <c r="D370" i="1"/>
  <c r="E370" i="1"/>
  <c r="D306" i="1"/>
  <c r="E306" i="1"/>
  <c r="D242" i="1"/>
  <c r="E242" i="1"/>
  <c r="D178" i="1"/>
  <c r="E178" i="1"/>
  <c r="D114" i="1"/>
  <c r="E114" i="1"/>
  <c r="D50" i="1"/>
  <c r="E50" i="1"/>
  <c r="D617" i="1"/>
  <c r="E617" i="1"/>
  <c r="D553" i="1"/>
  <c r="E553" i="1"/>
  <c r="D489" i="1"/>
  <c r="E489" i="1"/>
  <c r="D425" i="1"/>
  <c r="E425" i="1"/>
  <c r="D361" i="1"/>
  <c r="E361" i="1"/>
  <c r="D297" i="1"/>
  <c r="E297" i="1"/>
  <c r="D233" i="1"/>
  <c r="E233" i="1"/>
  <c r="D169" i="1"/>
  <c r="E169" i="1"/>
  <c r="D105" i="1"/>
  <c r="E105" i="1"/>
  <c r="D41" i="1"/>
  <c r="E41" i="1"/>
  <c r="D758" i="1"/>
  <c r="E758" i="1"/>
  <c r="D246" i="1"/>
  <c r="E246" i="1"/>
  <c r="D554" i="1"/>
  <c r="E554" i="1"/>
  <c r="D170" i="1"/>
  <c r="E170" i="1"/>
  <c r="D42" i="1"/>
  <c r="E42" i="1"/>
  <c r="D609" i="1"/>
  <c r="E609" i="1"/>
  <c r="D545" i="1"/>
  <c r="E545" i="1"/>
  <c r="D417" i="1"/>
  <c r="E417" i="1"/>
  <c r="D353" i="1"/>
  <c r="E353" i="1"/>
  <c r="D289" i="1"/>
  <c r="E289" i="1"/>
  <c r="D225" i="1"/>
  <c r="E225" i="1"/>
  <c r="D161" i="1"/>
  <c r="E161" i="1"/>
  <c r="D97" i="1"/>
  <c r="E97" i="1"/>
  <c r="D33" i="1"/>
  <c r="E33" i="1"/>
  <c r="D1240" i="1"/>
  <c r="E1240" i="1"/>
  <c r="D1088" i="1"/>
  <c r="E1088" i="1"/>
  <c r="D1248" i="1"/>
  <c r="E1248" i="1"/>
  <c r="D1030" i="1"/>
  <c r="E1030" i="1"/>
  <c r="D1152" i="1"/>
  <c r="E1152" i="1"/>
  <c r="D935" i="1"/>
  <c r="E935" i="1"/>
  <c r="D724" i="1"/>
  <c r="E724" i="1"/>
  <c r="D967" i="1"/>
  <c r="E967" i="1"/>
  <c r="D1039" i="1"/>
  <c r="E1039" i="1"/>
  <c r="D685" i="1"/>
  <c r="E685" i="1"/>
  <c r="D276" i="1"/>
  <c r="E276" i="1"/>
  <c r="D1068" i="1"/>
  <c r="E1068" i="1"/>
  <c r="D727" i="1"/>
  <c r="E727" i="1"/>
  <c r="D1171" i="1"/>
  <c r="E1171" i="1"/>
  <c r="D893" i="1"/>
  <c r="E893" i="1"/>
  <c r="D71" i="1"/>
  <c r="E71" i="1"/>
  <c r="D1018" i="1"/>
  <c r="E1018" i="1"/>
  <c r="D638" i="1"/>
  <c r="E638" i="1"/>
  <c r="D651" i="1"/>
  <c r="E651" i="1"/>
  <c r="D16" i="1"/>
  <c r="E16" i="1"/>
  <c r="D762" i="1"/>
  <c r="E762" i="1"/>
  <c r="D428" i="1"/>
  <c r="E428" i="1"/>
  <c r="D937" i="1"/>
  <c r="E937" i="1"/>
  <c r="D809" i="1"/>
  <c r="E809" i="1"/>
  <c r="D502" i="1"/>
  <c r="E502" i="1"/>
  <c r="D912" i="1"/>
  <c r="E912" i="1"/>
  <c r="D720" i="1"/>
  <c r="E720" i="1"/>
  <c r="D359" i="1"/>
  <c r="E359" i="1"/>
  <c r="D28" i="1"/>
  <c r="E28" i="1"/>
  <c r="D227" i="1"/>
  <c r="E227" i="1"/>
  <c r="D650" i="1"/>
  <c r="E650" i="1"/>
  <c r="D394" i="1"/>
  <c r="E394" i="1"/>
  <c r="D138" i="1"/>
  <c r="E138" i="1"/>
  <c r="D513" i="1"/>
  <c r="E513" i="1"/>
  <c r="D257" i="1"/>
  <c r="E257" i="1"/>
  <c r="D719" i="1"/>
  <c r="E719" i="1"/>
  <c r="D901" i="1"/>
  <c r="E901" i="1"/>
  <c r="D484" i="1"/>
  <c r="E484" i="1"/>
  <c r="D1013" i="1"/>
  <c r="E1013" i="1"/>
  <c r="D1209" i="1"/>
  <c r="E1209" i="1"/>
  <c r="D1119" i="1"/>
  <c r="E1119" i="1"/>
  <c r="D405" i="1"/>
  <c r="E405" i="1"/>
  <c r="D1086" i="1"/>
  <c r="E1086" i="1"/>
  <c r="D852" i="1"/>
  <c r="E852" i="1"/>
  <c r="D870" i="1"/>
  <c r="E870" i="1"/>
  <c r="D1198" i="1"/>
  <c r="E1198" i="1"/>
  <c r="D1025" i="1"/>
  <c r="E1025" i="1"/>
  <c r="D669" i="1"/>
  <c r="E669" i="1"/>
  <c r="D133" i="1"/>
  <c r="E133" i="1"/>
  <c r="D1124" i="1"/>
  <c r="E1124" i="1"/>
  <c r="D819" i="1"/>
  <c r="E819" i="1"/>
  <c r="D151" i="1"/>
  <c r="E151" i="1"/>
  <c r="D1099" i="1"/>
  <c r="E1099" i="1"/>
  <c r="D779" i="1"/>
  <c r="E779" i="1"/>
  <c r="D292" i="1"/>
  <c r="E292" i="1"/>
  <c r="D942" i="1"/>
  <c r="E942" i="1"/>
  <c r="D616" i="1"/>
  <c r="E616" i="1"/>
  <c r="D641" i="1"/>
  <c r="E641" i="1"/>
  <c r="D244" i="1"/>
  <c r="E244" i="1"/>
  <c r="D882" i="1"/>
  <c r="E882" i="1"/>
  <c r="D517" i="1"/>
  <c r="E517" i="1"/>
  <c r="D865" i="1"/>
  <c r="E865" i="1"/>
  <c r="D591" i="1"/>
  <c r="E591" i="1"/>
  <c r="D174" i="1"/>
  <c r="E174" i="1"/>
  <c r="D712" i="1"/>
  <c r="E712" i="1"/>
  <c r="D125" i="1"/>
  <c r="E125" i="1"/>
  <c r="D20" i="1"/>
  <c r="E20" i="1"/>
  <c r="D347" i="1"/>
  <c r="E347" i="1"/>
  <c r="D91" i="1"/>
  <c r="E91" i="1"/>
  <c r="D514" i="1"/>
  <c r="E514" i="1"/>
  <c r="D258" i="1"/>
  <c r="E258" i="1"/>
  <c r="D633" i="1"/>
  <c r="E633" i="1"/>
  <c r="D377" i="1"/>
  <c r="E377" i="1"/>
  <c r="D121" i="1"/>
  <c r="E121" i="1"/>
  <c r="D925" i="1"/>
  <c r="E925" i="1"/>
  <c r="D1009" i="1"/>
  <c r="E1009" i="1"/>
  <c r="D1047" i="1"/>
  <c r="E1047" i="1"/>
  <c r="D960" i="1"/>
  <c r="E960" i="1"/>
  <c r="D1184" i="1"/>
  <c r="E1184" i="1"/>
  <c r="D1005" i="1"/>
  <c r="E1005" i="1"/>
  <c r="D1063" i="1"/>
  <c r="E1063" i="1"/>
  <c r="D757" i="1"/>
  <c r="E757" i="1"/>
  <c r="D1193" i="1"/>
  <c r="E1193" i="1"/>
  <c r="D677" i="1"/>
  <c r="E677" i="1"/>
  <c r="D1217" i="1"/>
  <c r="E1217" i="1"/>
  <c r="D886" i="1"/>
  <c r="E886" i="1"/>
  <c r="D468" i="1"/>
  <c r="E468" i="1"/>
  <c r="D223" i="1"/>
  <c r="E223" i="1"/>
  <c r="D1116" i="1"/>
  <c r="E1116" i="1"/>
  <c r="D805" i="1"/>
  <c r="E805" i="1"/>
  <c r="D1219" i="1"/>
  <c r="E1219" i="1"/>
  <c r="D657" i="1"/>
  <c r="E657" i="1"/>
  <c r="D1194" i="1"/>
  <c r="E1194" i="1"/>
  <c r="D828" i="1"/>
  <c r="E828" i="1"/>
  <c r="D631" i="1"/>
  <c r="E631" i="1"/>
  <c r="D104" i="1"/>
  <c r="E104" i="1"/>
  <c r="D746" i="1"/>
  <c r="E746" i="1"/>
  <c r="D580" i="1"/>
  <c r="E580" i="1"/>
  <c r="D845" i="1"/>
  <c r="E845" i="1"/>
  <c r="D1087" i="1"/>
  <c r="E1087" i="1"/>
  <c r="D166" i="1"/>
  <c r="E166" i="1"/>
  <c r="D1141" i="1"/>
  <c r="E1141" i="1"/>
  <c r="D582" i="1"/>
  <c r="E582" i="1"/>
  <c r="D1183" i="1"/>
  <c r="E1183" i="1"/>
  <c r="D647" i="1"/>
  <c r="E647" i="1"/>
  <c r="D969" i="1"/>
  <c r="E969" i="1"/>
  <c r="D456" i="1"/>
  <c r="E456" i="1"/>
  <c r="D965" i="1"/>
  <c r="E965" i="1"/>
  <c r="D1224" i="1"/>
  <c r="E1224" i="1"/>
  <c r="D1192" i="1"/>
  <c r="E1192" i="1"/>
  <c r="D846" i="1"/>
  <c r="E846" i="1"/>
  <c r="D615" i="1"/>
  <c r="E615" i="1"/>
  <c r="D277" i="1"/>
  <c r="E277" i="1"/>
  <c r="D1228" i="1"/>
  <c r="E1228" i="1"/>
  <c r="D1036" i="1"/>
  <c r="E1036" i="1"/>
  <c r="D676" i="1"/>
  <c r="E676" i="1"/>
  <c r="D1203" i="1"/>
  <c r="E1203" i="1"/>
  <c r="D943" i="1"/>
  <c r="E943" i="1"/>
  <c r="D619" i="1"/>
  <c r="E619" i="1"/>
  <c r="D1242" i="1"/>
  <c r="E1242" i="1"/>
  <c r="D1050" i="1"/>
  <c r="E1050" i="1"/>
  <c r="D903" i="1"/>
  <c r="E903" i="1"/>
  <c r="D544" i="1"/>
  <c r="E544" i="1"/>
  <c r="D511" i="1"/>
  <c r="E511" i="1"/>
  <c r="D80" i="1"/>
  <c r="E80" i="1"/>
  <c r="D663" i="1"/>
  <c r="E663" i="1"/>
  <c r="D272" i="1"/>
  <c r="E272" i="1"/>
  <c r="D905" i="1"/>
  <c r="E905" i="1"/>
  <c r="D713" i="1"/>
  <c r="E713" i="1"/>
  <c r="D552" i="1"/>
  <c r="E552" i="1"/>
  <c r="D452" i="1"/>
  <c r="E452" i="1"/>
  <c r="D126" i="1"/>
  <c r="E126" i="1"/>
  <c r="D880" i="1"/>
  <c r="E880" i="1"/>
  <c r="D816" i="1"/>
  <c r="E816" i="1"/>
  <c r="D752" i="1"/>
  <c r="E752" i="1"/>
  <c r="D688" i="1"/>
  <c r="E688" i="1"/>
  <c r="D612" i="1"/>
  <c r="E612" i="1"/>
  <c r="D512" i="1"/>
  <c r="E512" i="1"/>
  <c r="D412" i="1"/>
  <c r="E412" i="1"/>
  <c r="D309" i="1"/>
  <c r="E309" i="1"/>
  <c r="D205" i="1"/>
  <c r="E205" i="1"/>
  <c r="D77" i="1"/>
  <c r="E77" i="1"/>
  <c r="D188" i="1"/>
  <c r="E188" i="1"/>
  <c r="D124" i="1"/>
  <c r="E124" i="1"/>
  <c r="D60" i="1"/>
  <c r="E60" i="1"/>
  <c r="D579" i="1"/>
  <c r="E579" i="1"/>
  <c r="D515" i="1"/>
  <c r="E515" i="1"/>
  <c r="D451" i="1"/>
  <c r="E451" i="1"/>
  <c r="D387" i="1"/>
  <c r="E387" i="1"/>
  <c r="D323" i="1"/>
  <c r="E323" i="1"/>
  <c r="D259" i="1"/>
  <c r="E259" i="1"/>
  <c r="D195" i="1"/>
  <c r="E195" i="1"/>
  <c r="D131" i="1"/>
  <c r="E131" i="1"/>
  <c r="D67" i="1"/>
  <c r="E67" i="1"/>
  <c r="D682" i="1"/>
  <c r="E682" i="1"/>
  <c r="D618" i="1"/>
  <c r="E618" i="1"/>
  <c r="D490" i="1"/>
  <c r="E490" i="1"/>
  <c r="D426" i="1"/>
  <c r="E426" i="1"/>
  <c r="D234" i="1"/>
  <c r="E234" i="1"/>
  <c r="D106" i="1"/>
  <c r="E106" i="1"/>
  <c r="D481" i="1"/>
  <c r="E481" i="1"/>
  <c r="D1166" i="1"/>
  <c r="E1166" i="1"/>
  <c r="D799" i="1"/>
  <c r="E799" i="1"/>
  <c r="D584" i="1"/>
  <c r="E584" i="1"/>
  <c r="D1176" i="1"/>
  <c r="E1176" i="1"/>
  <c r="D1073" i="1"/>
  <c r="E1073" i="1"/>
  <c r="D973" i="1"/>
  <c r="E973" i="1"/>
  <c r="D821" i="1"/>
  <c r="E821" i="1"/>
  <c r="D628" i="1"/>
  <c r="E628" i="1"/>
  <c r="D1077" i="1"/>
  <c r="E1077" i="1"/>
  <c r="D957" i="1"/>
  <c r="E957" i="1"/>
  <c r="D560" i="1"/>
  <c r="E560" i="1"/>
  <c r="D431" i="1"/>
  <c r="E431" i="1"/>
  <c r="D1230" i="1"/>
  <c r="E1230" i="1"/>
  <c r="D1225" i="1"/>
  <c r="E1225" i="1"/>
  <c r="D958" i="1"/>
  <c r="E958" i="1"/>
  <c r="D532" i="1"/>
  <c r="E532" i="1"/>
  <c r="D939" i="1"/>
  <c r="E939" i="1"/>
  <c r="D1045" i="1"/>
  <c r="E1045" i="1"/>
  <c r="D406" i="1"/>
  <c r="E406" i="1"/>
  <c r="D1169" i="1"/>
  <c r="E1169" i="1"/>
  <c r="D1069" i="1"/>
  <c r="E1069" i="1"/>
  <c r="D966" i="1"/>
  <c r="E966" i="1"/>
  <c r="D811" i="1"/>
  <c r="E811" i="1"/>
  <c r="D606" i="1"/>
  <c r="E606" i="1"/>
  <c r="D1255" i="1"/>
  <c r="E1255" i="1"/>
  <c r="D948" i="1"/>
  <c r="E948" i="1"/>
  <c r="D1161" i="1"/>
  <c r="E1161" i="1"/>
  <c r="D940" i="1"/>
  <c r="E940" i="1"/>
  <c r="D627" i="1"/>
  <c r="E627" i="1"/>
  <c r="D1007" i="1"/>
  <c r="E1007" i="1"/>
  <c r="D1081" i="1"/>
  <c r="E1081" i="1"/>
  <c r="D1257" i="1"/>
  <c r="E1257" i="1"/>
  <c r="D1157" i="1"/>
  <c r="E1157" i="1"/>
  <c r="D1054" i="1"/>
  <c r="E1054" i="1"/>
  <c r="D950" i="1"/>
  <c r="E950" i="1"/>
  <c r="D787" i="1"/>
  <c r="E787" i="1"/>
  <c r="D557" i="1"/>
  <c r="E557" i="1"/>
  <c r="D1199" i="1"/>
  <c r="E1199" i="1"/>
  <c r="D916" i="1"/>
  <c r="E916" i="1"/>
  <c r="D1031" i="1"/>
  <c r="E1031" i="1"/>
  <c r="D732" i="1"/>
  <c r="E732" i="1"/>
  <c r="D1181" i="1"/>
  <c r="E1181" i="1"/>
  <c r="D1078" i="1"/>
  <c r="E1078" i="1"/>
  <c r="D975" i="1"/>
  <c r="E975" i="1"/>
  <c r="D823" i="1"/>
  <c r="E823" i="1"/>
  <c r="D630" i="1"/>
  <c r="E630" i="1"/>
  <c r="D54" i="1"/>
  <c r="E54" i="1"/>
  <c r="D595" i="1"/>
  <c r="E595" i="1"/>
  <c r="D390" i="1"/>
  <c r="E390" i="1"/>
  <c r="D176" i="1"/>
  <c r="E176" i="1"/>
  <c r="D252" i="1"/>
  <c r="E252" i="1"/>
  <c r="D351" i="1"/>
  <c r="E351" i="1"/>
  <c r="D128" i="1"/>
  <c r="E128" i="1"/>
  <c r="D1220" i="1"/>
  <c r="E1220" i="1"/>
  <c r="D1156" i="1"/>
  <c r="E1156" i="1"/>
  <c r="D1092" i="1"/>
  <c r="E1092" i="1"/>
  <c r="D1028" i="1"/>
  <c r="E1028" i="1"/>
  <c r="D964" i="1"/>
  <c r="E964" i="1"/>
  <c r="D869" i="1"/>
  <c r="E869" i="1"/>
  <c r="D766" i="1"/>
  <c r="E766" i="1"/>
  <c r="D659" i="1"/>
  <c r="E659" i="1"/>
  <c r="D471" i="1"/>
  <c r="E471" i="1"/>
  <c r="D268" i="1"/>
  <c r="E268" i="1"/>
  <c r="D1259" i="1"/>
  <c r="E1259" i="1"/>
  <c r="D1195" i="1"/>
  <c r="E1195" i="1"/>
  <c r="D1131" i="1"/>
  <c r="E1131" i="1"/>
  <c r="D1067" i="1"/>
  <c r="E1067" i="1"/>
  <c r="D1003" i="1"/>
  <c r="E1003" i="1"/>
  <c r="D932" i="1"/>
  <c r="E932" i="1"/>
  <c r="D829" i="1"/>
  <c r="E829" i="1"/>
  <c r="D726" i="1"/>
  <c r="E726" i="1"/>
  <c r="D597" i="1"/>
  <c r="E597" i="1"/>
  <c r="D392" i="1"/>
  <c r="E392" i="1"/>
  <c r="D182" i="1"/>
  <c r="E182" i="1"/>
  <c r="D1234" i="1"/>
  <c r="E1234" i="1"/>
  <c r="D1170" i="1"/>
  <c r="E1170" i="1"/>
  <c r="D1106" i="1"/>
  <c r="E1106" i="1"/>
  <c r="D1042" i="1"/>
  <c r="E1042" i="1"/>
  <c r="D978" i="1"/>
  <c r="E978" i="1"/>
  <c r="D892" i="1"/>
  <c r="E892" i="1"/>
  <c r="D789" i="1"/>
  <c r="E789" i="1"/>
  <c r="D686" i="1"/>
  <c r="E686" i="1"/>
  <c r="D519" i="1"/>
  <c r="E519" i="1"/>
  <c r="D316" i="1"/>
  <c r="E316" i="1"/>
  <c r="D70" i="1"/>
  <c r="E70" i="1"/>
  <c r="D599" i="1"/>
  <c r="E599" i="1"/>
  <c r="D500" i="1"/>
  <c r="E500" i="1"/>
  <c r="D397" i="1"/>
  <c r="E397" i="1"/>
  <c r="D294" i="1"/>
  <c r="E294" i="1"/>
  <c r="D184" i="1"/>
  <c r="E184" i="1"/>
  <c r="D56" i="1"/>
  <c r="E56" i="1"/>
  <c r="D64" i="1"/>
  <c r="E64" i="1"/>
  <c r="D914" i="1"/>
  <c r="E914" i="1"/>
  <c r="D850" i="1"/>
  <c r="E850" i="1"/>
  <c r="D786" i="1"/>
  <c r="E786" i="1"/>
  <c r="D722" i="1"/>
  <c r="E722" i="1"/>
  <c r="D654" i="1"/>
  <c r="E654" i="1"/>
  <c r="D567" i="1"/>
  <c r="E567" i="1"/>
  <c r="D464" i="1"/>
  <c r="E464" i="1"/>
  <c r="D364" i="1"/>
  <c r="E364" i="1"/>
  <c r="D261" i="1"/>
  <c r="E261" i="1"/>
  <c r="D143" i="1"/>
  <c r="E143" i="1"/>
  <c r="D15" i="1"/>
  <c r="E15" i="1"/>
  <c r="D897" i="1"/>
  <c r="E897" i="1"/>
  <c r="D833" i="1"/>
  <c r="E833" i="1"/>
  <c r="D769" i="1"/>
  <c r="E769" i="1"/>
  <c r="D705" i="1"/>
  <c r="E705" i="1"/>
  <c r="D635" i="1"/>
  <c r="E635" i="1"/>
  <c r="D541" i="1"/>
  <c r="E541" i="1"/>
  <c r="D438" i="1"/>
  <c r="E438" i="1"/>
  <c r="D335" i="1"/>
  <c r="E335" i="1"/>
  <c r="D232" i="1"/>
  <c r="E232" i="1"/>
  <c r="D110" i="1"/>
  <c r="E110" i="1"/>
  <c r="D936" i="1"/>
  <c r="E936" i="1"/>
  <c r="D872" i="1"/>
  <c r="E872" i="1"/>
  <c r="D808" i="1"/>
  <c r="E808" i="1"/>
  <c r="D744" i="1"/>
  <c r="E744" i="1"/>
  <c r="D679" i="1"/>
  <c r="E679" i="1"/>
  <c r="D600" i="1"/>
  <c r="E600" i="1"/>
  <c r="D501" i="1"/>
  <c r="E501" i="1"/>
  <c r="D398" i="1"/>
  <c r="E398" i="1"/>
  <c r="D295" i="1"/>
  <c r="E295" i="1"/>
  <c r="D189" i="1"/>
  <c r="E189" i="1"/>
  <c r="D61" i="1"/>
  <c r="E61" i="1"/>
  <c r="D180" i="1"/>
  <c r="E180" i="1"/>
  <c r="D116" i="1"/>
  <c r="E116" i="1"/>
  <c r="D52" i="1"/>
  <c r="E52" i="1"/>
  <c r="D571" i="1"/>
  <c r="E571" i="1"/>
  <c r="D507" i="1"/>
  <c r="E507" i="1"/>
  <c r="D443" i="1"/>
  <c r="E443" i="1"/>
  <c r="D379" i="1"/>
  <c r="E379" i="1"/>
  <c r="D315" i="1"/>
  <c r="E315" i="1"/>
  <c r="D251" i="1"/>
  <c r="E251" i="1"/>
  <c r="D187" i="1"/>
  <c r="E187" i="1"/>
  <c r="D123" i="1"/>
  <c r="E123" i="1"/>
  <c r="D59" i="1"/>
  <c r="E59" i="1"/>
  <c r="D674" i="1"/>
  <c r="E674" i="1"/>
  <c r="D610" i="1"/>
  <c r="E610" i="1"/>
  <c r="D546" i="1"/>
  <c r="E546" i="1"/>
  <c r="D482" i="1"/>
  <c r="E482" i="1"/>
  <c r="D418" i="1"/>
  <c r="E418" i="1"/>
  <c r="D354" i="1"/>
  <c r="E354" i="1"/>
  <c r="D290" i="1"/>
  <c r="E290" i="1"/>
  <c r="D226" i="1"/>
  <c r="E226" i="1"/>
  <c r="D162" i="1"/>
  <c r="E162" i="1"/>
  <c r="D98" i="1"/>
  <c r="E98" i="1"/>
  <c r="D34" i="1"/>
  <c r="E34" i="1"/>
  <c r="D601" i="1"/>
  <c r="E601" i="1"/>
  <c r="D537" i="1"/>
  <c r="E537" i="1"/>
  <c r="D473" i="1"/>
  <c r="E473" i="1"/>
  <c r="D409" i="1"/>
  <c r="E409" i="1"/>
  <c r="D345" i="1"/>
  <c r="E345" i="1"/>
  <c r="D281" i="1"/>
  <c r="E281" i="1"/>
  <c r="D217" i="1"/>
  <c r="E217" i="1"/>
  <c r="D153" i="1"/>
  <c r="E153" i="1"/>
  <c r="D89" i="1"/>
  <c r="E89" i="1"/>
  <c r="D25" i="1"/>
  <c r="E25" i="1"/>
  <c r="D1137" i="1"/>
  <c r="E1137" i="1"/>
  <c r="D733" i="1"/>
  <c r="E733" i="1"/>
  <c r="D1049" i="1"/>
  <c r="E1049" i="1"/>
  <c r="D1213" i="1"/>
  <c r="E1213" i="1"/>
  <c r="D1133" i="1"/>
  <c r="E1133" i="1"/>
  <c r="D455" i="1"/>
  <c r="E455" i="1"/>
  <c r="D820" i="1"/>
  <c r="E820" i="1"/>
  <c r="D1221" i="1"/>
  <c r="E1221" i="1"/>
  <c r="D404" i="1"/>
  <c r="E404" i="1"/>
  <c r="D1245" i="1"/>
  <c r="E1245" i="1"/>
  <c r="D763" i="1"/>
  <c r="E763" i="1"/>
  <c r="D518" i="1"/>
  <c r="E518" i="1"/>
  <c r="D165" i="1"/>
  <c r="E165" i="1"/>
  <c r="D1132" i="1"/>
  <c r="E1132" i="1"/>
  <c r="D933" i="1"/>
  <c r="E933" i="1"/>
  <c r="D396" i="1"/>
  <c r="E396" i="1"/>
  <c r="D1107" i="1"/>
  <c r="E1107" i="1"/>
  <c r="D317" i="1"/>
  <c r="E317" i="1"/>
  <c r="D1082" i="1"/>
  <c r="E1082" i="1"/>
  <c r="D853" i="1"/>
  <c r="E853" i="1"/>
  <c r="D238" i="1"/>
  <c r="E238" i="1"/>
  <c r="D358" i="1"/>
  <c r="E358" i="1"/>
  <c r="D136" i="1"/>
  <c r="E136" i="1"/>
  <c r="D826" i="1"/>
  <c r="E826" i="1"/>
  <c r="D528" i="1"/>
  <c r="E528" i="1"/>
  <c r="D95" i="1"/>
  <c r="E95" i="1"/>
  <c r="D745" i="1"/>
  <c r="E745" i="1"/>
  <c r="D399" i="1"/>
  <c r="E399" i="1"/>
  <c r="D848" i="1"/>
  <c r="E848" i="1"/>
  <c r="D652" i="1"/>
  <c r="E652" i="1"/>
  <c r="D256" i="1"/>
  <c r="E256" i="1"/>
  <c r="D156" i="1"/>
  <c r="E156" i="1"/>
  <c r="D547" i="1"/>
  <c r="E547" i="1"/>
  <c r="D355" i="1"/>
  <c r="E355" i="1"/>
  <c r="D99" i="1"/>
  <c r="E99" i="1"/>
  <c r="D522" i="1"/>
  <c r="E522" i="1"/>
  <c r="D266" i="1"/>
  <c r="E266" i="1"/>
  <c r="D10" i="1"/>
  <c r="E10" i="1"/>
  <c r="D385" i="1"/>
  <c r="E385" i="1"/>
  <c r="D193" i="1"/>
  <c r="E193" i="1"/>
  <c r="D974" i="1"/>
  <c r="E974" i="1"/>
  <c r="D1126" i="1"/>
  <c r="E1126" i="1"/>
  <c r="D430" i="1"/>
  <c r="E430" i="1"/>
  <c r="D509" i="1"/>
  <c r="E509" i="1"/>
  <c r="D1149" i="1"/>
  <c r="E1149" i="1"/>
  <c r="D1016" i="1"/>
  <c r="E1016" i="1"/>
  <c r="D1127" i="1"/>
  <c r="E1127" i="1"/>
  <c r="D1135" i="1"/>
  <c r="E1135" i="1"/>
  <c r="D1104" i="1"/>
  <c r="E1104" i="1"/>
  <c r="D304" i="1"/>
  <c r="E304" i="1"/>
  <c r="D1231" i="1"/>
  <c r="E1231" i="1"/>
  <c r="D743" i="1"/>
  <c r="E743" i="1"/>
  <c r="D287" i="1"/>
  <c r="E287" i="1"/>
  <c r="D1252" i="1"/>
  <c r="E1252" i="1"/>
  <c r="D996" i="1"/>
  <c r="E996" i="1"/>
  <c r="D716" i="1"/>
  <c r="E716" i="1"/>
  <c r="D1163" i="1"/>
  <c r="E1163" i="1"/>
  <c r="D879" i="1"/>
  <c r="E879" i="1"/>
  <c r="D495" i="1"/>
  <c r="E495" i="1"/>
  <c r="D1138" i="1"/>
  <c r="E1138" i="1"/>
  <c r="D839" i="1"/>
  <c r="E839" i="1"/>
  <c r="D213" i="1"/>
  <c r="E213" i="1"/>
  <c r="D344" i="1"/>
  <c r="E344" i="1"/>
  <c r="D946" i="1"/>
  <c r="E946" i="1"/>
  <c r="D690" i="1"/>
  <c r="E690" i="1"/>
  <c r="D311" i="1"/>
  <c r="E311" i="1"/>
  <c r="D929" i="1"/>
  <c r="E929" i="1"/>
  <c r="D671" i="1"/>
  <c r="E671" i="1"/>
  <c r="D285" i="1"/>
  <c r="E285" i="1"/>
  <c r="D840" i="1"/>
  <c r="E840" i="1"/>
  <c r="D551" i="1"/>
  <c r="E551" i="1"/>
  <c r="D448" i="1"/>
  <c r="E448" i="1"/>
  <c r="D212" i="1"/>
  <c r="E212" i="1"/>
  <c r="D539" i="1"/>
  <c r="E539" i="1"/>
  <c r="D283" i="1"/>
  <c r="E283" i="1"/>
  <c r="D27" i="1"/>
  <c r="E27" i="1"/>
  <c r="D450" i="1"/>
  <c r="E450" i="1"/>
  <c r="D66" i="1"/>
  <c r="E66" i="1"/>
  <c r="D249" i="1"/>
  <c r="E249" i="1"/>
  <c r="D1215" i="1"/>
  <c r="E1215" i="1"/>
  <c r="D884" i="1"/>
  <c r="E884" i="1"/>
  <c r="D684" i="1"/>
  <c r="E684" i="1"/>
  <c r="D1072" i="1"/>
  <c r="E1072" i="1"/>
  <c r="D1071" i="1"/>
  <c r="E1071" i="1"/>
  <c r="D1105" i="1"/>
  <c r="E1105" i="1"/>
  <c r="D707" i="1"/>
  <c r="E707" i="1"/>
  <c r="D1033" i="1"/>
  <c r="E1033" i="1"/>
  <c r="D749" i="1"/>
  <c r="E749" i="1"/>
  <c r="D990" i="1"/>
  <c r="E990" i="1"/>
  <c r="D1096" i="1"/>
  <c r="E1096" i="1"/>
  <c r="D1117" i="1"/>
  <c r="E1117" i="1"/>
  <c r="D655" i="1"/>
  <c r="E655" i="1"/>
  <c r="D327" i="1"/>
  <c r="E327" i="1"/>
  <c r="D1180" i="1"/>
  <c r="E1180" i="1"/>
  <c r="D908" i="1"/>
  <c r="E908" i="1"/>
  <c r="D702" i="1"/>
  <c r="E702" i="1"/>
  <c r="D119" i="1"/>
  <c r="E119" i="1"/>
  <c r="D1091" i="1"/>
  <c r="E1091" i="1"/>
  <c r="D963" i="1"/>
  <c r="E963" i="1"/>
  <c r="D470" i="1"/>
  <c r="E470" i="1"/>
  <c r="D1258" i="1"/>
  <c r="E1258" i="1"/>
  <c r="D1002" i="1"/>
  <c r="E1002" i="1"/>
  <c r="D596" i="1"/>
  <c r="E596" i="1"/>
  <c r="D181" i="1"/>
  <c r="E181" i="1"/>
  <c r="D333" i="1"/>
  <c r="E333" i="1"/>
  <c r="D874" i="1"/>
  <c r="E874" i="1"/>
  <c r="D374" i="1"/>
  <c r="E374" i="1"/>
  <c r="D629" i="1"/>
  <c r="E629" i="1"/>
  <c r="D984" i="1"/>
  <c r="E984" i="1"/>
  <c r="D838" i="1"/>
  <c r="E838" i="1"/>
  <c r="D1238" i="1"/>
  <c r="E1238" i="1"/>
  <c r="D102" i="1"/>
  <c r="E102" i="1"/>
  <c r="D983" i="1"/>
  <c r="E983" i="1"/>
  <c r="D1095" i="1"/>
  <c r="E1095" i="1"/>
  <c r="D607" i="1"/>
  <c r="E607" i="1"/>
  <c r="D977" i="1"/>
  <c r="E977" i="1"/>
  <c r="D101" i="1"/>
  <c r="E101" i="1"/>
  <c r="D1189" i="1"/>
  <c r="E1189" i="1"/>
  <c r="D1032" i="1"/>
  <c r="E1032" i="1"/>
  <c r="D1065" i="1"/>
  <c r="E1065" i="1"/>
  <c r="D605" i="1"/>
  <c r="E605" i="1"/>
  <c r="D1070" i="1"/>
  <c r="E1070" i="1"/>
  <c r="D1089" i="1"/>
  <c r="E1089" i="1"/>
  <c r="D668" i="1"/>
  <c r="E668" i="1"/>
  <c r="D415" i="1"/>
  <c r="E415" i="1"/>
  <c r="D376" i="1"/>
  <c r="E376" i="1"/>
  <c r="D1164" i="1"/>
  <c r="E1164" i="1"/>
  <c r="D972" i="1"/>
  <c r="E972" i="1"/>
  <c r="D780" i="1"/>
  <c r="E780" i="1"/>
  <c r="D496" i="1"/>
  <c r="E496" i="1"/>
  <c r="D38" i="1"/>
  <c r="E38" i="1"/>
  <c r="D1075" i="1"/>
  <c r="E1075" i="1"/>
  <c r="D843" i="1"/>
  <c r="E843" i="1"/>
  <c r="D420" i="1"/>
  <c r="E420" i="1"/>
  <c r="D1114" i="1"/>
  <c r="E1114" i="1"/>
  <c r="D803" i="1"/>
  <c r="E803" i="1"/>
  <c r="D117" i="1"/>
  <c r="E117" i="1"/>
  <c r="D408" i="1"/>
  <c r="E408" i="1"/>
  <c r="D72" i="1"/>
  <c r="E72" i="1"/>
  <c r="D858" i="1"/>
  <c r="E858" i="1"/>
  <c r="D730" i="1"/>
  <c r="E730" i="1"/>
  <c r="D478" i="1"/>
  <c r="E478" i="1"/>
  <c r="D159" i="1"/>
  <c r="E159" i="1"/>
  <c r="D841" i="1"/>
  <c r="E841" i="1"/>
  <c r="D349" i="1"/>
  <c r="E349" i="1"/>
  <c r="D298" i="1"/>
  <c r="E298" i="1"/>
  <c r="D1102" i="1"/>
  <c r="E1102" i="1"/>
  <c r="D782" i="1"/>
  <c r="E782" i="1"/>
  <c r="D167" i="1"/>
  <c r="E167" i="1"/>
  <c r="D1165" i="1"/>
  <c r="E1165" i="1"/>
  <c r="D1062" i="1"/>
  <c r="E1062" i="1"/>
  <c r="D959" i="1"/>
  <c r="E959" i="1"/>
  <c r="D798" i="1"/>
  <c r="E798" i="1"/>
  <c r="D583" i="1"/>
  <c r="E583" i="1"/>
  <c r="D534" i="1"/>
  <c r="E534" i="1"/>
  <c r="D836" i="1"/>
  <c r="E836" i="1"/>
  <c r="D510" i="1"/>
  <c r="E510" i="1"/>
  <c r="D1061" i="1"/>
  <c r="E1061" i="1"/>
  <c r="D1177" i="1"/>
  <c r="E1177" i="1"/>
  <c r="D1200" i="1"/>
  <c r="E1200" i="1"/>
  <c r="D923" i="1"/>
  <c r="E923" i="1"/>
  <c r="D479" i="1"/>
  <c r="E479" i="1"/>
  <c r="D899" i="1"/>
  <c r="E899" i="1"/>
  <c r="D992" i="1"/>
  <c r="E992" i="1"/>
  <c r="D1261" i="1"/>
  <c r="E1261" i="1"/>
  <c r="D1158" i="1"/>
  <c r="E1158" i="1"/>
  <c r="D1055" i="1"/>
  <c r="E1055" i="1"/>
  <c r="D951" i="1"/>
  <c r="E951" i="1"/>
  <c r="D788" i="1"/>
  <c r="E788" i="1"/>
  <c r="D558" i="1"/>
  <c r="E558" i="1"/>
  <c r="D1216" i="1"/>
  <c r="E1216" i="1"/>
  <c r="D902" i="1"/>
  <c r="E902" i="1"/>
  <c r="D1136" i="1"/>
  <c r="E1136" i="1"/>
  <c r="D900" i="1"/>
  <c r="E900" i="1"/>
  <c r="D135" i="1"/>
  <c r="E135" i="1"/>
  <c r="D968" i="1"/>
  <c r="E968" i="1"/>
  <c r="D1056" i="1"/>
  <c r="E1056" i="1"/>
  <c r="D1246" i="1"/>
  <c r="E1246" i="1"/>
  <c r="D1143" i="1"/>
  <c r="E1143" i="1"/>
  <c r="D1040" i="1"/>
  <c r="E1040" i="1"/>
  <c r="D927" i="1"/>
  <c r="E927" i="1"/>
  <c r="D767" i="1"/>
  <c r="E767" i="1"/>
  <c r="D504" i="1"/>
  <c r="E504" i="1"/>
  <c r="D1174" i="1"/>
  <c r="E1174" i="1"/>
  <c r="D876" i="1"/>
  <c r="E876" i="1"/>
  <c r="D1017" i="1"/>
  <c r="E1017" i="1"/>
  <c r="D559" i="1"/>
  <c r="E559" i="1"/>
  <c r="D1167" i="1"/>
  <c r="E1167" i="1"/>
  <c r="D1064" i="1"/>
  <c r="E1064" i="1"/>
  <c r="D961" i="1"/>
  <c r="E961" i="1"/>
  <c r="D806" i="1"/>
  <c r="E806" i="1"/>
  <c r="D588" i="1"/>
  <c r="E588" i="1"/>
  <c r="D710" i="1"/>
  <c r="E710" i="1"/>
  <c r="D568" i="1"/>
  <c r="E568" i="1"/>
  <c r="D365" i="1"/>
  <c r="E365" i="1"/>
  <c r="D144" i="1"/>
  <c r="E144" i="1"/>
  <c r="D224" i="1"/>
  <c r="E224" i="1"/>
  <c r="D326" i="1"/>
  <c r="E326" i="1"/>
  <c r="D86" i="1"/>
  <c r="E86" i="1"/>
  <c r="D1212" i="1"/>
  <c r="E1212" i="1"/>
  <c r="D1148" i="1"/>
  <c r="E1148" i="1"/>
  <c r="D1084" i="1"/>
  <c r="E1084" i="1"/>
  <c r="D1020" i="1"/>
  <c r="E1020" i="1"/>
  <c r="D956" i="1"/>
  <c r="E956" i="1"/>
  <c r="D855" i="1"/>
  <c r="E855" i="1"/>
  <c r="D755" i="1"/>
  <c r="E755" i="1"/>
  <c r="D640" i="1"/>
  <c r="E640" i="1"/>
  <c r="D446" i="1"/>
  <c r="E446" i="1"/>
  <c r="D240" i="1"/>
  <c r="E240" i="1"/>
  <c r="D1251" i="1"/>
  <c r="E1251" i="1"/>
  <c r="D1187" i="1"/>
  <c r="E1187" i="1"/>
  <c r="D1123" i="1"/>
  <c r="E1123" i="1"/>
  <c r="D1059" i="1"/>
  <c r="E1059" i="1"/>
  <c r="D995" i="1"/>
  <c r="E995" i="1"/>
  <c r="D918" i="1"/>
  <c r="E918" i="1"/>
  <c r="D815" i="1"/>
  <c r="E815" i="1"/>
  <c r="D715" i="1"/>
  <c r="E715" i="1"/>
  <c r="D573" i="1"/>
  <c r="E573" i="1"/>
  <c r="D367" i="1"/>
  <c r="E367" i="1"/>
  <c r="D150" i="1"/>
  <c r="E150" i="1"/>
  <c r="D1226" i="1"/>
  <c r="E1226" i="1"/>
  <c r="D1162" i="1"/>
  <c r="E1162" i="1"/>
  <c r="D1098" i="1"/>
  <c r="E1098" i="1"/>
  <c r="D1034" i="1"/>
  <c r="E1034" i="1"/>
  <c r="D970" i="1"/>
  <c r="E970" i="1"/>
  <c r="D878" i="1"/>
  <c r="E878" i="1"/>
  <c r="D775" i="1"/>
  <c r="E775" i="1"/>
  <c r="D673" i="1"/>
  <c r="E673" i="1"/>
  <c r="D494" i="1"/>
  <c r="E494" i="1"/>
  <c r="D288" i="1"/>
  <c r="E288" i="1"/>
  <c r="D23" i="1"/>
  <c r="E23" i="1"/>
  <c r="D589" i="1"/>
  <c r="E589" i="1"/>
  <c r="D486" i="1"/>
  <c r="E486" i="1"/>
  <c r="D383" i="1"/>
  <c r="E383" i="1"/>
  <c r="D280" i="1"/>
  <c r="E280" i="1"/>
  <c r="D168" i="1"/>
  <c r="E168" i="1"/>
  <c r="D40" i="1"/>
  <c r="E40" i="1"/>
  <c r="D48" i="1"/>
  <c r="E48" i="1"/>
  <c r="D906" i="1"/>
  <c r="E906" i="1"/>
  <c r="D842" i="1"/>
  <c r="E842" i="1"/>
  <c r="D778" i="1"/>
  <c r="E778" i="1"/>
  <c r="D714" i="1"/>
  <c r="E714" i="1"/>
  <c r="D645" i="1"/>
  <c r="E645" i="1"/>
  <c r="D556" i="1"/>
  <c r="E556" i="1"/>
  <c r="D453" i="1"/>
  <c r="E453" i="1"/>
  <c r="D350" i="1"/>
  <c r="E350" i="1"/>
  <c r="D247" i="1"/>
  <c r="E247" i="1"/>
  <c r="D127" i="1"/>
  <c r="E127" i="1"/>
  <c r="D953" i="1"/>
  <c r="E953" i="1"/>
  <c r="D889" i="1"/>
  <c r="E889" i="1"/>
  <c r="D825" i="1"/>
  <c r="E825" i="1"/>
  <c r="D761" i="1"/>
  <c r="E761" i="1"/>
  <c r="D697" i="1"/>
  <c r="E697" i="1"/>
  <c r="D623" i="1"/>
  <c r="E623" i="1"/>
  <c r="D527" i="1"/>
  <c r="E527" i="1"/>
  <c r="D424" i="1"/>
  <c r="E424" i="1"/>
  <c r="D324" i="1"/>
  <c r="E324" i="1"/>
  <c r="D221" i="1"/>
  <c r="E221" i="1"/>
  <c r="D94" i="1"/>
  <c r="E94" i="1"/>
  <c r="D928" i="1"/>
  <c r="E928" i="1"/>
  <c r="D864" i="1"/>
  <c r="E864" i="1"/>
  <c r="D800" i="1"/>
  <c r="E800" i="1"/>
  <c r="D736" i="1"/>
  <c r="E736" i="1"/>
  <c r="D670" i="1"/>
  <c r="E670" i="1"/>
  <c r="D590" i="1"/>
  <c r="E590" i="1"/>
  <c r="D487" i="1"/>
  <c r="E487" i="1"/>
  <c r="D384" i="1"/>
  <c r="E384" i="1"/>
  <c r="D284" i="1"/>
  <c r="E284" i="1"/>
  <c r="D173" i="1"/>
  <c r="E173" i="1"/>
  <c r="D45" i="1"/>
  <c r="E45" i="1"/>
  <c r="D172" i="1"/>
  <c r="E172" i="1"/>
  <c r="D108" i="1"/>
  <c r="E108" i="1"/>
  <c r="D44" i="1"/>
  <c r="E44" i="1"/>
  <c r="D563" i="1"/>
  <c r="E563" i="1"/>
  <c r="D499" i="1"/>
  <c r="E499" i="1"/>
  <c r="D435" i="1"/>
  <c r="E435" i="1"/>
  <c r="D371" i="1"/>
  <c r="E371" i="1"/>
  <c r="D307" i="1"/>
  <c r="E307" i="1"/>
  <c r="D243" i="1"/>
  <c r="E243" i="1"/>
  <c r="D179" i="1"/>
  <c r="E179" i="1"/>
  <c r="D115" i="1"/>
  <c r="E115" i="1"/>
  <c r="D51" i="1"/>
  <c r="E51" i="1"/>
  <c r="D666" i="1"/>
  <c r="E666" i="1"/>
  <c r="D602" i="1"/>
  <c r="E602" i="1"/>
  <c r="D538" i="1"/>
  <c r="E538" i="1"/>
  <c r="D474" i="1"/>
  <c r="E474" i="1"/>
  <c r="D410" i="1"/>
  <c r="E410" i="1"/>
  <c r="D346" i="1"/>
  <c r="E346" i="1"/>
  <c r="D282" i="1"/>
  <c r="E282" i="1"/>
  <c r="D218" i="1"/>
  <c r="E218" i="1"/>
  <c r="D154" i="1"/>
  <c r="E154" i="1"/>
  <c r="D90" i="1"/>
  <c r="E90" i="1"/>
  <c r="D26" i="1"/>
  <c r="E26" i="1"/>
  <c r="D593" i="1"/>
  <c r="E593" i="1"/>
  <c r="D529" i="1"/>
  <c r="E529" i="1"/>
  <c r="D465" i="1"/>
  <c r="E465" i="1"/>
  <c r="D401" i="1"/>
  <c r="E401" i="1"/>
  <c r="D337" i="1"/>
  <c r="E337" i="1"/>
  <c r="D273" i="1"/>
  <c r="E273" i="1"/>
  <c r="D209" i="1"/>
  <c r="E209" i="1"/>
  <c r="D145" i="1"/>
  <c r="E145" i="1"/>
  <c r="D81" i="1"/>
  <c r="E81" i="1"/>
  <c r="D17" i="1"/>
  <c r="E17" i="1"/>
  <c r="D742" i="1"/>
  <c r="E742" i="1"/>
  <c r="D1037" i="1"/>
  <c r="E1037" i="1"/>
  <c r="D407" i="1"/>
  <c r="E407" i="1"/>
  <c r="D1150" i="1"/>
  <c r="E1150" i="1"/>
  <c r="D875" i="1"/>
  <c r="E875" i="1"/>
  <c r="D911" i="1"/>
  <c r="E911" i="1"/>
  <c r="D279" i="1"/>
  <c r="E279" i="1"/>
  <c r="D1185" i="1"/>
  <c r="E1185" i="1"/>
  <c r="D1118" i="1"/>
  <c r="E1118" i="1"/>
  <c r="D887" i="1"/>
  <c r="E887" i="1"/>
  <c r="D1121" i="1"/>
  <c r="E1121" i="1"/>
  <c r="D1142" i="1"/>
  <c r="E1142" i="1"/>
  <c r="D485" i="1"/>
  <c r="E485" i="1"/>
  <c r="D69" i="1"/>
  <c r="E69" i="1"/>
  <c r="D1196" i="1"/>
  <c r="E1196" i="1"/>
  <c r="D830" i="1"/>
  <c r="E830" i="1"/>
  <c r="D183" i="1"/>
  <c r="E183" i="1"/>
  <c r="D1043" i="1"/>
  <c r="E1043" i="1"/>
  <c r="D687" i="1"/>
  <c r="E687" i="1"/>
  <c r="D1146" i="1"/>
  <c r="E1146" i="1"/>
  <c r="D750" i="1"/>
  <c r="E750" i="1"/>
  <c r="D564" i="1"/>
  <c r="E564" i="1"/>
  <c r="D255" i="1"/>
  <c r="E255" i="1"/>
  <c r="D890" i="1"/>
  <c r="E890" i="1"/>
  <c r="D624" i="1"/>
  <c r="E624" i="1"/>
  <c r="D222" i="1"/>
  <c r="E222" i="1"/>
  <c r="D680" i="1"/>
  <c r="E680" i="1"/>
  <c r="D190" i="1"/>
  <c r="E190" i="1"/>
  <c r="D565" i="1"/>
  <c r="E565" i="1"/>
  <c r="D13" i="1"/>
  <c r="E13" i="1"/>
  <c r="D483" i="1"/>
  <c r="E483" i="1"/>
  <c r="D291" i="1"/>
  <c r="E291" i="1"/>
  <c r="D35" i="1"/>
  <c r="E35" i="1"/>
  <c r="D458" i="1"/>
  <c r="E458" i="1"/>
  <c r="D202" i="1"/>
  <c r="E202" i="1"/>
  <c r="D577" i="1"/>
  <c r="E577" i="1"/>
  <c r="D321" i="1"/>
  <c r="E321" i="1"/>
  <c r="D65" i="1"/>
  <c r="E65" i="1"/>
  <c r="D1023" i="1"/>
  <c r="E1023" i="1"/>
  <c r="D709" i="1"/>
  <c r="E709" i="1"/>
  <c r="D774" i="1"/>
  <c r="E774" i="1"/>
  <c r="D1222" i="1"/>
  <c r="E1222" i="1"/>
  <c r="D731" i="1"/>
  <c r="E731" i="1"/>
  <c r="D797" i="1"/>
  <c r="E797" i="1"/>
  <c r="D1207" i="1"/>
  <c r="E1207" i="1"/>
  <c r="D1110" i="1"/>
  <c r="E1110" i="1"/>
  <c r="D1128" i="1"/>
  <c r="E1128" i="1"/>
  <c r="D432" i="1"/>
  <c r="E432" i="1"/>
  <c r="D352" i="1"/>
  <c r="E352" i="1"/>
  <c r="D1188" i="1"/>
  <c r="E1188" i="1"/>
  <c r="D919" i="1"/>
  <c r="E919" i="1"/>
  <c r="D368" i="1"/>
  <c r="E368" i="1"/>
  <c r="D1227" i="1"/>
  <c r="E1227" i="1"/>
  <c r="D971" i="1"/>
  <c r="E971" i="1"/>
  <c r="D675" i="1"/>
  <c r="E675" i="1"/>
  <c r="D37" i="1"/>
  <c r="E37" i="1"/>
  <c r="D1074" i="1"/>
  <c r="E1074" i="1"/>
  <c r="D739" i="1"/>
  <c r="E739" i="1"/>
  <c r="D550" i="1"/>
  <c r="E550" i="1"/>
  <c r="D120" i="1"/>
  <c r="E120" i="1"/>
  <c r="D754" i="1"/>
  <c r="E754" i="1"/>
  <c r="D414" i="1"/>
  <c r="E414" i="1"/>
  <c r="D207" i="1"/>
  <c r="E207" i="1"/>
  <c r="D737" i="1"/>
  <c r="E737" i="1"/>
  <c r="D388" i="1"/>
  <c r="E388" i="1"/>
  <c r="D904" i="1"/>
  <c r="E904" i="1"/>
  <c r="D643" i="1"/>
  <c r="E643" i="1"/>
  <c r="D245" i="1"/>
  <c r="E245" i="1"/>
  <c r="D84" i="1"/>
  <c r="E84" i="1"/>
  <c r="D411" i="1"/>
  <c r="E411" i="1"/>
  <c r="D219" i="1"/>
  <c r="E219" i="1"/>
  <c r="D642" i="1"/>
  <c r="E642" i="1"/>
  <c r="D386" i="1"/>
  <c r="E386" i="1"/>
  <c r="D194" i="1"/>
  <c r="E194" i="1"/>
  <c r="D505" i="1"/>
  <c r="E505" i="1"/>
  <c r="D57" i="1"/>
  <c r="E57" i="1"/>
  <c r="D694" i="1"/>
  <c r="E694" i="1"/>
  <c r="D718" i="1"/>
  <c r="E718" i="1"/>
  <c r="D253" i="1"/>
  <c r="E253" i="1"/>
  <c r="D717" i="1"/>
  <c r="E717" i="1"/>
  <c r="D1208" i="1"/>
  <c r="E1208" i="1"/>
  <c r="D871" i="1"/>
  <c r="E871" i="1"/>
  <c r="D1239" i="1"/>
  <c r="E1239" i="1"/>
  <c r="D1173" i="1"/>
  <c r="E1173" i="1"/>
  <c r="D1093" i="1"/>
  <c r="E1093" i="1"/>
  <c r="D199" i="1"/>
  <c r="E199" i="1"/>
  <c r="D1159" i="1"/>
  <c r="E1159" i="1"/>
  <c r="D1014" i="1"/>
  <c r="E1014" i="1"/>
  <c r="D382" i="1"/>
  <c r="E382" i="1"/>
  <c r="D262" i="1"/>
  <c r="E262" i="1"/>
  <c r="D1244" i="1"/>
  <c r="E1244" i="1"/>
  <c r="D988" i="1"/>
  <c r="E988" i="1"/>
  <c r="D549" i="1"/>
  <c r="E549" i="1"/>
  <c r="D1155" i="1"/>
  <c r="E1155" i="1"/>
  <c r="D1027" i="1"/>
  <c r="E1027" i="1"/>
  <c r="D765" i="1"/>
  <c r="E765" i="1"/>
  <c r="D264" i="1"/>
  <c r="E264" i="1"/>
  <c r="D1130" i="1"/>
  <c r="E1130" i="1"/>
  <c r="D931" i="1"/>
  <c r="E931" i="1"/>
  <c r="D391" i="1"/>
  <c r="E391" i="1"/>
  <c r="D436" i="1"/>
  <c r="E436" i="1"/>
  <c r="D938" i="1"/>
  <c r="E938" i="1"/>
  <c r="D477" i="1"/>
  <c r="E477" i="1"/>
  <c r="D1205" i="1"/>
  <c r="E1205" i="1"/>
  <c r="D1190" i="1"/>
  <c r="E1190" i="1"/>
  <c r="D665" i="1"/>
  <c r="E665" i="1"/>
  <c r="D608" i="1"/>
  <c r="E608" i="1"/>
  <c r="D381" i="1"/>
  <c r="E381" i="1"/>
  <c r="D993" i="1"/>
  <c r="E993" i="1"/>
  <c r="D1080" i="1"/>
  <c r="E1080" i="1"/>
  <c r="D831" i="1"/>
  <c r="E831" i="1"/>
  <c r="D985" i="1"/>
  <c r="E985" i="1"/>
  <c r="D692" i="1"/>
  <c r="E692" i="1"/>
  <c r="D1120" i="1"/>
  <c r="E1120" i="1"/>
  <c r="D1168" i="1"/>
  <c r="E1168" i="1"/>
  <c r="D807" i="1"/>
  <c r="E807" i="1"/>
  <c r="D982" i="1"/>
  <c r="E982" i="1"/>
  <c r="D795" i="1"/>
  <c r="E795" i="1"/>
  <c r="D989" i="1"/>
  <c r="E989" i="1"/>
  <c r="D198" i="1"/>
  <c r="E198" i="1"/>
  <c r="D208" i="1"/>
  <c r="E208" i="1"/>
  <c r="D160" i="1"/>
  <c r="E160" i="1"/>
  <c r="D1100" i="1"/>
  <c r="E1100" i="1"/>
  <c r="D883" i="1"/>
  <c r="E883" i="1"/>
  <c r="D293" i="1"/>
  <c r="E293" i="1"/>
  <c r="D1139" i="1"/>
  <c r="E1139" i="1"/>
  <c r="D1011" i="1"/>
  <c r="E1011" i="1"/>
  <c r="D740" i="1"/>
  <c r="E740" i="1"/>
  <c r="D214" i="1"/>
  <c r="E214" i="1"/>
  <c r="D1178" i="1"/>
  <c r="E1178" i="1"/>
  <c r="D986" i="1"/>
  <c r="E986" i="1"/>
  <c r="D700" i="1"/>
  <c r="E700" i="1"/>
  <c r="D341" i="1"/>
  <c r="E341" i="1"/>
  <c r="D611" i="1"/>
  <c r="E611" i="1"/>
  <c r="D308" i="1"/>
  <c r="E308" i="1"/>
  <c r="D200" i="1"/>
  <c r="E200" i="1"/>
  <c r="D922" i="1"/>
  <c r="E922" i="1"/>
  <c r="D794" i="1"/>
  <c r="E794" i="1"/>
  <c r="D581" i="1"/>
  <c r="E581" i="1"/>
  <c r="D375" i="1"/>
  <c r="E375" i="1"/>
  <c r="D31" i="1"/>
  <c r="E31" i="1"/>
  <c r="D777" i="1"/>
  <c r="E777" i="1"/>
  <c r="D644" i="1"/>
  <c r="E644" i="1"/>
  <c r="D944" i="1"/>
  <c r="E944" i="1"/>
  <c r="D362" i="1"/>
  <c r="E362" i="1"/>
  <c r="D1038" i="1"/>
  <c r="E1038" i="1"/>
  <c r="D759" i="1"/>
  <c r="E759" i="1"/>
  <c r="D1254" i="1"/>
  <c r="E1254" i="1"/>
  <c r="D1151" i="1"/>
  <c r="E1151" i="1"/>
  <c r="D1048" i="1"/>
  <c r="E1048" i="1"/>
  <c r="D941" i="1"/>
  <c r="E941" i="1"/>
  <c r="D781" i="1"/>
  <c r="E781" i="1"/>
  <c r="D533" i="1"/>
  <c r="E533" i="1"/>
  <c r="D1008" i="1"/>
  <c r="E1008" i="1"/>
  <c r="D756" i="1"/>
  <c r="E756" i="1"/>
  <c r="D460" i="1"/>
  <c r="E460" i="1"/>
  <c r="D357" i="1"/>
  <c r="E357" i="1"/>
  <c r="D1113" i="1"/>
  <c r="E1113" i="1"/>
  <c r="D1175" i="1"/>
  <c r="E1175" i="1"/>
  <c r="D877" i="1"/>
  <c r="E877" i="1"/>
  <c r="D254" i="1"/>
  <c r="E254" i="1"/>
  <c r="D813" i="1"/>
  <c r="E813" i="1"/>
  <c r="D952" i="1"/>
  <c r="E952" i="1"/>
  <c r="D1247" i="1"/>
  <c r="E1247" i="1"/>
  <c r="D1144" i="1"/>
  <c r="E1144" i="1"/>
  <c r="D1041" i="1"/>
  <c r="E1041" i="1"/>
  <c r="D934" i="1"/>
  <c r="E934" i="1"/>
  <c r="D771" i="1"/>
  <c r="E771" i="1"/>
  <c r="D508" i="1"/>
  <c r="E508" i="1"/>
  <c r="D1191" i="1"/>
  <c r="E1191" i="1"/>
  <c r="D822" i="1"/>
  <c r="E822" i="1"/>
  <c r="D1125" i="1"/>
  <c r="E1125" i="1"/>
  <c r="D860" i="1"/>
  <c r="E860" i="1"/>
  <c r="D1249" i="1"/>
  <c r="E1249" i="1"/>
  <c r="D859" i="1"/>
  <c r="E859" i="1"/>
  <c r="D1006" i="1"/>
  <c r="E1006" i="1"/>
  <c r="D1232" i="1"/>
  <c r="E1232" i="1"/>
  <c r="D1129" i="1"/>
  <c r="E1129" i="1"/>
  <c r="D1029" i="1"/>
  <c r="E1029" i="1"/>
  <c r="D910" i="1"/>
  <c r="E910" i="1"/>
  <c r="D747" i="1"/>
  <c r="E747" i="1"/>
  <c r="D454" i="1"/>
  <c r="E454" i="1"/>
  <c r="D1160" i="1"/>
  <c r="E1160" i="1"/>
  <c r="D796" i="1"/>
  <c r="E796" i="1"/>
  <c r="D981" i="1"/>
  <c r="E981" i="1"/>
  <c r="D1256" i="1"/>
  <c r="E1256" i="1"/>
  <c r="D1153" i="1"/>
  <c r="E1153" i="1"/>
  <c r="D1053" i="1"/>
  <c r="E1053" i="1"/>
  <c r="D949" i="1"/>
  <c r="E949" i="1"/>
  <c r="D783" i="1"/>
  <c r="E783" i="1"/>
  <c r="D535" i="1"/>
  <c r="E535" i="1"/>
  <c r="D699" i="1"/>
  <c r="E699" i="1"/>
  <c r="D543" i="1"/>
  <c r="E543" i="1"/>
  <c r="D340" i="1"/>
  <c r="E340" i="1"/>
  <c r="D103" i="1"/>
  <c r="E103" i="1"/>
  <c r="D197" i="1"/>
  <c r="E197" i="1"/>
  <c r="D301" i="1"/>
  <c r="E301" i="1"/>
  <c r="D39" i="1"/>
  <c r="E39" i="1"/>
  <c r="D1204" i="1"/>
  <c r="E1204" i="1"/>
  <c r="D1140" i="1"/>
  <c r="E1140" i="1"/>
  <c r="D1076" i="1"/>
  <c r="E1076" i="1"/>
  <c r="D1012" i="1"/>
  <c r="E1012" i="1"/>
  <c r="D947" i="1"/>
  <c r="E947" i="1"/>
  <c r="D844" i="1"/>
  <c r="E844" i="1"/>
  <c r="D741" i="1"/>
  <c r="E741" i="1"/>
  <c r="D620" i="1"/>
  <c r="E620" i="1"/>
  <c r="D421" i="1"/>
  <c r="E421" i="1"/>
  <c r="D215" i="1"/>
  <c r="E215" i="1"/>
  <c r="D1243" i="1"/>
  <c r="E1243" i="1"/>
  <c r="D1179" i="1"/>
  <c r="E1179" i="1"/>
  <c r="D1115" i="1"/>
  <c r="E1115" i="1"/>
  <c r="D1051" i="1"/>
  <c r="E1051" i="1"/>
  <c r="D987" i="1"/>
  <c r="E987" i="1"/>
  <c r="D907" i="1"/>
  <c r="E907" i="1"/>
  <c r="D804" i="1"/>
  <c r="E804" i="1"/>
  <c r="D701" i="1"/>
  <c r="E701" i="1"/>
  <c r="D548" i="1"/>
  <c r="E548" i="1"/>
  <c r="D342" i="1"/>
  <c r="E342" i="1"/>
  <c r="D118" i="1"/>
  <c r="E118" i="1"/>
  <c r="D1218" i="1"/>
  <c r="E1218" i="1"/>
  <c r="D1154" i="1"/>
  <c r="E1154" i="1"/>
  <c r="D1090" i="1"/>
  <c r="E1090" i="1"/>
  <c r="D1026" i="1"/>
  <c r="E1026" i="1"/>
  <c r="D962" i="1"/>
  <c r="E962" i="1"/>
  <c r="D867" i="1"/>
  <c r="E867" i="1"/>
  <c r="D764" i="1"/>
  <c r="E764" i="1"/>
  <c r="D656" i="1"/>
  <c r="E656" i="1"/>
  <c r="D469" i="1"/>
  <c r="E469" i="1"/>
  <c r="D263" i="1"/>
  <c r="E263" i="1"/>
  <c r="D660" i="1"/>
  <c r="E660" i="1"/>
  <c r="D575" i="1"/>
  <c r="E575" i="1"/>
  <c r="D472" i="1"/>
  <c r="E472" i="1"/>
  <c r="D372" i="1"/>
  <c r="E372" i="1"/>
  <c r="D269" i="1"/>
  <c r="E269" i="1"/>
  <c r="D152" i="1"/>
  <c r="E152" i="1"/>
  <c r="D24" i="1"/>
  <c r="E24" i="1"/>
  <c r="D32" i="1"/>
  <c r="E32" i="1"/>
  <c r="D898" i="1"/>
  <c r="E898" i="1"/>
  <c r="D834" i="1"/>
  <c r="E834" i="1"/>
  <c r="D770" i="1"/>
  <c r="E770" i="1"/>
  <c r="D706" i="1"/>
  <c r="E706" i="1"/>
  <c r="D636" i="1"/>
  <c r="E636" i="1"/>
  <c r="D542" i="1"/>
  <c r="E542" i="1"/>
  <c r="D439" i="1"/>
  <c r="E439" i="1"/>
  <c r="D336" i="1"/>
  <c r="E336" i="1"/>
  <c r="D236" i="1"/>
  <c r="E236" i="1"/>
  <c r="D111" i="1"/>
  <c r="E111" i="1"/>
  <c r="D945" i="1"/>
  <c r="E945" i="1"/>
  <c r="D881" i="1"/>
  <c r="E881" i="1"/>
  <c r="D817" i="1"/>
  <c r="E817" i="1"/>
  <c r="D753" i="1"/>
  <c r="E753" i="1"/>
  <c r="D689" i="1"/>
  <c r="E689" i="1"/>
  <c r="D613" i="1"/>
  <c r="E613" i="1"/>
  <c r="D516" i="1"/>
  <c r="E516" i="1"/>
  <c r="D413" i="1"/>
  <c r="E413" i="1"/>
  <c r="D310" i="1"/>
  <c r="E310" i="1"/>
  <c r="D206" i="1"/>
  <c r="E206" i="1"/>
  <c r="D78" i="1"/>
  <c r="E78" i="1"/>
  <c r="D920" i="1"/>
  <c r="E920" i="1"/>
  <c r="D856" i="1"/>
  <c r="E856" i="1"/>
  <c r="D792" i="1"/>
  <c r="E792" i="1"/>
  <c r="D728" i="1"/>
  <c r="E728" i="1"/>
  <c r="D661" i="1"/>
  <c r="E661" i="1"/>
  <c r="D576" i="1"/>
  <c r="E576" i="1"/>
  <c r="D476" i="1"/>
  <c r="E476" i="1"/>
  <c r="D373" i="1"/>
  <c r="E373" i="1"/>
  <c r="D270" i="1"/>
  <c r="E270" i="1"/>
  <c r="D157" i="1"/>
  <c r="E157" i="1"/>
  <c r="D29" i="1"/>
  <c r="E29" i="1"/>
  <c r="D164" i="1"/>
  <c r="E164" i="1"/>
  <c r="D100" i="1"/>
  <c r="E100" i="1"/>
  <c r="D36" i="1"/>
  <c r="E36" i="1"/>
  <c r="D555" i="1"/>
  <c r="E555" i="1"/>
  <c r="D491" i="1"/>
  <c r="E491" i="1"/>
  <c r="D427" i="1"/>
  <c r="E427" i="1"/>
  <c r="D363" i="1"/>
  <c r="E363" i="1"/>
  <c r="D299" i="1"/>
  <c r="E299" i="1"/>
  <c r="D235" i="1"/>
  <c r="E235" i="1"/>
  <c r="D171" i="1"/>
  <c r="E171" i="1"/>
  <c r="D107" i="1"/>
  <c r="E107" i="1"/>
  <c r="D43" i="1"/>
  <c r="E43" i="1"/>
  <c r="D658" i="1"/>
  <c r="E658" i="1"/>
  <c r="D594" i="1"/>
  <c r="E594" i="1"/>
  <c r="D530" i="1"/>
  <c r="E530" i="1"/>
  <c r="D466" i="1"/>
  <c r="E466" i="1"/>
  <c r="D402" i="1"/>
  <c r="E402" i="1"/>
  <c r="D338" i="1"/>
  <c r="E338" i="1"/>
  <c r="D274" i="1"/>
  <c r="E274" i="1"/>
  <c r="D210" i="1"/>
  <c r="E210" i="1"/>
  <c r="D146" i="1"/>
  <c r="E146" i="1"/>
  <c r="D82" i="1"/>
  <c r="E82" i="1"/>
  <c r="D18" i="1"/>
  <c r="E18" i="1"/>
  <c r="D585" i="1"/>
  <c r="E585" i="1"/>
  <c r="D521" i="1"/>
  <c r="E521" i="1"/>
  <c r="D457" i="1"/>
  <c r="E457" i="1"/>
  <c r="D393" i="1"/>
  <c r="E393" i="1"/>
  <c r="D329" i="1"/>
  <c r="E329" i="1"/>
  <c r="D265" i="1"/>
  <c r="E265" i="1"/>
  <c r="D201" i="1"/>
  <c r="E201" i="1"/>
  <c r="D137" i="1"/>
  <c r="E137" i="1"/>
  <c r="D73" i="1"/>
  <c r="E73" i="1"/>
  <c r="D9" i="1"/>
  <c r="E9" i="1"/>
  <c r="D8" i="1"/>
  <c r="E8" i="1"/>
  <c r="G21" i="1" l="1"/>
  <c r="G22" i="1" s="1"/>
  <c r="F21" i="1"/>
  <c r="F22" i="1" s="1"/>
  <c r="H22" i="1" l="1"/>
  <c r="I22" i="1" s="1"/>
  <c r="K22" i="1" s="1"/>
  <c r="J22" i="1" s="1"/>
  <c r="F23" i="1"/>
  <c r="F24" i="1" s="1"/>
  <c r="F25" i="1" s="1"/>
  <c r="F26" i="1" s="1"/>
  <c r="F27" i="1" s="1"/>
  <c r="F28" i="1" s="1"/>
  <c r="F29" i="1" s="1"/>
  <c r="F30" i="1" s="1"/>
  <c r="F31" i="1" s="1"/>
  <c r="F32" i="1" s="1"/>
  <c r="F33" i="1" s="1"/>
  <c r="F34" i="1" s="1"/>
  <c r="F35" i="1" s="1"/>
  <c r="F36" i="1" s="1"/>
  <c r="F37" i="1" s="1"/>
  <c r="F38" i="1" s="1"/>
  <c r="F39" i="1" s="1"/>
  <c r="F40" i="1" s="1"/>
  <c r="F41" i="1" s="1"/>
  <c r="F42" i="1" s="1"/>
  <c r="F43" i="1" s="1"/>
  <c r="F44" i="1" s="1"/>
  <c r="F45" i="1" s="1"/>
  <c r="F46" i="1" s="1"/>
  <c r="F47" i="1" s="1"/>
  <c r="F48" i="1" s="1"/>
  <c r="F49" i="1" s="1"/>
  <c r="F50" i="1" s="1"/>
  <c r="F51" i="1" s="1"/>
  <c r="F52" i="1" s="1"/>
  <c r="F53" i="1" s="1"/>
  <c r="F54" i="1" s="1"/>
  <c r="F55" i="1" s="1"/>
  <c r="F56" i="1" s="1"/>
  <c r="F57" i="1" s="1"/>
  <c r="F58" i="1" s="1"/>
  <c r="F59" i="1" s="1"/>
  <c r="F60" i="1" s="1"/>
  <c r="F61" i="1" s="1"/>
  <c r="F62" i="1" s="1"/>
  <c r="F63" i="1" s="1"/>
  <c r="F64" i="1" s="1"/>
  <c r="F65" i="1" s="1"/>
  <c r="F66" i="1" s="1"/>
  <c r="F67" i="1" s="1"/>
  <c r="F68" i="1" s="1"/>
  <c r="F69" i="1" s="1"/>
  <c r="F70" i="1" s="1"/>
  <c r="F71" i="1" s="1"/>
  <c r="F72" i="1" s="1"/>
  <c r="F73" i="1" s="1"/>
  <c r="F74" i="1" s="1"/>
  <c r="F75" i="1" s="1"/>
  <c r="F76" i="1" s="1"/>
  <c r="F77" i="1" s="1"/>
  <c r="F78" i="1" s="1"/>
  <c r="F79" i="1" s="1"/>
  <c r="F80" i="1" s="1"/>
  <c r="F81" i="1" s="1"/>
  <c r="F82" i="1" s="1"/>
  <c r="F83" i="1" s="1"/>
  <c r="F84" i="1" s="1"/>
  <c r="F85" i="1" s="1"/>
  <c r="F86" i="1" s="1"/>
  <c r="F87" i="1" s="1"/>
  <c r="F88" i="1" s="1"/>
  <c r="F89" i="1" s="1"/>
  <c r="F90" i="1" s="1"/>
  <c r="F91" i="1" s="1"/>
  <c r="F92" i="1" s="1"/>
  <c r="F93" i="1" s="1"/>
  <c r="F94" i="1" s="1"/>
  <c r="F95" i="1" s="1"/>
  <c r="F96" i="1" s="1"/>
  <c r="F97" i="1" s="1"/>
  <c r="F98" i="1" s="1"/>
  <c r="F99" i="1" s="1"/>
  <c r="F100" i="1" s="1"/>
  <c r="F101" i="1" s="1"/>
  <c r="F102" i="1" s="1"/>
  <c r="F103" i="1" s="1"/>
  <c r="F104" i="1" s="1"/>
  <c r="F105" i="1" s="1"/>
  <c r="F106" i="1" s="1"/>
  <c r="F107" i="1" s="1"/>
  <c r="F108" i="1" s="1"/>
  <c r="F109" i="1" s="1"/>
  <c r="F110" i="1" s="1"/>
  <c r="F111" i="1" s="1"/>
  <c r="F112" i="1" s="1"/>
  <c r="F113" i="1" s="1"/>
  <c r="F114" i="1" s="1"/>
  <c r="F115" i="1" s="1"/>
  <c r="F116" i="1" s="1"/>
  <c r="F117" i="1" s="1"/>
  <c r="F118" i="1" s="1"/>
  <c r="F119" i="1" s="1"/>
  <c r="F120" i="1" s="1"/>
  <c r="F121" i="1" s="1"/>
  <c r="F122" i="1" s="1"/>
  <c r="F123" i="1" s="1"/>
  <c r="F124" i="1" s="1"/>
  <c r="F125" i="1" s="1"/>
  <c r="F126" i="1" s="1"/>
  <c r="F127" i="1" s="1"/>
  <c r="F128" i="1" s="1"/>
  <c r="F129" i="1" s="1"/>
  <c r="F130" i="1" s="1"/>
  <c r="F131" i="1" s="1"/>
  <c r="F132" i="1" s="1"/>
  <c r="F133" i="1" s="1"/>
  <c r="F134" i="1" s="1"/>
  <c r="F135" i="1" s="1"/>
  <c r="F136" i="1" s="1"/>
  <c r="F137" i="1" s="1"/>
  <c r="F138" i="1" s="1"/>
  <c r="F139" i="1" s="1"/>
  <c r="F140" i="1" s="1"/>
  <c r="F141" i="1" s="1"/>
  <c r="F142" i="1" s="1"/>
  <c r="F143" i="1" s="1"/>
  <c r="F144" i="1" s="1"/>
  <c r="F145" i="1" s="1"/>
  <c r="F146" i="1" s="1"/>
  <c r="F147" i="1" s="1"/>
  <c r="F148" i="1" s="1"/>
  <c r="F149" i="1" s="1"/>
  <c r="F150" i="1" s="1"/>
  <c r="F151" i="1" s="1"/>
  <c r="F152" i="1" s="1"/>
  <c r="F153" i="1" s="1"/>
  <c r="F154" i="1" s="1"/>
  <c r="F155" i="1" s="1"/>
  <c r="F156" i="1" s="1"/>
  <c r="F157" i="1" s="1"/>
  <c r="F158" i="1" s="1"/>
  <c r="F159" i="1" s="1"/>
  <c r="F160" i="1" s="1"/>
  <c r="F161" i="1" s="1"/>
  <c r="F162" i="1" s="1"/>
  <c r="F163" i="1" s="1"/>
  <c r="F164" i="1" s="1"/>
  <c r="F165" i="1" s="1"/>
  <c r="F166" i="1" s="1"/>
  <c r="F167" i="1" s="1"/>
  <c r="F168" i="1" s="1"/>
  <c r="F169" i="1" s="1"/>
  <c r="F170" i="1" s="1"/>
  <c r="F171" i="1" s="1"/>
  <c r="F172" i="1" s="1"/>
  <c r="F173" i="1" s="1"/>
  <c r="F174" i="1" s="1"/>
  <c r="F175" i="1" s="1"/>
  <c r="F176" i="1" s="1"/>
  <c r="F177" i="1" s="1"/>
  <c r="F178" i="1" s="1"/>
  <c r="F179" i="1" s="1"/>
  <c r="F180" i="1" s="1"/>
  <c r="F181" i="1" s="1"/>
  <c r="F182" i="1" s="1"/>
  <c r="F183" i="1" s="1"/>
  <c r="F184" i="1" s="1"/>
  <c r="F185" i="1" s="1"/>
  <c r="F186" i="1" s="1"/>
  <c r="F187" i="1" s="1"/>
  <c r="F188" i="1" s="1"/>
  <c r="F189" i="1" s="1"/>
  <c r="F190" i="1" s="1"/>
  <c r="F191" i="1" s="1"/>
  <c r="F192" i="1" s="1"/>
  <c r="F193" i="1" s="1"/>
  <c r="F194" i="1" s="1"/>
  <c r="F195" i="1" s="1"/>
  <c r="F196" i="1" s="1"/>
  <c r="F197" i="1" s="1"/>
  <c r="F198" i="1" s="1"/>
  <c r="F199" i="1" s="1"/>
  <c r="F200" i="1" s="1"/>
  <c r="F201" i="1" s="1"/>
  <c r="F202" i="1" s="1"/>
  <c r="F203" i="1" s="1"/>
  <c r="F204" i="1" s="1"/>
  <c r="F205" i="1" s="1"/>
  <c r="F206" i="1" s="1"/>
  <c r="F207" i="1" s="1"/>
  <c r="F208" i="1" s="1"/>
  <c r="F209" i="1" s="1"/>
  <c r="F210" i="1" s="1"/>
  <c r="F211" i="1" s="1"/>
  <c r="F212" i="1" s="1"/>
  <c r="F213" i="1" s="1"/>
  <c r="F214" i="1" s="1"/>
  <c r="F215" i="1" s="1"/>
  <c r="F216" i="1" s="1"/>
  <c r="F217" i="1" s="1"/>
  <c r="F218" i="1" s="1"/>
  <c r="F219" i="1" s="1"/>
  <c r="F220" i="1" s="1"/>
  <c r="F221" i="1" s="1"/>
  <c r="F222" i="1" s="1"/>
  <c r="F223" i="1" s="1"/>
  <c r="F224" i="1" s="1"/>
  <c r="F225" i="1" s="1"/>
  <c r="F226" i="1" s="1"/>
  <c r="F227" i="1" s="1"/>
  <c r="F228" i="1" s="1"/>
  <c r="F229" i="1" s="1"/>
  <c r="F230" i="1" s="1"/>
  <c r="F231" i="1" s="1"/>
  <c r="F232" i="1" s="1"/>
  <c r="F233" i="1" s="1"/>
  <c r="F234" i="1" s="1"/>
  <c r="F235" i="1" s="1"/>
  <c r="F236" i="1" s="1"/>
  <c r="F237" i="1" s="1"/>
  <c r="F238" i="1" s="1"/>
  <c r="F239" i="1" s="1"/>
  <c r="F240" i="1" s="1"/>
  <c r="F241" i="1" s="1"/>
  <c r="F242" i="1" s="1"/>
  <c r="F243" i="1" s="1"/>
  <c r="F244" i="1" s="1"/>
  <c r="F245" i="1" s="1"/>
  <c r="F246" i="1" s="1"/>
  <c r="F247" i="1" s="1"/>
  <c r="F248" i="1" s="1"/>
  <c r="F249" i="1" s="1"/>
  <c r="F250" i="1" s="1"/>
  <c r="F251" i="1" s="1"/>
  <c r="F252" i="1" s="1"/>
  <c r="F253" i="1" s="1"/>
  <c r="F254" i="1" s="1"/>
  <c r="F255" i="1" s="1"/>
  <c r="F256" i="1" s="1"/>
  <c r="F257" i="1" s="1"/>
  <c r="F258" i="1" s="1"/>
  <c r="F259" i="1" s="1"/>
  <c r="F260" i="1" s="1"/>
  <c r="F261" i="1" s="1"/>
  <c r="F262" i="1" s="1"/>
  <c r="F263" i="1" s="1"/>
  <c r="F264" i="1" s="1"/>
  <c r="F265" i="1" s="1"/>
  <c r="F266" i="1" s="1"/>
  <c r="F267" i="1" s="1"/>
  <c r="F268" i="1" s="1"/>
  <c r="F269" i="1" s="1"/>
  <c r="F270" i="1" s="1"/>
  <c r="F271" i="1" s="1"/>
  <c r="F272" i="1" s="1"/>
  <c r="F273" i="1" s="1"/>
  <c r="F274" i="1" s="1"/>
  <c r="F275" i="1" s="1"/>
  <c r="F276" i="1" s="1"/>
  <c r="F277" i="1" s="1"/>
  <c r="F278" i="1" s="1"/>
  <c r="F279" i="1" s="1"/>
  <c r="F280" i="1" s="1"/>
  <c r="F281" i="1" s="1"/>
  <c r="F282" i="1" s="1"/>
  <c r="F283" i="1" s="1"/>
  <c r="F284" i="1" s="1"/>
  <c r="F285" i="1" s="1"/>
  <c r="F286" i="1" s="1"/>
  <c r="F287" i="1" s="1"/>
  <c r="F288" i="1" s="1"/>
  <c r="F289" i="1" s="1"/>
  <c r="F290" i="1" s="1"/>
  <c r="F291" i="1" s="1"/>
  <c r="F292" i="1" s="1"/>
  <c r="F293" i="1" s="1"/>
  <c r="F294" i="1" s="1"/>
  <c r="F295" i="1" s="1"/>
  <c r="F296" i="1" s="1"/>
  <c r="F297" i="1" s="1"/>
  <c r="F298" i="1" s="1"/>
  <c r="F299" i="1" s="1"/>
  <c r="F300" i="1" s="1"/>
  <c r="F301" i="1" s="1"/>
  <c r="F302" i="1" s="1"/>
  <c r="F303" i="1" s="1"/>
  <c r="F304" i="1" s="1"/>
  <c r="F305" i="1" s="1"/>
  <c r="F306" i="1" s="1"/>
  <c r="F307" i="1" s="1"/>
  <c r="F308" i="1" s="1"/>
  <c r="F309" i="1" s="1"/>
  <c r="F310" i="1" s="1"/>
  <c r="F311" i="1" s="1"/>
  <c r="F312" i="1" s="1"/>
  <c r="F313" i="1" s="1"/>
  <c r="F314" i="1" s="1"/>
  <c r="F315" i="1" s="1"/>
  <c r="F316" i="1" s="1"/>
  <c r="F317" i="1" s="1"/>
  <c r="F318" i="1" s="1"/>
  <c r="F319" i="1" s="1"/>
  <c r="F320" i="1" s="1"/>
  <c r="F321" i="1" s="1"/>
  <c r="F322" i="1" s="1"/>
  <c r="F323" i="1" s="1"/>
  <c r="F324" i="1" s="1"/>
  <c r="F325" i="1" s="1"/>
  <c r="F326" i="1" s="1"/>
  <c r="F327" i="1" s="1"/>
  <c r="F328" i="1" s="1"/>
  <c r="F329" i="1" s="1"/>
  <c r="F330" i="1" s="1"/>
  <c r="F331" i="1" s="1"/>
  <c r="F332" i="1" s="1"/>
  <c r="F333" i="1" s="1"/>
  <c r="F334" i="1" s="1"/>
  <c r="F335" i="1" s="1"/>
  <c r="F336" i="1" s="1"/>
  <c r="F337" i="1" s="1"/>
  <c r="F338" i="1" s="1"/>
  <c r="F339" i="1" s="1"/>
  <c r="F340" i="1" s="1"/>
  <c r="F341" i="1" s="1"/>
  <c r="F342" i="1" s="1"/>
  <c r="F343" i="1" s="1"/>
  <c r="F344" i="1" s="1"/>
  <c r="F345" i="1" s="1"/>
  <c r="F346" i="1" s="1"/>
  <c r="F347" i="1" s="1"/>
  <c r="F348" i="1" s="1"/>
  <c r="F349" i="1" s="1"/>
  <c r="F350" i="1" s="1"/>
  <c r="F351" i="1" s="1"/>
  <c r="F352" i="1" s="1"/>
  <c r="F353" i="1" s="1"/>
  <c r="F354" i="1" s="1"/>
  <c r="F355" i="1" s="1"/>
  <c r="F356" i="1" s="1"/>
  <c r="F357" i="1" s="1"/>
  <c r="F358" i="1" s="1"/>
  <c r="F359" i="1" s="1"/>
  <c r="F360" i="1" s="1"/>
  <c r="F361" i="1" s="1"/>
  <c r="F362" i="1" s="1"/>
  <c r="F363" i="1" s="1"/>
  <c r="F364" i="1" s="1"/>
  <c r="F365" i="1" s="1"/>
  <c r="F366" i="1" s="1"/>
  <c r="F367" i="1" s="1"/>
  <c r="F368" i="1" s="1"/>
  <c r="F369" i="1" s="1"/>
  <c r="F370" i="1" s="1"/>
  <c r="F371" i="1" s="1"/>
  <c r="F372" i="1" s="1"/>
  <c r="F373" i="1" s="1"/>
  <c r="F374" i="1" s="1"/>
  <c r="F375" i="1" s="1"/>
  <c r="F376" i="1" s="1"/>
  <c r="F377" i="1" s="1"/>
  <c r="F378" i="1" s="1"/>
  <c r="F379" i="1" s="1"/>
  <c r="F380" i="1" s="1"/>
  <c r="F381" i="1" s="1"/>
  <c r="F382" i="1" s="1"/>
  <c r="F383" i="1" s="1"/>
  <c r="F384" i="1" s="1"/>
  <c r="F385" i="1" s="1"/>
  <c r="F386" i="1" s="1"/>
  <c r="F387" i="1" s="1"/>
  <c r="F388" i="1" s="1"/>
  <c r="F389" i="1" s="1"/>
  <c r="F390" i="1" s="1"/>
  <c r="F391" i="1" s="1"/>
  <c r="F392" i="1" s="1"/>
  <c r="F393" i="1" s="1"/>
  <c r="F394" i="1" s="1"/>
  <c r="F395" i="1" s="1"/>
  <c r="F396" i="1" s="1"/>
  <c r="F397" i="1" s="1"/>
  <c r="F398" i="1" s="1"/>
  <c r="F399" i="1" s="1"/>
  <c r="F400" i="1" s="1"/>
  <c r="F401" i="1" s="1"/>
  <c r="F402" i="1" s="1"/>
  <c r="F403" i="1" s="1"/>
  <c r="F404" i="1" s="1"/>
  <c r="F405" i="1" s="1"/>
  <c r="F406" i="1" s="1"/>
  <c r="F407" i="1" s="1"/>
  <c r="F408" i="1" s="1"/>
  <c r="F409" i="1" s="1"/>
  <c r="F410" i="1" s="1"/>
  <c r="F411" i="1" s="1"/>
  <c r="F412" i="1" s="1"/>
  <c r="F413" i="1" s="1"/>
  <c r="F414" i="1" s="1"/>
  <c r="F415" i="1" s="1"/>
  <c r="F416" i="1" s="1"/>
  <c r="F417" i="1" s="1"/>
  <c r="F418" i="1" s="1"/>
  <c r="F419" i="1" s="1"/>
  <c r="F420" i="1" s="1"/>
  <c r="F421" i="1" s="1"/>
  <c r="F422" i="1" s="1"/>
  <c r="F423" i="1" s="1"/>
  <c r="F424" i="1" s="1"/>
  <c r="F425" i="1" s="1"/>
  <c r="F426" i="1" s="1"/>
  <c r="F427" i="1" s="1"/>
  <c r="F428" i="1" s="1"/>
  <c r="F429" i="1" s="1"/>
  <c r="F430" i="1" s="1"/>
  <c r="F431" i="1" s="1"/>
  <c r="F432" i="1" s="1"/>
  <c r="F433" i="1" s="1"/>
  <c r="F434" i="1" s="1"/>
  <c r="F435" i="1" s="1"/>
  <c r="F436" i="1" s="1"/>
  <c r="F437" i="1" s="1"/>
  <c r="F438" i="1" s="1"/>
  <c r="F439" i="1" s="1"/>
  <c r="F440" i="1" s="1"/>
  <c r="F441" i="1" s="1"/>
  <c r="F442" i="1" s="1"/>
  <c r="F443" i="1" s="1"/>
  <c r="F444" i="1" s="1"/>
  <c r="F445" i="1" s="1"/>
  <c r="F446" i="1" s="1"/>
  <c r="F447" i="1" s="1"/>
  <c r="F448" i="1" s="1"/>
  <c r="F449" i="1" s="1"/>
  <c r="F450" i="1" s="1"/>
  <c r="F451" i="1" s="1"/>
  <c r="F452" i="1" s="1"/>
  <c r="F453" i="1" s="1"/>
  <c r="F454" i="1" s="1"/>
  <c r="F455" i="1" s="1"/>
  <c r="F456" i="1" s="1"/>
  <c r="F457" i="1" s="1"/>
  <c r="F458" i="1" s="1"/>
  <c r="F459" i="1" s="1"/>
  <c r="F460" i="1" s="1"/>
  <c r="F461" i="1" s="1"/>
  <c r="F462" i="1" s="1"/>
  <c r="F463" i="1" s="1"/>
  <c r="F464" i="1" s="1"/>
  <c r="F465" i="1" s="1"/>
  <c r="F466" i="1" s="1"/>
  <c r="F467" i="1" s="1"/>
  <c r="F468" i="1" s="1"/>
  <c r="F469" i="1" s="1"/>
  <c r="F470" i="1" s="1"/>
  <c r="F471" i="1" s="1"/>
  <c r="F472" i="1" s="1"/>
  <c r="F473" i="1" s="1"/>
  <c r="F474" i="1" s="1"/>
  <c r="F475" i="1" s="1"/>
  <c r="F476" i="1" s="1"/>
  <c r="F477" i="1" s="1"/>
  <c r="F478" i="1" s="1"/>
  <c r="F479" i="1" s="1"/>
  <c r="F480" i="1" s="1"/>
  <c r="F481" i="1" s="1"/>
  <c r="F482" i="1" s="1"/>
  <c r="F483" i="1" s="1"/>
  <c r="F484" i="1" s="1"/>
  <c r="F485" i="1" s="1"/>
  <c r="F486" i="1" s="1"/>
  <c r="F487" i="1" s="1"/>
  <c r="F488" i="1" s="1"/>
  <c r="F489" i="1" s="1"/>
  <c r="F490" i="1" s="1"/>
  <c r="F491" i="1" s="1"/>
  <c r="F492" i="1" s="1"/>
  <c r="F493" i="1" s="1"/>
  <c r="F494" i="1" s="1"/>
  <c r="F495" i="1" s="1"/>
  <c r="F496" i="1" s="1"/>
  <c r="F497" i="1" s="1"/>
  <c r="F498" i="1" s="1"/>
  <c r="F499" i="1" s="1"/>
  <c r="F500" i="1" s="1"/>
  <c r="F501" i="1" s="1"/>
  <c r="F502" i="1" s="1"/>
  <c r="F503" i="1" s="1"/>
  <c r="F504" i="1" s="1"/>
  <c r="F505" i="1" s="1"/>
  <c r="F506" i="1" s="1"/>
  <c r="F507" i="1" s="1"/>
  <c r="F508" i="1" s="1"/>
  <c r="F509" i="1" s="1"/>
  <c r="F510" i="1" s="1"/>
  <c r="F511" i="1" s="1"/>
  <c r="F512" i="1" s="1"/>
  <c r="F513" i="1" s="1"/>
  <c r="F514" i="1" s="1"/>
  <c r="F515" i="1" s="1"/>
  <c r="F516" i="1" s="1"/>
  <c r="F517" i="1" s="1"/>
  <c r="F518" i="1" s="1"/>
  <c r="F519" i="1" s="1"/>
  <c r="F520" i="1" s="1"/>
  <c r="F521" i="1" s="1"/>
  <c r="F522" i="1" s="1"/>
  <c r="F523" i="1" s="1"/>
  <c r="F524" i="1" s="1"/>
  <c r="F525" i="1" s="1"/>
  <c r="F526" i="1" s="1"/>
  <c r="F527" i="1" s="1"/>
  <c r="F528" i="1" s="1"/>
  <c r="F529" i="1" s="1"/>
  <c r="F530" i="1" s="1"/>
  <c r="F531" i="1" s="1"/>
  <c r="F532" i="1" s="1"/>
  <c r="F533" i="1" s="1"/>
  <c r="F534" i="1" s="1"/>
  <c r="F535" i="1" s="1"/>
  <c r="F536" i="1" s="1"/>
  <c r="F537" i="1" s="1"/>
  <c r="F538" i="1" s="1"/>
  <c r="F539" i="1" s="1"/>
  <c r="F540" i="1" s="1"/>
  <c r="F541" i="1" s="1"/>
  <c r="F542" i="1" s="1"/>
  <c r="F543" i="1" s="1"/>
  <c r="F544" i="1" s="1"/>
  <c r="F545" i="1" s="1"/>
  <c r="F546" i="1" s="1"/>
  <c r="F547" i="1" s="1"/>
  <c r="F548" i="1" s="1"/>
  <c r="F549" i="1" s="1"/>
  <c r="F550" i="1" s="1"/>
  <c r="F551" i="1" s="1"/>
  <c r="F552" i="1" s="1"/>
  <c r="F553" i="1" s="1"/>
  <c r="F554" i="1" s="1"/>
  <c r="F555" i="1" s="1"/>
  <c r="F556" i="1" s="1"/>
  <c r="F557" i="1" s="1"/>
  <c r="F558" i="1" s="1"/>
  <c r="F559" i="1" s="1"/>
  <c r="F560" i="1" s="1"/>
  <c r="F561" i="1" s="1"/>
  <c r="F562" i="1" s="1"/>
  <c r="F563" i="1" s="1"/>
  <c r="F564" i="1" s="1"/>
  <c r="F565" i="1" s="1"/>
  <c r="F566" i="1" s="1"/>
  <c r="F567" i="1" s="1"/>
  <c r="F568" i="1" s="1"/>
  <c r="F569" i="1" s="1"/>
  <c r="F570" i="1" s="1"/>
  <c r="F571" i="1" s="1"/>
  <c r="F572" i="1" s="1"/>
  <c r="F573" i="1" s="1"/>
  <c r="F574" i="1" s="1"/>
  <c r="F575" i="1" s="1"/>
  <c r="F576" i="1" s="1"/>
  <c r="F577" i="1" s="1"/>
  <c r="F578" i="1" s="1"/>
  <c r="F579" i="1" s="1"/>
  <c r="F580" i="1" s="1"/>
  <c r="F581" i="1" s="1"/>
  <c r="F582" i="1" s="1"/>
  <c r="F583" i="1" s="1"/>
  <c r="F584" i="1" s="1"/>
  <c r="F585" i="1" s="1"/>
  <c r="F586" i="1" s="1"/>
  <c r="F587" i="1" s="1"/>
  <c r="F588" i="1" s="1"/>
  <c r="F589" i="1" s="1"/>
  <c r="F590" i="1" s="1"/>
  <c r="F591" i="1" s="1"/>
  <c r="F592" i="1" s="1"/>
  <c r="F593" i="1" s="1"/>
  <c r="F594" i="1" s="1"/>
  <c r="F595" i="1" s="1"/>
  <c r="F596" i="1" s="1"/>
  <c r="F597" i="1" s="1"/>
  <c r="F598" i="1" s="1"/>
  <c r="F599" i="1" s="1"/>
  <c r="F600" i="1" s="1"/>
  <c r="F601" i="1" s="1"/>
  <c r="F602" i="1" s="1"/>
  <c r="F603" i="1" s="1"/>
  <c r="F604" i="1" s="1"/>
  <c r="F605" i="1" s="1"/>
  <c r="F606" i="1" s="1"/>
  <c r="F607" i="1" s="1"/>
  <c r="F608" i="1" s="1"/>
  <c r="F609" i="1" s="1"/>
  <c r="F610" i="1" s="1"/>
  <c r="F611" i="1" s="1"/>
  <c r="F612" i="1" s="1"/>
  <c r="F613" i="1" s="1"/>
  <c r="F614" i="1" s="1"/>
  <c r="F615" i="1" s="1"/>
  <c r="F616" i="1" s="1"/>
  <c r="F617" i="1" s="1"/>
  <c r="F618" i="1" s="1"/>
  <c r="F619" i="1" s="1"/>
  <c r="F620" i="1" s="1"/>
  <c r="F621" i="1" s="1"/>
  <c r="F622" i="1" s="1"/>
  <c r="F623" i="1" s="1"/>
  <c r="F624" i="1" s="1"/>
  <c r="F625" i="1" s="1"/>
  <c r="F626" i="1" s="1"/>
  <c r="F627" i="1" s="1"/>
  <c r="F628" i="1" s="1"/>
  <c r="F629" i="1" s="1"/>
  <c r="F630" i="1" s="1"/>
  <c r="F631" i="1" s="1"/>
  <c r="F632" i="1" s="1"/>
  <c r="F633" i="1" s="1"/>
  <c r="F634" i="1" s="1"/>
  <c r="F635" i="1" s="1"/>
  <c r="F636" i="1" s="1"/>
  <c r="F637" i="1" s="1"/>
  <c r="F638" i="1" s="1"/>
  <c r="F639" i="1" s="1"/>
  <c r="F640" i="1" s="1"/>
  <c r="F641" i="1" s="1"/>
  <c r="F642" i="1" s="1"/>
  <c r="F643" i="1" s="1"/>
  <c r="F644" i="1" s="1"/>
  <c r="F645" i="1" s="1"/>
  <c r="F646" i="1" s="1"/>
  <c r="F647" i="1" s="1"/>
  <c r="F648" i="1" s="1"/>
  <c r="F649" i="1" s="1"/>
  <c r="F650" i="1" s="1"/>
  <c r="F651" i="1" s="1"/>
  <c r="F652" i="1" s="1"/>
  <c r="F653" i="1" s="1"/>
  <c r="F654" i="1" s="1"/>
  <c r="F655" i="1" s="1"/>
  <c r="F656" i="1" s="1"/>
  <c r="F657" i="1" s="1"/>
  <c r="F658" i="1" s="1"/>
  <c r="F659" i="1" s="1"/>
  <c r="F660" i="1" s="1"/>
  <c r="F661" i="1" s="1"/>
  <c r="F662" i="1" s="1"/>
  <c r="F663" i="1" s="1"/>
  <c r="F664" i="1" s="1"/>
  <c r="F665" i="1" s="1"/>
  <c r="F666" i="1" s="1"/>
  <c r="F667" i="1" s="1"/>
  <c r="F668" i="1" s="1"/>
  <c r="F669" i="1" s="1"/>
  <c r="F670" i="1" s="1"/>
  <c r="F671" i="1" s="1"/>
  <c r="F672" i="1" s="1"/>
  <c r="F673" i="1" s="1"/>
  <c r="F674" i="1" s="1"/>
  <c r="F675" i="1" s="1"/>
  <c r="F676" i="1" s="1"/>
  <c r="F677" i="1" s="1"/>
  <c r="F678" i="1" s="1"/>
  <c r="F679" i="1" s="1"/>
  <c r="F680" i="1" s="1"/>
  <c r="F681" i="1" s="1"/>
  <c r="F682" i="1" s="1"/>
  <c r="F683" i="1" s="1"/>
  <c r="F684" i="1" s="1"/>
  <c r="F685" i="1" s="1"/>
  <c r="F686" i="1" s="1"/>
  <c r="F687" i="1" s="1"/>
  <c r="F688" i="1" s="1"/>
  <c r="F689" i="1" s="1"/>
  <c r="F690" i="1" s="1"/>
  <c r="F691" i="1" s="1"/>
  <c r="F692" i="1" s="1"/>
  <c r="F693" i="1" s="1"/>
  <c r="F694" i="1" s="1"/>
  <c r="F695" i="1" s="1"/>
  <c r="F696" i="1" s="1"/>
  <c r="F697" i="1" s="1"/>
  <c r="F698" i="1" s="1"/>
  <c r="F699" i="1" s="1"/>
  <c r="F700" i="1" s="1"/>
  <c r="F701" i="1" s="1"/>
  <c r="F702" i="1" s="1"/>
  <c r="F703" i="1" s="1"/>
  <c r="F704" i="1" s="1"/>
  <c r="F705" i="1" s="1"/>
  <c r="F706" i="1" s="1"/>
  <c r="F707" i="1" s="1"/>
  <c r="F708" i="1" s="1"/>
  <c r="F709" i="1" s="1"/>
  <c r="F710" i="1" s="1"/>
  <c r="F711" i="1" s="1"/>
  <c r="F712" i="1" s="1"/>
  <c r="F713" i="1" s="1"/>
  <c r="F714" i="1" s="1"/>
  <c r="F715" i="1" s="1"/>
  <c r="F716" i="1" s="1"/>
  <c r="F717" i="1" s="1"/>
  <c r="F718" i="1" s="1"/>
  <c r="F719" i="1" s="1"/>
  <c r="F720" i="1" s="1"/>
  <c r="F721" i="1" s="1"/>
  <c r="F722" i="1" s="1"/>
  <c r="F723" i="1" s="1"/>
  <c r="F724" i="1" s="1"/>
  <c r="F725" i="1" s="1"/>
  <c r="F726" i="1" s="1"/>
  <c r="F727" i="1" s="1"/>
  <c r="F728" i="1" s="1"/>
  <c r="F729" i="1" s="1"/>
  <c r="F730" i="1" s="1"/>
  <c r="F731" i="1" s="1"/>
  <c r="F732" i="1" s="1"/>
  <c r="F733" i="1" s="1"/>
  <c r="F734" i="1" s="1"/>
  <c r="F735" i="1" s="1"/>
  <c r="F736" i="1" s="1"/>
  <c r="F737" i="1" s="1"/>
  <c r="F738" i="1" s="1"/>
  <c r="F739" i="1" s="1"/>
  <c r="F740" i="1" s="1"/>
  <c r="F741" i="1" s="1"/>
  <c r="F742" i="1" s="1"/>
  <c r="F743" i="1" s="1"/>
  <c r="F744" i="1" s="1"/>
  <c r="F745" i="1" s="1"/>
  <c r="F746" i="1" s="1"/>
  <c r="F747" i="1" s="1"/>
  <c r="F748" i="1" s="1"/>
  <c r="F749" i="1" s="1"/>
  <c r="F750" i="1" s="1"/>
  <c r="F751" i="1" s="1"/>
  <c r="F752" i="1" s="1"/>
  <c r="F753" i="1" s="1"/>
  <c r="F754" i="1" s="1"/>
  <c r="F755" i="1" s="1"/>
  <c r="F756" i="1" s="1"/>
  <c r="F757" i="1" s="1"/>
  <c r="F758" i="1" s="1"/>
  <c r="F759" i="1" s="1"/>
  <c r="F760" i="1" s="1"/>
  <c r="F761" i="1" s="1"/>
  <c r="F762" i="1" s="1"/>
  <c r="F763" i="1" s="1"/>
  <c r="F764" i="1" s="1"/>
  <c r="F765" i="1" s="1"/>
  <c r="F766" i="1" s="1"/>
  <c r="F767" i="1" s="1"/>
  <c r="F768" i="1" s="1"/>
  <c r="F769" i="1" s="1"/>
  <c r="F770" i="1" s="1"/>
  <c r="F771" i="1" s="1"/>
  <c r="F772" i="1" s="1"/>
  <c r="F773" i="1" s="1"/>
  <c r="F774" i="1" s="1"/>
  <c r="F775" i="1" s="1"/>
  <c r="F776" i="1" s="1"/>
  <c r="F777" i="1" s="1"/>
  <c r="F778" i="1" s="1"/>
  <c r="F779" i="1" s="1"/>
  <c r="F780" i="1" s="1"/>
  <c r="F781" i="1" s="1"/>
  <c r="F782" i="1" s="1"/>
  <c r="F783" i="1" s="1"/>
  <c r="F784" i="1" s="1"/>
  <c r="F785" i="1" s="1"/>
  <c r="F786" i="1" s="1"/>
  <c r="F787" i="1" s="1"/>
  <c r="F788" i="1" s="1"/>
  <c r="F789" i="1" s="1"/>
  <c r="F790" i="1" s="1"/>
  <c r="F791" i="1" s="1"/>
  <c r="F792" i="1" s="1"/>
  <c r="F793" i="1" s="1"/>
  <c r="F794" i="1" s="1"/>
  <c r="F795" i="1" s="1"/>
  <c r="F796" i="1" s="1"/>
  <c r="F797" i="1" s="1"/>
  <c r="F798" i="1" s="1"/>
  <c r="F799" i="1" s="1"/>
  <c r="F800" i="1" s="1"/>
  <c r="F801" i="1" s="1"/>
  <c r="F802" i="1" s="1"/>
  <c r="F803" i="1" s="1"/>
  <c r="F804" i="1" s="1"/>
  <c r="F805" i="1" s="1"/>
  <c r="F806" i="1" s="1"/>
  <c r="F807" i="1" s="1"/>
  <c r="F808" i="1" s="1"/>
  <c r="F809" i="1" s="1"/>
  <c r="F810" i="1" s="1"/>
  <c r="F811" i="1" s="1"/>
  <c r="F812" i="1" s="1"/>
  <c r="F813" i="1" s="1"/>
  <c r="F814" i="1" s="1"/>
  <c r="F815" i="1" s="1"/>
  <c r="F816" i="1" s="1"/>
  <c r="F817" i="1" s="1"/>
  <c r="F818" i="1" s="1"/>
  <c r="F819" i="1" s="1"/>
  <c r="F820" i="1" s="1"/>
  <c r="F821" i="1" s="1"/>
  <c r="F822" i="1" s="1"/>
  <c r="F823" i="1" s="1"/>
  <c r="F824" i="1" s="1"/>
  <c r="F825" i="1" s="1"/>
  <c r="F826" i="1" s="1"/>
  <c r="F827" i="1" s="1"/>
  <c r="F828" i="1" s="1"/>
  <c r="F829" i="1" s="1"/>
  <c r="F830" i="1" s="1"/>
  <c r="F831" i="1" s="1"/>
  <c r="F832" i="1" s="1"/>
  <c r="F833" i="1" s="1"/>
  <c r="F834" i="1" s="1"/>
  <c r="F835" i="1" s="1"/>
  <c r="F836" i="1" s="1"/>
  <c r="F837" i="1" s="1"/>
  <c r="F838" i="1" s="1"/>
  <c r="F839" i="1" s="1"/>
  <c r="F840" i="1" s="1"/>
  <c r="F841" i="1" s="1"/>
  <c r="F842" i="1" s="1"/>
  <c r="F843" i="1" s="1"/>
  <c r="F844" i="1" s="1"/>
  <c r="F845" i="1" s="1"/>
  <c r="F846" i="1" s="1"/>
  <c r="F847" i="1" s="1"/>
  <c r="F848" i="1" s="1"/>
  <c r="F849" i="1" s="1"/>
  <c r="F850" i="1" s="1"/>
  <c r="F851" i="1" s="1"/>
  <c r="F852" i="1" s="1"/>
  <c r="F853" i="1" s="1"/>
  <c r="F854" i="1" s="1"/>
  <c r="F855" i="1" s="1"/>
  <c r="F856" i="1" s="1"/>
  <c r="F857" i="1" s="1"/>
  <c r="F858" i="1" s="1"/>
  <c r="F859" i="1" s="1"/>
  <c r="F860" i="1" s="1"/>
  <c r="F861" i="1" s="1"/>
  <c r="F862" i="1" s="1"/>
  <c r="F863" i="1" s="1"/>
  <c r="F864" i="1" s="1"/>
  <c r="F865" i="1" s="1"/>
  <c r="F866" i="1" s="1"/>
  <c r="F867" i="1" s="1"/>
  <c r="F868" i="1" s="1"/>
  <c r="F869" i="1" s="1"/>
  <c r="F870" i="1" s="1"/>
  <c r="F871" i="1" s="1"/>
  <c r="F872" i="1" s="1"/>
  <c r="F873" i="1" s="1"/>
  <c r="F874" i="1" s="1"/>
  <c r="F875" i="1" s="1"/>
  <c r="F876" i="1" s="1"/>
  <c r="F877" i="1" s="1"/>
  <c r="F878" i="1" s="1"/>
  <c r="F879" i="1" s="1"/>
  <c r="F880" i="1" s="1"/>
  <c r="F881" i="1" s="1"/>
  <c r="F882" i="1" s="1"/>
  <c r="F883" i="1" s="1"/>
  <c r="F884" i="1" s="1"/>
  <c r="F885" i="1" s="1"/>
  <c r="F886" i="1" s="1"/>
  <c r="F887" i="1" s="1"/>
  <c r="F888" i="1" s="1"/>
  <c r="F889" i="1" s="1"/>
  <c r="F890" i="1" s="1"/>
  <c r="F891" i="1" s="1"/>
  <c r="F892" i="1" s="1"/>
  <c r="F893" i="1" s="1"/>
  <c r="F894" i="1" s="1"/>
  <c r="F895" i="1" s="1"/>
  <c r="F896" i="1" s="1"/>
  <c r="F897" i="1" s="1"/>
  <c r="F898" i="1" s="1"/>
  <c r="F899" i="1" s="1"/>
  <c r="F900" i="1" s="1"/>
  <c r="F901" i="1" s="1"/>
  <c r="F902" i="1" s="1"/>
  <c r="F903" i="1" s="1"/>
  <c r="F904" i="1" s="1"/>
  <c r="F905" i="1" s="1"/>
  <c r="F906" i="1" s="1"/>
  <c r="F907" i="1" s="1"/>
  <c r="F908" i="1" s="1"/>
  <c r="F909" i="1" s="1"/>
  <c r="F910" i="1" s="1"/>
  <c r="F911" i="1" s="1"/>
  <c r="F912" i="1" s="1"/>
  <c r="F913" i="1" s="1"/>
  <c r="F914" i="1" s="1"/>
  <c r="F915" i="1" s="1"/>
  <c r="F916" i="1" s="1"/>
  <c r="F917" i="1" s="1"/>
  <c r="F918" i="1" s="1"/>
  <c r="F919" i="1" s="1"/>
  <c r="F920" i="1" s="1"/>
  <c r="F921" i="1" s="1"/>
  <c r="F922" i="1" s="1"/>
  <c r="F923" i="1" s="1"/>
  <c r="F924" i="1" s="1"/>
  <c r="F925" i="1" s="1"/>
  <c r="F926" i="1" s="1"/>
  <c r="F927" i="1" s="1"/>
  <c r="F928" i="1" s="1"/>
  <c r="F929" i="1" s="1"/>
  <c r="F930" i="1" s="1"/>
  <c r="F931" i="1" s="1"/>
  <c r="F932" i="1" s="1"/>
  <c r="F933" i="1" s="1"/>
  <c r="F934" i="1" s="1"/>
  <c r="F935" i="1" s="1"/>
  <c r="F936" i="1" s="1"/>
  <c r="F937" i="1" s="1"/>
  <c r="F938" i="1" s="1"/>
  <c r="F939" i="1" s="1"/>
  <c r="F940" i="1" s="1"/>
  <c r="F941" i="1" s="1"/>
  <c r="F942" i="1" s="1"/>
  <c r="F943" i="1" s="1"/>
  <c r="F944" i="1" s="1"/>
  <c r="F945" i="1" s="1"/>
  <c r="F946" i="1" s="1"/>
  <c r="F947" i="1" s="1"/>
  <c r="F948" i="1" s="1"/>
  <c r="F949" i="1" s="1"/>
  <c r="F950" i="1" s="1"/>
  <c r="F951" i="1" s="1"/>
  <c r="F952" i="1" s="1"/>
  <c r="F953" i="1" s="1"/>
  <c r="F954" i="1" s="1"/>
  <c r="F955" i="1" s="1"/>
  <c r="F956" i="1" s="1"/>
  <c r="F957" i="1" s="1"/>
  <c r="F958" i="1" s="1"/>
  <c r="F959" i="1" s="1"/>
  <c r="F960" i="1" s="1"/>
  <c r="F961" i="1" s="1"/>
  <c r="F962" i="1" s="1"/>
  <c r="F963" i="1" s="1"/>
  <c r="F964" i="1" s="1"/>
  <c r="F965" i="1" s="1"/>
  <c r="F966" i="1" s="1"/>
  <c r="F967" i="1" s="1"/>
  <c r="F968" i="1" s="1"/>
  <c r="F969" i="1" s="1"/>
  <c r="F970" i="1" s="1"/>
  <c r="F971" i="1" s="1"/>
  <c r="F972" i="1" s="1"/>
  <c r="F973" i="1" s="1"/>
  <c r="F974" i="1" s="1"/>
  <c r="F975" i="1" s="1"/>
  <c r="F976" i="1" s="1"/>
  <c r="F977" i="1" s="1"/>
  <c r="F978" i="1" s="1"/>
  <c r="F979" i="1" s="1"/>
  <c r="F980" i="1" s="1"/>
  <c r="F981" i="1" s="1"/>
  <c r="F982" i="1" s="1"/>
  <c r="F983" i="1" s="1"/>
  <c r="F984" i="1" s="1"/>
  <c r="F985" i="1" s="1"/>
  <c r="F986" i="1" s="1"/>
  <c r="F987" i="1" s="1"/>
  <c r="F988" i="1" s="1"/>
  <c r="F989" i="1" s="1"/>
  <c r="F990" i="1" s="1"/>
  <c r="F991" i="1" s="1"/>
  <c r="F992" i="1" s="1"/>
  <c r="F993" i="1" s="1"/>
  <c r="F994" i="1" s="1"/>
  <c r="F995" i="1" s="1"/>
  <c r="F996" i="1" s="1"/>
  <c r="F997" i="1" s="1"/>
  <c r="F998" i="1" s="1"/>
  <c r="F999" i="1" s="1"/>
  <c r="F1000" i="1" s="1"/>
  <c r="F1001" i="1" s="1"/>
  <c r="F1002" i="1" s="1"/>
  <c r="F1003" i="1" s="1"/>
  <c r="F1004" i="1" s="1"/>
  <c r="F1005" i="1" s="1"/>
  <c r="F1006" i="1" s="1"/>
  <c r="F1007" i="1" s="1"/>
  <c r="F1008" i="1" s="1"/>
  <c r="F1009" i="1" s="1"/>
  <c r="F1010" i="1" s="1"/>
  <c r="F1011" i="1" s="1"/>
  <c r="F1012" i="1" s="1"/>
  <c r="F1013" i="1" s="1"/>
  <c r="F1014" i="1" s="1"/>
  <c r="F1015" i="1" s="1"/>
  <c r="F1016" i="1" s="1"/>
  <c r="F1017" i="1" s="1"/>
  <c r="F1018" i="1" s="1"/>
  <c r="F1019" i="1" s="1"/>
  <c r="F1020" i="1" s="1"/>
  <c r="F1021" i="1" s="1"/>
  <c r="F1022" i="1" s="1"/>
  <c r="F1023" i="1" s="1"/>
  <c r="F1024" i="1" s="1"/>
  <c r="F1025" i="1" s="1"/>
  <c r="F1026" i="1" s="1"/>
  <c r="F1027" i="1" s="1"/>
  <c r="F1028" i="1" s="1"/>
  <c r="F1029" i="1" s="1"/>
  <c r="F1030" i="1" s="1"/>
  <c r="F1031" i="1" s="1"/>
  <c r="F1032" i="1" s="1"/>
  <c r="F1033" i="1" s="1"/>
  <c r="F1034" i="1" s="1"/>
  <c r="F1035" i="1" s="1"/>
  <c r="F1036" i="1" s="1"/>
  <c r="F1037" i="1" s="1"/>
  <c r="F1038" i="1" s="1"/>
  <c r="F1039" i="1" s="1"/>
  <c r="F1040" i="1" s="1"/>
  <c r="F1041" i="1" s="1"/>
  <c r="F1042" i="1" s="1"/>
  <c r="F1043" i="1" s="1"/>
  <c r="F1044" i="1" s="1"/>
  <c r="F1045" i="1" s="1"/>
  <c r="F1046" i="1" s="1"/>
  <c r="F1047" i="1" s="1"/>
  <c r="F1048" i="1" s="1"/>
  <c r="F1049" i="1" s="1"/>
  <c r="F1050" i="1" s="1"/>
  <c r="F1051" i="1" s="1"/>
  <c r="F1052" i="1" s="1"/>
  <c r="F1053" i="1" s="1"/>
  <c r="F1054" i="1" s="1"/>
  <c r="F1055" i="1" s="1"/>
  <c r="F1056" i="1" s="1"/>
  <c r="F1057" i="1" s="1"/>
  <c r="F1058" i="1" s="1"/>
  <c r="F1059" i="1" s="1"/>
  <c r="F1060" i="1" s="1"/>
  <c r="F1061" i="1" s="1"/>
  <c r="F1062" i="1" s="1"/>
  <c r="F1063" i="1" s="1"/>
  <c r="F1064" i="1" s="1"/>
  <c r="F1065" i="1" s="1"/>
  <c r="F1066" i="1" s="1"/>
  <c r="F1067" i="1" s="1"/>
  <c r="F1068" i="1" s="1"/>
  <c r="F1069" i="1" s="1"/>
  <c r="F1070" i="1" s="1"/>
  <c r="F1071" i="1" s="1"/>
  <c r="F1072" i="1" s="1"/>
  <c r="F1073" i="1" s="1"/>
  <c r="F1074" i="1" s="1"/>
  <c r="F1075" i="1" s="1"/>
  <c r="F1076" i="1" s="1"/>
  <c r="F1077" i="1" s="1"/>
  <c r="F1078" i="1" s="1"/>
  <c r="F1079" i="1" s="1"/>
  <c r="F1080" i="1" s="1"/>
  <c r="F1081" i="1" s="1"/>
  <c r="F1082" i="1" s="1"/>
  <c r="F1083" i="1" s="1"/>
  <c r="F1084" i="1" s="1"/>
  <c r="F1085" i="1" s="1"/>
  <c r="F1086" i="1" s="1"/>
  <c r="F1087" i="1" s="1"/>
  <c r="F1088" i="1" s="1"/>
  <c r="F1089" i="1" s="1"/>
  <c r="F1090" i="1" s="1"/>
  <c r="F1091" i="1" s="1"/>
  <c r="F1092" i="1" s="1"/>
  <c r="F1093" i="1" s="1"/>
  <c r="F1094" i="1" s="1"/>
  <c r="F1095" i="1" s="1"/>
  <c r="F1096" i="1" s="1"/>
  <c r="F1097" i="1" s="1"/>
  <c r="F1098" i="1" s="1"/>
  <c r="F1099" i="1" s="1"/>
  <c r="F1100" i="1" s="1"/>
  <c r="F1101" i="1" s="1"/>
  <c r="F1102" i="1" s="1"/>
  <c r="F1103" i="1" s="1"/>
  <c r="F1104" i="1" s="1"/>
  <c r="F1105" i="1" s="1"/>
  <c r="F1106" i="1" s="1"/>
  <c r="F1107" i="1" s="1"/>
  <c r="F1108" i="1" s="1"/>
  <c r="F1109" i="1" s="1"/>
  <c r="F1110" i="1" s="1"/>
  <c r="F1111" i="1" s="1"/>
  <c r="F1112" i="1" s="1"/>
  <c r="F1113" i="1" s="1"/>
  <c r="F1114" i="1" s="1"/>
  <c r="F1115" i="1" s="1"/>
  <c r="F1116" i="1" s="1"/>
  <c r="F1117" i="1" s="1"/>
  <c r="F1118" i="1" s="1"/>
  <c r="F1119" i="1" s="1"/>
  <c r="F1120" i="1" s="1"/>
  <c r="F1121" i="1" s="1"/>
  <c r="F1122" i="1" s="1"/>
  <c r="F1123" i="1" s="1"/>
  <c r="F1124" i="1" s="1"/>
  <c r="F1125" i="1" s="1"/>
  <c r="F1126" i="1" s="1"/>
  <c r="F1127" i="1" s="1"/>
  <c r="F1128" i="1" s="1"/>
  <c r="F1129" i="1" s="1"/>
  <c r="F1130" i="1" s="1"/>
  <c r="F1131" i="1" s="1"/>
  <c r="F1132" i="1" s="1"/>
  <c r="F1133" i="1" s="1"/>
  <c r="F1134" i="1" s="1"/>
  <c r="F1135" i="1" s="1"/>
  <c r="F1136" i="1" s="1"/>
  <c r="F1137" i="1" s="1"/>
  <c r="F1138" i="1" s="1"/>
  <c r="F1139" i="1" s="1"/>
  <c r="F1140" i="1" s="1"/>
  <c r="F1141" i="1" s="1"/>
  <c r="F1142" i="1" s="1"/>
  <c r="F1143" i="1" s="1"/>
  <c r="F1144" i="1" s="1"/>
  <c r="F1145" i="1" s="1"/>
  <c r="F1146" i="1" s="1"/>
  <c r="F1147" i="1" s="1"/>
  <c r="F1148" i="1" s="1"/>
  <c r="F1149" i="1" s="1"/>
  <c r="F1150" i="1" s="1"/>
  <c r="F1151" i="1" s="1"/>
  <c r="F1152" i="1" s="1"/>
  <c r="F1153" i="1" s="1"/>
  <c r="F1154" i="1" s="1"/>
  <c r="F1155" i="1" s="1"/>
  <c r="F1156" i="1" s="1"/>
  <c r="F1157" i="1" s="1"/>
  <c r="F1158" i="1" s="1"/>
  <c r="F1159" i="1" s="1"/>
  <c r="F1160" i="1" s="1"/>
  <c r="F1161" i="1" s="1"/>
  <c r="F1162" i="1" s="1"/>
  <c r="F1163" i="1" s="1"/>
  <c r="F1164" i="1" s="1"/>
  <c r="F1165" i="1" s="1"/>
  <c r="F1166" i="1" s="1"/>
  <c r="F1167" i="1" s="1"/>
  <c r="F1168" i="1" s="1"/>
  <c r="F1169" i="1" s="1"/>
  <c r="F1170" i="1" s="1"/>
  <c r="F1171" i="1" s="1"/>
  <c r="F1172" i="1" s="1"/>
  <c r="F1173" i="1" s="1"/>
  <c r="F1174" i="1" s="1"/>
  <c r="F1175" i="1" s="1"/>
  <c r="F1176" i="1" s="1"/>
  <c r="F1177" i="1" s="1"/>
  <c r="F1178" i="1" s="1"/>
  <c r="F1179" i="1" s="1"/>
  <c r="F1180" i="1" s="1"/>
  <c r="F1181" i="1" s="1"/>
  <c r="F1182" i="1" s="1"/>
  <c r="F1183" i="1" s="1"/>
  <c r="F1184" i="1" s="1"/>
  <c r="F1185" i="1" s="1"/>
  <c r="F1186" i="1" s="1"/>
  <c r="F1187" i="1" s="1"/>
  <c r="F1188" i="1" s="1"/>
  <c r="F1189" i="1" s="1"/>
  <c r="F1190" i="1" s="1"/>
  <c r="F1191" i="1" s="1"/>
  <c r="F1192" i="1" s="1"/>
  <c r="F1193" i="1" s="1"/>
  <c r="F1194" i="1" s="1"/>
  <c r="F1195" i="1" s="1"/>
  <c r="F1196" i="1" s="1"/>
  <c r="F1197" i="1" s="1"/>
  <c r="F1198" i="1" s="1"/>
  <c r="F1199" i="1" s="1"/>
  <c r="F1200" i="1" s="1"/>
  <c r="F1201" i="1" s="1"/>
  <c r="F1202" i="1" s="1"/>
  <c r="F1203" i="1" s="1"/>
  <c r="F1204" i="1" s="1"/>
  <c r="F1205" i="1" s="1"/>
  <c r="F1206" i="1" s="1"/>
  <c r="F1207" i="1" s="1"/>
  <c r="F1208" i="1" s="1"/>
  <c r="F1209" i="1" s="1"/>
  <c r="F1210" i="1" s="1"/>
  <c r="F1211" i="1" s="1"/>
  <c r="F1212" i="1" s="1"/>
  <c r="F1213" i="1" s="1"/>
  <c r="F1214" i="1" s="1"/>
  <c r="F1215" i="1" s="1"/>
  <c r="F1216" i="1" s="1"/>
  <c r="F1217" i="1" s="1"/>
  <c r="F1218" i="1" s="1"/>
  <c r="F1219" i="1" s="1"/>
  <c r="F1220" i="1" s="1"/>
  <c r="F1221" i="1" s="1"/>
  <c r="F1222" i="1" s="1"/>
  <c r="F1223" i="1" s="1"/>
  <c r="F1224" i="1" s="1"/>
  <c r="F1225" i="1" s="1"/>
  <c r="F1226" i="1" s="1"/>
  <c r="F1227" i="1" s="1"/>
  <c r="F1228" i="1" s="1"/>
  <c r="F1229" i="1" s="1"/>
  <c r="F1230" i="1" s="1"/>
  <c r="F1231" i="1" s="1"/>
  <c r="F1232" i="1" s="1"/>
  <c r="F1233" i="1" s="1"/>
  <c r="F1234" i="1" s="1"/>
  <c r="F1235" i="1" s="1"/>
  <c r="F1236" i="1" s="1"/>
  <c r="F1237" i="1" s="1"/>
  <c r="F1238" i="1" s="1"/>
  <c r="F1239" i="1" s="1"/>
  <c r="F1240" i="1" s="1"/>
  <c r="F1241" i="1" s="1"/>
  <c r="F1242" i="1" s="1"/>
  <c r="F1243" i="1" s="1"/>
  <c r="F1244" i="1" s="1"/>
  <c r="F1245" i="1" s="1"/>
  <c r="F1246" i="1" s="1"/>
  <c r="F1247" i="1" s="1"/>
  <c r="F1248" i="1" s="1"/>
  <c r="F1249" i="1" s="1"/>
  <c r="F1250" i="1" s="1"/>
  <c r="F1251" i="1" s="1"/>
  <c r="F1252" i="1" s="1"/>
  <c r="F1253" i="1" s="1"/>
  <c r="F1254" i="1" s="1"/>
  <c r="F1255" i="1" s="1"/>
  <c r="F1256" i="1" s="1"/>
  <c r="F1257" i="1" s="1"/>
  <c r="F1258" i="1" s="1"/>
  <c r="F1259" i="1" s="1"/>
  <c r="F1260" i="1" s="1"/>
  <c r="F1261" i="1" s="1"/>
  <c r="G23" i="1"/>
  <c r="L22" i="1" l="1"/>
  <c r="G24" i="1"/>
  <c r="H23" i="1"/>
  <c r="I23" i="1" s="1"/>
  <c r="K23" i="1" s="1"/>
  <c r="M23" i="1" s="1"/>
  <c r="L23" i="1" l="1"/>
  <c r="N23" i="1" s="1"/>
  <c r="M22" i="1"/>
  <c r="G25" i="1"/>
  <c r="H24" i="1"/>
  <c r="I24" i="1" s="1"/>
  <c r="K24" i="1" s="1"/>
  <c r="J23" i="1" l="1"/>
  <c r="M24" i="1" s="1"/>
  <c r="L24" i="1"/>
  <c r="G26" i="1"/>
  <c r="H25" i="1"/>
  <c r="I25" i="1" s="1"/>
  <c r="K25" i="1" s="1"/>
  <c r="N24" i="1" l="1"/>
  <c r="J24" i="1"/>
  <c r="M25" i="1" s="1"/>
  <c r="L25" i="1"/>
  <c r="G27" i="1"/>
  <c r="H26" i="1"/>
  <c r="I26" i="1" s="1"/>
  <c r="K26" i="1" s="1"/>
  <c r="N25" i="1" l="1"/>
  <c r="J25" i="1"/>
  <c r="L26" i="1"/>
  <c r="G28" i="1"/>
  <c r="H27" i="1"/>
  <c r="I27" i="1" s="1"/>
  <c r="K27" i="1" s="1"/>
  <c r="N26" i="1" l="1"/>
  <c r="J26" i="1"/>
  <c r="M27" i="1" s="1"/>
  <c r="M26" i="1"/>
  <c r="L27" i="1"/>
  <c r="G29" i="1"/>
  <c r="H28" i="1"/>
  <c r="I28" i="1" s="1"/>
  <c r="K28" i="1" s="1"/>
  <c r="N27" i="1" l="1"/>
  <c r="J27" i="1"/>
  <c r="M28" i="1" s="1"/>
  <c r="L28" i="1"/>
  <c r="G30" i="1"/>
  <c r="H29" i="1"/>
  <c r="I29" i="1" s="1"/>
  <c r="K29" i="1" s="1"/>
  <c r="N28" i="1" l="1"/>
  <c r="J28" i="1"/>
  <c r="M29" i="1" s="1"/>
  <c r="L29" i="1"/>
  <c r="G31" i="1"/>
  <c r="H30" i="1"/>
  <c r="I30" i="1" s="1"/>
  <c r="K30" i="1" s="1"/>
  <c r="N29" i="1" l="1"/>
  <c r="J29" i="1"/>
  <c r="M30" i="1" s="1"/>
  <c r="L30" i="1"/>
  <c r="G32" i="1"/>
  <c r="H31" i="1"/>
  <c r="I31" i="1" s="1"/>
  <c r="K31" i="1" s="1"/>
  <c r="N30" i="1" l="1"/>
  <c r="J30" i="1"/>
  <c r="M31" i="1" s="1"/>
  <c r="L31" i="1"/>
  <c r="G33" i="1"/>
  <c r="H32" i="1"/>
  <c r="I32" i="1" s="1"/>
  <c r="K32" i="1" s="1"/>
  <c r="N31" i="1" l="1"/>
  <c r="J31" i="1"/>
  <c r="M32" i="1" s="1"/>
  <c r="L32" i="1"/>
  <c r="G34" i="1"/>
  <c r="H33" i="1"/>
  <c r="I33" i="1" s="1"/>
  <c r="K33" i="1" s="1"/>
  <c r="N32" i="1" l="1"/>
  <c r="J32" i="1"/>
  <c r="M33" i="1" s="1"/>
  <c r="L33" i="1"/>
  <c r="G35" i="1"/>
  <c r="H34" i="1"/>
  <c r="I34" i="1" s="1"/>
  <c r="K34" i="1" s="1"/>
  <c r="N33" i="1" l="1"/>
  <c r="J33" i="1"/>
  <c r="M34" i="1" s="1"/>
  <c r="L34" i="1"/>
  <c r="G36" i="1"/>
  <c r="H35" i="1"/>
  <c r="I35" i="1" s="1"/>
  <c r="K35" i="1" s="1"/>
  <c r="J34" i="1" l="1"/>
  <c r="M35" i="1" s="1"/>
  <c r="N34" i="1"/>
  <c r="L35" i="1"/>
  <c r="G37" i="1"/>
  <c r="H36" i="1"/>
  <c r="I36" i="1" s="1"/>
  <c r="K36" i="1" s="1"/>
  <c r="N35" i="1" l="1"/>
  <c r="J35" i="1"/>
  <c r="M36" i="1" s="1"/>
  <c r="L36" i="1"/>
  <c r="G38" i="1"/>
  <c r="H37" i="1"/>
  <c r="I37" i="1" s="1"/>
  <c r="K37" i="1" s="1"/>
  <c r="N36" i="1" l="1"/>
  <c r="J36" i="1"/>
  <c r="M37" i="1" s="1"/>
  <c r="L37" i="1"/>
  <c r="G39" i="1"/>
  <c r="H38" i="1"/>
  <c r="I38" i="1" s="1"/>
  <c r="K38" i="1" s="1"/>
  <c r="N37" i="1" l="1"/>
  <c r="J37" i="1"/>
  <c r="M38" i="1" s="1"/>
  <c r="L38" i="1"/>
  <c r="G40" i="1"/>
  <c r="H39" i="1"/>
  <c r="I39" i="1" s="1"/>
  <c r="K39" i="1" s="1"/>
  <c r="N38" i="1" l="1"/>
  <c r="J38" i="1"/>
  <c r="M39" i="1" s="1"/>
  <c r="L39" i="1"/>
  <c r="G41" i="1"/>
  <c r="H40" i="1"/>
  <c r="I40" i="1" s="1"/>
  <c r="K40" i="1" s="1"/>
  <c r="J39" i="1" l="1"/>
  <c r="M40" i="1" s="1"/>
  <c r="N39" i="1"/>
  <c r="L40" i="1"/>
  <c r="G42" i="1"/>
  <c r="H41" i="1"/>
  <c r="I41" i="1" s="1"/>
  <c r="K41" i="1" s="1"/>
  <c r="N40" i="1" l="1"/>
  <c r="J40" i="1"/>
  <c r="M41" i="1" s="1"/>
  <c r="L41" i="1"/>
  <c r="G43" i="1"/>
  <c r="H42" i="1"/>
  <c r="I42" i="1" s="1"/>
  <c r="K42" i="1" s="1"/>
  <c r="N41" i="1" l="1"/>
  <c r="J41" i="1"/>
  <c r="M42" i="1" s="1"/>
  <c r="L42" i="1"/>
  <c r="G44" i="1"/>
  <c r="H43" i="1"/>
  <c r="I43" i="1" s="1"/>
  <c r="K43" i="1" s="1"/>
  <c r="N42" i="1" l="1"/>
  <c r="J42" i="1"/>
  <c r="M43" i="1" s="1"/>
  <c r="L43" i="1"/>
  <c r="G45" i="1"/>
  <c r="H44" i="1"/>
  <c r="I44" i="1" s="1"/>
  <c r="K44" i="1" s="1"/>
  <c r="N43" i="1" l="1"/>
  <c r="J43" i="1"/>
  <c r="M44" i="1" s="1"/>
  <c r="L44" i="1"/>
  <c r="G46" i="1"/>
  <c r="H45" i="1"/>
  <c r="I45" i="1" s="1"/>
  <c r="K45" i="1" s="1"/>
  <c r="N44" i="1" l="1"/>
  <c r="J44" i="1"/>
  <c r="M45" i="1" s="1"/>
  <c r="L45" i="1"/>
  <c r="G47" i="1"/>
  <c r="H46" i="1"/>
  <c r="I46" i="1" s="1"/>
  <c r="K46" i="1" s="1"/>
  <c r="N45" i="1" l="1"/>
  <c r="J45" i="1"/>
  <c r="M46" i="1" s="1"/>
  <c r="L46" i="1"/>
  <c r="G48" i="1"/>
  <c r="H47" i="1"/>
  <c r="I47" i="1" s="1"/>
  <c r="K47" i="1" s="1"/>
  <c r="N46" i="1" l="1"/>
  <c r="J46" i="1"/>
  <c r="M47" i="1" s="1"/>
  <c r="L47" i="1"/>
  <c r="G49" i="1"/>
  <c r="H48" i="1"/>
  <c r="I48" i="1" s="1"/>
  <c r="K48" i="1" s="1"/>
  <c r="N47" i="1" l="1"/>
  <c r="J47" i="1"/>
  <c r="M48" i="1" s="1"/>
  <c r="L48" i="1"/>
  <c r="G50" i="1"/>
  <c r="H49" i="1"/>
  <c r="I49" i="1" s="1"/>
  <c r="K49" i="1" s="1"/>
  <c r="N48" i="1" l="1"/>
  <c r="J48" i="1"/>
  <c r="M49" i="1" s="1"/>
  <c r="L49" i="1"/>
  <c r="G51" i="1"/>
  <c r="H50" i="1"/>
  <c r="I50" i="1" s="1"/>
  <c r="K50" i="1" s="1"/>
  <c r="N49" i="1" l="1"/>
  <c r="J49" i="1"/>
  <c r="M50" i="1" s="1"/>
  <c r="L50" i="1"/>
  <c r="G52" i="1"/>
  <c r="H51" i="1"/>
  <c r="I51" i="1" s="1"/>
  <c r="K51" i="1" s="1"/>
  <c r="N50" i="1" l="1"/>
  <c r="J50" i="1"/>
  <c r="M51" i="1" s="1"/>
  <c r="L51" i="1"/>
  <c r="G53" i="1"/>
  <c r="H52" i="1"/>
  <c r="I52" i="1" s="1"/>
  <c r="K52" i="1" s="1"/>
  <c r="N51" i="1" l="1"/>
  <c r="J51" i="1"/>
  <c r="M52" i="1" s="1"/>
  <c r="L52" i="1"/>
  <c r="G54" i="1"/>
  <c r="H53" i="1"/>
  <c r="I53" i="1" s="1"/>
  <c r="K53" i="1" s="1"/>
  <c r="N52" i="1" l="1"/>
  <c r="J52" i="1"/>
  <c r="M53" i="1" s="1"/>
  <c r="L53" i="1"/>
  <c r="G55" i="1"/>
  <c r="H54" i="1"/>
  <c r="I54" i="1" s="1"/>
  <c r="K54" i="1" s="1"/>
  <c r="N53" i="1" l="1"/>
  <c r="J53" i="1"/>
  <c r="M54" i="1" s="1"/>
  <c r="L54" i="1"/>
  <c r="G56" i="1"/>
  <c r="H55" i="1"/>
  <c r="I55" i="1" s="1"/>
  <c r="K55" i="1" s="1"/>
  <c r="N54" i="1" l="1"/>
  <c r="J54" i="1"/>
  <c r="M55" i="1" s="1"/>
  <c r="L55" i="1"/>
  <c r="G57" i="1"/>
  <c r="H56" i="1"/>
  <c r="I56" i="1" s="1"/>
  <c r="K56" i="1" s="1"/>
  <c r="N55" i="1" l="1"/>
  <c r="J55" i="1"/>
  <c r="M56" i="1" s="1"/>
  <c r="L56" i="1"/>
  <c r="G58" i="1"/>
  <c r="H57" i="1"/>
  <c r="I57" i="1" s="1"/>
  <c r="K57" i="1" s="1"/>
  <c r="N56" i="1" l="1"/>
  <c r="J56" i="1"/>
  <c r="M57" i="1" s="1"/>
  <c r="L57" i="1"/>
  <c r="G59" i="1"/>
  <c r="H58" i="1"/>
  <c r="I58" i="1" s="1"/>
  <c r="K58" i="1" s="1"/>
  <c r="N57" i="1" l="1"/>
  <c r="J57" i="1"/>
  <c r="M58" i="1" s="1"/>
  <c r="L58" i="1"/>
  <c r="G60" i="1"/>
  <c r="H59" i="1"/>
  <c r="I59" i="1" s="1"/>
  <c r="K59" i="1" s="1"/>
  <c r="N58" i="1" l="1"/>
  <c r="J58" i="1"/>
  <c r="M59" i="1" s="1"/>
  <c r="L59" i="1"/>
  <c r="G61" i="1"/>
  <c r="H60" i="1"/>
  <c r="I60" i="1" s="1"/>
  <c r="K60" i="1" s="1"/>
  <c r="N59" i="1" l="1"/>
  <c r="J59" i="1"/>
  <c r="M60" i="1" s="1"/>
  <c r="L60" i="1"/>
  <c r="G62" i="1"/>
  <c r="H61" i="1"/>
  <c r="I61" i="1" s="1"/>
  <c r="K61" i="1" s="1"/>
  <c r="N60" i="1" l="1"/>
  <c r="J60" i="1"/>
  <c r="M61" i="1" s="1"/>
  <c r="L61" i="1"/>
  <c r="G63" i="1"/>
  <c r="H62" i="1"/>
  <c r="I62" i="1" s="1"/>
  <c r="K62" i="1" s="1"/>
  <c r="N61" i="1" l="1"/>
  <c r="J61" i="1"/>
  <c r="M62" i="1" s="1"/>
  <c r="L62" i="1"/>
  <c r="G64" i="1"/>
  <c r="H63" i="1"/>
  <c r="I63" i="1" s="1"/>
  <c r="K63" i="1" s="1"/>
  <c r="N62" i="1" l="1"/>
  <c r="J62" i="1"/>
  <c r="M63" i="1" s="1"/>
  <c r="L63" i="1"/>
  <c r="G65" i="1"/>
  <c r="H64" i="1"/>
  <c r="I64" i="1" s="1"/>
  <c r="K64" i="1" s="1"/>
  <c r="N63" i="1" l="1"/>
  <c r="J63" i="1"/>
  <c r="M64" i="1" s="1"/>
  <c r="L64" i="1"/>
  <c r="G66" i="1"/>
  <c r="H65" i="1"/>
  <c r="I65" i="1" s="1"/>
  <c r="K65" i="1" s="1"/>
  <c r="N64" i="1" l="1"/>
  <c r="J64" i="1"/>
  <c r="M65" i="1" s="1"/>
  <c r="L65" i="1"/>
  <c r="G67" i="1"/>
  <c r="H66" i="1"/>
  <c r="I66" i="1" s="1"/>
  <c r="K66" i="1" s="1"/>
  <c r="N65" i="1" l="1"/>
  <c r="J65" i="1"/>
  <c r="M66" i="1" s="1"/>
  <c r="L66" i="1"/>
  <c r="G68" i="1"/>
  <c r="H67" i="1"/>
  <c r="I67" i="1" s="1"/>
  <c r="K67" i="1" s="1"/>
  <c r="N66" i="1" l="1"/>
  <c r="J66" i="1"/>
  <c r="M67" i="1" s="1"/>
  <c r="L67" i="1"/>
  <c r="G69" i="1"/>
  <c r="H68" i="1"/>
  <c r="I68" i="1" s="1"/>
  <c r="K68" i="1" s="1"/>
  <c r="N67" i="1" l="1"/>
  <c r="J67" i="1"/>
  <c r="M68" i="1" s="1"/>
  <c r="L68" i="1"/>
  <c r="G70" i="1"/>
  <c r="H69" i="1"/>
  <c r="I69" i="1" s="1"/>
  <c r="K69" i="1" s="1"/>
  <c r="N68" i="1" l="1"/>
  <c r="J68" i="1"/>
  <c r="M69" i="1" s="1"/>
  <c r="L69" i="1"/>
  <c r="G71" i="1"/>
  <c r="H70" i="1"/>
  <c r="I70" i="1" s="1"/>
  <c r="K70" i="1" s="1"/>
  <c r="N69" i="1" l="1"/>
  <c r="J69" i="1"/>
  <c r="M70" i="1" s="1"/>
  <c r="L70" i="1"/>
  <c r="G72" i="1"/>
  <c r="H71" i="1"/>
  <c r="I71" i="1" s="1"/>
  <c r="K71" i="1" s="1"/>
  <c r="N70" i="1" l="1"/>
  <c r="J70" i="1"/>
  <c r="M71" i="1" s="1"/>
  <c r="L71" i="1"/>
  <c r="G73" i="1"/>
  <c r="H72" i="1"/>
  <c r="I72" i="1" s="1"/>
  <c r="K72" i="1" s="1"/>
  <c r="N71" i="1" l="1"/>
  <c r="J71" i="1"/>
  <c r="M72" i="1" s="1"/>
  <c r="L72" i="1"/>
  <c r="G74" i="1"/>
  <c r="H73" i="1"/>
  <c r="I73" i="1" s="1"/>
  <c r="K73" i="1" s="1"/>
  <c r="N72" i="1" l="1"/>
  <c r="J72" i="1"/>
  <c r="M73" i="1" s="1"/>
  <c r="L73" i="1"/>
  <c r="G75" i="1"/>
  <c r="H74" i="1"/>
  <c r="I74" i="1" s="1"/>
  <c r="K74" i="1" s="1"/>
  <c r="N73" i="1" l="1"/>
  <c r="J73" i="1"/>
  <c r="M74" i="1" s="1"/>
  <c r="L74" i="1"/>
  <c r="G76" i="1"/>
  <c r="H75" i="1"/>
  <c r="I75" i="1" s="1"/>
  <c r="K75" i="1" s="1"/>
  <c r="N74" i="1" l="1"/>
  <c r="J74" i="1"/>
  <c r="M75" i="1" s="1"/>
  <c r="L75" i="1"/>
  <c r="G77" i="1"/>
  <c r="H76" i="1"/>
  <c r="I76" i="1" s="1"/>
  <c r="K76" i="1" s="1"/>
  <c r="N75" i="1" l="1"/>
  <c r="J75" i="1"/>
  <c r="M76" i="1" s="1"/>
  <c r="L76" i="1"/>
  <c r="G78" i="1"/>
  <c r="H77" i="1"/>
  <c r="I77" i="1" s="1"/>
  <c r="K77" i="1" s="1"/>
  <c r="N76" i="1" l="1"/>
  <c r="J76" i="1"/>
  <c r="M77" i="1" s="1"/>
  <c r="L77" i="1"/>
  <c r="G79" i="1"/>
  <c r="H78" i="1"/>
  <c r="I78" i="1" s="1"/>
  <c r="K78" i="1" s="1"/>
  <c r="N77" i="1" l="1"/>
  <c r="J77" i="1"/>
  <c r="M78" i="1" s="1"/>
  <c r="L78" i="1"/>
  <c r="G80" i="1"/>
  <c r="H79" i="1"/>
  <c r="I79" i="1" s="1"/>
  <c r="K79" i="1" s="1"/>
  <c r="N78" i="1" l="1"/>
  <c r="J78" i="1"/>
  <c r="M79" i="1" s="1"/>
  <c r="L79" i="1"/>
  <c r="G81" i="1"/>
  <c r="H80" i="1"/>
  <c r="I80" i="1" s="1"/>
  <c r="K80" i="1" s="1"/>
  <c r="N79" i="1" l="1"/>
  <c r="J79" i="1"/>
  <c r="M80" i="1" s="1"/>
  <c r="L80" i="1"/>
  <c r="G82" i="1"/>
  <c r="H81" i="1"/>
  <c r="I81" i="1" s="1"/>
  <c r="K81" i="1" s="1"/>
  <c r="N80" i="1" l="1"/>
  <c r="J80" i="1"/>
  <c r="M81" i="1" s="1"/>
  <c r="L81" i="1"/>
  <c r="G83" i="1"/>
  <c r="H82" i="1"/>
  <c r="I82" i="1" s="1"/>
  <c r="K82" i="1" s="1"/>
  <c r="N81" i="1" l="1"/>
  <c r="J81" i="1"/>
  <c r="M82" i="1" s="1"/>
  <c r="L82" i="1"/>
  <c r="G84" i="1"/>
  <c r="H83" i="1"/>
  <c r="I83" i="1" s="1"/>
  <c r="K83" i="1" s="1"/>
  <c r="N82" i="1" l="1"/>
  <c r="J82" i="1"/>
  <c r="M83" i="1" s="1"/>
  <c r="L83" i="1"/>
  <c r="G85" i="1"/>
  <c r="H84" i="1"/>
  <c r="I84" i="1" s="1"/>
  <c r="K84" i="1" s="1"/>
  <c r="N83" i="1" l="1"/>
  <c r="J83" i="1"/>
  <c r="M84" i="1" s="1"/>
  <c r="L84" i="1"/>
  <c r="G86" i="1"/>
  <c r="H85" i="1"/>
  <c r="I85" i="1" s="1"/>
  <c r="K85" i="1" s="1"/>
  <c r="N84" i="1" l="1"/>
  <c r="J84" i="1"/>
  <c r="M85" i="1" s="1"/>
  <c r="L85" i="1"/>
  <c r="G87" i="1"/>
  <c r="H86" i="1"/>
  <c r="I86" i="1" s="1"/>
  <c r="K86" i="1" s="1"/>
  <c r="N85" i="1" l="1"/>
  <c r="J85" i="1"/>
  <c r="M86" i="1" s="1"/>
  <c r="L86" i="1"/>
  <c r="G88" i="1"/>
  <c r="H87" i="1"/>
  <c r="I87" i="1" s="1"/>
  <c r="K87" i="1" s="1"/>
  <c r="N86" i="1" l="1"/>
  <c r="J86" i="1"/>
  <c r="M87" i="1" s="1"/>
  <c r="L87" i="1"/>
  <c r="G89" i="1"/>
  <c r="H88" i="1"/>
  <c r="I88" i="1" s="1"/>
  <c r="K88" i="1" s="1"/>
  <c r="N87" i="1" l="1"/>
  <c r="J87" i="1"/>
  <c r="M88" i="1" s="1"/>
  <c r="L88" i="1"/>
  <c r="G90" i="1"/>
  <c r="H89" i="1"/>
  <c r="I89" i="1" s="1"/>
  <c r="K89" i="1" s="1"/>
  <c r="N88" i="1" l="1"/>
  <c r="J88" i="1"/>
  <c r="M89" i="1" s="1"/>
  <c r="L89" i="1"/>
  <c r="G91" i="1"/>
  <c r="H90" i="1"/>
  <c r="I90" i="1" s="1"/>
  <c r="K90" i="1" s="1"/>
  <c r="N89" i="1" l="1"/>
  <c r="J89" i="1"/>
  <c r="M90" i="1" s="1"/>
  <c r="L90" i="1"/>
  <c r="G92" i="1"/>
  <c r="H91" i="1"/>
  <c r="I91" i="1" s="1"/>
  <c r="K91" i="1" s="1"/>
  <c r="N90" i="1" l="1"/>
  <c r="J90" i="1"/>
  <c r="M91" i="1" s="1"/>
  <c r="L91" i="1"/>
  <c r="G93" i="1"/>
  <c r="H92" i="1"/>
  <c r="I92" i="1" s="1"/>
  <c r="K92" i="1" s="1"/>
  <c r="N91" i="1" l="1"/>
  <c r="J91" i="1"/>
  <c r="M92" i="1" s="1"/>
  <c r="L92" i="1"/>
  <c r="G94" i="1"/>
  <c r="H93" i="1"/>
  <c r="I93" i="1" s="1"/>
  <c r="K93" i="1" s="1"/>
  <c r="N92" i="1" l="1"/>
  <c r="J92" i="1"/>
  <c r="M93" i="1" s="1"/>
  <c r="L93" i="1"/>
  <c r="G95" i="1"/>
  <c r="H94" i="1"/>
  <c r="I94" i="1" s="1"/>
  <c r="K94" i="1" s="1"/>
  <c r="N93" i="1" l="1"/>
  <c r="J93" i="1"/>
  <c r="M94" i="1" s="1"/>
  <c r="L94" i="1"/>
  <c r="G96" i="1"/>
  <c r="H95" i="1"/>
  <c r="I95" i="1" s="1"/>
  <c r="K95" i="1" s="1"/>
  <c r="N94" i="1" l="1"/>
  <c r="J94" i="1"/>
  <c r="M95" i="1" s="1"/>
  <c r="L95" i="1"/>
  <c r="G97" i="1"/>
  <c r="H96" i="1"/>
  <c r="I96" i="1" s="1"/>
  <c r="K96" i="1" s="1"/>
  <c r="N95" i="1" l="1"/>
  <c r="J95" i="1"/>
  <c r="M96" i="1" s="1"/>
  <c r="L96" i="1"/>
  <c r="G98" i="1"/>
  <c r="H97" i="1"/>
  <c r="I97" i="1" s="1"/>
  <c r="K97" i="1" s="1"/>
  <c r="N96" i="1" l="1"/>
  <c r="J96" i="1"/>
  <c r="M97" i="1" s="1"/>
  <c r="L97" i="1"/>
  <c r="G99" i="1"/>
  <c r="H98" i="1"/>
  <c r="I98" i="1" s="1"/>
  <c r="K98" i="1" s="1"/>
  <c r="N97" i="1" l="1"/>
  <c r="J97" i="1"/>
  <c r="M98" i="1" s="1"/>
  <c r="L98" i="1"/>
  <c r="G100" i="1"/>
  <c r="H99" i="1"/>
  <c r="I99" i="1" s="1"/>
  <c r="K99" i="1" s="1"/>
  <c r="N98" i="1" l="1"/>
  <c r="J98" i="1"/>
  <c r="M99" i="1" s="1"/>
  <c r="L99" i="1"/>
  <c r="G101" i="1"/>
  <c r="H100" i="1"/>
  <c r="I100" i="1" s="1"/>
  <c r="K100" i="1" s="1"/>
  <c r="N99" i="1" l="1"/>
  <c r="J99" i="1"/>
  <c r="M100" i="1" s="1"/>
  <c r="L100" i="1"/>
  <c r="G102" i="1"/>
  <c r="H101" i="1"/>
  <c r="I101" i="1" s="1"/>
  <c r="K101" i="1" s="1"/>
  <c r="N100" i="1" l="1"/>
  <c r="J100" i="1"/>
  <c r="M101" i="1" s="1"/>
  <c r="L101" i="1"/>
  <c r="G103" i="1"/>
  <c r="H102" i="1"/>
  <c r="I102" i="1" s="1"/>
  <c r="K102" i="1" s="1"/>
  <c r="N101" i="1" l="1"/>
  <c r="J101" i="1"/>
  <c r="M102" i="1" s="1"/>
  <c r="L102" i="1"/>
  <c r="G104" i="1"/>
  <c r="H103" i="1"/>
  <c r="I103" i="1" s="1"/>
  <c r="K103" i="1" s="1"/>
  <c r="N102" i="1" l="1"/>
  <c r="J102" i="1"/>
  <c r="M103" i="1" s="1"/>
  <c r="L103" i="1"/>
  <c r="G105" i="1"/>
  <c r="H104" i="1"/>
  <c r="I104" i="1" s="1"/>
  <c r="K104" i="1" s="1"/>
  <c r="N103" i="1" l="1"/>
  <c r="J103" i="1"/>
  <c r="M104" i="1" s="1"/>
  <c r="L104" i="1"/>
  <c r="G106" i="1"/>
  <c r="H105" i="1"/>
  <c r="I105" i="1" s="1"/>
  <c r="K105" i="1" s="1"/>
  <c r="N104" i="1" l="1"/>
  <c r="J104" i="1"/>
  <c r="M105" i="1" s="1"/>
  <c r="L105" i="1"/>
  <c r="G107" i="1"/>
  <c r="H106" i="1"/>
  <c r="I106" i="1" s="1"/>
  <c r="K106" i="1" s="1"/>
  <c r="N105" i="1" l="1"/>
  <c r="J105" i="1"/>
  <c r="M106" i="1" s="1"/>
  <c r="L106" i="1"/>
  <c r="G108" i="1"/>
  <c r="H107" i="1"/>
  <c r="I107" i="1" s="1"/>
  <c r="K107" i="1" s="1"/>
  <c r="N106" i="1" l="1"/>
  <c r="J106" i="1"/>
  <c r="M107" i="1" s="1"/>
  <c r="L107" i="1"/>
  <c r="G109" i="1"/>
  <c r="H108" i="1"/>
  <c r="I108" i="1" s="1"/>
  <c r="K108" i="1" s="1"/>
  <c r="N107" i="1" l="1"/>
  <c r="J107" i="1"/>
  <c r="M108" i="1" s="1"/>
  <c r="L108" i="1"/>
  <c r="G110" i="1"/>
  <c r="H109" i="1"/>
  <c r="I109" i="1" s="1"/>
  <c r="K109" i="1" s="1"/>
  <c r="N108" i="1" l="1"/>
  <c r="J108" i="1"/>
  <c r="M109" i="1" s="1"/>
  <c r="L109" i="1"/>
  <c r="G111" i="1"/>
  <c r="H110" i="1"/>
  <c r="I110" i="1" s="1"/>
  <c r="K110" i="1" s="1"/>
  <c r="N109" i="1" l="1"/>
  <c r="J109" i="1"/>
  <c r="M110" i="1" s="1"/>
  <c r="L110" i="1"/>
  <c r="G112" i="1"/>
  <c r="H111" i="1"/>
  <c r="I111" i="1" s="1"/>
  <c r="K111" i="1" s="1"/>
  <c r="N110" i="1" l="1"/>
  <c r="J110" i="1"/>
  <c r="M111" i="1" s="1"/>
  <c r="L111" i="1"/>
  <c r="G113" i="1"/>
  <c r="H112" i="1"/>
  <c r="I112" i="1" s="1"/>
  <c r="K112" i="1" s="1"/>
  <c r="N111" i="1" l="1"/>
  <c r="J111" i="1"/>
  <c r="M112" i="1" s="1"/>
  <c r="L112" i="1"/>
  <c r="G114" i="1"/>
  <c r="H113" i="1"/>
  <c r="I113" i="1" s="1"/>
  <c r="K113" i="1" s="1"/>
  <c r="N112" i="1" l="1"/>
  <c r="J112" i="1"/>
  <c r="M113" i="1" s="1"/>
  <c r="L113" i="1"/>
  <c r="G115" i="1"/>
  <c r="H114" i="1"/>
  <c r="I114" i="1" s="1"/>
  <c r="K114" i="1" s="1"/>
  <c r="N113" i="1" l="1"/>
  <c r="J113" i="1"/>
  <c r="M114" i="1" s="1"/>
  <c r="L114" i="1"/>
  <c r="G116" i="1"/>
  <c r="H115" i="1"/>
  <c r="I115" i="1" s="1"/>
  <c r="K115" i="1" s="1"/>
  <c r="N114" i="1" l="1"/>
  <c r="J114" i="1"/>
  <c r="M115" i="1" s="1"/>
  <c r="L115" i="1"/>
  <c r="G117" i="1"/>
  <c r="H116" i="1"/>
  <c r="I116" i="1" s="1"/>
  <c r="K116" i="1" s="1"/>
  <c r="N115" i="1" l="1"/>
  <c r="J115" i="1"/>
  <c r="M116" i="1" s="1"/>
  <c r="L116" i="1"/>
  <c r="G118" i="1"/>
  <c r="H117" i="1"/>
  <c r="I117" i="1" s="1"/>
  <c r="K117" i="1" s="1"/>
  <c r="N116" i="1" l="1"/>
  <c r="J116" i="1"/>
  <c r="M117" i="1" s="1"/>
  <c r="L117" i="1"/>
  <c r="G119" i="1"/>
  <c r="H118" i="1"/>
  <c r="I118" i="1" s="1"/>
  <c r="K118" i="1" s="1"/>
  <c r="N117" i="1" l="1"/>
  <c r="J117" i="1"/>
  <c r="M118" i="1" s="1"/>
  <c r="L118" i="1"/>
  <c r="G120" i="1"/>
  <c r="H119" i="1"/>
  <c r="I119" i="1" s="1"/>
  <c r="K119" i="1" s="1"/>
  <c r="N118" i="1" l="1"/>
  <c r="J118" i="1"/>
  <c r="M119" i="1" s="1"/>
  <c r="L119" i="1"/>
  <c r="G121" i="1"/>
  <c r="H120" i="1"/>
  <c r="I120" i="1" s="1"/>
  <c r="K120" i="1" s="1"/>
  <c r="N119" i="1" l="1"/>
  <c r="J119" i="1"/>
  <c r="M120" i="1" s="1"/>
  <c r="L120" i="1"/>
  <c r="G122" i="1"/>
  <c r="H121" i="1"/>
  <c r="I121" i="1" s="1"/>
  <c r="K121" i="1" s="1"/>
  <c r="N120" i="1" l="1"/>
  <c r="J120" i="1"/>
  <c r="M121" i="1" s="1"/>
  <c r="L121" i="1"/>
  <c r="G123" i="1"/>
  <c r="H122" i="1"/>
  <c r="I122" i="1" s="1"/>
  <c r="K122" i="1" s="1"/>
  <c r="N121" i="1" l="1"/>
  <c r="J121" i="1"/>
  <c r="M122" i="1" s="1"/>
  <c r="L122" i="1"/>
  <c r="G124" i="1"/>
  <c r="H123" i="1"/>
  <c r="I123" i="1" s="1"/>
  <c r="K123" i="1" s="1"/>
  <c r="N122" i="1" l="1"/>
  <c r="J122" i="1"/>
  <c r="M123" i="1" s="1"/>
  <c r="L123" i="1"/>
  <c r="G125" i="1"/>
  <c r="H124" i="1"/>
  <c r="I124" i="1" s="1"/>
  <c r="K124" i="1" s="1"/>
  <c r="N123" i="1" l="1"/>
  <c r="J123" i="1"/>
  <c r="M124" i="1" s="1"/>
  <c r="L124" i="1"/>
  <c r="G126" i="1"/>
  <c r="H125" i="1"/>
  <c r="I125" i="1" s="1"/>
  <c r="K125" i="1" s="1"/>
  <c r="N124" i="1" l="1"/>
  <c r="J124" i="1"/>
  <c r="M125" i="1" s="1"/>
  <c r="L125" i="1"/>
  <c r="G127" i="1"/>
  <c r="H126" i="1"/>
  <c r="I126" i="1" s="1"/>
  <c r="K126" i="1" s="1"/>
  <c r="N125" i="1" l="1"/>
  <c r="J125" i="1"/>
  <c r="M126" i="1" s="1"/>
  <c r="L126" i="1"/>
  <c r="G128" i="1"/>
  <c r="H127" i="1"/>
  <c r="I127" i="1" s="1"/>
  <c r="K127" i="1" s="1"/>
  <c r="N126" i="1" l="1"/>
  <c r="J126" i="1"/>
  <c r="M127" i="1" s="1"/>
  <c r="L127" i="1"/>
  <c r="G129" i="1"/>
  <c r="H128" i="1"/>
  <c r="I128" i="1" s="1"/>
  <c r="K128" i="1" s="1"/>
  <c r="N127" i="1" l="1"/>
  <c r="J127" i="1"/>
  <c r="M128" i="1" s="1"/>
  <c r="L128" i="1"/>
  <c r="G130" i="1"/>
  <c r="H129" i="1"/>
  <c r="I129" i="1" s="1"/>
  <c r="K129" i="1" s="1"/>
  <c r="N128" i="1" l="1"/>
  <c r="J128" i="1"/>
  <c r="M129" i="1" s="1"/>
  <c r="L129" i="1"/>
  <c r="G131" i="1"/>
  <c r="H130" i="1"/>
  <c r="I130" i="1" s="1"/>
  <c r="K130" i="1" s="1"/>
  <c r="N129" i="1" l="1"/>
  <c r="J129" i="1"/>
  <c r="M130" i="1" s="1"/>
  <c r="L130" i="1"/>
  <c r="G132" i="1"/>
  <c r="H131" i="1"/>
  <c r="I131" i="1" s="1"/>
  <c r="K131" i="1" s="1"/>
  <c r="N130" i="1" l="1"/>
  <c r="J130" i="1"/>
  <c r="M131" i="1" s="1"/>
  <c r="L131" i="1"/>
  <c r="G133" i="1"/>
  <c r="H132" i="1"/>
  <c r="I132" i="1" s="1"/>
  <c r="K132" i="1" s="1"/>
  <c r="N131" i="1" l="1"/>
  <c r="J131" i="1"/>
  <c r="M132" i="1" s="1"/>
  <c r="L132" i="1"/>
  <c r="G134" i="1"/>
  <c r="H133" i="1"/>
  <c r="I133" i="1" s="1"/>
  <c r="K133" i="1" s="1"/>
  <c r="N132" i="1" l="1"/>
  <c r="J132" i="1"/>
  <c r="M133" i="1" s="1"/>
  <c r="L133" i="1"/>
  <c r="G135" i="1"/>
  <c r="H134" i="1"/>
  <c r="I134" i="1" s="1"/>
  <c r="K134" i="1" s="1"/>
  <c r="N133" i="1" l="1"/>
  <c r="J133" i="1"/>
  <c r="M134" i="1" s="1"/>
  <c r="L134" i="1"/>
  <c r="G136" i="1"/>
  <c r="H135" i="1"/>
  <c r="I135" i="1" s="1"/>
  <c r="K135" i="1" s="1"/>
  <c r="N134" i="1" l="1"/>
  <c r="J134" i="1"/>
  <c r="M135" i="1" s="1"/>
  <c r="L135" i="1"/>
  <c r="G137" i="1"/>
  <c r="H136" i="1"/>
  <c r="I136" i="1" s="1"/>
  <c r="K136" i="1" s="1"/>
  <c r="N135" i="1" l="1"/>
  <c r="J135" i="1"/>
  <c r="M136" i="1" s="1"/>
  <c r="L136" i="1"/>
  <c r="G138" i="1"/>
  <c r="H137" i="1"/>
  <c r="I137" i="1" s="1"/>
  <c r="K137" i="1" s="1"/>
  <c r="N136" i="1" l="1"/>
  <c r="J136" i="1"/>
  <c r="M137" i="1" s="1"/>
  <c r="L137" i="1"/>
  <c r="G139" i="1"/>
  <c r="H138" i="1"/>
  <c r="I138" i="1" s="1"/>
  <c r="K138" i="1" s="1"/>
  <c r="N137" i="1" l="1"/>
  <c r="J137" i="1"/>
  <c r="M138" i="1" s="1"/>
  <c r="L138" i="1"/>
  <c r="G140" i="1"/>
  <c r="H139" i="1"/>
  <c r="I139" i="1" s="1"/>
  <c r="K139" i="1" s="1"/>
  <c r="N138" i="1" l="1"/>
  <c r="J138" i="1"/>
  <c r="M139" i="1" s="1"/>
  <c r="L139" i="1"/>
  <c r="G141" i="1"/>
  <c r="H140" i="1"/>
  <c r="I140" i="1" s="1"/>
  <c r="K140" i="1" s="1"/>
  <c r="N139" i="1" l="1"/>
  <c r="J139" i="1"/>
  <c r="M140" i="1" s="1"/>
  <c r="L140" i="1"/>
  <c r="G142" i="1"/>
  <c r="H141" i="1"/>
  <c r="I141" i="1" s="1"/>
  <c r="K141" i="1" s="1"/>
  <c r="N140" i="1" l="1"/>
  <c r="J140" i="1"/>
  <c r="M141" i="1" s="1"/>
  <c r="L141" i="1"/>
  <c r="G143" i="1"/>
  <c r="H142" i="1"/>
  <c r="I142" i="1" s="1"/>
  <c r="K142" i="1" s="1"/>
  <c r="N141" i="1" l="1"/>
  <c r="J141" i="1"/>
  <c r="M142" i="1" s="1"/>
  <c r="L142" i="1"/>
  <c r="G144" i="1"/>
  <c r="H143" i="1"/>
  <c r="I143" i="1" s="1"/>
  <c r="K143" i="1" s="1"/>
  <c r="N142" i="1" l="1"/>
  <c r="J142" i="1"/>
  <c r="M143" i="1" s="1"/>
  <c r="L143" i="1"/>
  <c r="G145" i="1"/>
  <c r="H144" i="1"/>
  <c r="I144" i="1" s="1"/>
  <c r="K144" i="1" s="1"/>
  <c r="N143" i="1" l="1"/>
  <c r="J143" i="1"/>
  <c r="M144" i="1" s="1"/>
  <c r="L144" i="1"/>
  <c r="G146" i="1"/>
  <c r="H145" i="1"/>
  <c r="I145" i="1" s="1"/>
  <c r="K145" i="1" s="1"/>
  <c r="N144" i="1" l="1"/>
  <c r="J144" i="1"/>
  <c r="M145" i="1" s="1"/>
  <c r="L145" i="1"/>
  <c r="G147" i="1"/>
  <c r="H146" i="1"/>
  <c r="I146" i="1" s="1"/>
  <c r="K146" i="1" s="1"/>
  <c r="N145" i="1" l="1"/>
  <c r="J145" i="1"/>
  <c r="M146" i="1" s="1"/>
  <c r="L146" i="1"/>
  <c r="G148" i="1"/>
  <c r="H147" i="1"/>
  <c r="I147" i="1" s="1"/>
  <c r="K147" i="1" s="1"/>
  <c r="N146" i="1" l="1"/>
  <c r="J146" i="1"/>
  <c r="M147" i="1" s="1"/>
  <c r="L147" i="1"/>
  <c r="G149" i="1"/>
  <c r="H148" i="1"/>
  <c r="I148" i="1" s="1"/>
  <c r="K148" i="1" s="1"/>
  <c r="N147" i="1" l="1"/>
  <c r="J147" i="1"/>
  <c r="M148" i="1" s="1"/>
  <c r="L148" i="1"/>
  <c r="G150" i="1"/>
  <c r="H149" i="1"/>
  <c r="I149" i="1" s="1"/>
  <c r="K149" i="1" s="1"/>
  <c r="N148" i="1" l="1"/>
  <c r="J148" i="1"/>
  <c r="M149" i="1" s="1"/>
  <c r="L149" i="1"/>
  <c r="G151" i="1"/>
  <c r="H150" i="1"/>
  <c r="I150" i="1" s="1"/>
  <c r="K150" i="1" s="1"/>
  <c r="N149" i="1" l="1"/>
  <c r="J149" i="1"/>
  <c r="M150" i="1" s="1"/>
  <c r="L150" i="1"/>
  <c r="G152" i="1"/>
  <c r="H151" i="1"/>
  <c r="I151" i="1" s="1"/>
  <c r="K151" i="1" s="1"/>
  <c r="N150" i="1" l="1"/>
  <c r="J150" i="1"/>
  <c r="M151" i="1" s="1"/>
  <c r="L151" i="1"/>
  <c r="G153" i="1"/>
  <c r="H152" i="1"/>
  <c r="I152" i="1" s="1"/>
  <c r="K152" i="1" s="1"/>
  <c r="N151" i="1" l="1"/>
  <c r="J151" i="1"/>
  <c r="M152" i="1" s="1"/>
  <c r="L152" i="1"/>
  <c r="G154" i="1"/>
  <c r="H153" i="1"/>
  <c r="I153" i="1" s="1"/>
  <c r="K153" i="1" s="1"/>
  <c r="N152" i="1" l="1"/>
  <c r="J152" i="1"/>
  <c r="M153" i="1" s="1"/>
  <c r="L153" i="1"/>
  <c r="G155" i="1"/>
  <c r="H154" i="1"/>
  <c r="I154" i="1" s="1"/>
  <c r="K154" i="1" s="1"/>
  <c r="N153" i="1" l="1"/>
  <c r="J153" i="1"/>
  <c r="M154" i="1" s="1"/>
  <c r="L154" i="1"/>
  <c r="G156" i="1"/>
  <c r="H155" i="1"/>
  <c r="I155" i="1" s="1"/>
  <c r="K155" i="1" s="1"/>
  <c r="N154" i="1" l="1"/>
  <c r="J154" i="1"/>
  <c r="M155" i="1" s="1"/>
  <c r="L155" i="1"/>
  <c r="G157" i="1"/>
  <c r="H156" i="1"/>
  <c r="I156" i="1" s="1"/>
  <c r="K156" i="1" s="1"/>
  <c r="N155" i="1" l="1"/>
  <c r="J155" i="1"/>
  <c r="M156" i="1" s="1"/>
  <c r="L156" i="1"/>
  <c r="G158" i="1"/>
  <c r="H157" i="1"/>
  <c r="I157" i="1" s="1"/>
  <c r="K157" i="1" s="1"/>
  <c r="N156" i="1" l="1"/>
  <c r="J156" i="1"/>
  <c r="M157" i="1" s="1"/>
  <c r="L157" i="1"/>
  <c r="G159" i="1"/>
  <c r="H158" i="1"/>
  <c r="I158" i="1" s="1"/>
  <c r="K158" i="1" s="1"/>
  <c r="N157" i="1" l="1"/>
  <c r="J157" i="1"/>
  <c r="M158" i="1" s="1"/>
  <c r="L158" i="1"/>
  <c r="G160" i="1"/>
  <c r="H159" i="1"/>
  <c r="I159" i="1" s="1"/>
  <c r="K159" i="1" s="1"/>
  <c r="N158" i="1" l="1"/>
  <c r="J158" i="1"/>
  <c r="M159" i="1" s="1"/>
  <c r="L159" i="1"/>
  <c r="G161" i="1"/>
  <c r="H160" i="1"/>
  <c r="I160" i="1" s="1"/>
  <c r="K160" i="1" s="1"/>
  <c r="N159" i="1" l="1"/>
  <c r="J159" i="1"/>
  <c r="M160" i="1" s="1"/>
  <c r="L160" i="1"/>
  <c r="G162" i="1"/>
  <c r="H161" i="1"/>
  <c r="I161" i="1" s="1"/>
  <c r="K161" i="1" s="1"/>
  <c r="N160" i="1" l="1"/>
  <c r="J160" i="1"/>
  <c r="M161" i="1" s="1"/>
  <c r="L161" i="1"/>
  <c r="G163" i="1"/>
  <c r="H162" i="1"/>
  <c r="I162" i="1" s="1"/>
  <c r="K162" i="1" s="1"/>
  <c r="N161" i="1" l="1"/>
  <c r="J161" i="1"/>
  <c r="M162" i="1" s="1"/>
  <c r="L162" i="1"/>
  <c r="G164" i="1"/>
  <c r="H163" i="1"/>
  <c r="I163" i="1" s="1"/>
  <c r="K163" i="1" s="1"/>
  <c r="N162" i="1" l="1"/>
  <c r="J162" i="1"/>
  <c r="M163" i="1" s="1"/>
  <c r="L163" i="1"/>
  <c r="G165" i="1"/>
  <c r="H164" i="1"/>
  <c r="I164" i="1" s="1"/>
  <c r="K164" i="1" s="1"/>
  <c r="N163" i="1" l="1"/>
  <c r="J163" i="1"/>
  <c r="M164" i="1" s="1"/>
  <c r="L164" i="1"/>
  <c r="G166" i="1"/>
  <c r="H165" i="1"/>
  <c r="I165" i="1" s="1"/>
  <c r="K165" i="1" s="1"/>
  <c r="N164" i="1" l="1"/>
  <c r="J164" i="1"/>
  <c r="M165" i="1" s="1"/>
  <c r="L165" i="1"/>
  <c r="G167" i="1"/>
  <c r="H166" i="1"/>
  <c r="I166" i="1" s="1"/>
  <c r="K166" i="1" s="1"/>
  <c r="N165" i="1" l="1"/>
  <c r="J165" i="1"/>
  <c r="M166" i="1" s="1"/>
  <c r="L166" i="1"/>
  <c r="G168" i="1"/>
  <c r="H167" i="1"/>
  <c r="I167" i="1" s="1"/>
  <c r="K167" i="1" s="1"/>
  <c r="J166" i="1" l="1"/>
  <c r="M167" i="1" s="1"/>
  <c r="N166" i="1"/>
  <c r="L167" i="1"/>
  <c r="G169" i="1"/>
  <c r="H168" i="1"/>
  <c r="I168" i="1" s="1"/>
  <c r="K168" i="1" s="1"/>
  <c r="N167" i="1" l="1"/>
  <c r="J167" i="1"/>
  <c r="M168" i="1" s="1"/>
  <c r="L168" i="1"/>
  <c r="G170" i="1"/>
  <c r="H169" i="1"/>
  <c r="I169" i="1" s="1"/>
  <c r="K169" i="1" s="1"/>
  <c r="N168" i="1" l="1"/>
  <c r="J168" i="1"/>
  <c r="M169" i="1" s="1"/>
  <c r="L169" i="1"/>
  <c r="G171" i="1"/>
  <c r="H170" i="1"/>
  <c r="I170" i="1" s="1"/>
  <c r="K170" i="1" s="1"/>
  <c r="N169" i="1" l="1"/>
  <c r="J169" i="1"/>
  <c r="M170" i="1" s="1"/>
  <c r="L170" i="1"/>
  <c r="G172" i="1"/>
  <c r="H171" i="1"/>
  <c r="I171" i="1" s="1"/>
  <c r="K171" i="1" s="1"/>
  <c r="N170" i="1" l="1"/>
  <c r="J170" i="1"/>
  <c r="M171" i="1" s="1"/>
  <c r="L171" i="1"/>
  <c r="G173" i="1"/>
  <c r="H172" i="1"/>
  <c r="I172" i="1" s="1"/>
  <c r="K172" i="1" s="1"/>
  <c r="N171" i="1" l="1"/>
  <c r="J171" i="1"/>
  <c r="M172" i="1" s="1"/>
  <c r="L172" i="1"/>
  <c r="G174" i="1"/>
  <c r="H173" i="1"/>
  <c r="I173" i="1" s="1"/>
  <c r="K173" i="1" s="1"/>
  <c r="J172" i="1" l="1"/>
  <c r="M173" i="1" s="1"/>
  <c r="N172" i="1"/>
  <c r="L173" i="1"/>
  <c r="G175" i="1"/>
  <c r="H174" i="1"/>
  <c r="I174" i="1" s="1"/>
  <c r="K174" i="1" s="1"/>
  <c r="N173" i="1" l="1"/>
  <c r="J173" i="1"/>
  <c r="M174" i="1" s="1"/>
  <c r="L174" i="1"/>
  <c r="G176" i="1"/>
  <c r="H175" i="1"/>
  <c r="I175" i="1" s="1"/>
  <c r="K175" i="1" s="1"/>
  <c r="N174" i="1" l="1"/>
  <c r="J174" i="1"/>
  <c r="M175" i="1" s="1"/>
  <c r="L175" i="1"/>
  <c r="G177" i="1"/>
  <c r="H176" i="1"/>
  <c r="I176" i="1" s="1"/>
  <c r="K176" i="1" s="1"/>
  <c r="N175" i="1" l="1"/>
  <c r="J175" i="1"/>
  <c r="M176" i="1" s="1"/>
  <c r="L176" i="1"/>
  <c r="G178" i="1"/>
  <c r="H177" i="1"/>
  <c r="I177" i="1" s="1"/>
  <c r="K177" i="1" s="1"/>
  <c r="J176" i="1" l="1"/>
  <c r="M177" i="1" s="1"/>
  <c r="N176" i="1"/>
  <c r="L177" i="1"/>
  <c r="G179" i="1"/>
  <c r="H178" i="1"/>
  <c r="I178" i="1" s="1"/>
  <c r="K178" i="1" s="1"/>
  <c r="N177" i="1" l="1"/>
  <c r="J177" i="1"/>
  <c r="M178" i="1" s="1"/>
  <c r="L178" i="1"/>
  <c r="G180" i="1"/>
  <c r="H179" i="1"/>
  <c r="I179" i="1" s="1"/>
  <c r="K179" i="1" s="1"/>
  <c r="N178" i="1" l="1"/>
  <c r="J178" i="1"/>
  <c r="M179" i="1" s="1"/>
  <c r="L179" i="1"/>
  <c r="G181" i="1"/>
  <c r="H180" i="1"/>
  <c r="I180" i="1" s="1"/>
  <c r="K180" i="1" s="1"/>
  <c r="N179" i="1" l="1"/>
  <c r="J179" i="1"/>
  <c r="M180" i="1" s="1"/>
  <c r="L180" i="1"/>
  <c r="G182" i="1"/>
  <c r="H181" i="1"/>
  <c r="I181" i="1" s="1"/>
  <c r="K181" i="1" s="1"/>
  <c r="N180" i="1" l="1"/>
  <c r="J180" i="1"/>
  <c r="M181" i="1" s="1"/>
  <c r="L181" i="1"/>
  <c r="G183" i="1"/>
  <c r="H182" i="1"/>
  <c r="I182" i="1" s="1"/>
  <c r="K182" i="1" s="1"/>
  <c r="N181" i="1" l="1"/>
  <c r="J181" i="1"/>
  <c r="M182" i="1" s="1"/>
  <c r="L182" i="1"/>
  <c r="G184" i="1"/>
  <c r="H183" i="1"/>
  <c r="I183" i="1" s="1"/>
  <c r="K183" i="1" s="1"/>
  <c r="N182" i="1" l="1"/>
  <c r="J182" i="1"/>
  <c r="M183" i="1" s="1"/>
  <c r="L183" i="1"/>
  <c r="G185" i="1"/>
  <c r="H184" i="1"/>
  <c r="I184" i="1" s="1"/>
  <c r="K184" i="1" s="1"/>
  <c r="N183" i="1" l="1"/>
  <c r="J183" i="1"/>
  <c r="M184" i="1" s="1"/>
  <c r="L184" i="1"/>
  <c r="G186" i="1"/>
  <c r="H185" i="1"/>
  <c r="I185" i="1" s="1"/>
  <c r="K185" i="1" s="1"/>
  <c r="N184" i="1" l="1"/>
  <c r="J184" i="1"/>
  <c r="M185" i="1" s="1"/>
  <c r="L185" i="1"/>
  <c r="G187" i="1"/>
  <c r="H186" i="1"/>
  <c r="I186" i="1" s="1"/>
  <c r="K186" i="1" s="1"/>
  <c r="N185" i="1" l="1"/>
  <c r="J185" i="1"/>
  <c r="M186" i="1" s="1"/>
  <c r="L186" i="1"/>
  <c r="G188" i="1"/>
  <c r="H187" i="1"/>
  <c r="I187" i="1" s="1"/>
  <c r="K187" i="1" s="1"/>
  <c r="N186" i="1" l="1"/>
  <c r="J186" i="1"/>
  <c r="M187" i="1" s="1"/>
  <c r="L187" i="1"/>
  <c r="G189" i="1"/>
  <c r="H188" i="1"/>
  <c r="I188" i="1" s="1"/>
  <c r="K188" i="1" s="1"/>
  <c r="N187" i="1" l="1"/>
  <c r="J187" i="1"/>
  <c r="M188" i="1" s="1"/>
  <c r="L188" i="1"/>
  <c r="G190" i="1"/>
  <c r="H189" i="1"/>
  <c r="I189" i="1" s="1"/>
  <c r="K189" i="1" s="1"/>
  <c r="N188" i="1" l="1"/>
  <c r="J188" i="1"/>
  <c r="M189" i="1" s="1"/>
  <c r="L189" i="1"/>
  <c r="G191" i="1"/>
  <c r="H190" i="1"/>
  <c r="I190" i="1" s="1"/>
  <c r="K190" i="1" s="1"/>
  <c r="N189" i="1" l="1"/>
  <c r="J189" i="1"/>
  <c r="M190" i="1" s="1"/>
  <c r="L190" i="1"/>
  <c r="G192" i="1"/>
  <c r="H191" i="1"/>
  <c r="I191" i="1" s="1"/>
  <c r="K191" i="1" s="1"/>
  <c r="N190" i="1" l="1"/>
  <c r="J190" i="1"/>
  <c r="M191" i="1" s="1"/>
  <c r="L191" i="1"/>
  <c r="G193" i="1"/>
  <c r="H192" i="1"/>
  <c r="I192" i="1" s="1"/>
  <c r="K192" i="1" s="1"/>
  <c r="N191" i="1" l="1"/>
  <c r="J191" i="1"/>
  <c r="M192" i="1" s="1"/>
  <c r="L192" i="1"/>
  <c r="G194" i="1"/>
  <c r="H193" i="1"/>
  <c r="I193" i="1" s="1"/>
  <c r="K193" i="1" s="1"/>
  <c r="N192" i="1" l="1"/>
  <c r="J192" i="1"/>
  <c r="M193" i="1" s="1"/>
  <c r="L193" i="1"/>
  <c r="G195" i="1"/>
  <c r="H194" i="1"/>
  <c r="I194" i="1" s="1"/>
  <c r="K194" i="1" s="1"/>
  <c r="N193" i="1" l="1"/>
  <c r="J193" i="1"/>
  <c r="M194" i="1" s="1"/>
  <c r="L194" i="1"/>
  <c r="G196" i="1"/>
  <c r="H195" i="1"/>
  <c r="I195" i="1" s="1"/>
  <c r="K195" i="1" s="1"/>
  <c r="N194" i="1" l="1"/>
  <c r="J194" i="1"/>
  <c r="M195" i="1" s="1"/>
  <c r="L195" i="1"/>
  <c r="G197" i="1"/>
  <c r="H196" i="1"/>
  <c r="I196" i="1" s="1"/>
  <c r="K196" i="1" s="1"/>
  <c r="N195" i="1" l="1"/>
  <c r="J195" i="1"/>
  <c r="M196" i="1" s="1"/>
  <c r="L196" i="1"/>
  <c r="G198" i="1"/>
  <c r="H197" i="1"/>
  <c r="I197" i="1" s="1"/>
  <c r="K197" i="1" s="1"/>
  <c r="N196" i="1" l="1"/>
  <c r="J196" i="1"/>
  <c r="M197" i="1" s="1"/>
  <c r="L197" i="1"/>
  <c r="G199" i="1"/>
  <c r="H198" i="1"/>
  <c r="I198" i="1" s="1"/>
  <c r="K198" i="1" s="1"/>
  <c r="N197" i="1" l="1"/>
  <c r="J197" i="1"/>
  <c r="M198" i="1" s="1"/>
  <c r="L198" i="1"/>
  <c r="G200" i="1"/>
  <c r="H199" i="1"/>
  <c r="I199" i="1" s="1"/>
  <c r="K199" i="1" s="1"/>
  <c r="N198" i="1" l="1"/>
  <c r="J198" i="1"/>
  <c r="M199" i="1" s="1"/>
  <c r="L199" i="1"/>
  <c r="G201" i="1"/>
  <c r="H200" i="1"/>
  <c r="I200" i="1" s="1"/>
  <c r="K200" i="1" s="1"/>
  <c r="N199" i="1" l="1"/>
  <c r="J199" i="1"/>
  <c r="M200" i="1" s="1"/>
  <c r="L200" i="1"/>
  <c r="G202" i="1"/>
  <c r="H201" i="1"/>
  <c r="I201" i="1" s="1"/>
  <c r="K201" i="1" s="1"/>
  <c r="N200" i="1" l="1"/>
  <c r="J200" i="1"/>
  <c r="M201" i="1" s="1"/>
  <c r="L201" i="1"/>
  <c r="G203" i="1"/>
  <c r="H202" i="1"/>
  <c r="I202" i="1" s="1"/>
  <c r="K202" i="1" s="1"/>
  <c r="N201" i="1" l="1"/>
  <c r="J201" i="1"/>
  <c r="M202" i="1" s="1"/>
  <c r="L202" i="1"/>
  <c r="G204" i="1"/>
  <c r="H203" i="1"/>
  <c r="I203" i="1" s="1"/>
  <c r="K203" i="1" s="1"/>
  <c r="N202" i="1" l="1"/>
  <c r="J202" i="1"/>
  <c r="M203" i="1" s="1"/>
  <c r="L203" i="1"/>
  <c r="G205" i="1"/>
  <c r="H204" i="1"/>
  <c r="I204" i="1" s="1"/>
  <c r="K204" i="1" s="1"/>
  <c r="N203" i="1" l="1"/>
  <c r="J203" i="1"/>
  <c r="M204" i="1" s="1"/>
  <c r="L204" i="1"/>
  <c r="G206" i="1"/>
  <c r="H205" i="1"/>
  <c r="I205" i="1" s="1"/>
  <c r="K205" i="1" s="1"/>
  <c r="N204" i="1" l="1"/>
  <c r="J204" i="1"/>
  <c r="M205" i="1" s="1"/>
  <c r="L205" i="1"/>
  <c r="G207" i="1"/>
  <c r="H206" i="1"/>
  <c r="I206" i="1" s="1"/>
  <c r="K206" i="1" s="1"/>
  <c r="N205" i="1" l="1"/>
  <c r="J205" i="1"/>
  <c r="M206" i="1" s="1"/>
  <c r="L206" i="1"/>
  <c r="G208" i="1"/>
  <c r="H207" i="1"/>
  <c r="I207" i="1" s="1"/>
  <c r="K207" i="1" s="1"/>
  <c r="N206" i="1" l="1"/>
  <c r="J206" i="1"/>
  <c r="M207" i="1" s="1"/>
  <c r="L207" i="1"/>
  <c r="G209" i="1"/>
  <c r="H208" i="1"/>
  <c r="I208" i="1" s="1"/>
  <c r="K208" i="1" s="1"/>
  <c r="N207" i="1" l="1"/>
  <c r="J207" i="1"/>
  <c r="M208" i="1" s="1"/>
  <c r="L208" i="1"/>
  <c r="G210" i="1"/>
  <c r="H209" i="1"/>
  <c r="I209" i="1" s="1"/>
  <c r="K209" i="1" s="1"/>
  <c r="N208" i="1" l="1"/>
  <c r="J208" i="1"/>
  <c r="M209" i="1" s="1"/>
  <c r="L209" i="1"/>
  <c r="G211" i="1"/>
  <c r="H210" i="1"/>
  <c r="I210" i="1" s="1"/>
  <c r="K210" i="1" s="1"/>
  <c r="N209" i="1" l="1"/>
  <c r="J209" i="1"/>
  <c r="M210" i="1" s="1"/>
  <c r="L210" i="1"/>
  <c r="G212" i="1"/>
  <c r="H211" i="1"/>
  <c r="I211" i="1" s="1"/>
  <c r="K211" i="1" s="1"/>
  <c r="N210" i="1" l="1"/>
  <c r="J210" i="1"/>
  <c r="M211" i="1" s="1"/>
  <c r="L211" i="1"/>
  <c r="G213" i="1"/>
  <c r="H212" i="1"/>
  <c r="I212" i="1" s="1"/>
  <c r="K212" i="1" s="1"/>
  <c r="N211" i="1" l="1"/>
  <c r="J211" i="1"/>
  <c r="M212" i="1" s="1"/>
  <c r="L212" i="1"/>
  <c r="G214" i="1"/>
  <c r="H213" i="1"/>
  <c r="I213" i="1" s="1"/>
  <c r="K213" i="1" s="1"/>
  <c r="N212" i="1" l="1"/>
  <c r="J212" i="1"/>
  <c r="M213" i="1" s="1"/>
  <c r="L213" i="1"/>
  <c r="G215" i="1"/>
  <c r="H214" i="1"/>
  <c r="I214" i="1" s="1"/>
  <c r="K214" i="1" s="1"/>
  <c r="N213" i="1" l="1"/>
  <c r="J213" i="1"/>
  <c r="M214" i="1" s="1"/>
  <c r="L214" i="1"/>
  <c r="G216" i="1"/>
  <c r="H215" i="1"/>
  <c r="I215" i="1" s="1"/>
  <c r="K215" i="1" s="1"/>
  <c r="N214" i="1" l="1"/>
  <c r="J214" i="1"/>
  <c r="M215" i="1" s="1"/>
  <c r="L215" i="1"/>
  <c r="G217" i="1"/>
  <c r="H216" i="1"/>
  <c r="I216" i="1" s="1"/>
  <c r="K216" i="1" s="1"/>
  <c r="N215" i="1" l="1"/>
  <c r="J215" i="1"/>
  <c r="M216" i="1" s="1"/>
  <c r="L216" i="1"/>
  <c r="G218" i="1"/>
  <c r="H217" i="1"/>
  <c r="I217" i="1" s="1"/>
  <c r="K217" i="1" s="1"/>
  <c r="N216" i="1" l="1"/>
  <c r="J216" i="1"/>
  <c r="M217" i="1" s="1"/>
  <c r="L217" i="1"/>
  <c r="G219" i="1"/>
  <c r="H218" i="1"/>
  <c r="I218" i="1" s="1"/>
  <c r="K218" i="1" s="1"/>
  <c r="N217" i="1" l="1"/>
  <c r="J217" i="1"/>
  <c r="M218" i="1" s="1"/>
  <c r="L218" i="1"/>
  <c r="G220" i="1"/>
  <c r="H219" i="1"/>
  <c r="I219" i="1" s="1"/>
  <c r="K219" i="1" s="1"/>
  <c r="N218" i="1" l="1"/>
  <c r="J218" i="1"/>
  <c r="M219" i="1" s="1"/>
  <c r="L219" i="1"/>
  <c r="G221" i="1"/>
  <c r="H220" i="1"/>
  <c r="I220" i="1" s="1"/>
  <c r="K220" i="1" s="1"/>
  <c r="N219" i="1" l="1"/>
  <c r="J219" i="1"/>
  <c r="M220" i="1" s="1"/>
  <c r="L220" i="1"/>
  <c r="G222" i="1"/>
  <c r="H221" i="1"/>
  <c r="I221" i="1" s="1"/>
  <c r="K221" i="1" s="1"/>
  <c r="N220" i="1" l="1"/>
  <c r="J220" i="1"/>
  <c r="M221" i="1" s="1"/>
  <c r="L221" i="1"/>
  <c r="G223" i="1"/>
  <c r="H222" i="1"/>
  <c r="I222" i="1" s="1"/>
  <c r="K222" i="1" s="1"/>
  <c r="N221" i="1" l="1"/>
  <c r="J221" i="1"/>
  <c r="M222" i="1" s="1"/>
  <c r="L222" i="1"/>
  <c r="G224" i="1"/>
  <c r="H223" i="1"/>
  <c r="I223" i="1" s="1"/>
  <c r="K223" i="1" s="1"/>
  <c r="N222" i="1" l="1"/>
  <c r="J222" i="1"/>
  <c r="M223" i="1" s="1"/>
  <c r="L223" i="1"/>
  <c r="G225" i="1"/>
  <c r="H224" i="1"/>
  <c r="I224" i="1" s="1"/>
  <c r="K224" i="1" s="1"/>
  <c r="N223" i="1" l="1"/>
  <c r="J223" i="1"/>
  <c r="M224" i="1" s="1"/>
  <c r="L224" i="1"/>
  <c r="G226" i="1"/>
  <c r="H225" i="1"/>
  <c r="I225" i="1" s="1"/>
  <c r="K225" i="1" s="1"/>
  <c r="N224" i="1" l="1"/>
  <c r="J224" i="1"/>
  <c r="M225" i="1" s="1"/>
  <c r="L225" i="1"/>
  <c r="G227" i="1"/>
  <c r="H226" i="1"/>
  <c r="I226" i="1" s="1"/>
  <c r="K226" i="1" s="1"/>
  <c r="N225" i="1" l="1"/>
  <c r="J225" i="1"/>
  <c r="M226" i="1" s="1"/>
  <c r="L226" i="1"/>
  <c r="G228" i="1"/>
  <c r="H227" i="1"/>
  <c r="I227" i="1" s="1"/>
  <c r="K227" i="1" s="1"/>
  <c r="N226" i="1" l="1"/>
  <c r="J226" i="1"/>
  <c r="M227" i="1" s="1"/>
  <c r="L227" i="1"/>
  <c r="G229" i="1"/>
  <c r="H228" i="1"/>
  <c r="I228" i="1" s="1"/>
  <c r="K228" i="1" s="1"/>
  <c r="N227" i="1" l="1"/>
  <c r="J227" i="1"/>
  <c r="M228" i="1" s="1"/>
  <c r="L228" i="1"/>
  <c r="G230" i="1"/>
  <c r="H229" i="1"/>
  <c r="I229" i="1" s="1"/>
  <c r="K229" i="1" s="1"/>
  <c r="N228" i="1" l="1"/>
  <c r="J228" i="1"/>
  <c r="M229" i="1" s="1"/>
  <c r="L229" i="1"/>
  <c r="G231" i="1"/>
  <c r="H230" i="1"/>
  <c r="I230" i="1" s="1"/>
  <c r="K230" i="1" s="1"/>
  <c r="N229" i="1" l="1"/>
  <c r="J229" i="1"/>
  <c r="M230" i="1" s="1"/>
  <c r="L230" i="1"/>
  <c r="G232" i="1"/>
  <c r="H231" i="1"/>
  <c r="I231" i="1" s="1"/>
  <c r="K231" i="1" s="1"/>
  <c r="N230" i="1" l="1"/>
  <c r="J230" i="1"/>
  <c r="M231" i="1" s="1"/>
  <c r="L231" i="1"/>
  <c r="G233" i="1"/>
  <c r="H232" i="1"/>
  <c r="I232" i="1" s="1"/>
  <c r="K232" i="1" s="1"/>
  <c r="N231" i="1" l="1"/>
  <c r="J231" i="1"/>
  <c r="M232" i="1" s="1"/>
  <c r="L232" i="1"/>
  <c r="G234" i="1"/>
  <c r="H233" i="1"/>
  <c r="I233" i="1" s="1"/>
  <c r="K233" i="1" s="1"/>
  <c r="N232" i="1" l="1"/>
  <c r="J232" i="1"/>
  <c r="M233" i="1" s="1"/>
  <c r="L233" i="1"/>
  <c r="G235" i="1"/>
  <c r="H234" i="1"/>
  <c r="I234" i="1" s="1"/>
  <c r="K234" i="1" s="1"/>
  <c r="N233" i="1" l="1"/>
  <c r="J233" i="1"/>
  <c r="M234" i="1" s="1"/>
  <c r="L234" i="1"/>
  <c r="G236" i="1"/>
  <c r="H235" i="1"/>
  <c r="I235" i="1" s="1"/>
  <c r="K235" i="1" s="1"/>
  <c r="N234" i="1" l="1"/>
  <c r="J234" i="1"/>
  <c r="M235" i="1" s="1"/>
  <c r="L235" i="1"/>
  <c r="G237" i="1"/>
  <c r="H236" i="1"/>
  <c r="I236" i="1" s="1"/>
  <c r="K236" i="1" s="1"/>
  <c r="N235" i="1" l="1"/>
  <c r="J235" i="1"/>
  <c r="M236" i="1" s="1"/>
  <c r="L236" i="1"/>
  <c r="G238" i="1"/>
  <c r="H237" i="1"/>
  <c r="I237" i="1" s="1"/>
  <c r="K237" i="1" s="1"/>
  <c r="N236" i="1" l="1"/>
  <c r="J236" i="1"/>
  <c r="M237" i="1" s="1"/>
  <c r="L237" i="1"/>
  <c r="G239" i="1"/>
  <c r="H238" i="1"/>
  <c r="I238" i="1" s="1"/>
  <c r="K238" i="1" s="1"/>
  <c r="N237" i="1" l="1"/>
  <c r="J237" i="1"/>
  <c r="M238" i="1" s="1"/>
  <c r="L238" i="1"/>
  <c r="G240" i="1"/>
  <c r="H239" i="1"/>
  <c r="I239" i="1" s="1"/>
  <c r="K239" i="1" s="1"/>
  <c r="N238" i="1" l="1"/>
  <c r="J238" i="1"/>
  <c r="M239" i="1" s="1"/>
  <c r="L239" i="1"/>
  <c r="G241" i="1"/>
  <c r="H240" i="1"/>
  <c r="I240" i="1" s="1"/>
  <c r="K240" i="1" s="1"/>
  <c r="N239" i="1" l="1"/>
  <c r="J239" i="1"/>
  <c r="M240" i="1" s="1"/>
  <c r="L240" i="1"/>
  <c r="G242" i="1"/>
  <c r="H241" i="1"/>
  <c r="I241" i="1" s="1"/>
  <c r="K241" i="1" s="1"/>
  <c r="N240" i="1" l="1"/>
  <c r="J240" i="1"/>
  <c r="M241" i="1" s="1"/>
  <c r="L241" i="1"/>
  <c r="G243" i="1"/>
  <c r="H242" i="1"/>
  <c r="I242" i="1" s="1"/>
  <c r="K242" i="1" s="1"/>
  <c r="N241" i="1" l="1"/>
  <c r="J241" i="1"/>
  <c r="M242" i="1" s="1"/>
  <c r="L242" i="1"/>
  <c r="G244" i="1"/>
  <c r="H243" i="1"/>
  <c r="I243" i="1" s="1"/>
  <c r="K243" i="1" s="1"/>
  <c r="N242" i="1" l="1"/>
  <c r="J242" i="1"/>
  <c r="M243" i="1" s="1"/>
  <c r="L243" i="1"/>
  <c r="G245" i="1"/>
  <c r="H244" i="1"/>
  <c r="I244" i="1" s="1"/>
  <c r="K244" i="1" s="1"/>
  <c r="N243" i="1" l="1"/>
  <c r="J243" i="1"/>
  <c r="M244" i="1" s="1"/>
  <c r="L244" i="1"/>
  <c r="G246" i="1"/>
  <c r="H245" i="1"/>
  <c r="I245" i="1" s="1"/>
  <c r="K245" i="1" s="1"/>
  <c r="N244" i="1" l="1"/>
  <c r="J244" i="1"/>
  <c r="M245" i="1" s="1"/>
  <c r="L245" i="1"/>
  <c r="G247" i="1"/>
  <c r="H246" i="1"/>
  <c r="I246" i="1" s="1"/>
  <c r="K246" i="1" s="1"/>
  <c r="N245" i="1" l="1"/>
  <c r="J245" i="1"/>
  <c r="M246" i="1" s="1"/>
  <c r="L246" i="1"/>
  <c r="G248" i="1"/>
  <c r="H247" i="1"/>
  <c r="I247" i="1" s="1"/>
  <c r="K247" i="1" s="1"/>
  <c r="N246" i="1" l="1"/>
  <c r="J246" i="1"/>
  <c r="M247" i="1" s="1"/>
  <c r="L247" i="1"/>
  <c r="G249" i="1"/>
  <c r="H248" i="1"/>
  <c r="I248" i="1" s="1"/>
  <c r="K248" i="1" s="1"/>
  <c r="N247" i="1" l="1"/>
  <c r="J247" i="1"/>
  <c r="M248" i="1" s="1"/>
  <c r="L248" i="1"/>
  <c r="G250" i="1"/>
  <c r="H249" i="1"/>
  <c r="I249" i="1" s="1"/>
  <c r="K249" i="1" s="1"/>
  <c r="N248" i="1" l="1"/>
  <c r="J248" i="1"/>
  <c r="M249" i="1" s="1"/>
  <c r="L249" i="1"/>
  <c r="G251" i="1"/>
  <c r="H250" i="1"/>
  <c r="I250" i="1" s="1"/>
  <c r="K250" i="1" s="1"/>
  <c r="N249" i="1" l="1"/>
  <c r="J249" i="1"/>
  <c r="M250" i="1" s="1"/>
  <c r="L250" i="1"/>
  <c r="G252" i="1"/>
  <c r="H251" i="1"/>
  <c r="I251" i="1" s="1"/>
  <c r="K251" i="1" s="1"/>
  <c r="J250" i="1" l="1"/>
  <c r="M251" i="1" s="1"/>
  <c r="N250" i="1"/>
  <c r="L251" i="1"/>
  <c r="G253" i="1"/>
  <c r="H252" i="1"/>
  <c r="I252" i="1" s="1"/>
  <c r="K252" i="1" s="1"/>
  <c r="N251" i="1" l="1"/>
  <c r="J251" i="1"/>
  <c r="M252" i="1" s="1"/>
  <c r="L252" i="1"/>
  <c r="G254" i="1"/>
  <c r="H253" i="1"/>
  <c r="I253" i="1" s="1"/>
  <c r="K253" i="1" s="1"/>
  <c r="N252" i="1" l="1"/>
  <c r="J252" i="1"/>
  <c r="M253" i="1" s="1"/>
  <c r="L253" i="1"/>
  <c r="G255" i="1"/>
  <c r="H254" i="1"/>
  <c r="I254" i="1" s="1"/>
  <c r="K254" i="1" s="1"/>
  <c r="N253" i="1" l="1"/>
  <c r="J253" i="1"/>
  <c r="M254" i="1" s="1"/>
  <c r="L254" i="1"/>
  <c r="G256" i="1"/>
  <c r="H255" i="1"/>
  <c r="I255" i="1" s="1"/>
  <c r="K255" i="1" s="1"/>
  <c r="N254" i="1" l="1"/>
  <c r="J254" i="1"/>
  <c r="M255" i="1" s="1"/>
  <c r="L255" i="1"/>
  <c r="G257" i="1"/>
  <c r="H256" i="1"/>
  <c r="I256" i="1" s="1"/>
  <c r="K256" i="1" s="1"/>
  <c r="N255" i="1" l="1"/>
  <c r="J255" i="1"/>
  <c r="M256" i="1" s="1"/>
  <c r="L256" i="1"/>
  <c r="G258" i="1"/>
  <c r="H257" i="1"/>
  <c r="I257" i="1" s="1"/>
  <c r="K257" i="1" s="1"/>
  <c r="N256" i="1" l="1"/>
  <c r="J256" i="1"/>
  <c r="M257" i="1" s="1"/>
  <c r="L257" i="1"/>
  <c r="G259" i="1"/>
  <c r="H258" i="1"/>
  <c r="I258" i="1" s="1"/>
  <c r="K258" i="1" s="1"/>
  <c r="N257" i="1" l="1"/>
  <c r="J257" i="1"/>
  <c r="M258" i="1" s="1"/>
  <c r="L258" i="1"/>
  <c r="G260" i="1"/>
  <c r="H259" i="1"/>
  <c r="I259" i="1" s="1"/>
  <c r="K259" i="1" s="1"/>
  <c r="N258" i="1" l="1"/>
  <c r="J258" i="1"/>
  <c r="M259" i="1" s="1"/>
  <c r="L259" i="1"/>
  <c r="G261" i="1"/>
  <c r="H260" i="1"/>
  <c r="I260" i="1" s="1"/>
  <c r="K260" i="1" s="1"/>
  <c r="N259" i="1" l="1"/>
  <c r="J259" i="1"/>
  <c r="M260" i="1" s="1"/>
  <c r="L260" i="1"/>
  <c r="G262" i="1"/>
  <c r="H261" i="1"/>
  <c r="I261" i="1" s="1"/>
  <c r="K261" i="1" s="1"/>
  <c r="N260" i="1" l="1"/>
  <c r="J260" i="1"/>
  <c r="M261" i="1" s="1"/>
  <c r="L261" i="1"/>
  <c r="G263" i="1"/>
  <c r="H262" i="1"/>
  <c r="I262" i="1" s="1"/>
  <c r="K262" i="1" s="1"/>
  <c r="N261" i="1" l="1"/>
  <c r="J261" i="1"/>
  <c r="M262" i="1" s="1"/>
  <c r="L262" i="1"/>
  <c r="G264" i="1"/>
  <c r="H263" i="1"/>
  <c r="I263" i="1" s="1"/>
  <c r="K263" i="1" s="1"/>
  <c r="N262" i="1" l="1"/>
  <c r="J262" i="1"/>
  <c r="M263" i="1" s="1"/>
  <c r="L263" i="1"/>
  <c r="G265" i="1"/>
  <c r="H264" i="1"/>
  <c r="I264" i="1" s="1"/>
  <c r="K264" i="1" s="1"/>
  <c r="N263" i="1" l="1"/>
  <c r="J263" i="1"/>
  <c r="M264" i="1" s="1"/>
  <c r="L264" i="1"/>
  <c r="G266" i="1"/>
  <c r="H265" i="1"/>
  <c r="I265" i="1" s="1"/>
  <c r="K265" i="1" s="1"/>
  <c r="N264" i="1" l="1"/>
  <c r="J264" i="1"/>
  <c r="M265" i="1" s="1"/>
  <c r="L265" i="1"/>
  <c r="G267" i="1"/>
  <c r="H266" i="1"/>
  <c r="I266" i="1" s="1"/>
  <c r="K266" i="1" s="1"/>
  <c r="N265" i="1" l="1"/>
  <c r="J265" i="1"/>
  <c r="M266" i="1" s="1"/>
  <c r="L266" i="1"/>
  <c r="G268" i="1"/>
  <c r="H267" i="1"/>
  <c r="I267" i="1" s="1"/>
  <c r="K267" i="1" s="1"/>
  <c r="N266" i="1" l="1"/>
  <c r="J266" i="1"/>
  <c r="M267" i="1" s="1"/>
  <c r="L267" i="1"/>
  <c r="G269" i="1"/>
  <c r="H268" i="1"/>
  <c r="I268" i="1" s="1"/>
  <c r="K268" i="1" s="1"/>
  <c r="N267" i="1" l="1"/>
  <c r="J267" i="1"/>
  <c r="M268" i="1" s="1"/>
  <c r="L268" i="1"/>
  <c r="G270" i="1"/>
  <c r="H269" i="1"/>
  <c r="I269" i="1" s="1"/>
  <c r="K269" i="1" s="1"/>
  <c r="N268" i="1" l="1"/>
  <c r="J268" i="1"/>
  <c r="M269" i="1" s="1"/>
  <c r="L269" i="1"/>
  <c r="G271" i="1"/>
  <c r="H270" i="1"/>
  <c r="I270" i="1" s="1"/>
  <c r="K270" i="1" s="1"/>
  <c r="N269" i="1" l="1"/>
  <c r="J269" i="1"/>
  <c r="M270" i="1" s="1"/>
  <c r="L270" i="1"/>
  <c r="G272" i="1"/>
  <c r="H271" i="1"/>
  <c r="I271" i="1" s="1"/>
  <c r="K271" i="1" s="1"/>
  <c r="N270" i="1" l="1"/>
  <c r="J270" i="1"/>
  <c r="M271" i="1" s="1"/>
  <c r="L271" i="1"/>
  <c r="G273" i="1"/>
  <c r="H272" i="1"/>
  <c r="I272" i="1" s="1"/>
  <c r="K272" i="1" s="1"/>
  <c r="N271" i="1" l="1"/>
  <c r="J271" i="1"/>
  <c r="M272" i="1" s="1"/>
  <c r="L272" i="1"/>
  <c r="G274" i="1"/>
  <c r="H273" i="1"/>
  <c r="I273" i="1" s="1"/>
  <c r="K273" i="1" s="1"/>
  <c r="N272" i="1" l="1"/>
  <c r="J272" i="1"/>
  <c r="M273" i="1" s="1"/>
  <c r="L273" i="1"/>
  <c r="G275" i="1"/>
  <c r="H274" i="1"/>
  <c r="I274" i="1" s="1"/>
  <c r="K274" i="1" s="1"/>
  <c r="N273" i="1" l="1"/>
  <c r="J273" i="1"/>
  <c r="M274" i="1" s="1"/>
  <c r="L274" i="1"/>
  <c r="G276" i="1"/>
  <c r="H275" i="1"/>
  <c r="I275" i="1" s="1"/>
  <c r="K275" i="1" s="1"/>
  <c r="J274" i="1" l="1"/>
  <c r="M275" i="1" s="1"/>
  <c r="N274" i="1"/>
  <c r="L275" i="1"/>
  <c r="G277" i="1"/>
  <c r="H276" i="1"/>
  <c r="I276" i="1" s="1"/>
  <c r="K276" i="1" s="1"/>
  <c r="N275" i="1" l="1"/>
  <c r="J275" i="1"/>
  <c r="M276" i="1" s="1"/>
  <c r="L276" i="1"/>
  <c r="G278" i="1"/>
  <c r="H277" i="1"/>
  <c r="I277" i="1" s="1"/>
  <c r="K277" i="1" s="1"/>
  <c r="N276" i="1" l="1"/>
  <c r="J276" i="1"/>
  <c r="M277" i="1" s="1"/>
  <c r="L277" i="1"/>
  <c r="G279" i="1"/>
  <c r="H278" i="1"/>
  <c r="I278" i="1" s="1"/>
  <c r="K278" i="1" s="1"/>
  <c r="N277" i="1" l="1"/>
  <c r="J277" i="1"/>
  <c r="M278" i="1" s="1"/>
  <c r="L278" i="1"/>
  <c r="G280" i="1"/>
  <c r="H279" i="1"/>
  <c r="I279" i="1" s="1"/>
  <c r="K279" i="1" s="1"/>
  <c r="N278" i="1" l="1"/>
  <c r="J278" i="1"/>
  <c r="M279" i="1" s="1"/>
  <c r="L279" i="1"/>
  <c r="G281" i="1"/>
  <c r="H280" i="1"/>
  <c r="I280" i="1" s="1"/>
  <c r="K280" i="1" s="1"/>
  <c r="N279" i="1" l="1"/>
  <c r="J279" i="1"/>
  <c r="M280" i="1" s="1"/>
  <c r="L280" i="1"/>
  <c r="G282" i="1"/>
  <c r="H281" i="1"/>
  <c r="I281" i="1" s="1"/>
  <c r="K281" i="1" s="1"/>
  <c r="N280" i="1" l="1"/>
  <c r="J280" i="1"/>
  <c r="M281" i="1" s="1"/>
  <c r="L281" i="1"/>
  <c r="G283" i="1"/>
  <c r="H282" i="1"/>
  <c r="I282" i="1" s="1"/>
  <c r="K282" i="1" s="1"/>
  <c r="N281" i="1" l="1"/>
  <c r="J281" i="1"/>
  <c r="M282" i="1" s="1"/>
  <c r="L282" i="1"/>
  <c r="G284" i="1"/>
  <c r="H283" i="1"/>
  <c r="I283" i="1" s="1"/>
  <c r="K283" i="1" s="1"/>
  <c r="J282" i="1" l="1"/>
  <c r="M283" i="1" s="1"/>
  <c r="N282" i="1"/>
  <c r="L283" i="1"/>
  <c r="G285" i="1"/>
  <c r="H284" i="1"/>
  <c r="I284" i="1" s="1"/>
  <c r="K284" i="1" s="1"/>
  <c r="N283" i="1" l="1"/>
  <c r="J283" i="1"/>
  <c r="M284" i="1" s="1"/>
  <c r="L284" i="1"/>
  <c r="G286" i="1"/>
  <c r="H285" i="1"/>
  <c r="I285" i="1" s="1"/>
  <c r="K285" i="1" s="1"/>
  <c r="N284" i="1" l="1"/>
  <c r="J284" i="1"/>
  <c r="M285" i="1" s="1"/>
  <c r="L285" i="1"/>
  <c r="G287" i="1"/>
  <c r="H286" i="1"/>
  <c r="I286" i="1" s="1"/>
  <c r="K286" i="1" s="1"/>
  <c r="N285" i="1" l="1"/>
  <c r="J285" i="1"/>
  <c r="M286" i="1" s="1"/>
  <c r="L286" i="1"/>
  <c r="G288" i="1"/>
  <c r="H287" i="1"/>
  <c r="I287" i="1" s="1"/>
  <c r="K287" i="1" s="1"/>
  <c r="J286" i="1" l="1"/>
  <c r="M287" i="1" s="1"/>
  <c r="N286" i="1"/>
  <c r="L287" i="1"/>
  <c r="G289" i="1"/>
  <c r="H288" i="1"/>
  <c r="I288" i="1" s="1"/>
  <c r="K288" i="1" s="1"/>
  <c r="N287" i="1" l="1"/>
  <c r="J287" i="1"/>
  <c r="M288" i="1" s="1"/>
  <c r="L288" i="1"/>
  <c r="G290" i="1"/>
  <c r="H289" i="1"/>
  <c r="I289" i="1" s="1"/>
  <c r="K289" i="1" s="1"/>
  <c r="N288" i="1" l="1"/>
  <c r="J288" i="1"/>
  <c r="M289" i="1" s="1"/>
  <c r="L289" i="1"/>
  <c r="G291" i="1"/>
  <c r="H290" i="1"/>
  <c r="I290" i="1" s="1"/>
  <c r="K290" i="1" s="1"/>
  <c r="N289" i="1" l="1"/>
  <c r="J289" i="1"/>
  <c r="M290" i="1" s="1"/>
  <c r="L290" i="1"/>
  <c r="G292" i="1"/>
  <c r="H291" i="1"/>
  <c r="I291" i="1" s="1"/>
  <c r="K291" i="1" s="1"/>
  <c r="N290" i="1" l="1"/>
  <c r="J290" i="1"/>
  <c r="M291" i="1" s="1"/>
  <c r="L291" i="1"/>
  <c r="G293" i="1"/>
  <c r="H292" i="1"/>
  <c r="I292" i="1" s="1"/>
  <c r="K292" i="1" s="1"/>
  <c r="N291" i="1" l="1"/>
  <c r="J291" i="1"/>
  <c r="M292" i="1" s="1"/>
  <c r="L292" i="1"/>
  <c r="G294" i="1"/>
  <c r="H293" i="1"/>
  <c r="I293" i="1" s="1"/>
  <c r="K293" i="1" s="1"/>
  <c r="N292" i="1" l="1"/>
  <c r="J292" i="1"/>
  <c r="M293" i="1" s="1"/>
  <c r="L293" i="1"/>
  <c r="G295" i="1"/>
  <c r="H294" i="1"/>
  <c r="I294" i="1" s="1"/>
  <c r="K294" i="1" s="1"/>
  <c r="N293" i="1" l="1"/>
  <c r="J293" i="1"/>
  <c r="M294" i="1" s="1"/>
  <c r="L294" i="1"/>
  <c r="G296" i="1"/>
  <c r="H295" i="1"/>
  <c r="I295" i="1" s="1"/>
  <c r="K295" i="1" s="1"/>
  <c r="N294" i="1" l="1"/>
  <c r="J294" i="1"/>
  <c r="M295" i="1" s="1"/>
  <c r="L295" i="1"/>
  <c r="G297" i="1"/>
  <c r="H296" i="1"/>
  <c r="I296" i="1" s="1"/>
  <c r="K296" i="1" s="1"/>
  <c r="N295" i="1" l="1"/>
  <c r="J295" i="1"/>
  <c r="M296" i="1" s="1"/>
  <c r="L296" i="1"/>
  <c r="G298" i="1"/>
  <c r="H297" i="1"/>
  <c r="I297" i="1" s="1"/>
  <c r="K297" i="1" s="1"/>
  <c r="N296" i="1" l="1"/>
  <c r="J296" i="1"/>
  <c r="M297" i="1" s="1"/>
  <c r="L297" i="1"/>
  <c r="G299" i="1"/>
  <c r="H298" i="1"/>
  <c r="I298" i="1" s="1"/>
  <c r="K298" i="1" s="1"/>
  <c r="N297" i="1" l="1"/>
  <c r="J297" i="1"/>
  <c r="M298" i="1" s="1"/>
  <c r="L298" i="1"/>
  <c r="G300" i="1"/>
  <c r="H299" i="1"/>
  <c r="I299" i="1" s="1"/>
  <c r="K299" i="1" s="1"/>
  <c r="N298" i="1" l="1"/>
  <c r="J298" i="1"/>
  <c r="M299" i="1" s="1"/>
  <c r="L299" i="1"/>
  <c r="G301" i="1"/>
  <c r="H300" i="1"/>
  <c r="I300" i="1" s="1"/>
  <c r="K300" i="1" s="1"/>
  <c r="N299" i="1" l="1"/>
  <c r="J299" i="1"/>
  <c r="M300" i="1" s="1"/>
  <c r="L300" i="1"/>
  <c r="G302" i="1"/>
  <c r="H301" i="1"/>
  <c r="I301" i="1" s="1"/>
  <c r="K301" i="1" s="1"/>
  <c r="N300" i="1" l="1"/>
  <c r="J300" i="1"/>
  <c r="M301" i="1" s="1"/>
  <c r="L301" i="1"/>
  <c r="G303" i="1"/>
  <c r="H302" i="1"/>
  <c r="I302" i="1" s="1"/>
  <c r="K302" i="1" s="1"/>
  <c r="N301" i="1" l="1"/>
  <c r="J301" i="1"/>
  <c r="M302" i="1" s="1"/>
  <c r="L302" i="1"/>
  <c r="G304" i="1"/>
  <c r="H303" i="1"/>
  <c r="I303" i="1" s="1"/>
  <c r="K303" i="1" s="1"/>
  <c r="N302" i="1" l="1"/>
  <c r="J302" i="1"/>
  <c r="M303" i="1" s="1"/>
  <c r="L303" i="1"/>
  <c r="G305" i="1"/>
  <c r="H304" i="1"/>
  <c r="I304" i="1" s="1"/>
  <c r="K304" i="1" s="1"/>
  <c r="N303" i="1" l="1"/>
  <c r="J303" i="1"/>
  <c r="M304" i="1" s="1"/>
  <c r="L304" i="1"/>
  <c r="G306" i="1"/>
  <c r="H305" i="1"/>
  <c r="I305" i="1" s="1"/>
  <c r="K305" i="1" s="1"/>
  <c r="N304" i="1" l="1"/>
  <c r="J304" i="1"/>
  <c r="M305" i="1" s="1"/>
  <c r="L305" i="1"/>
  <c r="G307" i="1"/>
  <c r="H306" i="1"/>
  <c r="I306" i="1" s="1"/>
  <c r="K306" i="1" s="1"/>
  <c r="N305" i="1" l="1"/>
  <c r="J305" i="1"/>
  <c r="M306" i="1" s="1"/>
  <c r="L306" i="1"/>
  <c r="G308" i="1"/>
  <c r="H307" i="1"/>
  <c r="I307" i="1" s="1"/>
  <c r="K307" i="1" s="1"/>
  <c r="N306" i="1" l="1"/>
  <c r="J306" i="1"/>
  <c r="M307" i="1" s="1"/>
  <c r="L307" i="1"/>
  <c r="G309" i="1"/>
  <c r="H308" i="1"/>
  <c r="I308" i="1" s="1"/>
  <c r="K308" i="1" s="1"/>
  <c r="N307" i="1" l="1"/>
  <c r="J307" i="1"/>
  <c r="M308" i="1" s="1"/>
  <c r="L308" i="1"/>
  <c r="G310" i="1"/>
  <c r="H309" i="1"/>
  <c r="I309" i="1" s="1"/>
  <c r="K309" i="1" s="1"/>
  <c r="N308" i="1" l="1"/>
  <c r="J308" i="1"/>
  <c r="M309" i="1" s="1"/>
  <c r="L309" i="1"/>
  <c r="G311" i="1"/>
  <c r="H310" i="1"/>
  <c r="I310" i="1" s="1"/>
  <c r="K310" i="1" s="1"/>
  <c r="N309" i="1" l="1"/>
  <c r="J309" i="1"/>
  <c r="M310" i="1" s="1"/>
  <c r="L310" i="1"/>
  <c r="G312" i="1"/>
  <c r="H311" i="1"/>
  <c r="I311" i="1" s="1"/>
  <c r="K311" i="1" s="1"/>
  <c r="N310" i="1" l="1"/>
  <c r="J310" i="1"/>
  <c r="M311" i="1" s="1"/>
  <c r="L311" i="1"/>
  <c r="G313" i="1"/>
  <c r="H312" i="1"/>
  <c r="I312" i="1" s="1"/>
  <c r="K312" i="1" s="1"/>
  <c r="N311" i="1" l="1"/>
  <c r="J311" i="1"/>
  <c r="M312" i="1" s="1"/>
  <c r="L312" i="1"/>
  <c r="G314" i="1"/>
  <c r="H313" i="1"/>
  <c r="I313" i="1" s="1"/>
  <c r="K313" i="1" s="1"/>
  <c r="N312" i="1" l="1"/>
  <c r="J312" i="1"/>
  <c r="M313" i="1" s="1"/>
  <c r="L313" i="1"/>
  <c r="G315" i="1"/>
  <c r="H314" i="1"/>
  <c r="I314" i="1" s="1"/>
  <c r="K314" i="1" s="1"/>
  <c r="N313" i="1" l="1"/>
  <c r="J313" i="1"/>
  <c r="M314" i="1" s="1"/>
  <c r="L314" i="1"/>
  <c r="G316" i="1"/>
  <c r="H315" i="1"/>
  <c r="I315" i="1" s="1"/>
  <c r="K315" i="1" s="1"/>
  <c r="N314" i="1" l="1"/>
  <c r="J314" i="1"/>
  <c r="M315" i="1" s="1"/>
  <c r="L315" i="1"/>
  <c r="G317" i="1"/>
  <c r="H316" i="1"/>
  <c r="I316" i="1" s="1"/>
  <c r="K316" i="1" s="1"/>
  <c r="J315" i="1" l="1"/>
  <c r="M316" i="1" s="1"/>
  <c r="N315" i="1"/>
  <c r="L316" i="1"/>
  <c r="G318" i="1"/>
  <c r="H317" i="1"/>
  <c r="I317" i="1" s="1"/>
  <c r="K317" i="1" s="1"/>
  <c r="N316" i="1" l="1"/>
  <c r="J316" i="1"/>
  <c r="M317" i="1" s="1"/>
  <c r="L317" i="1"/>
  <c r="G319" i="1"/>
  <c r="H318" i="1"/>
  <c r="I318" i="1" s="1"/>
  <c r="K318" i="1" s="1"/>
  <c r="N317" i="1" l="1"/>
  <c r="J317" i="1"/>
  <c r="M318" i="1" s="1"/>
  <c r="L318" i="1"/>
  <c r="G320" i="1"/>
  <c r="H319" i="1"/>
  <c r="I319" i="1" s="1"/>
  <c r="K319" i="1" s="1"/>
  <c r="N318" i="1" l="1"/>
  <c r="J318" i="1"/>
  <c r="M319" i="1" s="1"/>
  <c r="L319" i="1"/>
  <c r="G321" i="1"/>
  <c r="H320" i="1"/>
  <c r="I320" i="1" s="1"/>
  <c r="K320" i="1" s="1"/>
  <c r="N319" i="1" l="1"/>
  <c r="J319" i="1"/>
  <c r="M320" i="1" s="1"/>
  <c r="L320" i="1"/>
  <c r="G322" i="1"/>
  <c r="H321" i="1"/>
  <c r="I321" i="1" s="1"/>
  <c r="K321" i="1" s="1"/>
  <c r="N320" i="1" l="1"/>
  <c r="J320" i="1"/>
  <c r="M321" i="1" s="1"/>
  <c r="L321" i="1"/>
  <c r="G323" i="1"/>
  <c r="H322" i="1"/>
  <c r="I322" i="1" s="1"/>
  <c r="K322" i="1" s="1"/>
  <c r="N321" i="1" l="1"/>
  <c r="J321" i="1"/>
  <c r="M322" i="1" s="1"/>
  <c r="L322" i="1"/>
  <c r="G324" i="1"/>
  <c r="H323" i="1"/>
  <c r="I323" i="1" s="1"/>
  <c r="K323" i="1" s="1"/>
  <c r="N322" i="1" l="1"/>
  <c r="J322" i="1"/>
  <c r="M323" i="1" s="1"/>
  <c r="L323" i="1"/>
  <c r="G325" i="1"/>
  <c r="H324" i="1"/>
  <c r="I324" i="1" s="1"/>
  <c r="K324" i="1" s="1"/>
  <c r="N323" i="1" l="1"/>
  <c r="J323" i="1"/>
  <c r="M324" i="1" s="1"/>
  <c r="L324" i="1"/>
  <c r="G326" i="1"/>
  <c r="H325" i="1"/>
  <c r="I325" i="1" s="1"/>
  <c r="K325" i="1" s="1"/>
  <c r="N324" i="1" l="1"/>
  <c r="J324" i="1"/>
  <c r="M325" i="1" s="1"/>
  <c r="L325" i="1"/>
  <c r="G327" i="1"/>
  <c r="H326" i="1"/>
  <c r="I326" i="1" s="1"/>
  <c r="K326" i="1" s="1"/>
  <c r="N325" i="1" l="1"/>
  <c r="J325" i="1"/>
  <c r="M326" i="1" s="1"/>
  <c r="L326" i="1"/>
  <c r="G328" i="1"/>
  <c r="H327" i="1"/>
  <c r="I327" i="1" s="1"/>
  <c r="K327" i="1" s="1"/>
  <c r="J326" i="1" l="1"/>
  <c r="M327" i="1" s="1"/>
  <c r="N326" i="1"/>
  <c r="L327" i="1"/>
  <c r="G329" i="1"/>
  <c r="H328" i="1"/>
  <c r="I328" i="1" s="1"/>
  <c r="K328" i="1" s="1"/>
  <c r="N327" i="1" l="1"/>
  <c r="J327" i="1"/>
  <c r="M328" i="1" s="1"/>
  <c r="L328" i="1"/>
  <c r="G330" i="1"/>
  <c r="H329" i="1"/>
  <c r="I329" i="1" s="1"/>
  <c r="K329" i="1" s="1"/>
  <c r="J328" i="1" l="1"/>
  <c r="M329" i="1" s="1"/>
  <c r="N328" i="1"/>
  <c r="L329" i="1"/>
  <c r="G331" i="1"/>
  <c r="H330" i="1"/>
  <c r="I330" i="1" s="1"/>
  <c r="K330" i="1" s="1"/>
  <c r="N329" i="1" l="1"/>
  <c r="J329" i="1"/>
  <c r="M330" i="1" s="1"/>
  <c r="L330" i="1"/>
  <c r="G332" i="1"/>
  <c r="H331" i="1"/>
  <c r="I331" i="1" s="1"/>
  <c r="K331" i="1" s="1"/>
  <c r="N330" i="1" l="1"/>
  <c r="J330" i="1"/>
  <c r="M331" i="1" s="1"/>
  <c r="L331" i="1"/>
  <c r="G333" i="1"/>
  <c r="H332" i="1"/>
  <c r="I332" i="1" s="1"/>
  <c r="K332" i="1" s="1"/>
  <c r="N331" i="1" l="1"/>
  <c r="J331" i="1"/>
  <c r="M332" i="1" s="1"/>
  <c r="L332" i="1"/>
  <c r="G334" i="1"/>
  <c r="H333" i="1"/>
  <c r="I333" i="1" s="1"/>
  <c r="K333" i="1" s="1"/>
  <c r="N332" i="1" l="1"/>
  <c r="J332" i="1"/>
  <c r="M333" i="1" s="1"/>
  <c r="L333" i="1"/>
  <c r="G335" i="1"/>
  <c r="H334" i="1"/>
  <c r="I334" i="1" s="1"/>
  <c r="K334" i="1" s="1"/>
  <c r="J333" i="1" l="1"/>
  <c r="M334" i="1" s="1"/>
  <c r="N333" i="1"/>
  <c r="L334" i="1"/>
  <c r="G336" i="1"/>
  <c r="H335" i="1"/>
  <c r="I335" i="1" s="1"/>
  <c r="K335" i="1" s="1"/>
  <c r="N334" i="1" l="1"/>
  <c r="J334" i="1"/>
  <c r="M335" i="1" s="1"/>
  <c r="L335" i="1"/>
  <c r="G337" i="1"/>
  <c r="H336" i="1"/>
  <c r="I336" i="1" s="1"/>
  <c r="K336" i="1" s="1"/>
  <c r="N335" i="1" l="1"/>
  <c r="J335" i="1"/>
  <c r="M336" i="1" s="1"/>
  <c r="L336" i="1"/>
  <c r="G338" i="1"/>
  <c r="H337" i="1"/>
  <c r="I337" i="1" s="1"/>
  <c r="K337" i="1" s="1"/>
  <c r="N336" i="1" l="1"/>
  <c r="J336" i="1"/>
  <c r="M337" i="1" s="1"/>
  <c r="L337" i="1"/>
  <c r="G339" i="1"/>
  <c r="H338" i="1"/>
  <c r="I338" i="1" s="1"/>
  <c r="K338" i="1" s="1"/>
  <c r="N337" i="1" l="1"/>
  <c r="J337" i="1"/>
  <c r="M338" i="1" s="1"/>
  <c r="L338" i="1"/>
  <c r="G340" i="1"/>
  <c r="H339" i="1"/>
  <c r="I339" i="1" s="1"/>
  <c r="K339" i="1" s="1"/>
  <c r="N338" i="1" l="1"/>
  <c r="J338" i="1"/>
  <c r="M339" i="1" s="1"/>
  <c r="L339" i="1"/>
  <c r="G341" i="1"/>
  <c r="H340" i="1"/>
  <c r="I340" i="1" s="1"/>
  <c r="K340" i="1" s="1"/>
  <c r="N339" i="1" l="1"/>
  <c r="J339" i="1"/>
  <c r="M340" i="1" s="1"/>
  <c r="L340" i="1"/>
  <c r="G342" i="1"/>
  <c r="H341" i="1"/>
  <c r="I341" i="1" s="1"/>
  <c r="K341" i="1" s="1"/>
  <c r="N340" i="1" l="1"/>
  <c r="J340" i="1"/>
  <c r="M341" i="1" s="1"/>
  <c r="L341" i="1"/>
  <c r="G343" i="1"/>
  <c r="H342" i="1"/>
  <c r="I342" i="1" s="1"/>
  <c r="K342" i="1" s="1"/>
  <c r="N341" i="1" l="1"/>
  <c r="J341" i="1"/>
  <c r="M342" i="1" s="1"/>
  <c r="L342" i="1"/>
  <c r="G344" i="1"/>
  <c r="H343" i="1"/>
  <c r="I343" i="1" s="1"/>
  <c r="K343" i="1" s="1"/>
  <c r="N342" i="1" l="1"/>
  <c r="J342" i="1"/>
  <c r="M343" i="1" s="1"/>
  <c r="L343" i="1"/>
  <c r="G345" i="1"/>
  <c r="H344" i="1"/>
  <c r="I344" i="1" s="1"/>
  <c r="K344" i="1" s="1"/>
  <c r="N343" i="1" l="1"/>
  <c r="J343" i="1"/>
  <c r="M344" i="1" s="1"/>
  <c r="L344" i="1"/>
  <c r="G346" i="1"/>
  <c r="H345" i="1"/>
  <c r="I345" i="1" s="1"/>
  <c r="K345" i="1" s="1"/>
  <c r="N344" i="1" l="1"/>
  <c r="J344" i="1"/>
  <c r="M345" i="1" s="1"/>
  <c r="L345" i="1"/>
  <c r="G347" i="1"/>
  <c r="H346" i="1"/>
  <c r="I346" i="1" s="1"/>
  <c r="K346" i="1" s="1"/>
  <c r="N345" i="1" l="1"/>
  <c r="J345" i="1"/>
  <c r="M346" i="1" s="1"/>
  <c r="L346" i="1"/>
  <c r="G348" i="1"/>
  <c r="H347" i="1"/>
  <c r="I347" i="1" s="1"/>
  <c r="K347" i="1" s="1"/>
  <c r="N346" i="1" l="1"/>
  <c r="J346" i="1"/>
  <c r="M347" i="1" s="1"/>
  <c r="L347" i="1"/>
  <c r="G349" i="1"/>
  <c r="H348" i="1"/>
  <c r="I348" i="1" s="1"/>
  <c r="K348" i="1" s="1"/>
  <c r="N347" i="1" l="1"/>
  <c r="J347" i="1"/>
  <c r="M348" i="1" s="1"/>
  <c r="L348" i="1"/>
  <c r="G350" i="1"/>
  <c r="H349" i="1"/>
  <c r="I349" i="1" s="1"/>
  <c r="K349" i="1" s="1"/>
  <c r="N348" i="1" l="1"/>
  <c r="J348" i="1"/>
  <c r="M349" i="1" s="1"/>
  <c r="L349" i="1"/>
  <c r="G351" i="1"/>
  <c r="H350" i="1"/>
  <c r="I350" i="1" s="1"/>
  <c r="K350" i="1" s="1"/>
  <c r="J349" i="1" l="1"/>
  <c r="M350" i="1" s="1"/>
  <c r="N349" i="1"/>
  <c r="L350" i="1"/>
  <c r="G352" i="1"/>
  <c r="H351" i="1"/>
  <c r="I351" i="1" s="1"/>
  <c r="K351" i="1" s="1"/>
  <c r="N350" i="1" l="1"/>
  <c r="J350" i="1"/>
  <c r="M351" i="1" s="1"/>
  <c r="L351" i="1"/>
  <c r="G353" i="1"/>
  <c r="H352" i="1"/>
  <c r="I352" i="1" s="1"/>
  <c r="K352" i="1" s="1"/>
  <c r="N351" i="1" l="1"/>
  <c r="J351" i="1"/>
  <c r="M352" i="1" s="1"/>
  <c r="L352" i="1"/>
  <c r="G354" i="1"/>
  <c r="H353" i="1"/>
  <c r="I353" i="1" s="1"/>
  <c r="K353" i="1" s="1"/>
  <c r="N352" i="1" l="1"/>
  <c r="J352" i="1"/>
  <c r="M353" i="1" s="1"/>
  <c r="L353" i="1"/>
  <c r="G355" i="1"/>
  <c r="H354" i="1"/>
  <c r="I354" i="1" s="1"/>
  <c r="K354" i="1" s="1"/>
  <c r="N353" i="1" l="1"/>
  <c r="J353" i="1"/>
  <c r="M354" i="1" s="1"/>
  <c r="L354" i="1"/>
  <c r="G356" i="1"/>
  <c r="H355" i="1"/>
  <c r="I355" i="1" s="1"/>
  <c r="K355" i="1" s="1"/>
  <c r="N354" i="1" l="1"/>
  <c r="J354" i="1"/>
  <c r="M355" i="1" s="1"/>
  <c r="L355" i="1"/>
  <c r="G357" i="1"/>
  <c r="H356" i="1"/>
  <c r="I356" i="1" s="1"/>
  <c r="K356" i="1" s="1"/>
  <c r="N355" i="1" l="1"/>
  <c r="J355" i="1"/>
  <c r="M356" i="1" s="1"/>
  <c r="L356" i="1"/>
  <c r="G358" i="1"/>
  <c r="H357" i="1"/>
  <c r="I357" i="1" s="1"/>
  <c r="K357" i="1" s="1"/>
  <c r="N356" i="1" l="1"/>
  <c r="J356" i="1"/>
  <c r="M357" i="1" s="1"/>
  <c r="L357" i="1"/>
  <c r="G359" i="1"/>
  <c r="H358" i="1"/>
  <c r="I358" i="1" s="1"/>
  <c r="K358" i="1" s="1"/>
  <c r="N357" i="1" l="1"/>
  <c r="J357" i="1"/>
  <c r="M358" i="1" s="1"/>
  <c r="L358" i="1"/>
  <c r="G360" i="1"/>
  <c r="H359" i="1"/>
  <c r="I359" i="1" s="1"/>
  <c r="K359" i="1" s="1"/>
  <c r="N358" i="1" l="1"/>
  <c r="J358" i="1"/>
  <c r="M359" i="1" s="1"/>
  <c r="L359" i="1"/>
  <c r="G361" i="1"/>
  <c r="H360" i="1"/>
  <c r="I360" i="1" s="1"/>
  <c r="K360" i="1" s="1"/>
  <c r="N359" i="1" l="1"/>
  <c r="J359" i="1"/>
  <c r="M360" i="1" s="1"/>
  <c r="L360" i="1"/>
  <c r="G362" i="1"/>
  <c r="H361" i="1"/>
  <c r="I361" i="1" s="1"/>
  <c r="K361" i="1" s="1"/>
  <c r="N360" i="1" l="1"/>
  <c r="J360" i="1"/>
  <c r="M361" i="1" s="1"/>
  <c r="L361" i="1"/>
  <c r="G363" i="1"/>
  <c r="H362" i="1"/>
  <c r="I362" i="1" s="1"/>
  <c r="K362" i="1" s="1"/>
  <c r="N361" i="1" l="1"/>
  <c r="J361" i="1"/>
  <c r="M362" i="1" s="1"/>
  <c r="L362" i="1"/>
  <c r="G364" i="1"/>
  <c r="H363" i="1"/>
  <c r="I363" i="1" s="1"/>
  <c r="K363" i="1" s="1"/>
  <c r="N362" i="1" l="1"/>
  <c r="J362" i="1"/>
  <c r="M363" i="1" s="1"/>
  <c r="L363" i="1"/>
  <c r="G365" i="1"/>
  <c r="H364" i="1"/>
  <c r="I364" i="1" s="1"/>
  <c r="K364" i="1" s="1"/>
  <c r="N363" i="1" l="1"/>
  <c r="J363" i="1"/>
  <c r="M364" i="1" s="1"/>
  <c r="L364" i="1"/>
  <c r="G366" i="1"/>
  <c r="H365" i="1"/>
  <c r="I365" i="1" s="1"/>
  <c r="K365" i="1" s="1"/>
  <c r="N364" i="1" l="1"/>
  <c r="J364" i="1"/>
  <c r="M365" i="1" s="1"/>
  <c r="L365" i="1"/>
  <c r="G367" i="1"/>
  <c r="H366" i="1"/>
  <c r="I366" i="1" s="1"/>
  <c r="K366" i="1" s="1"/>
  <c r="N365" i="1" l="1"/>
  <c r="J365" i="1"/>
  <c r="M366" i="1" s="1"/>
  <c r="L366" i="1"/>
  <c r="G368" i="1"/>
  <c r="H367" i="1"/>
  <c r="I367" i="1" s="1"/>
  <c r="K367" i="1" s="1"/>
  <c r="N366" i="1" l="1"/>
  <c r="J366" i="1"/>
  <c r="M367" i="1" s="1"/>
  <c r="L367" i="1"/>
  <c r="G369" i="1"/>
  <c r="H368" i="1"/>
  <c r="I368" i="1" s="1"/>
  <c r="K368" i="1" s="1"/>
  <c r="N367" i="1" l="1"/>
  <c r="J367" i="1"/>
  <c r="M368" i="1" s="1"/>
  <c r="L368" i="1"/>
  <c r="G370" i="1"/>
  <c r="H369" i="1"/>
  <c r="I369" i="1" s="1"/>
  <c r="K369" i="1" s="1"/>
  <c r="N368" i="1" l="1"/>
  <c r="J368" i="1"/>
  <c r="M369" i="1" s="1"/>
  <c r="L369" i="1"/>
  <c r="G371" i="1"/>
  <c r="H370" i="1"/>
  <c r="I370" i="1" s="1"/>
  <c r="K370" i="1" s="1"/>
  <c r="N369" i="1" l="1"/>
  <c r="J369" i="1"/>
  <c r="M370" i="1" s="1"/>
  <c r="L370" i="1"/>
  <c r="G372" i="1"/>
  <c r="H371" i="1"/>
  <c r="I371" i="1" s="1"/>
  <c r="K371" i="1" s="1"/>
  <c r="N370" i="1" l="1"/>
  <c r="J370" i="1"/>
  <c r="M371" i="1" s="1"/>
  <c r="L371" i="1"/>
  <c r="G373" i="1"/>
  <c r="H372" i="1"/>
  <c r="I372" i="1" s="1"/>
  <c r="K372" i="1" s="1"/>
  <c r="N371" i="1" l="1"/>
  <c r="J371" i="1"/>
  <c r="M372" i="1" s="1"/>
  <c r="L372" i="1"/>
  <c r="G374" i="1"/>
  <c r="H373" i="1"/>
  <c r="I373" i="1" s="1"/>
  <c r="K373" i="1" s="1"/>
  <c r="N372" i="1" l="1"/>
  <c r="J372" i="1"/>
  <c r="M373" i="1" s="1"/>
  <c r="L373" i="1"/>
  <c r="G375" i="1"/>
  <c r="H374" i="1"/>
  <c r="I374" i="1" s="1"/>
  <c r="K374" i="1" s="1"/>
  <c r="N373" i="1" l="1"/>
  <c r="J373" i="1"/>
  <c r="M374" i="1" s="1"/>
  <c r="L374" i="1"/>
  <c r="G376" i="1"/>
  <c r="H375" i="1"/>
  <c r="I375" i="1" s="1"/>
  <c r="K375" i="1" s="1"/>
  <c r="N374" i="1" l="1"/>
  <c r="J374" i="1"/>
  <c r="M375" i="1" s="1"/>
  <c r="L375" i="1"/>
  <c r="G377" i="1"/>
  <c r="H376" i="1"/>
  <c r="I376" i="1" s="1"/>
  <c r="K376" i="1" s="1"/>
  <c r="N375" i="1" l="1"/>
  <c r="J375" i="1"/>
  <c r="M376" i="1" s="1"/>
  <c r="L376" i="1"/>
  <c r="G378" i="1"/>
  <c r="H377" i="1"/>
  <c r="I377" i="1" s="1"/>
  <c r="K377" i="1" s="1"/>
  <c r="N376" i="1" l="1"/>
  <c r="J376" i="1"/>
  <c r="M377" i="1" s="1"/>
  <c r="L377" i="1"/>
  <c r="G379" i="1"/>
  <c r="H378" i="1"/>
  <c r="I378" i="1" s="1"/>
  <c r="K378" i="1" s="1"/>
  <c r="N377" i="1" l="1"/>
  <c r="J377" i="1"/>
  <c r="M378" i="1" s="1"/>
  <c r="L378" i="1"/>
  <c r="G380" i="1"/>
  <c r="H379" i="1"/>
  <c r="I379" i="1" s="1"/>
  <c r="K379" i="1" s="1"/>
  <c r="N378" i="1" l="1"/>
  <c r="J378" i="1"/>
  <c r="M379" i="1" s="1"/>
  <c r="L379" i="1"/>
  <c r="G381" i="1"/>
  <c r="H380" i="1"/>
  <c r="I380" i="1" s="1"/>
  <c r="K380" i="1" s="1"/>
  <c r="N379" i="1" l="1"/>
  <c r="J379" i="1"/>
  <c r="M380" i="1" s="1"/>
  <c r="L380" i="1"/>
  <c r="G382" i="1"/>
  <c r="H381" i="1"/>
  <c r="I381" i="1" s="1"/>
  <c r="K381" i="1" s="1"/>
  <c r="N380" i="1" l="1"/>
  <c r="J380" i="1"/>
  <c r="M381" i="1" s="1"/>
  <c r="L381" i="1"/>
  <c r="G383" i="1"/>
  <c r="H382" i="1"/>
  <c r="I382" i="1" s="1"/>
  <c r="K382" i="1" s="1"/>
  <c r="N381" i="1" l="1"/>
  <c r="J381" i="1"/>
  <c r="M382" i="1" s="1"/>
  <c r="L382" i="1"/>
  <c r="G384" i="1"/>
  <c r="H383" i="1"/>
  <c r="I383" i="1" s="1"/>
  <c r="K383" i="1" s="1"/>
  <c r="N382" i="1" l="1"/>
  <c r="J382" i="1"/>
  <c r="M383" i="1" s="1"/>
  <c r="L383" i="1"/>
  <c r="G385" i="1"/>
  <c r="H384" i="1"/>
  <c r="I384" i="1" s="1"/>
  <c r="K384" i="1" s="1"/>
  <c r="N383" i="1" l="1"/>
  <c r="J383" i="1"/>
  <c r="M384" i="1" s="1"/>
  <c r="L384" i="1"/>
  <c r="G386" i="1"/>
  <c r="H385" i="1"/>
  <c r="I385" i="1" s="1"/>
  <c r="K385" i="1" s="1"/>
  <c r="N384" i="1" l="1"/>
  <c r="J384" i="1"/>
  <c r="M385" i="1" s="1"/>
  <c r="L385" i="1"/>
  <c r="G387" i="1"/>
  <c r="H386" i="1"/>
  <c r="I386" i="1" s="1"/>
  <c r="K386" i="1" s="1"/>
  <c r="N385" i="1" l="1"/>
  <c r="J385" i="1"/>
  <c r="M386" i="1" s="1"/>
  <c r="L386" i="1"/>
  <c r="G388" i="1"/>
  <c r="H387" i="1"/>
  <c r="I387" i="1" s="1"/>
  <c r="K387" i="1" s="1"/>
  <c r="N386" i="1" l="1"/>
  <c r="J386" i="1"/>
  <c r="M387" i="1" s="1"/>
  <c r="L387" i="1"/>
  <c r="G389" i="1"/>
  <c r="H388" i="1"/>
  <c r="I388" i="1" s="1"/>
  <c r="K388" i="1" s="1"/>
  <c r="N387" i="1" l="1"/>
  <c r="J387" i="1"/>
  <c r="M388" i="1" s="1"/>
  <c r="L388" i="1"/>
  <c r="G390" i="1"/>
  <c r="H389" i="1"/>
  <c r="I389" i="1" s="1"/>
  <c r="K389" i="1" s="1"/>
  <c r="N388" i="1" l="1"/>
  <c r="J388" i="1"/>
  <c r="M389" i="1" s="1"/>
  <c r="L389" i="1"/>
  <c r="G391" i="1"/>
  <c r="H390" i="1"/>
  <c r="I390" i="1" s="1"/>
  <c r="K390" i="1" s="1"/>
  <c r="N389" i="1" l="1"/>
  <c r="J389" i="1"/>
  <c r="M390" i="1" s="1"/>
  <c r="L390" i="1"/>
  <c r="G392" i="1"/>
  <c r="H391" i="1"/>
  <c r="I391" i="1" s="1"/>
  <c r="K391" i="1" s="1"/>
  <c r="N390" i="1" l="1"/>
  <c r="J390" i="1"/>
  <c r="M391" i="1" s="1"/>
  <c r="L391" i="1"/>
  <c r="G393" i="1"/>
  <c r="H392" i="1"/>
  <c r="I392" i="1" s="1"/>
  <c r="K392" i="1" s="1"/>
  <c r="N391" i="1" l="1"/>
  <c r="J391" i="1"/>
  <c r="M392" i="1" s="1"/>
  <c r="L392" i="1"/>
  <c r="G394" i="1"/>
  <c r="H393" i="1"/>
  <c r="I393" i="1" s="1"/>
  <c r="K393" i="1" s="1"/>
  <c r="N392" i="1" l="1"/>
  <c r="J392" i="1"/>
  <c r="M393" i="1" s="1"/>
  <c r="L393" i="1"/>
  <c r="G395" i="1"/>
  <c r="H394" i="1"/>
  <c r="I394" i="1" s="1"/>
  <c r="K394" i="1" s="1"/>
  <c r="N393" i="1" l="1"/>
  <c r="J393" i="1"/>
  <c r="M394" i="1" s="1"/>
  <c r="L394" i="1"/>
  <c r="G396" i="1"/>
  <c r="H395" i="1"/>
  <c r="I395" i="1" s="1"/>
  <c r="K395" i="1" s="1"/>
  <c r="N394" i="1" l="1"/>
  <c r="J394" i="1"/>
  <c r="M395" i="1" s="1"/>
  <c r="L395" i="1"/>
  <c r="G397" i="1"/>
  <c r="H396" i="1"/>
  <c r="I396" i="1" s="1"/>
  <c r="K396" i="1" s="1"/>
  <c r="N395" i="1" l="1"/>
  <c r="J395" i="1"/>
  <c r="M396" i="1" s="1"/>
  <c r="L396" i="1"/>
  <c r="G398" i="1"/>
  <c r="H397" i="1"/>
  <c r="I397" i="1" s="1"/>
  <c r="K397" i="1" s="1"/>
  <c r="N396" i="1" l="1"/>
  <c r="J396" i="1"/>
  <c r="M397" i="1" s="1"/>
  <c r="L397" i="1"/>
  <c r="G399" i="1"/>
  <c r="H398" i="1"/>
  <c r="I398" i="1" s="1"/>
  <c r="K398" i="1" s="1"/>
  <c r="N397" i="1" l="1"/>
  <c r="J397" i="1"/>
  <c r="M398" i="1" s="1"/>
  <c r="L398" i="1"/>
  <c r="G400" i="1"/>
  <c r="H399" i="1"/>
  <c r="I399" i="1" s="1"/>
  <c r="K399" i="1" s="1"/>
  <c r="N398" i="1" l="1"/>
  <c r="J398" i="1"/>
  <c r="M399" i="1" s="1"/>
  <c r="L399" i="1"/>
  <c r="G401" i="1"/>
  <c r="H400" i="1"/>
  <c r="I400" i="1" s="1"/>
  <c r="K400" i="1" s="1"/>
  <c r="N399" i="1" l="1"/>
  <c r="J399" i="1"/>
  <c r="M400" i="1" s="1"/>
  <c r="L400" i="1"/>
  <c r="G402" i="1"/>
  <c r="H401" i="1"/>
  <c r="I401" i="1" s="1"/>
  <c r="K401" i="1" s="1"/>
  <c r="N400" i="1" l="1"/>
  <c r="J400" i="1"/>
  <c r="M401" i="1" s="1"/>
  <c r="L401" i="1"/>
  <c r="G403" i="1"/>
  <c r="H402" i="1"/>
  <c r="I402" i="1" s="1"/>
  <c r="K402" i="1" s="1"/>
  <c r="N401" i="1" l="1"/>
  <c r="J401" i="1"/>
  <c r="M402" i="1" s="1"/>
  <c r="L402" i="1"/>
  <c r="G404" i="1"/>
  <c r="H403" i="1"/>
  <c r="I403" i="1" s="1"/>
  <c r="K403" i="1" s="1"/>
  <c r="N402" i="1" l="1"/>
  <c r="J402" i="1"/>
  <c r="M403" i="1" s="1"/>
  <c r="L403" i="1"/>
  <c r="G405" i="1"/>
  <c r="H404" i="1"/>
  <c r="I404" i="1" s="1"/>
  <c r="K404" i="1" s="1"/>
  <c r="N403" i="1" l="1"/>
  <c r="J403" i="1"/>
  <c r="M404" i="1" s="1"/>
  <c r="L404" i="1"/>
  <c r="G406" i="1"/>
  <c r="H405" i="1"/>
  <c r="I405" i="1" s="1"/>
  <c r="K405" i="1" s="1"/>
  <c r="N404" i="1" l="1"/>
  <c r="J404" i="1"/>
  <c r="M405" i="1" s="1"/>
  <c r="L405" i="1"/>
  <c r="G407" i="1"/>
  <c r="H406" i="1"/>
  <c r="I406" i="1" s="1"/>
  <c r="K406" i="1" s="1"/>
  <c r="J405" i="1" l="1"/>
  <c r="M406" i="1" s="1"/>
  <c r="N405" i="1"/>
  <c r="L406" i="1"/>
  <c r="G408" i="1"/>
  <c r="H407" i="1"/>
  <c r="I407" i="1" s="1"/>
  <c r="K407" i="1" s="1"/>
  <c r="N406" i="1" l="1"/>
  <c r="J406" i="1"/>
  <c r="M407" i="1" s="1"/>
  <c r="L407" i="1"/>
  <c r="G409" i="1"/>
  <c r="H408" i="1"/>
  <c r="I408" i="1" s="1"/>
  <c r="K408" i="1" s="1"/>
  <c r="N407" i="1" l="1"/>
  <c r="J407" i="1"/>
  <c r="M408" i="1" s="1"/>
  <c r="L408" i="1"/>
  <c r="G410" i="1"/>
  <c r="H409" i="1"/>
  <c r="I409" i="1" s="1"/>
  <c r="K409" i="1" s="1"/>
  <c r="N408" i="1" l="1"/>
  <c r="J408" i="1"/>
  <c r="M409" i="1" s="1"/>
  <c r="L409" i="1"/>
  <c r="G411" i="1"/>
  <c r="H410" i="1"/>
  <c r="I410" i="1" s="1"/>
  <c r="K410" i="1" s="1"/>
  <c r="N409" i="1" l="1"/>
  <c r="J409" i="1"/>
  <c r="M410" i="1" s="1"/>
  <c r="L410" i="1"/>
  <c r="G412" i="1"/>
  <c r="H411" i="1"/>
  <c r="I411" i="1" s="1"/>
  <c r="K411" i="1" s="1"/>
  <c r="N410" i="1" l="1"/>
  <c r="J410" i="1"/>
  <c r="M411" i="1" s="1"/>
  <c r="L411" i="1"/>
  <c r="G413" i="1"/>
  <c r="H412" i="1"/>
  <c r="I412" i="1" s="1"/>
  <c r="K412" i="1" s="1"/>
  <c r="N411" i="1" l="1"/>
  <c r="J411" i="1"/>
  <c r="M412" i="1" s="1"/>
  <c r="L412" i="1"/>
  <c r="G414" i="1"/>
  <c r="H413" i="1"/>
  <c r="I413" i="1" s="1"/>
  <c r="K413" i="1" s="1"/>
  <c r="N412" i="1" l="1"/>
  <c r="J412" i="1"/>
  <c r="M413" i="1" s="1"/>
  <c r="L413" i="1"/>
  <c r="G415" i="1"/>
  <c r="H414" i="1"/>
  <c r="I414" i="1" s="1"/>
  <c r="K414" i="1" s="1"/>
  <c r="N413" i="1" l="1"/>
  <c r="J413" i="1"/>
  <c r="M414" i="1" s="1"/>
  <c r="L414" i="1"/>
  <c r="G416" i="1"/>
  <c r="H415" i="1"/>
  <c r="I415" i="1" s="1"/>
  <c r="K415" i="1" s="1"/>
  <c r="N414" i="1" l="1"/>
  <c r="J414" i="1"/>
  <c r="M415" i="1" s="1"/>
  <c r="L415" i="1"/>
  <c r="G417" i="1"/>
  <c r="H416" i="1"/>
  <c r="I416" i="1" s="1"/>
  <c r="K416" i="1" s="1"/>
  <c r="N415" i="1" l="1"/>
  <c r="J415" i="1"/>
  <c r="M416" i="1" s="1"/>
  <c r="L416" i="1"/>
  <c r="G418" i="1"/>
  <c r="H417" i="1"/>
  <c r="I417" i="1" s="1"/>
  <c r="K417" i="1" s="1"/>
  <c r="J416" i="1" l="1"/>
  <c r="M417" i="1" s="1"/>
  <c r="N416" i="1"/>
  <c r="L417" i="1"/>
  <c r="G419" i="1"/>
  <c r="H418" i="1"/>
  <c r="I418" i="1" s="1"/>
  <c r="K418" i="1" s="1"/>
  <c r="N417" i="1" l="1"/>
  <c r="J417" i="1"/>
  <c r="M418" i="1" s="1"/>
  <c r="L418" i="1"/>
  <c r="G420" i="1"/>
  <c r="H419" i="1"/>
  <c r="I419" i="1" s="1"/>
  <c r="K419" i="1" s="1"/>
  <c r="N418" i="1" l="1"/>
  <c r="J418" i="1"/>
  <c r="M419" i="1" s="1"/>
  <c r="L419" i="1"/>
  <c r="G421" i="1"/>
  <c r="H420" i="1"/>
  <c r="I420" i="1" s="1"/>
  <c r="K420" i="1" s="1"/>
  <c r="N419" i="1" l="1"/>
  <c r="J419" i="1"/>
  <c r="M420" i="1" s="1"/>
  <c r="L420" i="1"/>
  <c r="G422" i="1"/>
  <c r="H421" i="1"/>
  <c r="I421" i="1" s="1"/>
  <c r="K421" i="1" s="1"/>
  <c r="N420" i="1" l="1"/>
  <c r="J420" i="1"/>
  <c r="M421" i="1" s="1"/>
  <c r="L421" i="1"/>
  <c r="G423" i="1"/>
  <c r="H422" i="1"/>
  <c r="I422" i="1" s="1"/>
  <c r="K422" i="1" s="1"/>
  <c r="N421" i="1" l="1"/>
  <c r="J421" i="1"/>
  <c r="M422" i="1" s="1"/>
  <c r="L422" i="1"/>
  <c r="G424" i="1"/>
  <c r="H423" i="1"/>
  <c r="I423" i="1" s="1"/>
  <c r="K423" i="1" s="1"/>
  <c r="N422" i="1" l="1"/>
  <c r="J422" i="1"/>
  <c r="M423" i="1" s="1"/>
  <c r="L423" i="1"/>
  <c r="G425" i="1"/>
  <c r="H424" i="1"/>
  <c r="I424" i="1" s="1"/>
  <c r="K424" i="1" s="1"/>
  <c r="N423" i="1" l="1"/>
  <c r="J423" i="1"/>
  <c r="M424" i="1" s="1"/>
  <c r="L424" i="1"/>
  <c r="G426" i="1"/>
  <c r="H425" i="1"/>
  <c r="I425" i="1" s="1"/>
  <c r="K425" i="1" s="1"/>
  <c r="N424" i="1" l="1"/>
  <c r="J424" i="1"/>
  <c r="M425" i="1" s="1"/>
  <c r="L425" i="1"/>
  <c r="G427" i="1"/>
  <c r="H426" i="1"/>
  <c r="I426" i="1" s="1"/>
  <c r="K426" i="1" s="1"/>
  <c r="N425" i="1" l="1"/>
  <c r="J425" i="1"/>
  <c r="M426" i="1" s="1"/>
  <c r="L426" i="1"/>
  <c r="G428" i="1"/>
  <c r="H427" i="1"/>
  <c r="I427" i="1" s="1"/>
  <c r="K427" i="1" s="1"/>
  <c r="N426" i="1" l="1"/>
  <c r="J426" i="1"/>
  <c r="M427" i="1" s="1"/>
  <c r="L427" i="1"/>
  <c r="G429" i="1"/>
  <c r="H428" i="1"/>
  <c r="I428" i="1" s="1"/>
  <c r="K428" i="1" s="1"/>
  <c r="N427" i="1" l="1"/>
  <c r="J427" i="1"/>
  <c r="M428" i="1" s="1"/>
  <c r="L428" i="1"/>
  <c r="G430" i="1"/>
  <c r="H429" i="1"/>
  <c r="I429" i="1" s="1"/>
  <c r="K429" i="1" s="1"/>
  <c r="N428" i="1" l="1"/>
  <c r="J428" i="1"/>
  <c r="M429" i="1" s="1"/>
  <c r="L429" i="1"/>
  <c r="G431" i="1"/>
  <c r="H430" i="1"/>
  <c r="I430" i="1" s="1"/>
  <c r="K430" i="1" s="1"/>
  <c r="N429" i="1" l="1"/>
  <c r="J429" i="1"/>
  <c r="M430" i="1" s="1"/>
  <c r="L430" i="1"/>
  <c r="G432" i="1"/>
  <c r="H431" i="1"/>
  <c r="I431" i="1" s="1"/>
  <c r="K431" i="1" s="1"/>
  <c r="N430" i="1" l="1"/>
  <c r="J430" i="1"/>
  <c r="M431" i="1" s="1"/>
  <c r="L431" i="1"/>
  <c r="G433" i="1"/>
  <c r="H432" i="1"/>
  <c r="I432" i="1" s="1"/>
  <c r="K432" i="1" s="1"/>
  <c r="J431" i="1" l="1"/>
  <c r="M432" i="1" s="1"/>
  <c r="N431" i="1"/>
  <c r="L432" i="1"/>
  <c r="G434" i="1"/>
  <c r="H433" i="1"/>
  <c r="I433" i="1" s="1"/>
  <c r="K433" i="1" s="1"/>
  <c r="N432" i="1" l="1"/>
  <c r="J432" i="1"/>
  <c r="M433" i="1" s="1"/>
  <c r="L433" i="1"/>
  <c r="G435" i="1"/>
  <c r="H434" i="1"/>
  <c r="I434" i="1" s="1"/>
  <c r="K434" i="1" s="1"/>
  <c r="N433" i="1" l="1"/>
  <c r="J433" i="1"/>
  <c r="M434" i="1" s="1"/>
  <c r="L434" i="1"/>
  <c r="G436" i="1"/>
  <c r="H435" i="1"/>
  <c r="I435" i="1" s="1"/>
  <c r="K435" i="1" s="1"/>
  <c r="N434" i="1" l="1"/>
  <c r="J434" i="1"/>
  <c r="M435" i="1" s="1"/>
  <c r="L435" i="1"/>
  <c r="G437" i="1"/>
  <c r="H436" i="1"/>
  <c r="I436" i="1" s="1"/>
  <c r="K436" i="1" s="1"/>
  <c r="N435" i="1" l="1"/>
  <c r="J435" i="1"/>
  <c r="M436" i="1" s="1"/>
  <c r="L436" i="1"/>
  <c r="G438" i="1"/>
  <c r="H437" i="1"/>
  <c r="I437" i="1" s="1"/>
  <c r="K437" i="1" s="1"/>
  <c r="J436" i="1" l="1"/>
  <c r="M437" i="1" s="1"/>
  <c r="N436" i="1"/>
  <c r="L437" i="1"/>
  <c r="G439" i="1"/>
  <c r="H438" i="1"/>
  <c r="I438" i="1" s="1"/>
  <c r="K438" i="1" s="1"/>
  <c r="N437" i="1" l="1"/>
  <c r="J437" i="1"/>
  <c r="M438" i="1" s="1"/>
  <c r="L438" i="1"/>
  <c r="G440" i="1"/>
  <c r="H439" i="1"/>
  <c r="I439" i="1" s="1"/>
  <c r="K439" i="1" s="1"/>
  <c r="N438" i="1" l="1"/>
  <c r="J438" i="1"/>
  <c r="M439" i="1" s="1"/>
  <c r="L439" i="1"/>
  <c r="G441" i="1"/>
  <c r="H440" i="1"/>
  <c r="I440" i="1" s="1"/>
  <c r="K440" i="1" s="1"/>
  <c r="N439" i="1" l="1"/>
  <c r="J439" i="1"/>
  <c r="M440" i="1" s="1"/>
  <c r="L440" i="1"/>
  <c r="G442" i="1"/>
  <c r="H441" i="1"/>
  <c r="I441" i="1" s="1"/>
  <c r="K441" i="1" s="1"/>
  <c r="N440" i="1" l="1"/>
  <c r="J440" i="1"/>
  <c r="M441" i="1" s="1"/>
  <c r="L441" i="1"/>
  <c r="G443" i="1"/>
  <c r="H442" i="1"/>
  <c r="I442" i="1" s="1"/>
  <c r="K442" i="1" s="1"/>
  <c r="N441" i="1" l="1"/>
  <c r="J441" i="1"/>
  <c r="M442" i="1" s="1"/>
  <c r="L442" i="1"/>
  <c r="G444" i="1"/>
  <c r="H443" i="1"/>
  <c r="I443" i="1" s="1"/>
  <c r="K443" i="1" s="1"/>
  <c r="N442" i="1" l="1"/>
  <c r="J442" i="1"/>
  <c r="M443" i="1" s="1"/>
  <c r="L443" i="1"/>
  <c r="G445" i="1"/>
  <c r="H444" i="1"/>
  <c r="I444" i="1" s="1"/>
  <c r="K444" i="1" s="1"/>
  <c r="N443" i="1" l="1"/>
  <c r="J443" i="1"/>
  <c r="M444" i="1" s="1"/>
  <c r="L444" i="1"/>
  <c r="G446" i="1"/>
  <c r="H445" i="1"/>
  <c r="I445" i="1" s="1"/>
  <c r="K445" i="1" s="1"/>
  <c r="N444" i="1" l="1"/>
  <c r="J444" i="1"/>
  <c r="M445" i="1" s="1"/>
  <c r="L445" i="1"/>
  <c r="G447" i="1"/>
  <c r="H446" i="1"/>
  <c r="I446" i="1" s="1"/>
  <c r="K446" i="1" s="1"/>
  <c r="N445" i="1" l="1"/>
  <c r="J445" i="1"/>
  <c r="M446" i="1" s="1"/>
  <c r="L446" i="1"/>
  <c r="G448" i="1"/>
  <c r="H447" i="1"/>
  <c r="I447" i="1" s="1"/>
  <c r="K447" i="1" s="1"/>
  <c r="N446" i="1" l="1"/>
  <c r="J446" i="1"/>
  <c r="M447" i="1" s="1"/>
  <c r="L447" i="1"/>
  <c r="G449" i="1"/>
  <c r="H448" i="1"/>
  <c r="I448" i="1" s="1"/>
  <c r="K448" i="1" s="1"/>
  <c r="N447" i="1" l="1"/>
  <c r="J447" i="1"/>
  <c r="M448" i="1" s="1"/>
  <c r="L448" i="1"/>
  <c r="G450" i="1"/>
  <c r="H449" i="1"/>
  <c r="I449" i="1" s="1"/>
  <c r="K449" i="1" s="1"/>
  <c r="N448" i="1" l="1"/>
  <c r="J448" i="1"/>
  <c r="M449" i="1" s="1"/>
  <c r="L449" i="1"/>
  <c r="G451" i="1"/>
  <c r="H450" i="1"/>
  <c r="I450" i="1" s="1"/>
  <c r="K450" i="1" s="1"/>
  <c r="N449" i="1" l="1"/>
  <c r="J449" i="1"/>
  <c r="M450" i="1" s="1"/>
  <c r="L450" i="1"/>
  <c r="G452" i="1"/>
  <c r="H451" i="1"/>
  <c r="I451" i="1" s="1"/>
  <c r="K451" i="1" s="1"/>
  <c r="N450" i="1" l="1"/>
  <c r="J450" i="1"/>
  <c r="M451" i="1" s="1"/>
  <c r="L451" i="1"/>
  <c r="G453" i="1"/>
  <c r="H452" i="1"/>
  <c r="I452" i="1" s="1"/>
  <c r="K452" i="1" s="1"/>
  <c r="N451" i="1" l="1"/>
  <c r="J451" i="1"/>
  <c r="M452" i="1" s="1"/>
  <c r="L452" i="1"/>
  <c r="G454" i="1"/>
  <c r="H453" i="1"/>
  <c r="I453" i="1" s="1"/>
  <c r="K453" i="1" s="1"/>
  <c r="N452" i="1" l="1"/>
  <c r="J452" i="1"/>
  <c r="M453" i="1" s="1"/>
  <c r="L453" i="1"/>
  <c r="G455" i="1"/>
  <c r="H454" i="1"/>
  <c r="I454" i="1" s="1"/>
  <c r="K454" i="1" s="1"/>
  <c r="N453" i="1" l="1"/>
  <c r="J453" i="1"/>
  <c r="M454" i="1" s="1"/>
  <c r="L454" i="1"/>
  <c r="G456" i="1"/>
  <c r="H455" i="1"/>
  <c r="I455" i="1" s="1"/>
  <c r="K455" i="1" s="1"/>
  <c r="J454" i="1" l="1"/>
  <c r="M455" i="1" s="1"/>
  <c r="N454" i="1"/>
  <c r="L455" i="1"/>
  <c r="G457" i="1"/>
  <c r="H456" i="1"/>
  <c r="I456" i="1" s="1"/>
  <c r="K456" i="1" s="1"/>
  <c r="N455" i="1" l="1"/>
  <c r="J455" i="1"/>
  <c r="M456" i="1" s="1"/>
  <c r="L456" i="1"/>
  <c r="G458" i="1"/>
  <c r="H457" i="1"/>
  <c r="I457" i="1" s="1"/>
  <c r="K457" i="1" s="1"/>
  <c r="N456" i="1" l="1"/>
  <c r="J456" i="1"/>
  <c r="M457" i="1" s="1"/>
  <c r="L457" i="1"/>
  <c r="G459" i="1"/>
  <c r="H458" i="1"/>
  <c r="I458" i="1" s="1"/>
  <c r="K458" i="1" s="1"/>
  <c r="N457" i="1" l="1"/>
  <c r="J457" i="1"/>
  <c r="M458" i="1" s="1"/>
  <c r="L458" i="1"/>
  <c r="G460" i="1"/>
  <c r="H459" i="1"/>
  <c r="I459" i="1" s="1"/>
  <c r="K459" i="1" s="1"/>
  <c r="N458" i="1" l="1"/>
  <c r="J458" i="1"/>
  <c r="M459" i="1" s="1"/>
  <c r="L459" i="1"/>
  <c r="G461" i="1"/>
  <c r="H460" i="1"/>
  <c r="I460" i="1" s="1"/>
  <c r="K460" i="1" s="1"/>
  <c r="N459" i="1" l="1"/>
  <c r="J459" i="1"/>
  <c r="M460" i="1" s="1"/>
  <c r="L460" i="1"/>
  <c r="G462" i="1"/>
  <c r="H461" i="1"/>
  <c r="I461" i="1" s="1"/>
  <c r="K461" i="1" s="1"/>
  <c r="N460" i="1" l="1"/>
  <c r="J460" i="1"/>
  <c r="M461" i="1" s="1"/>
  <c r="L461" i="1"/>
  <c r="G463" i="1"/>
  <c r="H462" i="1"/>
  <c r="I462" i="1" s="1"/>
  <c r="K462" i="1" s="1"/>
  <c r="N461" i="1" l="1"/>
  <c r="J461" i="1"/>
  <c r="M462" i="1" s="1"/>
  <c r="L462" i="1"/>
  <c r="G464" i="1"/>
  <c r="H463" i="1"/>
  <c r="I463" i="1" s="1"/>
  <c r="K463" i="1" s="1"/>
  <c r="N462" i="1" l="1"/>
  <c r="J462" i="1"/>
  <c r="M463" i="1" s="1"/>
  <c r="L463" i="1"/>
  <c r="G465" i="1"/>
  <c r="H464" i="1"/>
  <c r="I464" i="1" s="1"/>
  <c r="K464" i="1" s="1"/>
  <c r="N463" i="1" l="1"/>
  <c r="J463" i="1"/>
  <c r="M464" i="1" s="1"/>
  <c r="L464" i="1"/>
  <c r="G466" i="1"/>
  <c r="H465" i="1"/>
  <c r="I465" i="1" s="1"/>
  <c r="K465" i="1" s="1"/>
  <c r="N464" i="1" l="1"/>
  <c r="J464" i="1"/>
  <c r="M465" i="1" s="1"/>
  <c r="L465" i="1"/>
  <c r="G467" i="1"/>
  <c r="H466" i="1"/>
  <c r="I466" i="1" s="1"/>
  <c r="K466" i="1" s="1"/>
  <c r="N465" i="1" l="1"/>
  <c r="J465" i="1"/>
  <c r="M466" i="1" s="1"/>
  <c r="L466" i="1"/>
  <c r="G468" i="1"/>
  <c r="H467" i="1"/>
  <c r="I467" i="1" s="1"/>
  <c r="K467" i="1" s="1"/>
  <c r="N466" i="1" l="1"/>
  <c r="J466" i="1"/>
  <c r="M467" i="1" s="1"/>
  <c r="L467" i="1"/>
  <c r="G469" i="1"/>
  <c r="H468" i="1"/>
  <c r="I468" i="1" s="1"/>
  <c r="K468" i="1" s="1"/>
  <c r="N467" i="1" l="1"/>
  <c r="J467" i="1"/>
  <c r="M468" i="1" s="1"/>
  <c r="L468" i="1"/>
  <c r="G470" i="1"/>
  <c r="H469" i="1"/>
  <c r="I469" i="1" s="1"/>
  <c r="K469" i="1" s="1"/>
  <c r="N468" i="1" l="1"/>
  <c r="J468" i="1"/>
  <c r="M469" i="1" s="1"/>
  <c r="L469" i="1"/>
  <c r="G471" i="1"/>
  <c r="H470" i="1"/>
  <c r="I470" i="1" s="1"/>
  <c r="K470" i="1" s="1"/>
  <c r="N469" i="1" l="1"/>
  <c r="J469" i="1"/>
  <c r="M470" i="1" s="1"/>
  <c r="L470" i="1"/>
  <c r="G472" i="1"/>
  <c r="H471" i="1"/>
  <c r="I471" i="1" s="1"/>
  <c r="K471" i="1" s="1"/>
  <c r="N470" i="1" l="1"/>
  <c r="J470" i="1"/>
  <c r="M471" i="1" s="1"/>
  <c r="L471" i="1"/>
  <c r="G473" i="1"/>
  <c r="H472" i="1"/>
  <c r="I472" i="1" s="1"/>
  <c r="K472" i="1" s="1"/>
  <c r="N471" i="1" l="1"/>
  <c r="J471" i="1"/>
  <c r="M472" i="1" s="1"/>
  <c r="L472" i="1"/>
  <c r="G474" i="1"/>
  <c r="H473" i="1"/>
  <c r="I473" i="1" s="1"/>
  <c r="K473" i="1" s="1"/>
  <c r="N472" i="1" l="1"/>
  <c r="J472" i="1"/>
  <c r="M473" i="1" s="1"/>
  <c r="L473" i="1"/>
  <c r="G475" i="1"/>
  <c r="H474" i="1"/>
  <c r="I474" i="1" s="1"/>
  <c r="K474" i="1" s="1"/>
  <c r="N473" i="1" l="1"/>
  <c r="J473" i="1"/>
  <c r="M474" i="1" s="1"/>
  <c r="L474" i="1"/>
  <c r="G476" i="1"/>
  <c r="H475" i="1"/>
  <c r="I475" i="1" s="1"/>
  <c r="K475" i="1" s="1"/>
  <c r="N474" i="1" l="1"/>
  <c r="J474" i="1"/>
  <c r="M475" i="1" s="1"/>
  <c r="L475" i="1"/>
  <c r="G477" i="1"/>
  <c r="H476" i="1"/>
  <c r="I476" i="1" s="1"/>
  <c r="K476" i="1" s="1"/>
  <c r="N475" i="1" l="1"/>
  <c r="J475" i="1"/>
  <c r="M476" i="1" s="1"/>
  <c r="L476" i="1"/>
  <c r="G478" i="1"/>
  <c r="H477" i="1"/>
  <c r="I477" i="1" s="1"/>
  <c r="K477" i="1" s="1"/>
  <c r="N476" i="1" l="1"/>
  <c r="J476" i="1"/>
  <c r="M477" i="1" s="1"/>
  <c r="L477" i="1"/>
  <c r="G479" i="1"/>
  <c r="H478" i="1"/>
  <c r="I478" i="1" s="1"/>
  <c r="K478" i="1" s="1"/>
  <c r="N477" i="1" l="1"/>
  <c r="J477" i="1"/>
  <c r="M478" i="1" s="1"/>
  <c r="L478" i="1"/>
  <c r="G480" i="1"/>
  <c r="H479" i="1"/>
  <c r="I479" i="1" s="1"/>
  <c r="K479" i="1" s="1"/>
  <c r="N478" i="1" l="1"/>
  <c r="J478" i="1"/>
  <c r="M479" i="1" s="1"/>
  <c r="L479" i="1"/>
  <c r="G481" i="1"/>
  <c r="H480" i="1"/>
  <c r="I480" i="1" s="1"/>
  <c r="K480" i="1" s="1"/>
  <c r="J479" i="1" l="1"/>
  <c r="M480" i="1" s="1"/>
  <c r="N479" i="1"/>
  <c r="L480" i="1"/>
  <c r="G482" i="1"/>
  <c r="H481" i="1"/>
  <c r="I481" i="1" s="1"/>
  <c r="K481" i="1" s="1"/>
  <c r="N480" i="1" l="1"/>
  <c r="J480" i="1"/>
  <c r="M481" i="1" s="1"/>
  <c r="L481" i="1"/>
  <c r="G483" i="1"/>
  <c r="H482" i="1"/>
  <c r="I482" i="1" s="1"/>
  <c r="K482" i="1" s="1"/>
  <c r="N481" i="1" l="1"/>
  <c r="J481" i="1"/>
  <c r="M482" i="1" s="1"/>
  <c r="L482" i="1"/>
  <c r="G484" i="1"/>
  <c r="H483" i="1"/>
  <c r="I483" i="1" s="1"/>
  <c r="K483" i="1" s="1"/>
  <c r="N482" i="1" l="1"/>
  <c r="J482" i="1"/>
  <c r="M483" i="1" s="1"/>
  <c r="L483" i="1"/>
  <c r="G485" i="1"/>
  <c r="H484" i="1"/>
  <c r="I484" i="1" s="1"/>
  <c r="K484" i="1" s="1"/>
  <c r="N483" i="1" l="1"/>
  <c r="J483" i="1"/>
  <c r="M484" i="1" s="1"/>
  <c r="L484" i="1"/>
  <c r="G486" i="1"/>
  <c r="H485" i="1"/>
  <c r="I485" i="1" s="1"/>
  <c r="K485" i="1" s="1"/>
  <c r="N484" i="1" l="1"/>
  <c r="J484" i="1"/>
  <c r="M485" i="1" s="1"/>
  <c r="L485" i="1"/>
  <c r="G487" i="1"/>
  <c r="H486" i="1"/>
  <c r="I486" i="1" s="1"/>
  <c r="K486" i="1" s="1"/>
  <c r="N485" i="1" l="1"/>
  <c r="J485" i="1"/>
  <c r="M486" i="1" s="1"/>
  <c r="L486" i="1"/>
  <c r="G488" i="1"/>
  <c r="H487" i="1"/>
  <c r="I487" i="1" s="1"/>
  <c r="K487" i="1" s="1"/>
  <c r="N486" i="1" l="1"/>
  <c r="J486" i="1"/>
  <c r="M487" i="1" s="1"/>
  <c r="L487" i="1"/>
  <c r="G489" i="1"/>
  <c r="H488" i="1"/>
  <c r="I488" i="1" s="1"/>
  <c r="K488" i="1" s="1"/>
  <c r="N487" i="1" l="1"/>
  <c r="J487" i="1"/>
  <c r="M488" i="1" s="1"/>
  <c r="L488" i="1"/>
  <c r="G490" i="1"/>
  <c r="H489" i="1"/>
  <c r="I489" i="1" s="1"/>
  <c r="K489" i="1" s="1"/>
  <c r="N488" i="1" l="1"/>
  <c r="J488" i="1"/>
  <c r="M489" i="1" s="1"/>
  <c r="L489" i="1"/>
  <c r="G491" i="1"/>
  <c r="H490" i="1"/>
  <c r="I490" i="1" s="1"/>
  <c r="K490" i="1" s="1"/>
  <c r="N489" i="1" l="1"/>
  <c r="J489" i="1"/>
  <c r="M490" i="1" s="1"/>
  <c r="L490" i="1"/>
  <c r="G492" i="1"/>
  <c r="H491" i="1"/>
  <c r="I491" i="1" s="1"/>
  <c r="K491" i="1" s="1"/>
  <c r="N490" i="1" l="1"/>
  <c r="J490" i="1"/>
  <c r="M491" i="1" s="1"/>
  <c r="L491" i="1"/>
  <c r="G493" i="1"/>
  <c r="H492" i="1"/>
  <c r="I492" i="1" s="1"/>
  <c r="K492" i="1" s="1"/>
  <c r="N491" i="1" l="1"/>
  <c r="J491" i="1"/>
  <c r="M492" i="1" s="1"/>
  <c r="L492" i="1"/>
  <c r="G494" i="1"/>
  <c r="H493" i="1"/>
  <c r="I493" i="1" s="1"/>
  <c r="K493" i="1" s="1"/>
  <c r="N492" i="1" l="1"/>
  <c r="J492" i="1"/>
  <c r="M493" i="1" s="1"/>
  <c r="L493" i="1"/>
  <c r="G495" i="1"/>
  <c r="H494" i="1"/>
  <c r="I494" i="1" s="1"/>
  <c r="K494" i="1" s="1"/>
  <c r="N493" i="1" l="1"/>
  <c r="J493" i="1"/>
  <c r="M494" i="1" s="1"/>
  <c r="L494" i="1"/>
  <c r="G496" i="1"/>
  <c r="H495" i="1"/>
  <c r="I495" i="1" s="1"/>
  <c r="K495" i="1" s="1"/>
  <c r="N494" i="1" l="1"/>
  <c r="J494" i="1"/>
  <c r="M495" i="1" s="1"/>
  <c r="L495" i="1"/>
  <c r="G497" i="1"/>
  <c r="H496" i="1"/>
  <c r="I496" i="1" s="1"/>
  <c r="K496" i="1" s="1"/>
  <c r="N495" i="1" l="1"/>
  <c r="J495" i="1"/>
  <c r="M496" i="1" s="1"/>
  <c r="L496" i="1"/>
  <c r="G498" i="1"/>
  <c r="H497" i="1"/>
  <c r="I497" i="1" s="1"/>
  <c r="K497" i="1" s="1"/>
  <c r="N496" i="1" l="1"/>
  <c r="J496" i="1"/>
  <c r="M497" i="1" s="1"/>
  <c r="L497" i="1"/>
  <c r="G499" i="1"/>
  <c r="H498" i="1"/>
  <c r="I498" i="1" s="1"/>
  <c r="K498" i="1" s="1"/>
  <c r="N497" i="1" l="1"/>
  <c r="J497" i="1"/>
  <c r="M498" i="1" s="1"/>
  <c r="L498" i="1"/>
  <c r="G500" i="1"/>
  <c r="H499" i="1"/>
  <c r="I499" i="1" s="1"/>
  <c r="K499" i="1" s="1"/>
  <c r="N498" i="1" l="1"/>
  <c r="J498" i="1"/>
  <c r="M499" i="1" s="1"/>
  <c r="L499" i="1"/>
  <c r="G501" i="1"/>
  <c r="H500" i="1"/>
  <c r="I500" i="1" s="1"/>
  <c r="K500" i="1" s="1"/>
  <c r="N499" i="1" l="1"/>
  <c r="J499" i="1"/>
  <c r="M500" i="1" s="1"/>
  <c r="L500" i="1"/>
  <c r="G502" i="1"/>
  <c r="H501" i="1"/>
  <c r="I501" i="1" s="1"/>
  <c r="K501" i="1" s="1"/>
  <c r="N500" i="1" l="1"/>
  <c r="J500" i="1"/>
  <c r="M501" i="1" s="1"/>
  <c r="L501" i="1"/>
  <c r="G503" i="1"/>
  <c r="H502" i="1"/>
  <c r="I502" i="1" s="1"/>
  <c r="K502" i="1" s="1"/>
  <c r="N501" i="1" l="1"/>
  <c r="J501" i="1"/>
  <c r="M502" i="1" s="1"/>
  <c r="L502" i="1"/>
  <c r="G504" i="1"/>
  <c r="H503" i="1"/>
  <c r="I503" i="1" s="1"/>
  <c r="K503" i="1" s="1"/>
  <c r="N502" i="1" l="1"/>
  <c r="J502" i="1"/>
  <c r="M503" i="1" s="1"/>
  <c r="L503" i="1"/>
  <c r="G505" i="1"/>
  <c r="H504" i="1"/>
  <c r="I504" i="1" s="1"/>
  <c r="K504" i="1" s="1"/>
  <c r="N503" i="1" l="1"/>
  <c r="J503" i="1"/>
  <c r="M504" i="1" s="1"/>
  <c r="L504" i="1"/>
  <c r="G506" i="1"/>
  <c r="H505" i="1"/>
  <c r="I505" i="1" s="1"/>
  <c r="K505" i="1" s="1"/>
  <c r="N504" i="1" l="1"/>
  <c r="J504" i="1"/>
  <c r="M505" i="1" s="1"/>
  <c r="L505" i="1"/>
  <c r="G507" i="1"/>
  <c r="H506" i="1"/>
  <c r="I506" i="1" s="1"/>
  <c r="K506" i="1" s="1"/>
  <c r="N505" i="1" l="1"/>
  <c r="J505" i="1"/>
  <c r="M506" i="1" s="1"/>
  <c r="L506" i="1"/>
  <c r="G508" i="1"/>
  <c r="H507" i="1"/>
  <c r="I507" i="1" s="1"/>
  <c r="K507" i="1" s="1"/>
  <c r="N506" i="1" l="1"/>
  <c r="J506" i="1"/>
  <c r="M507" i="1" s="1"/>
  <c r="L507" i="1"/>
  <c r="G509" i="1"/>
  <c r="H508" i="1"/>
  <c r="I508" i="1" s="1"/>
  <c r="K508" i="1" s="1"/>
  <c r="N507" i="1" l="1"/>
  <c r="J507" i="1"/>
  <c r="M508" i="1" s="1"/>
  <c r="L508" i="1"/>
  <c r="G510" i="1"/>
  <c r="H509" i="1"/>
  <c r="I509" i="1" s="1"/>
  <c r="K509" i="1" s="1"/>
  <c r="N508" i="1" l="1"/>
  <c r="J508" i="1"/>
  <c r="M509" i="1" s="1"/>
  <c r="L509" i="1"/>
  <c r="G511" i="1"/>
  <c r="H510" i="1"/>
  <c r="I510" i="1" s="1"/>
  <c r="K510" i="1" s="1"/>
  <c r="N509" i="1" l="1"/>
  <c r="J509" i="1"/>
  <c r="M510" i="1" s="1"/>
  <c r="L510" i="1"/>
  <c r="G512" i="1"/>
  <c r="H511" i="1"/>
  <c r="I511" i="1" s="1"/>
  <c r="K511" i="1" s="1"/>
  <c r="N510" i="1" l="1"/>
  <c r="J510" i="1"/>
  <c r="M511" i="1" s="1"/>
  <c r="L511" i="1"/>
  <c r="G513" i="1"/>
  <c r="H512" i="1"/>
  <c r="I512" i="1" s="1"/>
  <c r="K512" i="1" s="1"/>
  <c r="N511" i="1" l="1"/>
  <c r="J511" i="1"/>
  <c r="M512" i="1" s="1"/>
  <c r="L512" i="1"/>
  <c r="G514" i="1"/>
  <c r="H513" i="1"/>
  <c r="I513" i="1" s="1"/>
  <c r="K513" i="1" s="1"/>
  <c r="N512" i="1" l="1"/>
  <c r="J512" i="1"/>
  <c r="M513" i="1" s="1"/>
  <c r="L513" i="1"/>
  <c r="G515" i="1"/>
  <c r="H514" i="1"/>
  <c r="I514" i="1" s="1"/>
  <c r="K514" i="1" s="1"/>
  <c r="N513" i="1" l="1"/>
  <c r="J513" i="1"/>
  <c r="M514" i="1" s="1"/>
  <c r="L514" i="1"/>
  <c r="G516" i="1"/>
  <c r="H515" i="1"/>
  <c r="I515" i="1" s="1"/>
  <c r="K515" i="1" s="1"/>
  <c r="N514" i="1" l="1"/>
  <c r="J514" i="1"/>
  <c r="M515" i="1" s="1"/>
  <c r="L515" i="1"/>
  <c r="G517" i="1"/>
  <c r="H516" i="1"/>
  <c r="I516" i="1" s="1"/>
  <c r="K516" i="1" s="1"/>
  <c r="N515" i="1" l="1"/>
  <c r="J515" i="1"/>
  <c r="M516" i="1" s="1"/>
  <c r="L516" i="1"/>
  <c r="G518" i="1"/>
  <c r="H517" i="1"/>
  <c r="I517" i="1" s="1"/>
  <c r="K517" i="1" s="1"/>
  <c r="N516" i="1" l="1"/>
  <c r="J516" i="1"/>
  <c r="M517" i="1" s="1"/>
  <c r="L517" i="1"/>
  <c r="G519" i="1"/>
  <c r="H518" i="1"/>
  <c r="I518" i="1" s="1"/>
  <c r="K518" i="1" s="1"/>
  <c r="N517" i="1" l="1"/>
  <c r="J517" i="1"/>
  <c r="M518" i="1" s="1"/>
  <c r="L518" i="1"/>
  <c r="G520" i="1"/>
  <c r="H519" i="1"/>
  <c r="I519" i="1" s="1"/>
  <c r="K519" i="1" s="1"/>
  <c r="N518" i="1" l="1"/>
  <c r="J518" i="1"/>
  <c r="M519" i="1" s="1"/>
  <c r="L519" i="1"/>
  <c r="G521" i="1"/>
  <c r="H520" i="1"/>
  <c r="I520" i="1" s="1"/>
  <c r="K520" i="1" s="1"/>
  <c r="N519" i="1" l="1"/>
  <c r="J519" i="1"/>
  <c r="M520" i="1" s="1"/>
  <c r="L520" i="1"/>
  <c r="G522" i="1"/>
  <c r="H521" i="1"/>
  <c r="I521" i="1" s="1"/>
  <c r="K521" i="1" s="1"/>
  <c r="N520" i="1" l="1"/>
  <c r="J520" i="1"/>
  <c r="M521" i="1" s="1"/>
  <c r="L521" i="1"/>
  <c r="G523" i="1"/>
  <c r="H522" i="1"/>
  <c r="I522" i="1" s="1"/>
  <c r="K522" i="1" s="1"/>
  <c r="N521" i="1" l="1"/>
  <c r="J521" i="1"/>
  <c r="M522" i="1" s="1"/>
  <c r="L522" i="1"/>
  <c r="G524" i="1"/>
  <c r="H523" i="1"/>
  <c r="I523" i="1" s="1"/>
  <c r="K523" i="1" s="1"/>
  <c r="N522" i="1" l="1"/>
  <c r="J522" i="1"/>
  <c r="M523" i="1" s="1"/>
  <c r="L523" i="1"/>
  <c r="G525" i="1"/>
  <c r="H524" i="1"/>
  <c r="I524" i="1" s="1"/>
  <c r="K524" i="1" s="1"/>
  <c r="N523" i="1" l="1"/>
  <c r="J523" i="1"/>
  <c r="M524" i="1" s="1"/>
  <c r="L524" i="1"/>
  <c r="G526" i="1"/>
  <c r="H525" i="1"/>
  <c r="I525" i="1" s="1"/>
  <c r="K525" i="1" s="1"/>
  <c r="N524" i="1" l="1"/>
  <c r="J524" i="1"/>
  <c r="M525" i="1" s="1"/>
  <c r="L525" i="1"/>
  <c r="G527" i="1"/>
  <c r="H526" i="1"/>
  <c r="I526" i="1" s="1"/>
  <c r="K526" i="1" s="1"/>
  <c r="N525" i="1" l="1"/>
  <c r="J525" i="1"/>
  <c r="M526" i="1" s="1"/>
  <c r="L526" i="1"/>
  <c r="G528" i="1"/>
  <c r="H527" i="1"/>
  <c r="I527" i="1" s="1"/>
  <c r="K527" i="1" s="1"/>
  <c r="N526" i="1" l="1"/>
  <c r="J526" i="1"/>
  <c r="M527" i="1" s="1"/>
  <c r="L527" i="1"/>
  <c r="G529" i="1"/>
  <c r="H528" i="1"/>
  <c r="I528" i="1" s="1"/>
  <c r="K528" i="1" s="1"/>
  <c r="N527" i="1" l="1"/>
  <c r="J527" i="1"/>
  <c r="M528" i="1" s="1"/>
  <c r="L528" i="1"/>
  <c r="G530" i="1"/>
  <c r="H529" i="1"/>
  <c r="I529" i="1" s="1"/>
  <c r="K529" i="1" s="1"/>
  <c r="N528" i="1" l="1"/>
  <c r="J528" i="1"/>
  <c r="M529" i="1" s="1"/>
  <c r="L529" i="1"/>
  <c r="G531" i="1"/>
  <c r="H530" i="1"/>
  <c r="I530" i="1" s="1"/>
  <c r="K530" i="1" s="1"/>
  <c r="N529" i="1" l="1"/>
  <c r="J529" i="1"/>
  <c r="M530" i="1" s="1"/>
  <c r="L530" i="1"/>
  <c r="G532" i="1"/>
  <c r="H531" i="1"/>
  <c r="I531" i="1" s="1"/>
  <c r="K531" i="1" s="1"/>
  <c r="N530" i="1" l="1"/>
  <c r="J530" i="1"/>
  <c r="M531" i="1" s="1"/>
  <c r="L531" i="1"/>
  <c r="G533" i="1"/>
  <c r="H532" i="1"/>
  <c r="I532" i="1" s="1"/>
  <c r="K532" i="1" s="1"/>
  <c r="N531" i="1" l="1"/>
  <c r="J531" i="1"/>
  <c r="M532" i="1" s="1"/>
  <c r="L532" i="1"/>
  <c r="G534" i="1"/>
  <c r="H533" i="1"/>
  <c r="I533" i="1" s="1"/>
  <c r="K533" i="1" s="1"/>
  <c r="N532" i="1" l="1"/>
  <c r="J532" i="1"/>
  <c r="M533" i="1" s="1"/>
  <c r="L533" i="1"/>
  <c r="G535" i="1"/>
  <c r="H534" i="1"/>
  <c r="I534" i="1" s="1"/>
  <c r="K534" i="1" s="1"/>
  <c r="N533" i="1" l="1"/>
  <c r="J533" i="1"/>
  <c r="M534" i="1" s="1"/>
  <c r="L534" i="1"/>
  <c r="G536" i="1"/>
  <c r="H535" i="1"/>
  <c r="I535" i="1" s="1"/>
  <c r="K535" i="1" s="1"/>
  <c r="N534" i="1" l="1"/>
  <c r="J534" i="1"/>
  <c r="M535" i="1" s="1"/>
  <c r="L535" i="1"/>
  <c r="G537" i="1"/>
  <c r="H536" i="1"/>
  <c r="I536" i="1" s="1"/>
  <c r="K536" i="1" s="1"/>
  <c r="N535" i="1" l="1"/>
  <c r="J535" i="1"/>
  <c r="M536" i="1" s="1"/>
  <c r="L536" i="1"/>
  <c r="G538" i="1"/>
  <c r="H537" i="1"/>
  <c r="I537" i="1" s="1"/>
  <c r="K537" i="1" s="1"/>
  <c r="N536" i="1" l="1"/>
  <c r="J536" i="1"/>
  <c r="M537" i="1" s="1"/>
  <c r="L537" i="1"/>
  <c r="G539" i="1"/>
  <c r="H538" i="1"/>
  <c r="I538" i="1" s="1"/>
  <c r="K538" i="1" s="1"/>
  <c r="N537" i="1" l="1"/>
  <c r="J537" i="1"/>
  <c r="M538" i="1" s="1"/>
  <c r="L538" i="1"/>
  <c r="G540" i="1"/>
  <c r="H539" i="1"/>
  <c r="I539" i="1" s="1"/>
  <c r="K539" i="1" s="1"/>
  <c r="N538" i="1" l="1"/>
  <c r="J538" i="1"/>
  <c r="M539" i="1" s="1"/>
  <c r="L539" i="1"/>
  <c r="G541" i="1"/>
  <c r="H540" i="1"/>
  <c r="I540" i="1" s="1"/>
  <c r="K540" i="1" s="1"/>
  <c r="N539" i="1" l="1"/>
  <c r="J539" i="1"/>
  <c r="M540" i="1" s="1"/>
  <c r="L540" i="1"/>
  <c r="G542" i="1"/>
  <c r="H541" i="1"/>
  <c r="I541" i="1" s="1"/>
  <c r="K541" i="1" s="1"/>
  <c r="N540" i="1" l="1"/>
  <c r="J540" i="1"/>
  <c r="M541" i="1" s="1"/>
  <c r="L541" i="1"/>
  <c r="G543" i="1"/>
  <c r="H542" i="1"/>
  <c r="I542" i="1" s="1"/>
  <c r="K542" i="1" s="1"/>
  <c r="N541" i="1" l="1"/>
  <c r="J541" i="1"/>
  <c r="M542" i="1" s="1"/>
  <c r="L542" i="1"/>
  <c r="G544" i="1"/>
  <c r="H543" i="1"/>
  <c r="I543" i="1" s="1"/>
  <c r="K543" i="1" s="1"/>
  <c r="N542" i="1" l="1"/>
  <c r="J542" i="1"/>
  <c r="M543" i="1" s="1"/>
  <c r="L543" i="1"/>
  <c r="G545" i="1"/>
  <c r="H544" i="1"/>
  <c r="I544" i="1" s="1"/>
  <c r="K544" i="1" s="1"/>
  <c r="N543" i="1" l="1"/>
  <c r="J543" i="1"/>
  <c r="M544" i="1" s="1"/>
  <c r="L544" i="1"/>
  <c r="G546" i="1"/>
  <c r="H545" i="1"/>
  <c r="I545" i="1" s="1"/>
  <c r="K545" i="1" s="1"/>
  <c r="N544" i="1" l="1"/>
  <c r="J544" i="1"/>
  <c r="M545" i="1" s="1"/>
  <c r="L545" i="1"/>
  <c r="G547" i="1"/>
  <c r="H546" i="1"/>
  <c r="I546" i="1" s="1"/>
  <c r="K546" i="1" s="1"/>
  <c r="N545" i="1" l="1"/>
  <c r="J545" i="1"/>
  <c r="M546" i="1" s="1"/>
  <c r="L546" i="1"/>
  <c r="G548" i="1"/>
  <c r="H547" i="1"/>
  <c r="I547" i="1" s="1"/>
  <c r="K547" i="1" s="1"/>
  <c r="N546" i="1" l="1"/>
  <c r="J546" i="1"/>
  <c r="M547" i="1" s="1"/>
  <c r="L547" i="1"/>
  <c r="G549" i="1"/>
  <c r="H548" i="1"/>
  <c r="I548" i="1" s="1"/>
  <c r="K548" i="1" s="1"/>
  <c r="N547" i="1" l="1"/>
  <c r="J547" i="1"/>
  <c r="M548" i="1" s="1"/>
  <c r="L548" i="1"/>
  <c r="G550" i="1"/>
  <c r="H549" i="1"/>
  <c r="I549" i="1" s="1"/>
  <c r="K549" i="1" s="1"/>
  <c r="N548" i="1" l="1"/>
  <c r="J548" i="1"/>
  <c r="M549" i="1" s="1"/>
  <c r="L549" i="1"/>
  <c r="G551" i="1"/>
  <c r="H550" i="1"/>
  <c r="I550" i="1" s="1"/>
  <c r="K550" i="1" s="1"/>
  <c r="N549" i="1" l="1"/>
  <c r="J549" i="1"/>
  <c r="M550" i="1" s="1"/>
  <c r="L550" i="1"/>
  <c r="G552" i="1"/>
  <c r="H551" i="1"/>
  <c r="I551" i="1" s="1"/>
  <c r="K551" i="1" s="1"/>
  <c r="N550" i="1" l="1"/>
  <c r="J550" i="1"/>
  <c r="M551" i="1" s="1"/>
  <c r="L551" i="1"/>
  <c r="G553" i="1"/>
  <c r="H552" i="1"/>
  <c r="I552" i="1" s="1"/>
  <c r="K552" i="1" s="1"/>
  <c r="N551" i="1" l="1"/>
  <c r="J551" i="1"/>
  <c r="M552" i="1" s="1"/>
  <c r="L552" i="1"/>
  <c r="G554" i="1"/>
  <c r="H553" i="1"/>
  <c r="I553" i="1" s="1"/>
  <c r="K553" i="1" s="1"/>
  <c r="N552" i="1" l="1"/>
  <c r="J552" i="1"/>
  <c r="M553" i="1" s="1"/>
  <c r="L553" i="1"/>
  <c r="G555" i="1"/>
  <c r="H554" i="1"/>
  <c r="I554" i="1" s="1"/>
  <c r="K554" i="1" s="1"/>
  <c r="N553" i="1" l="1"/>
  <c r="J553" i="1"/>
  <c r="M554" i="1" s="1"/>
  <c r="L554" i="1"/>
  <c r="G556" i="1"/>
  <c r="H555" i="1"/>
  <c r="I555" i="1" s="1"/>
  <c r="K555" i="1" s="1"/>
  <c r="N554" i="1" l="1"/>
  <c r="J554" i="1"/>
  <c r="M555" i="1" s="1"/>
  <c r="L555" i="1"/>
  <c r="G557" i="1"/>
  <c r="H556" i="1"/>
  <c r="I556" i="1" s="1"/>
  <c r="K556" i="1" s="1"/>
  <c r="N555" i="1" l="1"/>
  <c r="J555" i="1"/>
  <c r="M556" i="1" s="1"/>
  <c r="L556" i="1"/>
  <c r="G558" i="1"/>
  <c r="H557" i="1"/>
  <c r="I557" i="1" s="1"/>
  <c r="K557" i="1" s="1"/>
  <c r="N556" i="1" l="1"/>
  <c r="J556" i="1"/>
  <c r="M557" i="1" s="1"/>
  <c r="L557" i="1"/>
  <c r="G559" i="1"/>
  <c r="H558" i="1"/>
  <c r="I558" i="1" s="1"/>
  <c r="K558" i="1" s="1"/>
  <c r="N557" i="1" l="1"/>
  <c r="J557" i="1"/>
  <c r="M558" i="1" s="1"/>
  <c r="L558" i="1"/>
  <c r="G560" i="1"/>
  <c r="H559" i="1"/>
  <c r="I559" i="1" s="1"/>
  <c r="K559" i="1" s="1"/>
  <c r="N558" i="1" l="1"/>
  <c r="J558" i="1"/>
  <c r="M559" i="1" s="1"/>
  <c r="L559" i="1"/>
  <c r="G561" i="1"/>
  <c r="H560" i="1"/>
  <c r="I560" i="1" s="1"/>
  <c r="K560" i="1" s="1"/>
  <c r="N559" i="1" l="1"/>
  <c r="J559" i="1"/>
  <c r="M560" i="1" s="1"/>
  <c r="L560" i="1"/>
  <c r="G562" i="1"/>
  <c r="H561" i="1"/>
  <c r="I561" i="1" s="1"/>
  <c r="K561" i="1" s="1"/>
  <c r="N560" i="1" l="1"/>
  <c r="J560" i="1"/>
  <c r="M561" i="1" s="1"/>
  <c r="L561" i="1"/>
  <c r="G563" i="1"/>
  <c r="H562" i="1"/>
  <c r="I562" i="1" s="1"/>
  <c r="K562" i="1" s="1"/>
  <c r="N561" i="1" l="1"/>
  <c r="J561" i="1"/>
  <c r="M562" i="1" s="1"/>
  <c r="L562" i="1"/>
  <c r="G564" i="1"/>
  <c r="H563" i="1"/>
  <c r="I563" i="1" s="1"/>
  <c r="K563" i="1" s="1"/>
  <c r="N562" i="1" l="1"/>
  <c r="J562" i="1"/>
  <c r="M563" i="1" s="1"/>
  <c r="L563" i="1"/>
  <c r="G565" i="1"/>
  <c r="H564" i="1"/>
  <c r="I564" i="1" s="1"/>
  <c r="K564" i="1" s="1"/>
  <c r="N563" i="1" l="1"/>
  <c r="J563" i="1"/>
  <c r="M564" i="1" s="1"/>
  <c r="L564" i="1"/>
  <c r="G566" i="1"/>
  <c r="H565" i="1"/>
  <c r="I565" i="1" s="1"/>
  <c r="K565" i="1" s="1"/>
  <c r="N564" i="1" l="1"/>
  <c r="J564" i="1"/>
  <c r="M565" i="1" s="1"/>
  <c r="L565" i="1"/>
  <c r="G567" i="1"/>
  <c r="H566" i="1"/>
  <c r="I566" i="1" s="1"/>
  <c r="K566" i="1" s="1"/>
  <c r="N565" i="1" l="1"/>
  <c r="J565" i="1"/>
  <c r="M566" i="1" s="1"/>
  <c r="L566" i="1"/>
  <c r="G568" i="1"/>
  <c r="H567" i="1"/>
  <c r="I567" i="1" s="1"/>
  <c r="K567" i="1" s="1"/>
  <c r="N566" i="1" l="1"/>
  <c r="J566" i="1"/>
  <c r="M567" i="1" s="1"/>
  <c r="L567" i="1"/>
  <c r="G569" i="1"/>
  <c r="H568" i="1"/>
  <c r="I568" i="1" s="1"/>
  <c r="K568" i="1" s="1"/>
  <c r="N567" i="1" l="1"/>
  <c r="J567" i="1"/>
  <c r="M568" i="1" s="1"/>
  <c r="L568" i="1"/>
  <c r="G570" i="1"/>
  <c r="H569" i="1"/>
  <c r="I569" i="1" s="1"/>
  <c r="K569" i="1" s="1"/>
  <c r="N568" i="1" l="1"/>
  <c r="J568" i="1"/>
  <c r="M569" i="1" s="1"/>
  <c r="L569" i="1"/>
  <c r="G571" i="1"/>
  <c r="H570" i="1"/>
  <c r="I570" i="1" s="1"/>
  <c r="K570" i="1" s="1"/>
  <c r="N569" i="1" l="1"/>
  <c r="J569" i="1"/>
  <c r="M570" i="1" s="1"/>
  <c r="L570" i="1"/>
  <c r="G572" i="1"/>
  <c r="H571" i="1"/>
  <c r="I571" i="1" s="1"/>
  <c r="K571" i="1" s="1"/>
  <c r="N570" i="1" l="1"/>
  <c r="J570" i="1"/>
  <c r="M571" i="1" s="1"/>
  <c r="L571" i="1"/>
  <c r="G573" i="1"/>
  <c r="H572" i="1"/>
  <c r="I572" i="1" s="1"/>
  <c r="K572" i="1" s="1"/>
  <c r="N571" i="1" l="1"/>
  <c r="J571" i="1"/>
  <c r="M572" i="1" s="1"/>
  <c r="L572" i="1"/>
  <c r="G574" i="1"/>
  <c r="H573" i="1"/>
  <c r="I573" i="1" s="1"/>
  <c r="K573" i="1" s="1"/>
  <c r="N572" i="1" l="1"/>
  <c r="J572" i="1"/>
  <c r="M573" i="1" s="1"/>
  <c r="L573" i="1"/>
  <c r="G575" i="1"/>
  <c r="H574" i="1"/>
  <c r="I574" i="1" s="1"/>
  <c r="K574" i="1" s="1"/>
  <c r="N573" i="1" l="1"/>
  <c r="J573" i="1"/>
  <c r="M574" i="1" s="1"/>
  <c r="L574" i="1"/>
  <c r="G576" i="1"/>
  <c r="H575" i="1"/>
  <c r="I575" i="1" s="1"/>
  <c r="K575" i="1" s="1"/>
  <c r="N574" i="1" l="1"/>
  <c r="J574" i="1"/>
  <c r="M575" i="1" s="1"/>
  <c r="L575" i="1"/>
  <c r="G577" i="1"/>
  <c r="H576" i="1"/>
  <c r="I576" i="1" s="1"/>
  <c r="K576" i="1" s="1"/>
  <c r="N575" i="1" l="1"/>
  <c r="J575" i="1"/>
  <c r="M576" i="1" s="1"/>
  <c r="L576" i="1"/>
  <c r="G578" i="1"/>
  <c r="H577" i="1"/>
  <c r="I577" i="1" s="1"/>
  <c r="K577" i="1" s="1"/>
  <c r="N576" i="1" l="1"/>
  <c r="J576" i="1"/>
  <c r="M577" i="1" s="1"/>
  <c r="L577" i="1"/>
  <c r="G579" i="1"/>
  <c r="H578" i="1"/>
  <c r="I578" i="1" s="1"/>
  <c r="K578" i="1" s="1"/>
  <c r="N577" i="1" l="1"/>
  <c r="J577" i="1"/>
  <c r="M578" i="1" s="1"/>
  <c r="L578" i="1"/>
  <c r="G580" i="1"/>
  <c r="H579" i="1"/>
  <c r="I579" i="1" s="1"/>
  <c r="K579" i="1" s="1"/>
  <c r="N578" i="1" l="1"/>
  <c r="J578" i="1"/>
  <c r="M579" i="1" s="1"/>
  <c r="L579" i="1"/>
  <c r="G581" i="1"/>
  <c r="H580" i="1"/>
  <c r="I580" i="1" s="1"/>
  <c r="K580" i="1" s="1"/>
  <c r="N579" i="1" l="1"/>
  <c r="J579" i="1"/>
  <c r="M580" i="1" s="1"/>
  <c r="L580" i="1"/>
  <c r="G582" i="1"/>
  <c r="H581" i="1"/>
  <c r="I581" i="1" s="1"/>
  <c r="K581" i="1" s="1"/>
  <c r="N580" i="1" l="1"/>
  <c r="J580" i="1"/>
  <c r="M581" i="1" s="1"/>
  <c r="L581" i="1"/>
  <c r="G583" i="1"/>
  <c r="H582" i="1"/>
  <c r="I582" i="1" s="1"/>
  <c r="K582" i="1" s="1"/>
  <c r="N581" i="1" l="1"/>
  <c r="J581" i="1"/>
  <c r="M582" i="1" s="1"/>
  <c r="L582" i="1"/>
  <c r="G584" i="1"/>
  <c r="H583" i="1"/>
  <c r="I583" i="1" s="1"/>
  <c r="K583" i="1" s="1"/>
  <c r="N582" i="1" l="1"/>
  <c r="J582" i="1"/>
  <c r="M583" i="1" s="1"/>
  <c r="L583" i="1"/>
  <c r="G585" i="1"/>
  <c r="H584" i="1"/>
  <c r="I584" i="1" s="1"/>
  <c r="K584" i="1" s="1"/>
  <c r="N583" i="1" l="1"/>
  <c r="J583" i="1"/>
  <c r="M584" i="1" s="1"/>
  <c r="L584" i="1"/>
  <c r="G586" i="1"/>
  <c r="H585" i="1"/>
  <c r="I585" i="1" s="1"/>
  <c r="K585" i="1" s="1"/>
  <c r="N584" i="1" l="1"/>
  <c r="J584" i="1"/>
  <c r="M585" i="1" s="1"/>
  <c r="L585" i="1"/>
  <c r="G587" i="1"/>
  <c r="H586" i="1"/>
  <c r="I586" i="1" s="1"/>
  <c r="K586" i="1" s="1"/>
  <c r="N585" i="1" l="1"/>
  <c r="J585" i="1"/>
  <c r="M586" i="1" s="1"/>
  <c r="L586" i="1"/>
  <c r="G588" i="1"/>
  <c r="H587" i="1"/>
  <c r="I587" i="1" s="1"/>
  <c r="K587" i="1" s="1"/>
  <c r="N586" i="1" l="1"/>
  <c r="J586" i="1"/>
  <c r="M587" i="1" s="1"/>
  <c r="L587" i="1"/>
  <c r="G589" i="1"/>
  <c r="H588" i="1"/>
  <c r="I588" i="1" s="1"/>
  <c r="K588" i="1" s="1"/>
  <c r="N587" i="1" l="1"/>
  <c r="J587" i="1"/>
  <c r="M588" i="1" s="1"/>
  <c r="L588" i="1"/>
  <c r="G590" i="1"/>
  <c r="H589" i="1"/>
  <c r="I589" i="1" s="1"/>
  <c r="K589" i="1" s="1"/>
  <c r="N588" i="1" l="1"/>
  <c r="J588" i="1"/>
  <c r="M589" i="1" s="1"/>
  <c r="L589" i="1"/>
  <c r="G591" i="1"/>
  <c r="H590" i="1"/>
  <c r="I590" i="1" s="1"/>
  <c r="K590" i="1" s="1"/>
  <c r="N589" i="1" l="1"/>
  <c r="J589" i="1"/>
  <c r="M590" i="1" s="1"/>
  <c r="L590" i="1"/>
  <c r="G592" i="1"/>
  <c r="H591" i="1"/>
  <c r="I591" i="1" s="1"/>
  <c r="K591" i="1" s="1"/>
  <c r="N590" i="1" l="1"/>
  <c r="J590" i="1"/>
  <c r="M591" i="1" s="1"/>
  <c r="L591" i="1"/>
  <c r="G593" i="1"/>
  <c r="H592" i="1"/>
  <c r="I592" i="1" s="1"/>
  <c r="K592" i="1" s="1"/>
  <c r="N591" i="1" l="1"/>
  <c r="J591" i="1"/>
  <c r="M592" i="1" s="1"/>
  <c r="L592" i="1"/>
  <c r="G594" i="1"/>
  <c r="H593" i="1"/>
  <c r="I593" i="1" s="1"/>
  <c r="K593" i="1" s="1"/>
  <c r="N592" i="1" l="1"/>
  <c r="J592" i="1"/>
  <c r="M593" i="1" s="1"/>
  <c r="L593" i="1"/>
  <c r="G595" i="1"/>
  <c r="H594" i="1"/>
  <c r="I594" i="1" s="1"/>
  <c r="K594" i="1" s="1"/>
  <c r="N593" i="1" l="1"/>
  <c r="J593" i="1"/>
  <c r="M594" i="1" s="1"/>
  <c r="L594" i="1"/>
  <c r="G596" i="1"/>
  <c r="H595" i="1"/>
  <c r="I595" i="1" s="1"/>
  <c r="K595" i="1" s="1"/>
  <c r="N594" i="1" l="1"/>
  <c r="J594" i="1"/>
  <c r="M595" i="1" s="1"/>
  <c r="L595" i="1"/>
  <c r="G597" i="1"/>
  <c r="H596" i="1"/>
  <c r="I596" i="1" s="1"/>
  <c r="K596" i="1" s="1"/>
  <c r="N595" i="1" l="1"/>
  <c r="J595" i="1"/>
  <c r="M596" i="1" s="1"/>
  <c r="L596" i="1"/>
  <c r="G598" i="1"/>
  <c r="H597" i="1"/>
  <c r="I597" i="1" s="1"/>
  <c r="K597" i="1" s="1"/>
  <c r="N596" i="1" l="1"/>
  <c r="J596" i="1"/>
  <c r="M597" i="1" s="1"/>
  <c r="L597" i="1"/>
  <c r="G599" i="1"/>
  <c r="H598" i="1"/>
  <c r="I598" i="1" s="1"/>
  <c r="K598" i="1" s="1"/>
  <c r="N597" i="1" l="1"/>
  <c r="J597" i="1"/>
  <c r="M598" i="1" s="1"/>
  <c r="L598" i="1"/>
  <c r="G600" i="1"/>
  <c r="H599" i="1"/>
  <c r="I599" i="1" s="1"/>
  <c r="K599" i="1" s="1"/>
  <c r="N598" i="1" l="1"/>
  <c r="J598" i="1"/>
  <c r="M599" i="1" s="1"/>
  <c r="L599" i="1"/>
  <c r="G601" i="1"/>
  <c r="H600" i="1"/>
  <c r="I600" i="1" s="1"/>
  <c r="K600" i="1" s="1"/>
  <c r="N599" i="1" l="1"/>
  <c r="J599" i="1"/>
  <c r="M600" i="1" s="1"/>
  <c r="L600" i="1"/>
  <c r="G602" i="1"/>
  <c r="H601" i="1"/>
  <c r="I601" i="1" s="1"/>
  <c r="K601" i="1" s="1"/>
  <c r="N600" i="1" l="1"/>
  <c r="J600" i="1"/>
  <c r="M601" i="1" s="1"/>
  <c r="L601" i="1"/>
  <c r="G603" i="1"/>
  <c r="H602" i="1"/>
  <c r="I602" i="1" s="1"/>
  <c r="K602" i="1" s="1"/>
  <c r="N601" i="1" l="1"/>
  <c r="J601" i="1"/>
  <c r="M602" i="1" s="1"/>
  <c r="L602" i="1"/>
  <c r="G604" i="1"/>
  <c r="H603" i="1"/>
  <c r="I603" i="1" s="1"/>
  <c r="K603" i="1" s="1"/>
  <c r="N602" i="1" l="1"/>
  <c r="J602" i="1"/>
  <c r="M603" i="1" s="1"/>
  <c r="L603" i="1"/>
  <c r="G605" i="1"/>
  <c r="H604" i="1"/>
  <c r="I604" i="1" s="1"/>
  <c r="K604" i="1" s="1"/>
  <c r="N603" i="1" l="1"/>
  <c r="J603" i="1"/>
  <c r="M604" i="1" s="1"/>
  <c r="L604" i="1"/>
  <c r="G606" i="1"/>
  <c r="H605" i="1"/>
  <c r="I605" i="1" s="1"/>
  <c r="K605" i="1" s="1"/>
  <c r="N604" i="1" l="1"/>
  <c r="J604" i="1"/>
  <c r="M605" i="1" s="1"/>
  <c r="L605" i="1"/>
  <c r="G607" i="1"/>
  <c r="H606" i="1"/>
  <c r="I606" i="1" s="1"/>
  <c r="K606" i="1" s="1"/>
  <c r="N605" i="1" l="1"/>
  <c r="J605" i="1"/>
  <c r="M606" i="1" s="1"/>
  <c r="L606" i="1"/>
  <c r="G608" i="1"/>
  <c r="H607" i="1"/>
  <c r="I607" i="1" s="1"/>
  <c r="K607" i="1" s="1"/>
  <c r="N606" i="1" l="1"/>
  <c r="J606" i="1"/>
  <c r="M607" i="1" s="1"/>
  <c r="L607" i="1"/>
  <c r="G609" i="1"/>
  <c r="H608" i="1"/>
  <c r="I608" i="1" s="1"/>
  <c r="K608" i="1" s="1"/>
  <c r="N607" i="1" l="1"/>
  <c r="J607" i="1"/>
  <c r="M608" i="1" s="1"/>
  <c r="L608" i="1"/>
  <c r="G610" i="1"/>
  <c r="H609" i="1"/>
  <c r="I609" i="1" s="1"/>
  <c r="K609" i="1" s="1"/>
  <c r="N608" i="1" l="1"/>
  <c r="J608" i="1"/>
  <c r="M609" i="1" s="1"/>
  <c r="L609" i="1"/>
  <c r="G611" i="1"/>
  <c r="H610" i="1"/>
  <c r="I610" i="1" s="1"/>
  <c r="K610" i="1" s="1"/>
  <c r="N609" i="1" l="1"/>
  <c r="J609" i="1"/>
  <c r="M610" i="1" s="1"/>
  <c r="L610" i="1"/>
  <c r="G612" i="1"/>
  <c r="H611" i="1"/>
  <c r="I611" i="1" s="1"/>
  <c r="K611" i="1" s="1"/>
  <c r="N610" i="1" l="1"/>
  <c r="J610" i="1"/>
  <c r="M611" i="1" s="1"/>
  <c r="L611" i="1"/>
  <c r="G613" i="1"/>
  <c r="H612" i="1"/>
  <c r="I612" i="1" s="1"/>
  <c r="K612" i="1" s="1"/>
  <c r="N611" i="1" l="1"/>
  <c r="J611" i="1"/>
  <c r="M612" i="1" s="1"/>
  <c r="L612" i="1"/>
  <c r="G614" i="1"/>
  <c r="H613" i="1"/>
  <c r="I613" i="1" s="1"/>
  <c r="K613" i="1" s="1"/>
  <c r="N612" i="1" l="1"/>
  <c r="J612" i="1"/>
  <c r="M613" i="1" s="1"/>
  <c r="L613" i="1"/>
  <c r="G615" i="1"/>
  <c r="H614" i="1"/>
  <c r="I614" i="1" s="1"/>
  <c r="K614" i="1" s="1"/>
  <c r="N613" i="1" l="1"/>
  <c r="J613" i="1"/>
  <c r="M614" i="1" s="1"/>
  <c r="L614" i="1"/>
  <c r="G616" i="1"/>
  <c r="H615" i="1"/>
  <c r="I615" i="1" s="1"/>
  <c r="K615" i="1" s="1"/>
  <c r="N614" i="1" l="1"/>
  <c r="J614" i="1"/>
  <c r="M615" i="1" s="1"/>
  <c r="L615" i="1"/>
  <c r="G617" i="1"/>
  <c r="H616" i="1"/>
  <c r="I616" i="1" s="1"/>
  <c r="K616" i="1" s="1"/>
  <c r="N615" i="1" l="1"/>
  <c r="J615" i="1"/>
  <c r="M616" i="1" s="1"/>
  <c r="L616" i="1"/>
  <c r="G618" i="1"/>
  <c r="H617" i="1"/>
  <c r="I617" i="1" s="1"/>
  <c r="K617" i="1" s="1"/>
  <c r="N616" i="1" l="1"/>
  <c r="J616" i="1"/>
  <c r="M617" i="1" s="1"/>
  <c r="L617" i="1"/>
  <c r="G619" i="1"/>
  <c r="H618" i="1"/>
  <c r="I618" i="1" s="1"/>
  <c r="K618" i="1" s="1"/>
  <c r="N617" i="1" l="1"/>
  <c r="J617" i="1"/>
  <c r="M618" i="1" s="1"/>
  <c r="L618" i="1"/>
  <c r="G620" i="1"/>
  <c r="H619" i="1"/>
  <c r="I619" i="1" s="1"/>
  <c r="K619" i="1" s="1"/>
  <c r="N618" i="1" l="1"/>
  <c r="J618" i="1"/>
  <c r="M619" i="1" s="1"/>
  <c r="L619" i="1"/>
  <c r="G621" i="1"/>
  <c r="H620" i="1"/>
  <c r="I620" i="1" s="1"/>
  <c r="K620" i="1" s="1"/>
  <c r="N619" i="1" l="1"/>
  <c r="J619" i="1"/>
  <c r="M620" i="1" s="1"/>
  <c r="L620" i="1"/>
  <c r="G622" i="1"/>
  <c r="H621" i="1"/>
  <c r="I621" i="1" s="1"/>
  <c r="K621" i="1" s="1"/>
  <c r="N620" i="1" l="1"/>
  <c r="J620" i="1"/>
  <c r="M621" i="1" s="1"/>
  <c r="L621" i="1"/>
  <c r="G623" i="1"/>
  <c r="H622" i="1"/>
  <c r="I622" i="1" s="1"/>
  <c r="K622" i="1" s="1"/>
  <c r="N621" i="1" l="1"/>
  <c r="J621" i="1"/>
  <c r="M622" i="1" s="1"/>
  <c r="L622" i="1"/>
  <c r="G624" i="1"/>
  <c r="H623" i="1"/>
  <c r="I623" i="1" s="1"/>
  <c r="K623" i="1" s="1"/>
  <c r="N622" i="1" l="1"/>
  <c r="J622" i="1"/>
  <c r="M623" i="1" s="1"/>
  <c r="L623" i="1"/>
  <c r="G625" i="1"/>
  <c r="H624" i="1"/>
  <c r="I624" i="1" s="1"/>
  <c r="K624" i="1" s="1"/>
  <c r="N623" i="1" l="1"/>
  <c r="J623" i="1"/>
  <c r="M624" i="1" s="1"/>
  <c r="L624" i="1"/>
  <c r="G626" i="1"/>
  <c r="H625" i="1"/>
  <c r="I625" i="1" s="1"/>
  <c r="K625" i="1" s="1"/>
  <c r="N624" i="1" l="1"/>
  <c r="J624" i="1"/>
  <c r="M625" i="1" s="1"/>
  <c r="L625" i="1"/>
  <c r="G627" i="1"/>
  <c r="H626" i="1"/>
  <c r="I626" i="1" s="1"/>
  <c r="K626" i="1" s="1"/>
  <c r="N625" i="1" l="1"/>
  <c r="J625" i="1"/>
  <c r="M626" i="1" s="1"/>
  <c r="L626" i="1"/>
  <c r="G628" i="1"/>
  <c r="H627" i="1"/>
  <c r="I627" i="1" s="1"/>
  <c r="K627" i="1" s="1"/>
  <c r="N626" i="1" l="1"/>
  <c r="J626" i="1"/>
  <c r="M627" i="1" s="1"/>
  <c r="L627" i="1"/>
  <c r="G629" i="1"/>
  <c r="H628" i="1"/>
  <c r="I628" i="1" s="1"/>
  <c r="K628" i="1" s="1"/>
  <c r="N627" i="1" l="1"/>
  <c r="J627" i="1"/>
  <c r="M628" i="1" s="1"/>
  <c r="L628" i="1"/>
  <c r="G630" i="1"/>
  <c r="H629" i="1"/>
  <c r="I629" i="1" s="1"/>
  <c r="K629" i="1" s="1"/>
  <c r="N628" i="1" l="1"/>
  <c r="J628" i="1"/>
  <c r="M629" i="1" s="1"/>
  <c r="L629" i="1"/>
  <c r="G631" i="1"/>
  <c r="H630" i="1"/>
  <c r="I630" i="1" s="1"/>
  <c r="K630" i="1" s="1"/>
  <c r="N629" i="1" l="1"/>
  <c r="J629" i="1"/>
  <c r="M630" i="1" s="1"/>
  <c r="L630" i="1"/>
  <c r="G632" i="1"/>
  <c r="H631" i="1"/>
  <c r="I631" i="1" s="1"/>
  <c r="K631" i="1" s="1"/>
  <c r="N630" i="1" l="1"/>
  <c r="J630" i="1"/>
  <c r="M631" i="1" s="1"/>
  <c r="L631" i="1"/>
  <c r="G633" i="1"/>
  <c r="H632" i="1"/>
  <c r="I632" i="1" s="1"/>
  <c r="K632" i="1" s="1"/>
  <c r="N631" i="1" l="1"/>
  <c r="J631" i="1"/>
  <c r="M632" i="1" s="1"/>
  <c r="L632" i="1"/>
  <c r="G634" i="1"/>
  <c r="H633" i="1"/>
  <c r="I633" i="1" s="1"/>
  <c r="K633" i="1" s="1"/>
  <c r="N632" i="1" l="1"/>
  <c r="J632" i="1"/>
  <c r="M633" i="1" s="1"/>
  <c r="L633" i="1"/>
  <c r="G635" i="1"/>
  <c r="H634" i="1"/>
  <c r="I634" i="1" s="1"/>
  <c r="K634" i="1" s="1"/>
  <c r="N633" i="1" l="1"/>
  <c r="J633" i="1"/>
  <c r="M634" i="1" s="1"/>
  <c r="L634" i="1"/>
  <c r="G636" i="1"/>
  <c r="H635" i="1"/>
  <c r="I635" i="1" s="1"/>
  <c r="K635" i="1" s="1"/>
  <c r="N634" i="1" l="1"/>
  <c r="J634" i="1"/>
  <c r="M635" i="1" s="1"/>
  <c r="L635" i="1"/>
  <c r="G637" i="1"/>
  <c r="H636" i="1"/>
  <c r="I636" i="1" s="1"/>
  <c r="K636" i="1" s="1"/>
  <c r="N635" i="1" l="1"/>
  <c r="J635" i="1"/>
  <c r="M636" i="1" s="1"/>
  <c r="L636" i="1"/>
  <c r="G638" i="1"/>
  <c r="H637" i="1"/>
  <c r="I637" i="1" s="1"/>
  <c r="K637" i="1" s="1"/>
  <c r="N636" i="1" l="1"/>
  <c r="J636" i="1"/>
  <c r="M637" i="1" s="1"/>
  <c r="L637" i="1"/>
  <c r="G639" i="1"/>
  <c r="H638" i="1"/>
  <c r="I638" i="1" s="1"/>
  <c r="K638" i="1" s="1"/>
  <c r="J637" i="1" l="1"/>
  <c r="M638" i="1" s="1"/>
  <c r="N637" i="1"/>
  <c r="L638" i="1"/>
  <c r="G640" i="1"/>
  <c r="H639" i="1"/>
  <c r="I639" i="1" s="1"/>
  <c r="K639" i="1" s="1"/>
  <c r="N638" i="1" l="1"/>
  <c r="J638" i="1"/>
  <c r="M639" i="1" s="1"/>
  <c r="L639" i="1"/>
  <c r="G641" i="1"/>
  <c r="H640" i="1"/>
  <c r="I640" i="1" s="1"/>
  <c r="K640" i="1" s="1"/>
  <c r="N639" i="1" l="1"/>
  <c r="J639" i="1"/>
  <c r="M640" i="1" s="1"/>
  <c r="L640" i="1"/>
  <c r="G642" i="1"/>
  <c r="H641" i="1"/>
  <c r="I641" i="1" s="1"/>
  <c r="K641" i="1" s="1"/>
  <c r="N640" i="1" l="1"/>
  <c r="J640" i="1"/>
  <c r="M641" i="1" s="1"/>
  <c r="L641" i="1"/>
  <c r="G643" i="1"/>
  <c r="H642" i="1"/>
  <c r="I642" i="1" s="1"/>
  <c r="K642" i="1" s="1"/>
  <c r="N641" i="1" l="1"/>
  <c r="J641" i="1"/>
  <c r="M642" i="1" s="1"/>
  <c r="L642" i="1"/>
  <c r="G644" i="1"/>
  <c r="H643" i="1"/>
  <c r="I643" i="1" s="1"/>
  <c r="K643" i="1" s="1"/>
  <c r="N642" i="1" l="1"/>
  <c r="J642" i="1"/>
  <c r="M643" i="1" s="1"/>
  <c r="L643" i="1"/>
  <c r="G645" i="1"/>
  <c r="H644" i="1"/>
  <c r="I644" i="1" s="1"/>
  <c r="K644" i="1" s="1"/>
  <c r="N643" i="1" l="1"/>
  <c r="J643" i="1"/>
  <c r="M644" i="1" s="1"/>
  <c r="L644" i="1"/>
  <c r="G646" i="1"/>
  <c r="H645" i="1"/>
  <c r="I645" i="1" s="1"/>
  <c r="K645" i="1" s="1"/>
  <c r="N644" i="1" l="1"/>
  <c r="J644" i="1"/>
  <c r="M645" i="1" s="1"/>
  <c r="L645" i="1"/>
  <c r="G647" i="1"/>
  <c r="H646" i="1"/>
  <c r="I646" i="1" s="1"/>
  <c r="K646" i="1" s="1"/>
  <c r="N645" i="1" l="1"/>
  <c r="J645" i="1"/>
  <c r="M646" i="1" s="1"/>
  <c r="L646" i="1"/>
  <c r="G648" i="1"/>
  <c r="H647" i="1"/>
  <c r="I647" i="1" s="1"/>
  <c r="K647" i="1" s="1"/>
  <c r="N646" i="1" l="1"/>
  <c r="J646" i="1"/>
  <c r="M647" i="1" s="1"/>
  <c r="L647" i="1"/>
  <c r="G649" i="1"/>
  <c r="H648" i="1"/>
  <c r="I648" i="1" s="1"/>
  <c r="K648" i="1" s="1"/>
  <c r="N647" i="1" l="1"/>
  <c r="J647" i="1"/>
  <c r="M648" i="1" s="1"/>
  <c r="L648" i="1"/>
  <c r="G650" i="1"/>
  <c r="H649" i="1"/>
  <c r="I649" i="1" s="1"/>
  <c r="K649" i="1" s="1"/>
  <c r="N648" i="1" l="1"/>
  <c r="J648" i="1"/>
  <c r="M649" i="1" s="1"/>
  <c r="L649" i="1"/>
  <c r="G651" i="1"/>
  <c r="H650" i="1"/>
  <c r="I650" i="1" s="1"/>
  <c r="K650" i="1" s="1"/>
  <c r="N649" i="1" l="1"/>
  <c r="J649" i="1"/>
  <c r="M650" i="1" s="1"/>
  <c r="L650" i="1"/>
  <c r="G652" i="1"/>
  <c r="H651" i="1"/>
  <c r="I651" i="1" s="1"/>
  <c r="K651" i="1" s="1"/>
  <c r="N650" i="1" l="1"/>
  <c r="J650" i="1"/>
  <c r="M651" i="1" s="1"/>
  <c r="L651" i="1"/>
  <c r="G653" i="1"/>
  <c r="H652" i="1"/>
  <c r="I652" i="1" s="1"/>
  <c r="K652" i="1" s="1"/>
  <c r="N651" i="1" l="1"/>
  <c r="J651" i="1"/>
  <c r="M652" i="1" s="1"/>
  <c r="L652" i="1"/>
  <c r="G654" i="1"/>
  <c r="H653" i="1"/>
  <c r="I653" i="1" s="1"/>
  <c r="K653" i="1" s="1"/>
  <c r="N652" i="1" l="1"/>
  <c r="J652" i="1"/>
  <c r="M653" i="1" s="1"/>
  <c r="L653" i="1"/>
  <c r="G655" i="1"/>
  <c r="H654" i="1"/>
  <c r="I654" i="1" s="1"/>
  <c r="K654" i="1" s="1"/>
  <c r="N653" i="1" l="1"/>
  <c r="J653" i="1"/>
  <c r="M654" i="1" s="1"/>
  <c r="L654" i="1"/>
  <c r="G656" i="1"/>
  <c r="H655" i="1"/>
  <c r="I655" i="1" s="1"/>
  <c r="K655" i="1" s="1"/>
  <c r="N654" i="1" l="1"/>
  <c r="J654" i="1"/>
  <c r="M655" i="1" s="1"/>
  <c r="L655" i="1"/>
  <c r="G657" i="1"/>
  <c r="H656" i="1"/>
  <c r="I656" i="1" s="1"/>
  <c r="K656" i="1" s="1"/>
  <c r="N655" i="1" l="1"/>
  <c r="J655" i="1"/>
  <c r="M656" i="1" s="1"/>
  <c r="L656" i="1"/>
  <c r="G658" i="1"/>
  <c r="H657" i="1"/>
  <c r="I657" i="1" s="1"/>
  <c r="K657" i="1" s="1"/>
  <c r="N656" i="1" l="1"/>
  <c r="J656" i="1"/>
  <c r="M657" i="1" s="1"/>
  <c r="L657" i="1"/>
  <c r="G659" i="1"/>
  <c r="H658" i="1"/>
  <c r="I658" i="1" s="1"/>
  <c r="K658" i="1" s="1"/>
  <c r="N657" i="1" l="1"/>
  <c r="J657" i="1"/>
  <c r="M658" i="1" s="1"/>
  <c r="L658" i="1"/>
  <c r="G660" i="1"/>
  <c r="H659" i="1"/>
  <c r="I659" i="1" s="1"/>
  <c r="K659" i="1" s="1"/>
  <c r="N658" i="1" l="1"/>
  <c r="J658" i="1"/>
  <c r="M659" i="1" s="1"/>
  <c r="L659" i="1"/>
  <c r="G661" i="1"/>
  <c r="H660" i="1"/>
  <c r="I660" i="1" s="1"/>
  <c r="K660" i="1" s="1"/>
  <c r="N659" i="1" l="1"/>
  <c r="J659" i="1"/>
  <c r="M660" i="1" s="1"/>
  <c r="L660" i="1"/>
  <c r="G662" i="1"/>
  <c r="H661" i="1"/>
  <c r="I661" i="1" s="1"/>
  <c r="K661" i="1" s="1"/>
  <c r="N660" i="1" l="1"/>
  <c r="J660" i="1"/>
  <c r="M661" i="1" s="1"/>
  <c r="L661" i="1"/>
  <c r="G663" i="1"/>
  <c r="H662" i="1"/>
  <c r="I662" i="1" s="1"/>
  <c r="K662" i="1" s="1"/>
  <c r="N661" i="1" l="1"/>
  <c r="J661" i="1"/>
  <c r="M662" i="1" s="1"/>
  <c r="L662" i="1"/>
  <c r="G664" i="1"/>
  <c r="H663" i="1"/>
  <c r="I663" i="1" s="1"/>
  <c r="K663" i="1" s="1"/>
  <c r="N662" i="1" l="1"/>
  <c r="J662" i="1"/>
  <c r="M663" i="1" s="1"/>
  <c r="L663" i="1"/>
  <c r="G665" i="1"/>
  <c r="H664" i="1"/>
  <c r="I664" i="1" s="1"/>
  <c r="K664" i="1" s="1"/>
  <c r="N663" i="1" l="1"/>
  <c r="J663" i="1"/>
  <c r="M664" i="1" s="1"/>
  <c r="L664" i="1"/>
  <c r="G666" i="1"/>
  <c r="H665" i="1"/>
  <c r="I665" i="1" s="1"/>
  <c r="K665" i="1" s="1"/>
  <c r="J664" i="1" l="1"/>
  <c r="M665" i="1" s="1"/>
  <c r="N664" i="1"/>
  <c r="L665" i="1"/>
  <c r="G667" i="1"/>
  <c r="H666" i="1"/>
  <c r="I666" i="1" s="1"/>
  <c r="K666" i="1" s="1"/>
  <c r="N665" i="1" l="1"/>
  <c r="J665" i="1"/>
  <c r="M666" i="1" s="1"/>
  <c r="L666" i="1"/>
  <c r="G668" i="1"/>
  <c r="H667" i="1"/>
  <c r="I667" i="1" s="1"/>
  <c r="K667" i="1" s="1"/>
  <c r="J666" i="1" l="1"/>
  <c r="M667" i="1" s="1"/>
  <c r="N666" i="1"/>
  <c r="L667" i="1"/>
  <c r="G669" i="1"/>
  <c r="H668" i="1"/>
  <c r="I668" i="1" s="1"/>
  <c r="K668" i="1" s="1"/>
  <c r="N667" i="1" l="1"/>
  <c r="J667" i="1"/>
  <c r="M668" i="1" s="1"/>
  <c r="L668" i="1"/>
  <c r="G670" i="1"/>
  <c r="H669" i="1"/>
  <c r="I669" i="1" s="1"/>
  <c r="K669" i="1" s="1"/>
  <c r="N668" i="1" l="1"/>
  <c r="J668" i="1"/>
  <c r="M669" i="1" s="1"/>
  <c r="L669" i="1"/>
  <c r="G671" i="1"/>
  <c r="H670" i="1"/>
  <c r="I670" i="1" s="1"/>
  <c r="K670" i="1" s="1"/>
  <c r="N669" i="1" l="1"/>
  <c r="J669" i="1"/>
  <c r="M670" i="1" s="1"/>
  <c r="L670" i="1"/>
  <c r="G672" i="1"/>
  <c r="H671" i="1"/>
  <c r="I671" i="1" s="1"/>
  <c r="K671" i="1" s="1"/>
  <c r="N670" i="1" l="1"/>
  <c r="J670" i="1"/>
  <c r="M671" i="1" s="1"/>
  <c r="L671" i="1"/>
  <c r="G673" i="1"/>
  <c r="H672" i="1"/>
  <c r="I672" i="1" s="1"/>
  <c r="K672" i="1" s="1"/>
  <c r="N671" i="1" l="1"/>
  <c r="J671" i="1"/>
  <c r="M672" i="1" s="1"/>
  <c r="L672" i="1"/>
  <c r="G674" i="1"/>
  <c r="H673" i="1"/>
  <c r="I673" i="1" s="1"/>
  <c r="K673" i="1" s="1"/>
  <c r="N672" i="1" l="1"/>
  <c r="J672" i="1"/>
  <c r="M673" i="1" s="1"/>
  <c r="L673" i="1"/>
  <c r="G675" i="1"/>
  <c r="H674" i="1"/>
  <c r="I674" i="1" s="1"/>
  <c r="K674" i="1" s="1"/>
  <c r="J673" i="1" l="1"/>
  <c r="M674" i="1" s="1"/>
  <c r="N673" i="1"/>
  <c r="L674" i="1"/>
  <c r="G676" i="1"/>
  <c r="H675" i="1"/>
  <c r="I675" i="1" s="1"/>
  <c r="K675" i="1" s="1"/>
  <c r="N674" i="1" l="1"/>
  <c r="J674" i="1"/>
  <c r="M675" i="1" s="1"/>
  <c r="L675" i="1"/>
  <c r="G677" i="1"/>
  <c r="H676" i="1"/>
  <c r="I676" i="1" s="1"/>
  <c r="K676" i="1" s="1"/>
  <c r="N675" i="1" l="1"/>
  <c r="J675" i="1"/>
  <c r="M676" i="1" s="1"/>
  <c r="L676" i="1"/>
  <c r="G678" i="1"/>
  <c r="H677" i="1"/>
  <c r="I677" i="1" s="1"/>
  <c r="K677" i="1" s="1"/>
  <c r="N676" i="1" l="1"/>
  <c r="J676" i="1"/>
  <c r="M677" i="1" s="1"/>
  <c r="L677" i="1"/>
  <c r="G679" i="1"/>
  <c r="H678" i="1"/>
  <c r="I678" i="1" s="1"/>
  <c r="K678" i="1" s="1"/>
  <c r="N677" i="1" l="1"/>
  <c r="J677" i="1"/>
  <c r="M678" i="1" s="1"/>
  <c r="L678" i="1"/>
  <c r="G680" i="1"/>
  <c r="H679" i="1"/>
  <c r="I679" i="1" s="1"/>
  <c r="K679" i="1" s="1"/>
  <c r="N678" i="1" l="1"/>
  <c r="J678" i="1"/>
  <c r="M679" i="1" s="1"/>
  <c r="L679" i="1"/>
  <c r="G681" i="1"/>
  <c r="H680" i="1"/>
  <c r="I680" i="1" s="1"/>
  <c r="K680" i="1" s="1"/>
  <c r="N679" i="1" l="1"/>
  <c r="J679" i="1"/>
  <c r="M680" i="1" s="1"/>
  <c r="L680" i="1"/>
  <c r="G682" i="1"/>
  <c r="H681" i="1"/>
  <c r="I681" i="1" s="1"/>
  <c r="K681" i="1" s="1"/>
  <c r="N680" i="1" l="1"/>
  <c r="J680" i="1"/>
  <c r="M681" i="1" s="1"/>
  <c r="L681" i="1"/>
  <c r="G683" i="1"/>
  <c r="H682" i="1"/>
  <c r="I682" i="1" s="1"/>
  <c r="K682" i="1" s="1"/>
  <c r="N681" i="1" l="1"/>
  <c r="J681" i="1"/>
  <c r="M682" i="1" s="1"/>
  <c r="L682" i="1"/>
  <c r="G684" i="1"/>
  <c r="H683" i="1"/>
  <c r="I683" i="1" s="1"/>
  <c r="K683" i="1" s="1"/>
  <c r="N682" i="1" l="1"/>
  <c r="J682" i="1"/>
  <c r="M683" i="1" s="1"/>
  <c r="L683" i="1"/>
  <c r="G685" i="1"/>
  <c r="H684" i="1"/>
  <c r="I684" i="1" s="1"/>
  <c r="K684" i="1" s="1"/>
  <c r="N683" i="1" l="1"/>
  <c r="J683" i="1"/>
  <c r="M684" i="1" s="1"/>
  <c r="L684" i="1"/>
  <c r="G686" i="1"/>
  <c r="H685" i="1"/>
  <c r="I685" i="1" s="1"/>
  <c r="K685" i="1" s="1"/>
  <c r="N684" i="1" l="1"/>
  <c r="J684" i="1"/>
  <c r="M685" i="1" s="1"/>
  <c r="L685" i="1"/>
  <c r="G687" i="1"/>
  <c r="H686" i="1"/>
  <c r="I686" i="1" s="1"/>
  <c r="K686" i="1" s="1"/>
  <c r="N685" i="1" l="1"/>
  <c r="J685" i="1"/>
  <c r="M686" i="1" s="1"/>
  <c r="L686" i="1"/>
  <c r="G688" i="1"/>
  <c r="H687" i="1"/>
  <c r="I687" i="1" s="1"/>
  <c r="K687" i="1" s="1"/>
  <c r="N686" i="1" l="1"/>
  <c r="J686" i="1"/>
  <c r="M687" i="1" s="1"/>
  <c r="L687" i="1"/>
  <c r="G689" i="1"/>
  <c r="H688" i="1"/>
  <c r="I688" i="1" s="1"/>
  <c r="K688" i="1" s="1"/>
  <c r="N687" i="1" l="1"/>
  <c r="J687" i="1"/>
  <c r="M688" i="1" s="1"/>
  <c r="L688" i="1"/>
  <c r="G690" i="1"/>
  <c r="H689" i="1"/>
  <c r="I689" i="1" s="1"/>
  <c r="K689" i="1" s="1"/>
  <c r="N688" i="1" l="1"/>
  <c r="J688" i="1"/>
  <c r="M689" i="1" s="1"/>
  <c r="L689" i="1"/>
  <c r="G691" i="1"/>
  <c r="H690" i="1"/>
  <c r="I690" i="1" s="1"/>
  <c r="K690" i="1" s="1"/>
  <c r="N689" i="1" l="1"/>
  <c r="J689" i="1"/>
  <c r="M690" i="1" s="1"/>
  <c r="L690" i="1"/>
  <c r="G692" i="1"/>
  <c r="H691" i="1"/>
  <c r="I691" i="1" s="1"/>
  <c r="K691" i="1" s="1"/>
  <c r="N690" i="1" l="1"/>
  <c r="J690" i="1"/>
  <c r="M691" i="1" s="1"/>
  <c r="L691" i="1"/>
  <c r="G693" i="1"/>
  <c r="H692" i="1"/>
  <c r="I692" i="1" s="1"/>
  <c r="K692" i="1" s="1"/>
  <c r="N691" i="1" l="1"/>
  <c r="J691" i="1"/>
  <c r="M692" i="1" s="1"/>
  <c r="L692" i="1"/>
  <c r="G694" i="1"/>
  <c r="H693" i="1"/>
  <c r="I693" i="1" s="1"/>
  <c r="K693" i="1" s="1"/>
  <c r="N692" i="1" l="1"/>
  <c r="J692" i="1"/>
  <c r="M693" i="1" s="1"/>
  <c r="L693" i="1"/>
  <c r="G695" i="1"/>
  <c r="H694" i="1"/>
  <c r="I694" i="1" s="1"/>
  <c r="K694" i="1" s="1"/>
  <c r="N693" i="1" l="1"/>
  <c r="J693" i="1"/>
  <c r="M694" i="1" s="1"/>
  <c r="L694" i="1"/>
  <c r="G696" i="1"/>
  <c r="H695" i="1"/>
  <c r="I695" i="1" s="1"/>
  <c r="K695" i="1" s="1"/>
  <c r="J694" i="1" l="1"/>
  <c r="M695" i="1" s="1"/>
  <c r="N694" i="1"/>
  <c r="L695" i="1"/>
  <c r="G697" i="1"/>
  <c r="H696" i="1"/>
  <c r="I696" i="1" s="1"/>
  <c r="K696" i="1" s="1"/>
  <c r="N695" i="1" l="1"/>
  <c r="J695" i="1"/>
  <c r="M696" i="1" s="1"/>
  <c r="L696" i="1"/>
  <c r="G698" i="1"/>
  <c r="H697" i="1"/>
  <c r="I697" i="1" s="1"/>
  <c r="K697" i="1" s="1"/>
  <c r="N696" i="1" l="1"/>
  <c r="J696" i="1"/>
  <c r="M697" i="1" s="1"/>
  <c r="L697" i="1"/>
  <c r="G699" i="1"/>
  <c r="H698" i="1"/>
  <c r="I698" i="1" s="1"/>
  <c r="K698" i="1" s="1"/>
  <c r="N697" i="1" l="1"/>
  <c r="J697" i="1"/>
  <c r="M698" i="1" s="1"/>
  <c r="L698" i="1"/>
  <c r="G700" i="1"/>
  <c r="H699" i="1"/>
  <c r="I699" i="1" s="1"/>
  <c r="K699" i="1" s="1"/>
  <c r="N698" i="1" l="1"/>
  <c r="J698" i="1"/>
  <c r="M699" i="1" s="1"/>
  <c r="L699" i="1"/>
  <c r="G701" i="1"/>
  <c r="H700" i="1"/>
  <c r="I700" i="1" s="1"/>
  <c r="K700" i="1" s="1"/>
  <c r="N699" i="1" l="1"/>
  <c r="J699" i="1"/>
  <c r="M700" i="1" s="1"/>
  <c r="L700" i="1"/>
  <c r="G702" i="1"/>
  <c r="H701" i="1"/>
  <c r="I701" i="1" s="1"/>
  <c r="K701" i="1" s="1"/>
  <c r="N700" i="1" l="1"/>
  <c r="J700" i="1"/>
  <c r="M701" i="1" s="1"/>
  <c r="L701" i="1"/>
  <c r="G703" i="1"/>
  <c r="H702" i="1"/>
  <c r="I702" i="1" s="1"/>
  <c r="K702" i="1" s="1"/>
  <c r="N701" i="1" l="1"/>
  <c r="J701" i="1"/>
  <c r="M702" i="1" s="1"/>
  <c r="L702" i="1"/>
  <c r="G704" i="1"/>
  <c r="H703" i="1"/>
  <c r="I703" i="1" s="1"/>
  <c r="K703" i="1" s="1"/>
  <c r="N702" i="1" l="1"/>
  <c r="J702" i="1"/>
  <c r="M703" i="1" s="1"/>
  <c r="L703" i="1"/>
  <c r="G705" i="1"/>
  <c r="H704" i="1"/>
  <c r="I704" i="1" s="1"/>
  <c r="K704" i="1" s="1"/>
  <c r="N703" i="1" l="1"/>
  <c r="J703" i="1"/>
  <c r="M704" i="1" s="1"/>
  <c r="L704" i="1"/>
  <c r="G706" i="1"/>
  <c r="H705" i="1"/>
  <c r="I705" i="1" s="1"/>
  <c r="K705" i="1" s="1"/>
  <c r="N704" i="1" l="1"/>
  <c r="J704" i="1"/>
  <c r="M705" i="1" s="1"/>
  <c r="L705" i="1"/>
  <c r="G707" i="1"/>
  <c r="H706" i="1"/>
  <c r="I706" i="1" s="1"/>
  <c r="K706" i="1" s="1"/>
  <c r="N705" i="1" l="1"/>
  <c r="J705" i="1"/>
  <c r="M706" i="1" s="1"/>
  <c r="L706" i="1"/>
  <c r="G708" i="1"/>
  <c r="H707" i="1"/>
  <c r="I707" i="1" s="1"/>
  <c r="K707" i="1" s="1"/>
  <c r="N706" i="1" l="1"/>
  <c r="J706" i="1"/>
  <c r="M707" i="1" s="1"/>
  <c r="L707" i="1"/>
  <c r="G709" i="1"/>
  <c r="H708" i="1"/>
  <c r="I708" i="1" s="1"/>
  <c r="K708" i="1" s="1"/>
  <c r="N707" i="1" l="1"/>
  <c r="J707" i="1"/>
  <c r="M708" i="1" s="1"/>
  <c r="L708" i="1"/>
  <c r="G710" i="1"/>
  <c r="H709" i="1"/>
  <c r="I709" i="1" s="1"/>
  <c r="K709" i="1" s="1"/>
  <c r="N708" i="1" l="1"/>
  <c r="J708" i="1"/>
  <c r="M709" i="1" s="1"/>
  <c r="L709" i="1"/>
  <c r="G711" i="1"/>
  <c r="H710" i="1"/>
  <c r="I710" i="1" s="1"/>
  <c r="K710" i="1" s="1"/>
  <c r="N709" i="1" l="1"/>
  <c r="J709" i="1"/>
  <c r="M710" i="1" s="1"/>
  <c r="L710" i="1"/>
  <c r="G712" i="1"/>
  <c r="H711" i="1"/>
  <c r="I711" i="1" s="1"/>
  <c r="K711" i="1" s="1"/>
  <c r="N710" i="1" l="1"/>
  <c r="J710" i="1"/>
  <c r="M711" i="1" s="1"/>
  <c r="L711" i="1"/>
  <c r="G713" i="1"/>
  <c r="H712" i="1"/>
  <c r="I712" i="1" s="1"/>
  <c r="K712" i="1" s="1"/>
  <c r="N711" i="1" l="1"/>
  <c r="J711" i="1"/>
  <c r="M712" i="1" s="1"/>
  <c r="L712" i="1"/>
  <c r="G714" i="1"/>
  <c r="H713" i="1"/>
  <c r="I713" i="1" s="1"/>
  <c r="K713" i="1" s="1"/>
  <c r="N712" i="1" l="1"/>
  <c r="J712" i="1"/>
  <c r="M713" i="1" s="1"/>
  <c r="L713" i="1"/>
  <c r="G715" i="1"/>
  <c r="H714" i="1"/>
  <c r="I714" i="1" s="1"/>
  <c r="K714" i="1" s="1"/>
  <c r="N713" i="1" l="1"/>
  <c r="J713" i="1"/>
  <c r="M714" i="1" s="1"/>
  <c r="L714" i="1"/>
  <c r="G716" i="1"/>
  <c r="H715" i="1"/>
  <c r="I715" i="1" s="1"/>
  <c r="K715" i="1" s="1"/>
  <c r="N714" i="1" l="1"/>
  <c r="J714" i="1"/>
  <c r="M715" i="1" s="1"/>
  <c r="L715" i="1"/>
  <c r="G717" i="1"/>
  <c r="H716" i="1"/>
  <c r="I716" i="1" s="1"/>
  <c r="K716" i="1" s="1"/>
  <c r="N715" i="1" l="1"/>
  <c r="J715" i="1"/>
  <c r="M716" i="1" s="1"/>
  <c r="L716" i="1"/>
  <c r="G718" i="1"/>
  <c r="H717" i="1"/>
  <c r="I717" i="1" s="1"/>
  <c r="K717" i="1" s="1"/>
  <c r="N716" i="1" l="1"/>
  <c r="J716" i="1"/>
  <c r="M717" i="1" s="1"/>
  <c r="L717" i="1"/>
  <c r="G719" i="1"/>
  <c r="H718" i="1"/>
  <c r="I718" i="1" s="1"/>
  <c r="K718" i="1" s="1"/>
  <c r="N717" i="1" l="1"/>
  <c r="J717" i="1"/>
  <c r="M718" i="1" s="1"/>
  <c r="L718" i="1"/>
  <c r="G720" i="1"/>
  <c r="H719" i="1"/>
  <c r="I719" i="1" s="1"/>
  <c r="K719" i="1" s="1"/>
  <c r="N718" i="1" l="1"/>
  <c r="J718" i="1"/>
  <c r="M719" i="1" s="1"/>
  <c r="L719" i="1"/>
  <c r="G721" i="1"/>
  <c r="H720" i="1"/>
  <c r="I720" i="1" s="1"/>
  <c r="K720" i="1" s="1"/>
  <c r="N719" i="1" l="1"/>
  <c r="J719" i="1"/>
  <c r="M720" i="1" s="1"/>
  <c r="L720" i="1"/>
  <c r="G722" i="1"/>
  <c r="H721" i="1"/>
  <c r="I721" i="1" s="1"/>
  <c r="K721" i="1" s="1"/>
  <c r="N720" i="1" l="1"/>
  <c r="J720" i="1"/>
  <c r="M721" i="1" s="1"/>
  <c r="L721" i="1"/>
  <c r="G723" i="1"/>
  <c r="H722" i="1"/>
  <c r="I722" i="1" s="1"/>
  <c r="K722" i="1" s="1"/>
  <c r="N721" i="1" l="1"/>
  <c r="J721" i="1"/>
  <c r="M722" i="1" s="1"/>
  <c r="L722" i="1"/>
  <c r="G724" i="1"/>
  <c r="H723" i="1"/>
  <c r="I723" i="1" s="1"/>
  <c r="K723" i="1" s="1"/>
  <c r="N722" i="1" l="1"/>
  <c r="J722" i="1"/>
  <c r="M723" i="1" s="1"/>
  <c r="L723" i="1"/>
  <c r="G725" i="1"/>
  <c r="H724" i="1"/>
  <c r="I724" i="1" s="1"/>
  <c r="K724" i="1" s="1"/>
  <c r="N723" i="1" l="1"/>
  <c r="J723" i="1"/>
  <c r="M724" i="1" s="1"/>
  <c r="L724" i="1"/>
  <c r="G726" i="1"/>
  <c r="H725" i="1"/>
  <c r="I725" i="1" s="1"/>
  <c r="K725" i="1" s="1"/>
  <c r="N724" i="1" l="1"/>
  <c r="J724" i="1"/>
  <c r="M725" i="1" s="1"/>
  <c r="L725" i="1"/>
  <c r="G727" i="1"/>
  <c r="H726" i="1"/>
  <c r="I726" i="1" s="1"/>
  <c r="K726" i="1" s="1"/>
  <c r="N725" i="1" l="1"/>
  <c r="J725" i="1"/>
  <c r="M726" i="1" s="1"/>
  <c r="L726" i="1"/>
  <c r="G728" i="1"/>
  <c r="H727" i="1"/>
  <c r="I727" i="1" s="1"/>
  <c r="K727" i="1" s="1"/>
  <c r="N726" i="1" l="1"/>
  <c r="J726" i="1"/>
  <c r="M727" i="1" s="1"/>
  <c r="L727" i="1"/>
  <c r="G729" i="1"/>
  <c r="H728" i="1"/>
  <c r="I728" i="1" s="1"/>
  <c r="K728" i="1" s="1"/>
  <c r="N727" i="1" l="1"/>
  <c r="J727" i="1"/>
  <c r="M728" i="1" s="1"/>
  <c r="L728" i="1"/>
  <c r="G730" i="1"/>
  <c r="H729" i="1"/>
  <c r="I729" i="1" s="1"/>
  <c r="K729" i="1" s="1"/>
  <c r="N728" i="1" l="1"/>
  <c r="J728" i="1"/>
  <c r="M729" i="1" s="1"/>
  <c r="L729" i="1"/>
  <c r="G731" i="1"/>
  <c r="H730" i="1"/>
  <c r="I730" i="1" s="1"/>
  <c r="K730" i="1" s="1"/>
  <c r="N729" i="1" l="1"/>
  <c r="J729" i="1"/>
  <c r="M730" i="1" s="1"/>
  <c r="L730" i="1"/>
  <c r="G732" i="1"/>
  <c r="H731" i="1"/>
  <c r="I731" i="1" s="1"/>
  <c r="K731" i="1" s="1"/>
  <c r="N730" i="1" l="1"/>
  <c r="J730" i="1"/>
  <c r="M731" i="1" s="1"/>
  <c r="L731" i="1"/>
  <c r="G733" i="1"/>
  <c r="H732" i="1"/>
  <c r="I732" i="1" s="1"/>
  <c r="K732" i="1" s="1"/>
  <c r="N731" i="1" l="1"/>
  <c r="J731" i="1"/>
  <c r="M732" i="1" s="1"/>
  <c r="L732" i="1"/>
  <c r="G734" i="1"/>
  <c r="H733" i="1"/>
  <c r="I733" i="1" s="1"/>
  <c r="K733" i="1" s="1"/>
  <c r="N732" i="1" l="1"/>
  <c r="J732" i="1"/>
  <c r="M733" i="1" s="1"/>
  <c r="L733" i="1"/>
  <c r="G735" i="1"/>
  <c r="H734" i="1"/>
  <c r="I734" i="1" s="1"/>
  <c r="K734" i="1" s="1"/>
  <c r="N733" i="1" l="1"/>
  <c r="J733" i="1"/>
  <c r="M734" i="1" s="1"/>
  <c r="L734" i="1"/>
  <c r="G736" i="1"/>
  <c r="H735" i="1"/>
  <c r="I735" i="1" s="1"/>
  <c r="K735" i="1" s="1"/>
  <c r="N734" i="1" l="1"/>
  <c r="J734" i="1"/>
  <c r="M735" i="1" s="1"/>
  <c r="L735" i="1"/>
  <c r="G737" i="1"/>
  <c r="H736" i="1"/>
  <c r="I736" i="1" s="1"/>
  <c r="K736" i="1" s="1"/>
  <c r="N735" i="1" l="1"/>
  <c r="J735" i="1"/>
  <c r="M736" i="1" s="1"/>
  <c r="L736" i="1"/>
  <c r="G738" i="1"/>
  <c r="H737" i="1"/>
  <c r="I737" i="1" s="1"/>
  <c r="K737" i="1" s="1"/>
  <c r="N736" i="1" l="1"/>
  <c r="J736" i="1"/>
  <c r="M737" i="1" s="1"/>
  <c r="L737" i="1"/>
  <c r="G739" i="1"/>
  <c r="H738" i="1"/>
  <c r="I738" i="1" s="1"/>
  <c r="K738" i="1" s="1"/>
  <c r="N737" i="1" l="1"/>
  <c r="J737" i="1"/>
  <c r="M738" i="1" s="1"/>
  <c r="L738" i="1"/>
  <c r="G740" i="1"/>
  <c r="H739" i="1"/>
  <c r="I739" i="1" s="1"/>
  <c r="K739" i="1" s="1"/>
  <c r="N738" i="1" l="1"/>
  <c r="J738" i="1"/>
  <c r="M739" i="1" s="1"/>
  <c r="L739" i="1"/>
  <c r="G741" i="1"/>
  <c r="H740" i="1"/>
  <c r="I740" i="1" s="1"/>
  <c r="K740" i="1" s="1"/>
  <c r="N739" i="1" l="1"/>
  <c r="J739" i="1"/>
  <c r="M740" i="1" s="1"/>
  <c r="L740" i="1"/>
  <c r="G742" i="1"/>
  <c r="H741" i="1"/>
  <c r="I741" i="1" s="1"/>
  <c r="K741" i="1" s="1"/>
  <c r="J740" i="1" l="1"/>
  <c r="M741" i="1" s="1"/>
  <c r="N740" i="1"/>
  <c r="L741" i="1"/>
  <c r="G743" i="1"/>
  <c r="H742" i="1"/>
  <c r="I742" i="1" s="1"/>
  <c r="K742" i="1" s="1"/>
  <c r="N741" i="1" l="1"/>
  <c r="J741" i="1"/>
  <c r="M742" i="1" s="1"/>
  <c r="L742" i="1"/>
  <c r="G744" i="1"/>
  <c r="H743" i="1"/>
  <c r="I743" i="1" s="1"/>
  <c r="K743" i="1" s="1"/>
  <c r="N742" i="1" l="1"/>
  <c r="J742" i="1"/>
  <c r="M743" i="1" s="1"/>
  <c r="L743" i="1"/>
  <c r="G745" i="1"/>
  <c r="H744" i="1"/>
  <c r="I744" i="1" s="1"/>
  <c r="K744" i="1" s="1"/>
  <c r="N743" i="1" l="1"/>
  <c r="J743" i="1"/>
  <c r="M744" i="1" s="1"/>
  <c r="L744" i="1"/>
  <c r="G746" i="1"/>
  <c r="H745" i="1"/>
  <c r="I745" i="1" s="1"/>
  <c r="K745" i="1" s="1"/>
  <c r="N744" i="1" l="1"/>
  <c r="J744" i="1"/>
  <c r="M745" i="1" s="1"/>
  <c r="L745" i="1"/>
  <c r="G747" i="1"/>
  <c r="H746" i="1"/>
  <c r="I746" i="1" s="1"/>
  <c r="K746" i="1" s="1"/>
  <c r="N745" i="1" l="1"/>
  <c r="J745" i="1"/>
  <c r="M746" i="1" s="1"/>
  <c r="L746" i="1"/>
  <c r="G748" i="1"/>
  <c r="H747" i="1"/>
  <c r="I747" i="1" s="1"/>
  <c r="K747" i="1" s="1"/>
  <c r="N746" i="1" l="1"/>
  <c r="J746" i="1"/>
  <c r="M747" i="1" s="1"/>
  <c r="L747" i="1"/>
  <c r="G749" i="1"/>
  <c r="H748" i="1"/>
  <c r="I748" i="1" s="1"/>
  <c r="K748" i="1" s="1"/>
  <c r="N747" i="1" l="1"/>
  <c r="J747" i="1"/>
  <c r="M748" i="1" s="1"/>
  <c r="L748" i="1"/>
  <c r="G750" i="1"/>
  <c r="H749" i="1"/>
  <c r="I749" i="1" s="1"/>
  <c r="K749" i="1" s="1"/>
  <c r="N748" i="1" l="1"/>
  <c r="J748" i="1"/>
  <c r="M749" i="1" s="1"/>
  <c r="L749" i="1"/>
  <c r="G751" i="1"/>
  <c r="H750" i="1"/>
  <c r="I750" i="1" s="1"/>
  <c r="K750" i="1" s="1"/>
  <c r="J749" i="1" l="1"/>
  <c r="M750" i="1" s="1"/>
  <c r="N749" i="1"/>
  <c r="L750" i="1"/>
  <c r="G752" i="1"/>
  <c r="H751" i="1"/>
  <c r="I751" i="1" s="1"/>
  <c r="K751" i="1" s="1"/>
  <c r="N750" i="1" l="1"/>
  <c r="J750" i="1"/>
  <c r="M751" i="1" s="1"/>
  <c r="L751" i="1"/>
  <c r="G753" i="1"/>
  <c r="H752" i="1"/>
  <c r="I752" i="1" s="1"/>
  <c r="K752" i="1" s="1"/>
  <c r="N751" i="1" l="1"/>
  <c r="J751" i="1"/>
  <c r="M752" i="1" s="1"/>
  <c r="L752" i="1"/>
  <c r="G754" i="1"/>
  <c r="H753" i="1"/>
  <c r="I753" i="1" s="1"/>
  <c r="K753" i="1" s="1"/>
  <c r="N752" i="1" l="1"/>
  <c r="J752" i="1"/>
  <c r="M753" i="1" s="1"/>
  <c r="L753" i="1"/>
  <c r="G755" i="1"/>
  <c r="H754" i="1"/>
  <c r="I754" i="1" s="1"/>
  <c r="K754" i="1" s="1"/>
  <c r="N753" i="1" l="1"/>
  <c r="J753" i="1"/>
  <c r="M754" i="1" s="1"/>
  <c r="L754" i="1"/>
  <c r="G756" i="1"/>
  <c r="H755" i="1"/>
  <c r="I755" i="1" s="1"/>
  <c r="K755" i="1" s="1"/>
  <c r="N754" i="1" l="1"/>
  <c r="J754" i="1"/>
  <c r="M755" i="1" s="1"/>
  <c r="L755" i="1"/>
  <c r="G757" i="1"/>
  <c r="H756" i="1"/>
  <c r="I756" i="1" s="1"/>
  <c r="K756" i="1" s="1"/>
  <c r="N755" i="1" l="1"/>
  <c r="J755" i="1"/>
  <c r="M756" i="1" s="1"/>
  <c r="L756" i="1"/>
  <c r="G758" i="1"/>
  <c r="H757" i="1"/>
  <c r="I757" i="1" s="1"/>
  <c r="K757" i="1" s="1"/>
  <c r="N756" i="1" l="1"/>
  <c r="J756" i="1"/>
  <c r="M757" i="1" s="1"/>
  <c r="L757" i="1"/>
  <c r="G759" i="1"/>
  <c r="H758" i="1"/>
  <c r="I758" i="1" s="1"/>
  <c r="K758" i="1" s="1"/>
  <c r="N757" i="1" l="1"/>
  <c r="J757" i="1"/>
  <c r="M758" i="1" s="1"/>
  <c r="L758" i="1"/>
  <c r="G760" i="1"/>
  <c r="H759" i="1"/>
  <c r="I759" i="1" s="1"/>
  <c r="K759" i="1" s="1"/>
  <c r="N758" i="1" l="1"/>
  <c r="J758" i="1"/>
  <c r="M759" i="1" s="1"/>
  <c r="L759" i="1"/>
  <c r="G761" i="1"/>
  <c r="H760" i="1"/>
  <c r="I760" i="1" s="1"/>
  <c r="K760" i="1" s="1"/>
  <c r="N759" i="1" l="1"/>
  <c r="J759" i="1"/>
  <c r="M760" i="1" s="1"/>
  <c r="L760" i="1"/>
  <c r="G762" i="1"/>
  <c r="H761" i="1"/>
  <c r="I761" i="1" s="1"/>
  <c r="K761" i="1" s="1"/>
  <c r="J760" i="1" l="1"/>
  <c r="M761" i="1" s="1"/>
  <c r="N760" i="1"/>
  <c r="L761" i="1"/>
  <c r="G763" i="1"/>
  <c r="H762" i="1"/>
  <c r="I762" i="1" s="1"/>
  <c r="K762" i="1" s="1"/>
  <c r="N761" i="1" l="1"/>
  <c r="J761" i="1"/>
  <c r="M762" i="1" s="1"/>
  <c r="L762" i="1"/>
  <c r="G764" i="1"/>
  <c r="H763" i="1"/>
  <c r="I763" i="1" s="1"/>
  <c r="K763" i="1" s="1"/>
  <c r="N762" i="1" l="1"/>
  <c r="J762" i="1"/>
  <c r="M763" i="1" s="1"/>
  <c r="L763" i="1"/>
  <c r="G765" i="1"/>
  <c r="H764" i="1"/>
  <c r="I764" i="1" s="1"/>
  <c r="K764" i="1" s="1"/>
  <c r="N763" i="1" l="1"/>
  <c r="J763" i="1"/>
  <c r="M764" i="1" s="1"/>
  <c r="L764" i="1"/>
  <c r="G766" i="1"/>
  <c r="H765" i="1"/>
  <c r="I765" i="1" s="1"/>
  <c r="K765" i="1" s="1"/>
  <c r="N764" i="1" l="1"/>
  <c r="J764" i="1"/>
  <c r="M765" i="1" s="1"/>
  <c r="L765" i="1"/>
  <c r="G767" i="1"/>
  <c r="H766" i="1"/>
  <c r="I766" i="1" s="1"/>
  <c r="K766" i="1" s="1"/>
  <c r="N765" i="1" l="1"/>
  <c r="J765" i="1"/>
  <c r="M766" i="1" s="1"/>
  <c r="L766" i="1"/>
  <c r="G768" i="1"/>
  <c r="H767" i="1"/>
  <c r="I767" i="1" s="1"/>
  <c r="K767" i="1" s="1"/>
  <c r="N766" i="1" l="1"/>
  <c r="J766" i="1"/>
  <c r="M767" i="1" s="1"/>
  <c r="L767" i="1"/>
  <c r="G769" i="1"/>
  <c r="H768" i="1"/>
  <c r="I768" i="1" s="1"/>
  <c r="K768" i="1" s="1"/>
  <c r="N767" i="1" l="1"/>
  <c r="J767" i="1"/>
  <c r="M768" i="1" s="1"/>
  <c r="L768" i="1"/>
  <c r="G770" i="1"/>
  <c r="H769" i="1"/>
  <c r="I769" i="1" s="1"/>
  <c r="K769" i="1" s="1"/>
  <c r="N768" i="1" l="1"/>
  <c r="J768" i="1"/>
  <c r="M769" i="1" s="1"/>
  <c r="L769" i="1"/>
  <c r="G771" i="1"/>
  <c r="H770" i="1"/>
  <c r="I770" i="1" s="1"/>
  <c r="K770" i="1" s="1"/>
  <c r="N769" i="1" l="1"/>
  <c r="J769" i="1"/>
  <c r="M770" i="1" s="1"/>
  <c r="L770" i="1"/>
  <c r="G772" i="1"/>
  <c r="H771" i="1"/>
  <c r="I771" i="1" s="1"/>
  <c r="K771" i="1" s="1"/>
  <c r="N770" i="1" l="1"/>
  <c r="J770" i="1"/>
  <c r="M771" i="1" s="1"/>
  <c r="L771" i="1"/>
  <c r="G773" i="1"/>
  <c r="H772" i="1"/>
  <c r="I772" i="1" s="1"/>
  <c r="K772" i="1" s="1"/>
  <c r="N771" i="1" l="1"/>
  <c r="J771" i="1"/>
  <c r="M772" i="1" s="1"/>
  <c r="L772" i="1"/>
  <c r="G774" i="1"/>
  <c r="H773" i="1"/>
  <c r="I773" i="1" s="1"/>
  <c r="K773" i="1" s="1"/>
  <c r="N772" i="1" l="1"/>
  <c r="J772" i="1"/>
  <c r="M773" i="1" s="1"/>
  <c r="L773" i="1"/>
  <c r="G775" i="1"/>
  <c r="H774" i="1"/>
  <c r="I774" i="1" s="1"/>
  <c r="K774" i="1" s="1"/>
  <c r="N773" i="1" l="1"/>
  <c r="J773" i="1"/>
  <c r="M774" i="1" s="1"/>
  <c r="L774" i="1"/>
  <c r="G776" i="1"/>
  <c r="H775" i="1"/>
  <c r="I775" i="1" s="1"/>
  <c r="K775" i="1" s="1"/>
  <c r="N774" i="1" l="1"/>
  <c r="J774" i="1"/>
  <c r="M775" i="1" s="1"/>
  <c r="L775" i="1"/>
  <c r="G777" i="1"/>
  <c r="H776" i="1"/>
  <c r="I776" i="1" s="1"/>
  <c r="K776" i="1" s="1"/>
  <c r="N775" i="1" l="1"/>
  <c r="J775" i="1"/>
  <c r="M776" i="1" s="1"/>
  <c r="L776" i="1"/>
  <c r="G778" i="1"/>
  <c r="H777" i="1"/>
  <c r="I777" i="1" s="1"/>
  <c r="K777" i="1" s="1"/>
  <c r="N776" i="1" l="1"/>
  <c r="J776" i="1"/>
  <c r="M777" i="1" s="1"/>
  <c r="L777" i="1"/>
  <c r="G779" i="1"/>
  <c r="H778" i="1"/>
  <c r="I778" i="1" s="1"/>
  <c r="K778" i="1" s="1"/>
  <c r="J777" i="1" l="1"/>
  <c r="M778" i="1" s="1"/>
  <c r="N777" i="1"/>
  <c r="L778" i="1"/>
  <c r="G780" i="1"/>
  <c r="H779" i="1"/>
  <c r="I779" i="1" s="1"/>
  <c r="K779" i="1" s="1"/>
  <c r="N778" i="1" l="1"/>
  <c r="J778" i="1"/>
  <c r="M779" i="1" s="1"/>
  <c r="L779" i="1"/>
  <c r="G781" i="1"/>
  <c r="H780" i="1"/>
  <c r="I780" i="1" s="1"/>
  <c r="K780" i="1" s="1"/>
  <c r="J779" i="1" l="1"/>
  <c r="M780" i="1" s="1"/>
  <c r="N779" i="1"/>
  <c r="L780" i="1"/>
  <c r="G782" i="1"/>
  <c r="H781" i="1"/>
  <c r="I781" i="1" s="1"/>
  <c r="K781" i="1" s="1"/>
  <c r="N780" i="1" l="1"/>
  <c r="J780" i="1"/>
  <c r="M781" i="1" s="1"/>
  <c r="L781" i="1"/>
  <c r="G783" i="1"/>
  <c r="H782" i="1"/>
  <c r="I782" i="1" s="1"/>
  <c r="K782" i="1" s="1"/>
  <c r="N781" i="1" l="1"/>
  <c r="J781" i="1"/>
  <c r="M782" i="1" s="1"/>
  <c r="L782" i="1"/>
  <c r="G784" i="1"/>
  <c r="H783" i="1"/>
  <c r="I783" i="1" s="1"/>
  <c r="K783" i="1" s="1"/>
  <c r="N782" i="1" l="1"/>
  <c r="J782" i="1"/>
  <c r="M783" i="1" s="1"/>
  <c r="L783" i="1"/>
  <c r="G785" i="1"/>
  <c r="H784" i="1"/>
  <c r="I784" i="1" s="1"/>
  <c r="K784" i="1" s="1"/>
  <c r="N783" i="1" l="1"/>
  <c r="J783" i="1"/>
  <c r="M784" i="1" s="1"/>
  <c r="L784" i="1"/>
  <c r="G786" i="1"/>
  <c r="H785" i="1"/>
  <c r="I785" i="1" s="1"/>
  <c r="K785" i="1" s="1"/>
  <c r="N784" i="1" l="1"/>
  <c r="J784" i="1"/>
  <c r="M785" i="1" s="1"/>
  <c r="L785" i="1"/>
  <c r="G787" i="1"/>
  <c r="H786" i="1"/>
  <c r="I786" i="1" s="1"/>
  <c r="K786" i="1" s="1"/>
  <c r="N785" i="1" l="1"/>
  <c r="J785" i="1"/>
  <c r="M786" i="1" s="1"/>
  <c r="L786" i="1"/>
  <c r="G788" i="1"/>
  <c r="H787" i="1"/>
  <c r="I787" i="1" s="1"/>
  <c r="K787" i="1" s="1"/>
  <c r="N786" i="1" l="1"/>
  <c r="J786" i="1"/>
  <c r="M787" i="1" s="1"/>
  <c r="L787" i="1"/>
  <c r="G789" i="1"/>
  <c r="H788" i="1"/>
  <c r="I788" i="1" s="1"/>
  <c r="K788" i="1" s="1"/>
  <c r="N787" i="1" l="1"/>
  <c r="J787" i="1"/>
  <c r="M788" i="1" s="1"/>
  <c r="L788" i="1"/>
  <c r="G790" i="1"/>
  <c r="H789" i="1"/>
  <c r="I789" i="1" s="1"/>
  <c r="K789" i="1" s="1"/>
  <c r="N788" i="1" l="1"/>
  <c r="J788" i="1"/>
  <c r="M789" i="1" s="1"/>
  <c r="L789" i="1"/>
  <c r="G791" i="1"/>
  <c r="H790" i="1"/>
  <c r="I790" i="1" s="1"/>
  <c r="K790" i="1" s="1"/>
  <c r="N789" i="1" l="1"/>
  <c r="J789" i="1"/>
  <c r="M790" i="1" s="1"/>
  <c r="L790" i="1"/>
  <c r="G792" i="1"/>
  <c r="H791" i="1"/>
  <c r="I791" i="1" s="1"/>
  <c r="K791" i="1" s="1"/>
  <c r="N790" i="1" l="1"/>
  <c r="J790" i="1"/>
  <c r="M791" i="1" s="1"/>
  <c r="L791" i="1"/>
  <c r="G793" i="1"/>
  <c r="H792" i="1"/>
  <c r="I792" i="1" s="1"/>
  <c r="K792" i="1" s="1"/>
  <c r="N791" i="1" l="1"/>
  <c r="J791" i="1"/>
  <c r="M792" i="1" s="1"/>
  <c r="L792" i="1"/>
  <c r="G794" i="1"/>
  <c r="H793" i="1"/>
  <c r="I793" i="1" s="1"/>
  <c r="K793" i="1" s="1"/>
  <c r="N792" i="1" l="1"/>
  <c r="J792" i="1"/>
  <c r="M793" i="1" s="1"/>
  <c r="L793" i="1"/>
  <c r="G795" i="1"/>
  <c r="H794" i="1"/>
  <c r="I794" i="1" s="1"/>
  <c r="K794" i="1" s="1"/>
  <c r="N793" i="1" l="1"/>
  <c r="J793" i="1"/>
  <c r="M794" i="1" s="1"/>
  <c r="L794" i="1"/>
  <c r="G796" i="1"/>
  <c r="H795" i="1"/>
  <c r="I795" i="1" s="1"/>
  <c r="K795" i="1" s="1"/>
  <c r="N794" i="1" l="1"/>
  <c r="J794" i="1"/>
  <c r="M795" i="1" s="1"/>
  <c r="L795" i="1"/>
  <c r="G797" i="1"/>
  <c r="H796" i="1"/>
  <c r="I796" i="1" s="1"/>
  <c r="K796" i="1" s="1"/>
  <c r="N795" i="1" l="1"/>
  <c r="J795" i="1"/>
  <c r="M796" i="1" s="1"/>
  <c r="L796" i="1"/>
  <c r="G798" i="1"/>
  <c r="H797" i="1"/>
  <c r="I797" i="1" s="1"/>
  <c r="K797" i="1" s="1"/>
  <c r="N796" i="1" l="1"/>
  <c r="J796" i="1"/>
  <c r="M797" i="1" s="1"/>
  <c r="L797" i="1"/>
  <c r="G799" i="1"/>
  <c r="H798" i="1"/>
  <c r="I798" i="1" s="1"/>
  <c r="K798" i="1" s="1"/>
  <c r="J797" i="1" l="1"/>
  <c r="M798" i="1" s="1"/>
  <c r="N797" i="1"/>
  <c r="L798" i="1"/>
  <c r="G800" i="1"/>
  <c r="H799" i="1"/>
  <c r="I799" i="1" s="1"/>
  <c r="K799" i="1" s="1"/>
  <c r="N798" i="1" l="1"/>
  <c r="J798" i="1"/>
  <c r="M799" i="1" s="1"/>
  <c r="L799" i="1"/>
  <c r="G801" i="1"/>
  <c r="H800" i="1"/>
  <c r="I800" i="1" s="1"/>
  <c r="K800" i="1" s="1"/>
  <c r="N799" i="1" l="1"/>
  <c r="J799" i="1"/>
  <c r="M800" i="1" s="1"/>
  <c r="L800" i="1"/>
  <c r="G802" i="1"/>
  <c r="H801" i="1"/>
  <c r="I801" i="1" s="1"/>
  <c r="K801" i="1" s="1"/>
  <c r="N800" i="1" l="1"/>
  <c r="J800" i="1"/>
  <c r="M801" i="1" s="1"/>
  <c r="L801" i="1"/>
  <c r="G803" i="1"/>
  <c r="H802" i="1"/>
  <c r="I802" i="1" s="1"/>
  <c r="K802" i="1" s="1"/>
  <c r="N801" i="1" l="1"/>
  <c r="J801" i="1"/>
  <c r="M802" i="1" s="1"/>
  <c r="L802" i="1"/>
  <c r="G804" i="1"/>
  <c r="H803" i="1"/>
  <c r="I803" i="1" s="1"/>
  <c r="K803" i="1" s="1"/>
  <c r="J802" i="1" l="1"/>
  <c r="M803" i="1" s="1"/>
  <c r="N802" i="1"/>
  <c r="L803" i="1"/>
  <c r="G805" i="1"/>
  <c r="H804" i="1"/>
  <c r="I804" i="1" s="1"/>
  <c r="K804" i="1" s="1"/>
  <c r="N803" i="1" l="1"/>
  <c r="J803" i="1"/>
  <c r="M804" i="1" s="1"/>
  <c r="L804" i="1"/>
  <c r="G806" i="1"/>
  <c r="H805" i="1"/>
  <c r="I805" i="1" s="1"/>
  <c r="K805" i="1" s="1"/>
  <c r="J804" i="1" l="1"/>
  <c r="M805" i="1" s="1"/>
  <c r="N804" i="1"/>
  <c r="L805" i="1"/>
  <c r="G807" i="1"/>
  <c r="H806" i="1"/>
  <c r="I806" i="1" s="1"/>
  <c r="K806" i="1" s="1"/>
  <c r="N805" i="1" l="1"/>
  <c r="J805" i="1"/>
  <c r="M806" i="1" s="1"/>
  <c r="L806" i="1"/>
  <c r="G808" i="1"/>
  <c r="H807" i="1"/>
  <c r="I807" i="1" s="1"/>
  <c r="K807" i="1" s="1"/>
  <c r="N806" i="1" l="1"/>
  <c r="J806" i="1"/>
  <c r="M807" i="1" s="1"/>
  <c r="L807" i="1"/>
  <c r="G809" i="1"/>
  <c r="H808" i="1"/>
  <c r="I808" i="1" s="1"/>
  <c r="K808" i="1" s="1"/>
  <c r="N807" i="1" l="1"/>
  <c r="J807" i="1"/>
  <c r="M808" i="1" s="1"/>
  <c r="L808" i="1"/>
  <c r="G810" i="1"/>
  <c r="H809" i="1"/>
  <c r="I809" i="1" s="1"/>
  <c r="K809" i="1" s="1"/>
  <c r="J808" i="1" l="1"/>
  <c r="M809" i="1" s="1"/>
  <c r="N808" i="1"/>
  <c r="L809" i="1"/>
  <c r="G811" i="1"/>
  <c r="H810" i="1"/>
  <c r="I810" i="1" s="1"/>
  <c r="K810" i="1" s="1"/>
  <c r="N809" i="1" l="1"/>
  <c r="J809" i="1"/>
  <c r="M810" i="1" s="1"/>
  <c r="L810" i="1"/>
  <c r="G812" i="1"/>
  <c r="H811" i="1"/>
  <c r="I811" i="1" s="1"/>
  <c r="K811" i="1" s="1"/>
  <c r="N810" i="1" l="1"/>
  <c r="J810" i="1"/>
  <c r="M811" i="1" s="1"/>
  <c r="L811" i="1"/>
  <c r="G813" i="1"/>
  <c r="H812" i="1"/>
  <c r="I812" i="1" s="1"/>
  <c r="K812" i="1" s="1"/>
  <c r="N811" i="1" l="1"/>
  <c r="J811" i="1"/>
  <c r="M812" i="1" s="1"/>
  <c r="L812" i="1"/>
  <c r="G814" i="1"/>
  <c r="H813" i="1"/>
  <c r="I813" i="1" s="1"/>
  <c r="K813" i="1" s="1"/>
  <c r="N812" i="1" l="1"/>
  <c r="J812" i="1"/>
  <c r="M813" i="1" s="1"/>
  <c r="L813" i="1"/>
  <c r="G815" i="1"/>
  <c r="H814" i="1"/>
  <c r="I814" i="1" s="1"/>
  <c r="K814" i="1" s="1"/>
  <c r="N813" i="1" l="1"/>
  <c r="J813" i="1"/>
  <c r="M814" i="1" s="1"/>
  <c r="L814" i="1"/>
  <c r="G816" i="1"/>
  <c r="H815" i="1"/>
  <c r="I815" i="1" s="1"/>
  <c r="K815" i="1" s="1"/>
  <c r="N814" i="1" l="1"/>
  <c r="J814" i="1"/>
  <c r="M815" i="1" s="1"/>
  <c r="L815" i="1"/>
  <c r="G817" i="1"/>
  <c r="H816" i="1"/>
  <c r="I816" i="1" s="1"/>
  <c r="K816" i="1" s="1"/>
  <c r="N815" i="1" l="1"/>
  <c r="J815" i="1"/>
  <c r="M816" i="1" s="1"/>
  <c r="L816" i="1"/>
  <c r="G818" i="1"/>
  <c r="H817" i="1"/>
  <c r="I817" i="1" s="1"/>
  <c r="K817" i="1" s="1"/>
  <c r="N816" i="1" l="1"/>
  <c r="J816" i="1"/>
  <c r="M817" i="1" s="1"/>
  <c r="L817" i="1"/>
  <c r="G819" i="1"/>
  <c r="H818" i="1"/>
  <c r="I818" i="1" s="1"/>
  <c r="K818" i="1" s="1"/>
  <c r="N817" i="1" l="1"/>
  <c r="J817" i="1"/>
  <c r="M818" i="1" s="1"/>
  <c r="L818" i="1"/>
  <c r="G820" i="1"/>
  <c r="H819" i="1"/>
  <c r="I819" i="1" s="1"/>
  <c r="K819" i="1" s="1"/>
  <c r="N818" i="1" l="1"/>
  <c r="J818" i="1"/>
  <c r="M819" i="1" s="1"/>
  <c r="L819" i="1"/>
  <c r="G821" i="1"/>
  <c r="H820" i="1"/>
  <c r="I820" i="1" s="1"/>
  <c r="K820" i="1" s="1"/>
  <c r="N819" i="1" l="1"/>
  <c r="J819" i="1"/>
  <c r="M820" i="1" s="1"/>
  <c r="L820" i="1"/>
  <c r="G822" i="1"/>
  <c r="H821" i="1"/>
  <c r="I821" i="1" s="1"/>
  <c r="K821" i="1" s="1"/>
  <c r="N820" i="1" l="1"/>
  <c r="J820" i="1"/>
  <c r="M821" i="1" s="1"/>
  <c r="L821" i="1"/>
  <c r="G823" i="1"/>
  <c r="H822" i="1"/>
  <c r="I822" i="1" s="1"/>
  <c r="K822" i="1" s="1"/>
  <c r="N821" i="1" l="1"/>
  <c r="J821" i="1"/>
  <c r="M822" i="1" s="1"/>
  <c r="L822" i="1"/>
  <c r="G824" i="1"/>
  <c r="H823" i="1"/>
  <c r="I823" i="1" s="1"/>
  <c r="K823" i="1" s="1"/>
  <c r="N822" i="1" l="1"/>
  <c r="J822" i="1"/>
  <c r="M823" i="1" s="1"/>
  <c r="L823" i="1"/>
  <c r="G825" i="1"/>
  <c r="H824" i="1"/>
  <c r="I824" i="1" s="1"/>
  <c r="K824" i="1" s="1"/>
  <c r="N823" i="1" l="1"/>
  <c r="J823" i="1"/>
  <c r="M824" i="1" s="1"/>
  <c r="L824" i="1"/>
  <c r="G826" i="1"/>
  <c r="H825" i="1"/>
  <c r="I825" i="1" s="1"/>
  <c r="K825" i="1" s="1"/>
  <c r="N824" i="1" l="1"/>
  <c r="J824" i="1"/>
  <c r="M825" i="1" s="1"/>
  <c r="L825" i="1"/>
  <c r="G827" i="1"/>
  <c r="H826" i="1"/>
  <c r="I826" i="1" s="1"/>
  <c r="K826" i="1" s="1"/>
  <c r="N825" i="1" l="1"/>
  <c r="J825" i="1"/>
  <c r="M826" i="1" s="1"/>
  <c r="L826" i="1"/>
  <c r="G828" i="1"/>
  <c r="H827" i="1"/>
  <c r="I827" i="1" s="1"/>
  <c r="K827" i="1" s="1"/>
  <c r="N826" i="1" l="1"/>
  <c r="J826" i="1"/>
  <c r="M827" i="1" s="1"/>
  <c r="L827" i="1"/>
  <c r="G829" i="1"/>
  <c r="H828" i="1"/>
  <c r="I828" i="1" s="1"/>
  <c r="K828" i="1" s="1"/>
  <c r="N827" i="1" l="1"/>
  <c r="J827" i="1"/>
  <c r="M828" i="1" s="1"/>
  <c r="L828" i="1"/>
  <c r="G830" i="1"/>
  <c r="H829" i="1"/>
  <c r="I829" i="1" s="1"/>
  <c r="K829" i="1" s="1"/>
  <c r="N828" i="1" l="1"/>
  <c r="J828" i="1"/>
  <c r="M829" i="1" s="1"/>
  <c r="L829" i="1"/>
  <c r="G831" i="1"/>
  <c r="H830" i="1"/>
  <c r="I830" i="1" s="1"/>
  <c r="K830" i="1" s="1"/>
  <c r="N829" i="1" l="1"/>
  <c r="J829" i="1"/>
  <c r="M830" i="1" s="1"/>
  <c r="L830" i="1"/>
  <c r="G832" i="1"/>
  <c r="H831" i="1"/>
  <c r="I831" i="1" s="1"/>
  <c r="K831" i="1" s="1"/>
  <c r="N830" i="1" l="1"/>
  <c r="J830" i="1"/>
  <c r="M831" i="1" s="1"/>
  <c r="L831" i="1"/>
  <c r="G833" i="1"/>
  <c r="H832" i="1"/>
  <c r="I832" i="1" s="1"/>
  <c r="K832" i="1" s="1"/>
  <c r="N831" i="1" l="1"/>
  <c r="J831" i="1"/>
  <c r="M832" i="1" s="1"/>
  <c r="L832" i="1"/>
  <c r="G834" i="1"/>
  <c r="H833" i="1"/>
  <c r="I833" i="1" s="1"/>
  <c r="K833" i="1" s="1"/>
  <c r="N832" i="1" l="1"/>
  <c r="J832" i="1"/>
  <c r="M833" i="1" s="1"/>
  <c r="L833" i="1"/>
  <c r="G835" i="1"/>
  <c r="H834" i="1"/>
  <c r="I834" i="1" s="1"/>
  <c r="K834" i="1" s="1"/>
  <c r="N833" i="1" l="1"/>
  <c r="J833" i="1"/>
  <c r="M834" i="1" s="1"/>
  <c r="L834" i="1"/>
  <c r="G836" i="1"/>
  <c r="H835" i="1"/>
  <c r="I835" i="1" s="1"/>
  <c r="K835" i="1" s="1"/>
  <c r="N834" i="1" l="1"/>
  <c r="J834" i="1"/>
  <c r="M835" i="1" s="1"/>
  <c r="L835" i="1"/>
  <c r="G837" i="1"/>
  <c r="H836" i="1"/>
  <c r="I836" i="1" s="1"/>
  <c r="K836" i="1" s="1"/>
  <c r="N835" i="1" l="1"/>
  <c r="J835" i="1"/>
  <c r="M836" i="1" s="1"/>
  <c r="L836" i="1"/>
  <c r="G838" i="1"/>
  <c r="H837" i="1"/>
  <c r="I837" i="1" s="1"/>
  <c r="K837" i="1" s="1"/>
  <c r="N836" i="1" l="1"/>
  <c r="J836" i="1"/>
  <c r="M837" i="1" s="1"/>
  <c r="L837" i="1"/>
  <c r="G839" i="1"/>
  <c r="H838" i="1"/>
  <c r="I838" i="1" s="1"/>
  <c r="K838" i="1" s="1"/>
  <c r="N837" i="1" l="1"/>
  <c r="J837" i="1"/>
  <c r="M838" i="1" s="1"/>
  <c r="L838" i="1"/>
  <c r="G840" i="1"/>
  <c r="H839" i="1"/>
  <c r="I839" i="1" s="1"/>
  <c r="K839" i="1" s="1"/>
  <c r="N838" i="1" l="1"/>
  <c r="J838" i="1"/>
  <c r="M839" i="1" s="1"/>
  <c r="L839" i="1"/>
  <c r="G841" i="1"/>
  <c r="H840" i="1"/>
  <c r="I840" i="1" s="1"/>
  <c r="K840" i="1" s="1"/>
  <c r="N839" i="1" l="1"/>
  <c r="J839" i="1"/>
  <c r="M840" i="1" s="1"/>
  <c r="L840" i="1"/>
  <c r="G842" i="1"/>
  <c r="H841" i="1"/>
  <c r="I841" i="1" s="1"/>
  <c r="K841" i="1" s="1"/>
  <c r="N840" i="1" l="1"/>
  <c r="J840" i="1"/>
  <c r="M841" i="1" s="1"/>
  <c r="L841" i="1"/>
  <c r="G843" i="1"/>
  <c r="H842" i="1"/>
  <c r="I842" i="1" s="1"/>
  <c r="K842" i="1" s="1"/>
  <c r="N841" i="1" l="1"/>
  <c r="J841" i="1"/>
  <c r="M842" i="1" s="1"/>
  <c r="L842" i="1"/>
  <c r="G844" i="1"/>
  <c r="H843" i="1"/>
  <c r="I843" i="1" s="1"/>
  <c r="K843" i="1" s="1"/>
  <c r="N842" i="1" l="1"/>
  <c r="J842" i="1"/>
  <c r="M843" i="1" s="1"/>
  <c r="L843" i="1"/>
  <c r="G845" i="1"/>
  <c r="H844" i="1"/>
  <c r="I844" i="1" s="1"/>
  <c r="K844" i="1" s="1"/>
  <c r="N843" i="1" l="1"/>
  <c r="J843" i="1"/>
  <c r="M844" i="1" s="1"/>
  <c r="L844" i="1"/>
  <c r="G846" i="1"/>
  <c r="H845" i="1"/>
  <c r="I845" i="1" s="1"/>
  <c r="K845" i="1" s="1"/>
  <c r="N844" i="1" l="1"/>
  <c r="J844" i="1"/>
  <c r="M845" i="1" s="1"/>
  <c r="L845" i="1"/>
  <c r="G847" i="1"/>
  <c r="H846" i="1"/>
  <c r="I846" i="1" s="1"/>
  <c r="K846" i="1" s="1"/>
  <c r="N845" i="1" l="1"/>
  <c r="J845" i="1"/>
  <c r="M846" i="1" s="1"/>
  <c r="L846" i="1"/>
  <c r="G848" i="1"/>
  <c r="H847" i="1"/>
  <c r="I847" i="1" s="1"/>
  <c r="K847" i="1" s="1"/>
  <c r="N846" i="1" l="1"/>
  <c r="J846" i="1"/>
  <c r="M847" i="1" s="1"/>
  <c r="L847" i="1"/>
  <c r="G849" i="1"/>
  <c r="H848" i="1"/>
  <c r="I848" i="1" s="1"/>
  <c r="K848" i="1" s="1"/>
  <c r="N847" i="1" l="1"/>
  <c r="J847" i="1"/>
  <c r="M848" i="1" s="1"/>
  <c r="L848" i="1"/>
  <c r="G850" i="1"/>
  <c r="H849" i="1"/>
  <c r="I849" i="1" s="1"/>
  <c r="K849" i="1" s="1"/>
  <c r="N848" i="1" l="1"/>
  <c r="J848" i="1"/>
  <c r="M849" i="1" s="1"/>
  <c r="L849" i="1"/>
  <c r="G851" i="1"/>
  <c r="H850" i="1"/>
  <c r="I850" i="1" s="1"/>
  <c r="K850" i="1" s="1"/>
  <c r="N849" i="1" l="1"/>
  <c r="J849" i="1"/>
  <c r="M850" i="1" s="1"/>
  <c r="L850" i="1"/>
  <c r="G852" i="1"/>
  <c r="H851" i="1"/>
  <c r="I851" i="1" s="1"/>
  <c r="K851" i="1" s="1"/>
  <c r="N850" i="1" l="1"/>
  <c r="J850" i="1"/>
  <c r="M851" i="1" s="1"/>
  <c r="L851" i="1"/>
  <c r="G853" i="1"/>
  <c r="H852" i="1"/>
  <c r="I852" i="1" s="1"/>
  <c r="K852" i="1" s="1"/>
  <c r="N851" i="1" l="1"/>
  <c r="J851" i="1"/>
  <c r="M852" i="1" s="1"/>
  <c r="L852" i="1"/>
  <c r="G854" i="1"/>
  <c r="H853" i="1"/>
  <c r="I853" i="1" s="1"/>
  <c r="K853" i="1" s="1"/>
  <c r="N852" i="1" l="1"/>
  <c r="J852" i="1"/>
  <c r="M853" i="1" s="1"/>
  <c r="L853" i="1"/>
  <c r="G855" i="1"/>
  <c r="H854" i="1"/>
  <c r="I854" i="1" s="1"/>
  <c r="K854" i="1" s="1"/>
  <c r="N853" i="1" l="1"/>
  <c r="J853" i="1"/>
  <c r="M854" i="1" s="1"/>
  <c r="L854" i="1"/>
  <c r="G856" i="1"/>
  <c r="H855" i="1"/>
  <c r="I855" i="1" s="1"/>
  <c r="K855" i="1" s="1"/>
  <c r="N854" i="1" l="1"/>
  <c r="J854" i="1"/>
  <c r="M855" i="1" s="1"/>
  <c r="L855" i="1"/>
  <c r="G857" i="1"/>
  <c r="H856" i="1"/>
  <c r="I856" i="1" s="1"/>
  <c r="K856" i="1" s="1"/>
  <c r="N855" i="1" l="1"/>
  <c r="J855" i="1"/>
  <c r="M856" i="1" s="1"/>
  <c r="L856" i="1"/>
  <c r="G858" i="1"/>
  <c r="H857" i="1"/>
  <c r="I857" i="1" s="1"/>
  <c r="K857" i="1" s="1"/>
  <c r="N856" i="1" l="1"/>
  <c r="J856" i="1"/>
  <c r="M857" i="1" s="1"/>
  <c r="L857" i="1"/>
  <c r="G859" i="1"/>
  <c r="H858" i="1"/>
  <c r="I858" i="1" s="1"/>
  <c r="K858" i="1" s="1"/>
  <c r="N857" i="1" l="1"/>
  <c r="J857" i="1"/>
  <c r="M858" i="1" s="1"/>
  <c r="L858" i="1"/>
  <c r="G860" i="1"/>
  <c r="H859" i="1"/>
  <c r="I859" i="1" s="1"/>
  <c r="K859" i="1" s="1"/>
  <c r="N858" i="1" l="1"/>
  <c r="J858" i="1"/>
  <c r="M859" i="1" s="1"/>
  <c r="L859" i="1"/>
  <c r="G861" i="1"/>
  <c r="H860" i="1"/>
  <c r="I860" i="1" s="1"/>
  <c r="K860" i="1" s="1"/>
  <c r="N859" i="1" l="1"/>
  <c r="J859" i="1"/>
  <c r="M860" i="1" s="1"/>
  <c r="L860" i="1"/>
  <c r="G862" i="1"/>
  <c r="H861" i="1"/>
  <c r="I861" i="1" s="1"/>
  <c r="K861" i="1" s="1"/>
  <c r="N860" i="1" l="1"/>
  <c r="J860" i="1"/>
  <c r="M861" i="1" s="1"/>
  <c r="L861" i="1"/>
  <c r="G863" i="1"/>
  <c r="H862" i="1"/>
  <c r="I862" i="1" s="1"/>
  <c r="K862" i="1" s="1"/>
  <c r="N861" i="1" l="1"/>
  <c r="J861" i="1"/>
  <c r="M862" i="1" s="1"/>
  <c r="L862" i="1"/>
  <c r="G864" i="1"/>
  <c r="H863" i="1"/>
  <c r="I863" i="1" s="1"/>
  <c r="K863" i="1" s="1"/>
  <c r="N862" i="1" l="1"/>
  <c r="J862" i="1"/>
  <c r="M863" i="1" s="1"/>
  <c r="L863" i="1"/>
  <c r="G865" i="1"/>
  <c r="H864" i="1"/>
  <c r="I864" i="1" s="1"/>
  <c r="K864" i="1" s="1"/>
  <c r="N863" i="1" l="1"/>
  <c r="J863" i="1"/>
  <c r="M864" i="1" s="1"/>
  <c r="L864" i="1"/>
  <c r="G866" i="1"/>
  <c r="H865" i="1"/>
  <c r="I865" i="1" s="1"/>
  <c r="K865" i="1" s="1"/>
  <c r="N864" i="1" l="1"/>
  <c r="J864" i="1"/>
  <c r="M865" i="1" s="1"/>
  <c r="L865" i="1"/>
  <c r="G867" i="1"/>
  <c r="H866" i="1"/>
  <c r="I866" i="1" s="1"/>
  <c r="K866" i="1" s="1"/>
  <c r="N865" i="1" l="1"/>
  <c r="J865" i="1"/>
  <c r="M866" i="1" s="1"/>
  <c r="L866" i="1"/>
  <c r="G868" i="1"/>
  <c r="H867" i="1"/>
  <c r="I867" i="1" s="1"/>
  <c r="K867" i="1" s="1"/>
  <c r="N866" i="1" l="1"/>
  <c r="J866" i="1"/>
  <c r="M867" i="1" s="1"/>
  <c r="L867" i="1"/>
  <c r="G869" i="1"/>
  <c r="H868" i="1"/>
  <c r="I868" i="1" s="1"/>
  <c r="K868" i="1" s="1"/>
  <c r="N867" i="1" l="1"/>
  <c r="J867" i="1"/>
  <c r="M868" i="1" s="1"/>
  <c r="L868" i="1"/>
  <c r="G870" i="1"/>
  <c r="H869" i="1"/>
  <c r="I869" i="1" s="1"/>
  <c r="K869" i="1" s="1"/>
  <c r="N868" i="1" l="1"/>
  <c r="J868" i="1"/>
  <c r="M869" i="1" s="1"/>
  <c r="L869" i="1"/>
  <c r="G871" i="1"/>
  <c r="H870" i="1"/>
  <c r="I870" i="1" s="1"/>
  <c r="K870" i="1" s="1"/>
  <c r="N869" i="1" l="1"/>
  <c r="J869" i="1"/>
  <c r="M870" i="1" s="1"/>
  <c r="L870" i="1"/>
  <c r="G872" i="1"/>
  <c r="H871" i="1"/>
  <c r="I871" i="1" s="1"/>
  <c r="K871" i="1" s="1"/>
  <c r="N870" i="1" l="1"/>
  <c r="J870" i="1"/>
  <c r="M871" i="1" s="1"/>
  <c r="L871" i="1"/>
  <c r="G873" i="1"/>
  <c r="H872" i="1"/>
  <c r="I872" i="1" s="1"/>
  <c r="K872" i="1" s="1"/>
  <c r="N871" i="1" l="1"/>
  <c r="J871" i="1"/>
  <c r="M872" i="1" s="1"/>
  <c r="L872" i="1"/>
  <c r="G874" i="1"/>
  <c r="H873" i="1"/>
  <c r="I873" i="1" s="1"/>
  <c r="K873" i="1" s="1"/>
  <c r="N872" i="1" l="1"/>
  <c r="J872" i="1"/>
  <c r="M873" i="1" s="1"/>
  <c r="L873" i="1"/>
  <c r="G875" i="1"/>
  <c r="H874" i="1"/>
  <c r="I874" i="1" s="1"/>
  <c r="K874" i="1" s="1"/>
  <c r="N873" i="1" l="1"/>
  <c r="J873" i="1"/>
  <c r="M874" i="1" s="1"/>
  <c r="L874" i="1"/>
  <c r="G876" i="1"/>
  <c r="H875" i="1"/>
  <c r="I875" i="1" s="1"/>
  <c r="K875" i="1" s="1"/>
  <c r="N874" i="1" l="1"/>
  <c r="J874" i="1"/>
  <c r="M875" i="1" s="1"/>
  <c r="L875" i="1"/>
  <c r="G877" i="1"/>
  <c r="H876" i="1"/>
  <c r="I876" i="1" s="1"/>
  <c r="K876" i="1" s="1"/>
  <c r="N875" i="1" l="1"/>
  <c r="J875" i="1"/>
  <c r="M876" i="1" s="1"/>
  <c r="L876" i="1"/>
  <c r="G878" i="1"/>
  <c r="H877" i="1"/>
  <c r="I877" i="1" s="1"/>
  <c r="K877" i="1" s="1"/>
  <c r="N876" i="1" l="1"/>
  <c r="J876" i="1"/>
  <c r="M877" i="1" s="1"/>
  <c r="L877" i="1"/>
  <c r="G879" i="1"/>
  <c r="H878" i="1"/>
  <c r="I878" i="1" s="1"/>
  <c r="K878" i="1" s="1"/>
  <c r="N877" i="1" l="1"/>
  <c r="J877" i="1"/>
  <c r="M878" i="1" s="1"/>
  <c r="L878" i="1"/>
  <c r="G880" i="1"/>
  <c r="H879" i="1"/>
  <c r="I879" i="1" s="1"/>
  <c r="K879" i="1" s="1"/>
  <c r="N878" i="1" l="1"/>
  <c r="J878" i="1"/>
  <c r="M879" i="1" s="1"/>
  <c r="L879" i="1"/>
  <c r="G881" i="1"/>
  <c r="H880" i="1"/>
  <c r="I880" i="1" s="1"/>
  <c r="K880" i="1" s="1"/>
  <c r="N879" i="1" l="1"/>
  <c r="J879" i="1"/>
  <c r="M880" i="1" s="1"/>
  <c r="L880" i="1"/>
  <c r="G882" i="1"/>
  <c r="H881" i="1"/>
  <c r="I881" i="1" s="1"/>
  <c r="K881" i="1" s="1"/>
  <c r="N880" i="1" l="1"/>
  <c r="J880" i="1"/>
  <c r="M881" i="1" s="1"/>
  <c r="L881" i="1"/>
  <c r="G883" i="1"/>
  <c r="H882" i="1"/>
  <c r="I882" i="1" s="1"/>
  <c r="K882" i="1" s="1"/>
  <c r="N881" i="1" l="1"/>
  <c r="J881" i="1"/>
  <c r="M882" i="1" s="1"/>
  <c r="L882" i="1"/>
  <c r="G884" i="1"/>
  <c r="H883" i="1"/>
  <c r="I883" i="1" s="1"/>
  <c r="K883" i="1" s="1"/>
  <c r="N882" i="1" l="1"/>
  <c r="J882" i="1"/>
  <c r="M883" i="1" s="1"/>
  <c r="L883" i="1"/>
  <c r="G885" i="1"/>
  <c r="H884" i="1"/>
  <c r="I884" i="1" s="1"/>
  <c r="K884" i="1" s="1"/>
  <c r="N883" i="1" l="1"/>
  <c r="J883" i="1"/>
  <c r="M884" i="1" s="1"/>
  <c r="L884" i="1"/>
  <c r="G886" i="1"/>
  <c r="H885" i="1"/>
  <c r="I885" i="1" s="1"/>
  <c r="K885" i="1" s="1"/>
  <c r="N884" i="1" l="1"/>
  <c r="J884" i="1"/>
  <c r="M885" i="1" s="1"/>
  <c r="L885" i="1"/>
  <c r="G887" i="1"/>
  <c r="H886" i="1"/>
  <c r="I886" i="1" s="1"/>
  <c r="K886" i="1" s="1"/>
  <c r="N885" i="1" l="1"/>
  <c r="J885" i="1"/>
  <c r="M886" i="1" s="1"/>
  <c r="L886" i="1"/>
  <c r="G888" i="1"/>
  <c r="H887" i="1"/>
  <c r="I887" i="1" s="1"/>
  <c r="K887" i="1" s="1"/>
  <c r="N886" i="1" l="1"/>
  <c r="J886" i="1"/>
  <c r="M887" i="1" s="1"/>
  <c r="L887" i="1"/>
  <c r="G889" i="1"/>
  <c r="H888" i="1"/>
  <c r="I888" i="1" s="1"/>
  <c r="K888" i="1" s="1"/>
  <c r="N887" i="1" l="1"/>
  <c r="J887" i="1"/>
  <c r="M888" i="1" s="1"/>
  <c r="L888" i="1"/>
  <c r="G890" i="1"/>
  <c r="H889" i="1"/>
  <c r="I889" i="1" s="1"/>
  <c r="K889" i="1" s="1"/>
  <c r="J888" i="1" l="1"/>
  <c r="M889" i="1" s="1"/>
  <c r="N888" i="1"/>
  <c r="L889" i="1"/>
  <c r="G891" i="1"/>
  <c r="H890" i="1"/>
  <c r="I890" i="1" s="1"/>
  <c r="K890" i="1" s="1"/>
  <c r="N889" i="1" l="1"/>
  <c r="J889" i="1"/>
  <c r="M890" i="1" s="1"/>
  <c r="L890" i="1"/>
  <c r="G892" i="1"/>
  <c r="H891" i="1"/>
  <c r="I891" i="1" s="1"/>
  <c r="K891" i="1" s="1"/>
  <c r="N890" i="1" l="1"/>
  <c r="J890" i="1"/>
  <c r="M891" i="1" s="1"/>
  <c r="L891" i="1"/>
  <c r="G893" i="1"/>
  <c r="H892" i="1"/>
  <c r="I892" i="1" s="1"/>
  <c r="K892" i="1" s="1"/>
  <c r="N891" i="1" l="1"/>
  <c r="J891" i="1"/>
  <c r="M892" i="1" s="1"/>
  <c r="L892" i="1"/>
  <c r="G894" i="1"/>
  <c r="H893" i="1"/>
  <c r="I893" i="1" s="1"/>
  <c r="K893" i="1" s="1"/>
  <c r="N892" i="1" l="1"/>
  <c r="J892" i="1"/>
  <c r="M893" i="1" s="1"/>
  <c r="L893" i="1"/>
  <c r="G895" i="1"/>
  <c r="H894" i="1"/>
  <c r="I894" i="1" s="1"/>
  <c r="K894" i="1" s="1"/>
  <c r="N893" i="1" l="1"/>
  <c r="J893" i="1"/>
  <c r="M894" i="1" s="1"/>
  <c r="L894" i="1"/>
  <c r="G896" i="1"/>
  <c r="H895" i="1"/>
  <c r="I895" i="1" s="1"/>
  <c r="K895" i="1" s="1"/>
  <c r="N894" i="1" l="1"/>
  <c r="J894" i="1"/>
  <c r="M895" i="1" s="1"/>
  <c r="L895" i="1"/>
  <c r="G897" i="1"/>
  <c r="H896" i="1"/>
  <c r="I896" i="1" s="1"/>
  <c r="K896" i="1" s="1"/>
  <c r="N895" i="1" l="1"/>
  <c r="J895" i="1"/>
  <c r="M896" i="1" s="1"/>
  <c r="L896" i="1"/>
  <c r="G898" i="1"/>
  <c r="H897" i="1"/>
  <c r="I897" i="1" s="1"/>
  <c r="K897" i="1" s="1"/>
  <c r="N896" i="1" l="1"/>
  <c r="J896" i="1"/>
  <c r="M897" i="1" s="1"/>
  <c r="L897" i="1"/>
  <c r="G899" i="1"/>
  <c r="H898" i="1"/>
  <c r="I898" i="1" s="1"/>
  <c r="K898" i="1" s="1"/>
  <c r="N897" i="1" l="1"/>
  <c r="J897" i="1"/>
  <c r="M898" i="1" s="1"/>
  <c r="L898" i="1"/>
  <c r="G900" i="1"/>
  <c r="H899" i="1"/>
  <c r="I899" i="1" s="1"/>
  <c r="K899" i="1" s="1"/>
  <c r="N898" i="1" l="1"/>
  <c r="J898" i="1"/>
  <c r="M899" i="1" s="1"/>
  <c r="L899" i="1"/>
  <c r="G901" i="1"/>
  <c r="H900" i="1"/>
  <c r="I900" i="1" s="1"/>
  <c r="K900" i="1" s="1"/>
  <c r="N899" i="1" l="1"/>
  <c r="J899" i="1"/>
  <c r="M900" i="1" s="1"/>
  <c r="L900" i="1"/>
  <c r="G902" i="1"/>
  <c r="H901" i="1"/>
  <c r="I901" i="1" s="1"/>
  <c r="K901" i="1" s="1"/>
  <c r="N900" i="1" l="1"/>
  <c r="J900" i="1"/>
  <c r="M901" i="1" s="1"/>
  <c r="L901" i="1"/>
  <c r="G903" i="1"/>
  <c r="H902" i="1"/>
  <c r="I902" i="1" s="1"/>
  <c r="K902" i="1" s="1"/>
  <c r="N901" i="1" l="1"/>
  <c r="J901" i="1"/>
  <c r="M902" i="1" s="1"/>
  <c r="L902" i="1"/>
  <c r="G904" i="1"/>
  <c r="H903" i="1"/>
  <c r="I903" i="1" s="1"/>
  <c r="K903" i="1" s="1"/>
  <c r="N902" i="1" l="1"/>
  <c r="J902" i="1"/>
  <c r="M903" i="1" s="1"/>
  <c r="L903" i="1"/>
  <c r="G905" i="1"/>
  <c r="H904" i="1"/>
  <c r="I904" i="1" s="1"/>
  <c r="K904" i="1" s="1"/>
  <c r="N903" i="1" l="1"/>
  <c r="J903" i="1"/>
  <c r="M904" i="1" s="1"/>
  <c r="L904" i="1"/>
  <c r="G906" i="1"/>
  <c r="H905" i="1"/>
  <c r="I905" i="1" s="1"/>
  <c r="K905" i="1" s="1"/>
  <c r="N904" i="1" l="1"/>
  <c r="J904" i="1"/>
  <c r="M905" i="1" s="1"/>
  <c r="L905" i="1"/>
  <c r="G907" i="1"/>
  <c r="H906" i="1"/>
  <c r="I906" i="1" s="1"/>
  <c r="K906" i="1" s="1"/>
  <c r="N905" i="1" l="1"/>
  <c r="J905" i="1"/>
  <c r="M906" i="1" s="1"/>
  <c r="L906" i="1"/>
  <c r="G908" i="1"/>
  <c r="H907" i="1"/>
  <c r="I907" i="1" s="1"/>
  <c r="K907" i="1" s="1"/>
  <c r="N906" i="1" l="1"/>
  <c r="J906" i="1"/>
  <c r="M907" i="1" s="1"/>
  <c r="L907" i="1"/>
  <c r="G909" i="1"/>
  <c r="H908" i="1"/>
  <c r="I908" i="1" s="1"/>
  <c r="K908" i="1" s="1"/>
  <c r="N907" i="1" l="1"/>
  <c r="J907" i="1"/>
  <c r="M908" i="1" s="1"/>
  <c r="L908" i="1"/>
  <c r="G910" i="1"/>
  <c r="H909" i="1"/>
  <c r="I909" i="1" s="1"/>
  <c r="K909" i="1" s="1"/>
  <c r="N908" i="1" l="1"/>
  <c r="J908" i="1"/>
  <c r="M909" i="1" s="1"/>
  <c r="L909" i="1"/>
  <c r="G911" i="1"/>
  <c r="H910" i="1"/>
  <c r="I910" i="1" s="1"/>
  <c r="K910" i="1" s="1"/>
  <c r="N909" i="1" l="1"/>
  <c r="J909" i="1"/>
  <c r="M910" i="1" s="1"/>
  <c r="L910" i="1"/>
  <c r="G912" i="1"/>
  <c r="H911" i="1"/>
  <c r="I911" i="1" s="1"/>
  <c r="K911" i="1" s="1"/>
  <c r="N910" i="1" l="1"/>
  <c r="J910" i="1"/>
  <c r="M911" i="1" s="1"/>
  <c r="L911" i="1"/>
  <c r="G913" i="1"/>
  <c r="H912" i="1"/>
  <c r="I912" i="1" s="1"/>
  <c r="K912" i="1" s="1"/>
  <c r="N911" i="1" l="1"/>
  <c r="J911" i="1"/>
  <c r="M912" i="1" s="1"/>
  <c r="L912" i="1"/>
  <c r="G914" i="1"/>
  <c r="H913" i="1"/>
  <c r="I913" i="1" s="1"/>
  <c r="K913" i="1" s="1"/>
  <c r="N912" i="1" l="1"/>
  <c r="J912" i="1"/>
  <c r="M913" i="1" s="1"/>
  <c r="L913" i="1"/>
  <c r="G915" i="1"/>
  <c r="H914" i="1"/>
  <c r="I914" i="1" s="1"/>
  <c r="K914" i="1" s="1"/>
  <c r="N913" i="1" l="1"/>
  <c r="J913" i="1"/>
  <c r="M914" i="1" s="1"/>
  <c r="L914" i="1"/>
  <c r="G916" i="1"/>
  <c r="H915" i="1"/>
  <c r="I915" i="1" s="1"/>
  <c r="K915" i="1" s="1"/>
  <c r="N914" i="1" l="1"/>
  <c r="J914" i="1"/>
  <c r="M915" i="1" s="1"/>
  <c r="L915" i="1"/>
  <c r="G917" i="1"/>
  <c r="H916" i="1"/>
  <c r="I916" i="1" s="1"/>
  <c r="K916" i="1" s="1"/>
  <c r="N915" i="1" l="1"/>
  <c r="J915" i="1"/>
  <c r="M916" i="1" s="1"/>
  <c r="L916" i="1"/>
  <c r="G918" i="1"/>
  <c r="H917" i="1"/>
  <c r="I917" i="1" s="1"/>
  <c r="K917" i="1" s="1"/>
  <c r="N916" i="1" l="1"/>
  <c r="J916" i="1"/>
  <c r="M917" i="1" s="1"/>
  <c r="L917" i="1"/>
  <c r="G919" i="1"/>
  <c r="H918" i="1"/>
  <c r="I918" i="1" s="1"/>
  <c r="K918" i="1" s="1"/>
  <c r="N917" i="1" l="1"/>
  <c r="J917" i="1"/>
  <c r="M918" i="1" s="1"/>
  <c r="L918" i="1"/>
  <c r="G920" i="1"/>
  <c r="H919" i="1"/>
  <c r="I919" i="1" s="1"/>
  <c r="K919" i="1" s="1"/>
  <c r="N918" i="1" l="1"/>
  <c r="J918" i="1"/>
  <c r="M919" i="1" s="1"/>
  <c r="L919" i="1"/>
  <c r="G921" i="1"/>
  <c r="H920" i="1"/>
  <c r="I920" i="1" s="1"/>
  <c r="K920" i="1" s="1"/>
  <c r="N919" i="1" l="1"/>
  <c r="J919" i="1"/>
  <c r="M920" i="1" s="1"/>
  <c r="L920" i="1"/>
  <c r="G922" i="1"/>
  <c r="H921" i="1"/>
  <c r="I921" i="1" s="1"/>
  <c r="K921" i="1" s="1"/>
  <c r="N920" i="1" l="1"/>
  <c r="J920" i="1"/>
  <c r="M921" i="1" s="1"/>
  <c r="L921" i="1"/>
  <c r="G923" i="1"/>
  <c r="H922" i="1"/>
  <c r="I922" i="1" s="1"/>
  <c r="K922" i="1" s="1"/>
  <c r="N921" i="1" l="1"/>
  <c r="J921" i="1"/>
  <c r="M922" i="1" s="1"/>
  <c r="L922" i="1"/>
  <c r="G924" i="1"/>
  <c r="H923" i="1"/>
  <c r="I923" i="1" s="1"/>
  <c r="K923" i="1" s="1"/>
  <c r="N922" i="1" l="1"/>
  <c r="J922" i="1"/>
  <c r="M923" i="1" s="1"/>
  <c r="L923" i="1"/>
  <c r="G925" i="1"/>
  <c r="H924" i="1"/>
  <c r="I924" i="1" s="1"/>
  <c r="K924" i="1" s="1"/>
  <c r="N923" i="1" l="1"/>
  <c r="J923" i="1"/>
  <c r="M924" i="1" s="1"/>
  <c r="L924" i="1"/>
  <c r="G926" i="1"/>
  <c r="H925" i="1"/>
  <c r="I925" i="1" s="1"/>
  <c r="K925" i="1" s="1"/>
  <c r="N924" i="1" l="1"/>
  <c r="J924" i="1"/>
  <c r="M925" i="1" s="1"/>
  <c r="L925" i="1"/>
  <c r="G927" i="1"/>
  <c r="H926" i="1"/>
  <c r="I926" i="1" s="1"/>
  <c r="K926" i="1" s="1"/>
  <c r="N925" i="1" l="1"/>
  <c r="J925" i="1"/>
  <c r="M926" i="1" s="1"/>
  <c r="L926" i="1"/>
  <c r="G928" i="1"/>
  <c r="H927" i="1"/>
  <c r="I927" i="1" s="1"/>
  <c r="K927" i="1" s="1"/>
  <c r="N926" i="1" l="1"/>
  <c r="J926" i="1"/>
  <c r="M927" i="1" s="1"/>
  <c r="L927" i="1"/>
  <c r="G929" i="1"/>
  <c r="H928" i="1"/>
  <c r="I928" i="1" s="1"/>
  <c r="K928" i="1" s="1"/>
  <c r="N927" i="1" l="1"/>
  <c r="J927" i="1"/>
  <c r="M928" i="1" s="1"/>
  <c r="L928" i="1"/>
  <c r="G930" i="1"/>
  <c r="H929" i="1"/>
  <c r="I929" i="1" s="1"/>
  <c r="K929" i="1" s="1"/>
  <c r="N928" i="1" l="1"/>
  <c r="J928" i="1"/>
  <c r="M929" i="1" s="1"/>
  <c r="L929" i="1"/>
  <c r="G931" i="1"/>
  <c r="H930" i="1"/>
  <c r="I930" i="1" s="1"/>
  <c r="K930" i="1" s="1"/>
  <c r="N929" i="1" l="1"/>
  <c r="J929" i="1"/>
  <c r="M930" i="1" s="1"/>
  <c r="L930" i="1"/>
  <c r="G932" i="1"/>
  <c r="H931" i="1"/>
  <c r="I931" i="1" s="1"/>
  <c r="K931" i="1" s="1"/>
  <c r="N930" i="1" l="1"/>
  <c r="J930" i="1"/>
  <c r="M931" i="1" s="1"/>
  <c r="L931" i="1"/>
  <c r="G933" i="1"/>
  <c r="H932" i="1"/>
  <c r="I932" i="1" s="1"/>
  <c r="K932" i="1" s="1"/>
  <c r="N931" i="1" l="1"/>
  <c r="J931" i="1"/>
  <c r="M932" i="1" s="1"/>
  <c r="L932" i="1"/>
  <c r="G934" i="1"/>
  <c r="H933" i="1"/>
  <c r="I933" i="1" s="1"/>
  <c r="K933" i="1" s="1"/>
  <c r="N932" i="1" l="1"/>
  <c r="J932" i="1"/>
  <c r="M933" i="1" s="1"/>
  <c r="L933" i="1"/>
  <c r="G935" i="1"/>
  <c r="H934" i="1"/>
  <c r="I934" i="1" s="1"/>
  <c r="K934" i="1" s="1"/>
  <c r="N933" i="1" l="1"/>
  <c r="J933" i="1"/>
  <c r="M934" i="1" s="1"/>
  <c r="L934" i="1"/>
  <c r="G936" i="1"/>
  <c r="H935" i="1"/>
  <c r="I935" i="1" s="1"/>
  <c r="K935" i="1" s="1"/>
  <c r="N934" i="1" l="1"/>
  <c r="J934" i="1"/>
  <c r="M935" i="1" s="1"/>
  <c r="L935" i="1"/>
  <c r="G937" i="1"/>
  <c r="H936" i="1"/>
  <c r="I936" i="1" s="1"/>
  <c r="K936" i="1" s="1"/>
  <c r="N935" i="1" l="1"/>
  <c r="J935" i="1"/>
  <c r="M936" i="1" s="1"/>
  <c r="L936" i="1"/>
  <c r="G938" i="1"/>
  <c r="H937" i="1"/>
  <c r="I937" i="1" s="1"/>
  <c r="K937" i="1" s="1"/>
  <c r="N936" i="1" l="1"/>
  <c r="J936" i="1"/>
  <c r="M937" i="1" s="1"/>
  <c r="L937" i="1"/>
  <c r="G939" i="1"/>
  <c r="H938" i="1"/>
  <c r="I938" i="1" s="1"/>
  <c r="K938" i="1" s="1"/>
  <c r="N937" i="1" l="1"/>
  <c r="J937" i="1"/>
  <c r="M938" i="1" s="1"/>
  <c r="L938" i="1"/>
  <c r="G940" i="1"/>
  <c r="H939" i="1"/>
  <c r="I939" i="1" s="1"/>
  <c r="K939" i="1" s="1"/>
  <c r="N938" i="1" l="1"/>
  <c r="J938" i="1"/>
  <c r="M939" i="1" s="1"/>
  <c r="L939" i="1"/>
  <c r="G941" i="1"/>
  <c r="H940" i="1"/>
  <c r="I940" i="1" s="1"/>
  <c r="K940" i="1" s="1"/>
  <c r="N939" i="1" l="1"/>
  <c r="J939" i="1"/>
  <c r="M940" i="1" s="1"/>
  <c r="L940" i="1"/>
  <c r="G942" i="1"/>
  <c r="H941" i="1"/>
  <c r="I941" i="1" s="1"/>
  <c r="K941" i="1" s="1"/>
  <c r="N940" i="1" l="1"/>
  <c r="J940" i="1"/>
  <c r="M941" i="1" s="1"/>
  <c r="L941" i="1"/>
  <c r="G943" i="1"/>
  <c r="H942" i="1"/>
  <c r="I942" i="1" s="1"/>
  <c r="K942" i="1" s="1"/>
  <c r="N941" i="1" l="1"/>
  <c r="J941" i="1"/>
  <c r="M942" i="1" s="1"/>
  <c r="L942" i="1"/>
  <c r="G944" i="1"/>
  <c r="H943" i="1"/>
  <c r="I943" i="1" s="1"/>
  <c r="K943" i="1" s="1"/>
  <c r="N942" i="1" l="1"/>
  <c r="J942" i="1"/>
  <c r="M943" i="1" s="1"/>
  <c r="L943" i="1"/>
  <c r="G945" i="1"/>
  <c r="H944" i="1"/>
  <c r="I944" i="1" s="1"/>
  <c r="K944" i="1" s="1"/>
  <c r="N943" i="1" l="1"/>
  <c r="J943" i="1"/>
  <c r="M944" i="1" s="1"/>
  <c r="L944" i="1"/>
  <c r="G946" i="1"/>
  <c r="H945" i="1"/>
  <c r="I945" i="1" s="1"/>
  <c r="K945" i="1" s="1"/>
  <c r="N944" i="1" l="1"/>
  <c r="J944" i="1"/>
  <c r="M945" i="1" s="1"/>
  <c r="L945" i="1"/>
  <c r="G947" i="1"/>
  <c r="H946" i="1"/>
  <c r="I946" i="1" s="1"/>
  <c r="K946" i="1" s="1"/>
  <c r="N945" i="1" l="1"/>
  <c r="J945" i="1"/>
  <c r="M946" i="1" s="1"/>
  <c r="L946" i="1"/>
  <c r="G948" i="1"/>
  <c r="H947" i="1"/>
  <c r="I947" i="1" s="1"/>
  <c r="K947" i="1" s="1"/>
  <c r="N946" i="1" l="1"/>
  <c r="J946" i="1"/>
  <c r="M947" i="1" s="1"/>
  <c r="L947" i="1"/>
  <c r="G949" i="1"/>
  <c r="H948" i="1"/>
  <c r="I948" i="1" s="1"/>
  <c r="K948" i="1" s="1"/>
  <c r="N947" i="1" l="1"/>
  <c r="J947" i="1"/>
  <c r="M948" i="1" s="1"/>
  <c r="L948" i="1"/>
  <c r="G950" i="1"/>
  <c r="H949" i="1"/>
  <c r="I949" i="1" s="1"/>
  <c r="K949" i="1" s="1"/>
  <c r="N948" i="1" l="1"/>
  <c r="J948" i="1"/>
  <c r="M949" i="1" s="1"/>
  <c r="L949" i="1"/>
  <c r="G951" i="1"/>
  <c r="H950" i="1"/>
  <c r="I950" i="1" s="1"/>
  <c r="K950" i="1" s="1"/>
  <c r="N949" i="1" l="1"/>
  <c r="J949" i="1"/>
  <c r="M950" i="1" s="1"/>
  <c r="L950" i="1"/>
  <c r="G952" i="1"/>
  <c r="H951" i="1"/>
  <c r="I951" i="1" s="1"/>
  <c r="K951" i="1" s="1"/>
  <c r="N950" i="1" l="1"/>
  <c r="J950" i="1"/>
  <c r="M951" i="1" s="1"/>
  <c r="L951" i="1"/>
  <c r="G953" i="1"/>
  <c r="H952" i="1"/>
  <c r="I952" i="1" s="1"/>
  <c r="K952" i="1" s="1"/>
  <c r="J951" i="1" l="1"/>
  <c r="M952" i="1" s="1"/>
  <c r="N951" i="1"/>
  <c r="L952" i="1"/>
  <c r="G954" i="1"/>
  <c r="H953" i="1"/>
  <c r="I953" i="1" s="1"/>
  <c r="K953" i="1" s="1"/>
  <c r="N952" i="1" l="1"/>
  <c r="J952" i="1"/>
  <c r="M953" i="1" s="1"/>
  <c r="L953" i="1"/>
  <c r="G955" i="1"/>
  <c r="H954" i="1"/>
  <c r="I954" i="1" s="1"/>
  <c r="K954" i="1" s="1"/>
  <c r="N953" i="1" l="1"/>
  <c r="J953" i="1"/>
  <c r="M954" i="1" s="1"/>
  <c r="L954" i="1"/>
  <c r="G956" i="1"/>
  <c r="H955" i="1"/>
  <c r="I955" i="1" s="1"/>
  <c r="K955" i="1" s="1"/>
  <c r="N954" i="1" l="1"/>
  <c r="J954" i="1"/>
  <c r="M955" i="1" s="1"/>
  <c r="L955" i="1"/>
  <c r="G957" i="1"/>
  <c r="H956" i="1"/>
  <c r="I956" i="1" s="1"/>
  <c r="K956" i="1" s="1"/>
  <c r="N955" i="1" l="1"/>
  <c r="J955" i="1"/>
  <c r="M956" i="1" s="1"/>
  <c r="L956" i="1"/>
  <c r="G958" i="1"/>
  <c r="H957" i="1"/>
  <c r="I957" i="1" s="1"/>
  <c r="K957" i="1" s="1"/>
  <c r="N956" i="1" l="1"/>
  <c r="J956" i="1"/>
  <c r="M957" i="1" s="1"/>
  <c r="L957" i="1"/>
  <c r="G959" i="1"/>
  <c r="H958" i="1"/>
  <c r="I958" i="1" s="1"/>
  <c r="K958" i="1" s="1"/>
  <c r="N957" i="1" l="1"/>
  <c r="J957" i="1"/>
  <c r="M958" i="1" s="1"/>
  <c r="L958" i="1"/>
  <c r="G960" i="1"/>
  <c r="H959" i="1"/>
  <c r="I959" i="1" s="1"/>
  <c r="K959" i="1" s="1"/>
  <c r="N958" i="1" l="1"/>
  <c r="J958" i="1"/>
  <c r="M959" i="1" s="1"/>
  <c r="L959" i="1"/>
  <c r="G961" i="1"/>
  <c r="H960" i="1"/>
  <c r="I960" i="1" s="1"/>
  <c r="K960" i="1" s="1"/>
  <c r="N959" i="1" l="1"/>
  <c r="J959" i="1"/>
  <c r="M960" i="1" s="1"/>
  <c r="L960" i="1"/>
  <c r="G962" i="1"/>
  <c r="H961" i="1"/>
  <c r="I961" i="1" s="1"/>
  <c r="K961" i="1" s="1"/>
  <c r="N960" i="1" l="1"/>
  <c r="J960" i="1"/>
  <c r="M961" i="1" s="1"/>
  <c r="L961" i="1"/>
  <c r="G963" i="1"/>
  <c r="H962" i="1"/>
  <c r="I962" i="1" s="1"/>
  <c r="K962" i="1" s="1"/>
  <c r="N961" i="1" l="1"/>
  <c r="J961" i="1"/>
  <c r="M962" i="1" s="1"/>
  <c r="L962" i="1"/>
  <c r="G964" i="1"/>
  <c r="H963" i="1"/>
  <c r="I963" i="1" s="1"/>
  <c r="K963" i="1" s="1"/>
  <c r="N962" i="1" l="1"/>
  <c r="J962" i="1"/>
  <c r="M963" i="1" s="1"/>
  <c r="L963" i="1"/>
  <c r="G965" i="1"/>
  <c r="H964" i="1"/>
  <c r="I964" i="1" s="1"/>
  <c r="K964" i="1" s="1"/>
  <c r="N963" i="1" l="1"/>
  <c r="J963" i="1"/>
  <c r="M964" i="1" s="1"/>
  <c r="L964" i="1"/>
  <c r="G966" i="1"/>
  <c r="H965" i="1"/>
  <c r="I965" i="1" s="1"/>
  <c r="K965" i="1" s="1"/>
  <c r="N964" i="1" l="1"/>
  <c r="J964" i="1"/>
  <c r="M965" i="1" s="1"/>
  <c r="L965" i="1"/>
  <c r="G967" i="1"/>
  <c r="H966" i="1"/>
  <c r="I966" i="1" s="1"/>
  <c r="K966" i="1" s="1"/>
  <c r="N965" i="1" l="1"/>
  <c r="J965" i="1"/>
  <c r="M966" i="1" s="1"/>
  <c r="L966" i="1"/>
  <c r="G968" i="1"/>
  <c r="H967" i="1"/>
  <c r="I967" i="1" s="1"/>
  <c r="K967" i="1" s="1"/>
  <c r="N966" i="1" l="1"/>
  <c r="J966" i="1"/>
  <c r="M967" i="1" s="1"/>
  <c r="L967" i="1"/>
  <c r="G969" i="1"/>
  <c r="H968" i="1"/>
  <c r="I968" i="1" s="1"/>
  <c r="K968" i="1" s="1"/>
  <c r="N967" i="1" l="1"/>
  <c r="J967" i="1"/>
  <c r="M968" i="1" s="1"/>
  <c r="L968" i="1"/>
  <c r="G970" i="1"/>
  <c r="H969" i="1"/>
  <c r="I969" i="1" s="1"/>
  <c r="K969" i="1" s="1"/>
  <c r="N968" i="1" l="1"/>
  <c r="J968" i="1"/>
  <c r="M969" i="1" s="1"/>
  <c r="L969" i="1"/>
  <c r="G971" i="1"/>
  <c r="H970" i="1"/>
  <c r="I970" i="1" s="1"/>
  <c r="K970" i="1" s="1"/>
  <c r="N969" i="1" l="1"/>
  <c r="J969" i="1"/>
  <c r="M970" i="1" s="1"/>
  <c r="L970" i="1"/>
  <c r="G972" i="1"/>
  <c r="H971" i="1"/>
  <c r="I971" i="1" s="1"/>
  <c r="K971" i="1" s="1"/>
  <c r="N970" i="1" l="1"/>
  <c r="J970" i="1"/>
  <c r="M971" i="1" s="1"/>
  <c r="L971" i="1"/>
  <c r="G973" i="1"/>
  <c r="H972" i="1"/>
  <c r="I972" i="1" s="1"/>
  <c r="K972" i="1" s="1"/>
  <c r="N971" i="1" l="1"/>
  <c r="J971" i="1"/>
  <c r="M972" i="1" s="1"/>
  <c r="L972" i="1"/>
  <c r="G974" i="1"/>
  <c r="H973" i="1"/>
  <c r="I973" i="1" s="1"/>
  <c r="K973" i="1" s="1"/>
  <c r="N972" i="1" l="1"/>
  <c r="J972" i="1"/>
  <c r="M973" i="1" s="1"/>
  <c r="L973" i="1"/>
  <c r="G975" i="1"/>
  <c r="H974" i="1"/>
  <c r="I974" i="1" s="1"/>
  <c r="K974" i="1" s="1"/>
  <c r="N973" i="1" l="1"/>
  <c r="J973" i="1"/>
  <c r="M974" i="1" s="1"/>
  <c r="L974" i="1"/>
  <c r="G976" i="1"/>
  <c r="H975" i="1"/>
  <c r="I975" i="1" s="1"/>
  <c r="K975" i="1" s="1"/>
  <c r="N974" i="1" l="1"/>
  <c r="J974" i="1"/>
  <c r="M975" i="1" s="1"/>
  <c r="L975" i="1"/>
  <c r="G977" i="1"/>
  <c r="H976" i="1"/>
  <c r="I976" i="1" s="1"/>
  <c r="K976" i="1" s="1"/>
  <c r="N975" i="1" l="1"/>
  <c r="J975" i="1"/>
  <c r="M976" i="1" s="1"/>
  <c r="L976" i="1"/>
  <c r="G978" i="1"/>
  <c r="H977" i="1"/>
  <c r="I977" i="1" s="1"/>
  <c r="K977" i="1" s="1"/>
  <c r="N976" i="1" l="1"/>
  <c r="J976" i="1"/>
  <c r="M977" i="1" s="1"/>
  <c r="L977" i="1"/>
  <c r="G979" i="1"/>
  <c r="H978" i="1"/>
  <c r="I978" i="1" s="1"/>
  <c r="K978" i="1" s="1"/>
  <c r="N977" i="1" l="1"/>
  <c r="J977" i="1"/>
  <c r="M978" i="1" s="1"/>
  <c r="L978" i="1"/>
  <c r="G980" i="1"/>
  <c r="H979" i="1"/>
  <c r="I979" i="1" s="1"/>
  <c r="K979" i="1" s="1"/>
  <c r="N978" i="1" l="1"/>
  <c r="J978" i="1"/>
  <c r="M979" i="1" s="1"/>
  <c r="L979" i="1"/>
  <c r="G981" i="1"/>
  <c r="H980" i="1"/>
  <c r="I980" i="1" s="1"/>
  <c r="K980" i="1" s="1"/>
  <c r="N979" i="1" l="1"/>
  <c r="J979" i="1"/>
  <c r="M980" i="1" s="1"/>
  <c r="L980" i="1"/>
  <c r="G982" i="1"/>
  <c r="H981" i="1"/>
  <c r="I981" i="1" s="1"/>
  <c r="K981" i="1" s="1"/>
  <c r="N980" i="1" l="1"/>
  <c r="J980" i="1"/>
  <c r="M981" i="1" s="1"/>
  <c r="L981" i="1"/>
  <c r="G983" i="1"/>
  <c r="H982" i="1"/>
  <c r="I982" i="1" s="1"/>
  <c r="K982" i="1" s="1"/>
  <c r="N981" i="1" l="1"/>
  <c r="J981" i="1"/>
  <c r="M982" i="1" s="1"/>
  <c r="L982" i="1"/>
  <c r="G984" i="1"/>
  <c r="H983" i="1"/>
  <c r="I983" i="1" s="1"/>
  <c r="K983" i="1" s="1"/>
  <c r="N982" i="1" l="1"/>
  <c r="J982" i="1"/>
  <c r="M983" i="1" s="1"/>
  <c r="L983" i="1"/>
  <c r="G985" i="1"/>
  <c r="H984" i="1"/>
  <c r="I984" i="1" s="1"/>
  <c r="K984" i="1" s="1"/>
  <c r="N983" i="1" l="1"/>
  <c r="J983" i="1"/>
  <c r="M984" i="1" s="1"/>
  <c r="L984" i="1"/>
  <c r="G986" i="1"/>
  <c r="H985" i="1"/>
  <c r="I985" i="1" s="1"/>
  <c r="K985" i="1" s="1"/>
  <c r="N984" i="1" l="1"/>
  <c r="J984" i="1"/>
  <c r="M985" i="1" s="1"/>
  <c r="L985" i="1"/>
  <c r="G987" i="1"/>
  <c r="H986" i="1"/>
  <c r="I986" i="1" s="1"/>
  <c r="K986" i="1" s="1"/>
  <c r="N985" i="1" l="1"/>
  <c r="J985" i="1"/>
  <c r="M986" i="1" s="1"/>
  <c r="L986" i="1"/>
  <c r="G988" i="1"/>
  <c r="H987" i="1"/>
  <c r="I987" i="1" s="1"/>
  <c r="K987" i="1" s="1"/>
  <c r="N986" i="1" l="1"/>
  <c r="J986" i="1"/>
  <c r="M987" i="1" s="1"/>
  <c r="L987" i="1"/>
  <c r="G989" i="1"/>
  <c r="H988" i="1"/>
  <c r="I988" i="1" s="1"/>
  <c r="K988" i="1" s="1"/>
  <c r="N987" i="1" l="1"/>
  <c r="J987" i="1"/>
  <c r="M988" i="1" s="1"/>
  <c r="L988" i="1"/>
  <c r="G990" i="1"/>
  <c r="H989" i="1"/>
  <c r="I989" i="1" s="1"/>
  <c r="K989" i="1" s="1"/>
  <c r="N988" i="1" l="1"/>
  <c r="J988" i="1"/>
  <c r="M989" i="1" s="1"/>
  <c r="L989" i="1"/>
  <c r="G991" i="1"/>
  <c r="H990" i="1"/>
  <c r="I990" i="1" s="1"/>
  <c r="K990" i="1" s="1"/>
  <c r="N989" i="1" l="1"/>
  <c r="J989" i="1"/>
  <c r="M990" i="1" s="1"/>
  <c r="L990" i="1"/>
  <c r="G992" i="1"/>
  <c r="H991" i="1"/>
  <c r="I991" i="1" s="1"/>
  <c r="K991" i="1" s="1"/>
  <c r="N990" i="1" l="1"/>
  <c r="J990" i="1"/>
  <c r="M991" i="1" s="1"/>
  <c r="L991" i="1"/>
  <c r="G993" i="1"/>
  <c r="H992" i="1"/>
  <c r="I992" i="1" s="1"/>
  <c r="K992" i="1" s="1"/>
  <c r="N991" i="1" l="1"/>
  <c r="J991" i="1"/>
  <c r="M992" i="1" s="1"/>
  <c r="L992" i="1"/>
  <c r="G994" i="1"/>
  <c r="H993" i="1"/>
  <c r="I993" i="1" s="1"/>
  <c r="K993" i="1" s="1"/>
  <c r="N992" i="1" l="1"/>
  <c r="J992" i="1"/>
  <c r="M993" i="1" s="1"/>
  <c r="L993" i="1"/>
  <c r="G995" i="1"/>
  <c r="H994" i="1"/>
  <c r="I994" i="1" s="1"/>
  <c r="K994" i="1" s="1"/>
  <c r="N993" i="1" l="1"/>
  <c r="J993" i="1"/>
  <c r="M994" i="1" s="1"/>
  <c r="L994" i="1"/>
  <c r="G996" i="1"/>
  <c r="H995" i="1"/>
  <c r="I995" i="1" s="1"/>
  <c r="K995" i="1" s="1"/>
  <c r="N994" i="1" l="1"/>
  <c r="J994" i="1"/>
  <c r="M995" i="1" s="1"/>
  <c r="L995" i="1"/>
  <c r="G997" i="1"/>
  <c r="H996" i="1"/>
  <c r="I996" i="1" s="1"/>
  <c r="K996" i="1" s="1"/>
  <c r="N995" i="1" l="1"/>
  <c r="J995" i="1"/>
  <c r="M996" i="1" s="1"/>
  <c r="L996" i="1"/>
  <c r="G998" i="1"/>
  <c r="H997" i="1"/>
  <c r="I997" i="1" s="1"/>
  <c r="K997" i="1" s="1"/>
  <c r="N996" i="1" l="1"/>
  <c r="J996" i="1"/>
  <c r="M997" i="1" s="1"/>
  <c r="L997" i="1"/>
  <c r="G999" i="1"/>
  <c r="H998" i="1"/>
  <c r="I998" i="1" s="1"/>
  <c r="K998" i="1" s="1"/>
  <c r="J997" i="1" l="1"/>
  <c r="M998" i="1" s="1"/>
  <c r="N997" i="1"/>
  <c r="L998" i="1"/>
  <c r="G1000" i="1"/>
  <c r="H999" i="1"/>
  <c r="I999" i="1" s="1"/>
  <c r="K999" i="1" s="1"/>
  <c r="N998" i="1" l="1"/>
  <c r="J998" i="1"/>
  <c r="M999" i="1" s="1"/>
  <c r="L999" i="1"/>
  <c r="G1001" i="1"/>
  <c r="H1000" i="1"/>
  <c r="I1000" i="1" s="1"/>
  <c r="K1000" i="1" s="1"/>
  <c r="N999" i="1" l="1"/>
  <c r="J999" i="1"/>
  <c r="M1000" i="1" s="1"/>
  <c r="L1000" i="1"/>
  <c r="G1002" i="1"/>
  <c r="H1001" i="1"/>
  <c r="I1001" i="1" s="1"/>
  <c r="K1001" i="1" s="1"/>
  <c r="N1000" i="1" l="1"/>
  <c r="J1000" i="1"/>
  <c r="M1001" i="1" s="1"/>
  <c r="L1001" i="1"/>
  <c r="G1003" i="1"/>
  <c r="H1002" i="1"/>
  <c r="I1002" i="1" s="1"/>
  <c r="K1002" i="1" s="1"/>
  <c r="J1001" i="1" l="1"/>
  <c r="M1002" i="1" s="1"/>
  <c r="N1001" i="1"/>
  <c r="L1002" i="1"/>
  <c r="G1004" i="1"/>
  <c r="H1003" i="1"/>
  <c r="I1003" i="1" s="1"/>
  <c r="K1003" i="1" s="1"/>
  <c r="N1002" i="1" l="1"/>
  <c r="J1002" i="1"/>
  <c r="M1003" i="1" s="1"/>
  <c r="L1003" i="1"/>
  <c r="G1005" i="1"/>
  <c r="H1004" i="1"/>
  <c r="I1004" i="1" s="1"/>
  <c r="K1004" i="1" s="1"/>
  <c r="N1003" i="1" l="1"/>
  <c r="J1003" i="1"/>
  <c r="M1004" i="1" s="1"/>
  <c r="L1004" i="1"/>
  <c r="G1006" i="1"/>
  <c r="H1005" i="1"/>
  <c r="I1005" i="1" s="1"/>
  <c r="K1005" i="1" s="1"/>
  <c r="N1004" i="1" l="1"/>
  <c r="J1004" i="1"/>
  <c r="M1005" i="1" s="1"/>
  <c r="L1005" i="1"/>
  <c r="G1007" i="1"/>
  <c r="H1006" i="1"/>
  <c r="I1006" i="1" s="1"/>
  <c r="K1006" i="1" s="1"/>
  <c r="N1005" i="1" l="1"/>
  <c r="J1005" i="1"/>
  <c r="M1006" i="1" s="1"/>
  <c r="L1006" i="1"/>
  <c r="G1008" i="1"/>
  <c r="H1007" i="1"/>
  <c r="I1007" i="1" s="1"/>
  <c r="K1007" i="1" s="1"/>
  <c r="N1006" i="1" l="1"/>
  <c r="J1006" i="1"/>
  <c r="M1007" i="1" s="1"/>
  <c r="L1007" i="1"/>
  <c r="G1009" i="1"/>
  <c r="H1008" i="1"/>
  <c r="I1008" i="1" s="1"/>
  <c r="K1008" i="1" s="1"/>
  <c r="N1007" i="1" l="1"/>
  <c r="J1007" i="1"/>
  <c r="M1008" i="1" s="1"/>
  <c r="L1008" i="1"/>
  <c r="G1010" i="1"/>
  <c r="H1009" i="1"/>
  <c r="I1009" i="1" s="1"/>
  <c r="K1009" i="1" s="1"/>
  <c r="N1008" i="1" l="1"/>
  <c r="J1008" i="1"/>
  <c r="M1009" i="1" s="1"/>
  <c r="L1009" i="1"/>
  <c r="G1011" i="1"/>
  <c r="H1010" i="1"/>
  <c r="I1010" i="1" s="1"/>
  <c r="K1010" i="1" s="1"/>
  <c r="N1009" i="1" l="1"/>
  <c r="J1009" i="1"/>
  <c r="M1010" i="1" s="1"/>
  <c r="L1010" i="1"/>
  <c r="G1012" i="1"/>
  <c r="H1011" i="1"/>
  <c r="I1011" i="1" s="1"/>
  <c r="K1011" i="1" s="1"/>
  <c r="N1010" i="1" l="1"/>
  <c r="J1010" i="1"/>
  <c r="M1011" i="1" s="1"/>
  <c r="L1011" i="1"/>
  <c r="G1013" i="1"/>
  <c r="H1012" i="1"/>
  <c r="I1012" i="1" s="1"/>
  <c r="K1012" i="1" s="1"/>
  <c r="N1011" i="1" l="1"/>
  <c r="J1011" i="1"/>
  <c r="M1012" i="1" s="1"/>
  <c r="L1012" i="1"/>
  <c r="G1014" i="1"/>
  <c r="H1013" i="1"/>
  <c r="I1013" i="1" s="1"/>
  <c r="K1013" i="1" s="1"/>
  <c r="N1012" i="1" l="1"/>
  <c r="J1012" i="1"/>
  <c r="M1013" i="1" s="1"/>
  <c r="L1013" i="1"/>
  <c r="G1015" i="1"/>
  <c r="H1014" i="1"/>
  <c r="I1014" i="1" s="1"/>
  <c r="K1014" i="1" s="1"/>
  <c r="N1013" i="1" l="1"/>
  <c r="J1013" i="1"/>
  <c r="M1014" i="1" s="1"/>
  <c r="L1014" i="1"/>
  <c r="G1016" i="1"/>
  <c r="H1015" i="1"/>
  <c r="I1015" i="1" s="1"/>
  <c r="K1015" i="1" s="1"/>
  <c r="N1014" i="1" l="1"/>
  <c r="J1014" i="1"/>
  <c r="M1015" i="1" s="1"/>
  <c r="L1015" i="1"/>
  <c r="G1017" i="1"/>
  <c r="H1016" i="1"/>
  <c r="I1016" i="1" s="1"/>
  <c r="K1016" i="1" s="1"/>
  <c r="N1015" i="1" l="1"/>
  <c r="J1015" i="1"/>
  <c r="M1016" i="1" s="1"/>
  <c r="L1016" i="1"/>
  <c r="G1018" i="1"/>
  <c r="H1017" i="1"/>
  <c r="I1017" i="1" s="1"/>
  <c r="K1017" i="1" s="1"/>
  <c r="N1016" i="1" l="1"/>
  <c r="J1016" i="1"/>
  <c r="M1017" i="1" s="1"/>
  <c r="L1017" i="1"/>
  <c r="G1019" i="1"/>
  <c r="H1018" i="1"/>
  <c r="I1018" i="1" s="1"/>
  <c r="K1018" i="1" s="1"/>
  <c r="N1017" i="1" l="1"/>
  <c r="J1017" i="1"/>
  <c r="M1018" i="1" s="1"/>
  <c r="L1018" i="1"/>
  <c r="G1020" i="1"/>
  <c r="H1019" i="1"/>
  <c r="I1019" i="1" s="1"/>
  <c r="K1019" i="1" s="1"/>
  <c r="N1018" i="1" l="1"/>
  <c r="J1018" i="1"/>
  <c r="M1019" i="1" s="1"/>
  <c r="L1019" i="1"/>
  <c r="G1021" i="1"/>
  <c r="H1020" i="1"/>
  <c r="I1020" i="1" s="1"/>
  <c r="K1020" i="1" s="1"/>
  <c r="N1019" i="1" l="1"/>
  <c r="J1019" i="1"/>
  <c r="M1020" i="1" s="1"/>
  <c r="L1020" i="1"/>
  <c r="G1022" i="1"/>
  <c r="H1021" i="1"/>
  <c r="I1021" i="1" s="1"/>
  <c r="K1021" i="1" s="1"/>
  <c r="N1020" i="1" l="1"/>
  <c r="J1020" i="1"/>
  <c r="M1021" i="1" s="1"/>
  <c r="L1021" i="1"/>
  <c r="G1023" i="1"/>
  <c r="H1022" i="1"/>
  <c r="I1022" i="1" s="1"/>
  <c r="K1022" i="1" s="1"/>
  <c r="N1021" i="1" l="1"/>
  <c r="J1021" i="1"/>
  <c r="M1022" i="1" s="1"/>
  <c r="L1022" i="1"/>
  <c r="G1024" i="1"/>
  <c r="H1023" i="1"/>
  <c r="I1023" i="1" s="1"/>
  <c r="K1023" i="1" s="1"/>
  <c r="N1022" i="1" l="1"/>
  <c r="J1022" i="1"/>
  <c r="M1023" i="1" s="1"/>
  <c r="L1023" i="1"/>
  <c r="G1025" i="1"/>
  <c r="H1024" i="1"/>
  <c r="I1024" i="1" s="1"/>
  <c r="K1024" i="1" s="1"/>
  <c r="N1023" i="1" l="1"/>
  <c r="J1023" i="1"/>
  <c r="M1024" i="1" s="1"/>
  <c r="L1024" i="1"/>
  <c r="G1026" i="1"/>
  <c r="H1025" i="1"/>
  <c r="I1025" i="1" s="1"/>
  <c r="K1025" i="1" s="1"/>
  <c r="N1024" i="1" l="1"/>
  <c r="J1024" i="1"/>
  <c r="M1025" i="1" s="1"/>
  <c r="L1025" i="1"/>
  <c r="G1027" i="1"/>
  <c r="H1026" i="1"/>
  <c r="I1026" i="1" s="1"/>
  <c r="K1026" i="1" s="1"/>
  <c r="N1025" i="1" l="1"/>
  <c r="J1025" i="1"/>
  <c r="M1026" i="1" s="1"/>
  <c r="L1026" i="1"/>
  <c r="G1028" i="1"/>
  <c r="H1027" i="1"/>
  <c r="I1027" i="1" s="1"/>
  <c r="K1027" i="1" s="1"/>
  <c r="N1026" i="1" l="1"/>
  <c r="J1026" i="1"/>
  <c r="M1027" i="1" s="1"/>
  <c r="L1027" i="1"/>
  <c r="G1029" i="1"/>
  <c r="H1028" i="1"/>
  <c r="I1028" i="1" s="1"/>
  <c r="K1028" i="1" s="1"/>
  <c r="N1027" i="1" l="1"/>
  <c r="J1027" i="1"/>
  <c r="M1028" i="1" s="1"/>
  <c r="L1028" i="1"/>
  <c r="G1030" i="1"/>
  <c r="H1029" i="1"/>
  <c r="I1029" i="1" s="1"/>
  <c r="K1029" i="1" s="1"/>
  <c r="N1028" i="1" l="1"/>
  <c r="J1028" i="1"/>
  <c r="M1029" i="1" s="1"/>
  <c r="L1029" i="1"/>
  <c r="G1031" i="1"/>
  <c r="H1030" i="1"/>
  <c r="I1030" i="1" s="1"/>
  <c r="K1030" i="1" s="1"/>
  <c r="N1029" i="1" l="1"/>
  <c r="J1029" i="1"/>
  <c r="M1030" i="1" s="1"/>
  <c r="L1030" i="1"/>
  <c r="G1032" i="1"/>
  <c r="H1031" i="1"/>
  <c r="I1031" i="1" s="1"/>
  <c r="K1031" i="1" s="1"/>
  <c r="N1030" i="1" l="1"/>
  <c r="J1030" i="1"/>
  <c r="M1031" i="1" s="1"/>
  <c r="L1031" i="1"/>
  <c r="G1033" i="1"/>
  <c r="H1032" i="1"/>
  <c r="I1032" i="1" s="1"/>
  <c r="K1032" i="1" s="1"/>
  <c r="N1031" i="1" l="1"/>
  <c r="J1031" i="1"/>
  <c r="M1032" i="1" s="1"/>
  <c r="L1032" i="1"/>
  <c r="G1034" i="1"/>
  <c r="H1033" i="1"/>
  <c r="I1033" i="1" s="1"/>
  <c r="K1033" i="1" s="1"/>
  <c r="N1032" i="1" l="1"/>
  <c r="J1032" i="1"/>
  <c r="M1033" i="1" s="1"/>
  <c r="L1033" i="1"/>
  <c r="G1035" i="1"/>
  <c r="H1034" i="1"/>
  <c r="I1034" i="1" s="1"/>
  <c r="K1034" i="1" s="1"/>
  <c r="N1033" i="1" l="1"/>
  <c r="J1033" i="1"/>
  <c r="M1034" i="1" s="1"/>
  <c r="L1034" i="1"/>
  <c r="G1036" i="1"/>
  <c r="H1035" i="1"/>
  <c r="I1035" i="1" s="1"/>
  <c r="K1035" i="1" s="1"/>
  <c r="N1034" i="1" l="1"/>
  <c r="J1034" i="1"/>
  <c r="M1035" i="1" s="1"/>
  <c r="L1035" i="1"/>
  <c r="G1037" i="1"/>
  <c r="H1036" i="1"/>
  <c r="I1036" i="1" s="1"/>
  <c r="K1036" i="1" s="1"/>
  <c r="N1035" i="1" l="1"/>
  <c r="J1035" i="1"/>
  <c r="M1036" i="1" s="1"/>
  <c r="L1036" i="1"/>
  <c r="G1038" i="1"/>
  <c r="H1037" i="1"/>
  <c r="I1037" i="1" s="1"/>
  <c r="K1037" i="1" s="1"/>
  <c r="N1036" i="1" l="1"/>
  <c r="J1036" i="1"/>
  <c r="M1037" i="1" s="1"/>
  <c r="L1037" i="1"/>
  <c r="G1039" i="1"/>
  <c r="H1038" i="1"/>
  <c r="I1038" i="1" s="1"/>
  <c r="K1038" i="1" s="1"/>
  <c r="N1037" i="1" l="1"/>
  <c r="J1037" i="1"/>
  <c r="M1038" i="1" s="1"/>
  <c r="L1038" i="1"/>
  <c r="G1040" i="1"/>
  <c r="H1039" i="1"/>
  <c r="I1039" i="1" s="1"/>
  <c r="K1039" i="1" s="1"/>
  <c r="N1038" i="1" l="1"/>
  <c r="J1038" i="1"/>
  <c r="M1039" i="1" s="1"/>
  <c r="L1039" i="1"/>
  <c r="G1041" i="1"/>
  <c r="H1040" i="1"/>
  <c r="I1040" i="1" s="1"/>
  <c r="K1040" i="1" s="1"/>
  <c r="N1039" i="1" l="1"/>
  <c r="J1039" i="1"/>
  <c r="M1040" i="1" s="1"/>
  <c r="L1040" i="1"/>
  <c r="G1042" i="1"/>
  <c r="H1041" i="1"/>
  <c r="I1041" i="1" s="1"/>
  <c r="K1041" i="1" s="1"/>
  <c r="N1040" i="1" l="1"/>
  <c r="J1040" i="1"/>
  <c r="M1041" i="1" s="1"/>
  <c r="L1041" i="1"/>
  <c r="G1043" i="1"/>
  <c r="H1042" i="1"/>
  <c r="I1042" i="1" s="1"/>
  <c r="K1042" i="1" s="1"/>
  <c r="N1041" i="1" l="1"/>
  <c r="J1041" i="1"/>
  <c r="M1042" i="1" s="1"/>
  <c r="L1042" i="1"/>
  <c r="G1044" i="1"/>
  <c r="H1043" i="1"/>
  <c r="I1043" i="1" s="1"/>
  <c r="K1043" i="1" s="1"/>
  <c r="N1042" i="1" l="1"/>
  <c r="J1042" i="1"/>
  <c r="M1043" i="1" s="1"/>
  <c r="L1043" i="1"/>
  <c r="G1045" i="1"/>
  <c r="H1044" i="1"/>
  <c r="I1044" i="1" s="1"/>
  <c r="K1044" i="1" s="1"/>
  <c r="N1043" i="1" l="1"/>
  <c r="J1043" i="1"/>
  <c r="M1044" i="1" s="1"/>
  <c r="L1044" i="1"/>
  <c r="G1046" i="1"/>
  <c r="H1045" i="1"/>
  <c r="I1045" i="1" s="1"/>
  <c r="K1045" i="1" s="1"/>
  <c r="N1044" i="1" l="1"/>
  <c r="J1044" i="1"/>
  <c r="M1045" i="1" s="1"/>
  <c r="L1045" i="1"/>
  <c r="G1047" i="1"/>
  <c r="H1046" i="1"/>
  <c r="I1046" i="1" s="1"/>
  <c r="K1046" i="1" s="1"/>
  <c r="N1045" i="1" l="1"/>
  <c r="J1045" i="1"/>
  <c r="M1046" i="1" s="1"/>
  <c r="L1046" i="1"/>
  <c r="G1048" i="1"/>
  <c r="H1047" i="1"/>
  <c r="I1047" i="1" s="1"/>
  <c r="K1047" i="1" s="1"/>
  <c r="N1046" i="1" l="1"/>
  <c r="J1046" i="1"/>
  <c r="M1047" i="1" s="1"/>
  <c r="L1047" i="1"/>
  <c r="G1049" i="1"/>
  <c r="H1048" i="1"/>
  <c r="I1048" i="1" s="1"/>
  <c r="K1048" i="1" s="1"/>
  <c r="N1047" i="1" l="1"/>
  <c r="J1047" i="1"/>
  <c r="M1048" i="1" s="1"/>
  <c r="L1048" i="1"/>
  <c r="G1050" i="1"/>
  <c r="H1049" i="1"/>
  <c r="I1049" i="1" s="1"/>
  <c r="K1049" i="1" s="1"/>
  <c r="N1048" i="1" l="1"/>
  <c r="J1048" i="1"/>
  <c r="M1049" i="1" s="1"/>
  <c r="L1049" i="1"/>
  <c r="G1051" i="1"/>
  <c r="H1050" i="1"/>
  <c r="I1050" i="1" s="1"/>
  <c r="K1050" i="1" s="1"/>
  <c r="N1049" i="1" l="1"/>
  <c r="J1049" i="1"/>
  <c r="M1050" i="1" s="1"/>
  <c r="L1050" i="1"/>
  <c r="G1052" i="1"/>
  <c r="H1051" i="1"/>
  <c r="I1051" i="1" s="1"/>
  <c r="K1051" i="1" s="1"/>
  <c r="N1050" i="1" l="1"/>
  <c r="J1050" i="1"/>
  <c r="M1051" i="1" s="1"/>
  <c r="L1051" i="1"/>
  <c r="G1053" i="1"/>
  <c r="H1052" i="1"/>
  <c r="I1052" i="1" s="1"/>
  <c r="K1052" i="1" s="1"/>
  <c r="N1051" i="1" l="1"/>
  <c r="J1051" i="1"/>
  <c r="M1052" i="1" s="1"/>
  <c r="L1052" i="1"/>
  <c r="G1054" i="1"/>
  <c r="H1053" i="1"/>
  <c r="I1053" i="1" s="1"/>
  <c r="K1053" i="1" s="1"/>
  <c r="N1052" i="1" l="1"/>
  <c r="J1052" i="1"/>
  <c r="M1053" i="1" s="1"/>
  <c r="L1053" i="1"/>
  <c r="G1055" i="1"/>
  <c r="H1054" i="1"/>
  <c r="I1054" i="1" s="1"/>
  <c r="K1054" i="1" s="1"/>
  <c r="N1053" i="1" l="1"/>
  <c r="J1053" i="1"/>
  <c r="M1054" i="1" s="1"/>
  <c r="L1054" i="1"/>
  <c r="G1056" i="1"/>
  <c r="H1055" i="1"/>
  <c r="I1055" i="1" s="1"/>
  <c r="K1055" i="1" s="1"/>
  <c r="N1054" i="1" l="1"/>
  <c r="J1054" i="1"/>
  <c r="M1055" i="1" s="1"/>
  <c r="L1055" i="1"/>
  <c r="G1057" i="1"/>
  <c r="H1056" i="1"/>
  <c r="I1056" i="1" s="1"/>
  <c r="K1056" i="1" s="1"/>
  <c r="N1055" i="1" l="1"/>
  <c r="J1055" i="1"/>
  <c r="M1056" i="1" s="1"/>
  <c r="L1056" i="1"/>
  <c r="G1058" i="1"/>
  <c r="H1057" i="1"/>
  <c r="I1057" i="1" s="1"/>
  <c r="K1057" i="1" s="1"/>
  <c r="N1056" i="1" l="1"/>
  <c r="J1056" i="1"/>
  <c r="M1057" i="1" s="1"/>
  <c r="L1057" i="1"/>
  <c r="G1059" i="1"/>
  <c r="H1058" i="1"/>
  <c r="I1058" i="1" s="1"/>
  <c r="K1058" i="1" s="1"/>
  <c r="N1057" i="1" l="1"/>
  <c r="J1057" i="1"/>
  <c r="M1058" i="1" s="1"/>
  <c r="L1058" i="1"/>
  <c r="G1060" i="1"/>
  <c r="H1059" i="1"/>
  <c r="I1059" i="1" s="1"/>
  <c r="K1059" i="1" s="1"/>
  <c r="N1058" i="1" l="1"/>
  <c r="J1058" i="1"/>
  <c r="M1059" i="1" s="1"/>
  <c r="L1059" i="1"/>
  <c r="G1061" i="1"/>
  <c r="H1060" i="1"/>
  <c r="I1060" i="1" s="1"/>
  <c r="K1060" i="1" s="1"/>
  <c r="N1059" i="1" l="1"/>
  <c r="J1059" i="1"/>
  <c r="M1060" i="1" s="1"/>
  <c r="L1060" i="1"/>
  <c r="G1062" i="1"/>
  <c r="H1061" i="1"/>
  <c r="I1061" i="1" s="1"/>
  <c r="K1061" i="1" s="1"/>
  <c r="N1060" i="1" l="1"/>
  <c r="J1060" i="1"/>
  <c r="M1061" i="1" s="1"/>
  <c r="L1061" i="1"/>
  <c r="G1063" i="1"/>
  <c r="H1062" i="1"/>
  <c r="I1062" i="1" s="1"/>
  <c r="K1062" i="1" s="1"/>
  <c r="N1061" i="1" l="1"/>
  <c r="J1061" i="1"/>
  <c r="M1062" i="1" s="1"/>
  <c r="L1062" i="1"/>
  <c r="G1064" i="1"/>
  <c r="H1063" i="1"/>
  <c r="I1063" i="1" s="1"/>
  <c r="K1063" i="1" s="1"/>
  <c r="N1062" i="1" l="1"/>
  <c r="J1062" i="1"/>
  <c r="M1063" i="1" s="1"/>
  <c r="L1063" i="1"/>
  <c r="G1065" i="1"/>
  <c r="H1064" i="1"/>
  <c r="I1064" i="1" s="1"/>
  <c r="K1064" i="1" s="1"/>
  <c r="N1063" i="1" l="1"/>
  <c r="J1063" i="1"/>
  <c r="M1064" i="1" s="1"/>
  <c r="L1064" i="1"/>
  <c r="G1066" i="1"/>
  <c r="H1065" i="1"/>
  <c r="I1065" i="1" s="1"/>
  <c r="K1065" i="1" s="1"/>
  <c r="N1064" i="1" l="1"/>
  <c r="J1064" i="1"/>
  <c r="M1065" i="1" s="1"/>
  <c r="L1065" i="1"/>
  <c r="G1067" i="1"/>
  <c r="H1066" i="1"/>
  <c r="I1066" i="1" s="1"/>
  <c r="K1066" i="1" s="1"/>
  <c r="N1065" i="1" l="1"/>
  <c r="J1065" i="1"/>
  <c r="M1066" i="1" s="1"/>
  <c r="L1066" i="1"/>
  <c r="G1068" i="1"/>
  <c r="H1067" i="1"/>
  <c r="I1067" i="1" s="1"/>
  <c r="K1067" i="1" s="1"/>
  <c r="N1066" i="1" l="1"/>
  <c r="J1066" i="1"/>
  <c r="M1067" i="1" s="1"/>
  <c r="L1067" i="1"/>
  <c r="G1069" i="1"/>
  <c r="H1068" i="1"/>
  <c r="I1068" i="1" s="1"/>
  <c r="K1068" i="1" s="1"/>
  <c r="N1067" i="1" l="1"/>
  <c r="J1067" i="1"/>
  <c r="M1068" i="1" s="1"/>
  <c r="L1068" i="1"/>
  <c r="G1070" i="1"/>
  <c r="H1069" i="1"/>
  <c r="I1069" i="1" s="1"/>
  <c r="K1069" i="1" s="1"/>
  <c r="N1068" i="1" l="1"/>
  <c r="J1068" i="1"/>
  <c r="M1069" i="1" s="1"/>
  <c r="L1069" i="1"/>
  <c r="G1071" i="1"/>
  <c r="H1070" i="1"/>
  <c r="I1070" i="1" s="1"/>
  <c r="K1070" i="1" s="1"/>
  <c r="N1069" i="1" l="1"/>
  <c r="J1069" i="1"/>
  <c r="M1070" i="1" s="1"/>
  <c r="L1070" i="1"/>
  <c r="G1072" i="1"/>
  <c r="H1071" i="1"/>
  <c r="I1071" i="1" s="1"/>
  <c r="K1071" i="1" s="1"/>
  <c r="N1070" i="1" l="1"/>
  <c r="J1070" i="1"/>
  <c r="M1071" i="1" s="1"/>
  <c r="L1071" i="1"/>
  <c r="G1073" i="1"/>
  <c r="H1072" i="1"/>
  <c r="I1072" i="1" s="1"/>
  <c r="K1072" i="1" s="1"/>
  <c r="N1071" i="1" l="1"/>
  <c r="J1071" i="1"/>
  <c r="M1072" i="1" s="1"/>
  <c r="L1072" i="1"/>
  <c r="G1074" i="1"/>
  <c r="H1073" i="1"/>
  <c r="I1073" i="1" s="1"/>
  <c r="K1073" i="1" s="1"/>
  <c r="N1072" i="1" l="1"/>
  <c r="J1072" i="1"/>
  <c r="M1073" i="1" s="1"/>
  <c r="L1073" i="1"/>
  <c r="G1075" i="1"/>
  <c r="H1074" i="1"/>
  <c r="I1074" i="1" s="1"/>
  <c r="K1074" i="1" s="1"/>
  <c r="N1073" i="1" l="1"/>
  <c r="J1073" i="1"/>
  <c r="M1074" i="1" s="1"/>
  <c r="L1074" i="1"/>
  <c r="G1076" i="1"/>
  <c r="H1075" i="1"/>
  <c r="I1075" i="1" s="1"/>
  <c r="K1075" i="1" s="1"/>
  <c r="N1074" i="1" l="1"/>
  <c r="J1074" i="1"/>
  <c r="M1075" i="1" s="1"/>
  <c r="L1075" i="1"/>
  <c r="G1077" i="1"/>
  <c r="H1076" i="1"/>
  <c r="I1076" i="1" s="1"/>
  <c r="K1076" i="1" s="1"/>
  <c r="N1075" i="1" l="1"/>
  <c r="J1075" i="1"/>
  <c r="M1076" i="1" s="1"/>
  <c r="L1076" i="1"/>
  <c r="G1078" i="1"/>
  <c r="H1077" i="1"/>
  <c r="I1077" i="1" s="1"/>
  <c r="K1077" i="1" s="1"/>
  <c r="N1076" i="1" l="1"/>
  <c r="J1076" i="1"/>
  <c r="M1077" i="1" s="1"/>
  <c r="L1077" i="1"/>
  <c r="G1079" i="1"/>
  <c r="H1078" i="1"/>
  <c r="I1078" i="1" s="1"/>
  <c r="K1078" i="1" s="1"/>
  <c r="N1077" i="1" l="1"/>
  <c r="J1077" i="1"/>
  <c r="M1078" i="1" s="1"/>
  <c r="L1078" i="1"/>
  <c r="G1080" i="1"/>
  <c r="H1079" i="1"/>
  <c r="I1079" i="1" s="1"/>
  <c r="K1079" i="1" s="1"/>
  <c r="N1078" i="1" l="1"/>
  <c r="J1078" i="1"/>
  <c r="M1079" i="1" s="1"/>
  <c r="L1079" i="1"/>
  <c r="G1081" i="1"/>
  <c r="H1080" i="1"/>
  <c r="I1080" i="1" s="1"/>
  <c r="K1080" i="1" s="1"/>
  <c r="N1079" i="1" l="1"/>
  <c r="J1079" i="1"/>
  <c r="M1080" i="1" s="1"/>
  <c r="L1080" i="1"/>
  <c r="G1082" i="1"/>
  <c r="H1081" i="1"/>
  <c r="I1081" i="1" s="1"/>
  <c r="K1081" i="1" s="1"/>
  <c r="N1080" i="1" l="1"/>
  <c r="J1080" i="1"/>
  <c r="M1081" i="1" s="1"/>
  <c r="L1081" i="1"/>
  <c r="G1083" i="1"/>
  <c r="H1082" i="1"/>
  <c r="I1082" i="1" s="1"/>
  <c r="K1082" i="1" s="1"/>
  <c r="N1081" i="1" l="1"/>
  <c r="J1081" i="1"/>
  <c r="M1082" i="1" s="1"/>
  <c r="L1082" i="1"/>
  <c r="G1084" i="1"/>
  <c r="H1083" i="1"/>
  <c r="I1083" i="1" s="1"/>
  <c r="K1083" i="1" s="1"/>
  <c r="N1082" i="1" l="1"/>
  <c r="J1082" i="1"/>
  <c r="M1083" i="1" s="1"/>
  <c r="L1083" i="1"/>
  <c r="G1085" i="1"/>
  <c r="H1084" i="1"/>
  <c r="I1084" i="1" s="1"/>
  <c r="K1084" i="1" s="1"/>
  <c r="N1083" i="1" l="1"/>
  <c r="J1083" i="1"/>
  <c r="M1084" i="1" s="1"/>
  <c r="L1084" i="1"/>
  <c r="G1086" i="1"/>
  <c r="H1085" i="1"/>
  <c r="I1085" i="1" s="1"/>
  <c r="K1085" i="1" s="1"/>
  <c r="N1084" i="1" l="1"/>
  <c r="J1084" i="1"/>
  <c r="M1085" i="1" s="1"/>
  <c r="L1085" i="1"/>
  <c r="G1087" i="1"/>
  <c r="H1086" i="1"/>
  <c r="I1086" i="1" s="1"/>
  <c r="K1086" i="1" s="1"/>
  <c r="N1085" i="1" l="1"/>
  <c r="J1085" i="1"/>
  <c r="M1086" i="1" s="1"/>
  <c r="L1086" i="1"/>
  <c r="G1088" i="1"/>
  <c r="H1087" i="1"/>
  <c r="I1087" i="1" s="1"/>
  <c r="K1087" i="1" s="1"/>
  <c r="N1086" i="1" l="1"/>
  <c r="J1086" i="1"/>
  <c r="M1087" i="1" s="1"/>
  <c r="L1087" i="1"/>
  <c r="G1089" i="1"/>
  <c r="H1088" i="1"/>
  <c r="I1088" i="1" s="1"/>
  <c r="K1088" i="1" s="1"/>
  <c r="N1087" i="1" l="1"/>
  <c r="J1087" i="1"/>
  <c r="M1088" i="1" s="1"/>
  <c r="L1088" i="1"/>
  <c r="G1090" i="1"/>
  <c r="H1089" i="1"/>
  <c r="I1089" i="1" s="1"/>
  <c r="K1089" i="1" s="1"/>
  <c r="N1088" i="1" l="1"/>
  <c r="J1088" i="1"/>
  <c r="M1089" i="1" s="1"/>
  <c r="L1089" i="1"/>
  <c r="G1091" i="1"/>
  <c r="H1090" i="1"/>
  <c r="I1090" i="1" s="1"/>
  <c r="K1090" i="1" s="1"/>
  <c r="J1089" i="1" l="1"/>
  <c r="M1090" i="1" s="1"/>
  <c r="N1089" i="1"/>
  <c r="L1090" i="1"/>
  <c r="G1092" i="1"/>
  <c r="H1091" i="1"/>
  <c r="I1091" i="1" s="1"/>
  <c r="K1091" i="1" s="1"/>
  <c r="N1090" i="1" l="1"/>
  <c r="J1090" i="1"/>
  <c r="M1091" i="1" s="1"/>
  <c r="L1091" i="1"/>
  <c r="G1093" i="1"/>
  <c r="H1092" i="1"/>
  <c r="I1092" i="1" s="1"/>
  <c r="K1092" i="1" s="1"/>
  <c r="N1091" i="1" l="1"/>
  <c r="J1091" i="1"/>
  <c r="M1092" i="1" s="1"/>
  <c r="L1092" i="1"/>
  <c r="G1094" i="1"/>
  <c r="H1093" i="1"/>
  <c r="I1093" i="1" s="1"/>
  <c r="K1093" i="1" s="1"/>
  <c r="N1092" i="1" l="1"/>
  <c r="J1092" i="1"/>
  <c r="M1093" i="1" s="1"/>
  <c r="L1093" i="1"/>
  <c r="G1095" i="1"/>
  <c r="H1094" i="1"/>
  <c r="I1094" i="1" s="1"/>
  <c r="K1094" i="1" s="1"/>
  <c r="N1093" i="1" l="1"/>
  <c r="J1093" i="1"/>
  <c r="M1094" i="1" s="1"/>
  <c r="L1094" i="1"/>
  <c r="G1096" i="1"/>
  <c r="H1095" i="1"/>
  <c r="I1095" i="1" s="1"/>
  <c r="K1095" i="1" s="1"/>
  <c r="N1094" i="1" l="1"/>
  <c r="J1094" i="1"/>
  <c r="M1095" i="1" s="1"/>
  <c r="L1095" i="1"/>
  <c r="G1097" i="1"/>
  <c r="H1096" i="1"/>
  <c r="I1096" i="1" s="1"/>
  <c r="K1096" i="1" s="1"/>
  <c r="N1095" i="1" l="1"/>
  <c r="J1095" i="1"/>
  <c r="M1096" i="1" s="1"/>
  <c r="L1096" i="1"/>
  <c r="G1098" i="1"/>
  <c r="H1097" i="1"/>
  <c r="I1097" i="1" s="1"/>
  <c r="K1097" i="1" s="1"/>
  <c r="N1096" i="1" l="1"/>
  <c r="J1096" i="1"/>
  <c r="M1097" i="1" s="1"/>
  <c r="L1097" i="1"/>
  <c r="G1099" i="1"/>
  <c r="H1098" i="1"/>
  <c r="I1098" i="1" s="1"/>
  <c r="K1098" i="1" s="1"/>
  <c r="N1097" i="1" l="1"/>
  <c r="J1097" i="1"/>
  <c r="M1098" i="1" s="1"/>
  <c r="L1098" i="1"/>
  <c r="G1100" i="1"/>
  <c r="H1099" i="1"/>
  <c r="I1099" i="1" s="1"/>
  <c r="K1099" i="1" s="1"/>
  <c r="N1098" i="1" l="1"/>
  <c r="J1098" i="1"/>
  <c r="M1099" i="1" s="1"/>
  <c r="L1099" i="1"/>
  <c r="G1101" i="1"/>
  <c r="H1100" i="1"/>
  <c r="I1100" i="1" s="1"/>
  <c r="K1100" i="1" s="1"/>
  <c r="N1099" i="1" l="1"/>
  <c r="J1099" i="1"/>
  <c r="M1100" i="1" s="1"/>
  <c r="L1100" i="1"/>
  <c r="G1102" i="1"/>
  <c r="H1101" i="1"/>
  <c r="I1101" i="1" s="1"/>
  <c r="K1101" i="1" s="1"/>
  <c r="N1100" i="1" l="1"/>
  <c r="J1100" i="1"/>
  <c r="M1101" i="1" s="1"/>
  <c r="L1101" i="1"/>
  <c r="G1103" i="1"/>
  <c r="H1102" i="1"/>
  <c r="I1102" i="1" s="1"/>
  <c r="K1102" i="1" s="1"/>
  <c r="N1101" i="1" l="1"/>
  <c r="J1101" i="1"/>
  <c r="M1102" i="1" s="1"/>
  <c r="L1102" i="1"/>
  <c r="G1104" i="1"/>
  <c r="H1103" i="1"/>
  <c r="I1103" i="1" s="1"/>
  <c r="K1103" i="1" s="1"/>
  <c r="N1102" i="1" l="1"/>
  <c r="J1102" i="1"/>
  <c r="M1103" i="1" s="1"/>
  <c r="L1103" i="1"/>
  <c r="G1105" i="1"/>
  <c r="H1104" i="1"/>
  <c r="I1104" i="1" s="1"/>
  <c r="K1104" i="1" s="1"/>
  <c r="N1103" i="1" l="1"/>
  <c r="J1103" i="1"/>
  <c r="M1104" i="1" s="1"/>
  <c r="L1104" i="1"/>
  <c r="G1106" i="1"/>
  <c r="H1105" i="1"/>
  <c r="I1105" i="1" s="1"/>
  <c r="K1105" i="1" s="1"/>
  <c r="N1104" i="1" l="1"/>
  <c r="J1104" i="1"/>
  <c r="M1105" i="1" s="1"/>
  <c r="L1105" i="1"/>
  <c r="G1107" i="1"/>
  <c r="H1106" i="1"/>
  <c r="I1106" i="1" s="1"/>
  <c r="K1106" i="1" s="1"/>
  <c r="N1105" i="1" l="1"/>
  <c r="J1105" i="1"/>
  <c r="M1106" i="1" s="1"/>
  <c r="L1106" i="1"/>
  <c r="G1108" i="1"/>
  <c r="H1107" i="1"/>
  <c r="I1107" i="1" s="1"/>
  <c r="K1107" i="1" s="1"/>
  <c r="N1106" i="1" l="1"/>
  <c r="J1106" i="1"/>
  <c r="M1107" i="1" s="1"/>
  <c r="L1107" i="1"/>
  <c r="G1109" i="1"/>
  <c r="H1108" i="1"/>
  <c r="I1108" i="1" s="1"/>
  <c r="K1108" i="1" s="1"/>
  <c r="N1107" i="1" l="1"/>
  <c r="J1107" i="1"/>
  <c r="M1108" i="1" s="1"/>
  <c r="L1108" i="1"/>
  <c r="G1110" i="1"/>
  <c r="H1109" i="1"/>
  <c r="I1109" i="1" s="1"/>
  <c r="K1109" i="1" s="1"/>
  <c r="N1108" i="1" l="1"/>
  <c r="J1108" i="1"/>
  <c r="M1109" i="1" s="1"/>
  <c r="L1109" i="1"/>
  <c r="G1111" i="1"/>
  <c r="H1110" i="1"/>
  <c r="I1110" i="1" s="1"/>
  <c r="K1110" i="1" s="1"/>
  <c r="N1109" i="1" l="1"/>
  <c r="J1109" i="1"/>
  <c r="M1110" i="1" s="1"/>
  <c r="L1110" i="1"/>
  <c r="G1112" i="1"/>
  <c r="H1111" i="1"/>
  <c r="I1111" i="1" s="1"/>
  <c r="K1111" i="1" s="1"/>
  <c r="N1110" i="1" l="1"/>
  <c r="J1110" i="1"/>
  <c r="M1111" i="1" s="1"/>
  <c r="L1111" i="1"/>
  <c r="G1113" i="1"/>
  <c r="H1112" i="1"/>
  <c r="I1112" i="1" s="1"/>
  <c r="K1112" i="1" s="1"/>
  <c r="N1111" i="1" l="1"/>
  <c r="J1111" i="1"/>
  <c r="M1112" i="1" s="1"/>
  <c r="L1112" i="1"/>
  <c r="G1114" i="1"/>
  <c r="H1113" i="1"/>
  <c r="I1113" i="1" s="1"/>
  <c r="K1113" i="1" s="1"/>
  <c r="N1112" i="1" l="1"/>
  <c r="J1112" i="1"/>
  <c r="M1113" i="1" s="1"/>
  <c r="L1113" i="1"/>
  <c r="G1115" i="1"/>
  <c r="H1114" i="1"/>
  <c r="I1114" i="1" s="1"/>
  <c r="K1114" i="1" s="1"/>
  <c r="N1113" i="1" l="1"/>
  <c r="J1113" i="1"/>
  <c r="M1114" i="1" s="1"/>
  <c r="L1114" i="1"/>
  <c r="G1116" i="1"/>
  <c r="H1115" i="1"/>
  <c r="I1115" i="1" s="1"/>
  <c r="K1115" i="1" s="1"/>
  <c r="N1114" i="1" l="1"/>
  <c r="J1114" i="1"/>
  <c r="M1115" i="1" s="1"/>
  <c r="L1115" i="1"/>
  <c r="G1117" i="1"/>
  <c r="H1116" i="1"/>
  <c r="I1116" i="1" s="1"/>
  <c r="K1116" i="1" s="1"/>
  <c r="N1115" i="1" l="1"/>
  <c r="J1115" i="1"/>
  <c r="M1116" i="1" s="1"/>
  <c r="L1116" i="1"/>
  <c r="G1118" i="1"/>
  <c r="H1117" i="1"/>
  <c r="I1117" i="1" s="1"/>
  <c r="K1117" i="1" s="1"/>
  <c r="N1116" i="1" l="1"/>
  <c r="J1116" i="1"/>
  <c r="M1117" i="1" s="1"/>
  <c r="L1117" i="1"/>
  <c r="G1119" i="1"/>
  <c r="H1118" i="1"/>
  <c r="I1118" i="1" s="1"/>
  <c r="K1118" i="1" s="1"/>
  <c r="N1117" i="1" l="1"/>
  <c r="J1117" i="1"/>
  <c r="M1118" i="1" s="1"/>
  <c r="L1118" i="1"/>
  <c r="G1120" i="1"/>
  <c r="H1119" i="1"/>
  <c r="I1119" i="1" s="1"/>
  <c r="K1119" i="1" s="1"/>
  <c r="N1118" i="1" l="1"/>
  <c r="J1118" i="1"/>
  <c r="M1119" i="1" s="1"/>
  <c r="L1119" i="1"/>
  <c r="G1121" i="1"/>
  <c r="H1120" i="1"/>
  <c r="I1120" i="1" s="1"/>
  <c r="K1120" i="1" s="1"/>
  <c r="N1119" i="1" l="1"/>
  <c r="J1119" i="1"/>
  <c r="M1120" i="1" s="1"/>
  <c r="L1120" i="1"/>
  <c r="G1122" i="1"/>
  <c r="H1121" i="1"/>
  <c r="I1121" i="1" s="1"/>
  <c r="K1121" i="1" s="1"/>
  <c r="N1120" i="1" l="1"/>
  <c r="J1120" i="1"/>
  <c r="M1121" i="1" s="1"/>
  <c r="L1121" i="1"/>
  <c r="G1123" i="1"/>
  <c r="H1122" i="1"/>
  <c r="I1122" i="1" s="1"/>
  <c r="K1122" i="1" s="1"/>
  <c r="N1121" i="1" l="1"/>
  <c r="J1121" i="1"/>
  <c r="M1122" i="1" s="1"/>
  <c r="L1122" i="1"/>
  <c r="G1124" i="1"/>
  <c r="H1123" i="1"/>
  <c r="I1123" i="1" s="1"/>
  <c r="K1123" i="1" s="1"/>
  <c r="N1122" i="1" l="1"/>
  <c r="J1122" i="1"/>
  <c r="M1123" i="1" s="1"/>
  <c r="L1123" i="1"/>
  <c r="G1125" i="1"/>
  <c r="H1124" i="1"/>
  <c r="I1124" i="1" s="1"/>
  <c r="K1124" i="1" s="1"/>
  <c r="N1123" i="1" l="1"/>
  <c r="J1123" i="1"/>
  <c r="M1124" i="1" s="1"/>
  <c r="L1124" i="1"/>
  <c r="G1126" i="1"/>
  <c r="H1125" i="1"/>
  <c r="I1125" i="1" s="1"/>
  <c r="K1125" i="1" s="1"/>
  <c r="N1124" i="1" l="1"/>
  <c r="J1124" i="1"/>
  <c r="M1125" i="1" s="1"/>
  <c r="L1125" i="1"/>
  <c r="G1127" i="1"/>
  <c r="H1126" i="1"/>
  <c r="I1126" i="1" s="1"/>
  <c r="K1126" i="1" s="1"/>
  <c r="N1125" i="1" l="1"/>
  <c r="J1125" i="1"/>
  <c r="M1126" i="1" s="1"/>
  <c r="L1126" i="1"/>
  <c r="G1128" i="1"/>
  <c r="H1127" i="1"/>
  <c r="I1127" i="1" s="1"/>
  <c r="K1127" i="1" s="1"/>
  <c r="N1126" i="1" l="1"/>
  <c r="J1126" i="1"/>
  <c r="M1127" i="1" s="1"/>
  <c r="L1127" i="1"/>
  <c r="G1129" i="1"/>
  <c r="H1128" i="1"/>
  <c r="I1128" i="1" s="1"/>
  <c r="K1128" i="1" s="1"/>
  <c r="N1127" i="1" l="1"/>
  <c r="J1127" i="1"/>
  <c r="M1128" i="1" s="1"/>
  <c r="L1128" i="1"/>
  <c r="G1130" i="1"/>
  <c r="H1129" i="1"/>
  <c r="I1129" i="1" s="1"/>
  <c r="K1129" i="1" s="1"/>
  <c r="N1128" i="1" l="1"/>
  <c r="J1128" i="1"/>
  <c r="M1129" i="1" s="1"/>
  <c r="L1129" i="1"/>
  <c r="G1131" i="1"/>
  <c r="H1130" i="1"/>
  <c r="I1130" i="1" s="1"/>
  <c r="K1130" i="1" s="1"/>
  <c r="N1129" i="1" l="1"/>
  <c r="J1129" i="1"/>
  <c r="M1130" i="1" s="1"/>
  <c r="L1130" i="1"/>
  <c r="G1132" i="1"/>
  <c r="H1131" i="1"/>
  <c r="I1131" i="1" s="1"/>
  <c r="K1131" i="1" s="1"/>
  <c r="N1130" i="1" l="1"/>
  <c r="J1130" i="1"/>
  <c r="M1131" i="1" s="1"/>
  <c r="L1131" i="1"/>
  <c r="G1133" i="1"/>
  <c r="H1132" i="1"/>
  <c r="I1132" i="1" s="1"/>
  <c r="K1132" i="1" s="1"/>
  <c r="N1131" i="1" l="1"/>
  <c r="J1131" i="1"/>
  <c r="M1132" i="1" s="1"/>
  <c r="L1132" i="1"/>
  <c r="G1134" i="1"/>
  <c r="H1133" i="1"/>
  <c r="I1133" i="1" s="1"/>
  <c r="K1133" i="1" s="1"/>
  <c r="N1132" i="1" l="1"/>
  <c r="J1132" i="1"/>
  <c r="M1133" i="1" s="1"/>
  <c r="L1133" i="1"/>
  <c r="G1135" i="1"/>
  <c r="H1134" i="1"/>
  <c r="I1134" i="1" s="1"/>
  <c r="K1134" i="1" s="1"/>
  <c r="N1133" i="1" l="1"/>
  <c r="J1133" i="1"/>
  <c r="M1134" i="1" s="1"/>
  <c r="L1134" i="1"/>
  <c r="G1136" i="1"/>
  <c r="H1135" i="1"/>
  <c r="I1135" i="1" s="1"/>
  <c r="K1135" i="1" s="1"/>
  <c r="N1134" i="1" l="1"/>
  <c r="J1134" i="1"/>
  <c r="M1135" i="1" s="1"/>
  <c r="L1135" i="1"/>
  <c r="G1137" i="1"/>
  <c r="H1136" i="1"/>
  <c r="I1136" i="1" s="1"/>
  <c r="K1136" i="1" s="1"/>
  <c r="N1135" i="1" l="1"/>
  <c r="J1135" i="1"/>
  <c r="M1136" i="1" s="1"/>
  <c r="L1136" i="1"/>
  <c r="G1138" i="1"/>
  <c r="H1137" i="1"/>
  <c r="I1137" i="1" s="1"/>
  <c r="K1137" i="1" s="1"/>
  <c r="J1136" i="1" l="1"/>
  <c r="M1137" i="1" s="1"/>
  <c r="N1136" i="1"/>
  <c r="L1137" i="1"/>
  <c r="G1139" i="1"/>
  <c r="H1138" i="1"/>
  <c r="I1138" i="1" s="1"/>
  <c r="K1138" i="1" s="1"/>
  <c r="N1137" i="1" l="1"/>
  <c r="J1137" i="1"/>
  <c r="M1138" i="1" s="1"/>
  <c r="L1138" i="1"/>
  <c r="G1140" i="1"/>
  <c r="H1139" i="1"/>
  <c r="I1139" i="1" s="1"/>
  <c r="K1139" i="1" s="1"/>
  <c r="N1138" i="1" l="1"/>
  <c r="J1138" i="1"/>
  <c r="M1139" i="1" s="1"/>
  <c r="L1139" i="1"/>
  <c r="G1141" i="1"/>
  <c r="H1140" i="1"/>
  <c r="I1140" i="1" s="1"/>
  <c r="K1140" i="1" s="1"/>
  <c r="N1139" i="1" l="1"/>
  <c r="J1139" i="1"/>
  <c r="M1140" i="1" s="1"/>
  <c r="L1140" i="1"/>
  <c r="G1142" i="1"/>
  <c r="H1141" i="1"/>
  <c r="I1141" i="1" s="1"/>
  <c r="K1141" i="1" s="1"/>
  <c r="N1140" i="1" l="1"/>
  <c r="J1140" i="1"/>
  <c r="M1141" i="1" s="1"/>
  <c r="L1141" i="1"/>
  <c r="G1143" i="1"/>
  <c r="H1142" i="1"/>
  <c r="I1142" i="1" s="1"/>
  <c r="K1142" i="1" s="1"/>
  <c r="N1141" i="1" l="1"/>
  <c r="J1141" i="1"/>
  <c r="M1142" i="1" s="1"/>
  <c r="L1142" i="1"/>
  <c r="G1144" i="1"/>
  <c r="H1143" i="1"/>
  <c r="I1143" i="1" s="1"/>
  <c r="K1143" i="1" s="1"/>
  <c r="N1142" i="1" l="1"/>
  <c r="J1142" i="1"/>
  <c r="M1143" i="1" s="1"/>
  <c r="L1143" i="1"/>
  <c r="G1145" i="1"/>
  <c r="H1144" i="1"/>
  <c r="I1144" i="1" s="1"/>
  <c r="K1144" i="1" s="1"/>
  <c r="N1143" i="1" l="1"/>
  <c r="J1143" i="1"/>
  <c r="M1144" i="1" s="1"/>
  <c r="L1144" i="1"/>
  <c r="G1146" i="1"/>
  <c r="H1145" i="1"/>
  <c r="I1145" i="1" s="1"/>
  <c r="K1145" i="1" s="1"/>
  <c r="N1144" i="1" l="1"/>
  <c r="J1144" i="1"/>
  <c r="M1145" i="1" s="1"/>
  <c r="L1145" i="1"/>
  <c r="G1147" i="1"/>
  <c r="H1146" i="1"/>
  <c r="I1146" i="1" s="1"/>
  <c r="K1146" i="1" s="1"/>
  <c r="N1145" i="1" l="1"/>
  <c r="J1145" i="1"/>
  <c r="M1146" i="1" s="1"/>
  <c r="L1146" i="1"/>
  <c r="G1148" i="1"/>
  <c r="H1147" i="1"/>
  <c r="I1147" i="1" s="1"/>
  <c r="K1147" i="1" s="1"/>
  <c r="N1146" i="1" l="1"/>
  <c r="J1146" i="1"/>
  <c r="M1147" i="1" s="1"/>
  <c r="L1147" i="1"/>
  <c r="G1149" i="1"/>
  <c r="H1148" i="1"/>
  <c r="I1148" i="1" s="1"/>
  <c r="K1148" i="1" s="1"/>
  <c r="N1147" i="1" l="1"/>
  <c r="J1147" i="1"/>
  <c r="M1148" i="1" s="1"/>
  <c r="L1148" i="1"/>
  <c r="G1150" i="1"/>
  <c r="H1149" i="1"/>
  <c r="I1149" i="1" s="1"/>
  <c r="K1149" i="1" s="1"/>
  <c r="N1148" i="1" l="1"/>
  <c r="J1148" i="1"/>
  <c r="M1149" i="1" s="1"/>
  <c r="L1149" i="1"/>
  <c r="G1151" i="1"/>
  <c r="H1150" i="1"/>
  <c r="I1150" i="1" s="1"/>
  <c r="K1150" i="1" s="1"/>
  <c r="N1149" i="1" l="1"/>
  <c r="J1149" i="1"/>
  <c r="M1150" i="1" s="1"/>
  <c r="L1150" i="1"/>
  <c r="G1152" i="1"/>
  <c r="H1151" i="1"/>
  <c r="I1151" i="1" s="1"/>
  <c r="K1151" i="1" s="1"/>
  <c r="N1150" i="1" l="1"/>
  <c r="J1150" i="1"/>
  <c r="M1151" i="1" s="1"/>
  <c r="L1151" i="1"/>
  <c r="G1153" i="1"/>
  <c r="H1152" i="1"/>
  <c r="I1152" i="1" s="1"/>
  <c r="K1152" i="1" s="1"/>
  <c r="N1151" i="1" l="1"/>
  <c r="J1151" i="1"/>
  <c r="M1152" i="1" s="1"/>
  <c r="L1152" i="1"/>
  <c r="G1154" i="1"/>
  <c r="H1153" i="1"/>
  <c r="I1153" i="1" s="1"/>
  <c r="K1153" i="1" s="1"/>
  <c r="N1152" i="1" l="1"/>
  <c r="J1152" i="1"/>
  <c r="M1153" i="1" s="1"/>
  <c r="L1153" i="1"/>
  <c r="G1155" i="1"/>
  <c r="H1154" i="1"/>
  <c r="I1154" i="1" s="1"/>
  <c r="K1154" i="1" s="1"/>
  <c r="N1153" i="1" l="1"/>
  <c r="J1153" i="1"/>
  <c r="M1154" i="1" s="1"/>
  <c r="L1154" i="1"/>
  <c r="G1156" i="1"/>
  <c r="H1155" i="1"/>
  <c r="I1155" i="1" s="1"/>
  <c r="K1155" i="1" s="1"/>
  <c r="N1154" i="1" l="1"/>
  <c r="J1154" i="1"/>
  <c r="M1155" i="1" s="1"/>
  <c r="L1155" i="1"/>
  <c r="G1157" i="1"/>
  <c r="H1156" i="1"/>
  <c r="I1156" i="1" s="1"/>
  <c r="K1156" i="1" s="1"/>
  <c r="N1155" i="1" l="1"/>
  <c r="J1155" i="1"/>
  <c r="M1156" i="1" s="1"/>
  <c r="L1156" i="1"/>
  <c r="G1158" i="1"/>
  <c r="H1157" i="1"/>
  <c r="I1157" i="1" s="1"/>
  <c r="K1157" i="1" s="1"/>
  <c r="N1156" i="1" l="1"/>
  <c r="J1156" i="1"/>
  <c r="M1157" i="1" s="1"/>
  <c r="L1157" i="1"/>
  <c r="G1159" i="1"/>
  <c r="H1158" i="1"/>
  <c r="I1158" i="1" s="1"/>
  <c r="K1158" i="1" s="1"/>
  <c r="N1157" i="1" l="1"/>
  <c r="J1157" i="1"/>
  <c r="M1158" i="1" s="1"/>
  <c r="L1158" i="1"/>
  <c r="G1160" i="1"/>
  <c r="H1159" i="1"/>
  <c r="I1159" i="1" s="1"/>
  <c r="K1159" i="1" s="1"/>
  <c r="N1158" i="1" l="1"/>
  <c r="J1158" i="1"/>
  <c r="M1159" i="1" s="1"/>
  <c r="L1159" i="1"/>
  <c r="G1161" i="1"/>
  <c r="H1160" i="1"/>
  <c r="I1160" i="1" s="1"/>
  <c r="K1160" i="1" s="1"/>
  <c r="N1159" i="1" l="1"/>
  <c r="J1159" i="1"/>
  <c r="M1160" i="1" s="1"/>
  <c r="L1160" i="1"/>
  <c r="G1162" i="1"/>
  <c r="H1161" i="1"/>
  <c r="I1161" i="1" s="1"/>
  <c r="K1161" i="1" s="1"/>
  <c r="N1160" i="1" l="1"/>
  <c r="J1160" i="1"/>
  <c r="M1161" i="1" s="1"/>
  <c r="L1161" i="1"/>
  <c r="G1163" i="1"/>
  <c r="H1162" i="1"/>
  <c r="I1162" i="1" s="1"/>
  <c r="K1162" i="1" s="1"/>
  <c r="N1161" i="1" l="1"/>
  <c r="J1161" i="1"/>
  <c r="M1162" i="1" s="1"/>
  <c r="L1162" i="1"/>
  <c r="G1164" i="1"/>
  <c r="H1163" i="1"/>
  <c r="I1163" i="1" s="1"/>
  <c r="K1163" i="1" s="1"/>
  <c r="N1162" i="1" l="1"/>
  <c r="J1162" i="1"/>
  <c r="M1163" i="1" s="1"/>
  <c r="L1163" i="1"/>
  <c r="G1165" i="1"/>
  <c r="H1164" i="1"/>
  <c r="I1164" i="1" s="1"/>
  <c r="K1164" i="1" s="1"/>
  <c r="N1163" i="1" l="1"/>
  <c r="J1163" i="1"/>
  <c r="M1164" i="1" s="1"/>
  <c r="L1164" i="1"/>
  <c r="G1166" i="1"/>
  <c r="H1165" i="1"/>
  <c r="I1165" i="1" s="1"/>
  <c r="K1165" i="1" s="1"/>
  <c r="N1164" i="1" l="1"/>
  <c r="J1164" i="1"/>
  <c r="M1165" i="1" s="1"/>
  <c r="L1165" i="1"/>
  <c r="G1167" i="1"/>
  <c r="H1166" i="1"/>
  <c r="I1166" i="1" s="1"/>
  <c r="K1166" i="1" s="1"/>
  <c r="N1165" i="1" l="1"/>
  <c r="J1165" i="1"/>
  <c r="M1166" i="1" s="1"/>
  <c r="L1166" i="1"/>
  <c r="G1168" i="1"/>
  <c r="H1167" i="1"/>
  <c r="I1167" i="1" s="1"/>
  <c r="K1167" i="1" s="1"/>
  <c r="N1166" i="1" l="1"/>
  <c r="J1166" i="1"/>
  <c r="M1167" i="1" s="1"/>
  <c r="L1167" i="1"/>
  <c r="G1169" i="1"/>
  <c r="H1168" i="1"/>
  <c r="I1168" i="1" s="1"/>
  <c r="K1168" i="1" s="1"/>
  <c r="N1167" i="1" l="1"/>
  <c r="J1167" i="1"/>
  <c r="M1168" i="1" s="1"/>
  <c r="L1168" i="1"/>
  <c r="G1170" i="1"/>
  <c r="H1169" i="1"/>
  <c r="I1169" i="1" s="1"/>
  <c r="K1169" i="1" s="1"/>
  <c r="N1168" i="1" l="1"/>
  <c r="J1168" i="1"/>
  <c r="M1169" i="1" s="1"/>
  <c r="L1169" i="1"/>
  <c r="G1171" i="1"/>
  <c r="H1170" i="1"/>
  <c r="I1170" i="1" s="1"/>
  <c r="K1170" i="1" s="1"/>
  <c r="N1169" i="1" l="1"/>
  <c r="J1169" i="1"/>
  <c r="M1170" i="1" s="1"/>
  <c r="L1170" i="1"/>
  <c r="G1172" i="1"/>
  <c r="H1171" i="1"/>
  <c r="I1171" i="1" s="1"/>
  <c r="K1171" i="1" s="1"/>
  <c r="N1170" i="1" l="1"/>
  <c r="J1170" i="1"/>
  <c r="M1171" i="1" s="1"/>
  <c r="L1171" i="1"/>
  <c r="G1173" i="1"/>
  <c r="H1172" i="1"/>
  <c r="I1172" i="1" s="1"/>
  <c r="K1172" i="1" s="1"/>
  <c r="N1171" i="1" l="1"/>
  <c r="J1171" i="1"/>
  <c r="M1172" i="1" s="1"/>
  <c r="L1172" i="1"/>
  <c r="G1174" i="1"/>
  <c r="H1173" i="1"/>
  <c r="I1173" i="1" s="1"/>
  <c r="K1173" i="1" s="1"/>
  <c r="N1172" i="1" l="1"/>
  <c r="J1172" i="1"/>
  <c r="M1173" i="1" s="1"/>
  <c r="L1173" i="1"/>
  <c r="G1175" i="1"/>
  <c r="H1174" i="1"/>
  <c r="I1174" i="1" s="1"/>
  <c r="K1174" i="1" s="1"/>
  <c r="N1173" i="1" l="1"/>
  <c r="J1173" i="1"/>
  <c r="M1174" i="1" s="1"/>
  <c r="L1174" i="1"/>
  <c r="G1176" i="1"/>
  <c r="H1175" i="1"/>
  <c r="I1175" i="1" s="1"/>
  <c r="K1175" i="1" s="1"/>
  <c r="N1174" i="1" l="1"/>
  <c r="J1174" i="1"/>
  <c r="M1175" i="1" s="1"/>
  <c r="L1175" i="1"/>
  <c r="G1177" i="1"/>
  <c r="H1176" i="1"/>
  <c r="I1176" i="1" s="1"/>
  <c r="K1176" i="1" s="1"/>
  <c r="N1175" i="1" l="1"/>
  <c r="J1175" i="1"/>
  <c r="M1176" i="1" s="1"/>
  <c r="L1176" i="1"/>
  <c r="G1178" i="1"/>
  <c r="H1177" i="1"/>
  <c r="I1177" i="1" s="1"/>
  <c r="K1177" i="1" s="1"/>
  <c r="N1176" i="1" l="1"/>
  <c r="J1176" i="1"/>
  <c r="M1177" i="1" s="1"/>
  <c r="L1177" i="1"/>
  <c r="G1179" i="1"/>
  <c r="H1178" i="1"/>
  <c r="I1178" i="1" s="1"/>
  <c r="K1178" i="1" s="1"/>
  <c r="N1177" i="1" l="1"/>
  <c r="J1177" i="1"/>
  <c r="M1178" i="1" s="1"/>
  <c r="L1178" i="1"/>
  <c r="G1180" i="1"/>
  <c r="H1179" i="1"/>
  <c r="I1179" i="1" s="1"/>
  <c r="K1179" i="1" s="1"/>
  <c r="N1178" i="1" l="1"/>
  <c r="J1178" i="1"/>
  <c r="M1179" i="1" s="1"/>
  <c r="L1179" i="1"/>
  <c r="G1181" i="1"/>
  <c r="H1180" i="1"/>
  <c r="I1180" i="1" s="1"/>
  <c r="K1180" i="1" s="1"/>
  <c r="N1179" i="1" l="1"/>
  <c r="J1179" i="1"/>
  <c r="M1180" i="1" s="1"/>
  <c r="L1180" i="1"/>
  <c r="G1182" i="1"/>
  <c r="H1181" i="1"/>
  <c r="I1181" i="1" s="1"/>
  <c r="K1181" i="1" s="1"/>
  <c r="N1180" i="1" l="1"/>
  <c r="J1180" i="1"/>
  <c r="M1181" i="1" s="1"/>
  <c r="L1181" i="1"/>
  <c r="G1183" i="1"/>
  <c r="H1182" i="1"/>
  <c r="I1182" i="1" s="1"/>
  <c r="K1182" i="1" s="1"/>
  <c r="N1181" i="1" l="1"/>
  <c r="J1181" i="1"/>
  <c r="M1182" i="1" s="1"/>
  <c r="L1182" i="1"/>
  <c r="G1184" i="1"/>
  <c r="H1183" i="1"/>
  <c r="I1183" i="1" s="1"/>
  <c r="K1183" i="1" s="1"/>
  <c r="N1182" i="1" l="1"/>
  <c r="J1182" i="1"/>
  <c r="M1183" i="1" s="1"/>
  <c r="L1183" i="1"/>
  <c r="G1185" i="1"/>
  <c r="H1184" i="1"/>
  <c r="I1184" i="1" s="1"/>
  <c r="K1184" i="1" s="1"/>
  <c r="N1183" i="1" l="1"/>
  <c r="J1183" i="1"/>
  <c r="M1184" i="1" s="1"/>
  <c r="L1184" i="1"/>
  <c r="G1186" i="1"/>
  <c r="H1185" i="1"/>
  <c r="I1185" i="1" s="1"/>
  <c r="K1185" i="1" s="1"/>
  <c r="N1184" i="1" l="1"/>
  <c r="J1184" i="1"/>
  <c r="M1185" i="1" s="1"/>
  <c r="L1185" i="1"/>
  <c r="G1187" i="1"/>
  <c r="H1186" i="1"/>
  <c r="I1186" i="1" s="1"/>
  <c r="K1186" i="1" s="1"/>
  <c r="N1185" i="1" l="1"/>
  <c r="J1185" i="1"/>
  <c r="M1186" i="1" s="1"/>
  <c r="L1186" i="1"/>
  <c r="G1188" i="1"/>
  <c r="H1187" i="1"/>
  <c r="I1187" i="1" s="1"/>
  <c r="K1187" i="1" s="1"/>
  <c r="N1186" i="1" l="1"/>
  <c r="J1186" i="1"/>
  <c r="M1187" i="1" s="1"/>
  <c r="L1187" i="1"/>
  <c r="G1189" i="1"/>
  <c r="H1188" i="1"/>
  <c r="I1188" i="1" s="1"/>
  <c r="K1188" i="1" s="1"/>
  <c r="N1187" i="1" l="1"/>
  <c r="J1187" i="1"/>
  <c r="M1188" i="1" s="1"/>
  <c r="L1188" i="1"/>
  <c r="G1190" i="1"/>
  <c r="H1189" i="1"/>
  <c r="I1189" i="1" s="1"/>
  <c r="K1189" i="1" s="1"/>
  <c r="N1188" i="1" l="1"/>
  <c r="J1188" i="1"/>
  <c r="M1189" i="1" s="1"/>
  <c r="L1189" i="1"/>
  <c r="G1191" i="1"/>
  <c r="H1190" i="1"/>
  <c r="I1190" i="1" s="1"/>
  <c r="K1190" i="1" s="1"/>
  <c r="N1189" i="1" l="1"/>
  <c r="J1189" i="1"/>
  <c r="M1190" i="1" s="1"/>
  <c r="L1190" i="1"/>
  <c r="G1192" i="1"/>
  <c r="H1191" i="1"/>
  <c r="I1191" i="1" s="1"/>
  <c r="K1191" i="1" s="1"/>
  <c r="N1190" i="1" l="1"/>
  <c r="J1190" i="1"/>
  <c r="M1191" i="1" s="1"/>
  <c r="L1191" i="1"/>
  <c r="G1193" i="1"/>
  <c r="H1192" i="1"/>
  <c r="I1192" i="1" s="1"/>
  <c r="K1192" i="1" s="1"/>
  <c r="N1191" i="1" l="1"/>
  <c r="J1191" i="1"/>
  <c r="M1192" i="1" s="1"/>
  <c r="L1192" i="1"/>
  <c r="G1194" i="1"/>
  <c r="H1193" i="1"/>
  <c r="I1193" i="1" s="1"/>
  <c r="K1193" i="1" s="1"/>
  <c r="N1192" i="1" l="1"/>
  <c r="J1192" i="1"/>
  <c r="M1193" i="1" s="1"/>
  <c r="L1193" i="1"/>
  <c r="G1195" i="1"/>
  <c r="H1194" i="1"/>
  <c r="I1194" i="1" s="1"/>
  <c r="K1194" i="1" s="1"/>
  <c r="N1193" i="1" l="1"/>
  <c r="J1193" i="1"/>
  <c r="M1194" i="1" s="1"/>
  <c r="L1194" i="1"/>
  <c r="G1196" i="1"/>
  <c r="H1195" i="1"/>
  <c r="I1195" i="1" s="1"/>
  <c r="K1195" i="1" s="1"/>
  <c r="N1194" i="1" l="1"/>
  <c r="J1194" i="1"/>
  <c r="M1195" i="1" s="1"/>
  <c r="L1195" i="1"/>
  <c r="G1197" i="1"/>
  <c r="H1196" i="1"/>
  <c r="I1196" i="1" s="1"/>
  <c r="K1196" i="1" s="1"/>
  <c r="N1195" i="1" l="1"/>
  <c r="J1195" i="1"/>
  <c r="M1196" i="1" s="1"/>
  <c r="L1196" i="1"/>
  <c r="G1198" i="1"/>
  <c r="H1197" i="1"/>
  <c r="I1197" i="1" s="1"/>
  <c r="K1197" i="1" s="1"/>
  <c r="N1196" i="1" l="1"/>
  <c r="J1196" i="1"/>
  <c r="M1197" i="1" s="1"/>
  <c r="L1197" i="1"/>
  <c r="G1199" i="1"/>
  <c r="H1198" i="1"/>
  <c r="I1198" i="1" s="1"/>
  <c r="K1198" i="1" s="1"/>
  <c r="N1197" i="1" l="1"/>
  <c r="J1197" i="1"/>
  <c r="M1198" i="1" s="1"/>
  <c r="L1198" i="1"/>
  <c r="G1200" i="1"/>
  <c r="H1199" i="1"/>
  <c r="I1199" i="1" s="1"/>
  <c r="K1199" i="1" s="1"/>
  <c r="N1198" i="1" l="1"/>
  <c r="J1198" i="1"/>
  <c r="M1199" i="1" s="1"/>
  <c r="L1199" i="1"/>
  <c r="G1201" i="1"/>
  <c r="H1200" i="1"/>
  <c r="I1200" i="1" s="1"/>
  <c r="K1200" i="1" s="1"/>
  <c r="N1199" i="1" l="1"/>
  <c r="J1199" i="1"/>
  <c r="M1200" i="1" s="1"/>
  <c r="L1200" i="1"/>
  <c r="G1202" i="1"/>
  <c r="H1201" i="1"/>
  <c r="I1201" i="1" s="1"/>
  <c r="K1201" i="1" s="1"/>
  <c r="N1200" i="1" l="1"/>
  <c r="J1200" i="1"/>
  <c r="M1201" i="1" s="1"/>
  <c r="L1201" i="1"/>
  <c r="G1203" i="1"/>
  <c r="H1202" i="1"/>
  <c r="I1202" i="1" s="1"/>
  <c r="K1202" i="1" s="1"/>
  <c r="N1201" i="1" l="1"/>
  <c r="J1201" i="1"/>
  <c r="M1202" i="1" s="1"/>
  <c r="L1202" i="1"/>
  <c r="G1204" i="1"/>
  <c r="H1203" i="1"/>
  <c r="I1203" i="1" s="1"/>
  <c r="K1203" i="1" s="1"/>
  <c r="N1202" i="1" l="1"/>
  <c r="J1202" i="1"/>
  <c r="M1203" i="1" s="1"/>
  <c r="L1203" i="1"/>
  <c r="G1205" i="1"/>
  <c r="H1204" i="1"/>
  <c r="I1204" i="1" s="1"/>
  <c r="K1204" i="1" s="1"/>
  <c r="N1203" i="1" l="1"/>
  <c r="J1203" i="1"/>
  <c r="M1204" i="1" s="1"/>
  <c r="L1204" i="1"/>
  <c r="G1206" i="1"/>
  <c r="H1205" i="1"/>
  <c r="I1205" i="1" s="1"/>
  <c r="K1205" i="1" s="1"/>
  <c r="N1204" i="1" l="1"/>
  <c r="J1204" i="1"/>
  <c r="M1205" i="1" s="1"/>
  <c r="L1205" i="1"/>
  <c r="G1207" i="1"/>
  <c r="H1206" i="1"/>
  <c r="I1206" i="1" s="1"/>
  <c r="K1206" i="1" s="1"/>
  <c r="N1205" i="1" l="1"/>
  <c r="J1205" i="1"/>
  <c r="M1206" i="1" s="1"/>
  <c r="L1206" i="1"/>
  <c r="G1208" i="1"/>
  <c r="H1207" i="1"/>
  <c r="I1207" i="1" s="1"/>
  <c r="K1207" i="1" s="1"/>
  <c r="N1206" i="1" l="1"/>
  <c r="J1206" i="1"/>
  <c r="M1207" i="1" s="1"/>
  <c r="L1207" i="1"/>
  <c r="G1209" i="1"/>
  <c r="H1208" i="1"/>
  <c r="I1208" i="1" s="1"/>
  <c r="K1208" i="1" s="1"/>
  <c r="N1207" i="1" l="1"/>
  <c r="J1207" i="1"/>
  <c r="M1208" i="1" s="1"/>
  <c r="L1208" i="1"/>
  <c r="G1210" i="1"/>
  <c r="H1209" i="1"/>
  <c r="I1209" i="1" s="1"/>
  <c r="K1209" i="1" s="1"/>
  <c r="N1208" i="1" l="1"/>
  <c r="J1208" i="1"/>
  <c r="M1209" i="1" s="1"/>
  <c r="L1209" i="1"/>
  <c r="G1211" i="1"/>
  <c r="H1210" i="1"/>
  <c r="I1210" i="1" s="1"/>
  <c r="K1210" i="1" s="1"/>
  <c r="N1209" i="1" l="1"/>
  <c r="J1209" i="1"/>
  <c r="M1210" i="1" s="1"/>
  <c r="L1210" i="1"/>
  <c r="G1212" i="1"/>
  <c r="H1211" i="1"/>
  <c r="I1211" i="1" s="1"/>
  <c r="K1211" i="1" s="1"/>
  <c r="N1210" i="1" l="1"/>
  <c r="J1210" i="1"/>
  <c r="M1211" i="1" s="1"/>
  <c r="L1211" i="1"/>
  <c r="G1213" i="1"/>
  <c r="H1212" i="1"/>
  <c r="I1212" i="1" s="1"/>
  <c r="K1212" i="1" s="1"/>
  <c r="N1211" i="1" l="1"/>
  <c r="J1211" i="1"/>
  <c r="M1212" i="1" s="1"/>
  <c r="L1212" i="1"/>
  <c r="G1214" i="1"/>
  <c r="H1213" i="1"/>
  <c r="I1213" i="1" s="1"/>
  <c r="K1213" i="1" s="1"/>
  <c r="N1212" i="1" l="1"/>
  <c r="J1212" i="1"/>
  <c r="M1213" i="1" s="1"/>
  <c r="L1213" i="1"/>
  <c r="G1215" i="1"/>
  <c r="H1214" i="1"/>
  <c r="I1214" i="1" s="1"/>
  <c r="K1214" i="1" s="1"/>
  <c r="N1213" i="1" l="1"/>
  <c r="J1213" i="1"/>
  <c r="M1214" i="1" s="1"/>
  <c r="L1214" i="1"/>
  <c r="G1216" i="1"/>
  <c r="H1215" i="1"/>
  <c r="I1215" i="1" s="1"/>
  <c r="K1215" i="1" s="1"/>
  <c r="N1214" i="1" l="1"/>
  <c r="J1214" i="1"/>
  <c r="M1215" i="1" s="1"/>
  <c r="L1215" i="1"/>
  <c r="G1217" i="1"/>
  <c r="H1216" i="1"/>
  <c r="I1216" i="1" s="1"/>
  <c r="K1216" i="1" s="1"/>
  <c r="N1215" i="1" l="1"/>
  <c r="J1215" i="1"/>
  <c r="M1216" i="1" s="1"/>
  <c r="L1216" i="1"/>
  <c r="G1218" i="1"/>
  <c r="H1217" i="1"/>
  <c r="I1217" i="1" s="1"/>
  <c r="K1217" i="1" s="1"/>
  <c r="N1216" i="1" l="1"/>
  <c r="J1216" i="1"/>
  <c r="M1217" i="1" s="1"/>
  <c r="L1217" i="1"/>
  <c r="G1219" i="1"/>
  <c r="H1218" i="1"/>
  <c r="I1218" i="1" s="1"/>
  <c r="K1218" i="1" s="1"/>
  <c r="N1217" i="1" l="1"/>
  <c r="J1217" i="1"/>
  <c r="M1218" i="1" s="1"/>
  <c r="L1218" i="1"/>
  <c r="G1220" i="1"/>
  <c r="H1219" i="1"/>
  <c r="I1219" i="1" s="1"/>
  <c r="K1219" i="1" s="1"/>
  <c r="N1218" i="1" l="1"/>
  <c r="J1218" i="1"/>
  <c r="M1219" i="1" s="1"/>
  <c r="L1219" i="1"/>
  <c r="G1221" i="1"/>
  <c r="H1220" i="1"/>
  <c r="I1220" i="1" s="1"/>
  <c r="K1220" i="1" s="1"/>
  <c r="N1219" i="1" l="1"/>
  <c r="J1219" i="1"/>
  <c r="M1220" i="1" s="1"/>
  <c r="L1220" i="1"/>
  <c r="G1222" i="1"/>
  <c r="H1221" i="1"/>
  <c r="I1221" i="1" s="1"/>
  <c r="K1221" i="1" s="1"/>
  <c r="N1220" i="1" l="1"/>
  <c r="J1220" i="1"/>
  <c r="M1221" i="1" s="1"/>
  <c r="L1221" i="1"/>
  <c r="G1223" i="1"/>
  <c r="H1222" i="1"/>
  <c r="I1222" i="1" s="1"/>
  <c r="K1222" i="1" s="1"/>
  <c r="N1221" i="1" l="1"/>
  <c r="J1221" i="1"/>
  <c r="M1222" i="1" s="1"/>
  <c r="L1222" i="1"/>
  <c r="G1224" i="1"/>
  <c r="H1223" i="1"/>
  <c r="I1223" i="1" s="1"/>
  <c r="K1223" i="1" s="1"/>
  <c r="N1222" i="1" l="1"/>
  <c r="J1222" i="1"/>
  <c r="M1223" i="1" s="1"/>
  <c r="L1223" i="1"/>
  <c r="G1225" i="1"/>
  <c r="H1224" i="1"/>
  <c r="I1224" i="1" s="1"/>
  <c r="K1224" i="1" s="1"/>
  <c r="N1223" i="1" l="1"/>
  <c r="J1223" i="1"/>
  <c r="M1224" i="1" s="1"/>
  <c r="L1224" i="1"/>
  <c r="G1226" i="1"/>
  <c r="H1225" i="1"/>
  <c r="I1225" i="1" s="1"/>
  <c r="K1225" i="1" s="1"/>
  <c r="N1224" i="1" l="1"/>
  <c r="J1224" i="1"/>
  <c r="M1225" i="1" s="1"/>
  <c r="L1225" i="1"/>
  <c r="G1227" i="1"/>
  <c r="H1226" i="1"/>
  <c r="I1226" i="1" s="1"/>
  <c r="K1226" i="1" s="1"/>
  <c r="N1225" i="1" l="1"/>
  <c r="J1225" i="1"/>
  <c r="M1226" i="1" s="1"/>
  <c r="L1226" i="1"/>
  <c r="G1228" i="1"/>
  <c r="H1227" i="1"/>
  <c r="I1227" i="1" s="1"/>
  <c r="K1227" i="1" s="1"/>
  <c r="N1226" i="1" l="1"/>
  <c r="J1226" i="1"/>
  <c r="M1227" i="1" s="1"/>
  <c r="L1227" i="1"/>
  <c r="G1229" i="1"/>
  <c r="H1228" i="1"/>
  <c r="I1228" i="1" s="1"/>
  <c r="K1228" i="1" s="1"/>
  <c r="N1227" i="1" l="1"/>
  <c r="J1227" i="1"/>
  <c r="M1228" i="1" s="1"/>
  <c r="L1228" i="1"/>
  <c r="G1230" i="1"/>
  <c r="H1229" i="1"/>
  <c r="I1229" i="1" s="1"/>
  <c r="K1229" i="1" s="1"/>
  <c r="N1228" i="1" l="1"/>
  <c r="J1228" i="1"/>
  <c r="M1229" i="1" s="1"/>
  <c r="L1229" i="1"/>
  <c r="G1231" i="1"/>
  <c r="H1230" i="1"/>
  <c r="I1230" i="1" s="1"/>
  <c r="K1230" i="1" s="1"/>
  <c r="N1229" i="1" l="1"/>
  <c r="J1229" i="1"/>
  <c r="M1230" i="1" s="1"/>
  <c r="L1230" i="1"/>
  <c r="G1232" i="1"/>
  <c r="H1231" i="1"/>
  <c r="I1231" i="1" s="1"/>
  <c r="K1231" i="1" s="1"/>
  <c r="N1230" i="1" l="1"/>
  <c r="J1230" i="1"/>
  <c r="M1231" i="1" s="1"/>
  <c r="L1231" i="1"/>
  <c r="G1233" i="1"/>
  <c r="H1232" i="1"/>
  <c r="I1232" i="1" s="1"/>
  <c r="K1232" i="1" s="1"/>
  <c r="N1231" i="1" l="1"/>
  <c r="J1231" i="1"/>
  <c r="M1232" i="1" s="1"/>
  <c r="L1232" i="1"/>
  <c r="G1234" i="1"/>
  <c r="H1233" i="1"/>
  <c r="I1233" i="1" s="1"/>
  <c r="K1233" i="1" s="1"/>
  <c r="N1232" i="1" l="1"/>
  <c r="J1232" i="1"/>
  <c r="M1233" i="1" s="1"/>
  <c r="L1233" i="1"/>
  <c r="G1235" i="1"/>
  <c r="H1234" i="1"/>
  <c r="I1234" i="1" s="1"/>
  <c r="K1234" i="1" s="1"/>
  <c r="N1233" i="1" l="1"/>
  <c r="J1233" i="1"/>
  <c r="M1234" i="1" s="1"/>
  <c r="L1234" i="1"/>
  <c r="G1236" i="1"/>
  <c r="H1235" i="1"/>
  <c r="I1235" i="1" s="1"/>
  <c r="K1235" i="1" s="1"/>
  <c r="N1234" i="1" l="1"/>
  <c r="J1234" i="1"/>
  <c r="M1235" i="1" s="1"/>
  <c r="L1235" i="1"/>
  <c r="G1237" i="1"/>
  <c r="H1236" i="1"/>
  <c r="I1236" i="1" s="1"/>
  <c r="K1236" i="1" s="1"/>
  <c r="N1235" i="1" l="1"/>
  <c r="J1235" i="1"/>
  <c r="M1236" i="1" s="1"/>
  <c r="L1236" i="1"/>
  <c r="G1238" i="1"/>
  <c r="H1237" i="1"/>
  <c r="I1237" i="1" s="1"/>
  <c r="K1237" i="1" s="1"/>
  <c r="N1236" i="1" l="1"/>
  <c r="J1236" i="1"/>
  <c r="M1237" i="1" s="1"/>
  <c r="L1237" i="1"/>
  <c r="G1239" i="1"/>
  <c r="H1238" i="1"/>
  <c r="I1238" i="1" s="1"/>
  <c r="K1238" i="1" s="1"/>
  <c r="N1237" i="1" l="1"/>
  <c r="J1237" i="1"/>
  <c r="M1238" i="1" s="1"/>
  <c r="L1238" i="1"/>
  <c r="G1240" i="1"/>
  <c r="H1239" i="1"/>
  <c r="I1239" i="1" s="1"/>
  <c r="K1239" i="1" s="1"/>
  <c r="N1238" i="1" l="1"/>
  <c r="J1238" i="1"/>
  <c r="M1239" i="1" s="1"/>
  <c r="L1239" i="1"/>
  <c r="G1241" i="1"/>
  <c r="H1240" i="1"/>
  <c r="I1240" i="1" s="1"/>
  <c r="K1240" i="1" s="1"/>
  <c r="N1239" i="1" l="1"/>
  <c r="J1239" i="1"/>
  <c r="M1240" i="1" s="1"/>
  <c r="L1240" i="1"/>
  <c r="G1242" i="1"/>
  <c r="H1241" i="1"/>
  <c r="I1241" i="1" s="1"/>
  <c r="K1241" i="1" s="1"/>
  <c r="N1240" i="1" l="1"/>
  <c r="J1240" i="1"/>
  <c r="M1241" i="1" s="1"/>
  <c r="L1241" i="1"/>
  <c r="G1243" i="1"/>
  <c r="H1242" i="1"/>
  <c r="I1242" i="1" s="1"/>
  <c r="K1242" i="1" s="1"/>
  <c r="N1241" i="1" l="1"/>
  <c r="J1241" i="1"/>
  <c r="M1242" i="1" s="1"/>
  <c r="L1242" i="1"/>
  <c r="G1244" i="1"/>
  <c r="H1243" i="1"/>
  <c r="I1243" i="1" s="1"/>
  <c r="K1243" i="1" s="1"/>
  <c r="N1242" i="1" l="1"/>
  <c r="J1242" i="1"/>
  <c r="M1243" i="1" s="1"/>
  <c r="L1243" i="1"/>
  <c r="G1245" i="1"/>
  <c r="H1244" i="1"/>
  <c r="I1244" i="1" s="1"/>
  <c r="K1244" i="1" s="1"/>
  <c r="J1243" i="1" l="1"/>
  <c r="M1244" i="1" s="1"/>
  <c r="N1243" i="1"/>
  <c r="L1244" i="1"/>
  <c r="G1246" i="1"/>
  <c r="H1245" i="1"/>
  <c r="I1245" i="1" s="1"/>
  <c r="K1245" i="1" s="1"/>
  <c r="N1244" i="1" l="1"/>
  <c r="J1244" i="1"/>
  <c r="M1245" i="1" s="1"/>
  <c r="L1245" i="1"/>
  <c r="G1247" i="1"/>
  <c r="H1246" i="1"/>
  <c r="I1246" i="1" s="1"/>
  <c r="K1246" i="1" s="1"/>
  <c r="N1245" i="1" l="1"/>
  <c r="J1245" i="1"/>
  <c r="M1246" i="1" s="1"/>
  <c r="L1246" i="1"/>
  <c r="G1248" i="1"/>
  <c r="H1247" i="1"/>
  <c r="I1247" i="1" s="1"/>
  <c r="K1247" i="1" s="1"/>
  <c r="N1246" i="1" l="1"/>
  <c r="J1246" i="1"/>
  <c r="M1247" i="1" s="1"/>
  <c r="L1247" i="1"/>
  <c r="G1249" i="1"/>
  <c r="H1248" i="1"/>
  <c r="I1248" i="1" s="1"/>
  <c r="K1248" i="1" s="1"/>
  <c r="N1247" i="1" l="1"/>
  <c r="J1247" i="1"/>
  <c r="M1248" i="1" s="1"/>
  <c r="L1248" i="1"/>
  <c r="G1250" i="1"/>
  <c r="H1249" i="1"/>
  <c r="I1249" i="1" s="1"/>
  <c r="K1249" i="1" s="1"/>
  <c r="N1248" i="1" l="1"/>
  <c r="J1248" i="1"/>
  <c r="M1249" i="1" s="1"/>
  <c r="L1249" i="1"/>
  <c r="G1251" i="1"/>
  <c r="H1250" i="1"/>
  <c r="I1250" i="1" s="1"/>
  <c r="K1250" i="1" s="1"/>
  <c r="N1249" i="1" l="1"/>
  <c r="J1249" i="1"/>
  <c r="M1250" i="1" s="1"/>
  <c r="L1250" i="1"/>
  <c r="G1252" i="1"/>
  <c r="H1251" i="1"/>
  <c r="I1251" i="1" s="1"/>
  <c r="K1251" i="1" s="1"/>
  <c r="N1250" i="1" l="1"/>
  <c r="J1250" i="1"/>
  <c r="M1251" i="1" s="1"/>
  <c r="L1251" i="1"/>
  <c r="G1253" i="1"/>
  <c r="H1252" i="1"/>
  <c r="I1252" i="1" s="1"/>
  <c r="K1252" i="1" s="1"/>
  <c r="N1251" i="1" l="1"/>
  <c r="J1251" i="1"/>
  <c r="M1252" i="1" s="1"/>
  <c r="L1252" i="1"/>
  <c r="G1254" i="1"/>
  <c r="H1253" i="1"/>
  <c r="I1253" i="1" s="1"/>
  <c r="K1253" i="1" s="1"/>
  <c r="N1252" i="1" l="1"/>
  <c r="J1252" i="1"/>
  <c r="M1253" i="1" s="1"/>
  <c r="L1253" i="1"/>
  <c r="G1255" i="1"/>
  <c r="H1254" i="1"/>
  <c r="I1254" i="1" s="1"/>
  <c r="K1254" i="1" s="1"/>
  <c r="N1253" i="1" l="1"/>
  <c r="J1253" i="1"/>
  <c r="M1254" i="1" s="1"/>
  <c r="L1254" i="1"/>
  <c r="G1256" i="1"/>
  <c r="H1255" i="1"/>
  <c r="I1255" i="1" s="1"/>
  <c r="K1255" i="1" s="1"/>
  <c r="N1254" i="1" l="1"/>
  <c r="J1254" i="1"/>
  <c r="M1255" i="1" s="1"/>
  <c r="L1255" i="1"/>
  <c r="G1257" i="1"/>
  <c r="H1256" i="1"/>
  <c r="I1256" i="1" s="1"/>
  <c r="K1256" i="1" s="1"/>
  <c r="N1255" i="1" l="1"/>
  <c r="J1255" i="1"/>
  <c r="M1256" i="1" s="1"/>
  <c r="L1256" i="1"/>
  <c r="G1258" i="1"/>
  <c r="H1257" i="1"/>
  <c r="I1257" i="1" s="1"/>
  <c r="K1257" i="1" s="1"/>
  <c r="N1256" i="1" l="1"/>
  <c r="J1256" i="1"/>
  <c r="M1257" i="1" s="1"/>
  <c r="L1257" i="1"/>
  <c r="G1259" i="1"/>
  <c r="H1258" i="1"/>
  <c r="I1258" i="1" s="1"/>
  <c r="K1258" i="1" s="1"/>
  <c r="N1257" i="1" l="1"/>
  <c r="J1257" i="1"/>
  <c r="M1258" i="1" s="1"/>
  <c r="L1258" i="1"/>
  <c r="G1260" i="1"/>
  <c r="H1259" i="1"/>
  <c r="I1259" i="1" s="1"/>
  <c r="K1259" i="1" s="1"/>
  <c r="N1258" i="1" l="1"/>
  <c r="J1258" i="1"/>
  <c r="M1259" i="1" s="1"/>
  <c r="L1259" i="1"/>
  <c r="G1261" i="1"/>
  <c r="H1261" i="1" s="1"/>
  <c r="H1260" i="1"/>
  <c r="I1260" i="1" s="1"/>
  <c r="K1260" i="1" s="1"/>
  <c r="N1259" i="1" l="1"/>
  <c r="J1259" i="1"/>
  <c r="M1260" i="1" s="1"/>
  <c r="L1260" i="1"/>
  <c r="I1261" i="1"/>
  <c r="K1261" i="1" s="1"/>
  <c r="N1260" i="1" l="1"/>
  <c r="J1260" i="1"/>
  <c r="L1261" i="1"/>
  <c r="M1261" i="1" l="1"/>
  <c r="Q22" i="1" s="1" a="1"/>
  <c r="Q22" i="1" s="1"/>
  <c r="N1261" i="1"/>
  <c r="R22" i="1" s="1" a="1"/>
  <c r="R22" i="1" s="1"/>
  <c r="J1261" i="1"/>
  <c r="G2" i="1" l="1"/>
  <c r="V19" i="1"/>
  <c r="S22" i="1"/>
  <c r="S23" i="1" s="1"/>
  <c r="S24" i="1" s="1"/>
  <c r="S25" i="1" s="1"/>
  <c r="S26" i="1" s="1"/>
  <c r="S27" i="1" s="1"/>
  <c r="S28" i="1" s="1"/>
  <c r="S29" i="1" s="1"/>
  <c r="S30" i="1" s="1"/>
  <c r="S31" i="1" s="1"/>
  <c r="S32" i="1" s="1"/>
  <c r="S33" i="1" s="1"/>
  <c r="S34" i="1" s="1"/>
  <c r="S35" i="1" s="1"/>
  <c r="S36" i="1" s="1"/>
  <c r="S37" i="1" s="1"/>
  <c r="T23" i="1" l="1" a="1"/>
  <c r="T23" i="1" s="1"/>
  <c r="T22" i="1" a="1"/>
  <c r="T22" i="1" s="1"/>
  <c r="T24" i="1" l="1" a="1"/>
  <c r="T24" i="1" s="1"/>
  <c r="T25" i="1" l="1" a="1"/>
  <c r="T25" i="1" s="1"/>
  <c r="T26" i="1" l="1" a="1"/>
  <c r="T26" i="1" s="1"/>
  <c r="T27" i="1" l="1" a="1"/>
  <c r="T27" i="1" s="1"/>
  <c r="T28" i="1" a="1"/>
  <c r="T28" i="1" s="1"/>
  <c r="T29" i="1" l="1" a="1"/>
  <c r="T29" i="1" s="1"/>
  <c r="T30" i="1" l="1" a="1"/>
  <c r="T30" i="1" s="1"/>
  <c r="T31" i="1" l="1" a="1"/>
  <c r="T31" i="1" s="1"/>
  <c r="T32" i="1" l="1" a="1"/>
  <c r="T32" i="1" s="1"/>
  <c r="T33" i="1" l="1" a="1"/>
  <c r="T33" i="1" s="1"/>
  <c r="T34" i="1" l="1" a="1"/>
  <c r="T34" i="1" s="1"/>
  <c r="T35" i="1" l="1" a="1"/>
  <c r="T35" i="1" s="1"/>
  <c r="T36" i="1" l="1" a="1"/>
  <c r="T36" i="1" s="1"/>
  <c r="T37" i="1" l="1" a="1"/>
  <c r="T37" i="1" s="1"/>
  <c r="S38" i="1" l="1"/>
  <c r="T38" i="1" s="1" a="1"/>
  <c r="T38" i="1" s="1"/>
  <c r="S39" i="1" l="1"/>
  <c r="T39" i="1" s="1" a="1"/>
  <c r="T39" i="1" s="1"/>
  <c r="S40" i="1" l="1"/>
  <c r="T40" i="1" s="1" a="1"/>
  <c r="T40" i="1" s="1"/>
  <c r="S41" i="1" l="1"/>
  <c r="T41" i="1" s="1" a="1"/>
  <c r="T41" i="1" s="1"/>
  <c r="S42" i="1" l="1"/>
  <c r="T42" i="1" s="1" a="1"/>
  <c r="T42" i="1" s="1"/>
  <c r="S43" i="1" l="1"/>
  <c r="T43" i="1" s="1" a="1"/>
  <c r="T43" i="1" s="1"/>
  <c r="S44" i="1" l="1"/>
  <c r="T44" i="1" s="1" a="1"/>
  <c r="T44" i="1" s="1"/>
  <c r="S45" i="1" l="1"/>
  <c r="T45" i="1" l="1" a="1"/>
  <c r="T45" i="1" s="1"/>
  <c r="S46" i="1"/>
  <c r="T46" i="1" s="1" a="1"/>
  <c r="T46" i="1" s="1"/>
  <c r="S47" i="1" l="1"/>
  <c r="T47" i="1" s="1" a="1"/>
  <c r="T47" i="1" s="1"/>
  <c r="S48" i="1" l="1"/>
  <c r="T48" i="1" s="1" a="1"/>
  <c r="T48" i="1" s="1"/>
  <c r="S49" i="1" l="1"/>
  <c r="T49" i="1" s="1" a="1"/>
  <c r="T49" i="1" s="1"/>
  <c r="S50" i="1" l="1"/>
  <c r="T50" i="1" s="1" a="1"/>
  <c r="T50" i="1" s="1"/>
  <c r="S51" i="1" l="1"/>
  <c r="T51" i="1" s="1" a="1"/>
  <c r="T51" i="1" s="1"/>
  <c r="S52" i="1" l="1"/>
  <c r="T52" i="1" s="1" a="1"/>
  <c r="T52" i="1" s="1"/>
  <c r="S53" i="1" l="1"/>
  <c r="T53" i="1" s="1" a="1"/>
  <c r="T53" i="1" s="1"/>
  <c r="S54" i="1" l="1"/>
  <c r="T54" i="1" s="1" a="1"/>
  <c r="T54" i="1" s="1"/>
  <c r="S55" i="1" l="1"/>
  <c r="T55" i="1" s="1" a="1"/>
  <c r="T55" i="1" s="1"/>
  <c r="S56" i="1" l="1"/>
  <c r="T56" i="1" s="1" a="1"/>
  <c r="T56" i="1" s="1"/>
  <c r="S57" i="1" l="1"/>
  <c r="T57" i="1" s="1" a="1"/>
  <c r="T57" i="1" s="1"/>
  <c r="S58" i="1" l="1"/>
  <c r="T58" i="1" s="1" a="1"/>
  <c r="T58" i="1" s="1"/>
  <c r="S59" i="1" l="1"/>
  <c r="T59" i="1" s="1" a="1"/>
  <c r="T59" i="1" s="1"/>
  <c r="S60" i="1" l="1"/>
  <c r="T60" i="1" s="1" a="1"/>
  <c r="T60" i="1" s="1"/>
  <c r="S61" i="1" l="1"/>
  <c r="T61" i="1" s="1" a="1"/>
  <c r="T61" i="1" s="1"/>
  <c r="S62" i="1" l="1"/>
  <c r="T62" i="1" s="1" a="1"/>
  <c r="T62" i="1" s="1"/>
  <c r="S63" i="1" l="1"/>
  <c r="T63" i="1" l="1" a="1"/>
  <c r="T63" i="1" s="1"/>
  <c r="G3" i="1"/>
  <c r="G4" i="1" l="1"/>
  <c r="V1"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254">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3"/>
        </ext>
      </extLst>
    </bk>
    <bk>
      <extLst>
        <ext uri="{3e2802c4-a4d2-4d8b-9148-e3be6c30e623}">
          <xlrd:rvb i="2214"/>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18"/>
        </ext>
      </extLst>
    </bk>
    <bk>
      <extLst>
        <ext uri="{3e2802c4-a4d2-4d8b-9148-e3be6c30e623}">
          <xlrd:rvb i="2219"/>
        </ext>
      </extLst>
    </bk>
    <bk>
      <extLst>
        <ext uri="{3e2802c4-a4d2-4d8b-9148-e3be6c30e623}">
          <xlrd:rvb i="2220"/>
        </ext>
      </extLst>
    </bk>
    <bk>
      <extLst>
        <ext uri="{3e2802c4-a4d2-4d8b-9148-e3be6c30e623}">
          <xlrd:rvb i="2221"/>
        </ext>
      </extLst>
    </bk>
    <bk>
      <extLst>
        <ext uri="{3e2802c4-a4d2-4d8b-9148-e3be6c30e623}">
          <xlrd:rvb i="2222"/>
        </ext>
      </extLst>
    </bk>
    <bk>
      <extLst>
        <ext uri="{3e2802c4-a4d2-4d8b-9148-e3be6c30e623}">
          <xlrd:rvb i="2223"/>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7"/>
        </ext>
      </extLst>
    </bk>
    <bk>
      <extLst>
        <ext uri="{3e2802c4-a4d2-4d8b-9148-e3be6c30e623}">
          <xlrd:rvb i="2228"/>
        </ext>
      </extLst>
    </bk>
    <bk>
      <extLst>
        <ext uri="{3e2802c4-a4d2-4d8b-9148-e3be6c30e623}">
          <xlrd:rvb i="2229"/>
        </ext>
      </extLst>
    </bk>
    <bk>
      <extLst>
        <ext uri="{3e2802c4-a4d2-4d8b-9148-e3be6c30e623}">
          <xlrd:rvb i="2230"/>
        </ext>
      </extLst>
    </bk>
    <bk>
      <extLst>
        <ext uri="{3e2802c4-a4d2-4d8b-9148-e3be6c30e623}">
          <xlrd:rvb i="2231"/>
        </ext>
      </extLst>
    </bk>
    <bk>
      <extLst>
        <ext uri="{3e2802c4-a4d2-4d8b-9148-e3be6c30e623}">
          <xlrd:rvb i="2232"/>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6"/>
        </ext>
      </extLst>
    </bk>
    <bk>
      <extLst>
        <ext uri="{3e2802c4-a4d2-4d8b-9148-e3be6c30e623}">
          <xlrd:rvb i="2237"/>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1"/>
        </ext>
      </extLst>
    </bk>
    <bk>
      <extLst>
        <ext uri="{3e2802c4-a4d2-4d8b-9148-e3be6c30e623}">
          <xlrd:rvb i="2242"/>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6"/>
        </ext>
      </extLst>
    </bk>
    <bk>
      <extLst>
        <ext uri="{3e2802c4-a4d2-4d8b-9148-e3be6c30e623}">
          <xlrd:rvb i="2247"/>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1"/>
        </ext>
      </extLst>
    </bk>
    <bk>
      <extLst>
        <ext uri="{3e2802c4-a4d2-4d8b-9148-e3be6c30e623}">
          <xlrd:rvb i="2252"/>
        </ext>
      </extLst>
    </bk>
    <bk>
      <extLst>
        <ext uri="{3e2802c4-a4d2-4d8b-9148-e3be6c30e623}">
          <xlrd:rvb i="2253"/>
        </ext>
      </extLst>
    </bk>
    <bk>
      <extLst>
        <ext uri="{3e2802c4-a4d2-4d8b-9148-e3be6c30e623}">
          <xlrd:rvb i="2254"/>
        </ext>
      </extLst>
    </bk>
    <bk>
      <extLst>
        <ext uri="{3e2802c4-a4d2-4d8b-9148-e3be6c30e623}">
          <xlrd:rvb i="2255"/>
        </ext>
      </extLst>
    </bk>
  </futureMetadata>
  <cellMetadata count="1">
    <bk>
      <rc t="1" v="0"/>
    </bk>
  </cellMetadata>
  <valueMetadata count="225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bk>
      <rc t="2" v="1923"/>
    </bk>
    <bk>
      <rc t="2" v="1924"/>
    </bk>
    <bk>
      <rc t="2" v="1925"/>
    </bk>
    <bk>
      <rc t="2" v="1926"/>
    </bk>
    <bk>
      <rc t="2" v="1927"/>
    </bk>
    <bk>
      <rc t="2" v="1928"/>
    </bk>
    <bk>
      <rc t="2" v="1929"/>
    </bk>
    <bk>
      <rc t="2" v="1930"/>
    </bk>
    <bk>
      <rc t="2" v="1931"/>
    </bk>
    <bk>
      <rc t="2" v="1932"/>
    </bk>
    <bk>
      <rc t="2" v="1933"/>
    </bk>
    <bk>
      <rc t="2" v="1934"/>
    </bk>
    <bk>
      <rc t="2" v="1935"/>
    </bk>
    <bk>
      <rc t="2" v="1936"/>
    </bk>
    <bk>
      <rc t="2" v="1937"/>
    </bk>
    <bk>
      <rc t="2" v="1938"/>
    </bk>
    <bk>
      <rc t="2" v="1939"/>
    </bk>
    <bk>
      <rc t="2" v="1940"/>
    </bk>
    <bk>
      <rc t="2" v="1941"/>
    </bk>
    <bk>
      <rc t="2" v="1942"/>
    </bk>
    <bk>
      <rc t="2" v="1943"/>
    </bk>
    <bk>
      <rc t="2" v="1944"/>
    </bk>
    <bk>
      <rc t="2" v="1945"/>
    </bk>
    <bk>
      <rc t="2" v="1946"/>
    </bk>
    <bk>
      <rc t="2" v="1947"/>
    </bk>
    <bk>
      <rc t="2" v="1948"/>
    </bk>
    <bk>
      <rc t="2" v="1949"/>
    </bk>
    <bk>
      <rc t="2" v="1950"/>
    </bk>
    <bk>
      <rc t="2" v="1951"/>
    </bk>
    <bk>
      <rc t="2" v="1952"/>
    </bk>
    <bk>
      <rc t="2" v="1953"/>
    </bk>
    <bk>
      <rc t="2" v="1954"/>
    </bk>
    <bk>
      <rc t="2" v="1955"/>
    </bk>
    <bk>
      <rc t="2" v="1956"/>
    </bk>
    <bk>
      <rc t="2" v="1957"/>
    </bk>
    <bk>
      <rc t="2" v="1958"/>
    </bk>
    <bk>
      <rc t="2" v="1959"/>
    </bk>
    <bk>
      <rc t="2" v="1960"/>
    </bk>
    <bk>
      <rc t="2" v="1961"/>
    </bk>
    <bk>
      <rc t="2" v="1962"/>
    </bk>
    <bk>
      <rc t="2" v="1963"/>
    </bk>
    <bk>
      <rc t="2" v="1964"/>
    </bk>
    <bk>
      <rc t="2" v="1965"/>
    </bk>
    <bk>
      <rc t="2" v="1966"/>
    </bk>
    <bk>
      <rc t="2" v="1967"/>
    </bk>
    <bk>
      <rc t="2" v="1968"/>
    </bk>
    <bk>
      <rc t="2" v="1969"/>
    </bk>
    <bk>
      <rc t="2" v="1970"/>
    </bk>
    <bk>
      <rc t="2" v="1971"/>
    </bk>
    <bk>
      <rc t="2" v="1972"/>
    </bk>
    <bk>
      <rc t="2" v="1973"/>
    </bk>
    <bk>
      <rc t="2" v="1974"/>
    </bk>
    <bk>
      <rc t="2" v="1975"/>
    </bk>
    <bk>
      <rc t="2" v="1976"/>
    </bk>
    <bk>
      <rc t="2" v="1977"/>
    </bk>
    <bk>
      <rc t="2" v="1978"/>
    </bk>
    <bk>
      <rc t="2" v="1979"/>
    </bk>
    <bk>
      <rc t="2" v="1980"/>
    </bk>
    <bk>
      <rc t="2" v="1981"/>
    </bk>
    <bk>
      <rc t="2" v="1982"/>
    </bk>
    <bk>
      <rc t="2" v="1983"/>
    </bk>
    <bk>
      <rc t="2" v="1984"/>
    </bk>
    <bk>
      <rc t="2" v="1985"/>
    </bk>
    <bk>
      <rc t="2" v="1986"/>
    </bk>
    <bk>
      <rc t="2" v="1987"/>
    </bk>
    <bk>
      <rc t="2" v="1988"/>
    </bk>
    <bk>
      <rc t="2" v="1989"/>
    </bk>
    <bk>
      <rc t="2" v="1990"/>
    </bk>
    <bk>
      <rc t="2" v="1991"/>
    </bk>
    <bk>
      <rc t="2" v="1992"/>
    </bk>
    <bk>
      <rc t="2" v="1993"/>
    </bk>
    <bk>
      <rc t="2" v="1994"/>
    </bk>
    <bk>
      <rc t="2" v="1995"/>
    </bk>
    <bk>
      <rc t="2" v="1996"/>
    </bk>
    <bk>
      <rc t="2" v="1997"/>
    </bk>
    <bk>
      <rc t="2" v="1998"/>
    </bk>
    <bk>
      <rc t="2" v="1999"/>
    </bk>
    <bk>
      <rc t="2" v="2000"/>
    </bk>
    <bk>
      <rc t="2" v="2001"/>
    </bk>
    <bk>
      <rc t="2" v="2002"/>
    </bk>
    <bk>
      <rc t="2" v="2003"/>
    </bk>
    <bk>
      <rc t="2" v="2004"/>
    </bk>
    <bk>
      <rc t="2" v="2005"/>
    </bk>
    <bk>
      <rc t="2" v="2006"/>
    </bk>
    <bk>
      <rc t="2" v="2007"/>
    </bk>
    <bk>
      <rc t="2" v="2008"/>
    </bk>
    <bk>
      <rc t="2" v="2009"/>
    </bk>
    <bk>
      <rc t="2" v="2010"/>
    </bk>
    <bk>
      <rc t="2" v="2011"/>
    </bk>
    <bk>
      <rc t="2" v="2012"/>
    </bk>
    <bk>
      <rc t="2" v="2013"/>
    </bk>
    <bk>
      <rc t="2" v="2014"/>
    </bk>
    <bk>
      <rc t="2" v="2015"/>
    </bk>
    <bk>
      <rc t="2" v="2016"/>
    </bk>
    <bk>
      <rc t="2" v="2017"/>
    </bk>
    <bk>
      <rc t="2" v="2018"/>
    </bk>
    <bk>
      <rc t="2" v="2019"/>
    </bk>
    <bk>
      <rc t="2" v="2020"/>
    </bk>
    <bk>
      <rc t="2" v="2021"/>
    </bk>
    <bk>
      <rc t="2" v="2022"/>
    </bk>
    <bk>
      <rc t="2" v="2023"/>
    </bk>
    <bk>
      <rc t="2" v="2024"/>
    </bk>
    <bk>
      <rc t="2" v="2025"/>
    </bk>
    <bk>
      <rc t="2" v="2026"/>
    </bk>
    <bk>
      <rc t="2" v="2027"/>
    </bk>
    <bk>
      <rc t="2" v="2028"/>
    </bk>
    <bk>
      <rc t="2" v="2029"/>
    </bk>
    <bk>
      <rc t="2" v="2030"/>
    </bk>
    <bk>
      <rc t="2" v="2031"/>
    </bk>
    <bk>
      <rc t="2" v="2032"/>
    </bk>
    <bk>
      <rc t="2" v="2033"/>
    </bk>
    <bk>
      <rc t="2" v="2034"/>
    </bk>
    <bk>
      <rc t="2" v="2035"/>
    </bk>
    <bk>
      <rc t="2" v="2036"/>
    </bk>
    <bk>
      <rc t="2" v="2037"/>
    </bk>
    <bk>
      <rc t="2" v="2038"/>
    </bk>
    <bk>
      <rc t="2" v="2039"/>
    </bk>
    <bk>
      <rc t="2" v="2040"/>
    </bk>
    <bk>
      <rc t="2" v="2041"/>
    </bk>
    <bk>
      <rc t="2" v="2042"/>
    </bk>
    <bk>
      <rc t="2" v="2043"/>
    </bk>
    <bk>
      <rc t="2" v="2044"/>
    </bk>
    <bk>
      <rc t="2" v="2045"/>
    </bk>
    <bk>
      <rc t="2" v="2046"/>
    </bk>
    <bk>
      <rc t="2" v="2047"/>
    </bk>
    <bk>
      <rc t="2" v="2048"/>
    </bk>
    <bk>
      <rc t="2" v="2049"/>
    </bk>
    <bk>
      <rc t="2" v="2050"/>
    </bk>
    <bk>
      <rc t="2" v="2051"/>
    </bk>
    <bk>
      <rc t="2" v="2052"/>
    </bk>
    <bk>
      <rc t="2" v="2053"/>
    </bk>
    <bk>
      <rc t="2" v="2054"/>
    </bk>
    <bk>
      <rc t="2" v="2055"/>
    </bk>
    <bk>
      <rc t="2" v="2056"/>
    </bk>
    <bk>
      <rc t="2" v="2057"/>
    </bk>
    <bk>
      <rc t="2" v="2058"/>
    </bk>
    <bk>
      <rc t="2" v="2059"/>
    </bk>
    <bk>
      <rc t="2" v="2060"/>
    </bk>
    <bk>
      <rc t="2" v="2061"/>
    </bk>
    <bk>
      <rc t="2" v="2062"/>
    </bk>
    <bk>
      <rc t="2" v="2063"/>
    </bk>
    <bk>
      <rc t="2" v="2064"/>
    </bk>
    <bk>
      <rc t="2" v="2065"/>
    </bk>
    <bk>
      <rc t="2" v="2066"/>
    </bk>
    <bk>
      <rc t="2" v="2067"/>
    </bk>
    <bk>
      <rc t="2" v="2068"/>
    </bk>
    <bk>
      <rc t="2" v="2069"/>
    </bk>
    <bk>
      <rc t="2" v="2070"/>
    </bk>
    <bk>
      <rc t="2" v="2071"/>
    </bk>
    <bk>
      <rc t="2" v="2072"/>
    </bk>
    <bk>
      <rc t="2" v="2073"/>
    </bk>
    <bk>
      <rc t="2" v="2074"/>
    </bk>
    <bk>
      <rc t="2" v="2075"/>
    </bk>
    <bk>
      <rc t="2" v="2076"/>
    </bk>
    <bk>
      <rc t="2" v="2077"/>
    </bk>
    <bk>
      <rc t="2" v="2078"/>
    </bk>
    <bk>
      <rc t="2" v="2079"/>
    </bk>
    <bk>
      <rc t="2" v="2080"/>
    </bk>
    <bk>
      <rc t="2" v="2081"/>
    </bk>
    <bk>
      <rc t="2" v="2082"/>
    </bk>
    <bk>
      <rc t="2" v="2083"/>
    </bk>
    <bk>
      <rc t="2" v="2084"/>
    </bk>
    <bk>
      <rc t="2" v="2085"/>
    </bk>
    <bk>
      <rc t="2" v="2086"/>
    </bk>
    <bk>
      <rc t="2" v="2087"/>
    </bk>
    <bk>
      <rc t="2" v="2088"/>
    </bk>
    <bk>
      <rc t="2" v="2089"/>
    </bk>
    <bk>
      <rc t="2" v="2090"/>
    </bk>
    <bk>
      <rc t="2" v="2091"/>
    </bk>
    <bk>
      <rc t="2" v="2092"/>
    </bk>
    <bk>
      <rc t="2" v="2093"/>
    </bk>
    <bk>
      <rc t="2" v="2094"/>
    </bk>
    <bk>
      <rc t="2" v="2095"/>
    </bk>
    <bk>
      <rc t="2" v="2096"/>
    </bk>
    <bk>
      <rc t="2" v="2097"/>
    </bk>
    <bk>
      <rc t="2" v="2098"/>
    </bk>
    <bk>
      <rc t="2" v="2099"/>
    </bk>
    <bk>
      <rc t="2" v="2100"/>
    </bk>
    <bk>
      <rc t="2" v="2101"/>
    </bk>
    <bk>
      <rc t="2" v="2102"/>
    </bk>
    <bk>
      <rc t="2" v="2103"/>
    </bk>
    <bk>
      <rc t="2" v="2104"/>
    </bk>
    <bk>
      <rc t="2" v="2105"/>
    </bk>
    <bk>
      <rc t="2" v="2106"/>
    </bk>
    <bk>
      <rc t="2" v="2107"/>
    </bk>
    <bk>
      <rc t="2" v="2108"/>
    </bk>
    <bk>
      <rc t="2" v="2109"/>
    </bk>
    <bk>
      <rc t="2" v="2110"/>
    </bk>
    <bk>
      <rc t="2" v="2111"/>
    </bk>
    <bk>
      <rc t="2" v="2112"/>
    </bk>
    <bk>
      <rc t="2" v="2113"/>
    </bk>
    <bk>
      <rc t="2" v="2114"/>
    </bk>
    <bk>
      <rc t="2" v="2115"/>
    </bk>
    <bk>
      <rc t="2" v="2116"/>
    </bk>
    <bk>
      <rc t="2" v="2117"/>
    </bk>
    <bk>
      <rc t="2" v="2118"/>
    </bk>
    <bk>
      <rc t="2" v="2119"/>
    </bk>
    <bk>
      <rc t="2" v="2120"/>
    </bk>
    <bk>
      <rc t="2" v="2121"/>
    </bk>
    <bk>
      <rc t="2" v="2122"/>
    </bk>
    <bk>
      <rc t="2" v="2123"/>
    </bk>
    <bk>
      <rc t="2" v="2124"/>
    </bk>
    <bk>
      <rc t="2" v="2125"/>
    </bk>
    <bk>
      <rc t="2" v="2126"/>
    </bk>
    <bk>
      <rc t="2" v="2127"/>
    </bk>
    <bk>
      <rc t="2" v="2128"/>
    </bk>
    <bk>
      <rc t="2" v="2129"/>
    </bk>
    <bk>
      <rc t="2" v="2130"/>
    </bk>
    <bk>
      <rc t="2" v="2131"/>
    </bk>
    <bk>
      <rc t="2" v="2132"/>
    </bk>
    <bk>
      <rc t="2" v="2133"/>
    </bk>
    <bk>
      <rc t="2" v="2134"/>
    </bk>
    <bk>
      <rc t="2" v="2135"/>
    </bk>
    <bk>
      <rc t="2" v="2136"/>
    </bk>
    <bk>
      <rc t="2" v="2137"/>
    </bk>
    <bk>
      <rc t="2" v="2138"/>
    </bk>
    <bk>
      <rc t="2" v="2139"/>
    </bk>
    <bk>
      <rc t="2" v="2140"/>
    </bk>
    <bk>
      <rc t="2" v="2141"/>
    </bk>
    <bk>
      <rc t="2" v="2142"/>
    </bk>
    <bk>
      <rc t="2" v="2143"/>
    </bk>
    <bk>
      <rc t="2" v="2144"/>
    </bk>
    <bk>
      <rc t="2" v="2145"/>
    </bk>
    <bk>
      <rc t="2" v="2146"/>
    </bk>
    <bk>
      <rc t="2" v="2147"/>
    </bk>
    <bk>
      <rc t="2" v="2148"/>
    </bk>
    <bk>
      <rc t="2" v="2149"/>
    </bk>
    <bk>
      <rc t="2" v="2150"/>
    </bk>
    <bk>
      <rc t="2" v="2151"/>
    </bk>
    <bk>
      <rc t="2" v="2152"/>
    </bk>
    <bk>
      <rc t="2" v="2153"/>
    </bk>
    <bk>
      <rc t="2" v="2154"/>
    </bk>
    <bk>
      <rc t="2" v="2155"/>
    </bk>
    <bk>
      <rc t="2" v="2156"/>
    </bk>
    <bk>
      <rc t="2" v="2157"/>
    </bk>
    <bk>
      <rc t="2" v="2158"/>
    </bk>
    <bk>
      <rc t="2" v="2159"/>
    </bk>
    <bk>
      <rc t="2" v="2160"/>
    </bk>
    <bk>
      <rc t="2" v="2161"/>
    </bk>
    <bk>
      <rc t="2" v="2162"/>
    </bk>
    <bk>
      <rc t="2" v="2163"/>
    </bk>
    <bk>
      <rc t="2" v="2164"/>
    </bk>
    <bk>
      <rc t="2" v="2165"/>
    </bk>
    <bk>
      <rc t="2" v="2166"/>
    </bk>
    <bk>
      <rc t="2" v="2167"/>
    </bk>
    <bk>
      <rc t="2" v="2168"/>
    </bk>
    <bk>
      <rc t="2" v="2169"/>
    </bk>
    <bk>
      <rc t="2" v="2170"/>
    </bk>
    <bk>
      <rc t="2" v="2171"/>
    </bk>
    <bk>
      <rc t="2" v="2172"/>
    </bk>
    <bk>
      <rc t="2" v="2173"/>
    </bk>
    <bk>
      <rc t="2" v="2174"/>
    </bk>
    <bk>
      <rc t="2" v="2175"/>
    </bk>
    <bk>
      <rc t="2" v="2176"/>
    </bk>
    <bk>
      <rc t="2" v="2177"/>
    </bk>
    <bk>
      <rc t="2" v="2178"/>
    </bk>
    <bk>
      <rc t="2" v="2179"/>
    </bk>
    <bk>
      <rc t="2" v="2180"/>
    </bk>
    <bk>
      <rc t="2" v="2181"/>
    </bk>
    <bk>
      <rc t="2" v="2182"/>
    </bk>
    <bk>
      <rc t="2" v="2183"/>
    </bk>
    <bk>
      <rc t="2" v="2184"/>
    </bk>
    <bk>
      <rc t="2" v="2185"/>
    </bk>
    <bk>
      <rc t="2" v="2186"/>
    </bk>
    <bk>
      <rc t="2" v="2187"/>
    </bk>
    <bk>
      <rc t="2" v="2188"/>
    </bk>
    <bk>
      <rc t="2" v="2189"/>
    </bk>
    <bk>
      <rc t="2" v="2190"/>
    </bk>
    <bk>
      <rc t="2" v="2191"/>
    </bk>
    <bk>
      <rc t="2" v="2192"/>
    </bk>
    <bk>
      <rc t="2" v="2193"/>
    </bk>
    <bk>
      <rc t="2" v="2194"/>
    </bk>
    <bk>
      <rc t="2" v="2195"/>
    </bk>
    <bk>
      <rc t="2" v="2196"/>
    </bk>
    <bk>
      <rc t="2" v="2197"/>
    </bk>
    <bk>
      <rc t="2" v="2198"/>
    </bk>
    <bk>
      <rc t="2" v="2199"/>
    </bk>
    <bk>
      <rc t="2" v="2200"/>
    </bk>
    <bk>
      <rc t="2" v="2201"/>
    </bk>
    <bk>
      <rc t="2" v="2202"/>
    </bk>
    <bk>
      <rc t="2" v="2203"/>
    </bk>
    <bk>
      <rc t="2" v="2204"/>
    </bk>
    <bk>
      <rc t="2" v="2205"/>
    </bk>
    <bk>
      <rc t="2" v="2206"/>
    </bk>
    <bk>
      <rc t="2" v="2207"/>
    </bk>
    <bk>
      <rc t="2" v="2208"/>
    </bk>
    <bk>
      <rc t="2" v="2209"/>
    </bk>
    <bk>
      <rc t="2" v="2210"/>
    </bk>
    <bk>
      <rc t="2" v="2211"/>
    </bk>
    <bk>
      <rc t="2" v="2212"/>
    </bk>
    <bk>
      <rc t="2" v="2213"/>
    </bk>
    <bk>
      <rc t="2" v="2214"/>
    </bk>
    <bk>
      <rc t="2" v="2215"/>
    </bk>
    <bk>
      <rc t="2" v="2216"/>
    </bk>
    <bk>
      <rc t="2" v="2217"/>
    </bk>
    <bk>
      <rc t="2" v="2218"/>
    </bk>
    <bk>
      <rc t="2" v="2219"/>
    </bk>
    <bk>
      <rc t="2" v="2220"/>
    </bk>
    <bk>
      <rc t="2" v="2221"/>
    </bk>
    <bk>
      <rc t="2" v="2222"/>
    </bk>
    <bk>
      <rc t="2" v="2223"/>
    </bk>
    <bk>
      <rc t="2" v="2224"/>
    </bk>
    <bk>
      <rc t="2" v="2225"/>
    </bk>
    <bk>
      <rc t="2" v="2226"/>
    </bk>
    <bk>
      <rc t="2" v="2227"/>
    </bk>
    <bk>
      <rc t="2" v="2228"/>
    </bk>
    <bk>
      <rc t="2" v="2229"/>
    </bk>
    <bk>
      <rc t="2" v="2230"/>
    </bk>
    <bk>
      <rc t="2" v="2231"/>
    </bk>
    <bk>
      <rc t="2" v="2232"/>
    </bk>
    <bk>
      <rc t="2" v="2233"/>
    </bk>
    <bk>
      <rc t="2" v="2234"/>
    </bk>
    <bk>
      <rc t="2" v="2235"/>
    </bk>
    <bk>
      <rc t="2" v="2236"/>
    </bk>
    <bk>
      <rc t="2" v="2237"/>
    </bk>
    <bk>
      <rc t="2" v="2238"/>
    </bk>
    <bk>
      <rc t="2" v="2239"/>
    </bk>
    <bk>
      <rc t="2" v="2240"/>
    </bk>
    <bk>
      <rc t="2" v="2241"/>
    </bk>
    <bk>
      <rc t="2" v="2242"/>
    </bk>
    <bk>
      <rc t="2" v="2243"/>
    </bk>
    <bk>
      <rc t="2" v="2244"/>
    </bk>
    <bk>
      <rc t="2" v="2245"/>
    </bk>
    <bk>
      <rc t="2" v="2246"/>
    </bk>
    <bk>
      <rc t="2" v="2247"/>
    </bk>
    <bk>
      <rc t="2" v="2248"/>
    </bk>
    <bk>
      <rc t="2" v="2249"/>
    </bk>
    <bk>
      <rc t="2" v="2250"/>
    </bk>
    <bk>
      <rc t="2" v="2251"/>
    </bk>
    <bk>
      <rc t="2" v="2252"/>
    </bk>
    <bk>
      <rc t="2" v="2253"/>
    </bk>
  </valueMetadata>
</metadata>
</file>

<file path=xl/sharedStrings.xml><?xml version="1.0" encoding="utf-8"?>
<sst xmlns="http://schemas.openxmlformats.org/spreadsheetml/2006/main" count="22" uniqueCount="21">
  <si>
    <t>Stock</t>
  </si>
  <si>
    <t>Start</t>
  </si>
  <si>
    <t>End</t>
  </si>
  <si>
    <t>RSI Zone</t>
  </si>
  <si>
    <t>Buy signal</t>
  </si>
  <si>
    <t>Exit signal</t>
  </si>
  <si>
    <t>Buy Price</t>
  </si>
  <si>
    <t>Exit Price</t>
  </si>
  <si>
    <t>In trade</t>
  </si>
  <si>
    <t>Risk $</t>
  </si>
  <si>
    <t>Trades #</t>
  </si>
  <si>
    <t>Ending Balance</t>
  </si>
  <si>
    <t>Orders List</t>
  </si>
  <si>
    <t>Sell $</t>
  </si>
  <si>
    <t>Buy $</t>
  </si>
  <si>
    <t>Rolling Balance</t>
  </si>
  <si>
    <t>Difference</t>
  </si>
  <si>
    <t>na</t>
  </si>
  <si>
    <t># Trades</t>
  </si>
  <si>
    <t>Avg # Trades</t>
  </si>
  <si>
    <t>Tolerance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</si>
</sst>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color theme="1"/>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4">
    <xf numFmtId="0" fontId="0" fillId="0" borderId="0" xfId="0"/>
    <xf numFmtId="14" fontId="0" fillId="0" borderId="0" xfId="0" applyNumberFormat="1"/>
    <xf numFmtId="0" fontId="0" fillId="0" borderId="1" xfId="0"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Array" Target="richData/rdarray.xml"/><Relationship Id="rId13" Type="http://schemas.openxmlformats.org/officeDocument/2006/relationships/calcChain" Target="calcChain.xml"/><Relationship Id="rId3" Type="http://schemas.openxmlformats.org/officeDocument/2006/relationships/styles" Target="styles.xml"/><Relationship Id="rId7" Type="http://schemas.microsoft.com/office/2017/06/relationships/rdRichValueStructure" Target="richData/rdrichvaluestructure.xml"/><Relationship Id="rId12" Type="http://schemas.microsoft.com/office/2017/06/relationships/rdRichValueTypes" Target="richData/rdRichValueTyp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SupportingPropertyBag" Target="richData/rdsupportingpropertybag.xml"/><Relationship Id="rId5" Type="http://schemas.openxmlformats.org/officeDocument/2006/relationships/sheetMetadata" Target="metadata.xml"/><Relationship Id="rId10" Type="http://schemas.microsoft.com/office/2017/06/relationships/rdSupportingPropertyBagStructure" Target="richData/rdsupportingpropertybagstructure.xml"/><Relationship Id="rId4" Type="http://schemas.openxmlformats.org/officeDocument/2006/relationships/sharedStrings" Target="sharedStrings.xml"/><Relationship Id="rId9" Type="http://schemas.microsoft.com/office/2017/06/relationships/richStyles" Target="richData/richStyles.xml"/></Relationships>
</file>

<file path=xl/drawings/drawing1.xml><?xml version="1.0" encoding="utf-8"?>
<xdr:wsDr xmlns:xdr="http://schemas.openxmlformats.org/drawingml/2006/spreadsheetDrawing" xmlns:a="http://schemas.openxmlformats.org/drawingml/2006/main">
  <xdr:twoCellAnchor>
    <xdr:from>
      <xdr:col>5</xdr:col>
      <xdr:colOff>346363</xdr:colOff>
      <xdr:row>5</xdr:row>
      <xdr:rowOff>141111</xdr:rowOff>
    </xdr:from>
    <xdr:to>
      <xdr:col>8</xdr:col>
      <xdr:colOff>793750</xdr:colOff>
      <xdr:row>15</xdr:row>
      <xdr:rowOff>84667</xdr:rowOff>
    </xdr:to>
    <xdr:sp macro="" textlink="">
      <xdr:nvSpPr>
        <xdr:cNvPr id="2" name="TextBox 1">
          <a:extLst>
            <a:ext uri="{FF2B5EF4-FFF2-40B4-BE49-F238E27FC236}">
              <a16:creationId xmlns:a16="http://schemas.microsoft.com/office/drawing/2014/main" id="{DCBA4822-34A4-FF72-51AB-83F2879C2C84}"/>
            </a:ext>
          </a:extLst>
        </xdr:cNvPr>
        <xdr:cNvSpPr txBox="1"/>
      </xdr:nvSpPr>
      <xdr:spPr>
        <a:xfrm>
          <a:off x="4473863" y="1146528"/>
          <a:ext cx="3061470" cy="19543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Insert Stcok</a:t>
          </a:r>
          <a:r>
            <a:rPr lang="en-US" sz="1100" baseline="0"/>
            <a:t> ticker</a:t>
          </a:r>
        </a:p>
        <a:p>
          <a:r>
            <a:rPr lang="en-US" sz="1100" baseline="0"/>
            <a:t>Then refresh page to load Heat map</a:t>
          </a:r>
        </a:p>
        <a:p>
          <a:endParaRPr lang="en-US" sz="1100" baseline="0"/>
        </a:p>
        <a:p>
          <a:r>
            <a:rPr lang="en-US" sz="1100" baseline="0"/>
            <a:t>This is using a 14 day RSI</a:t>
          </a:r>
        </a:p>
        <a:p>
          <a:r>
            <a:rPr lang="en-US" sz="1100" baseline="0"/>
            <a:t>Taking a long position with no stop loss or leverage</a:t>
          </a:r>
        </a:p>
        <a:p>
          <a:r>
            <a:rPr lang="en-US" sz="1100" baseline="0"/>
            <a:t>Shows the outcome over 5y on heatmap depending on RSI zone</a:t>
          </a:r>
        </a:p>
        <a:p>
          <a:r>
            <a:rPr lang="en-US" sz="1100" baseline="0"/>
            <a:t>Bottom heat map smooths out heat map to reward a higher number of trades with a good relative return as well</a:t>
          </a:r>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2">
  <a r="1" c="1256">
    <v t="i">0</v>
    <v t="i">1</v>
    <v t="i">2</v>
    <v t="i">3</v>
    <v t="i">6</v>
    <v t="i">7</v>
    <v t="i">8</v>
    <v t="i">9</v>
    <v t="i">10</v>
    <v t="i">13</v>
    <v t="i">14</v>
    <v t="i">15</v>
    <v t="i">16</v>
    <v t="i">17</v>
    <v t="i">20</v>
    <v t="i">21</v>
    <v t="i">22</v>
    <v t="i">23</v>
    <v t="i">24</v>
    <v t="i">27</v>
    <v t="i">28</v>
    <v t="i">29</v>
    <v t="i">30</v>
    <v t="i">34</v>
    <v t="i">35</v>
    <v t="i">36</v>
    <v t="i">37</v>
    <v t="i">38</v>
    <v t="i">41</v>
    <v t="i">42</v>
    <v t="i">43</v>
    <v t="i">44</v>
    <v t="i">45</v>
    <v t="i">48</v>
    <v t="i">49</v>
    <v t="i">50</v>
    <v t="i">51</v>
    <v t="i">52</v>
    <v t="i">55</v>
    <v t="i">56</v>
    <v t="i">57</v>
    <v t="i">58</v>
    <v t="i">59</v>
    <v t="i">62</v>
    <v t="i">63</v>
    <v t="i">64</v>
    <v t="i">65</v>
    <v t="i">66</v>
    <v t="i">69</v>
    <v t="i">70</v>
    <v t="i">71</v>
    <v t="i">72</v>
    <v t="i">73</v>
    <v t="i">76</v>
    <v t="i">77</v>
    <v t="i">78</v>
    <v t="i">79</v>
    <v t="i">80</v>
    <v t="i">83</v>
    <v t="i">84</v>
    <v t="i">85</v>
    <v t="i">86</v>
    <v t="i">87</v>
    <v t="i">91</v>
    <v t="i">92</v>
    <v t="i">93</v>
    <v t="i">94</v>
    <v t="i">97</v>
    <v t="i">98</v>
    <v t="i">99</v>
    <v t="i">100</v>
    <v t="i">101</v>
    <v t="i">104</v>
    <v t="i">105</v>
    <v t="i">106</v>
    <v t="i">107</v>
    <v t="i">108</v>
    <v t="i">111</v>
    <v t="i">112</v>
    <v t="i">113</v>
    <v t="i">114</v>
    <v t="i">115</v>
    <v t="i">118</v>
    <v t="i">119</v>
    <v t="i">120</v>
    <v t="i">121</v>
    <v t="i">122</v>
    <v t="i">126</v>
    <v t="i">127</v>
    <v t="i">128</v>
    <v t="i">129</v>
    <v t="i">132</v>
    <v t="i">133</v>
    <v t="i">134</v>
    <v t="i">135</v>
    <v t="i">136</v>
    <v t="i">139</v>
    <v t="i">140</v>
    <v t="i">141</v>
    <v t="i">142</v>
    <v t="i">143</v>
    <v t="i">146</v>
    <v t="i">147</v>
    <v t="i">148</v>
    <v t="i">149</v>
    <v t="i">150</v>
    <v t="i">153</v>
    <v t="i">154</v>
    <v t="i">155</v>
    <v t="i">156</v>
    <v t="i">157</v>
    <v t="i">160</v>
    <v t="i">161</v>
    <v t="i">162</v>
    <v t="i">163</v>
    <v t="i">164</v>
    <v t="i">167</v>
    <v t="i">168</v>
    <v t="i">169</v>
    <v t="i">170</v>
    <v t="i">171</v>
    <v t="i">174</v>
    <v t="i">175</v>
    <v t="i">176</v>
    <v t="i">177</v>
    <v t="i">178</v>
    <v t="i">181</v>
    <v t="i">182</v>
    <v t="i">183</v>
    <v t="i">184</v>
    <v t="i">185</v>
    <v t="i">189</v>
    <v t="i">190</v>
    <v t="i">191</v>
    <v t="i">192</v>
    <v t="i">195</v>
    <v t="i">196</v>
    <v t="i">197</v>
    <v t="i">198</v>
    <v t="i">199</v>
    <v t="i">202</v>
    <v t="i">203</v>
    <v t="i">204</v>
    <v t="i">205</v>
    <v t="i">206</v>
    <v t="i">209</v>
    <v t="i">210</v>
    <v t="i">211</v>
    <v t="i">212</v>
    <v t="i">213</v>
    <v t="i">216</v>
    <v t="i">217</v>
    <v t="i">218</v>
    <v t="i">219</v>
    <v t="i">220</v>
    <v t="i">223</v>
    <v t="i">224</v>
    <v t="i">225</v>
    <v t="i">226</v>
    <v t="i">227</v>
    <v t="i">230</v>
    <v t="i">231</v>
    <v t="i">232</v>
    <v t="i">233</v>
    <v t="i">234</v>
    <v t="i">237</v>
    <v t="i">238</v>
    <v t="i">239</v>
    <v t="i">240</v>
    <v t="i">241</v>
    <v t="i">244</v>
    <v t="i">245</v>
    <v t="i">246</v>
    <v t="i">247</v>
    <v t="i">248</v>
    <v t="i">251</v>
    <v t="i">252</v>
    <v t="i">253</v>
    <v t="i">254</v>
    <v t="i">255</v>
    <v t="i">258</v>
    <v t="i">259</v>
    <v t="i">260</v>
    <v t="i">261</v>
    <v t="i">262</v>
    <v t="i">265</v>
    <v t="i">266</v>
    <v t="i">267</v>
    <v t="i">269</v>
    <v t="i">272</v>
    <v t="i">273</v>
    <v t="i">274</v>
    <v t="i">275</v>
    <v t="i">276</v>
    <v t="i">279</v>
    <v t="i">280</v>
    <v t="i">281</v>
    <v t="i">282</v>
    <v t="i">283</v>
    <v t="i">286</v>
    <v t="i">287</v>
    <v t="i">288</v>
    <v t="i">289</v>
    <v t="i">290</v>
    <v t="i">293</v>
    <v t="i">294</v>
    <v t="i">295</v>
    <v t="i">296</v>
    <v t="i">300</v>
    <v t="i">301</v>
    <v t="i">302</v>
    <v t="i">303</v>
    <v t="i">304</v>
    <v t="i">307</v>
    <v t="i">308</v>
    <v t="i">309</v>
    <v t="i">310</v>
    <v t="i">311</v>
    <v t="i">314</v>
    <v t="i">315</v>
    <v t="i">316</v>
    <v t="i">317</v>
    <v t="i">318</v>
    <v t="i">322</v>
    <v t="i">323</v>
    <v t="i">324</v>
    <v t="i">325</v>
    <v t="i">328</v>
    <v t="i">329</v>
    <v t="i">330</v>
    <v t="i">331</v>
    <v t="i">332</v>
    <v t="i">335</v>
    <v t="i">336</v>
    <v t="i">337</v>
    <v t="i">338</v>
    <v t="i">339</v>
    <v t="i">342</v>
    <v t="i">343</v>
    <v t="i">344</v>
    <v t="i">345</v>
    <v t="i">346</v>
    <v t="i">349</v>
    <v t="i">350</v>
    <v t="i">351</v>
    <v t="i">352</v>
    <v t="i">353</v>
    <v t="i">357</v>
    <v t="i">358</v>
    <v t="i">359</v>
    <v t="i">360</v>
    <v t="i">363</v>
    <v t="i">364</v>
    <v t="i">365</v>
    <v t="i">366</v>
    <v t="i">367</v>
    <v t="i">370</v>
    <v t="i">371</v>
    <v t="i">372</v>
    <v t="i">373</v>
    <v t="i">374</v>
    <v t="i">377</v>
    <v t="i">378</v>
    <v t="i">379</v>
    <v t="i">380</v>
    <v t="i">381</v>
    <v t="i">384</v>
    <v t="i">385</v>
    <v t="i">386</v>
    <v t="i">387</v>
    <v t="i">388</v>
    <v t="i">391</v>
    <v t="i">392</v>
    <v t="i">393</v>
    <v t="i">394</v>
    <v t="i">395</v>
    <v t="i">398</v>
    <v t="i">399</v>
    <v t="i">400</v>
    <v t="i">401</v>
    <v t="i">402</v>
    <v t="i">405</v>
    <v t="i">406</v>
    <v t="i">407</v>
    <v t="i">408</v>
    <v t="i">412</v>
    <v t="i">413</v>
    <v t="i">414</v>
    <v t="i">415</v>
    <v t="i">416</v>
    <v t="i">419</v>
    <v t="i">420</v>
    <v t="i">421</v>
    <v t="i">422</v>
    <v t="i">423</v>
    <v t="i">426</v>
    <v t="i">427</v>
    <v t="i">428</v>
    <v t="i">429</v>
    <v t="i">430</v>
    <v t="i">433</v>
    <v t="i">434</v>
    <v t="i">435</v>
    <v t="i">436</v>
    <v t="i">437</v>
    <v t="i">440</v>
    <v t="i">441</v>
    <v t="i">442</v>
    <v t="i">443</v>
    <v t="i">444</v>
    <v t="i">447</v>
    <v t="i">448</v>
    <v t="i">449</v>
    <v t="i">450</v>
    <v t="i">451</v>
    <v t="i">455</v>
    <v t="i">456</v>
    <v t="i">457</v>
    <v t="i">458</v>
    <v t="i">461</v>
    <v t="i">462</v>
    <v t="i">463</v>
    <v t="i">464</v>
    <v t="i">465</v>
    <v t="i">468</v>
    <v t="i">469</v>
    <v t="i">470</v>
    <v t="i">471</v>
    <v t="i">472</v>
    <v t="i">476</v>
    <v t="i">477</v>
    <v t="i">478</v>
    <v t="i">479</v>
    <v t="i">482</v>
    <v t="i">483</v>
    <v t="i">484</v>
    <v t="i">485</v>
    <v t="i">486</v>
    <v t="i">490</v>
    <v t="i">491</v>
    <v t="i">492</v>
    <v t="i">493</v>
    <v t="i">496</v>
    <v t="i">497</v>
    <v t="i">498</v>
    <v t="i">499</v>
    <v t="i">500</v>
    <v t="i">503</v>
    <v t="i">504</v>
    <v t="i">505</v>
    <v t="i">506</v>
    <v t="i">507</v>
    <v t="i">510</v>
    <v t="i">511</v>
    <v t="i">512</v>
    <v t="i">513</v>
    <v t="i">514</v>
    <v t="i">517</v>
    <v t="i">518</v>
    <v t="i">519</v>
    <v t="i">520</v>
    <v t="i">521</v>
    <v t="i">524</v>
    <v t="i">525</v>
    <v t="i">526</v>
    <v t="i">527</v>
    <v t="i">528</v>
    <v t="i">531</v>
    <v t="i">532</v>
    <v t="i">533</v>
    <v t="i">534</v>
    <v t="i">535</v>
    <v t="i">538</v>
    <v t="i">539</v>
    <v t="i">540</v>
    <v t="i">541</v>
    <v t="i">542</v>
    <v t="i">545</v>
    <v t="i">546</v>
    <v t="i">547</v>
    <v t="i">548</v>
    <v t="i">549</v>
    <v t="i">553</v>
    <v t="i">554</v>
    <v t="i">555</v>
    <v t="i">556</v>
    <v t="i">559</v>
    <v t="i">560</v>
    <v t="i">561</v>
    <v t="i">562</v>
    <v t="i">563</v>
    <v t="i">566</v>
    <v t="i">567</v>
    <v t="i">568</v>
    <v t="i">569</v>
    <v t="i">570</v>
    <v t="i">573</v>
    <v t="i">574</v>
    <v t="i">575</v>
    <v t="i">576</v>
    <v t="i">577</v>
    <v t="i">580</v>
    <v t="i">581</v>
    <v t="i">582</v>
    <v t="i">583</v>
    <v t="i">584</v>
    <v t="i">587</v>
    <v t="i">588</v>
    <v t="i">589</v>
    <v t="i">590</v>
    <v t="i">591</v>
    <v t="i">594</v>
    <v t="i">595</v>
    <v t="i">596</v>
    <v t="i">597</v>
    <v t="i">598</v>
    <v t="i">601</v>
    <v t="i">602</v>
    <v t="i">603</v>
    <v t="i">604</v>
    <v t="i">605</v>
    <v t="i">608</v>
    <v t="i">609</v>
    <v t="i">610</v>
    <v t="i">611</v>
    <v t="i">612</v>
    <v t="i">615</v>
    <v t="i">616</v>
    <v t="i">617</v>
    <v t="i">618</v>
    <v t="i">619</v>
    <v t="i">622</v>
    <v t="i">623</v>
    <v t="i">624</v>
    <v t="i">625</v>
    <v t="i">626</v>
    <v t="i">629</v>
    <v t="i">630</v>
    <v t="i">631</v>
    <v t="i">633</v>
    <v t="i">636</v>
    <v t="i">637</v>
    <v t="i">638</v>
    <v t="i">639</v>
    <v t="i">640</v>
    <v t="i">643</v>
    <v t="i">644</v>
    <v t="i">645</v>
    <v t="i">646</v>
    <v t="i">647</v>
    <v t="i">650</v>
    <v t="i">651</v>
    <v t="i">652</v>
    <v t="i">653</v>
    <v t="i">654</v>
    <v t="i">657</v>
    <v t="i">658</v>
    <v t="i">659</v>
    <v t="i">660</v>
    <v t="i">661</v>
    <v t="i">665</v>
    <v t="i">666</v>
    <v t="i">667</v>
    <v t="i">668</v>
    <v t="i">672</v>
    <v t="i">673</v>
    <v t="i">674</v>
    <v t="i">675</v>
    <v t="i">678</v>
    <v t="i">679</v>
    <v t="i">680</v>
    <v t="i">681</v>
    <v t="i">682</v>
    <v t="i">686</v>
    <v t="i">687</v>
    <v t="i">688</v>
    <v t="i">689</v>
    <v t="i">692</v>
    <v t="i">693</v>
    <v t="i">694</v>
    <v t="i">695</v>
    <v t="i">696</v>
    <v t="i">699</v>
    <v t="i">700</v>
    <v t="i">701</v>
    <v t="i">702</v>
    <v t="i">703</v>
    <v t="i">706</v>
    <v t="i">707</v>
    <v t="i">708</v>
    <v t="i">709</v>
    <v t="i">710</v>
    <v t="i">713</v>
    <v t="i">714</v>
    <v t="i">715</v>
    <v t="i">716</v>
    <v t="i">717</v>
    <v t="i">721</v>
    <v t="i">722</v>
    <v t="i">723</v>
    <v t="i">724</v>
    <v t="i">727</v>
    <v t="i">728</v>
    <v t="i">729</v>
    <v t="i">730</v>
    <v t="i">731</v>
    <v t="i">734</v>
    <v t="i">735</v>
    <v t="i">736</v>
    <v t="i">737</v>
    <v t="i">738</v>
    <v t="i">741</v>
    <v t="i">742</v>
    <v t="i">743</v>
    <v t="i">744</v>
    <v t="i">745</v>
    <v t="i">748</v>
    <v t="i">749</v>
    <v t="i">750</v>
    <v t="i">751</v>
    <v t="i">752</v>
    <v t="i">755</v>
    <v t="i">756</v>
    <v t="i">757</v>
    <v t="i">758</v>
    <v t="i">759</v>
    <v t="i">762</v>
    <v t="i">763</v>
    <v t="i">764</v>
    <v t="i">765</v>
    <v t="i">769</v>
    <v t="i">770</v>
    <v t="i">771</v>
    <v t="i">772</v>
    <v t="i">773</v>
    <v t="i">776</v>
    <v t="i">777</v>
    <v t="i">778</v>
    <v t="i">779</v>
    <v t="i">780</v>
    <v t="i">783</v>
    <v t="i">784</v>
    <v t="i">785</v>
    <v t="i">786</v>
    <v t="i">787</v>
    <v t="i">790</v>
    <v t="i">791</v>
    <v t="i">792</v>
    <v t="i">793</v>
    <v t="i">794</v>
    <v t="i">797</v>
    <v t="i">798</v>
    <v t="i">799</v>
    <v t="i">800</v>
    <v t="i">801</v>
    <v t="i">804</v>
    <v t="i">805</v>
    <v t="i">806</v>
    <v t="i">807</v>
    <v t="i">808</v>
    <v t="i">811</v>
    <v t="i">812</v>
    <v t="i">813</v>
    <v t="i">814</v>
    <v t="i">815</v>
    <v t="i">819</v>
    <v t="i">820</v>
    <v t="i">821</v>
    <v t="i">822</v>
    <v t="i">825</v>
    <v t="i">826</v>
    <v t="i">827</v>
    <v t="i">828</v>
    <v t="i">829</v>
    <v t="i">832</v>
    <v t="i">833</v>
    <v t="i">834</v>
    <v t="i">835</v>
    <v t="i">836</v>
    <v t="i">840</v>
    <v t="i">841</v>
    <v t="i">842</v>
    <v t="i">843</v>
    <v t="i">846</v>
    <v t="i">847</v>
    <v t="i">848</v>
    <v t="i">849</v>
    <v t="i">850</v>
    <v t="i">853</v>
    <v t="i">855</v>
    <v t="i">856</v>
    <v t="i">857</v>
    <v t="i">860</v>
    <v t="i">861</v>
    <v t="i">862</v>
    <v t="i">863</v>
    <v t="i">864</v>
    <v t="i">867</v>
    <v t="i">868</v>
    <v t="i">869</v>
    <v t="i">870</v>
    <v t="i">871</v>
    <v t="i">874</v>
    <v t="i">875</v>
    <v t="i">876</v>
    <v t="i">877</v>
    <v t="i">878</v>
    <v t="i">881</v>
    <v t="i">882</v>
    <v t="i">883</v>
    <v t="i">884</v>
    <v t="i">885</v>
    <v t="i">888</v>
    <v t="i">889</v>
    <v t="i">890</v>
    <v t="i">891</v>
    <v t="i">892</v>
    <v t="i">895</v>
    <v t="i">896</v>
    <v t="i">897</v>
    <v t="i">898</v>
    <v t="i">899</v>
    <v t="i">902</v>
    <v t="i">903</v>
    <v t="i">904</v>
    <v t="i">905</v>
    <v t="i">906</v>
    <v t="i">909</v>
    <v t="i">910</v>
    <v t="i">911</v>
    <v t="i">912</v>
    <v t="i">913</v>
    <v t="i">917</v>
    <v t="i">918</v>
    <v t="i">919</v>
    <v t="i">920</v>
    <v t="i">923</v>
    <v t="i">924</v>
    <v t="i">925</v>
    <v t="i">926</v>
    <v t="i">927</v>
    <v t="i">930</v>
    <v t="i">931</v>
    <v t="i">932</v>
    <v t="i">933</v>
    <v t="i">934</v>
    <v t="i">937</v>
    <v t="i">938</v>
    <v t="i">939</v>
    <v t="i">940</v>
    <v t="i">941</v>
    <v t="i">944</v>
    <v t="i">945</v>
    <v t="i">946</v>
    <v t="i">947</v>
    <v t="i">948</v>
    <v t="i">951</v>
    <v t="i">952</v>
    <v t="i">953</v>
    <v t="i">954</v>
    <v t="i">955</v>
    <v t="i">958</v>
    <v t="i">959</v>
    <v t="i">960</v>
    <v t="i">961</v>
    <v t="i">962</v>
    <v t="i">965</v>
    <v t="i">966</v>
    <v t="i">967</v>
    <v t="i">968</v>
    <v t="i">969</v>
    <v t="i">972</v>
    <v t="i">973</v>
    <v t="i">974</v>
    <v t="i">975</v>
    <v t="i">976</v>
    <v t="i">979</v>
    <v t="i">980</v>
    <v t="i">981</v>
    <v t="i">982</v>
    <v t="i">983</v>
    <v t="i">986</v>
    <v t="i">987</v>
    <v t="i">988</v>
    <v t="i">989</v>
    <v t="i">990</v>
    <v t="i">993</v>
    <v t="i">994</v>
    <v t="i">995</v>
    <v t="i">997</v>
    <v t="i">1000</v>
    <v t="i">1001</v>
    <v t="i">1002</v>
    <v t="i">1003</v>
    <v t="i">1004</v>
    <v t="i">1007</v>
    <v t="i">1008</v>
    <v t="i">1009</v>
    <v t="i">1010</v>
    <v t="i">1011</v>
    <v t="i">1014</v>
    <v t="i">1015</v>
    <v t="i">1016</v>
    <v t="i">1017</v>
    <v t="i">1018</v>
    <v t="i">1021</v>
    <v t="i">1022</v>
    <v t="i">1023</v>
    <v t="i">1024</v>
    <v t="i">1025</v>
    <v t="i">1029</v>
    <v t="i">1030</v>
    <v t="i">1031</v>
    <v t="i">1032</v>
    <v t="i">1036</v>
    <v t="i">1037</v>
    <v t="i">1038</v>
    <v t="i">1039</v>
    <v t="i">1042</v>
    <v t="i">1043</v>
    <v t="i">1044</v>
    <v t="i">1045</v>
    <v t="i">1046</v>
    <v t="i">1050</v>
    <v t="i">1051</v>
    <v t="i">1052</v>
    <v t="i">1053</v>
    <v t="i">1056</v>
    <v t="i">1057</v>
    <v t="i">1058</v>
    <v t="i">1059</v>
    <v t="i">1060</v>
    <v t="i">1063</v>
    <v t="i">1064</v>
    <v t="i">1065</v>
    <v t="i">1066</v>
    <v t="i">1067</v>
    <v t="i">1070</v>
    <v t="i">1071</v>
    <v t="i">1072</v>
    <v t="i">1073</v>
    <v t="i">1074</v>
    <v t="i">1077</v>
    <v t="i">1078</v>
    <v t="i">1079</v>
    <v t="i">1080</v>
    <v t="i">1081</v>
    <v t="i">1085</v>
    <v t="i">1086</v>
    <v t="i">1087</v>
    <v t="i">1088</v>
    <v t="i">1091</v>
    <v t="i">1092</v>
    <v t="i">1093</v>
    <v t="i">1094</v>
    <v t="i">1095</v>
    <v t="i">1098</v>
    <v t="i">1099</v>
    <v t="i">1100</v>
    <v t="i">1101</v>
    <v t="i">1102</v>
    <v t="i">1105</v>
    <v t="i">1106</v>
    <v t="i">1107</v>
    <v t="i">1108</v>
    <v t="i">1109</v>
    <v t="i">1112</v>
    <v t="i">1113</v>
    <v t="i">1114</v>
    <v t="i">1115</v>
    <v t="i">1116</v>
    <v t="i">1119</v>
    <v t="i">1120</v>
    <v t="i">1121</v>
    <v t="i">1122</v>
    <v t="i">1126</v>
    <v t="i">1127</v>
    <v t="i">1128</v>
    <v t="i">1129</v>
    <v t="i">1130</v>
    <v t="i">1133</v>
    <v t="i">1134</v>
    <v t="i">1135</v>
    <v t="i">1136</v>
    <v t="i">1137</v>
    <v t="i">1140</v>
    <v t="i">1141</v>
    <v t="i">1142</v>
    <v t="i">1143</v>
    <v t="i">1144</v>
    <v t="i">1147</v>
    <v t="i">1148</v>
    <v t="i">1149</v>
    <v t="i">1150</v>
    <v t="i">1151</v>
    <v t="i">1154</v>
    <v t="i">1155</v>
    <v t="i">1156</v>
    <v t="i">1157</v>
    <v t="i">1158</v>
    <v t="i">1161</v>
    <v t="i">1162</v>
    <v t="i">1163</v>
    <v t="i">1164</v>
    <v t="i">1165</v>
    <v t="i">1168</v>
    <v t="i">1169</v>
    <v t="i">1170</v>
    <v t="i">1171</v>
    <v t="i">1172</v>
    <v t="i">1175</v>
    <v t="i">1176</v>
    <v t="i">1177</v>
    <v t="i">1178</v>
    <v t="i">1179</v>
    <v t="i">1183</v>
    <v t="i">1184</v>
    <v t="i">1185</v>
    <v t="i">1186</v>
    <v t="i">1189</v>
    <v t="i">1190</v>
    <v t="i">1191</v>
    <v t="i">1192</v>
    <v t="i">1193</v>
    <v t="i">1196</v>
    <v t="i">1197</v>
    <v t="i">1198</v>
    <v t="i">1199</v>
    <v t="i">1200</v>
    <v t="i">1203</v>
    <v t="i">1204</v>
    <v t="i">1206</v>
    <v t="i">1207</v>
    <v t="i">1210</v>
    <v t="i">1211</v>
    <v t="i">1212</v>
    <v t="i">1213</v>
    <v t="i">1214</v>
    <v t="i">1217</v>
    <v t="i">1218</v>
    <v t="i">1219</v>
    <v t="i">1221</v>
    <v t="i">1224</v>
    <v t="i">1225</v>
    <v t="i">1226</v>
    <v t="i">1227</v>
    <v t="i">1228</v>
    <v t="i">1231</v>
    <v t="i">1232</v>
    <v t="i">1233</v>
    <v t="i">1234</v>
    <v t="i">1235</v>
    <v t="i">1238</v>
    <v t="i">1239</v>
    <v t="i">1240</v>
    <v t="i">1241</v>
    <v t="i">1242</v>
    <v t="i">1245</v>
    <v t="i">1246</v>
    <v t="i">1247</v>
    <v t="i">1248</v>
    <v t="i">1249</v>
    <v t="i">1252</v>
    <v t="i">1253</v>
    <v t="i">1254</v>
    <v t="i">1255</v>
    <v t="i">1256</v>
    <v t="i">1259</v>
    <v t="i">1260</v>
    <v t="i">1261</v>
    <v t="i">1262</v>
    <v t="i">1263</v>
    <v t="i">1266</v>
    <v t="i">1267</v>
    <v t="i">1268</v>
    <v t="i">1269</v>
    <v t="i">1270</v>
    <v t="i">1273</v>
    <v t="i">1274</v>
    <v t="i">1275</v>
    <v t="i">1276</v>
    <v t="i">1277</v>
    <v t="i">1281</v>
    <v t="i">1282</v>
    <v t="i">1283</v>
    <v t="i">1284</v>
    <v t="i">1287</v>
    <v t="i">1288</v>
    <v t="i">1289</v>
    <v t="i">1290</v>
    <v t="i">1291</v>
    <v t="i">1294</v>
    <v t="i">1295</v>
    <v t="i">1296</v>
    <v t="i">1297</v>
    <v t="i">1298</v>
    <v t="i">1301</v>
    <v t="i">1302</v>
    <v t="i">1303</v>
    <v t="i">1304</v>
    <v t="i">1305</v>
    <v t="i">1308</v>
    <v t="i">1309</v>
    <v t="i">1310</v>
    <v t="i">1311</v>
    <v t="i">1312</v>
    <v t="i">1315</v>
    <v t="i">1316</v>
    <v t="i">1317</v>
    <v t="i">1318</v>
    <v t="i">1319</v>
    <v t="i">1322</v>
    <v t="i">1323</v>
    <v t="i">1324</v>
    <v t="i">1325</v>
    <v t="i">1326</v>
    <v t="i">1329</v>
    <v t="i">1330</v>
    <v t="i">1331</v>
    <v t="i">1332</v>
    <v t="i">1333</v>
    <v t="i">1336</v>
    <v t="i">1337</v>
    <v t="i">1338</v>
    <v t="i">1339</v>
    <v t="i">1340</v>
    <v t="i">1343</v>
    <v t="i">1344</v>
    <v t="i">1345</v>
    <v t="i">1346</v>
    <v t="i">1347</v>
    <v t="i">1350</v>
    <v t="i">1351</v>
    <v t="i">1352</v>
    <v t="i">1353</v>
    <v t="i">1354</v>
    <v t="i">1357</v>
    <v t="i">1358</v>
    <v t="i">1359</v>
    <v t="i">1360</v>
    <v t="i">1361</v>
    <v t="i">1364</v>
    <v t="i">1365</v>
    <v t="i">1366</v>
    <v t="i">1368</v>
    <v t="i">1371</v>
    <v t="i">1372</v>
    <v t="i">1373</v>
    <v t="i">1374</v>
    <v t="i">1375</v>
    <v t="i">1378</v>
    <v t="i">1379</v>
    <v t="i">1380</v>
    <v t="i">1381</v>
    <v t="i">1382</v>
    <v t="i">1385</v>
    <v t="i">1386</v>
    <v t="i">1387</v>
    <v t="i">1388</v>
    <v t="i">1389</v>
    <v t="i">1392</v>
    <v t="i">1393</v>
    <v t="i">1395</v>
    <v t="i">1396</v>
    <v t="i">1399</v>
    <v t="i">1400</v>
    <v t="i">1402</v>
    <v t="i">1403</v>
    <v t="i">1406</v>
    <v t="i">1407</v>
    <v t="i">1408</v>
    <v t="i">1410</v>
    <v t="i">1413</v>
    <v t="i">1414</v>
    <v t="i">1415</v>
    <v t="i">1416</v>
    <v t="i">1417</v>
    <v t="i">1421</v>
    <v t="i">1422</v>
    <v t="i">1423</v>
    <v t="i">1424</v>
    <v t="i">1427</v>
    <v t="i">1428</v>
    <v t="i">1429</v>
    <v t="i">1430</v>
    <v t="i">1431</v>
    <v t="i">1434</v>
    <v t="i">1435</v>
    <v t="i">1436</v>
    <v t="i">1437</v>
    <v t="i">1438</v>
    <v t="i">1441</v>
    <v t="i">1442</v>
    <v t="i">1443</v>
    <v t="i">1444</v>
    <v t="i">1445</v>
    <v t="i">1449</v>
    <v t="i">1450</v>
    <v t="i">1451</v>
    <v t="i">1452</v>
    <v t="i">1455</v>
    <v t="i">1456</v>
    <v t="i">1457</v>
    <v t="i">1458</v>
    <v t="i">1459</v>
    <v t="i">1462</v>
    <v t="i">1463</v>
    <v t="i">1464</v>
    <v t="i">1465</v>
    <v t="i">1466</v>
    <v t="i">1469</v>
    <v t="i">1470</v>
    <v t="i">1471</v>
    <v t="i">1472</v>
    <v t="i">1473</v>
    <v t="i">1476</v>
    <v t="i">1477</v>
    <v t="i">1478</v>
    <v t="i">1479</v>
    <v t="i">1480</v>
    <v t="i">1483</v>
    <v t="i">1484</v>
    <v t="i">1485</v>
    <v t="i">1486</v>
    <v t="i">1487</v>
    <v t="i">1490</v>
    <v t="i">1491</v>
    <v t="i">1492</v>
    <v t="i">1493</v>
    <v t="i">1494</v>
    <v t="i">1497</v>
    <v t="i">1498</v>
    <v t="i">1499</v>
    <v t="i">1500</v>
    <v t="i">1501</v>
    <v t="i">1504</v>
    <v t="i">1505</v>
    <v t="i">1506</v>
    <v t="i">1507</v>
    <v t="i">1511</v>
    <v t="i">1512</v>
    <v t="i">1513</v>
    <v t="i">1514</v>
    <v t="i">1515</v>
    <v t="i">1518</v>
    <v t="i">1519</v>
    <v t="i">1520</v>
    <v t="i">1521</v>
    <v t="i">1522</v>
    <v t="i">1525</v>
    <v t="i">1526</v>
    <v t="i">1527</v>
    <v t="i">1528</v>
    <v t="i">1529</v>
    <v t="i">1532</v>
    <v t="i">1533</v>
    <v t="i">1534</v>
    <v t="i">1535</v>
    <v t="i">1536</v>
    <v t="i">1539</v>
    <v t="i">1540</v>
    <v t="i">1541</v>
    <v t="i">1542</v>
    <v t="i">1543</v>
    <v t="i">1547</v>
    <v t="i">1548</v>
    <v t="i">1549</v>
    <v t="i">1550</v>
    <v t="i">1553</v>
    <v t="i">1554</v>
    <v t="i">1555</v>
    <v t="i">1556</v>
    <v t="i">1557</v>
    <v t="i">1560</v>
    <v t="i">1561</v>
    <v t="i">1562</v>
    <v t="i">1563</v>
    <v t="i">1564</v>
    <v t="i">1567</v>
    <v t="i">1568</v>
    <v t="i">1569</v>
    <v t="i">1571</v>
    <v t="i">1574</v>
    <v t="i">1575</v>
    <v t="i">1576</v>
    <v t="i">1577</v>
    <v t="i">1578</v>
    <v t="i">1581</v>
    <v t="i">1582</v>
    <v t="i">1583</v>
    <v t="i">1584</v>
    <v t="i">1588</v>
    <v t="i">1589</v>
    <v t="i">1590</v>
    <v t="i">1591</v>
    <v t="i">1592</v>
    <v t="i">1595</v>
    <v t="i">1596</v>
    <v t="i">1597</v>
    <v t="i">1598</v>
    <v t="i">1599</v>
    <v t="i">1602</v>
    <v t="i">1603</v>
    <v t="i">1604</v>
    <v t="i">1605</v>
    <v t="i">1606</v>
    <v t="i">1609</v>
    <v t="i">1610</v>
    <v t="i">1611</v>
    <v t="i">1612</v>
    <v t="i">1613</v>
    <v t="i">1616</v>
    <v t="i">1617</v>
    <v t="i">1618</v>
    <v t="i">1619</v>
    <v t="i">1620</v>
    <v t="i">1623</v>
    <v t="i">1624</v>
    <v t="i">1625</v>
    <v t="i">1626</v>
    <v t="i">1627</v>
    <v t="i">1630</v>
    <v t="i">1631</v>
    <v t="i">1632</v>
    <v t="i">1633</v>
    <v t="i">1634</v>
    <v t="i">1637</v>
    <v t="i">1638</v>
    <v t="i">1639</v>
    <v t="i">1640</v>
    <v t="i">1641</v>
    <v t="i">1645</v>
    <v t="i">1646</v>
    <v t="i">1647</v>
    <v t="i">1648</v>
    <v t="i">1651</v>
    <v t="i">1652</v>
    <v t="i">1653</v>
    <v t="i">1654</v>
    <v t="i">1655</v>
    <v t="i">1658</v>
    <v t="i">1659</v>
    <v t="i">1660</v>
    <v t="i">1661</v>
    <v t="i">1662</v>
    <v t="i">1665</v>
    <v t="i">1666</v>
    <v t="i">1667</v>
    <v t="i">1668</v>
    <v t="i">1669</v>
    <v t="i">1672</v>
    <v t="i">1673</v>
    <v t="i">1674</v>
    <v t="i">1675</v>
    <v t="i">1676</v>
    <v t="i">1679</v>
    <v t="i">1680</v>
    <v t="i">1681</v>
    <v t="i">1682</v>
    <v t="i">1683</v>
    <v t="i">1686</v>
    <v t="i">1687</v>
    <v t="i">1688</v>
    <v t="i">1689</v>
    <v t="i">1690</v>
    <v t="i">1693</v>
    <v t="i">1694</v>
    <v t="i">1695</v>
    <v t="i">1696</v>
    <v t="i">1697</v>
    <v t="i">1700</v>
    <v t="i">1701</v>
    <v t="i">1702</v>
    <v t="i">1703</v>
    <v t="i">1704</v>
    <v t="i">1707</v>
    <v t="i">1708</v>
    <v t="i">1709</v>
    <v t="i">1710</v>
    <v t="i">1711</v>
    <v t="i">1714</v>
    <v t="i">1715</v>
    <v t="i">1716</v>
    <v t="i">1717</v>
    <v t="i">1718</v>
    <v t="i">1721</v>
    <v t="i">1722</v>
    <v t="i">1723</v>
    <v t="i">1724</v>
    <v t="i">1725</v>
    <v t="i">1728</v>
    <v t="i">1729</v>
    <v t="i">1730</v>
    <v t="i">1732</v>
    <v t="i">1735</v>
    <v t="i">1736</v>
    <v t="i">1737</v>
    <v t="i">1738</v>
    <v t="i">1739</v>
    <v t="i">1742</v>
    <v t="i">1743</v>
    <v t="i">1744</v>
    <v t="i">1745</v>
    <v t="i">1746</v>
    <v t="i">1749</v>
    <v t="i">1750</v>
    <v t="i">1751</v>
    <v t="i">1752</v>
    <v t="i">1753</v>
    <v t="i">1756</v>
    <v t="i">1757</v>
    <v t="i">1758</v>
    <v t="i">1760</v>
    <v t="i">1763</v>
    <v t="i">1764</v>
    <v t="i">1765</v>
    <v t="i">1767</v>
    <v t="i">1770</v>
    <v t="i">1771</v>
    <v t="i">1772</v>
    <v t="i">1773</v>
    <v t="i">1774</v>
    <v t="i">1777</v>
    <v t="i">1778</v>
    <v t="i">1779</v>
    <v t="i">1780</v>
    <v t="i">1781</v>
    <v t="i">1785</v>
    <v t="i">1786</v>
    <v t="i">1787</v>
    <v t="i">1788</v>
    <v t="i">1791</v>
    <v t="i">1792</v>
    <v t="i">1793</v>
    <v t="i">1794</v>
    <v t="i">1795</v>
    <v t="i">1798</v>
    <v t="i">1799</v>
    <v t="i">1800</v>
    <v t="i">1801</v>
    <v t="i">1802</v>
    <v t="i">1805</v>
    <v t="i">1806</v>
    <v t="i">1807</v>
    <v t="i">1808</v>
    <v t="i">1809</v>
    <v t="i">1813</v>
    <v t="i">1814</v>
    <v t="i">1815</v>
    <v t="i">1816</v>
    <v t="i">1819</v>
    <v t="i">1820</v>
    <v t="i">1821</v>
    <v t="i">1822</v>
    <v t="i">1823</v>
    <v t="i">1826</v>
  </a>
  <a r="1" c="1256">
    <v>35.53</v>
    <v>36.42</v>
    <v>36.5</v>
    <v>36.93</v>
    <v>37.130000000000003</v>
    <v>36.32</v>
    <v>37.369999999999997</v>
    <v>37.24</v>
    <v>37.94</v>
    <v>37.75</v>
    <v>37.64</v>
    <v>37.950000000000003</v>
    <v>38.94</v>
    <v>38.53</v>
    <v>37.659999999999997</v>
    <v>36.9</v>
    <v>36.9</v>
    <v>37.659999999999997</v>
    <v>38.68</v>
    <v>38.31</v>
    <v>38.99</v>
    <v>38.69</v>
    <v>39.49</v>
    <v>39.799999999999997</v>
    <v>39.69</v>
    <v>40.049999999999997</v>
    <v>39.700000000000003</v>
    <v>39.99</v>
    <v>40.06</v>
    <v>39.32</v>
    <v>39.880000000000003</v>
    <v>38.74</v>
    <v>39.15</v>
    <v>39.17</v>
    <v>38.08</v>
    <v>38.72</v>
    <v>38.36</v>
    <v>39.18</v>
    <v>39.409999999999997</v>
    <v>39.880000000000003</v>
    <v>40.03</v>
    <v>41.11</v>
    <v>40.53</v>
    <v>40.56</v>
    <v>41</v>
    <v>41.39</v>
    <v>42.01</v>
    <v>42.18</v>
    <v>42.05</v>
    <v>41.57</v>
    <v>41.18</v>
    <v>41.84</v>
    <v>42.36</v>
    <v>42.74</v>
    <v>42.16</v>
    <v>41.97</v>
    <v>41.87</v>
    <v>42.4</v>
    <v>42.63</v>
    <v>42.01</v>
    <v>42.04</v>
    <v>42.55</v>
    <v>42.39</v>
    <v>42.92</v>
    <v>42.94</v>
    <v>43.25</v>
    <v>43.27</v>
    <v>43.12</v>
    <v>42.88</v>
    <v>42.32</v>
    <v>41.69</v>
    <v>41.86</v>
    <v>41.36</v>
    <v>41.39</v>
    <v>41.62</v>
    <v>39.799999999999997</v>
    <v>38.78</v>
    <v>39.75</v>
    <v>39.97</v>
    <v>40.200000000000003</v>
    <v>40.83</v>
    <v>41.62</v>
    <v>41.56</v>
    <v>40.89</v>
    <v>41.23</v>
    <v>41.54</v>
    <v>41.15</v>
    <v>40.07</v>
    <v>39.75</v>
    <v>38.78</v>
    <v>40.04</v>
    <v>40.630000000000003</v>
    <v>39.86</v>
    <v>38.86</v>
    <v>38.83</v>
    <v>37.92</v>
    <v>36.93</v>
    <v>37.69</v>
    <v>38.46</v>
    <v>37.96</v>
    <v>37.700000000000003</v>
    <v>38.130000000000003</v>
    <v>37.979999999999997</v>
    <v>38.130000000000003</v>
    <v>38.68</v>
    <v>38.36</v>
    <v>37.96</v>
    <v>38.549999999999997</v>
    <v>38.270000000000003</v>
    <v>39.020000000000003</v>
    <v>40.15</v>
    <v>40.67</v>
    <v>41.43</v>
    <v>41.95</v>
    <v>42.15</v>
    <v>41.63</v>
    <v>41.29</v>
    <v>41.09</v>
    <v>40.79</v>
    <v>40.19</v>
    <v>40.369999999999997</v>
    <v>40.909999999999997</v>
    <v>41.48</v>
    <v>42.15</v>
    <v>42.04</v>
    <v>42.49</v>
    <v>41.66</v>
    <v>41.75</v>
    <v>41.19</v>
    <v>41.02</v>
    <v>41.05</v>
    <v>41.32</v>
    <v>40.78</v>
    <v>40.93</v>
    <v>40.270000000000003</v>
    <v>40.94</v>
    <v>39.840000000000003</v>
    <v>40.14</v>
    <v>40.450000000000003</v>
    <v>40.5</v>
    <v>39.11</v>
    <v>39.130000000000003</v>
    <v>40.14</v>
    <v>41.69</v>
    <v>42.14</v>
    <v>43.26</v>
    <v>43.16</v>
    <v>43.07</v>
    <v>42.45</v>
    <v>43.08</v>
    <v>43.34</v>
    <v>44.22</v>
    <v>44.24</v>
    <v>44.12</v>
    <v>44.34</v>
    <v>43.78</v>
    <v>43.54</v>
    <v>43.14</v>
    <v>45.07</v>
    <v>46.37</v>
    <v>46.28</v>
    <v>46.48</v>
    <v>47.09</v>
    <v>46.83</v>
    <v>47.57</v>
    <v>47.51</v>
    <v>47.96</v>
    <v>47.04</v>
    <v>47.78</v>
    <v>47.78</v>
    <v>47.85</v>
    <v>47.88</v>
    <v>48.37</v>
    <v>47.33</v>
    <v>46.97</v>
    <v>47.34</v>
    <v>46.88</v>
    <v>47.23</v>
    <v>47.49</v>
    <v>46.91</v>
    <v>47.05</v>
    <v>47.08</v>
    <v>46.51</v>
    <v>46.32</v>
    <v>45.4</v>
    <v>46.28</v>
    <v>47.5</v>
    <v>47.63</v>
    <v>45.76</v>
    <v>45.59</v>
    <v>44.47</v>
    <v>43.84</v>
    <v>44.89</v>
    <v>43.87</v>
    <v>44.15</v>
    <v>44.71</v>
    <v>44.16</v>
    <v>44.49</v>
    <v>44.52</v>
    <v>43.58</v>
    <v>44.13</v>
    <v>43.94</v>
    <v>45</v>
    <v>43.88</v>
    <v>43.16</v>
    <v>44.19</v>
    <v>44.28</v>
    <v>44.42</v>
    <v>44.64</v>
    <v>44.7</v>
    <v>44.63</v>
    <v>44.53</v>
    <v>44.49</v>
    <v>46.18</v>
    <v>47.99</v>
    <v>47.18</v>
    <v>48.13</v>
    <v>49.18</v>
    <v>48.93</v>
    <v>49.21</v>
    <v>48.86</v>
    <v>48.76</v>
    <v>47.91</v>
    <v>46.26</v>
    <v>46.44</v>
    <v>45.75</v>
    <v>44.92</v>
    <v>44.55</v>
    <v>45.43</v>
    <v>45.9</v>
    <v>45.47</v>
    <v>45.87</v>
    <v>46.14</v>
    <v>46.94</v>
    <v>46.89</v>
    <v>46.43</v>
    <v>48.28</v>
    <v>48.51</v>
    <v>49.38</v>
    <v>49.28</v>
    <v>49.05</v>
    <v>47.92</v>
    <v>47.42</v>
    <v>47.79</v>
    <v>47.68</v>
    <v>46.07</v>
    <v>45.96</v>
    <v>45.56</v>
    <v>44.78</v>
    <v>43.6</v>
    <v>45.02</v>
    <v>44.2</v>
    <v>42.47</v>
    <v>43.16</v>
    <v>42.49</v>
    <v>40.950000000000003</v>
    <v>38.340000000000003</v>
    <v>38.590000000000003</v>
    <v>41.04</v>
    <v>40.67</v>
    <v>40.33</v>
    <v>41.2</v>
    <v>41.5</v>
    <v>42.8</v>
    <v>43.03</v>
    <v>42.9</v>
    <v>42.84</v>
    <v>44.18</v>
    <v>43.09</v>
    <v>43.07</v>
    <v>43.73</v>
    <v>43.55</v>
    <v>43.44</v>
    <v>43</v>
    <v>41.22</v>
    <v>40.9</v>
    <v>40.83</v>
    <v>40.14</v>
    <v>39.700000000000003</v>
    <v>39.39</v>
    <v>39.67</v>
    <v>39.590000000000003</v>
    <v>39.17</v>
    <v>38.82</v>
    <v>37.57</v>
    <v>38.85</v>
    <v>39.57</v>
    <v>39.659999999999997</v>
    <v>38.909999999999997</v>
    <v>37.56</v>
    <v>37.29</v>
    <v>36.450000000000003</v>
    <v>36.25</v>
    <v>36.81</v>
    <v>35.68</v>
    <v>36.14</v>
    <v>37.130000000000003</v>
    <v>38.619999999999997</v>
    <v>37.54</v>
    <v>37.450000000000003</v>
    <v>36.369999999999997</v>
    <v>35.76</v>
    <v>35.57</v>
    <v>35.07</v>
    <v>35.17</v>
    <v>34.81</v>
    <v>35.99</v>
    <v>34.880000000000003</v>
    <v>34.450000000000003</v>
    <v>33.86</v>
    <v>35.869999999999997</v>
    <v>35.65</v>
    <v>35.840000000000003</v>
    <v>36.67</v>
    <v>37.020000000000003</v>
    <v>37.200000000000003</v>
    <v>36.67</v>
    <v>36.700000000000003</v>
    <v>36.19</v>
    <v>36.15</v>
    <v>36.35</v>
    <v>35.89</v>
    <v>34.51</v>
    <v>33.17</v>
    <v>32.020000000000003</v>
    <v>31.46</v>
    <v>32.049999999999997</v>
    <v>31.85</v>
    <v>31.92</v>
    <v>32.85</v>
    <v>32.6</v>
    <v>32.08</v>
    <v>32.31</v>
    <v>32.35</v>
    <v>32.26</v>
    <v>31.86</v>
    <v>31.13</v>
    <v>31.56</v>
    <v>31.24</v>
    <v>30.98</v>
    <v>31.86</v>
    <v>31.79</v>
    <v>31.46</v>
    <v>31.36</v>
    <v>30.84</v>
    <v>30.13</v>
    <v>32.25</v>
    <v>32.26</v>
    <v>33.35</v>
    <v>33.36</v>
    <v>33.65</v>
    <v>33.43</v>
    <v>33.729999999999997</v>
    <v>33.049999999999997</v>
    <v>33.590000000000003</v>
    <v>33.32</v>
    <v>33.81</v>
    <v>33.71</v>
    <v>33.04</v>
    <v>33.64</v>
    <v>33.4</v>
    <v>33.96</v>
    <v>33.49</v>
    <v>33.92</v>
    <v>35.07</v>
    <v>35.909999999999997</v>
    <v>36.299999999999997</v>
    <v>36.25</v>
    <v>36.64</v>
    <v>36.409999999999997</v>
    <v>36.28</v>
    <v>35.479999999999997</v>
    <v>34.72</v>
    <v>34.409999999999997</v>
    <v>34.520000000000003</v>
    <v>35.14</v>
    <v>34.03</v>
    <v>33.9</v>
    <v>34.090000000000003</v>
    <v>33.61</v>
    <v>33.47</v>
    <v>33.43</v>
    <v>33.06</v>
    <v>33.57</v>
    <v>34.65</v>
    <v>34.94</v>
    <v>35.270000000000003</v>
    <v>34</v>
    <v>33.869999999999997</v>
    <v>34.51</v>
    <v>34.119999999999997</v>
    <v>34.69</v>
    <v>34.17</v>
    <v>33.15</v>
    <v>32.5</v>
    <v>31.73</v>
    <v>31.03</v>
    <v>30.57</v>
    <v>31.07</v>
    <v>30.66</v>
    <v>30.2</v>
    <v>31.09</v>
    <v>32.380000000000003</v>
    <v>31.92</v>
    <v>31.46</v>
    <v>30.75</v>
    <v>30.66</v>
    <v>29.77</v>
    <v>29.86</v>
    <v>31.69</v>
    <v>31.7</v>
    <v>33.619999999999997</v>
    <v>34.880000000000003</v>
    <v>33.92</v>
    <v>33.700000000000003</v>
    <v>34.950000000000003</v>
    <v>35.07</v>
    <v>35.39</v>
    <v>35.700000000000003</v>
    <v>35.869999999999997</v>
    <v>36.18</v>
    <v>36.04</v>
    <v>36.200000000000003</v>
    <v>36.090000000000003</v>
    <v>35.89</v>
    <v>36.79</v>
    <v>37.01</v>
    <v>37.11</v>
    <v>36.520000000000003</v>
    <v>38.130000000000003</v>
    <v>38.409999999999997</v>
    <v>37.76</v>
    <v>37.700000000000003</v>
    <v>37.36</v>
    <v>37.17</v>
    <v>37.19</v>
    <v>37.31</v>
    <v>37.49</v>
    <v>37.61</v>
    <v>37.700000000000003</v>
    <v>36.86</v>
    <v>37</v>
    <v>37.85</v>
    <v>36.549999999999997</v>
    <v>36.08</v>
    <v>34.47</v>
    <v>33</v>
    <v>32.74</v>
    <v>32.44</v>
    <v>32.380000000000003</v>
    <v>32.729999999999997</v>
    <v>32.75</v>
    <v>32.28</v>
    <v>31.77</v>
    <v>31.7</v>
    <v>32.06</v>
    <v>32.19</v>
    <v>32.68</v>
    <v>32.39</v>
    <v>32.47</v>
    <v>32.53</v>
    <v>32.770000000000003</v>
    <v>33.14</v>
    <v>33.119999999999997</v>
    <v>33.51</v>
    <v>34.14</v>
    <v>34.07</v>
    <v>34.409999999999997</v>
    <v>33.89</v>
    <v>34.119999999999997</v>
    <v>34.380000000000003</v>
    <v>34.47</v>
    <v>35.229999999999997</v>
    <v>34.520000000000003</v>
    <v>33.72</v>
    <v>33.229999999999997</v>
    <v>33.85</v>
    <v>34.32</v>
    <v>34.57</v>
    <v>34.869999999999997</v>
    <v>35.340000000000003</v>
    <v>35.450000000000003</v>
    <v>35.299999999999997</v>
    <v>35.479999999999997</v>
    <v>35.92</v>
    <v>36.130000000000003</v>
    <v>36.43</v>
    <v>36.369999999999997</v>
    <v>36.770000000000003</v>
    <v>36.5</v>
    <v>35.72</v>
    <v>35.58</v>
    <v>35.65</v>
    <v>35.619999999999997</v>
    <v>35.56</v>
    <v>35.28</v>
    <v>35.35</v>
    <v>34.520000000000003</v>
    <v>34.29</v>
    <v>34.26</v>
    <v>34.21</v>
    <v>34.21</v>
    <v>34.299999999999997</v>
    <v>34.14</v>
    <v>33.49</v>
    <v>34.159999999999997</v>
    <v>34.090000000000003</v>
    <v>33</v>
    <v>32.56</v>
    <v>30.54</v>
    <v>30.27</v>
    <v>28.51</v>
    <v>28.76</v>
    <v>28.49</v>
    <v>28.97</v>
    <v>27.82</v>
    <v>27.75</v>
    <v>28.59</v>
    <v>27.64</v>
    <v>26.97</v>
    <v>27.14</v>
    <v>28.49</v>
    <v>28.12</v>
    <v>28.67</v>
    <v>28.3</v>
    <v>28.6</v>
    <v>28.59</v>
    <v>27.98</v>
    <v>27.64</v>
    <v>27.84</v>
    <v>27.94</v>
    <v>28.71</v>
    <v>28.48</v>
    <v>28.56</v>
    <v>29.52</v>
    <v>30.37</v>
    <v>30.56</v>
    <v>30.06</v>
    <v>29.9</v>
    <v>29.87</v>
    <v>29.76</v>
    <v>28.84</v>
    <v>28.44</v>
    <v>28.89</v>
    <v>29.28</v>
    <v>29.04</v>
    <v>28.16</v>
    <v>27.86</v>
    <v>26.99</v>
    <v>27.71</v>
    <v>27.69</v>
    <v>27.66</v>
    <v>27.32</v>
    <v>27.39</v>
    <v>27.09</v>
    <v>27.65</v>
    <v>27.36</v>
    <v>28.57</v>
    <v>28.47</v>
    <v>28.11</v>
    <v>28.34</v>
    <v>28.58</v>
    <v>28.1</v>
    <v>28.17</v>
    <v>28.31</v>
    <v>28.26</v>
    <v>27.79</v>
    <v>27.78</v>
    <v>28.71</v>
    <v>28.54</v>
    <v>29.23</v>
    <v>29.48</v>
    <v>29.23</v>
    <v>29.27</v>
    <v>29.13</v>
    <v>29.4</v>
    <v>29.12</v>
    <v>29.37</v>
    <v>29.19</v>
    <v>28.87</v>
    <v>28.57</v>
    <v>27.96</v>
    <v>27.75</v>
    <v>28.09</v>
    <v>28.24</v>
    <v>28.07</v>
    <v>28.66</v>
    <v>28.69</v>
    <v>29.2</v>
    <v>29.08</v>
    <v>28.28</v>
    <v>28.53</v>
    <v>28.66</v>
    <v>29.02</v>
    <v>29.36</v>
    <v>29.67</v>
    <v>29.11</v>
    <v>29.4</v>
    <v>30.7</v>
    <v>31.53</v>
    <v>31.69</v>
    <v>31.98</v>
    <v>32.65</v>
    <v>32.15</v>
    <v>32.409999999999997</v>
    <v>31.95</v>
    <v>31.9</v>
    <v>32</v>
    <v>31.62</v>
    <v>31.19</v>
    <v>31.41</v>
    <v>31.3</v>
    <v>31.88</v>
    <v>31.27</v>
    <v>30.86</v>
    <v>30.94</v>
    <v>31.29</v>
    <v>30.93</v>
    <v>29.94</v>
    <v>29.29</v>
    <v>29.28</v>
    <v>29.11</v>
    <v>29.15</v>
    <v>28.44</v>
    <v>28.45</v>
    <v>28.62</v>
    <v>28.5</v>
    <v>28.76</v>
    <v>29.17</v>
    <v>29.04</v>
    <v>28.67</v>
    <v>28.98</v>
    <v>28.65</v>
    <v>28.39</v>
    <v>28.13</v>
    <v>28.36</v>
    <v>28.48</v>
    <v>28.97</v>
    <v>28.88</v>
    <v>29.2</v>
    <v>28.84</v>
    <v>28.76</v>
    <v>28.65</v>
    <v>28.55</v>
    <v>28.05</v>
    <v>27.64</v>
    <v>27.6</v>
    <v>27.17</v>
    <v>27.27</v>
    <v>27.56</v>
    <v>27.38</v>
    <v>26.7</v>
    <v>25.91</v>
    <v>25.94</v>
    <v>26.06</v>
    <v>26.07</v>
    <v>26.31</v>
    <v>27.01</v>
    <v>27.02</v>
    <v>26.9</v>
    <v>26.76</v>
    <v>26.99</v>
    <v>27.62</v>
    <v>27.31</v>
    <v>26.96</v>
    <v>26.31</v>
    <v>25.57</v>
    <v>25.47</v>
    <v>25.55</v>
    <v>26.12</v>
    <v>25.17</v>
    <v>25.69</v>
    <v>26.34</v>
    <v>26.4</v>
    <v>27.62</v>
    <v>28.42</v>
    <v>28.33</v>
    <v>28.16</v>
    <v>27.89</v>
    <v>27.53</v>
    <v>27.68</v>
    <v>27.7</v>
    <v>29.22</v>
    <v>29.62</v>
    <v>29.54</v>
    <v>29.98</v>
    <v>30.01</v>
    <v>29.66</v>
    <v>29.63</v>
    <v>29.73</v>
    <v>29.56</v>
    <v>29.53</v>
    <v>30.31</v>
    <v>30.49</v>
    <v>30.96</v>
    <v>30.82</v>
    <v>30.58</v>
    <v>30.53</v>
    <v>30.66</v>
    <v>30.96</v>
    <v>30.85</v>
    <v>30.74</v>
    <v>32.04</v>
    <v>33.94</v>
    <v>33.6</v>
    <v>33.43</v>
    <v>33.51</v>
    <v>32.979999999999997</v>
    <v>33.200000000000003</v>
    <v>33.43</v>
    <v>33.86</v>
    <v>33.840000000000003</v>
    <v>33.880000000000003</v>
    <v>33.67</v>
    <v>33.9</v>
    <v>33.53</v>
    <v>33.799999999999997</v>
    <v>34.43</v>
    <v>34.159999999999997</v>
    <v>33.630000000000003</v>
    <v>33.6</v>
    <v>33.15</v>
    <v>32.799999999999997</v>
    <v>32.119999999999997</v>
    <v>31.8</v>
    <v>31.73</v>
    <v>32.22</v>
    <v>32.549999999999997</v>
    <v>32.770000000000003</v>
    <v>32.979999999999997</v>
    <v>33.39</v>
    <v>33.43</v>
    <v>33.61</v>
    <v>34.79</v>
    <v>34.01</v>
    <v>33.549999999999997</v>
    <v>33.47</v>
    <v>32.99</v>
    <v>33.04</v>
    <v>33.18</v>
    <v>33.119999999999997</v>
    <v>33.07</v>
    <v>33.619999999999997</v>
    <v>32.75</v>
    <v>33.130000000000003</v>
    <v>34.07</v>
    <v>34.090000000000003</v>
    <v>33.96</v>
    <v>33.700000000000003</v>
    <v>33.61</v>
    <v>33.92</v>
    <v>33.61</v>
    <v>34.28</v>
    <v>34.31</v>
    <v>34.520000000000003</v>
    <v>34.35</v>
    <v>35.15</v>
    <v>35.39</v>
    <v>35.42</v>
    <v>35.630000000000003</v>
    <v>35.6</v>
    <v>35.89</v>
    <v>35.96</v>
    <v>36.08</v>
    <v>35.69</v>
    <v>35.409999999999997</v>
    <v>36.01</v>
    <v>36.03</v>
    <v>36.75</v>
    <v>37.51</v>
    <v>37.049999999999997</v>
    <v>36.86</v>
    <v>37.090000000000003</v>
    <v>37.81</v>
    <v>37.92</v>
    <v>37.520000000000003</v>
    <v>37.299999999999997</v>
    <v>37.44</v>
    <v>36.92</v>
    <v>37.11</v>
    <v>37.5</v>
    <v>37.729999999999997</v>
    <v>36.65</v>
    <v>36.35</v>
    <v>35.79</v>
    <v>35.950000000000003</v>
    <v>34.68</v>
    <v>35.229999999999997</v>
    <v>35.770000000000003</v>
    <v>36.97</v>
    <v>37.729999999999997</v>
    <v>38.369999999999997</v>
    <v>38.32</v>
    <v>37.909999999999997</v>
    <v>37.83</v>
    <v>37.549999999999997</v>
    <v>37.01</v>
    <v>36.950000000000003</v>
    <v>36.880000000000003</v>
    <v>37.25</v>
    <v>37.69</v>
    <v>37.840000000000003</v>
    <v>37.71</v>
    <v>38.28</v>
    <v>38.450000000000003</v>
    <v>38.21</v>
    <v>38.49</v>
    <v>38.909999999999997</v>
    <v>39.22</v>
    <v>39.29</v>
    <v>38.82</v>
    <v>39.65</v>
    <v>39.76</v>
    <v>39.17</v>
    <v>39.700000000000003</v>
    <v>39.32</v>
    <v>38.72</v>
    <v>38.630000000000003</v>
    <v>39.99</v>
    <v>39.880000000000003</v>
    <v>39.68</v>
    <v>39.96</v>
    <v>39.700000000000003</v>
    <v>39.78</v>
    <v>39.67</v>
    <v>38.86</v>
    <v>39.409999999999997</v>
    <v>39.26</v>
    <v>39.24</v>
    <v>39.51</v>
    <v>39.99</v>
    <v>39.99</v>
    <v>39.49</v>
    <v>40.020000000000003</v>
    <v>39.380000000000003</v>
    <v>39</v>
    <v>39.25</v>
    <v>39.770000000000003</v>
    <v>40.01</v>
    <v>40.93</v>
    <v>40.9</v>
    <v>40.409999999999997</v>
    <v>40.619999999999997</v>
    <v>41.42</v>
    <v>41.74</v>
    <v>41.81</v>
    <v>41.59</v>
    <v>41.89</v>
    <v>44.13</v>
    <v>43.98</v>
    <v>43.01</v>
    <v>42.9</v>
    <v>42.3</v>
    <v>42.41</v>
    <v>42.19</v>
    <v>41.68</v>
    <v>41.67</v>
    <v>41.09</v>
    <v>41.28</v>
    <v>40.31</v>
    <v>39.5</v>
    <v>37.58</v>
    <v>36.65</v>
    <v>36.92</v>
    <v>37.299999999999997</v>
    <v>38.21</v>
    <v>38.28</v>
    <v>38.17</v>
    <v>38.46</v>
    <v>38.81</v>
    <v>39.03</v>
    <v>39.340000000000003</v>
    <v>39.67</v>
    <v>38.69</v>
    <v>38.75</v>
    <v>39.24</v>
    <v>39.770000000000003</v>
    <v>39.92</v>
    <v>39.67</v>
    <v>39.950000000000003</v>
    <v>40.17</v>
    <v>40.75</v>
    <v>40.700000000000003</v>
    <v>40.5</v>
    <v>40.14</v>
    <v>38.76</v>
    <v>39.47</v>
    <v>39.28</v>
    <v>39</v>
    <v>38.78</v>
    <v>38.65</v>
    <v>39.1</v>
    <v>39.549999999999997</v>
    <v>39.619999999999997</v>
    <v>40.869999999999997</v>
    <v>40.270000000000003</v>
    <v>39.869999999999997</v>
    <v>39.450000000000003</v>
    <v>39.25</v>
    <v>39.520000000000003</v>
    <v>39.4</v>
    <v>39.68</v>
    <v>39.22</v>
    <v>39.229999999999997</v>
    <v>39.25</v>
    <v>40.11</v>
    <v>39.96</v>
    <v>39.93</v>
    <v>40.19</v>
    <v>39.97</v>
    <v>41.95</v>
    <v>41.91</v>
    <v>42.14</v>
    <v>42.8</v>
    <v>42.6</v>
    <v>42.32</v>
    <v>41.76</v>
    <v>42.3</v>
    <v>42.34</v>
    <v>42.65</v>
    <v>41.89</v>
    <v>42.62</v>
    <v>42.53</v>
    <v>42.31</v>
    <v>41.82</v>
    <v>41.76</v>
    <v>41.33</v>
    <v>41.88</v>
    <v>45.41</v>
    <v>44.77</v>
    <v>45.13</v>
    <v>46.08</v>
    <v>45.86</v>
    <v>45.87</v>
    <v>45.9</v>
    <v>46.75</v>
    <v>46.72</v>
    <v>46.41</v>
    <v>46.06</v>
    <v>46.46</v>
    <v>47</v>
    <v>47.5</v>
    <v>47.75</v>
    <v>47.77</v>
    <v>47.51</v>
    <v>47.04</v>
    <v>46.82</v>
    <v>46.37</v>
    <v>47</v>
    <v>46.75</v>
    <v>45.91</v>
    <v>45.75</v>
    <v>46.08</v>
    <v>46.08</v>
    <v>45.67</v>
    <v>45.47</v>
    <v>45.05</v>
    <v>43.5</v>
    <v>43.38</v>
    <v>44.17</v>
    <v>43.89</v>
    <v>44.38</v>
    <v>44.55</v>
    <v>44.34</v>
    <v>43.91</v>
    <v>43.95</v>
    <v>44.29</v>
    <v>44.81</v>
    <v>45.4</v>
    <v>46.08</v>
    <v>46.21</v>
    <v>45.11</v>
    <v>45.06</v>
    <v>45.78</v>
    <v>47.1</v>
    <v>46.64</v>
    <v>46.53</v>
    <v>46.66</v>
    <v>45.79</v>
    <v>46.39</v>
    <v>46.52</v>
    <v>47.09</v>
    <v>46.84</v>
    <v>46.75</v>
    <v>46.72</v>
    <v>46.3</v>
    <v>46.21</v>
    <v>46.71</v>
    <v>47.11</v>
    <v>47.74</v>
    <v>47.4</v>
    <v>46.67</v>
    <v>46.79</v>
    <v>46.21</v>
    <v>46.33</v>
    <v>46.96</v>
    <v>46.53</v>
    <v>46.01</v>
    <v>45.3</v>
    <v>44.81</v>
    <v>44.46</v>
    <v>43.94</v>
    <v>43.94</v>
    <v>44.12</v>
    <v>46.1</v>
    <v>45.56</v>
    <v>42.67</v>
    <v>42.29</v>
    <v>41.46</v>
    <v>41.4</v>
    <v>39.83</v>
    <v>39.61</v>
    <v>39.909999999999997</v>
    <v>39.67</v>
    <v>40.89</v>
    <v>41.44</v>
    <v>41.65</v>
    <v>42.21</v>
    <v>42.48</v>
    <v>42.47</v>
    <v>43.07</v>
    <v>43.28</v>
    <v>42.82</v>
    <v>42.56</v>
    <v>41.25</v>
    <v>41.73</v>
    <v>41.49</v>
    <v>41.85</v>
    <v>37.22</v>
    <v>34.39</v>
    <v>35.58</v>
    <v>35.03</v>
    <v>37.15</v>
    <v>35.85</v>
    <v>35.950000000000003</v>
    <v>36.67</v>
    <v>37.99</v>
    <v>37.33</v>
    <v>37.409999999999997</v>
    <v>36.92</v>
    <v>38.32</v>
    <v>38.75</v>
    <v>39.58</v>
    <v>39.69</v>
    <v>39.78</v>
    <v>39.99</v>
    <v>39.880000000000003</v>
    <v>40.17</v>
    <v>41.07</v>
    <v>41.12</v>
    <v>40.840000000000003</v>
    <v>40.93</v>
    <v>41.6</v>
    <v>41.79</v>
    <v>43.36</v>
    <v>44.28</v>
    <v>44.74</v>
    <v>44.38</v>
    <v>44.69</v>
    <v>44.77</v>
    <v>44.69</v>
    <v>43.25</v>
    <v>43.31</v>
    <v>43.2</v>
    <v>44.22</v>
    <v>44.06</v>
    <v>44.24</v>
    <v>44.13</v>
    <v>44.08</v>
    <v>44.65</v>
    <v>44.36</v>
    <v>44.38</v>
    <v>44.97</v>
    <v>44.87</v>
    <v>45.09</v>
    <v>44.73</v>
    <v>44.62</v>
    <v>44.09</v>
    <v>44.41</v>
    <v>44.23</v>
    <v>45.06</v>
    <v>45.5</v>
    <v>46.3</v>
    <v>46.66</v>
    <v>46.85</v>
    <v>47.46</v>
    <v>47.12</v>
    <v>47.32</v>
    <v>48.15</v>
    <v>48.71</v>
    <v>48.93</v>
    <v>48.66</v>
    <v>47.15</v>
    <v>46.84</v>
    <v>46.97</v>
    <v>46.73</v>
    <v>47.07</v>
    <v>46.15</v>
    <v>46.03</v>
    <v>47.02</v>
    <v>47.32</v>
    <v>47.48</v>
    <v>47.77</v>
    <v>48.14</v>
    <v>48.39</v>
    <v>48.45</v>
    <v>48.23</v>
    <v>47.95</v>
    <v>47.96</v>
    <v>47.27</v>
    <v>45.66</v>
    <v>45.85</v>
    <v>45.56</v>
    <v>45.42</v>
    <v>44.92</v>
    <v>46.01</v>
    <v>46.16</v>
    <v>47.5</v>
    <v>47.24</v>
    <v>47.71</v>
    <v>46.94</v>
    <v>47.92</v>
    <v>48.08</v>
    <v>48.35</v>
    <v>48.26</v>
    <v>49.48</v>
    <v>49.48</v>
    <v>50.25</v>
    <v>50.38</v>
    <v>50.49</v>
    <v>50.74</v>
    <v>50.42</v>
    <v>50.06</v>
    <v>50.62</v>
    <v>49.77</v>
    <v>49.46</v>
    <v>50.29</v>
    <v>50.13</v>
    <v>50.75</v>
    <v>50.58</v>
    <v>50.59</v>
    <v>50.66</v>
    <v>51.4</v>
    <v>52.13</v>
    <v>52.25</v>
    <v>51.92</v>
    <v>51.7</v>
    <v>51.7</v>
    <v>51.85</v>
    <v>52.21</v>
    <v>52.42</v>
    <v>51.59</v>
    <v>50.68</v>
    <v>50.48</v>
    <v>50.64</v>
    <v>50.39</v>
    <v>50.29</v>
    <v>49.84</v>
    <v>49.79</v>
    <v>48.65</v>
    <v>48.86</v>
    <v>50.09</v>
    <v>52.28</v>
    <v>50.44</v>
    <v>51.28</v>
    <v>52.04</v>
    <v>51.52</v>
    <v>51.1</v>
    <v>51.76</v>
    <v>52.57</v>
    <v>53.02</v>
    <v>52.87</v>
    <v>52.58</v>
    <v>53.03</v>
    <v>53.45</v>
    <v>53.56</v>
    <v>53.54</v>
    <v>52.45</v>
    <v>53.29</v>
    <v>53.2</v>
    <v>53.42</v>
    <v>53.63</v>
    <v>54.11</v>
    <v>52.87</v>
    <v>52.61</v>
    <v>51.48</v>
    <v>51.64</v>
    <v>52.02</v>
    <v>51</v>
    <v>51.56</v>
    <v>51.93</v>
    <v>52.48</v>
    <v>52.99</v>
    <v>53.65</v>
    <v>53.24</v>
    <v>53.19</v>
    <v>54.09</v>
    <v>54.16</v>
    <v>53.95</v>
    <v>53.9</v>
    <v>53.54</v>
    <v>54.08</v>
    <v>54.56</v>
    <v>55.14</v>
    <v>55.33</v>
    <v>54.81</v>
    <v>54.55</v>
    <v>54.26</v>
    <v>55.27</v>
    <v>55.88</v>
    <v>55.97</v>
    <v>56.25</v>
    <v>56.17</v>
    <v>55.35</v>
    <v>55.28</v>
    <v>55</v>
    <v>55.95</v>
    <v>56.89</v>
    <v>57.25</v>
    <v>55.64</v>
    <v>56.18</v>
    <v>55.85</v>
    <v>55.19</v>
    <v>54.54</v>
    <v>52.48</v>
    <v>52.59</v>
    <v>52.97</v>
    <v>52.1</v>
    <v>52.07</v>
    <v>52.45</v>
    <v>51.72</v>
    <v>52.02</v>
    <v>52.17</v>
    <v>51.81</v>
    <v>53.08</v>
    <v>53.2</v>
    <v>54.03</v>
    <v>54.45</v>
    <v>55.38</v>
    <v>54.94</v>
    <v>56.53</v>
    <v>56.41</v>
    <v>55.39</v>
    <v>53.85</v>
    <v>52.52</v>
    <v>52.55</v>
    <v>52.74</v>
    <v>53.36</v>
    <v>52.77</v>
    <v>53.06</v>
    <v>51.07</v>
    <v>50.41</v>
    <v>51.69</v>
    <v>52.3</v>
    <v>49.83</v>
    <v>49.81</v>
  </a>
</arrayData>
</file>

<file path=xl/richData/rdrichvalue.xml><?xml version="1.0" encoding="utf-8"?>
<rvData xmlns="http://schemas.microsoft.com/office/spreadsheetml/2017/richdata" count="2257">
  <rv s="0">
    <v>https://www.bing.com/financeapi/forcetrigger?t=a1o4sm&amp;q=XNYS%3aBAC&amp;form=skydnc</v>
    <v>Learn more on Bing</v>
  </rv>
  <rv s="1">
    <v>0</v>
    <v>BANK OF AMERICA CORPORATION (XNYS:BAC)</v>
    <v>2</v>
    <v>3</v>
    <v>Finance</v>
    <v>4</v>
    <v>en-US</v>
    <v>a1o4sm</v>
    <v>268435456</v>
    <v>1</v>
    <v>Powered by Refinitiv</v>
    <v>57.55</v>
    <v>33.064999999999998</v>
    <v>1.2817000000000001</v>
    <v>-3.5000000000000003E-2</v>
    <v>-7.0239999999999994E-4</v>
    <v>1.83E-2</v>
    <v>3.6740000000000004E-4</v>
    <v>USD</v>
    <v>Bank of America Corporation is a bank holding company and a financial holding company. Its segments include Consumer Banking, Global Wealth &amp; Investment Management (GWIM), Global Banking and Global Markets. Consumer Banking segment offers a range of credit, banking and investment products and services to consumers and small businesses. The GWIM includes two businesses: Merrill Wealth Management, which provides tailored solutions to meet clients' needs through a full set of investment management, brokerage, banking and retirement products and Bank of America Private Bank, which provides comprehensive wealth management solutions. Global Banking segment provides a range of lending-related products and services, integrated working capital management and treasury solutions, and underwriting and advisory services. Global Markets segment offers sales and trading services and research services to institutional clients across fixed-income, credit, currency, commodity, and equity businesses.</v>
    <v>213207</v>
    <v>New York Stock Exchange</v>
    <v>XNYS</v>
    <v>XNYS</v>
    <v>Bank Of America Corporate Center, 100 N Tryon St, CHARLOTTE, NC, 28255 US</v>
    <v>50.42</v>
    <v>Banking Services</v>
    <v>Stock</v>
    <v>46084.041530983595</v>
    <v>0</v>
    <v>48.58</v>
    <v>357362880190</v>
    <v>BANK OF AMERICA CORPORATION</v>
    <v>BANK OF AMERICA CORPORATION</v>
    <v>48.78</v>
    <v>13.1729</v>
    <v>49.83</v>
    <v>49.795000000000002</v>
    <v>49.828299999999999</v>
    <v>7176682000</v>
    <v>BAC</v>
    <v>BANK OF AMERICA CORPORATION (XNYS:BAC)</v>
    <v>40595188</v>
    <v>41518745</v>
    <v>1998</v>
  </rv>
  <rv s="2">
    <v>1</v>
  </rv>
  <rv s="3">
    <fb>44257</fb>
    <v>5</v>
  </rv>
  <rv s="3">
    <fb>35.53</fb>
    <v>6</v>
  </rv>
  <rv s="3">
    <fb>44258</fb>
    <v>5</v>
  </rv>
  <rv s="3">
    <fb>36.42</fb>
    <v>6</v>
  </rv>
  <rv s="3">
    <fb>44259</fb>
    <v>5</v>
  </rv>
  <rv s="3">
    <fb>36.5</fb>
    <v>6</v>
  </rv>
  <rv s="3">
    <fb>44260</fb>
    <v>5</v>
  </rv>
  <rv s="3">
    <fb>36.93</fb>
    <v>6</v>
  </rv>
  <rv s="3">
    <fb>44263</fb>
    <v>5</v>
  </rv>
  <rv s="3">
    <fb>37.130000000000003</fb>
    <v>6</v>
  </rv>
  <rv s="3">
    <fb>44264</fb>
    <v>5</v>
  </rv>
  <rv s="3">
    <fb>36.32</fb>
    <v>6</v>
  </rv>
  <rv s="3">
    <fb>44265</fb>
    <v>5</v>
  </rv>
  <rv s="3">
    <fb>37.369999999999997</fb>
    <v>6</v>
  </rv>
  <rv s="3">
    <fb>44266</fb>
    <v>5</v>
  </rv>
  <rv s="3">
    <fb>37.24</fb>
    <v>6</v>
  </rv>
  <rv s="3">
    <fb>44267</fb>
    <v>5</v>
  </rv>
  <rv s="3">
    <fb>37.94</fb>
    <v>6</v>
  </rv>
  <rv s="3">
    <fb>44270</fb>
    <v>5</v>
  </rv>
  <rv s="3">
    <fb>37.75</fb>
    <v>6</v>
  </rv>
  <rv s="3">
    <fb>44271</fb>
    <v>5</v>
  </rv>
  <rv s="3">
    <fb>37.64</fb>
    <v>6</v>
  </rv>
  <rv s="3">
    <fb>44272</fb>
    <v>5</v>
  </rv>
  <rv s="3">
    <fb>37.950000000000003</fb>
    <v>6</v>
  </rv>
  <rv s="3">
    <fb>44273</fb>
    <v>5</v>
  </rv>
  <rv s="3">
    <fb>38.94</fb>
    <v>6</v>
  </rv>
  <rv s="3">
    <fb>44274</fb>
    <v>5</v>
  </rv>
  <rv s="3">
    <fb>38.53</fb>
    <v>6</v>
  </rv>
  <rv s="3">
    <fb>44277</fb>
    <v>5</v>
  </rv>
  <rv s="3">
    <fb>37.659999999999997</fb>
    <v>6</v>
  </rv>
  <rv s="3">
    <fb>44278</fb>
    <v>5</v>
  </rv>
  <rv s="3">
    <fb>36.9</fb>
    <v>6</v>
  </rv>
  <rv s="3">
    <fb>39.799999999999997</fb>
    <v>6</v>
  </rv>
  <rv s="3">
    <fb>46.37</fb>
    <v>6</v>
  </rv>
  <rv s="3">
    <fb>44279</fb>
    <v>5</v>
  </rv>
  <rv s="3">
    <fb>44.47</fb>
    <v>6</v>
  </rv>
  <rv s="3">
    <fb>36.64</fb>
    <v>6</v>
  </rv>
  <rv s="3">
    <fb>44280</fb>
    <v>5</v>
  </rv>
  <rv s="3">
    <fb>33.06</fb>
    <v>6</v>
  </rv>
  <rv s="3">
    <fb>38.130000000000003</fb>
    <v>6</v>
  </rv>
  <rv s="3">
    <fb>44281</fb>
    <v>5</v>
  </rv>
  <rv s="3">
    <fb>38.68</fb>
    <v>6</v>
  </rv>
  <rv s="3">
    <fb>34.47</fb>
    <v>6</v>
  </rv>
  <rv s="3">
    <fb>36.770000000000003</fb>
    <v>6</v>
  </rv>
  <rv s="3">
    <fb>44284</fb>
    <v>5</v>
  </rv>
  <rv s="3">
    <fb>38.31</fb>
    <v>6</v>
  </rv>
  <rv s="3">
    <fb>34.29</fb>
    <v>6</v>
  </rv>
  <rv s="3">
    <fb>31.53</fb>
    <v>6</v>
  </rv>
  <rv s="3">
    <fb>44285</fb>
    <v>5</v>
  </rv>
  <rv s="3">
    <fb>38.99</fb>
    <v>6</v>
  </rv>
  <rv s="3">
    <fb>29.29</fb>
    <v>6</v>
  </rv>
  <rv s="3">
    <fb>30.01</fb>
    <v>6</v>
  </rv>
  <rv s="3">
    <fb>44286</fb>
    <v>5</v>
  </rv>
  <rv s="3">
    <fb>38.69</fb>
    <v>6</v>
  </rv>
  <rv s="3">
    <fb>34.68</fb>
    <v>6</v>
  </rv>
  <rv s="3">
    <fb>44.13</fb>
    <v>6</v>
  </rv>
  <rv s="3">
    <fb>44287</fb>
    <v>5</v>
  </rv>
  <rv s="3">
    <fb>39.49</fb>
    <v>6</v>
  </rv>
  <rv s="3">
    <fb>39.5</fb>
    <v>6</v>
  </rv>
  <rv s="3">
    <fb>42.8</fb>
    <v>6</v>
  </rv>
  <rv s="3">
    <fb>44291</fb>
    <v>5</v>
  </rv>
  <rv s="3">
    <fb>43.5</fb>
    <v>6</v>
  </rv>
  <rv s="3">
    <fb>44.28</fb>
    <v>6</v>
  </rv>
  <rv s="3">
    <fb>44292</fb>
    <v>5</v>
  </rv>
  <rv s="3">
    <fb>39.69</fb>
    <v>6</v>
  </rv>
  <rv s="3">
    <fb>45.66</fb>
    <v>6</v>
  </rv>
  <rv s="3">
    <fb>50.38</fb>
    <v>6</v>
  </rv>
  <rv s="3">
    <fb>44293</fb>
    <v>5</v>
  </rv>
  <rv s="3">
    <fb>40.049999999999997</fb>
    <v>6</v>
  </rv>
  <rv s="3">
    <fb>48.65</fb>
    <v>6</v>
  </rv>
  <rv s="3">
    <fb>49.83</fb>
    <v>6</v>
  </rv>
  <rv s="3">
    <fb>44294</fb>
    <v>5</v>
  </rv>
  <rv s="3">
    <fb>39.700000000000003</fb>
    <v>6</v>
  </rv>
  <rv s="3">
    <fb>44295</fb>
    <v>5</v>
  </rv>
  <rv s="3">
    <fb>39.99</fb>
    <v>6</v>
  </rv>
  <rv s="3">
    <fb>44298</fb>
    <v>5</v>
  </rv>
  <rv s="3">
    <fb>40.06</fb>
    <v>6</v>
  </rv>
  <rv s="3">
    <fb>44299</fb>
    <v>5</v>
  </rv>
  <rv s="3">
    <fb>39.32</fb>
    <v>6</v>
  </rv>
  <rv s="3">
    <fb>44300</fb>
    <v>5</v>
  </rv>
  <rv s="3">
    <fb>39.880000000000003</fb>
    <v>6</v>
  </rv>
  <rv s="3">
    <fb>44301</fb>
    <v>5</v>
  </rv>
  <rv s="3">
    <fb>38.74</fb>
    <v>6</v>
  </rv>
  <rv s="3">
    <fb>44302</fb>
    <v>5</v>
  </rv>
  <rv s="3">
    <fb>39.15</fb>
    <v>6</v>
  </rv>
  <rv s="3">
    <fb>44305</fb>
    <v>5</v>
  </rv>
  <rv s="3">
    <fb>39.17</fb>
    <v>6</v>
  </rv>
  <rv s="3">
    <fb>44306</fb>
    <v>5</v>
  </rv>
  <rv s="3">
    <fb>38.08</fb>
    <v>6</v>
  </rv>
  <rv s="3">
    <fb>44307</fb>
    <v>5</v>
  </rv>
  <rv s="3">
    <fb>38.72</fb>
    <v>6</v>
  </rv>
  <rv s="3">
    <fb>44308</fb>
    <v>5</v>
  </rv>
  <rv s="3">
    <fb>38.36</fb>
    <v>6</v>
  </rv>
  <rv s="3">
    <fb>44309</fb>
    <v>5</v>
  </rv>
  <rv s="3">
    <fb>39.18</fb>
    <v>6</v>
  </rv>
  <rv s="3">
    <fb>44312</fb>
    <v>5</v>
  </rv>
  <rv s="3">
    <fb>39.409999999999997</fb>
    <v>6</v>
  </rv>
  <rv s="3">
    <fb>44313</fb>
    <v>5</v>
  </rv>
  <rv s="3">
    <fb>44314</fb>
    <v>5</v>
  </rv>
  <rv s="3">
    <fb>40.03</fb>
    <v>6</v>
  </rv>
  <rv s="3">
    <fb>44315</fb>
    <v>5</v>
  </rv>
  <rv s="3">
    <fb>41.11</fb>
    <v>6</v>
  </rv>
  <rv s="3">
    <fb>44316</fb>
    <v>5</v>
  </rv>
  <rv s="3">
    <fb>40.53</fb>
    <v>6</v>
  </rv>
  <rv s="3">
    <fb>44319</fb>
    <v>5</v>
  </rv>
  <rv s="3">
    <fb>40.56</fb>
    <v>6</v>
  </rv>
  <rv s="3">
    <fb>44320</fb>
    <v>5</v>
  </rv>
  <rv s="3">
    <fb>41</fb>
    <v>6</v>
  </rv>
  <rv s="3">
    <fb>44321</fb>
    <v>5</v>
  </rv>
  <rv s="3">
    <fb>41.39</fb>
    <v>6</v>
  </rv>
  <rv s="3">
    <fb>44322</fb>
    <v>5</v>
  </rv>
  <rv s="3">
    <fb>42.01</fb>
    <v>6</v>
  </rv>
  <rv s="3">
    <fb>44323</fb>
    <v>5</v>
  </rv>
  <rv s="3">
    <fb>42.18</fb>
    <v>6</v>
  </rv>
  <rv s="3">
    <fb>44326</fb>
    <v>5</v>
  </rv>
  <rv s="3">
    <fb>42.05</fb>
    <v>6</v>
  </rv>
  <rv s="3">
    <fb>44327</fb>
    <v>5</v>
  </rv>
  <rv s="3">
    <fb>41.57</fb>
    <v>6</v>
  </rv>
  <rv s="3">
    <fb>44328</fb>
    <v>5</v>
  </rv>
  <rv s="3">
    <fb>41.18</fb>
    <v>6</v>
  </rv>
  <rv s="3">
    <fb>44329</fb>
    <v>5</v>
  </rv>
  <rv s="3">
    <fb>41.84</fb>
    <v>6</v>
  </rv>
  <rv s="3">
    <fb>44330</fb>
    <v>5</v>
  </rv>
  <rv s="3">
    <fb>42.36</fb>
    <v>6</v>
  </rv>
  <rv s="3">
    <fb>44333</fb>
    <v>5</v>
  </rv>
  <rv s="3">
    <fb>42.74</fb>
    <v>6</v>
  </rv>
  <rv s="3">
    <fb>44334</fb>
    <v>5</v>
  </rv>
  <rv s="3">
    <fb>42.16</fb>
    <v>6</v>
  </rv>
  <rv s="3">
    <fb>44335</fb>
    <v>5</v>
  </rv>
  <rv s="3">
    <fb>41.97</fb>
    <v>6</v>
  </rv>
  <rv s="3">
    <fb>44336</fb>
    <v>5</v>
  </rv>
  <rv s="3">
    <fb>41.87</fb>
    <v>6</v>
  </rv>
  <rv s="3">
    <fb>44337</fb>
    <v>5</v>
  </rv>
  <rv s="3">
    <fb>42.4</fb>
    <v>6</v>
  </rv>
  <rv s="3">
    <fb>44340</fb>
    <v>5</v>
  </rv>
  <rv s="3">
    <fb>42.63</fb>
    <v>6</v>
  </rv>
  <rv s="3">
    <fb>44341</fb>
    <v>5</v>
  </rv>
  <rv s="3">
    <fb>44342</fb>
    <v>5</v>
  </rv>
  <rv s="3">
    <fb>42.04</fb>
    <v>6</v>
  </rv>
  <rv s="3">
    <fb>44343</fb>
    <v>5</v>
  </rv>
  <rv s="3">
    <fb>42.55</fb>
    <v>6</v>
  </rv>
  <rv s="3">
    <fb>44344</fb>
    <v>5</v>
  </rv>
  <rv s="3">
    <fb>42.39</fb>
    <v>6</v>
  </rv>
  <rv s="3">
    <fb>44348</fb>
    <v>5</v>
  </rv>
  <rv s="3">
    <fb>42.92</fb>
    <v>6</v>
  </rv>
  <rv s="3">
    <fb>44349</fb>
    <v>5</v>
  </rv>
  <rv s="3">
    <fb>42.94</fb>
    <v>6</v>
  </rv>
  <rv s="3">
    <fb>44350</fb>
    <v>5</v>
  </rv>
  <rv s="3">
    <fb>43.25</fb>
    <v>6</v>
  </rv>
  <rv s="3">
    <fb>44351</fb>
    <v>5</v>
  </rv>
  <rv s="3">
    <fb>43.27</fb>
    <v>6</v>
  </rv>
  <rv s="3">
    <fb>44354</fb>
    <v>5</v>
  </rv>
  <rv s="3">
    <fb>43.12</fb>
    <v>6</v>
  </rv>
  <rv s="3">
    <fb>44355</fb>
    <v>5</v>
  </rv>
  <rv s="3">
    <fb>42.88</fb>
    <v>6</v>
  </rv>
  <rv s="3">
    <fb>44356</fb>
    <v>5</v>
  </rv>
  <rv s="3">
    <fb>42.32</fb>
    <v>6</v>
  </rv>
  <rv s="3">
    <fb>44357</fb>
    <v>5</v>
  </rv>
  <rv s="3">
    <fb>41.69</fb>
    <v>6</v>
  </rv>
  <rv s="3">
    <fb>44358</fb>
    <v>5</v>
  </rv>
  <rv s="3">
    <fb>41.86</fb>
    <v>6</v>
  </rv>
  <rv s="3">
    <fb>44361</fb>
    <v>5</v>
  </rv>
  <rv s="3">
    <fb>41.36</fb>
    <v>6</v>
  </rv>
  <rv s="3">
    <fb>44362</fb>
    <v>5</v>
  </rv>
  <rv s="3">
    <fb>44363</fb>
    <v>5</v>
  </rv>
  <rv s="3">
    <fb>41.62</fb>
    <v>6</v>
  </rv>
  <rv s="3">
    <fb>44364</fb>
    <v>5</v>
  </rv>
  <rv s="3">
    <fb>44365</fb>
    <v>5</v>
  </rv>
  <rv s="3">
    <fb>38.78</fb>
    <v>6</v>
  </rv>
  <rv s="3">
    <fb>44368</fb>
    <v>5</v>
  </rv>
  <rv s="3">
    <fb>39.75</fb>
    <v>6</v>
  </rv>
  <rv s="3">
    <fb>44369</fb>
    <v>5</v>
  </rv>
  <rv s="3">
    <fb>39.97</fb>
    <v>6</v>
  </rv>
  <rv s="3">
    <fb>44370</fb>
    <v>5</v>
  </rv>
  <rv s="3">
    <fb>40.200000000000003</fb>
    <v>6</v>
  </rv>
  <rv s="3">
    <fb>44371</fb>
    <v>5</v>
  </rv>
  <rv s="3">
    <fb>40.83</fb>
    <v>6</v>
  </rv>
  <rv s="3">
    <fb>44372</fb>
    <v>5</v>
  </rv>
  <rv s="3">
    <fb>44375</fb>
    <v>5</v>
  </rv>
  <rv s="3">
    <fb>41.56</fb>
    <v>6</v>
  </rv>
  <rv s="3">
    <fb>44376</fb>
    <v>5</v>
  </rv>
  <rv s="3">
    <fb>40.89</fb>
    <v>6</v>
  </rv>
  <rv s="3">
    <fb>44377</fb>
    <v>5</v>
  </rv>
  <rv s="3">
    <fb>41.23</fb>
    <v>6</v>
  </rv>
  <rv s="3">
    <fb>44378</fb>
    <v>5</v>
  </rv>
  <rv s="3">
    <fb>41.54</fb>
    <v>6</v>
  </rv>
  <rv s="3">
    <fb>44379</fb>
    <v>5</v>
  </rv>
  <rv s="3">
    <fb>41.15</fb>
    <v>6</v>
  </rv>
  <rv s="3">
    <fb>44383</fb>
    <v>5</v>
  </rv>
  <rv s="3">
    <fb>40.07</fb>
    <v>6</v>
  </rv>
  <rv s="3">
    <fb>44384</fb>
    <v>5</v>
  </rv>
  <rv s="3">
    <fb>44385</fb>
    <v>5</v>
  </rv>
  <rv s="3">
    <fb>44386</fb>
    <v>5</v>
  </rv>
  <rv s="3">
    <fb>40.04</fb>
    <v>6</v>
  </rv>
  <rv s="3">
    <fb>44389</fb>
    <v>5</v>
  </rv>
  <rv s="3">
    <fb>40.630000000000003</fb>
    <v>6</v>
  </rv>
  <rv s="3">
    <fb>44390</fb>
    <v>5</v>
  </rv>
  <rv s="3">
    <fb>39.86</fb>
    <v>6</v>
  </rv>
  <rv s="3">
    <fb>44391</fb>
    <v>5</v>
  </rv>
  <rv s="3">
    <fb>38.86</fb>
    <v>6</v>
  </rv>
  <rv s="3">
    <fb>44392</fb>
    <v>5</v>
  </rv>
  <rv s="3">
    <fb>38.83</fb>
    <v>6</v>
  </rv>
  <rv s="3">
    <fb>44393</fb>
    <v>5</v>
  </rv>
  <rv s="3">
    <fb>37.92</fb>
    <v>6</v>
  </rv>
  <rv s="3">
    <fb>44396</fb>
    <v>5</v>
  </rv>
  <rv s="3">
    <fb>44397</fb>
    <v>5</v>
  </rv>
  <rv s="3">
    <fb>37.69</fb>
    <v>6</v>
  </rv>
  <rv s="3">
    <fb>44398</fb>
    <v>5</v>
  </rv>
  <rv s="3">
    <fb>38.46</fb>
    <v>6</v>
  </rv>
  <rv s="3">
    <fb>44399</fb>
    <v>5</v>
  </rv>
  <rv s="3">
    <fb>37.96</fb>
    <v>6</v>
  </rv>
  <rv s="3">
    <fb>44400</fb>
    <v>5</v>
  </rv>
  <rv s="3">
    <fb>37.700000000000003</fb>
    <v>6</v>
  </rv>
  <rv s="3">
    <fb>44403</fb>
    <v>5</v>
  </rv>
  <rv s="3">
    <fb>44404</fb>
    <v>5</v>
  </rv>
  <rv s="3">
    <fb>37.979999999999997</fb>
    <v>6</v>
  </rv>
  <rv s="3">
    <fb>44405</fb>
    <v>5</v>
  </rv>
  <rv s="3">
    <fb>44406</fb>
    <v>5</v>
  </rv>
  <rv s="3">
    <fb>44407</fb>
    <v>5</v>
  </rv>
  <rv s="3">
    <fb>44410</fb>
    <v>5</v>
  </rv>
  <rv s="3">
    <fb>44411</fb>
    <v>5</v>
  </rv>
  <rv s="3">
    <fb>38.549999999999997</fb>
    <v>6</v>
  </rv>
  <rv s="3">
    <fb>44412</fb>
    <v>5</v>
  </rv>
  <rv s="3">
    <fb>38.270000000000003</fb>
    <v>6</v>
  </rv>
  <rv s="3">
    <fb>44413</fb>
    <v>5</v>
  </rv>
  <rv s="3">
    <fb>39.020000000000003</fb>
    <v>6</v>
  </rv>
  <rv s="3">
    <fb>44414</fb>
    <v>5</v>
  </rv>
  <rv s="3">
    <fb>40.15</fb>
    <v>6</v>
  </rv>
  <rv s="3">
    <fb>44417</fb>
    <v>5</v>
  </rv>
  <rv s="3">
    <fb>40.67</fb>
    <v>6</v>
  </rv>
  <rv s="3">
    <fb>44418</fb>
    <v>5</v>
  </rv>
  <rv s="3">
    <fb>41.43</fb>
    <v>6</v>
  </rv>
  <rv s="3">
    <fb>44419</fb>
    <v>5</v>
  </rv>
  <rv s="3">
    <fb>41.95</fb>
    <v>6</v>
  </rv>
  <rv s="3">
    <fb>44420</fb>
    <v>5</v>
  </rv>
  <rv s="3">
    <fb>42.15</fb>
    <v>6</v>
  </rv>
  <rv s="3">
    <fb>44421</fb>
    <v>5</v>
  </rv>
  <rv s="3">
    <fb>41.63</fb>
    <v>6</v>
  </rv>
  <rv s="3">
    <fb>44424</fb>
    <v>5</v>
  </rv>
  <rv s="3">
    <fb>41.29</fb>
    <v>6</v>
  </rv>
  <rv s="3">
    <fb>44425</fb>
    <v>5</v>
  </rv>
  <rv s="3">
    <fb>41.09</fb>
    <v>6</v>
  </rv>
  <rv s="3">
    <fb>44426</fb>
    <v>5</v>
  </rv>
  <rv s="3">
    <fb>40.79</fb>
    <v>6</v>
  </rv>
  <rv s="3">
    <fb>44427</fb>
    <v>5</v>
  </rv>
  <rv s="3">
    <fb>40.19</fb>
    <v>6</v>
  </rv>
  <rv s="3">
    <fb>44428</fb>
    <v>5</v>
  </rv>
  <rv s="3">
    <fb>40.369999999999997</fb>
    <v>6</v>
  </rv>
  <rv s="3">
    <fb>44431</fb>
    <v>5</v>
  </rv>
  <rv s="3">
    <fb>40.909999999999997</fb>
    <v>6</v>
  </rv>
  <rv s="3">
    <fb>44432</fb>
    <v>5</v>
  </rv>
  <rv s="3">
    <fb>41.48</fb>
    <v>6</v>
  </rv>
  <rv s="3">
    <fb>44433</fb>
    <v>5</v>
  </rv>
  <rv s="3">
    <fb>44434</fb>
    <v>5</v>
  </rv>
  <rv s="3">
    <fb>44435</fb>
    <v>5</v>
  </rv>
  <rv s="3">
    <fb>42.49</fb>
    <v>6</v>
  </rv>
  <rv s="3">
    <fb>44438</fb>
    <v>5</v>
  </rv>
  <rv s="3">
    <fb>41.66</fb>
    <v>6</v>
  </rv>
  <rv s="3">
    <fb>44439</fb>
    <v>5</v>
  </rv>
  <rv s="3">
    <fb>41.75</fb>
    <v>6</v>
  </rv>
  <rv s="3">
    <fb>44440</fb>
    <v>5</v>
  </rv>
  <rv s="3">
    <fb>41.19</fb>
    <v>6</v>
  </rv>
  <rv s="3">
    <fb>44441</fb>
    <v>5</v>
  </rv>
  <rv s="3">
    <fb>41.02</fb>
    <v>6</v>
  </rv>
  <rv s="3">
    <fb>44442</fb>
    <v>5</v>
  </rv>
  <rv s="3">
    <fb>41.05</fb>
    <v>6</v>
  </rv>
  <rv s="3">
    <fb>44446</fb>
    <v>5</v>
  </rv>
  <rv s="3">
    <fb>41.32</fb>
    <v>6</v>
  </rv>
  <rv s="3">
    <fb>44447</fb>
    <v>5</v>
  </rv>
  <rv s="3">
    <fb>40.78</fb>
    <v>6</v>
  </rv>
  <rv s="3">
    <fb>44448</fb>
    <v>5</v>
  </rv>
  <rv s="3">
    <fb>40.93</fb>
    <v>6</v>
  </rv>
  <rv s="3">
    <fb>44449</fb>
    <v>5</v>
  </rv>
  <rv s="3">
    <fb>40.270000000000003</fb>
    <v>6</v>
  </rv>
  <rv s="3">
    <fb>44452</fb>
    <v>5</v>
  </rv>
  <rv s="3">
    <fb>40.94</fb>
    <v>6</v>
  </rv>
  <rv s="3">
    <fb>44453</fb>
    <v>5</v>
  </rv>
  <rv s="3">
    <fb>39.840000000000003</fb>
    <v>6</v>
  </rv>
  <rv s="3">
    <fb>44454</fb>
    <v>5</v>
  </rv>
  <rv s="3">
    <fb>40.14</fb>
    <v>6</v>
  </rv>
  <rv s="3">
    <fb>44455</fb>
    <v>5</v>
  </rv>
  <rv s="3">
    <fb>40.450000000000003</fb>
    <v>6</v>
  </rv>
  <rv s="3">
    <fb>44456</fb>
    <v>5</v>
  </rv>
  <rv s="3">
    <fb>40.5</fb>
    <v>6</v>
  </rv>
  <rv s="3">
    <fb>44459</fb>
    <v>5</v>
  </rv>
  <rv s="3">
    <fb>39.11</fb>
    <v>6</v>
  </rv>
  <rv s="3">
    <fb>44460</fb>
    <v>5</v>
  </rv>
  <rv s="3">
    <fb>39.130000000000003</fb>
    <v>6</v>
  </rv>
  <rv s="3">
    <fb>44461</fb>
    <v>5</v>
  </rv>
  <rv s="3">
    <fb>44462</fb>
    <v>5</v>
  </rv>
  <rv s="3">
    <fb>44463</fb>
    <v>5</v>
  </rv>
  <rv s="3">
    <fb>42.14</fb>
    <v>6</v>
  </rv>
  <rv s="3">
    <fb>44466</fb>
    <v>5</v>
  </rv>
  <rv s="3">
    <fb>43.26</fb>
    <v>6</v>
  </rv>
  <rv s="3">
    <fb>44467</fb>
    <v>5</v>
  </rv>
  <rv s="3">
    <fb>43.16</fb>
    <v>6</v>
  </rv>
  <rv s="3">
    <fb>44468</fb>
    <v>5</v>
  </rv>
  <rv s="3">
    <fb>43.07</fb>
    <v>6</v>
  </rv>
  <rv s="3">
    <fb>44469</fb>
    <v>5</v>
  </rv>
  <rv s="3">
    <fb>42.45</fb>
    <v>6</v>
  </rv>
  <rv s="3">
    <fb>44470</fb>
    <v>5</v>
  </rv>
  <rv s="3">
    <fb>43.08</fb>
    <v>6</v>
  </rv>
  <rv s="3">
    <fb>44473</fb>
    <v>5</v>
  </rv>
  <rv s="3">
    <fb>43.34</fb>
    <v>6</v>
  </rv>
  <rv s="3">
    <fb>44474</fb>
    <v>5</v>
  </rv>
  <rv s="3">
    <fb>44.22</fb>
    <v>6</v>
  </rv>
  <rv s="3">
    <fb>44475</fb>
    <v>5</v>
  </rv>
  <rv s="3">
    <fb>44.24</fb>
    <v>6</v>
  </rv>
  <rv s="3">
    <fb>44476</fb>
    <v>5</v>
  </rv>
  <rv s="3">
    <fb>44.12</fb>
    <v>6</v>
  </rv>
  <rv s="3">
    <fb>44477</fb>
    <v>5</v>
  </rv>
  <rv s="3">
    <fb>44.34</fb>
    <v>6</v>
  </rv>
  <rv s="3">
    <fb>44480</fb>
    <v>5</v>
  </rv>
  <rv s="3">
    <fb>43.78</fb>
    <v>6</v>
  </rv>
  <rv s="3">
    <fb>44481</fb>
    <v>5</v>
  </rv>
  <rv s="3">
    <fb>43.54</fb>
    <v>6</v>
  </rv>
  <rv s="3">
    <fb>44482</fb>
    <v>5</v>
  </rv>
  <rv s="3">
    <fb>43.14</fb>
    <v>6</v>
  </rv>
  <rv s="3">
    <fb>44483</fb>
    <v>5</v>
  </rv>
  <rv s="3">
    <fb>45.07</fb>
    <v>6</v>
  </rv>
  <rv s="3">
    <fb>44484</fb>
    <v>5</v>
  </rv>
  <rv s="3">
    <fb>44487</fb>
    <v>5</v>
  </rv>
  <rv s="3">
    <fb>46.28</fb>
    <v>6</v>
  </rv>
  <rv s="3">
    <fb>44488</fb>
    <v>5</v>
  </rv>
  <rv s="3">
    <fb>46.48</fb>
    <v>6</v>
  </rv>
  <rv s="3">
    <fb>44489</fb>
    <v>5</v>
  </rv>
  <rv s="3">
    <fb>47.09</fb>
    <v>6</v>
  </rv>
  <rv s="3">
    <fb>44490</fb>
    <v>5</v>
  </rv>
  <rv s="3">
    <fb>46.83</fb>
    <v>6</v>
  </rv>
  <rv s="3">
    <fb>44491</fb>
    <v>5</v>
  </rv>
  <rv s="3">
    <fb>47.57</fb>
    <v>6</v>
  </rv>
  <rv s="3">
    <fb>44494</fb>
    <v>5</v>
  </rv>
  <rv s="3">
    <fb>47.51</fb>
    <v>6</v>
  </rv>
  <rv s="3">
    <fb>44495</fb>
    <v>5</v>
  </rv>
  <rv s="3">
    <fb>47.96</fb>
    <v>6</v>
  </rv>
  <rv s="3">
    <fb>44496</fb>
    <v>5</v>
  </rv>
  <rv s="3">
    <fb>47.04</fb>
    <v>6</v>
  </rv>
  <rv s="3">
    <fb>44497</fb>
    <v>5</v>
  </rv>
  <rv s="3">
    <fb>47.78</fb>
    <v>6</v>
  </rv>
  <rv s="3">
    <fb>44498</fb>
    <v>5</v>
  </rv>
  <rv s="3">
    <fb>44501</fb>
    <v>5</v>
  </rv>
  <rv s="3">
    <fb>47.85</fb>
    <v>6</v>
  </rv>
  <rv s="3">
    <fb>44502</fb>
    <v>5</v>
  </rv>
  <rv s="3">
    <fb>47.88</fb>
    <v>6</v>
  </rv>
  <rv s="3">
    <fb>44503</fb>
    <v>5</v>
  </rv>
  <rv s="3">
    <fb>48.37</fb>
    <v>6</v>
  </rv>
  <rv s="3">
    <fb>44504</fb>
    <v>5</v>
  </rv>
  <rv s="3">
    <fb>47.33</fb>
    <v>6</v>
  </rv>
  <rv s="3">
    <fb>44505</fb>
    <v>5</v>
  </rv>
  <rv s="3">
    <fb>46.97</fb>
    <v>6</v>
  </rv>
  <rv s="3">
    <fb>44508</fb>
    <v>5</v>
  </rv>
  <rv s="3">
    <fb>47.34</fb>
    <v>6</v>
  </rv>
  <rv s="3">
    <fb>44509</fb>
    <v>5</v>
  </rv>
  <rv s="3">
    <fb>46.88</fb>
    <v>6</v>
  </rv>
  <rv s="3">
    <fb>44510</fb>
    <v>5</v>
  </rv>
  <rv s="3">
    <fb>47.23</fb>
    <v>6</v>
  </rv>
  <rv s="3">
    <fb>44511</fb>
    <v>5</v>
  </rv>
  <rv s="3">
    <fb>47.49</fb>
    <v>6</v>
  </rv>
  <rv s="3">
    <fb>44512</fb>
    <v>5</v>
  </rv>
  <rv s="3">
    <fb>46.91</fb>
    <v>6</v>
  </rv>
  <rv s="3">
    <fb>44515</fb>
    <v>5</v>
  </rv>
  <rv s="3">
    <fb>47.05</fb>
    <v>6</v>
  </rv>
  <rv s="3">
    <fb>44516</fb>
    <v>5</v>
  </rv>
  <rv s="3">
    <fb>47.08</fb>
    <v>6</v>
  </rv>
  <rv s="3">
    <fb>44517</fb>
    <v>5</v>
  </rv>
  <rv s="3">
    <fb>46.51</fb>
    <v>6</v>
  </rv>
  <rv s="3">
    <fb>44518</fb>
    <v>5</v>
  </rv>
  <rv s="3">
    <fb>46.32</fb>
    <v>6</v>
  </rv>
  <rv s="3">
    <fb>44519</fb>
    <v>5</v>
  </rv>
  <rv s="3">
    <fb>45.4</fb>
    <v>6</v>
  </rv>
  <rv s="3">
    <fb>44522</fb>
    <v>5</v>
  </rv>
  <rv s="3">
    <fb>44523</fb>
    <v>5</v>
  </rv>
  <rv s="3">
    <fb>47.5</fb>
    <v>6</v>
  </rv>
  <rv s="3">
    <fb>44524</fb>
    <v>5</v>
  </rv>
  <rv s="3">
    <fb>47.63</fb>
    <v>6</v>
  </rv>
  <rv s="3">
    <fb>44526</fb>
    <v>5</v>
  </rv>
  <rv s="3">
    <fb>45.76</fb>
    <v>6</v>
  </rv>
  <rv s="3">
    <fb>44529</fb>
    <v>5</v>
  </rv>
  <rv s="3">
    <fb>45.59</fb>
    <v>6</v>
  </rv>
  <rv s="3">
    <fb>44530</fb>
    <v>5</v>
  </rv>
  <rv s="3">
    <fb>44531</fb>
    <v>5</v>
  </rv>
  <rv s="3">
    <fb>43.84</fb>
    <v>6</v>
  </rv>
  <rv s="3">
    <fb>44532</fb>
    <v>5</v>
  </rv>
  <rv s="3">
    <fb>44.89</fb>
    <v>6</v>
  </rv>
  <rv s="3">
    <fb>44533</fb>
    <v>5</v>
  </rv>
  <rv s="3">
    <fb>43.87</fb>
    <v>6</v>
  </rv>
  <rv s="3">
    <fb>44536</fb>
    <v>5</v>
  </rv>
  <rv s="3">
    <fb>44.15</fb>
    <v>6</v>
  </rv>
  <rv s="3">
    <fb>44537</fb>
    <v>5</v>
  </rv>
  <rv s="3">
    <fb>44.71</fb>
    <v>6</v>
  </rv>
  <rv s="3">
    <fb>44538</fb>
    <v>5</v>
  </rv>
  <rv s="3">
    <fb>44.16</fb>
    <v>6</v>
  </rv>
  <rv s="3">
    <fb>44539</fb>
    <v>5</v>
  </rv>
  <rv s="3">
    <fb>44.49</fb>
    <v>6</v>
  </rv>
  <rv s="3">
    <fb>44540</fb>
    <v>5</v>
  </rv>
  <rv s="3">
    <fb>44.52</fb>
    <v>6</v>
  </rv>
  <rv s="3">
    <fb>44543</fb>
    <v>5</v>
  </rv>
  <rv s="3">
    <fb>43.58</fb>
    <v>6</v>
  </rv>
  <rv s="3">
    <fb>44544</fb>
    <v>5</v>
  </rv>
  <rv s="3">
    <fb>44545</fb>
    <v>5</v>
  </rv>
  <rv s="3">
    <fb>43.94</fb>
    <v>6</v>
  </rv>
  <rv s="3">
    <fb>44546</fb>
    <v>5</v>
  </rv>
  <rv s="3">
    <fb>45</fb>
    <v>6</v>
  </rv>
  <rv s="3">
    <fb>44547</fb>
    <v>5</v>
  </rv>
  <rv s="3">
    <fb>43.88</fb>
    <v>6</v>
  </rv>
  <rv s="3">
    <fb>44550</fb>
    <v>5</v>
  </rv>
  <rv s="3">
    <fb>44551</fb>
    <v>5</v>
  </rv>
  <rv s="3">
    <fb>44.19</fb>
    <v>6</v>
  </rv>
  <rv s="3">
    <fb>44552</fb>
    <v>5</v>
  </rv>
  <rv s="3">
    <fb>44553</fb>
    <v>5</v>
  </rv>
  <rv s="3">
    <fb>44.42</fb>
    <v>6</v>
  </rv>
  <rv s="3">
    <fb>44557</fb>
    <v>5</v>
  </rv>
  <rv s="3">
    <fb>44.64</fb>
    <v>6</v>
  </rv>
  <rv s="3">
    <fb>44558</fb>
    <v>5</v>
  </rv>
  <rv s="3">
    <fb>44.7</fb>
    <v>6</v>
  </rv>
  <rv s="3">
    <fb>44559</fb>
    <v>5</v>
  </rv>
  <rv s="3">
    <fb>44.63</fb>
    <v>6</v>
  </rv>
  <rv s="3">
    <fb>44560</fb>
    <v>5</v>
  </rv>
  <rv s="3">
    <fb>44.53</fb>
    <v>6</v>
  </rv>
  <rv s="3">
    <fb>44561</fb>
    <v>5</v>
  </rv>
  <rv s="3">
    <fb>44564</fb>
    <v>5</v>
  </rv>
  <rv s="3">
    <fb>46.18</fb>
    <v>6</v>
  </rv>
  <rv s="3">
    <fb>44565</fb>
    <v>5</v>
  </rv>
  <rv s="3">
    <fb>47.99</fb>
    <v>6</v>
  </rv>
  <rv s="3">
    <fb>44566</fb>
    <v>5</v>
  </rv>
  <rv s="3">
    <fb>47.18</fb>
    <v>6</v>
  </rv>
  <rv s="3">
    <fb>44567</fb>
    <v>5</v>
  </rv>
  <rv s="3">
    <fb>48.13</fb>
    <v>6</v>
  </rv>
  <rv s="3">
    <fb>44568</fb>
    <v>5</v>
  </rv>
  <rv s="3">
    <fb>49.18</fb>
    <v>6</v>
  </rv>
  <rv s="3">
    <fb>44571</fb>
    <v>5</v>
  </rv>
  <rv s="3">
    <fb>48.93</fb>
    <v>6</v>
  </rv>
  <rv s="3">
    <fb>44572</fb>
    <v>5</v>
  </rv>
  <rv s="3">
    <fb>49.21</fb>
    <v>6</v>
  </rv>
  <rv s="3">
    <fb>44573</fb>
    <v>5</v>
  </rv>
  <rv s="3">
    <fb>48.86</fb>
    <v>6</v>
  </rv>
  <rv s="3">
    <fb>44574</fb>
    <v>5</v>
  </rv>
  <rv s="3">
    <fb>48.76</fb>
    <v>6</v>
  </rv>
  <rv s="3">
    <fb>44575</fb>
    <v>5</v>
  </rv>
  <rv s="3">
    <fb>47.91</fb>
    <v>6</v>
  </rv>
  <rv s="3">
    <fb>44579</fb>
    <v>5</v>
  </rv>
  <rv s="3">
    <fb>46.26</fb>
    <v>6</v>
  </rv>
  <rv s="3">
    <fb>44580</fb>
    <v>5</v>
  </rv>
  <rv s="3">
    <fb>46.44</fb>
    <v>6</v>
  </rv>
  <rv s="3">
    <fb>44581</fb>
    <v>5</v>
  </rv>
  <rv s="3">
    <fb>45.75</fb>
    <v>6</v>
  </rv>
  <rv s="3">
    <fb>44582</fb>
    <v>5</v>
  </rv>
  <rv s="3">
    <fb>44.92</fb>
    <v>6</v>
  </rv>
  <rv s="3">
    <fb>44585</fb>
    <v>5</v>
  </rv>
  <rv s="3">
    <fb>44.55</fb>
    <v>6</v>
  </rv>
  <rv s="3">
    <fb>44586</fb>
    <v>5</v>
  </rv>
  <rv s="3">
    <fb>45.43</fb>
    <v>6</v>
  </rv>
  <rv s="3">
    <fb>44587</fb>
    <v>5</v>
  </rv>
  <rv s="3">
    <fb>45.9</fb>
    <v>6</v>
  </rv>
  <rv s="3">
    <fb>44588</fb>
    <v>5</v>
  </rv>
  <rv s="3">
    <fb>45.47</fb>
    <v>6</v>
  </rv>
  <rv s="3">
    <fb>44589</fb>
    <v>5</v>
  </rv>
  <rv s="3">
    <fb>45.87</fb>
    <v>6</v>
  </rv>
  <rv s="3">
    <fb>44592</fb>
    <v>5</v>
  </rv>
  <rv s="3">
    <fb>46.14</fb>
    <v>6</v>
  </rv>
  <rv s="3">
    <fb>44593</fb>
    <v>5</v>
  </rv>
  <rv s="3">
    <fb>46.94</fb>
    <v>6</v>
  </rv>
  <rv s="3">
    <fb>44594</fb>
    <v>5</v>
  </rv>
  <rv s="3">
    <fb>46.89</fb>
    <v>6</v>
  </rv>
  <rv s="3">
    <fb>44595</fb>
    <v>5</v>
  </rv>
  <rv s="3">
    <fb>46.43</fb>
    <v>6</v>
  </rv>
  <rv s="3">
    <fb>44596</fb>
    <v>5</v>
  </rv>
  <rv s="3">
    <fb>48.28</fb>
    <v>6</v>
  </rv>
  <rv s="3">
    <fb>44599</fb>
    <v>5</v>
  </rv>
  <rv s="3">
    <fb>48.51</fb>
    <v>6</v>
  </rv>
  <rv s="3">
    <fb>44600</fb>
    <v>5</v>
  </rv>
  <rv s="3">
    <fb>49.38</fb>
    <v>6</v>
  </rv>
  <rv s="3">
    <fb>44601</fb>
    <v>5</v>
  </rv>
  <rv s="3">
    <fb>49.28</fb>
    <v>6</v>
  </rv>
  <rv s="3">
    <fb>44602</fb>
    <v>5</v>
  </rv>
  <rv s="3">
    <fb>49.05</fb>
    <v>6</v>
  </rv>
  <rv s="3">
    <fb>44603</fb>
    <v>5</v>
  </rv>
  <rv s="3">
    <fb>47.92</fb>
    <v>6</v>
  </rv>
  <rv s="3">
    <fb>44606</fb>
    <v>5</v>
  </rv>
  <rv s="3">
    <fb>47.42</fb>
    <v>6</v>
  </rv>
  <rv s="3">
    <fb>44607</fb>
    <v>5</v>
  </rv>
  <rv s="3">
    <fb>47.79</fb>
    <v>6</v>
  </rv>
  <rv s="3">
    <fb>44608</fb>
    <v>5</v>
  </rv>
  <rv s="3">
    <fb>47.68</fb>
    <v>6</v>
  </rv>
  <rv s="3">
    <fb>44609</fb>
    <v>5</v>
  </rv>
  <rv s="3">
    <fb>46.07</fb>
    <v>6</v>
  </rv>
  <rv s="3">
    <fb>44610</fb>
    <v>5</v>
  </rv>
  <rv s="3">
    <fb>45.96</fb>
    <v>6</v>
  </rv>
  <rv s="3">
    <fb>44614</fb>
    <v>5</v>
  </rv>
  <rv s="3">
    <fb>45.56</fb>
    <v>6</v>
  </rv>
  <rv s="3">
    <fb>44615</fb>
    <v>5</v>
  </rv>
  <rv s="3">
    <fb>44.78</fb>
    <v>6</v>
  </rv>
  <rv s="3">
    <fb>44616</fb>
    <v>5</v>
  </rv>
  <rv s="3">
    <fb>43.6</fb>
    <v>6</v>
  </rv>
  <rv s="3">
    <fb>44617</fb>
    <v>5</v>
  </rv>
  <rv s="3">
    <fb>45.02</fb>
    <v>6</v>
  </rv>
  <rv s="3">
    <fb>44620</fb>
    <v>5</v>
  </rv>
  <rv s="3">
    <fb>44.2</fb>
    <v>6</v>
  </rv>
  <rv s="3">
    <fb>44621</fb>
    <v>5</v>
  </rv>
  <rv s="3">
    <fb>42.47</fb>
    <v>6</v>
  </rv>
  <rv s="3">
    <fb>44622</fb>
    <v>5</v>
  </rv>
  <rv s="3">
    <fb>44623</fb>
    <v>5</v>
  </rv>
  <rv s="3">
    <fb>44624</fb>
    <v>5</v>
  </rv>
  <rv s="3">
    <fb>40.950000000000003</fb>
    <v>6</v>
  </rv>
  <rv s="3">
    <fb>44627</fb>
    <v>5</v>
  </rv>
  <rv s="3">
    <fb>38.340000000000003</fb>
    <v>6</v>
  </rv>
  <rv s="3">
    <fb>44628</fb>
    <v>5</v>
  </rv>
  <rv s="3">
    <fb>38.590000000000003</fb>
    <v>6</v>
  </rv>
  <rv s="3">
    <fb>44629</fb>
    <v>5</v>
  </rv>
  <rv s="3">
    <fb>41.04</fb>
    <v>6</v>
  </rv>
  <rv s="3">
    <fb>44630</fb>
    <v>5</v>
  </rv>
  <rv s="3">
    <fb>44631</fb>
    <v>5</v>
  </rv>
  <rv s="3">
    <fb>40.33</fb>
    <v>6</v>
  </rv>
  <rv s="3">
    <fb>44634</fb>
    <v>5</v>
  </rv>
  <rv s="3">
    <fb>41.2</fb>
    <v>6</v>
  </rv>
  <rv s="3">
    <fb>44635</fb>
    <v>5</v>
  </rv>
  <rv s="3">
    <fb>41.5</fb>
    <v>6</v>
  </rv>
  <rv s="3">
    <fb>44636</fb>
    <v>5</v>
  </rv>
  <rv s="3">
    <fb>44637</fb>
    <v>5</v>
  </rv>
  <rv s="3">
    <fb>43.03</fb>
    <v>6</v>
  </rv>
  <rv s="3">
    <fb>44638</fb>
    <v>5</v>
  </rv>
  <rv s="3">
    <fb>42.9</fb>
    <v>6</v>
  </rv>
  <rv s="3">
    <fb>44641</fb>
    <v>5</v>
  </rv>
  <rv s="3">
    <fb>42.84</fb>
    <v>6</v>
  </rv>
  <rv s="3">
    <fb>44642</fb>
    <v>5</v>
  </rv>
  <rv s="3">
    <fb>44.18</fb>
    <v>6</v>
  </rv>
  <rv s="3">
    <fb>44643</fb>
    <v>5</v>
  </rv>
  <rv s="3">
    <fb>43.09</fb>
    <v>6</v>
  </rv>
  <rv s="3">
    <fb>44644</fb>
    <v>5</v>
  </rv>
  <rv s="3">
    <fb>44645</fb>
    <v>5</v>
  </rv>
  <rv s="3">
    <fb>43.73</fb>
    <v>6</v>
  </rv>
  <rv s="3">
    <fb>44648</fb>
    <v>5</v>
  </rv>
  <rv s="3">
    <fb>43.55</fb>
    <v>6</v>
  </rv>
  <rv s="3">
    <fb>44649</fb>
    <v>5</v>
  </rv>
  <rv s="3">
    <fb>43.44</fb>
    <v>6</v>
  </rv>
  <rv s="3">
    <fb>44650</fb>
    <v>5</v>
  </rv>
  <rv s="3">
    <fb>43</fb>
    <v>6</v>
  </rv>
  <rv s="3">
    <fb>44651</fb>
    <v>5</v>
  </rv>
  <rv s="3">
    <fb>41.22</fb>
    <v>6</v>
  </rv>
  <rv s="3">
    <fb>44652</fb>
    <v>5</v>
  </rv>
  <rv s="3">
    <fb>40.9</fb>
    <v>6</v>
  </rv>
  <rv s="3">
    <fb>44655</fb>
    <v>5</v>
  </rv>
  <rv s="3">
    <fb>44656</fb>
    <v>5</v>
  </rv>
  <rv s="3">
    <fb>44657</fb>
    <v>5</v>
  </rv>
  <rv s="3">
    <fb>44658</fb>
    <v>5</v>
  </rv>
  <rv s="3">
    <fb>39.39</fb>
    <v>6</v>
  </rv>
  <rv s="3">
    <fb>44659</fb>
    <v>5</v>
  </rv>
  <rv s="3">
    <fb>39.67</fb>
    <v>6</v>
  </rv>
  <rv s="3">
    <fb>44662</fb>
    <v>5</v>
  </rv>
  <rv s="3">
    <fb>39.590000000000003</fb>
    <v>6</v>
  </rv>
  <rv s="3">
    <fb>44663</fb>
    <v>5</v>
  </rv>
  <rv s="3">
    <fb>44664</fb>
    <v>5</v>
  </rv>
  <rv s="3">
    <fb>38.82</fb>
    <v>6</v>
  </rv>
  <rv s="3">
    <fb>44665</fb>
    <v>5</v>
  </rv>
  <rv s="3">
    <fb>37.57</fb>
    <v>6</v>
  </rv>
  <rv s="3">
    <fb>44669</fb>
    <v>5</v>
  </rv>
  <rv s="3">
    <fb>38.85</fb>
    <v>6</v>
  </rv>
  <rv s="3">
    <fb>44670</fb>
    <v>5</v>
  </rv>
  <rv s="3">
    <fb>39.57</fb>
    <v>6</v>
  </rv>
  <rv s="3">
    <fb>44671</fb>
    <v>5</v>
  </rv>
  <rv s="3">
    <fb>39.659999999999997</fb>
    <v>6</v>
  </rv>
  <rv s="3">
    <fb>44672</fb>
    <v>5</v>
  </rv>
  <rv s="3">
    <fb>38.909999999999997</fb>
    <v>6</v>
  </rv>
  <rv s="3">
    <fb>44673</fb>
    <v>5</v>
  </rv>
  <rv s="3">
    <fb>37.56</fb>
    <v>6</v>
  </rv>
  <rv s="3">
    <fb>44676</fb>
    <v>5</v>
  </rv>
  <rv s="3">
    <fb>37.29</fb>
    <v>6</v>
  </rv>
  <rv s="3">
    <fb>44677</fb>
    <v>5</v>
  </rv>
  <rv s="3">
    <fb>36.450000000000003</fb>
    <v>6</v>
  </rv>
  <rv s="3">
    <fb>44678</fb>
    <v>5</v>
  </rv>
  <rv s="3">
    <fb>36.25</fb>
    <v>6</v>
  </rv>
  <rv s="3">
    <fb>44679</fb>
    <v>5</v>
  </rv>
  <rv s="3">
    <fb>36.81</fb>
    <v>6</v>
  </rv>
  <rv s="3">
    <fb>44680</fb>
    <v>5</v>
  </rv>
  <rv s="3">
    <fb>35.68</fb>
    <v>6</v>
  </rv>
  <rv s="3">
    <fb>44683</fb>
    <v>5</v>
  </rv>
  <rv s="3">
    <fb>36.14</fb>
    <v>6</v>
  </rv>
  <rv s="3">
    <fb>44684</fb>
    <v>5</v>
  </rv>
  <rv s="3">
    <fb>44685</fb>
    <v>5</v>
  </rv>
  <rv s="3">
    <fb>38.619999999999997</fb>
    <v>6</v>
  </rv>
  <rv s="3">
    <fb>44686</fb>
    <v>5</v>
  </rv>
  <rv s="3">
    <fb>37.54</fb>
    <v>6</v>
  </rv>
  <rv s="3">
    <fb>44687</fb>
    <v>5</v>
  </rv>
  <rv s="3">
    <fb>37.450000000000003</fb>
    <v>6</v>
  </rv>
  <rv s="3">
    <fb>44690</fb>
    <v>5</v>
  </rv>
  <rv s="3">
    <fb>36.369999999999997</fb>
    <v>6</v>
  </rv>
  <rv s="3">
    <fb>44691</fb>
    <v>5</v>
  </rv>
  <rv s="3">
    <fb>35.76</fb>
    <v>6</v>
  </rv>
  <rv s="3">
    <fb>44692</fb>
    <v>5</v>
  </rv>
  <rv s="3">
    <fb>35.57</fb>
    <v>6</v>
  </rv>
  <rv s="3">
    <fb>44693</fb>
    <v>5</v>
  </rv>
  <rv s="3">
    <fb>35.07</fb>
    <v>6</v>
  </rv>
  <rv s="3">
    <fb>44694</fb>
    <v>5</v>
  </rv>
  <rv s="3">
    <fb>35.17</fb>
    <v>6</v>
  </rv>
  <rv s="3">
    <fb>44697</fb>
    <v>5</v>
  </rv>
  <rv s="3">
    <fb>34.81</fb>
    <v>6</v>
  </rv>
  <rv s="3">
    <fb>44698</fb>
    <v>5</v>
  </rv>
  <rv s="3">
    <fb>35.99</fb>
    <v>6</v>
  </rv>
  <rv s="3">
    <fb>44699</fb>
    <v>5</v>
  </rv>
  <rv s="3">
    <fb>34.880000000000003</fb>
    <v>6</v>
  </rv>
  <rv s="3">
    <fb>44700</fb>
    <v>5</v>
  </rv>
  <rv s="3">
    <fb>34.450000000000003</fb>
    <v>6</v>
  </rv>
  <rv s="3">
    <fb>44701</fb>
    <v>5</v>
  </rv>
  <rv s="3">
    <fb>33.86</fb>
    <v>6</v>
  </rv>
  <rv s="3">
    <fb>44704</fb>
    <v>5</v>
  </rv>
  <rv s="3">
    <fb>35.869999999999997</fb>
    <v>6</v>
  </rv>
  <rv s="3">
    <fb>44705</fb>
    <v>5</v>
  </rv>
  <rv s="3">
    <fb>35.65</fb>
    <v>6</v>
  </rv>
  <rv s="3">
    <fb>44706</fb>
    <v>5</v>
  </rv>
  <rv s="3">
    <fb>35.840000000000003</fb>
    <v>6</v>
  </rv>
  <rv s="3">
    <fb>44707</fb>
    <v>5</v>
  </rv>
  <rv s="3">
    <fb>36.67</fb>
    <v>6</v>
  </rv>
  <rv s="3">
    <fb>44708</fb>
    <v>5</v>
  </rv>
  <rv s="3">
    <fb>37.020000000000003</fb>
    <v>6</v>
  </rv>
  <rv s="3">
    <fb>44712</fb>
    <v>5</v>
  </rv>
  <rv s="3">
    <fb>37.200000000000003</fb>
    <v>6</v>
  </rv>
  <rv s="3">
    <fb>44713</fb>
    <v>5</v>
  </rv>
  <rv s="3">
    <fb>44714</fb>
    <v>5</v>
  </rv>
  <rv s="3">
    <fb>36.700000000000003</fb>
    <v>6</v>
  </rv>
  <rv s="3">
    <fb>44715</fb>
    <v>5</v>
  </rv>
  <rv s="3">
    <fb>36.19</fb>
    <v>6</v>
  </rv>
  <rv s="3">
    <fb>44718</fb>
    <v>5</v>
  </rv>
  <rv s="3">
    <fb>36.15</fb>
    <v>6</v>
  </rv>
  <rv s="3">
    <fb>44719</fb>
    <v>5</v>
  </rv>
  <rv s="3">
    <fb>36.35</fb>
    <v>6</v>
  </rv>
  <rv s="3">
    <fb>44720</fb>
    <v>5</v>
  </rv>
  <rv s="3">
    <fb>35.89</fb>
    <v>6</v>
  </rv>
  <rv s="3">
    <fb>44721</fb>
    <v>5</v>
  </rv>
  <rv s="3">
    <fb>34.51</fb>
    <v>6</v>
  </rv>
  <rv s="3">
    <fb>44722</fb>
    <v>5</v>
  </rv>
  <rv s="3">
    <fb>33.17</fb>
    <v>6</v>
  </rv>
  <rv s="3">
    <fb>44725</fb>
    <v>5</v>
  </rv>
  <rv s="3">
    <fb>32.020000000000003</fb>
    <v>6</v>
  </rv>
  <rv s="3">
    <fb>44726</fb>
    <v>5</v>
  </rv>
  <rv s="3">
    <fb>31.46</fb>
    <v>6</v>
  </rv>
  <rv s="3">
    <fb>44727</fb>
    <v>5</v>
  </rv>
  <rv s="3">
    <fb>32.049999999999997</fb>
    <v>6</v>
  </rv>
  <rv s="3">
    <fb>44728</fb>
    <v>5</v>
  </rv>
  <rv s="3">
    <fb>31.85</fb>
    <v>6</v>
  </rv>
  <rv s="3">
    <fb>44729</fb>
    <v>5</v>
  </rv>
  <rv s="3">
    <fb>31.92</fb>
    <v>6</v>
  </rv>
  <rv s="3">
    <fb>44733</fb>
    <v>5</v>
  </rv>
  <rv s="3">
    <fb>32.85</fb>
    <v>6</v>
  </rv>
  <rv s="3">
    <fb>44734</fb>
    <v>5</v>
  </rv>
  <rv s="3">
    <fb>32.6</fb>
    <v>6</v>
  </rv>
  <rv s="3">
    <fb>44735</fb>
    <v>5</v>
  </rv>
  <rv s="3">
    <fb>32.08</fb>
    <v>6</v>
  </rv>
  <rv s="3">
    <fb>44736</fb>
    <v>5</v>
  </rv>
  <rv s="3">
    <fb>32.31</fb>
    <v>6</v>
  </rv>
  <rv s="3">
    <fb>44739</fb>
    <v>5</v>
  </rv>
  <rv s="3">
    <fb>32.35</fb>
    <v>6</v>
  </rv>
  <rv s="3">
    <fb>44740</fb>
    <v>5</v>
  </rv>
  <rv s="3">
    <fb>32.26</fb>
    <v>6</v>
  </rv>
  <rv s="3">
    <fb>44741</fb>
    <v>5</v>
  </rv>
  <rv s="3">
    <fb>31.86</fb>
    <v>6</v>
  </rv>
  <rv s="3">
    <fb>44742</fb>
    <v>5</v>
  </rv>
  <rv s="3">
    <fb>31.13</fb>
    <v>6</v>
  </rv>
  <rv s="3">
    <fb>44743</fb>
    <v>5</v>
  </rv>
  <rv s="3">
    <fb>31.56</fb>
    <v>6</v>
  </rv>
  <rv s="3">
    <fb>44747</fb>
    <v>5</v>
  </rv>
  <rv s="3">
    <fb>31.24</fb>
    <v>6</v>
  </rv>
  <rv s="3">
    <fb>44748</fb>
    <v>5</v>
  </rv>
  <rv s="3">
    <fb>30.98</fb>
    <v>6</v>
  </rv>
  <rv s="3">
    <fb>44749</fb>
    <v>5</v>
  </rv>
  <rv s="3">
    <fb>44750</fb>
    <v>5</v>
  </rv>
  <rv s="3">
    <fb>31.79</fb>
    <v>6</v>
  </rv>
  <rv s="3">
    <fb>44753</fb>
    <v>5</v>
  </rv>
  <rv s="3">
    <fb>44754</fb>
    <v>5</v>
  </rv>
  <rv s="3">
    <fb>31.36</fb>
    <v>6</v>
  </rv>
  <rv s="3">
    <fb>44755</fb>
    <v>5</v>
  </rv>
  <rv s="3">
    <fb>30.84</fb>
    <v>6</v>
  </rv>
  <rv s="3">
    <fb>44756</fb>
    <v>5</v>
  </rv>
  <rv s="3">
    <fb>30.13</fb>
    <v>6</v>
  </rv>
  <rv s="3">
    <fb>44757</fb>
    <v>5</v>
  </rv>
  <rv s="3">
    <fb>32.25</fb>
    <v>6</v>
  </rv>
  <rv s="3">
    <fb>44760</fb>
    <v>5</v>
  </rv>
  <rv s="3">
    <fb>44761</fb>
    <v>5</v>
  </rv>
  <rv s="3">
    <fb>33.35</fb>
    <v>6</v>
  </rv>
  <rv s="3">
    <fb>44762</fb>
    <v>5</v>
  </rv>
  <rv s="3">
    <fb>33.36</fb>
    <v>6</v>
  </rv>
  <rv s="3">
    <fb>44763</fb>
    <v>5</v>
  </rv>
  <rv s="3">
    <fb>33.65</fb>
    <v>6</v>
  </rv>
  <rv s="3">
    <fb>44764</fb>
    <v>5</v>
  </rv>
  <rv s="3">
    <fb>33.43</fb>
    <v>6</v>
  </rv>
  <rv s="3">
    <fb>44767</fb>
    <v>5</v>
  </rv>
  <rv s="3">
    <fb>33.729999999999997</fb>
    <v>6</v>
  </rv>
  <rv s="3">
    <fb>44768</fb>
    <v>5</v>
  </rv>
  <rv s="3">
    <fb>33.049999999999997</fb>
    <v>6</v>
  </rv>
  <rv s="3">
    <fb>44769</fb>
    <v>5</v>
  </rv>
  <rv s="3">
    <fb>33.590000000000003</fb>
    <v>6</v>
  </rv>
  <rv s="3">
    <fb>44770</fb>
    <v>5</v>
  </rv>
  <rv s="3">
    <fb>33.32</fb>
    <v>6</v>
  </rv>
  <rv s="3">
    <fb>44771</fb>
    <v>5</v>
  </rv>
  <rv s="3">
    <fb>33.81</fb>
    <v>6</v>
  </rv>
  <rv s="3">
    <fb>44774</fb>
    <v>5</v>
  </rv>
  <rv s="3">
    <fb>33.71</fb>
    <v>6</v>
  </rv>
  <rv s="3">
    <fb>44775</fb>
    <v>5</v>
  </rv>
  <rv s="3">
    <fb>33.04</fb>
    <v>6</v>
  </rv>
  <rv s="3">
    <fb>44776</fb>
    <v>5</v>
  </rv>
  <rv s="3">
    <fb>33.64</fb>
    <v>6</v>
  </rv>
  <rv s="3">
    <fb>44777</fb>
    <v>5</v>
  </rv>
  <rv s="3">
    <fb>33.4</fb>
    <v>6</v>
  </rv>
  <rv s="3">
    <fb>44778</fb>
    <v>5</v>
  </rv>
  <rv s="3">
    <fb>33.96</fb>
    <v>6</v>
  </rv>
  <rv s="3">
    <fb>44781</fb>
    <v>5</v>
  </rv>
  <rv s="3">
    <fb>33.49</fb>
    <v>6</v>
  </rv>
  <rv s="3">
    <fb>44782</fb>
    <v>5</v>
  </rv>
  <rv s="3">
    <fb>33.92</fb>
    <v>6</v>
  </rv>
  <rv s="3">
    <fb>44783</fb>
    <v>5</v>
  </rv>
  <rv s="3">
    <fb>44784</fb>
    <v>5</v>
  </rv>
  <rv s="3">
    <fb>35.909999999999997</fb>
    <v>6</v>
  </rv>
  <rv s="3">
    <fb>44785</fb>
    <v>5</v>
  </rv>
  <rv s="3">
    <fb>36.299999999999997</fb>
    <v>6</v>
  </rv>
  <rv s="3">
    <fb>44788</fb>
    <v>5</v>
  </rv>
  <rv s="3">
    <fb>44789</fb>
    <v>5</v>
  </rv>
  <rv s="3">
    <fb>44790</fb>
    <v>5</v>
  </rv>
  <rv s="3">
    <fb>36.409999999999997</fb>
    <v>6</v>
  </rv>
  <rv s="3">
    <fb>44791</fb>
    <v>5</v>
  </rv>
  <rv s="3">
    <fb>36.28</fb>
    <v>6</v>
  </rv>
  <rv s="3">
    <fb>44792</fb>
    <v>5</v>
  </rv>
  <rv s="3">
    <fb>35.479999999999997</fb>
    <v>6</v>
  </rv>
  <rv s="3">
    <fb>44795</fb>
    <v>5</v>
  </rv>
  <rv s="3">
    <fb>34.72</fb>
    <v>6</v>
  </rv>
  <rv s="3">
    <fb>44796</fb>
    <v>5</v>
  </rv>
  <rv s="3">
    <fb>34.409999999999997</fb>
    <v>6</v>
  </rv>
  <rv s="3">
    <fb>44797</fb>
    <v>5</v>
  </rv>
  <rv s="3">
    <fb>34.520000000000003</fb>
    <v>6</v>
  </rv>
  <rv s="3">
    <fb>44798</fb>
    <v>5</v>
  </rv>
  <rv s="3">
    <fb>35.14</fb>
    <v>6</v>
  </rv>
  <rv s="3">
    <fb>44799</fb>
    <v>5</v>
  </rv>
  <rv s="3">
    <fb>34.03</fb>
    <v>6</v>
  </rv>
  <rv s="3">
    <fb>44802</fb>
    <v>5</v>
  </rv>
  <rv s="3">
    <fb>33.9</fb>
    <v>6</v>
  </rv>
  <rv s="3">
    <fb>44803</fb>
    <v>5</v>
  </rv>
  <rv s="3">
    <fb>34.090000000000003</fb>
    <v>6</v>
  </rv>
  <rv s="3">
    <fb>44804</fb>
    <v>5</v>
  </rv>
  <rv s="3">
    <fb>33.61</fb>
    <v>6</v>
  </rv>
  <rv s="3">
    <fb>44805</fb>
    <v>5</v>
  </rv>
  <rv s="3">
    <fb>33.47</fb>
    <v>6</v>
  </rv>
  <rv s="3">
    <fb>44806</fb>
    <v>5</v>
  </rv>
  <rv s="3">
    <fb>44810</fb>
    <v>5</v>
  </rv>
  <rv s="3">
    <fb>44811</fb>
    <v>5</v>
  </rv>
  <rv s="3">
    <fb>33.57</fb>
    <v>6</v>
  </rv>
  <rv s="3">
    <fb>44812</fb>
    <v>5</v>
  </rv>
  <rv s="3">
    <fb>34.65</fb>
    <v>6</v>
  </rv>
  <rv s="3">
    <fb>44813</fb>
    <v>5</v>
  </rv>
  <rv s="3">
    <fb>34.94</fb>
    <v>6</v>
  </rv>
  <rv s="3">
    <fb>44816</fb>
    <v>5</v>
  </rv>
  <rv s="3">
    <fb>35.270000000000003</fb>
    <v>6</v>
  </rv>
  <rv s="3">
    <fb>44817</fb>
    <v>5</v>
  </rv>
  <rv s="3">
    <fb>34</fb>
    <v>6</v>
  </rv>
  <rv s="3">
    <fb>44818</fb>
    <v>5</v>
  </rv>
  <rv s="3">
    <fb>33.869999999999997</fb>
    <v>6</v>
  </rv>
  <rv s="3">
    <fb>44819</fb>
    <v>5</v>
  </rv>
  <rv s="3">
    <fb>44820</fb>
    <v>5</v>
  </rv>
  <rv s="3">
    <fb>34.119999999999997</fb>
    <v>6</v>
  </rv>
  <rv s="3">
    <fb>44823</fb>
    <v>5</v>
  </rv>
  <rv s="3">
    <fb>34.69</fb>
    <v>6</v>
  </rv>
  <rv s="3">
    <fb>44824</fb>
    <v>5</v>
  </rv>
  <rv s="3">
    <fb>34.17</fb>
    <v>6</v>
  </rv>
  <rv s="3">
    <fb>44825</fb>
    <v>5</v>
  </rv>
  <rv s="3">
    <fb>33.15</fb>
    <v>6</v>
  </rv>
  <rv s="3">
    <fb>44826</fb>
    <v>5</v>
  </rv>
  <rv s="3">
    <fb>32.5</fb>
    <v>6</v>
  </rv>
  <rv s="3">
    <fb>44827</fb>
    <v>5</v>
  </rv>
  <rv s="3">
    <fb>31.73</fb>
    <v>6</v>
  </rv>
  <rv s="3">
    <fb>44830</fb>
    <v>5</v>
  </rv>
  <rv s="3">
    <fb>31.03</fb>
    <v>6</v>
  </rv>
  <rv s="3">
    <fb>44831</fb>
    <v>5</v>
  </rv>
  <rv s="3">
    <fb>30.57</fb>
    <v>6</v>
  </rv>
  <rv s="3">
    <fb>44832</fb>
    <v>5</v>
  </rv>
  <rv s="3">
    <fb>31.07</fb>
    <v>6</v>
  </rv>
  <rv s="3">
    <fb>44833</fb>
    <v>5</v>
  </rv>
  <rv s="3">
    <fb>30.66</fb>
    <v>6</v>
  </rv>
  <rv s="3">
    <fb>44834</fb>
    <v>5</v>
  </rv>
  <rv s="3">
    <fb>30.2</fb>
    <v>6</v>
  </rv>
  <rv s="3">
    <fb>44837</fb>
    <v>5</v>
  </rv>
  <rv s="3">
    <fb>31.09</fb>
    <v>6</v>
  </rv>
  <rv s="3">
    <fb>44838</fb>
    <v>5</v>
  </rv>
  <rv s="3">
    <fb>32.380000000000003</fb>
    <v>6</v>
  </rv>
  <rv s="3">
    <fb>44839</fb>
    <v>5</v>
  </rv>
  <rv s="3">
    <fb>44840</fb>
    <v>5</v>
  </rv>
  <rv s="3">
    <fb>44841</fb>
    <v>5</v>
  </rv>
  <rv s="3">
    <fb>30.75</fb>
    <v>6</v>
  </rv>
  <rv s="3">
    <fb>44844</fb>
    <v>5</v>
  </rv>
  <rv s="3">
    <fb>44845</fb>
    <v>5</v>
  </rv>
  <rv s="3">
    <fb>29.77</fb>
    <v>6</v>
  </rv>
  <rv s="3">
    <fb>44846</fb>
    <v>5</v>
  </rv>
  <rv s="3">
    <fb>29.86</fb>
    <v>6</v>
  </rv>
  <rv s="3">
    <fb>44847</fb>
    <v>5</v>
  </rv>
  <rv s="3">
    <fb>31.69</fb>
    <v>6</v>
  </rv>
  <rv s="3">
    <fb>44848</fb>
    <v>5</v>
  </rv>
  <rv s="3">
    <fb>31.7</fb>
    <v>6</v>
  </rv>
  <rv s="3">
    <fb>44851</fb>
    <v>5</v>
  </rv>
  <rv s="3">
    <fb>33.619999999999997</fb>
    <v>6</v>
  </rv>
  <rv s="3">
    <fb>44852</fb>
    <v>5</v>
  </rv>
  <rv s="3">
    <fb>44853</fb>
    <v>5</v>
  </rv>
  <rv s="3">
    <fb>44854</fb>
    <v>5</v>
  </rv>
  <rv s="3">
    <fb>33.700000000000003</fb>
    <v>6</v>
  </rv>
  <rv s="3">
    <fb>44855</fb>
    <v>5</v>
  </rv>
  <rv s="3">
    <fb>34.950000000000003</fb>
    <v>6</v>
  </rv>
  <rv s="3">
    <fb>44858</fb>
    <v>5</v>
  </rv>
  <rv s="3">
    <fb>44859</fb>
    <v>5</v>
  </rv>
  <rv s="3">
    <fb>35.39</fb>
    <v>6</v>
  </rv>
  <rv s="3">
    <fb>44860</fb>
    <v>5</v>
  </rv>
  <rv s="3">
    <fb>35.700000000000003</fb>
    <v>6</v>
  </rv>
  <rv s="3">
    <fb>44861</fb>
    <v>5</v>
  </rv>
  <rv s="3">
    <fb>44862</fb>
    <v>5</v>
  </rv>
  <rv s="3">
    <fb>36.18</fb>
    <v>6</v>
  </rv>
  <rv s="3">
    <fb>44865</fb>
    <v>5</v>
  </rv>
  <rv s="3">
    <fb>36.04</fb>
    <v>6</v>
  </rv>
  <rv s="3">
    <fb>44866</fb>
    <v>5</v>
  </rv>
  <rv s="3">
    <fb>36.200000000000003</fb>
    <v>6</v>
  </rv>
  <rv s="3">
    <fb>44867</fb>
    <v>5</v>
  </rv>
  <rv s="3">
    <fb>36.090000000000003</fb>
    <v>6</v>
  </rv>
  <rv s="3">
    <fb>44868</fb>
    <v>5</v>
  </rv>
  <rv s="3">
    <fb>44869</fb>
    <v>5</v>
  </rv>
  <rv s="3">
    <fb>36.79</fb>
    <v>6</v>
  </rv>
  <rv s="3">
    <fb>44872</fb>
    <v>5</v>
  </rv>
  <rv s="3">
    <fb>37.01</fb>
    <v>6</v>
  </rv>
  <rv s="3">
    <fb>44873</fb>
    <v>5</v>
  </rv>
  <rv s="3">
    <fb>37.11</fb>
    <v>6</v>
  </rv>
  <rv s="3">
    <fb>44874</fb>
    <v>5</v>
  </rv>
  <rv s="3">
    <fb>36.520000000000003</fb>
    <v>6</v>
  </rv>
  <rv s="3">
    <fb>44875</fb>
    <v>5</v>
  </rv>
  <rv s="3">
    <fb>44876</fb>
    <v>5</v>
  </rv>
  <rv s="3">
    <fb>38.409999999999997</fb>
    <v>6</v>
  </rv>
  <rv s="3">
    <fb>44879</fb>
    <v>5</v>
  </rv>
  <rv s="3">
    <fb>37.76</fb>
    <v>6</v>
  </rv>
  <rv s="3">
    <fb>44880</fb>
    <v>5</v>
  </rv>
  <rv s="3">
    <fb>44881</fb>
    <v>5</v>
  </rv>
  <rv s="3">
    <fb>37.36</fb>
    <v>6</v>
  </rv>
  <rv s="3">
    <fb>44882</fb>
    <v>5</v>
  </rv>
  <rv s="3">
    <fb>37.17</fb>
    <v>6</v>
  </rv>
  <rv s="3">
    <fb>44883</fb>
    <v>5</v>
  </rv>
  <rv s="3">
    <fb>37.19</fb>
    <v>6</v>
  </rv>
  <rv s="3">
    <fb>44886</fb>
    <v>5</v>
  </rv>
  <rv s="3">
    <fb>37.31</fb>
    <v>6</v>
  </rv>
  <rv s="3">
    <fb>44887</fb>
    <v>5</v>
  </rv>
  <rv s="3">
    <fb>37.49</fb>
    <v>6</v>
  </rv>
  <rv s="3">
    <fb>44888</fb>
    <v>5</v>
  </rv>
  <rv s="3">
    <fb>37.61</fb>
    <v>6</v>
  </rv>
  <rv s="3">
    <fb>44890</fb>
    <v>5</v>
  </rv>
  <rv s="3">
    <fb>44893</fb>
    <v>5</v>
  </rv>
  <rv s="3">
    <fb>36.86</fb>
    <v>6</v>
  </rv>
  <rv s="3">
    <fb>44894</fb>
    <v>5</v>
  </rv>
  <rv s="3">
    <fb>37</fb>
    <v>6</v>
  </rv>
  <rv s="3">
    <fb>44895</fb>
    <v>5</v>
  </rv>
  <rv s="3">
    <fb>37.85</fb>
    <v>6</v>
  </rv>
  <rv s="3">
    <fb>44896</fb>
    <v>5</v>
  </rv>
  <rv s="3">
    <fb>36.549999999999997</fb>
    <v>6</v>
  </rv>
  <rv s="3">
    <fb>44897</fb>
    <v>5</v>
  </rv>
  <rv s="3">
    <fb>36.08</fb>
    <v>6</v>
  </rv>
  <rv s="3">
    <fb>44900</fb>
    <v>5</v>
  </rv>
  <rv s="3">
    <fb>44901</fb>
    <v>5</v>
  </rv>
  <rv s="3">
    <fb>33</fb>
    <v>6</v>
  </rv>
  <rv s="3">
    <fb>44902</fb>
    <v>5</v>
  </rv>
  <rv s="3">
    <fb>32.74</fb>
    <v>6</v>
  </rv>
  <rv s="3">
    <fb>44903</fb>
    <v>5</v>
  </rv>
  <rv s="3">
    <fb>32.44</fb>
    <v>6</v>
  </rv>
  <rv s="3">
    <fb>44904</fb>
    <v>5</v>
  </rv>
  <rv s="3">
    <fb>44907</fb>
    <v>5</v>
  </rv>
  <rv s="3">
    <fb>32.729999999999997</fb>
    <v>6</v>
  </rv>
  <rv s="3">
    <fb>44908</fb>
    <v>5</v>
  </rv>
  <rv s="3">
    <fb>32.75</fb>
    <v>6</v>
  </rv>
  <rv s="3">
    <fb>44909</fb>
    <v>5</v>
  </rv>
  <rv s="3">
    <fb>32.28</fb>
    <v>6</v>
  </rv>
  <rv s="3">
    <fb>44910</fb>
    <v>5</v>
  </rv>
  <rv s="3">
    <fb>31.77</fb>
    <v>6</v>
  </rv>
  <rv s="3">
    <fb>44911</fb>
    <v>5</v>
  </rv>
  <rv s="3">
    <fb>44914</fb>
    <v>5</v>
  </rv>
  <rv s="3">
    <fb>32.06</fb>
    <v>6</v>
  </rv>
  <rv s="3">
    <fb>44915</fb>
    <v>5</v>
  </rv>
  <rv s="3">
    <fb>32.19</fb>
    <v>6</v>
  </rv>
  <rv s="3">
    <fb>44916</fb>
    <v>5</v>
  </rv>
  <rv s="3">
    <fb>32.68</fb>
    <v>6</v>
  </rv>
  <rv s="3">
    <fb>44917</fb>
    <v>5</v>
  </rv>
  <rv s="3">
    <fb>32.39</fb>
    <v>6</v>
  </rv>
  <rv s="3">
    <fb>44918</fb>
    <v>5</v>
  </rv>
  <rv s="3">
    <fb>32.47</fb>
    <v>6</v>
  </rv>
  <rv s="3">
    <fb>44922</fb>
    <v>5</v>
  </rv>
  <rv s="3">
    <fb>32.53</fb>
    <v>6</v>
  </rv>
  <rv s="3">
    <fb>44923</fb>
    <v>5</v>
  </rv>
  <rv s="3">
    <fb>32.770000000000003</fb>
    <v>6</v>
  </rv>
  <rv s="3">
    <fb>44924</fb>
    <v>5</v>
  </rv>
  <rv s="3">
    <fb>33.14</fb>
    <v>6</v>
  </rv>
  <rv s="3">
    <fb>44925</fb>
    <v>5</v>
  </rv>
  <rv s="3">
    <fb>33.119999999999997</fb>
    <v>6</v>
  </rv>
  <rv s="3">
    <fb>44929</fb>
    <v>5</v>
  </rv>
  <rv s="3">
    <fb>33.51</fb>
    <v>6</v>
  </rv>
  <rv s="3">
    <fb>44930</fb>
    <v>5</v>
  </rv>
  <rv s="3">
    <fb>34.14</fb>
    <v>6</v>
  </rv>
  <rv s="3">
    <fb>44931</fb>
    <v>5</v>
  </rv>
  <rv s="3">
    <fb>34.07</fb>
    <v>6</v>
  </rv>
  <rv s="3">
    <fb>44932</fb>
    <v>5</v>
  </rv>
  <rv s="3">
    <fb>44935</fb>
    <v>5</v>
  </rv>
  <rv s="3">
    <fb>33.89</fb>
    <v>6</v>
  </rv>
  <rv s="3">
    <fb>44936</fb>
    <v>5</v>
  </rv>
  <rv s="3">
    <fb>44937</fb>
    <v>5</v>
  </rv>
  <rv s="3">
    <fb>34.380000000000003</fb>
    <v>6</v>
  </rv>
  <rv s="3">
    <fb>44938</fb>
    <v>5</v>
  </rv>
  <rv s="3">
    <fb>44939</fb>
    <v>5</v>
  </rv>
  <rv s="3">
    <fb>35.229999999999997</fb>
    <v>6</v>
  </rv>
  <rv s="3">
    <fb>44943</fb>
    <v>5</v>
  </rv>
  <rv s="3">
    <fb>44944</fb>
    <v>5</v>
  </rv>
  <rv s="3">
    <fb>33.72</fb>
    <v>6</v>
  </rv>
  <rv s="3">
    <fb>44945</fb>
    <v>5</v>
  </rv>
  <rv s="3">
    <fb>33.229999999999997</fb>
    <v>6</v>
  </rv>
  <rv s="3">
    <fb>44946</fb>
    <v>5</v>
  </rv>
  <rv s="3">
    <fb>33.85</fb>
    <v>6</v>
  </rv>
  <rv s="3">
    <fb>44949</fb>
    <v>5</v>
  </rv>
  <rv s="3">
    <fb>34.32</fb>
    <v>6</v>
  </rv>
  <rv s="3">
    <fb>44950</fb>
    <v>5</v>
  </rv>
  <rv s="3">
    <fb>34.57</fb>
    <v>6</v>
  </rv>
  <rv s="3">
    <fb>44951</fb>
    <v>5</v>
  </rv>
  <rv s="3">
    <fb>34.869999999999997</fb>
    <v>6</v>
  </rv>
  <rv s="3">
    <fb>44952</fb>
    <v>5</v>
  </rv>
  <rv s="3">
    <fb>35.340000000000003</fb>
    <v>6</v>
  </rv>
  <rv s="3">
    <fb>44953</fb>
    <v>5</v>
  </rv>
  <rv s="3">
    <fb>35.450000000000003</fb>
    <v>6</v>
  </rv>
  <rv s="3">
    <fb>44956</fb>
    <v>5</v>
  </rv>
  <rv s="3">
    <fb>35.299999999999997</fb>
    <v>6</v>
  </rv>
  <rv s="3">
    <fb>44957</fb>
    <v>5</v>
  </rv>
  <rv s="3">
    <fb>44958</fb>
    <v>5</v>
  </rv>
  <rv s="3">
    <fb>35.92</fb>
    <v>6</v>
  </rv>
  <rv s="3">
    <fb>44959</fb>
    <v>5</v>
  </rv>
  <rv s="3">
    <fb>36.130000000000003</fb>
    <v>6</v>
  </rv>
  <rv s="3">
    <fb>44960</fb>
    <v>5</v>
  </rv>
  <rv s="3">
    <fb>36.43</fb>
    <v>6</v>
  </rv>
  <rv s="3">
    <fb>44963</fb>
    <v>5</v>
  </rv>
  <rv s="3">
    <fb>44964</fb>
    <v>5</v>
  </rv>
  <rv s="3">
    <fb>44965</fb>
    <v>5</v>
  </rv>
  <rv s="3">
    <fb>44966</fb>
    <v>5</v>
  </rv>
  <rv s="3">
    <fb>35.72</fb>
    <v>6</v>
  </rv>
  <rv s="3">
    <fb>44967</fb>
    <v>5</v>
  </rv>
  <rv s="3">
    <fb>35.58</fb>
    <v>6</v>
  </rv>
  <rv s="3">
    <fb>44970</fb>
    <v>5</v>
  </rv>
  <rv s="3">
    <fb>44971</fb>
    <v>5</v>
  </rv>
  <rv s="3">
    <fb>35.619999999999997</fb>
    <v>6</v>
  </rv>
  <rv s="3">
    <fb>44972</fb>
    <v>5</v>
  </rv>
  <rv s="3">
    <fb>35.56</fb>
    <v>6</v>
  </rv>
  <rv s="3">
    <fb>44973</fb>
    <v>5</v>
  </rv>
  <rv s="3">
    <fb>35.28</fb>
    <v>6</v>
  </rv>
  <rv s="3">
    <fb>44974</fb>
    <v>5</v>
  </rv>
  <rv s="3">
    <fb>35.35</fb>
    <v>6</v>
  </rv>
  <rv s="3">
    <fb>44978</fb>
    <v>5</v>
  </rv>
  <rv s="3">
    <fb>44979</fb>
    <v>5</v>
  </rv>
  <rv s="3">
    <fb>44980</fb>
    <v>5</v>
  </rv>
  <rv s="3">
    <fb>34.26</fb>
    <v>6</v>
  </rv>
  <rv s="3">
    <fb>44981</fb>
    <v>5</v>
  </rv>
  <rv s="3">
    <fb>34.21</fb>
    <v>6</v>
  </rv>
  <rv s="3">
    <fb>44984</fb>
    <v>5</v>
  </rv>
  <rv s="3">
    <fb>44985</fb>
    <v>5</v>
  </rv>
  <rv s="3">
    <fb>34.299999999999997</fb>
    <v>6</v>
  </rv>
  <rv s="3">
    <fb>44986</fb>
    <v>5</v>
  </rv>
  <rv s="3">
    <fb>44987</fb>
    <v>5</v>
  </rv>
  <rv s="3">
    <fb>44988</fb>
    <v>5</v>
  </rv>
  <rv s="3">
    <fb>34.159999999999997</fb>
    <v>6</v>
  </rv>
  <rv s="3">
    <fb>44991</fb>
    <v>5</v>
  </rv>
  <rv s="3">
    <fb>44992</fb>
    <v>5</v>
  </rv>
  <rv s="3">
    <fb>44993</fb>
    <v>5</v>
  </rv>
  <rv s="3">
    <fb>32.56</fb>
    <v>6</v>
  </rv>
  <rv s="3">
    <fb>44994</fb>
    <v>5</v>
  </rv>
  <rv s="3">
    <fb>30.54</fb>
    <v>6</v>
  </rv>
  <rv s="3">
    <fb>44995</fb>
    <v>5</v>
  </rv>
  <rv s="3">
    <fb>30.27</fb>
    <v>6</v>
  </rv>
  <rv s="3">
    <fb>44998</fb>
    <v>5</v>
  </rv>
  <rv s="3">
    <fb>28.51</fb>
    <v>6</v>
  </rv>
  <rv s="3">
    <fb>44999</fb>
    <v>5</v>
  </rv>
  <rv s="3">
    <fb>28.76</fb>
    <v>6</v>
  </rv>
  <rv s="3">
    <fb>45000</fb>
    <v>5</v>
  </rv>
  <rv s="3">
    <fb>28.49</fb>
    <v>6</v>
  </rv>
  <rv s="3">
    <fb>45001</fb>
    <v>5</v>
  </rv>
  <rv s="3">
    <fb>28.97</fb>
    <v>6</v>
  </rv>
  <rv s="3">
    <fb>45002</fb>
    <v>5</v>
  </rv>
  <rv s="3">
    <fb>27.82</fb>
    <v>6</v>
  </rv>
  <rv s="3">
    <fb>45005</fb>
    <v>5</v>
  </rv>
  <rv s="3">
    <fb>27.75</fb>
    <v>6</v>
  </rv>
  <rv s="3">
    <fb>45006</fb>
    <v>5</v>
  </rv>
  <rv s="3">
    <fb>28.59</fb>
    <v>6</v>
  </rv>
  <rv s="3">
    <fb>45007</fb>
    <v>5</v>
  </rv>
  <rv s="3">
    <fb>27.64</fb>
    <v>6</v>
  </rv>
  <rv s="3">
    <fb>45008</fb>
    <v>5</v>
  </rv>
  <rv s="3">
    <fb>26.97</fb>
    <v>6</v>
  </rv>
  <rv s="3">
    <fb>45009</fb>
    <v>5</v>
  </rv>
  <rv s="3">
    <fb>27.14</fb>
    <v>6</v>
  </rv>
  <rv s="3">
    <fb>45012</fb>
    <v>5</v>
  </rv>
  <rv s="3">
    <fb>45013</fb>
    <v>5</v>
  </rv>
  <rv s="3">
    <fb>28.12</fb>
    <v>6</v>
  </rv>
  <rv s="3">
    <fb>45014</fb>
    <v>5</v>
  </rv>
  <rv s="3">
    <fb>28.67</fb>
    <v>6</v>
  </rv>
  <rv s="3">
    <fb>45015</fb>
    <v>5</v>
  </rv>
  <rv s="3">
    <fb>28.3</fb>
    <v>6</v>
  </rv>
  <rv s="3">
    <fb>45016</fb>
    <v>5</v>
  </rv>
  <rv s="3">
    <fb>28.6</fb>
    <v>6</v>
  </rv>
  <rv s="3">
    <fb>45019</fb>
    <v>5</v>
  </rv>
  <rv s="3">
    <fb>45020</fb>
    <v>5</v>
  </rv>
  <rv s="3">
    <fb>27.98</fb>
    <v>6</v>
  </rv>
  <rv s="3">
    <fb>45021</fb>
    <v>5</v>
  </rv>
  <rv s="3">
    <fb>45022</fb>
    <v>5</v>
  </rv>
  <rv s="3">
    <fb>27.84</fb>
    <v>6</v>
  </rv>
  <rv s="3">
    <fb>45026</fb>
    <v>5</v>
  </rv>
  <rv s="3">
    <fb>27.94</fb>
    <v>6</v>
  </rv>
  <rv s="3">
    <fb>45027</fb>
    <v>5</v>
  </rv>
  <rv s="3">
    <fb>28.71</fb>
    <v>6</v>
  </rv>
  <rv s="3">
    <fb>45028</fb>
    <v>5</v>
  </rv>
  <rv s="3">
    <fb>28.48</fb>
    <v>6</v>
  </rv>
  <rv s="3">
    <fb>45029</fb>
    <v>5</v>
  </rv>
  <rv s="3">
    <fb>28.56</fb>
    <v>6</v>
  </rv>
  <rv s="3">
    <fb>45030</fb>
    <v>5</v>
  </rv>
  <rv s="3">
    <fb>29.52</fb>
    <v>6</v>
  </rv>
  <rv s="3">
    <fb>45033</fb>
    <v>5</v>
  </rv>
  <rv s="3">
    <fb>30.37</fb>
    <v>6</v>
  </rv>
  <rv s="3">
    <fb>45034</fb>
    <v>5</v>
  </rv>
  <rv s="3">
    <fb>30.56</fb>
    <v>6</v>
  </rv>
  <rv s="3">
    <fb>45035</fb>
    <v>5</v>
  </rv>
  <rv s="3">
    <fb>30.06</fb>
    <v>6</v>
  </rv>
  <rv s="3">
    <fb>45036</fb>
    <v>5</v>
  </rv>
  <rv s="3">
    <fb>29.9</fb>
    <v>6</v>
  </rv>
  <rv s="3">
    <fb>45037</fb>
    <v>5</v>
  </rv>
  <rv s="3">
    <fb>29.87</fb>
    <v>6</v>
  </rv>
  <rv s="3">
    <fb>45040</fb>
    <v>5</v>
  </rv>
  <rv s="3">
    <fb>29.76</fb>
    <v>6</v>
  </rv>
  <rv s="3">
    <fb>45041</fb>
    <v>5</v>
  </rv>
  <rv s="3">
    <fb>28.84</fb>
    <v>6</v>
  </rv>
  <rv s="3">
    <fb>45042</fb>
    <v>5</v>
  </rv>
  <rv s="3">
    <fb>28.44</fb>
    <v>6</v>
  </rv>
  <rv s="3">
    <fb>45043</fb>
    <v>5</v>
  </rv>
  <rv s="3">
    <fb>28.89</fb>
    <v>6</v>
  </rv>
  <rv s="3">
    <fb>45044</fb>
    <v>5</v>
  </rv>
  <rv s="3">
    <fb>29.28</fb>
    <v>6</v>
  </rv>
  <rv s="3">
    <fb>45047</fb>
    <v>5</v>
  </rv>
  <rv s="3">
    <fb>29.04</fb>
    <v>6</v>
  </rv>
  <rv s="3">
    <fb>45048</fb>
    <v>5</v>
  </rv>
  <rv s="3">
    <fb>28.16</fb>
    <v>6</v>
  </rv>
  <rv s="3">
    <fb>45049</fb>
    <v>5</v>
  </rv>
  <rv s="3">
    <fb>27.86</fb>
    <v>6</v>
  </rv>
  <rv s="3">
    <fb>45050</fb>
    <v>5</v>
  </rv>
  <rv s="3">
    <fb>26.99</fb>
    <v>6</v>
  </rv>
  <rv s="3">
    <fb>45051</fb>
    <v>5</v>
  </rv>
  <rv s="3">
    <fb>27.71</fb>
    <v>6</v>
  </rv>
  <rv s="3">
    <fb>45054</fb>
    <v>5</v>
  </rv>
  <rv s="3">
    <fb>27.69</fb>
    <v>6</v>
  </rv>
  <rv s="3">
    <fb>45055</fb>
    <v>5</v>
  </rv>
  <rv s="3">
    <fb>27.66</fb>
    <v>6</v>
  </rv>
  <rv s="3">
    <fb>45056</fb>
    <v>5</v>
  </rv>
  <rv s="3">
    <fb>27.32</fb>
    <v>6</v>
  </rv>
  <rv s="3">
    <fb>45057</fb>
    <v>5</v>
  </rv>
  <rv s="3">
    <fb>27.39</fb>
    <v>6</v>
  </rv>
  <rv s="3">
    <fb>45058</fb>
    <v>5</v>
  </rv>
  <rv s="3">
    <fb>27.09</fb>
    <v>6</v>
  </rv>
  <rv s="3">
    <fb>45061</fb>
    <v>5</v>
  </rv>
  <rv s="3">
    <fb>27.65</fb>
    <v>6</v>
  </rv>
  <rv s="3">
    <fb>45062</fb>
    <v>5</v>
  </rv>
  <rv s="3">
    <fb>27.36</fb>
    <v>6</v>
  </rv>
  <rv s="3">
    <fb>45063</fb>
    <v>5</v>
  </rv>
  <rv s="3">
    <fb>28.57</fb>
    <v>6</v>
  </rv>
  <rv s="3">
    <fb>45064</fb>
    <v>5</v>
  </rv>
  <rv s="3">
    <fb>28.47</fb>
    <v>6</v>
  </rv>
  <rv s="3">
    <fb>45065</fb>
    <v>5</v>
  </rv>
  <rv s="3">
    <fb>28.11</fb>
    <v>6</v>
  </rv>
  <rv s="3">
    <fb>45068</fb>
    <v>5</v>
  </rv>
  <rv s="3">
    <fb>28.34</fb>
    <v>6</v>
  </rv>
  <rv s="3">
    <fb>45069</fb>
    <v>5</v>
  </rv>
  <rv s="3">
    <fb>28.58</fb>
    <v>6</v>
  </rv>
  <rv s="3">
    <fb>45070</fb>
    <v>5</v>
  </rv>
  <rv s="3">
    <fb>28.1</fb>
    <v>6</v>
  </rv>
  <rv s="3">
    <fb>45071</fb>
    <v>5</v>
  </rv>
  <rv s="3">
    <fb>28.17</fb>
    <v>6</v>
  </rv>
  <rv s="3">
    <fb>45072</fb>
    <v>5</v>
  </rv>
  <rv s="3">
    <fb>28.31</fb>
    <v>6</v>
  </rv>
  <rv s="3">
    <fb>45076</fb>
    <v>5</v>
  </rv>
  <rv s="3">
    <fb>28.26</fb>
    <v>6</v>
  </rv>
  <rv s="3">
    <fb>45077</fb>
    <v>5</v>
  </rv>
  <rv s="3">
    <fb>27.79</fb>
    <v>6</v>
  </rv>
  <rv s="3">
    <fb>45078</fb>
    <v>5</v>
  </rv>
  <rv s="3">
    <fb>27.78</fb>
    <v>6</v>
  </rv>
  <rv s="3">
    <fb>45079</fb>
    <v>5</v>
  </rv>
  <rv s="3">
    <fb>45082</fb>
    <v>5</v>
  </rv>
  <rv s="3">
    <fb>28.54</fb>
    <v>6</v>
  </rv>
  <rv s="3">
    <fb>45083</fb>
    <v>5</v>
  </rv>
  <rv s="3">
    <fb>29.23</fb>
    <v>6</v>
  </rv>
  <rv s="3">
    <fb>45084</fb>
    <v>5</v>
  </rv>
  <rv s="3">
    <fb>29.48</fb>
    <v>6</v>
  </rv>
  <rv s="3">
    <fb>45085</fb>
    <v>5</v>
  </rv>
  <rv s="3">
    <fb>45086</fb>
    <v>5</v>
  </rv>
  <rv s="3">
    <fb>29.27</fb>
    <v>6</v>
  </rv>
  <rv s="3">
    <fb>45089</fb>
    <v>5</v>
  </rv>
  <rv s="3">
    <fb>29.13</fb>
    <v>6</v>
  </rv>
  <rv s="3">
    <fb>45090</fb>
    <v>5</v>
  </rv>
  <rv s="3">
    <fb>29.4</fb>
    <v>6</v>
  </rv>
  <rv s="3">
    <fb>45091</fb>
    <v>5</v>
  </rv>
  <rv s="3">
    <fb>29.12</fb>
    <v>6</v>
  </rv>
  <rv s="3">
    <fb>45092</fb>
    <v>5</v>
  </rv>
  <rv s="3">
    <fb>29.37</fb>
    <v>6</v>
  </rv>
  <rv s="3">
    <fb>45093</fb>
    <v>5</v>
  </rv>
  <rv s="3">
    <fb>29.19</fb>
    <v>6</v>
  </rv>
  <rv s="3">
    <fb>45097</fb>
    <v>5</v>
  </rv>
  <rv s="3">
    <fb>28.87</fb>
    <v>6</v>
  </rv>
  <rv s="3">
    <fb>45098</fb>
    <v>5</v>
  </rv>
  <rv s="3">
    <fb>45099</fb>
    <v>5</v>
  </rv>
  <rv s="3">
    <fb>27.96</fb>
    <v>6</v>
  </rv>
  <rv s="3">
    <fb>45100</fb>
    <v>5</v>
  </rv>
  <rv s="3">
    <fb>45103</fb>
    <v>5</v>
  </rv>
  <rv s="3">
    <fb>28.09</fb>
    <v>6</v>
  </rv>
  <rv s="3">
    <fb>45104</fb>
    <v>5</v>
  </rv>
  <rv s="3">
    <fb>28.24</fb>
    <v>6</v>
  </rv>
  <rv s="3">
    <fb>45105</fb>
    <v>5</v>
  </rv>
  <rv s="3">
    <fb>28.07</fb>
    <v>6</v>
  </rv>
  <rv s="3">
    <fb>45106</fb>
    <v>5</v>
  </rv>
  <rv s="3">
    <fb>28.66</fb>
    <v>6</v>
  </rv>
  <rv s="3">
    <fb>45107</fb>
    <v>5</v>
  </rv>
  <rv s="3">
    <fb>28.69</fb>
    <v>6</v>
  </rv>
  <rv s="3">
    <fb>45110</fb>
    <v>5</v>
  </rv>
  <rv s="3">
    <fb>29.2</fb>
    <v>6</v>
  </rv>
  <rv s="3">
    <fb>45112</fb>
    <v>5</v>
  </rv>
  <rv s="3">
    <fb>29.08</fb>
    <v>6</v>
  </rv>
  <rv s="3">
    <fb>45113</fb>
    <v>5</v>
  </rv>
  <rv s="3">
    <fb>28.28</fb>
    <v>6</v>
  </rv>
  <rv s="3">
    <fb>45114</fb>
    <v>5</v>
  </rv>
  <rv s="3">
    <fb>28.53</fb>
    <v>6</v>
  </rv>
  <rv s="3">
    <fb>45117</fb>
    <v>5</v>
  </rv>
  <rv s="3">
    <fb>45118</fb>
    <v>5</v>
  </rv>
  <rv s="3">
    <fb>29.02</fb>
    <v>6</v>
  </rv>
  <rv s="3">
    <fb>45119</fb>
    <v>5</v>
  </rv>
  <rv s="3">
    <fb>29.36</fb>
    <v>6</v>
  </rv>
  <rv s="3">
    <fb>45120</fb>
    <v>5</v>
  </rv>
  <rv s="3">
    <fb>29.67</fb>
    <v>6</v>
  </rv>
  <rv s="3">
    <fb>45121</fb>
    <v>5</v>
  </rv>
  <rv s="3">
    <fb>29.11</fb>
    <v>6</v>
  </rv>
  <rv s="3">
    <fb>45124</fb>
    <v>5</v>
  </rv>
  <rv s="3">
    <fb>45125</fb>
    <v>5</v>
  </rv>
  <rv s="3">
    <fb>30.7</fb>
    <v>6</v>
  </rv>
  <rv s="3">
    <fb>45126</fb>
    <v>5</v>
  </rv>
  <rv s="3">
    <fb>45127</fb>
    <v>5</v>
  </rv>
  <rv s="3">
    <fb>45128</fb>
    <v>5</v>
  </rv>
  <rv s="3">
    <fb>31.98</fb>
    <v>6</v>
  </rv>
  <rv s="3">
    <fb>45131</fb>
    <v>5</v>
  </rv>
  <rv s="3">
    <fb>32.65</fb>
    <v>6</v>
  </rv>
  <rv s="3">
    <fb>45132</fb>
    <v>5</v>
  </rv>
  <rv s="3">
    <fb>32.15</fb>
    <v>6</v>
  </rv>
  <rv s="3">
    <fb>45133</fb>
    <v>5</v>
  </rv>
  <rv s="3">
    <fb>32.409999999999997</fb>
    <v>6</v>
  </rv>
  <rv s="3">
    <fb>45134</fb>
    <v>5</v>
  </rv>
  <rv s="3">
    <fb>31.95</fb>
    <v>6</v>
  </rv>
  <rv s="3">
    <fb>45135</fb>
    <v>5</v>
  </rv>
  <rv s="3">
    <fb>31.9</fb>
    <v>6</v>
  </rv>
  <rv s="3">
    <fb>45138</fb>
    <v>5</v>
  </rv>
  <rv s="3">
    <fb>32</fb>
    <v>6</v>
  </rv>
  <rv s="3">
    <fb>45139</fb>
    <v>5</v>
  </rv>
  <rv s="3">
    <fb>31.62</fb>
    <v>6</v>
  </rv>
  <rv s="3">
    <fb>45140</fb>
    <v>5</v>
  </rv>
  <rv s="3">
    <fb>31.19</fb>
    <v>6</v>
  </rv>
  <rv s="3">
    <fb>45141</fb>
    <v>5</v>
  </rv>
  <rv s="3">
    <fb>31.41</fb>
    <v>6</v>
  </rv>
  <rv s="3">
    <fb>45142</fb>
    <v>5</v>
  </rv>
  <rv s="3">
    <fb>31.3</fb>
    <v>6</v>
  </rv>
  <rv s="3">
    <fb>45145</fb>
    <v>5</v>
  </rv>
  <rv s="3">
    <fb>31.88</fb>
    <v>6</v>
  </rv>
  <rv s="3">
    <fb>45146</fb>
    <v>5</v>
  </rv>
  <rv s="3">
    <fb>31.27</fb>
    <v>6</v>
  </rv>
  <rv s="3">
    <fb>45147</fb>
    <v>5</v>
  </rv>
  <rv s="3">
    <fb>30.86</fb>
    <v>6</v>
  </rv>
  <rv s="3">
    <fb>45148</fb>
    <v>5</v>
  </rv>
  <rv s="3">
    <fb>30.94</fb>
    <v>6</v>
  </rv>
  <rv s="3">
    <fb>45149</fb>
    <v>5</v>
  </rv>
  <rv s="3">
    <fb>31.29</fb>
    <v>6</v>
  </rv>
  <rv s="3">
    <fb>45152</fb>
    <v>5</v>
  </rv>
  <rv s="3">
    <fb>30.93</fb>
    <v>6</v>
  </rv>
  <rv s="3">
    <fb>45153</fb>
    <v>5</v>
  </rv>
  <rv s="3">
    <fb>29.94</fb>
    <v>6</v>
  </rv>
  <rv s="3">
    <fb>45154</fb>
    <v>5</v>
  </rv>
  <rv s="3">
    <fb>45155</fb>
    <v>5</v>
  </rv>
  <rv s="3">
    <fb>45156</fb>
    <v>5</v>
  </rv>
  <rv s="3">
    <fb>45159</fb>
    <v>5</v>
  </rv>
  <rv s="3">
    <fb>29.15</fb>
    <v>6</v>
  </rv>
  <rv s="3">
    <fb>45160</fb>
    <v>5</v>
  </rv>
  <rv s="3">
    <fb>45161</fb>
    <v>5</v>
  </rv>
  <rv s="3">
    <fb>28.45</fb>
    <v>6</v>
  </rv>
  <rv s="3">
    <fb>45162</fb>
    <v>5</v>
  </rv>
  <rv s="3">
    <fb>28.62</fb>
    <v>6</v>
  </rv>
  <rv s="3">
    <fb>45163</fb>
    <v>5</v>
  </rv>
  <rv s="3">
    <fb>28.5</fb>
    <v>6</v>
  </rv>
  <rv s="3">
    <fb>45166</fb>
    <v>5</v>
  </rv>
  <rv s="3">
    <fb>45167</fb>
    <v>5</v>
  </rv>
  <rv s="3">
    <fb>29.17</fb>
    <v>6</v>
  </rv>
  <rv s="3">
    <fb>45168</fb>
    <v>5</v>
  </rv>
  <rv s="3">
    <fb>45169</fb>
    <v>5</v>
  </rv>
  <rv s="3">
    <fb>45170</fb>
    <v>5</v>
  </rv>
  <rv s="3">
    <fb>28.98</fb>
    <v>6</v>
  </rv>
  <rv s="3">
    <fb>45174</fb>
    <v>5</v>
  </rv>
  <rv s="3">
    <fb>28.65</fb>
    <v>6</v>
  </rv>
  <rv s="3">
    <fb>45175</fb>
    <v>5</v>
  </rv>
  <rv s="3">
    <fb>28.39</fb>
    <v>6</v>
  </rv>
  <rv s="3">
    <fb>45176</fb>
    <v>5</v>
  </rv>
  <rv s="3">
    <fb>28.13</fb>
    <v>6</v>
  </rv>
  <rv s="3">
    <fb>45177</fb>
    <v>5</v>
  </rv>
  <rv s="3">
    <fb>28.36</fb>
    <v>6</v>
  </rv>
  <rv s="3">
    <fb>45180</fb>
    <v>5</v>
  </rv>
  <rv s="3">
    <fb>45181</fb>
    <v>5</v>
  </rv>
  <rv s="3">
    <fb>45182</fb>
    <v>5</v>
  </rv>
  <rv s="3">
    <fb>28.88</fb>
    <v>6</v>
  </rv>
  <rv s="3">
    <fb>45183</fb>
    <v>5</v>
  </rv>
  <rv s="3">
    <fb>45184</fb>
    <v>5</v>
  </rv>
  <rv s="3">
    <fb>45187</fb>
    <v>5</v>
  </rv>
  <rv s="3">
    <fb>45188</fb>
    <v>5</v>
  </rv>
  <rv s="3">
    <fb>45189</fb>
    <v>5</v>
  </rv>
  <rv s="3">
    <fb>28.55</fb>
    <v>6</v>
  </rv>
  <rv s="3">
    <fb>45190</fb>
    <v>5</v>
  </rv>
  <rv s="3">
    <fb>28.05</fb>
    <v>6</v>
  </rv>
  <rv s="3">
    <fb>45191</fb>
    <v>5</v>
  </rv>
  <rv s="3">
    <fb>45194</fb>
    <v>5</v>
  </rv>
  <rv s="3">
    <fb>27.6</fb>
    <v>6</v>
  </rv>
  <rv s="3">
    <fb>45195</fb>
    <v>5</v>
  </rv>
  <rv s="3">
    <fb>27.17</fb>
    <v>6</v>
  </rv>
  <rv s="3">
    <fb>45196</fb>
    <v>5</v>
  </rv>
  <rv s="3">
    <fb>27.27</fb>
    <v>6</v>
  </rv>
  <rv s="3">
    <fb>45197</fb>
    <v>5</v>
  </rv>
  <rv s="3">
    <fb>27.56</fb>
    <v>6</v>
  </rv>
  <rv s="3">
    <fb>45198</fb>
    <v>5</v>
  </rv>
  <rv s="3">
    <fb>27.38</fb>
    <v>6</v>
  </rv>
  <rv s="3">
    <fb>45201</fb>
    <v>5</v>
  </rv>
  <rv s="3">
    <fb>26.7</fb>
    <v>6</v>
  </rv>
  <rv s="3">
    <fb>45202</fb>
    <v>5</v>
  </rv>
  <rv s="3">
    <fb>25.91</fb>
    <v>6</v>
  </rv>
  <rv s="3">
    <fb>45203</fb>
    <v>5</v>
  </rv>
  <rv s="3">
    <fb>25.94</fb>
    <v>6</v>
  </rv>
  <rv s="3">
    <fb>45204</fb>
    <v>5</v>
  </rv>
  <rv s="3">
    <fb>26.06</fb>
    <v>6</v>
  </rv>
  <rv s="3">
    <fb>45205</fb>
    <v>5</v>
  </rv>
  <rv s="3">
    <fb>26.07</fb>
    <v>6</v>
  </rv>
  <rv s="3">
    <fb>45208</fb>
    <v>5</v>
  </rv>
  <rv s="3">
    <fb>26.31</fb>
    <v>6</v>
  </rv>
  <rv s="3">
    <fb>45209</fb>
    <v>5</v>
  </rv>
  <rv s="3">
    <fb>27.01</fb>
    <v>6</v>
  </rv>
  <rv s="3">
    <fb>45210</fb>
    <v>5</v>
  </rv>
  <rv s="3">
    <fb>27.02</fb>
    <v>6</v>
  </rv>
  <rv s="3">
    <fb>45211</fb>
    <v>5</v>
  </rv>
  <rv s="3">
    <fb>26.9</fb>
    <v>6</v>
  </rv>
  <rv s="3">
    <fb>45212</fb>
    <v>5</v>
  </rv>
  <rv s="3">
    <fb>26.76</fb>
    <v>6</v>
  </rv>
  <rv s="3">
    <fb>45215</fb>
    <v>5</v>
  </rv>
  <rv s="3">
    <fb>45216</fb>
    <v>5</v>
  </rv>
  <rv s="3">
    <fb>27.62</fb>
    <v>6</v>
  </rv>
  <rv s="3">
    <fb>45217</fb>
    <v>5</v>
  </rv>
  <rv s="3">
    <fb>27.31</fb>
    <v>6</v>
  </rv>
  <rv s="3">
    <fb>45218</fb>
    <v>5</v>
  </rv>
  <rv s="3">
    <fb>26.96</fb>
    <v>6</v>
  </rv>
  <rv s="3">
    <fb>45219</fb>
    <v>5</v>
  </rv>
  <rv s="3">
    <fb>45222</fb>
    <v>5</v>
  </rv>
  <rv s="3">
    <fb>25.57</fb>
    <v>6</v>
  </rv>
  <rv s="3">
    <fb>45223</fb>
    <v>5</v>
  </rv>
  <rv s="3">
    <fb>25.47</fb>
    <v>6</v>
  </rv>
  <rv s="3">
    <fb>45224</fb>
    <v>5</v>
  </rv>
  <rv s="3">
    <fb>25.55</fb>
    <v>6</v>
  </rv>
  <rv s="3">
    <fb>45225</fb>
    <v>5</v>
  </rv>
  <rv s="3">
    <fb>26.12</fb>
    <v>6</v>
  </rv>
  <rv s="3">
    <fb>45226</fb>
    <v>5</v>
  </rv>
  <rv s="3">
    <fb>25.17</fb>
    <v>6</v>
  </rv>
  <rv s="3">
    <fb>45229</fb>
    <v>5</v>
  </rv>
  <rv s="3">
    <fb>25.69</fb>
    <v>6</v>
  </rv>
  <rv s="3">
    <fb>45230</fb>
    <v>5</v>
  </rv>
  <rv s="3">
    <fb>26.34</fb>
    <v>6</v>
  </rv>
  <rv s="3">
    <fb>45231</fb>
    <v>5</v>
  </rv>
  <rv s="3">
    <fb>26.4</fb>
    <v>6</v>
  </rv>
  <rv s="3">
    <fb>45232</fb>
    <v>5</v>
  </rv>
  <rv s="3">
    <fb>45233</fb>
    <v>5</v>
  </rv>
  <rv s="3">
    <fb>28.42</fb>
    <v>6</v>
  </rv>
  <rv s="3">
    <fb>45236</fb>
    <v>5</v>
  </rv>
  <rv s="3">
    <fb>28.33</fb>
    <v>6</v>
  </rv>
  <rv s="3">
    <fb>45237</fb>
    <v>5</v>
  </rv>
  <rv s="3">
    <fb>45238</fb>
    <v>5</v>
  </rv>
  <rv s="3">
    <fb>27.89</fb>
    <v>6</v>
  </rv>
  <rv s="3">
    <fb>45239</fb>
    <v>5</v>
  </rv>
  <rv s="3">
    <fb>27.53</fb>
    <v>6</v>
  </rv>
  <rv s="3">
    <fb>45240</fb>
    <v>5</v>
  </rv>
  <rv s="3">
    <fb>27.68</fb>
    <v>6</v>
  </rv>
  <rv s="3">
    <fb>45243</fb>
    <v>5</v>
  </rv>
  <rv s="3">
    <fb>27.7</fb>
    <v>6</v>
  </rv>
  <rv s="3">
    <fb>45244</fb>
    <v>5</v>
  </rv>
  <rv s="3">
    <fb>29.22</fb>
    <v>6</v>
  </rv>
  <rv s="3">
    <fb>45245</fb>
    <v>5</v>
  </rv>
  <rv s="3">
    <fb>29.62</fb>
    <v>6</v>
  </rv>
  <rv s="3">
    <fb>45246</fb>
    <v>5</v>
  </rv>
  <rv s="3">
    <fb>29.54</fb>
    <v>6</v>
  </rv>
  <rv s="3">
    <fb>45247</fb>
    <v>5</v>
  </rv>
  <rv s="3">
    <fb>29.98</fb>
    <v>6</v>
  </rv>
  <rv s="3">
    <fb>45250</fb>
    <v>5</v>
  </rv>
  <rv s="3">
    <fb>45251</fb>
    <v>5</v>
  </rv>
  <rv s="3">
    <fb>29.66</fb>
    <v>6</v>
  </rv>
  <rv s="3">
    <fb>45252</fb>
    <v>5</v>
  </rv>
  <rv s="3">
    <fb>29.63</fb>
    <v>6</v>
  </rv>
  <rv s="3">
    <fb>45254</fb>
    <v>5</v>
  </rv>
  <rv s="3">
    <fb>29.73</fb>
    <v>6</v>
  </rv>
  <rv s="3">
    <fb>45257</fb>
    <v>5</v>
  </rv>
  <rv s="3">
    <fb>29.56</fb>
    <v>6</v>
  </rv>
  <rv s="3">
    <fb>45258</fb>
    <v>5</v>
  </rv>
  <rv s="3">
    <fb>29.53</fb>
    <v>6</v>
  </rv>
  <rv s="3">
    <fb>45259</fb>
    <v>5</v>
  </rv>
  <rv s="3">
    <fb>30.31</fb>
    <v>6</v>
  </rv>
  <rv s="3">
    <fb>45260</fb>
    <v>5</v>
  </rv>
  <rv s="3">
    <fb>30.49</fb>
    <v>6</v>
  </rv>
  <rv s="3">
    <fb>45261</fb>
    <v>5</v>
  </rv>
  <rv s="3">
    <fb>30.96</fb>
    <v>6</v>
  </rv>
  <rv s="3">
    <fb>45264</fb>
    <v>5</v>
  </rv>
  <rv s="3">
    <fb>30.82</fb>
    <v>6</v>
  </rv>
  <rv s="3">
    <fb>45265</fb>
    <v>5</v>
  </rv>
  <rv s="3">
    <fb>30.58</fb>
    <v>6</v>
  </rv>
  <rv s="3">
    <fb>45266</fb>
    <v>5</v>
  </rv>
  <rv s="3">
    <fb>30.53</fb>
    <v>6</v>
  </rv>
  <rv s="3">
    <fb>45267</fb>
    <v>5</v>
  </rv>
  <rv s="3">
    <fb>45268</fb>
    <v>5</v>
  </rv>
  <rv s="3">
    <fb>45271</fb>
    <v>5</v>
  </rv>
  <rv s="3">
    <fb>30.85</fb>
    <v>6</v>
  </rv>
  <rv s="3">
    <fb>45272</fb>
    <v>5</v>
  </rv>
  <rv s="3">
    <fb>30.74</fb>
    <v>6</v>
  </rv>
  <rv s="3">
    <fb>45273</fb>
    <v>5</v>
  </rv>
  <rv s="3">
    <fb>32.04</fb>
    <v>6</v>
  </rv>
  <rv s="3">
    <fb>45274</fb>
    <v>5</v>
  </rv>
  <rv s="3">
    <fb>33.94</fb>
    <v>6</v>
  </rv>
  <rv s="3">
    <fb>45275</fb>
    <v>5</v>
  </rv>
  <rv s="3">
    <fb>33.6</fb>
    <v>6</v>
  </rv>
  <rv s="3">
    <fb>45278</fb>
    <v>5</v>
  </rv>
  <rv s="3">
    <fb>45279</fb>
    <v>5</v>
  </rv>
  <rv s="3">
    <fb>45280</fb>
    <v>5</v>
  </rv>
  <rv s="3">
    <fb>32.979999999999997</fb>
    <v>6</v>
  </rv>
  <rv s="3">
    <fb>45281</fb>
    <v>5</v>
  </rv>
  <rv s="3">
    <fb>33.200000000000003</fb>
    <v>6</v>
  </rv>
  <rv s="3">
    <fb>45282</fb>
    <v>5</v>
  </rv>
  <rv s="3">
    <fb>45286</fb>
    <v>5</v>
  </rv>
  <rv s="3">
    <fb>45287</fb>
    <v>5</v>
  </rv>
  <rv s="3">
    <fb>33.840000000000003</fb>
    <v>6</v>
  </rv>
  <rv s="3">
    <fb>45288</fb>
    <v>5</v>
  </rv>
  <rv s="3">
    <fb>33.880000000000003</fb>
    <v>6</v>
  </rv>
  <rv s="3">
    <fb>45289</fb>
    <v>5</v>
  </rv>
  <rv s="3">
    <fb>33.67</fb>
    <v>6</v>
  </rv>
  <rv s="3">
    <fb>45293</fb>
    <v>5</v>
  </rv>
  <rv s="3">
    <fb>45294</fb>
    <v>5</v>
  </rv>
  <rv s="3">
    <fb>33.53</fb>
    <v>6</v>
  </rv>
  <rv s="3">
    <fb>45295</fb>
    <v>5</v>
  </rv>
  <rv s="3">
    <fb>33.799999999999997</fb>
    <v>6</v>
  </rv>
  <rv s="3">
    <fb>45296</fb>
    <v>5</v>
  </rv>
  <rv s="3">
    <fb>34.43</fb>
    <v>6</v>
  </rv>
  <rv s="3">
    <fb>45299</fb>
    <v>5</v>
  </rv>
  <rv s="3">
    <fb>45300</fb>
    <v>5</v>
  </rv>
  <rv s="3">
    <fb>33.630000000000003</fb>
    <v>6</v>
  </rv>
  <rv s="3">
    <fb>45301</fb>
    <v>5</v>
  </rv>
  <rv s="3">
    <fb>45302</fb>
    <v>5</v>
  </rv>
  <rv s="3">
    <fb>45303</fb>
    <v>5</v>
  </rv>
  <rv s="3">
    <fb>32.799999999999997</fb>
    <v>6</v>
  </rv>
  <rv s="3">
    <fb>45307</fb>
    <v>5</v>
  </rv>
  <rv s="3">
    <fb>32.119999999999997</fb>
    <v>6</v>
  </rv>
  <rv s="3">
    <fb>45308</fb>
    <v>5</v>
  </rv>
  <rv s="3">
    <fb>31.8</fb>
    <v>6</v>
  </rv>
  <rv s="3">
    <fb>45309</fb>
    <v>5</v>
  </rv>
  <rv s="3">
    <fb>45310</fb>
    <v>5</v>
  </rv>
  <rv s="3">
    <fb>32.22</fb>
    <v>6</v>
  </rv>
  <rv s="3">
    <fb>45313</fb>
    <v>5</v>
  </rv>
  <rv s="3">
    <fb>32.549999999999997</fb>
    <v>6</v>
  </rv>
  <rv s="3">
    <fb>45314</fb>
    <v>5</v>
  </rv>
  <rv s="3">
    <fb>45315</fb>
    <v>5</v>
  </rv>
  <rv s="3">
    <fb>45316</fb>
    <v>5</v>
  </rv>
  <rv s="3">
    <fb>33.39</fb>
    <v>6</v>
  </rv>
  <rv s="3">
    <fb>45317</fb>
    <v>5</v>
  </rv>
  <rv s="3">
    <fb>45320</fb>
    <v>5</v>
  </rv>
  <rv s="3">
    <fb>45321</fb>
    <v>5</v>
  </rv>
  <rv s="3">
    <fb>34.79</fb>
    <v>6</v>
  </rv>
  <rv s="3">
    <fb>45322</fb>
    <v>5</v>
  </rv>
  <rv s="3">
    <fb>34.01</fb>
    <v>6</v>
  </rv>
  <rv s="3">
    <fb>45323</fb>
    <v>5</v>
  </rv>
  <rv s="3">
    <fb>33.549999999999997</fb>
    <v>6</v>
  </rv>
  <rv s="3">
    <fb>45324</fb>
    <v>5</v>
  </rv>
  <rv s="3">
    <fb>45327</fb>
    <v>5</v>
  </rv>
  <rv s="3">
    <fb>32.99</fb>
    <v>6</v>
  </rv>
  <rv s="3">
    <fb>45328</fb>
    <v>5</v>
  </rv>
  <rv s="3">
    <fb>45329</fb>
    <v>5</v>
  </rv>
  <rv s="3">
    <fb>33.18</fb>
    <v>6</v>
  </rv>
  <rv s="3">
    <fb>45330</fb>
    <v>5</v>
  </rv>
  <rv s="3">
    <fb>45331</fb>
    <v>5</v>
  </rv>
  <rv s="3">
    <fb>33.07</fb>
    <v>6</v>
  </rv>
  <rv s="3">
    <fb>45334</fb>
    <v>5</v>
  </rv>
  <rv s="3">
    <fb>45335</fb>
    <v>5</v>
  </rv>
  <rv s="3">
    <fb>45336</fb>
    <v>5</v>
  </rv>
  <rv s="3">
    <fb>33.130000000000003</fb>
    <v>6</v>
  </rv>
  <rv s="3">
    <fb>45337</fb>
    <v>5</v>
  </rv>
  <rv s="3">
    <fb>45338</fb>
    <v>5</v>
  </rv>
  <rv s="3">
    <fb>45342</fb>
    <v>5</v>
  </rv>
  <rv s="3">
    <fb>45343</fb>
    <v>5</v>
  </rv>
  <rv s="3">
    <fb>45344</fb>
    <v>5</v>
  </rv>
  <rv s="3">
    <fb>45345</fb>
    <v>5</v>
  </rv>
  <rv s="3">
    <fb>45348</fb>
    <v>5</v>
  </rv>
  <rv s="3">
    <fb>45349</fb>
    <v>5</v>
  </rv>
  <rv s="3">
    <fb>34.28</fb>
    <v>6</v>
  </rv>
  <rv s="3">
    <fb>45350</fb>
    <v>5</v>
  </rv>
  <rv s="3">
    <fb>34.31</fb>
    <v>6</v>
  </rv>
  <rv s="3">
    <fb>45351</fb>
    <v>5</v>
  </rv>
  <rv s="3">
    <fb>45352</fb>
    <v>5</v>
  </rv>
  <rv s="3">
    <fb>34.35</fb>
    <v>6</v>
  </rv>
  <rv s="3">
    <fb>45355</fb>
    <v>5</v>
  </rv>
  <rv s="3">
    <fb>35.15</fb>
    <v>6</v>
  </rv>
  <rv s="3">
    <fb>45356</fb>
    <v>5</v>
  </rv>
  <rv s="3">
    <fb>45357</fb>
    <v>5</v>
  </rv>
  <rv s="3">
    <fb>35.42</fb>
    <v>6</v>
  </rv>
  <rv s="3">
    <fb>45358</fb>
    <v>5</v>
  </rv>
  <rv s="3">
    <fb>35.630000000000003</fb>
    <v>6</v>
  </rv>
  <rv s="3">
    <fb>45359</fb>
    <v>5</v>
  </rv>
  <rv s="3">
    <fb>35.6</fb>
    <v>6</v>
  </rv>
  <rv s="3">
    <fb>45362</fb>
    <v>5</v>
  </rv>
  <rv s="3">
    <fb>45363</fb>
    <v>5</v>
  </rv>
  <rv s="3">
    <fb>35.96</fb>
    <v>6</v>
  </rv>
  <rv s="3">
    <fb>45364</fb>
    <v>5</v>
  </rv>
  <rv s="3">
    <fb>45365</fb>
    <v>5</v>
  </rv>
  <rv s="3">
    <fb>35.69</fb>
    <v>6</v>
  </rv>
  <rv s="3">
    <fb>45366</fb>
    <v>5</v>
  </rv>
  <rv s="3">
    <fb>35.409999999999997</fb>
    <v>6</v>
  </rv>
  <rv s="3">
    <fb>45369</fb>
    <v>5</v>
  </rv>
  <rv s="3">
    <fb>36.01</fb>
    <v>6</v>
  </rv>
  <rv s="3">
    <fb>45370</fb>
    <v>5</v>
  </rv>
  <rv s="3">
    <fb>36.03</fb>
    <v>6</v>
  </rv>
  <rv s="3">
    <fb>45371</fb>
    <v>5</v>
  </rv>
  <rv s="3">
    <fb>36.75</fb>
    <v>6</v>
  </rv>
  <rv s="3">
    <fb>45372</fb>
    <v>5</v>
  </rv>
  <rv s="3">
    <fb>37.51</fb>
    <v>6</v>
  </rv>
  <rv s="3">
    <fb>45373</fb>
    <v>5</v>
  </rv>
  <rv s="3">
    <fb>37.049999999999997</fb>
    <v>6</v>
  </rv>
  <rv s="3">
    <fb>45376</fb>
    <v>5</v>
  </rv>
  <rv s="3">
    <fb>45377</fb>
    <v>5</v>
  </rv>
  <rv s="3">
    <fb>37.090000000000003</fb>
    <v>6</v>
  </rv>
  <rv s="3">
    <fb>45378</fb>
    <v>5</v>
  </rv>
  <rv s="3">
    <fb>37.81</fb>
    <v>6</v>
  </rv>
  <rv s="3">
    <fb>45379</fb>
    <v>5</v>
  </rv>
  <rv s="3">
    <fb>45383</fb>
    <v>5</v>
  </rv>
  <rv s="3">
    <fb>37.520000000000003</fb>
    <v>6</v>
  </rv>
  <rv s="3">
    <fb>45384</fb>
    <v>5</v>
  </rv>
  <rv s="3">
    <fb>37.299999999999997</fb>
    <v>6</v>
  </rv>
  <rv s="3">
    <fb>45385</fb>
    <v>5</v>
  </rv>
  <rv s="3">
    <fb>37.44</fb>
    <v>6</v>
  </rv>
  <rv s="3">
    <fb>45386</fb>
    <v>5</v>
  </rv>
  <rv s="3">
    <fb>36.92</fb>
    <v>6</v>
  </rv>
  <rv s="3">
    <fb>45387</fb>
    <v>5</v>
  </rv>
  <rv s="3">
    <fb>45390</fb>
    <v>5</v>
  </rv>
  <rv s="3">
    <fb>37.5</fb>
    <v>6</v>
  </rv>
  <rv s="3">
    <fb>45391</fb>
    <v>5</v>
  </rv>
  <rv s="3">
    <fb>37.729999999999997</fb>
    <v>6</v>
  </rv>
  <rv s="3">
    <fb>45392</fb>
    <v>5</v>
  </rv>
  <rv s="3">
    <fb>36.65</fb>
    <v>6</v>
  </rv>
  <rv s="3">
    <fb>45393</fb>
    <v>5</v>
  </rv>
  <rv s="3">
    <fb>45394</fb>
    <v>5</v>
  </rv>
  <rv s="3">
    <fb>35.79</fb>
    <v>6</v>
  </rv>
  <rv s="3">
    <fb>45397</fb>
    <v>5</v>
  </rv>
  <rv s="3">
    <fb>35.950000000000003</fb>
    <v>6</v>
  </rv>
  <rv s="3">
    <fb>45398</fb>
    <v>5</v>
  </rv>
  <rv s="3">
    <fb>45399</fb>
    <v>5</v>
  </rv>
  <rv s="3">
    <fb>45400</fb>
    <v>5</v>
  </rv>
  <rv s="3">
    <fb>35.770000000000003</fb>
    <v>6</v>
  </rv>
  <rv s="3">
    <fb>45401</fb>
    <v>5</v>
  </rv>
  <rv s="3">
    <fb>36.97</fb>
    <v>6</v>
  </rv>
  <rv s="3">
    <fb>45404</fb>
    <v>5</v>
  </rv>
  <rv s="3">
    <fb>45405</fb>
    <v>5</v>
  </rv>
  <rv s="3">
    <fb>38.369999999999997</fb>
    <v>6</v>
  </rv>
  <rv s="3">
    <fb>45406</fb>
    <v>5</v>
  </rv>
  <rv s="3">
    <fb>38.32</fb>
    <v>6</v>
  </rv>
  <rv s="3">
    <fb>45407</fb>
    <v>5</v>
  </rv>
  <rv s="3">
    <fb>37.909999999999997</fb>
    <v>6</v>
  </rv>
  <rv s="3">
    <fb>45408</fb>
    <v>5</v>
  </rv>
  <rv s="3">
    <fb>37.83</fb>
    <v>6</v>
  </rv>
  <rv s="3">
    <fb>45411</fb>
    <v>5</v>
  </rv>
  <rv s="3">
    <fb>37.549999999999997</fb>
    <v>6</v>
  </rv>
  <rv s="3">
    <fb>45412</fb>
    <v>5</v>
  </rv>
  <rv s="3">
    <fb>45413</fb>
    <v>5</v>
  </rv>
  <rv s="3">
    <fb>36.950000000000003</fb>
    <v>6</v>
  </rv>
  <rv s="3">
    <fb>45414</fb>
    <v>5</v>
  </rv>
  <rv s="3">
    <fb>36.880000000000003</fb>
    <v>6</v>
  </rv>
  <rv s="3">
    <fb>45415</fb>
    <v>5</v>
  </rv>
  <rv s="3">
    <fb>37.25</fb>
    <v>6</v>
  </rv>
  <rv s="3">
    <fb>45418</fb>
    <v>5</v>
  </rv>
  <rv s="3">
    <fb>45419</fb>
    <v>5</v>
  </rv>
  <rv s="3">
    <fb>37.840000000000003</fb>
    <v>6</v>
  </rv>
  <rv s="3">
    <fb>45420</fb>
    <v>5</v>
  </rv>
  <rv s="3">
    <fb>37.71</fb>
    <v>6</v>
  </rv>
  <rv s="3">
    <fb>45421</fb>
    <v>5</v>
  </rv>
  <rv s="3">
    <fb>38.28</fb>
    <v>6</v>
  </rv>
  <rv s="3">
    <fb>45422</fb>
    <v>5</v>
  </rv>
  <rv s="3">
    <fb>38.450000000000003</fb>
    <v>6</v>
  </rv>
  <rv s="3">
    <fb>45425</fb>
    <v>5</v>
  </rv>
  <rv s="3">
    <fb>38.21</fb>
    <v>6</v>
  </rv>
  <rv s="3">
    <fb>45426</fb>
    <v>5</v>
  </rv>
  <rv s="3">
    <fb>38.49</fb>
    <v>6</v>
  </rv>
  <rv s="3">
    <fb>45427</fb>
    <v>5</v>
  </rv>
  <rv s="3">
    <fb>45428</fb>
    <v>5</v>
  </rv>
  <rv s="3">
    <fb>39.22</fb>
    <v>6</v>
  </rv>
  <rv s="3">
    <fb>45429</fb>
    <v>5</v>
  </rv>
  <rv s="3">
    <fb>39.29</fb>
    <v>6</v>
  </rv>
  <rv s="3">
    <fb>45432</fb>
    <v>5</v>
  </rv>
  <rv s="3">
    <fb>45433</fb>
    <v>5</v>
  </rv>
  <rv s="3">
    <fb>39.65</fb>
    <v>6</v>
  </rv>
  <rv s="3">
    <fb>45434</fb>
    <v>5</v>
  </rv>
  <rv s="3">
    <fb>39.76</fb>
    <v>6</v>
  </rv>
  <rv s="3">
    <fb>45435</fb>
    <v>5</v>
  </rv>
  <rv s="3">
    <fb>45436</fb>
    <v>5</v>
  </rv>
  <rv s="3">
    <fb>45440</fb>
    <v>5</v>
  </rv>
  <rv s="3">
    <fb>45441</fb>
    <v>5</v>
  </rv>
  <rv s="3">
    <fb>45442</fb>
    <v>5</v>
  </rv>
  <rv s="3">
    <fb>38.630000000000003</fb>
    <v>6</v>
  </rv>
  <rv s="3">
    <fb>45443</fb>
    <v>5</v>
  </rv>
  <rv s="3">
    <fb>45446</fb>
    <v>5</v>
  </rv>
  <rv s="3">
    <fb>45447</fb>
    <v>5</v>
  </rv>
  <rv s="3">
    <fb>39.68</fb>
    <v>6</v>
  </rv>
  <rv s="3">
    <fb>45448</fb>
    <v>5</v>
  </rv>
  <rv s="3">
    <fb>39.96</fb>
    <v>6</v>
  </rv>
  <rv s="3">
    <fb>45449</fb>
    <v>5</v>
  </rv>
  <rv s="3">
    <fb>45450</fb>
    <v>5</v>
  </rv>
  <rv s="3">
    <fb>39.78</fb>
    <v>6</v>
  </rv>
  <rv s="3">
    <fb>45453</fb>
    <v>5</v>
  </rv>
  <rv s="3">
    <fb>45454</fb>
    <v>5</v>
  </rv>
  <rv s="3">
    <fb>45455</fb>
    <v>5</v>
  </rv>
  <rv s="3">
    <fb>45456</fb>
    <v>5</v>
  </rv>
  <rv s="3">
    <fb>39.26</fb>
    <v>6</v>
  </rv>
  <rv s="3">
    <fb>45457</fb>
    <v>5</v>
  </rv>
  <rv s="3">
    <fb>39.24</fb>
    <v>6</v>
  </rv>
  <rv s="3">
    <fb>45460</fb>
    <v>5</v>
  </rv>
  <rv s="3">
    <fb>39.51</fb>
    <v>6</v>
  </rv>
  <rv s="3">
    <fb>45461</fb>
    <v>5</v>
  </rv>
  <rv s="3">
    <fb>45463</fb>
    <v>5</v>
  </rv>
  <rv s="3">
    <fb>45464</fb>
    <v>5</v>
  </rv>
  <rv s="3">
    <fb>45467</fb>
    <v>5</v>
  </rv>
  <rv s="3">
    <fb>40.020000000000003</fb>
    <v>6</v>
  </rv>
  <rv s="3">
    <fb>45468</fb>
    <v>5</v>
  </rv>
  <rv s="3">
    <fb>39.380000000000003</fb>
    <v>6</v>
  </rv>
  <rv s="3">
    <fb>45469</fb>
    <v>5</v>
  </rv>
  <rv s="3">
    <fb>39</fb>
    <v>6</v>
  </rv>
  <rv s="3">
    <fb>45470</fb>
    <v>5</v>
  </rv>
  <rv s="3">
    <fb>39.25</fb>
    <v>6</v>
  </rv>
  <rv s="3">
    <fb>45471</fb>
    <v>5</v>
  </rv>
  <rv s="3">
    <fb>39.770000000000003</fb>
    <v>6</v>
  </rv>
  <rv s="3">
    <fb>45474</fb>
    <v>5</v>
  </rv>
  <rv s="3">
    <fb>40.01</fb>
    <v>6</v>
  </rv>
  <rv s="3">
    <fb>45475</fb>
    <v>5</v>
  </rv>
  <rv s="3">
    <fb>45476</fb>
    <v>5</v>
  </rv>
  <rv s="3">
    <fb>45478</fb>
    <v>5</v>
  </rv>
  <rv s="3">
    <fb>40.409999999999997</fb>
    <v>6</v>
  </rv>
  <rv s="3">
    <fb>45481</fb>
    <v>5</v>
  </rv>
  <rv s="3">
    <fb>40.619999999999997</fb>
    <v>6</v>
  </rv>
  <rv s="3">
    <fb>45482</fb>
    <v>5</v>
  </rv>
  <rv s="3">
    <fb>41.42</fb>
    <v>6</v>
  </rv>
  <rv s="3">
    <fb>45483</fb>
    <v>5</v>
  </rv>
  <rv s="3">
    <fb>41.74</fb>
    <v>6</v>
  </rv>
  <rv s="3">
    <fb>45484</fb>
    <v>5</v>
  </rv>
  <rv s="3">
    <fb>41.81</fb>
    <v>6</v>
  </rv>
  <rv s="3">
    <fb>45485</fb>
    <v>5</v>
  </rv>
  <rv s="3">
    <fb>41.59</fb>
    <v>6</v>
  </rv>
  <rv s="3">
    <fb>45488</fb>
    <v>5</v>
  </rv>
  <rv s="3">
    <fb>41.89</fb>
    <v>6</v>
  </rv>
  <rv s="3">
    <fb>45489</fb>
    <v>5</v>
  </rv>
  <rv s="3">
    <fb>45490</fb>
    <v>5</v>
  </rv>
  <rv s="3">
    <fb>43.98</fb>
    <v>6</v>
  </rv>
  <rv s="3">
    <fb>45491</fb>
    <v>5</v>
  </rv>
  <rv s="3">
    <fb>43.01</fb>
    <v>6</v>
  </rv>
  <rv s="3">
    <fb>45492</fb>
    <v>5</v>
  </rv>
  <rv s="3">
    <fb>45495</fb>
    <v>5</v>
  </rv>
  <rv s="3">
    <fb>42.3</fb>
    <v>6</v>
  </rv>
  <rv s="3">
    <fb>45496</fb>
    <v>5</v>
  </rv>
  <rv s="3">
    <fb>42.41</fb>
    <v>6</v>
  </rv>
  <rv s="3">
    <fb>45497</fb>
    <v>5</v>
  </rv>
  <rv s="3">
    <fb>42.19</fb>
    <v>6</v>
  </rv>
  <rv s="3">
    <fb>45498</fb>
    <v>5</v>
  </rv>
  <rv s="3">
    <fb>41.68</fb>
    <v>6</v>
  </rv>
  <rv s="3">
    <fb>45499</fb>
    <v>5</v>
  </rv>
  <rv s="3">
    <fb>41.67</fb>
    <v>6</v>
  </rv>
  <rv s="3">
    <fb>45502</fb>
    <v>5</v>
  </rv>
  <rv s="3">
    <fb>45503</fb>
    <v>5</v>
  </rv>
  <rv s="3">
    <fb>41.28</fb>
    <v>6</v>
  </rv>
  <rv s="3">
    <fb>45504</fb>
    <v>5</v>
  </rv>
  <rv s="3">
    <fb>40.31</fb>
    <v>6</v>
  </rv>
  <rv s="3">
    <fb>45505</fb>
    <v>5</v>
  </rv>
  <rv s="3">
    <fb>45506</fb>
    <v>5</v>
  </rv>
  <rv s="3">
    <fb>37.58</fb>
    <v>6</v>
  </rv>
  <rv s="3">
    <fb>45509</fb>
    <v>5</v>
  </rv>
  <rv s="3">
    <fb>45510</fb>
    <v>5</v>
  </rv>
  <rv s="3">
    <fb>45511</fb>
    <v>5</v>
  </rv>
  <rv s="3">
    <fb>45512</fb>
    <v>5</v>
  </rv>
  <rv s="3">
    <fb>45513</fb>
    <v>5</v>
  </rv>
  <rv s="3">
    <fb>45516</fb>
    <v>5</v>
  </rv>
  <rv s="3">
    <fb>38.17</fb>
    <v>6</v>
  </rv>
  <rv s="3">
    <fb>45517</fb>
    <v>5</v>
  </rv>
  <rv s="3">
    <fb>45518</fb>
    <v>5</v>
  </rv>
  <rv s="3">
    <fb>38.81</fb>
    <v>6</v>
  </rv>
  <rv s="3">
    <fb>45519</fb>
    <v>5</v>
  </rv>
  <rv s="3">
    <fb>39.03</fb>
    <v>6</v>
  </rv>
  <rv s="3">
    <fb>45520</fb>
    <v>5</v>
  </rv>
  <rv s="3">
    <fb>39.340000000000003</fb>
    <v>6</v>
  </rv>
  <rv s="3">
    <fb>45523</fb>
    <v>5</v>
  </rv>
  <rv s="3">
    <fb>45524</fb>
    <v>5</v>
  </rv>
  <rv s="3">
    <fb>45525</fb>
    <v>5</v>
  </rv>
  <rv s="3">
    <fb>38.75</fb>
    <v>6</v>
  </rv>
  <rv s="3">
    <fb>45526</fb>
    <v>5</v>
  </rv>
  <rv s="3">
    <fb>45527</fb>
    <v>5</v>
  </rv>
  <rv s="3">
    <fb>45530</fb>
    <v>5</v>
  </rv>
  <rv s="3">
    <fb>39.92</fb>
    <v>6</v>
  </rv>
  <rv s="3">
    <fb>45531</fb>
    <v>5</v>
  </rv>
  <rv s="3">
    <fb>45532</fb>
    <v>5</v>
  </rv>
  <rv s="3">
    <fb>39.950000000000003</fb>
    <v>6</v>
  </rv>
  <rv s="3">
    <fb>45533</fb>
    <v>5</v>
  </rv>
  <rv s="3">
    <fb>40.17</fb>
    <v>6</v>
  </rv>
  <rv s="3">
    <fb>45534</fb>
    <v>5</v>
  </rv>
  <rv s="3">
    <fb>40.75</fb>
    <v>6</v>
  </rv>
  <rv s="3">
    <fb>45538</fb>
    <v>5</v>
  </rv>
  <rv s="3">
    <fb>40.700000000000003</fb>
    <v>6</v>
  </rv>
  <rv s="3">
    <fb>45539</fb>
    <v>5</v>
  </rv>
  <rv s="3">
    <fb>45540</fb>
    <v>5</v>
  </rv>
  <rv s="3">
    <fb>45541</fb>
    <v>5</v>
  </rv>
  <rv s="3">
    <fb>38.76</fb>
    <v>6</v>
  </rv>
  <rv s="3">
    <fb>45544</fb>
    <v>5</v>
  </rv>
  <rv s="3">
    <fb>39.47</fb>
    <v>6</v>
  </rv>
  <rv s="3">
    <fb>45545</fb>
    <v>5</v>
  </rv>
  <rv s="3">
    <fb>39.28</fb>
    <v>6</v>
  </rv>
  <rv s="3">
    <fb>45546</fb>
    <v>5</v>
  </rv>
  <rv s="3">
    <fb>45547</fb>
    <v>5</v>
  </rv>
  <rv s="3">
    <fb>45548</fb>
    <v>5</v>
  </rv>
  <rv s="3">
    <fb>38.65</fb>
    <v>6</v>
  </rv>
  <rv s="3">
    <fb>45551</fb>
    <v>5</v>
  </rv>
  <rv s="3">
    <fb>39.1</fb>
    <v>6</v>
  </rv>
  <rv s="3">
    <fb>45552</fb>
    <v>5</v>
  </rv>
  <rv s="3">
    <fb>39.549999999999997</fb>
    <v>6</v>
  </rv>
  <rv s="3">
    <fb>45553</fb>
    <v>5</v>
  </rv>
  <rv s="3">
    <fb>39.619999999999997</fb>
    <v>6</v>
  </rv>
  <rv s="3">
    <fb>45554</fb>
    <v>5</v>
  </rv>
  <rv s="3">
    <fb>40.869999999999997</fb>
    <v>6</v>
  </rv>
  <rv s="3">
    <fb>45555</fb>
    <v>5</v>
  </rv>
  <rv s="3">
    <fb>45558</fb>
    <v>5</v>
  </rv>
  <rv s="3">
    <fb>39.869999999999997</fb>
    <v>6</v>
  </rv>
  <rv s="3">
    <fb>45559</fb>
    <v>5</v>
  </rv>
  <rv s="3">
    <fb>39.450000000000003</fb>
    <v>6</v>
  </rv>
  <rv s="3">
    <fb>45560</fb>
    <v>5</v>
  </rv>
  <rv s="3">
    <fb>45561</fb>
    <v>5</v>
  </rv>
  <rv s="3">
    <fb>39.520000000000003</fb>
    <v>6</v>
  </rv>
  <rv s="3">
    <fb>45562</fb>
    <v>5</v>
  </rv>
  <rv s="3">
    <fb>39.4</fb>
    <v>6</v>
  </rv>
  <rv s="3">
    <fb>45565</fb>
    <v>5</v>
  </rv>
  <rv s="3">
    <fb>45566</fb>
    <v>5</v>
  </rv>
  <rv s="3">
    <fb>45567</fb>
    <v>5</v>
  </rv>
  <rv s="3">
    <fb>39.229999999999997</fb>
    <v>6</v>
  </rv>
  <rv s="3">
    <fb>45568</fb>
    <v>5</v>
  </rv>
  <rv s="3">
    <fb>45569</fb>
    <v>5</v>
  </rv>
  <rv s="3">
    <fb>40.11</fb>
    <v>6</v>
  </rv>
  <rv s="3">
    <fb>45572</fb>
    <v>5</v>
  </rv>
  <rv s="3">
    <fb>45573</fb>
    <v>5</v>
  </rv>
  <rv s="3">
    <fb>39.93</fb>
    <v>6</v>
  </rv>
  <rv s="3">
    <fb>45574</fb>
    <v>5</v>
  </rv>
  <rv s="3">
    <fb>45575</fb>
    <v>5</v>
  </rv>
  <rv s="3">
    <fb>45576</fb>
    <v>5</v>
  </rv>
  <rv s="3">
    <fb>45579</fb>
    <v>5</v>
  </rv>
  <rv s="3">
    <fb>41.91</fb>
    <v>6</v>
  </rv>
  <rv s="3">
    <fb>45580</fb>
    <v>5</v>
  </rv>
  <rv s="3">
    <fb>45581</fb>
    <v>5</v>
  </rv>
  <rv s="3">
    <fb>45582</fb>
    <v>5</v>
  </rv>
  <rv s="3">
    <fb>42.6</fb>
    <v>6</v>
  </rv>
  <rv s="3">
    <fb>45583</fb>
    <v>5</v>
  </rv>
  <rv s="3">
    <fb>45586</fb>
    <v>5</v>
  </rv>
  <rv s="3">
    <fb>41.76</fb>
    <v>6</v>
  </rv>
  <rv s="3">
    <fb>45587</fb>
    <v>5</v>
  </rv>
  <rv s="3">
    <fb>45588</fb>
    <v>5</v>
  </rv>
  <rv s="3">
    <fb>42.34</fb>
    <v>6</v>
  </rv>
  <rv s="3">
    <fb>45589</fb>
    <v>5</v>
  </rv>
  <rv s="3">
    <fb>42.65</fb>
    <v>6</v>
  </rv>
  <rv s="3">
    <fb>45590</fb>
    <v>5</v>
  </rv>
  <rv s="3">
    <fb>45593</fb>
    <v>5</v>
  </rv>
  <rv s="3">
    <fb>42.62</fb>
    <v>6</v>
  </rv>
  <rv s="3">
    <fb>45594</fb>
    <v>5</v>
  </rv>
  <rv s="3">
    <fb>42.53</fb>
    <v>6</v>
  </rv>
  <rv s="3">
    <fb>45595</fb>
    <v>5</v>
  </rv>
  <rv s="3">
    <fb>42.31</fb>
    <v>6</v>
  </rv>
  <rv s="3">
    <fb>45596</fb>
    <v>5</v>
  </rv>
  <rv s="3">
    <fb>41.82</fb>
    <v>6</v>
  </rv>
  <rv s="3">
    <fb>45597</fb>
    <v>5</v>
  </rv>
  <rv s="3">
    <fb>45600</fb>
    <v>5</v>
  </rv>
  <rv s="3">
    <fb>41.33</fb>
    <v>6</v>
  </rv>
  <rv s="3">
    <fb>45601</fb>
    <v>5</v>
  </rv>
  <rv s="3">
    <fb>41.88</fb>
    <v>6</v>
  </rv>
  <rv s="3">
    <fb>45602</fb>
    <v>5</v>
  </rv>
  <rv s="3">
    <fb>45.41</fb>
    <v>6</v>
  </rv>
  <rv s="3">
    <fb>45603</fb>
    <v>5</v>
  </rv>
  <rv s="3">
    <fb>44.77</fb>
    <v>6</v>
  </rv>
  <rv s="3">
    <fb>45604</fb>
    <v>5</v>
  </rv>
  <rv s="3">
    <fb>45.13</fb>
    <v>6</v>
  </rv>
  <rv s="3">
    <fb>45607</fb>
    <v>5</v>
  </rv>
  <rv s="3">
    <fb>46.08</fb>
    <v>6</v>
  </rv>
  <rv s="3">
    <fb>45608</fb>
    <v>5</v>
  </rv>
  <rv s="3">
    <fb>45.86</fb>
    <v>6</v>
  </rv>
  <rv s="3">
    <fb>45609</fb>
    <v>5</v>
  </rv>
  <rv s="3">
    <fb>45610</fb>
    <v>5</v>
  </rv>
  <rv s="3">
    <fb>45611</fb>
    <v>5</v>
  </rv>
  <rv s="3">
    <fb>46.75</fb>
    <v>6</v>
  </rv>
  <rv s="3">
    <fb>45614</fb>
    <v>5</v>
  </rv>
  <rv s="3">
    <fb>46.72</fb>
    <v>6</v>
  </rv>
  <rv s="3">
    <fb>45615</fb>
    <v>5</v>
  </rv>
  <rv s="3">
    <fb>46.41</fb>
    <v>6</v>
  </rv>
  <rv s="3">
    <fb>45616</fb>
    <v>5</v>
  </rv>
  <rv s="3">
    <fb>46.06</fb>
    <v>6</v>
  </rv>
  <rv s="3">
    <fb>45617</fb>
    <v>5</v>
  </rv>
  <rv s="3">
    <fb>46.46</fb>
    <v>6</v>
  </rv>
  <rv s="3">
    <fb>45618</fb>
    <v>5</v>
  </rv>
  <rv s="3">
    <fb>47</fb>
    <v>6</v>
  </rv>
  <rv s="3">
    <fb>45621</fb>
    <v>5</v>
  </rv>
  <rv s="3">
    <fb>45622</fb>
    <v>5</v>
  </rv>
  <rv s="3">
    <fb>47.75</fb>
    <v>6</v>
  </rv>
  <rv s="3">
    <fb>45623</fb>
    <v>5</v>
  </rv>
  <rv s="3">
    <fb>47.77</fb>
    <v>6</v>
  </rv>
  <rv s="3">
    <fb>45625</fb>
    <v>5</v>
  </rv>
  <rv s="3">
    <fb>45628</fb>
    <v>5</v>
  </rv>
  <rv s="3">
    <fb>45629</fb>
    <v>5</v>
  </rv>
  <rv s="3">
    <fb>46.82</fb>
    <v>6</v>
  </rv>
  <rv s="3">
    <fb>45630</fb>
    <v>5</v>
  </rv>
  <rv s="3">
    <fb>45631</fb>
    <v>5</v>
  </rv>
  <rv s="3">
    <fb>45632</fb>
    <v>5</v>
  </rv>
  <rv s="3">
    <fb>45635</fb>
    <v>5</v>
  </rv>
  <rv s="3">
    <fb>45.91</fb>
    <v>6</v>
  </rv>
  <rv s="3">
    <fb>45636</fb>
    <v>5</v>
  </rv>
  <rv s="3">
    <fb>45637</fb>
    <v>5</v>
  </rv>
  <rv s="3">
    <fb>45638</fb>
    <v>5</v>
  </rv>
  <rv s="3">
    <fb>45639</fb>
    <v>5</v>
  </rv>
  <rv s="3">
    <fb>45.67</fb>
    <v>6</v>
  </rv>
  <rv s="3">
    <fb>45642</fb>
    <v>5</v>
  </rv>
  <rv s="3">
    <fb>45643</fb>
    <v>5</v>
  </rv>
  <rv s="3">
    <fb>45.05</fb>
    <v>6</v>
  </rv>
  <rv s="3">
    <fb>45644</fb>
    <v>5</v>
  </rv>
  <rv s="3">
    <fb>45645</fb>
    <v>5</v>
  </rv>
  <rv s="3">
    <fb>43.38</fb>
    <v>6</v>
  </rv>
  <rv s="3">
    <fb>45646</fb>
    <v>5</v>
  </rv>
  <rv s="3">
    <fb>44.17</fb>
    <v>6</v>
  </rv>
  <rv s="3">
    <fb>45649</fb>
    <v>5</v>
  </rv>
  <rv s="3">
    <fb>43.89</fb>
    <v>6</v>
  </rv>
  <rv s="3">
    <fb>45650</fb>
    <v>5</v>
  </rv>
  <rv s="3">
    <fb>44.38</fb>
    <v>6</v>
  </rv>
  <rv s="3">
    <fb>45652</fb>
    <v>5</v>
  </rv>
  <rv s="3">
    <fb>45653</fb>
    <v>5</v>
  </rv>
  <rv s="3">
    <fb>45656</fb>
    <v>5</v>
  </rv>
  <rv s="3">
    <fb>43.91</fb>
    <v>6</v>
  </rv>
  <rv s="3">
    <fb>45657</fb>
    <v>5</v>
  </rv>
  <rv s="3">
    <fb>43.95</fb>
    <v>6</v>
  </rv>
  <rv s="3">
    <fb>45659</fb>
    <v>5</v>
  </rv>
  <rv s="3">
    <fb>44.29</fb>
    <v>6</v>
  </rv>
  <rv s="3">
    <fb>45660</fb>
    <v>5</v>
  </rv>
  <rv s="3">
    <fb>44.81</fb>
    <v>6</v>
  </rv>
  <rv s="3">
    <fb>45663</fb>
    <v>5</v>
  </rv>
  <rv s="3">
    <fb>45664</fb>
    <v>5</v>
  </rv>
  <rv s="3">
    <fb>45665</fb>
    <v>5</v>
  </rv>
  <rv s="3">
    <fb>46.21</fb>
    <v>6</v>
  </rv>
  <rv s="3">
    <fb>45667</fb>
    <v>5</v>
  </rv>
  <rv s="3">
    <fb>45.11</fb>
    <v>6</v>
  </rv>
  <rv s="3">
    <fb>45670</fb>
    <v>5</v>
  </rv>
  <rv s="3">
    <fb>45.06</fb>
    <v>6</v>
  </rv>
  <rv s="3">
    <fb>45671</fb>
    <v>5</v>
  </rv>
  <rv s="3">
    <fb>45.78</fb>
    <v>6</v>
  </rv>
  <rv s="3">
    <fb>45672</fb>
    <v>5</v>
  </rv>
  <rv s="3">
    <fb>47.1</fb>
    <v>6</v>
  </rv>
  <rv s="3">
    <fb>45673</fb>
    <v>5</v>
  </rv>
  <rv s="3">
    <fb>46.64</fb>
    <v>6</v>
  </rv>
  <rv s="3">
    <fb>45674</fb>
    <v>5</v>
  </rv>
  <rv s="3">
    <fb>46.53</fb>
    <v>6</v>
  </rv>
  <rv s="3">
    <fb>45678</fb>
    <v>5</v>
  </rv>
  <rv s="3">
    <fb>46.66</fb>
    <v>6</v>
  </rv>
  <rv s="3">
    <fb>45679</fb>
    <v>5</v>
  </rv>
  <rv s="3">
    <fb>45.79</fb>
    <v>6</v>
  </rv>
  <rv s="3">
    <fb>45680</fb>
    <v>5</v>
  </rv>
  <rv s="3">
    <fb>46.39</fb>
    <v>6</v>
  </rv>
  <rv s="3">
    <fb>45681</fb>
    <v>5</v>
  </rv>
  <rv s="3">
    <fb>46.52</fb>
    <v>6</v>
  </rv>
  <rv s="3">
    <fb>45684</fb>
    <v>5</v>
  </rv>
  <rv s="3">
    <fb>45685</fb>
    <v>5</v>
  </rv>
  <rv s="3">
    <fb>46.84</fb>
    <v>6</v>
  </rv>
  <rv s="3">
    <fb>45686</fb>
    <v>5</v>
  </rv>
  <rv s="3">
    <fb>45687</fb>
    <v>5</v>
  </rv>
  <rv s="3">
    <fb>45688</fb>
    <v>5</v>
  </rv>
  <rv s="3">
    <fb>46.3</fb>
    <v>6</v>
  </rv>
  <rv s="3">
    <fb>45691</fb>
    <v>5</v>
  </rv>
  <rv s="3">
    <fb>45692</fb>
    <v>5</v>
  </rv>
  <rv s="3">
    <fb>46.71</fb>
    <v>6</v>
  </rv>
  <rv s="3">
    <fb>45693</fb>
    <v>5</v>
  </rv>
  <rv s="3">
    <fb>47.11</fb>
    <v>6</v>
  </rv>
  <rv s="3">
    <fb>45694</fb>
    <v>5</v>
  </rv>
  <rv s="3">
    <fb>47.74</fb>
    <v>6</v>
  </rv>
  <rv s="3">
    <fb>45695</fb>
    <v>5</v>
  </rv>
  <rv s="3">
    <fb>47.4</fb>
    <v>6</v>
  </rv>
  <rv s="3">
    <fb>45698</fb>
    <v>5</v>
  </rv>
  <rv s="3">
    <fb>46.67</fb>
    <v>6</v>
  </rv>
  <rv s="3">
    <fb>45699</fb>
    <v>5</v>
  </rv>
  <rv s="3">
    <fb>46.79</fb>
    <v>6</v>
  </rv>
  <rv s="3">
    <fb>45700</fb>
    <v>5</v>
  </rv>
  <rv s="3">
    <fb>45701</fb>
    <v>5</v>
  </rv>
  <rv s="3">
    <fb>46.33</fb>
    <v>6</v>
  </rv>
  <rv s="3">
    <fb>45702</fb>
    <v>5</v>
  </rv>
  <rv s="3">
    <fb>46.96</fb>
    <v>6</v>
  </rv>
  <rv s="3">
    <fb>45706</fb>
    <v>5</v>
  </rv>
  <rv s="3">
    <fb>45707</fb>
    <v>5</v>
  </rv>
  <rv s="3">
    <fb>46.01</fb>
    <v>6</v>
  </rv>
  <rv s="3">
    <fb>45708</fb>
    <v>5</v>
  </rv>
  <rv s="3">
    <fb>45.3</fb>
    <v>6</v>
  </rv>
  <rv s="3">
    <fb>45709</fb>
    <v>5</v>
  </rv>
  <rv s="3">
    <fb>45712</fb>
    <v>5</v>
  </rv>
  <rv s="3">
    <fb>44.46</fb>
    <v>6</v>
  </rv>
  <rv s="3">
    <fb>45713</fb>
    <v>5</v>
  </rv>
  <rv s="3">
    <fb>45714</fb>
    <v>5</v>
  </rv>
  <rv s="3">
    <fb>45715</fb>
    <v>5</v>
  </rv>
  <rv s="3">
    <fb>45716</fb>
    <v>5</v>
  </rv>
  <rv s="3">
    <fb>46.1</fb>
    <v>6</v>
  </rv>
  <rv s="3">
    <fb>45719</fb>
    <v>5</v>
  </rv>
  <rv s="3">
    <fb>45720</fb>
    <v>5</v>
  </rv>
  <rv s="3">
    <fb>42.67</fb>
    <v>6</v>
  </rv>
  <rv s="3">
    <fb>45721</fb>
    <v>5</v>
  </rv>
  <rv s="3">
    <fb>42.29</fb>
    <v>6</v>
  </rv>
  <rv s="3">
    <fb>45722</fb>
    <v>5</v>
  </rv>
  <rv s="3">
    <fb>41.46</fb>
    <v>6</v>
  </rv>
  <rv s="3">
    <fb>45723</fb>
    <v>5</v>
  </rv>
  <rv s="3">
    <fb>41.4</fb>
    <v>6</v>
  </rv>
  <rv s="3">
    <fb>45726</fb>
    <v>5</v>
  </rv>
  <rv s="3">
    <fb>39.83</fb>
    <v>6</v>
  </rv>
  <rv s="3">
    <fb>45727</fb>
    <v>5</v>
  </rv>
  <rv s="3">
    <fb>39.61</fb>
    <v>6</v>
  </rv>
  <rv s="3">
    <fb>45728</fb>
    <v>5</v>
  </rv>
  <rv s="3">
    <fb>39.909999999999997</fb>
    <v>6</v>
  </rv>
  <rv s="3">
    <fb>45729</fb>
    <v>5</v>
  </rv>
  <rv s="3">
    <fb>45730</fb>
    <v>5</v>
  </rv>
  <rv s="3">
    <fb>45733</fb>
    <v>5</v>
  </rv>
  <rv s="3">
    <fb>41.44</fb>
    <v>6</v>
  </rv>
  <rv s="3">
    <fb>45734</fb>
    <v>5</v>
  </rv>
  <rv s="3">
    <fb>41.65</fb>
    <v>6</v>
  </rv>
  <rv s="3">
    <fb>45735</fb>
    <v>5</v>
  </rv>
  <rv s="3">
    <fb>42.21</fb>
    <v>6</v>
  </rv>
  <rv s="3">
    <fb>45736</fb>
    <v>5</v>
  </rv>
  <rv s="3">
    <fb>42.48</fb>
    <v>6</v>
  </rv>
  <rv s="3">
    <fb>45737</fb>
    <v>5</v>
  </rv>
  <rv s="3">
    <fb>45740</fb>
    <v>5</v>
  </rv>
  <rv s="3">
    <fb>45741</fb>
    <v>5</v>
  </rv>
  <rv s="3">
    <fb>43.28</fb>
    <v>6</v>
  </rv>
  <rv s="3">
    <fb>45742</fb>
    <v>5</v>
  </rv>
  <rv s="3">
    <fb>42.82</fb>
    <v>6</v>
  </rv>
  <rv s="3">
    <fb>45743</fb>
    <v>5</v>
  </rv>
  <rv s="3">
    <fb>42.56</fb>
    <v>6</v>
  </rv>
  <rv s="3">
    <fb>45744</fb>
    <v>5</v>
  </rv>
  <rv s="3">
    <fb>41.25</fb>
    <v>6</v>
  </rv>
  <rv s="3">
    <fb>45747</fb>
    <v>5</v>
  </rv>
  <rv s="3">
    <fb>41.73</fb>
    <v>6</v>
  </rv>
  <rv s="3">
    <fb>45748</fb>
    <v>5</v>
  </rv>
  <rv s="3">
    <fb>41.49</fb>
    <v>6</v>
  </rv>
  <rv s="3">
    <fb>45749</fb>
    <v>5</v>
  </rv>
  <rv s="3">
    <fb>41.85</fb>
    <v>6</v>
  </rv>
  <rv s="3">
    <fb>45750</fb>
    <v>5</v>
  </rv>
  <rv s="3">
    <fb>37.22</fb>
    <v>6</v>
  </rv>
  <rv s="3">
    <fb>45751</fb>
    <v>5</v>
  </rv>
  <rv s="3">
    <fb>34.39</fb>
    <v>6</v>
  </rv>
  <rv s="3">
    <fb>45754</fb>
    <v>5</v>
  </rv>
  <rv s="3">
    <fb>45755</fb>
    <v>5</v>
  </rv>
  <rv s="3">
    <fb>35.03</fb>
    <v>6</v>
  </rv>
  <rv s="3">
    <fb>45756</fb>
    <v>5</v>
  </rv>
  <rv s="3">
    <fb>37.15</fb>
    <v>6</v>
  </rv>
  <rv s="3">
    <fb>45757</fb>
    <v>5</v>
  </rv>
  <rv s="3">
    <fb>35.85</fb>
    <v>6</v>
  </rv>
  <rv s="3">
    <fb>45758</fb>
    <v>5</v>
  </rv>
  <rv s="3">
    <fb>45761</fb>
    <v>5</v>
  </rv>
  <rv s="3">
    <fb>45762</fb>
    <v>5</v>
  </rv>
  <rv s="3">
    <fb>37.99</fb>
    <v>6</v>
  </rv>
  <rv s="3">
    <fb>45763</fb>
    <v>5</v>
  </rv>
  <rv s="3">
    <fb>37.33</fb>
    <v>6</v>
  </rv>
  <rv s="3">
    <fb>45764</fb>
    <v>5</v>
  </rv>
  <rv s="3">
    <fb>37.409999999999997</fb>
    <v>6</v>
  </rv>
  <rv s="3">
    <fb>45768</fb>
    <v>5</v>
  </rv>
  <rv s="3">
    <fb>45769</fb>
    <v>5</v>
  </rv>
  <rv s="3">
    <fb>45770</fb>
    <v>5</v>
  </rv>
  <rv s="3">
    <fb>45771</fb>
    <v>5</v>
  </rv>
  <rv s="3">
    <fb>39.58</fb>
    <v>6</v>
  </rv>
  <rv s="3">
    <fb>45772</fb>
    <v>5</v>
  </rv>
  <rv s="3">
    <fb>45775</fb>
    <v>5</v>
  </rv>
  <rv s="3">
    <fb>45776</fb>
    <v>5</v>
  </rv>
  <rv s="3">
    <fb>45777</fb>
    <v>5</v>
  </rv>
  <rv s="3">
    <fb>45778</fb>
    <v>5</v>
  </rv>
  <rv s="3">
    <fb>45779</fb>
    <v>5</v>
  </rv>
  <rv s="3">
    <fb>41.07</fb>
    <v>6</v>
  </rv>
  <rv s="3">
    <fb>45782</fb>
    <v>5</v>
  </rv>
  <rv s="3">
    <fb>41.12</fb>
    <v>6</v>
  </rv>
  <rv s="3">
    <fb>45783</fb>
    <v>5</v>
  </rv>
  <rv s="3">
    <fb>40.840000000000003</fb>
    <v>6</v>
  </rv>
  <rv s="3">
    <fb>45784</fb>
    <v>5</v>
  </rv>
  <rv s="3">
    <fb>45785</fb>
    <v>5</v>
  </rv>
  <rv s="3">
    <fb>41.6</fb>
    <v>6</v>
  </rv>
  <rv s="3">
    <fb>45786</fb>
    <v>5</v>
  </rv>
  <rv s="3">
    <fb>41.79</fb>
    <v>6</v>
  </rv>
  <rv s="3">
    <fb>45789</fb>
    <v>5</v>
  </rv>
  <rv s="3">
    <fb>43.36</fb>
    <v>6</v>
  </rv>
  <rv s="3">
    <fb>45790</fb>
    <v>5</v>
  </rv>
  <rv s="3">
    <fb>45791</fb>
    <v>5</v>
  </rv>
  <rv s="3">
    <fb>44.74</fb>
    <v>6</v>
  </rv>
  <rv s="3">
    <fb>45792</fb>
    <v>5</v>
  </rv>
  <rv s="3">
    <fb>45793</fb>
    <v>5</v>
  </rv>
  <rv s="3">
    <fb>44.69</fb>
    <v>6</v>
  </rv>
  <rv s="3">
    <fb>45796</fb>
    <v>5</v>
  </rv>
  <rv s="3">
    <fb>45797</fb>
    <v>5</v>
  </rv>
  <rv s="3">
    <fb>45798</fb>
    <v>5</v>
  </rv>
  <rv s="3">
    <fb>45799</fb>
    <v>5</v>
  </rv>
  <rv s="3">
    <fb>43.31</fb>
    <v>6</v>
  </rv>
  <rv s="3">
    <fb>45800</fb>
    <v>5</v>
  </rv>
  <rv s="3">
    <fb>43.2</fb>
    <v>6</v>
  </rv>
  <rv s="3">
    <fb>45804</fb>
    <v>5</v>
  </rv>
  <rv s="3">
    <fb>45805</fb>
    <v>5</v>
  </rv>
  <rv s="3">
    <fb>44.06</fb>
    <v>6</v>
  </rv>
  <rv s="3">
    <fb>45806</fb>
    <v>5</v>
  </rv>
  <rv s="3">
    <fb>45807</fb>
    <v>5</v>
  </rv>
  <rv s="3">
    <fb>45810</fb>
    <v>5</v>
  </rv>
  <rv s="3">
    <fb>44.08</fb>
    <v>6</v>
  </rv>
  <rv s="3">
    <fb>45811</fb>
    <v>5</v>
  </rv>
  <rv s="3">
    <fb>44.65</fb>
    <v>6</v>
  </rv>
  <rv s="3">
    <fb>45812</fb>
    <v>5</v>
  </rv>
  <rv s="3">
    <fb>44.36</fb>
    <v>6</v>
  </rv>
  <rv s="3">
    <fb>45813</fb>
    <v>5</v>
  </rv>
  <rv s="3">
    <fb>45814</fb>
    <v>5</v>
  </rv>
  <rv s="3">
    <fb>44.97</fb>
    <v>6</v>
  </rv>
  <rv s="3">
    <fb>45817</fb>
    <v>5</v>
  </rv>
  <rv s="3">
    <fb>44.87</fb>
    <v>6</v>
  </rv>
  <rv s="3">
    <fb>45818</fb>
    <v>5</v>
  </rv>
  <rv s="3">
    <fb>45.09</fb>
    <v>6</v>
  </rv>
  <rv s="3">
    <fb>45819</fb>
    <v>5</v>
  </rv>
  <rv s="3">
    <fb>44.73</fb>
    <v>6</v>
  </rv>
  <rv s="3">
    <fb>45820</fb>
    <v>5</v>
  </rv>
  <rv s="3">
    <fb>44.62</fb>
    <v>6</v>
  </rv>
  <rv s="3">
    <fb>45821</fb>
    <v>5</v>
  </rv>
  <rv s="3">
    <fb>44.09</fb>
    <v>6</v>
  </rv>
  <rv s="3">
    <fb>45824</fb>
    <v>5</v>
  </rv>
  <rv s="3">
    <fb>44.41</fb>
    <v>6</v>
  </rv>
  <rv s="3">
    <fb>45825</fb>
    <v>5</v>
  </rv>
  <rv s="3">
    <fb>44.23</fb>
    <v>6</v>
  </rv>
  <rv s="3">
    <fb>45826</fb>
    <v>5</v>
  </rv>
  <rv s="3">
    <fb>45828</fb>
    <v>5</v>
  </rv>
  <rv s="3">
    <fb>45.5</fb>
    <v>6</v>
  </rv>
  <rv s="3">
    <fb>45831</fb>
    <v>5</v>
  </rv>
  <rv s="3">
    <fb>45832</fb>
    <v>5</v>
  </rv>
  <rv s="3">
    <fb>45833</fb>
    <v>5</v>
  </rv>
  <rv s="3">
    <fb>46.85</fb>
    <v>6</v>
  </rv>
  <rv s="3">
    <fb>45834</fb>
    <v>5</v>
  </rv>
  <rv s="3">
    <fb>47.46</fb>
    <v>6</v>
  </rv>
  <rv s="3">
    <fb>45835</fb>
    <v>5</v>
  </rv>
  <rv s="3">
    <fb>47.12</fb>
    <v>6</v>
  </rv>
  <rv s="3">
    <fb>45838</fb>
    <v>5</v>
  </rv>
  <rv s="3">
    <fb>47.32</fb>
    <v>6</v>
  </rv>
  <rv s="3">
    <fb>45839</fb>
    <v>5</v>
  </rv>
  <rv s="3">
    <fb>48.15</fb>
    <v>6</v>
  </rv>
  <rv s="3">
    <fb>45840</fb>
    <v>5</v>
  </rv>
  <rv s="3">
    <fb>48.71</fb>
    <v>6</v>
  </rv>
  <rv s="3">
    <fb>45841</fb>
    <v>5</v>
  </rv>
  <rv s="3">
    <fb>45845</fb>
    <v>5</v>
  </rv>
  <rv s="3">
    <fb>48.66</fb>
    <v>6</v>
  </rv>
  <rv s="3">
    <fb>45846</fb>
    <v>5</v>
  </rv>
  <rv s="3">
    <fb>47.15</fb>
    <v>6</v>
  </rv>
  <rv s="3">
    <fb>45847</fb>
    <v>5</v>
  </rv>
  <rv s="3">
    <fb>45848</fb>
    <v>5</v>
  </rv>
  <rv s="3">
    <fb>45849</fb>
    <v>5</v>
  </rv>
  <rv s="3">
    <fb>46.73</fb>
    <v>6</v>
  </rv>
  <rv s="3">
    <fb>45852</fb>
    <v>5</v>
  </rv>
  <rv s="3">
    <fb>47.07</fb>
    <v>6</v>
  </rv>
  <rv s="3">
    <fb>45853</fb>
    <v>5</v>
  </rv>
  <rv s="3">
    <fb>46.15</fb>
    <v>6</v>
  </rv>
  <rv s="3">
    <fb>45854</fb>
    <v>5</v>
  </rv>
  <rv s="3">
    <fb>46.03</fb>
    <v>6</v>
  </rv>
  <rv s="3">
    <fb>45855</fb>
    <v>5</v>
  </rv>
  <rv s="3">
    <fb>47.02</fb>
    <v>6</v>
  </rv>
  <rv s="3">
    <fb>45856</fb>
    <v>5</v>
  </rv>
  <rv s="3">
    <fb>45859</fb>
    <v>5</v>
  </rv>
  <rv s="3">
    <fb>47.48</fb>
    <v>6</v>
  </rv>
  <rv s="3">
    <fb>45860</fb>
    <v>5</v>
  </rv>
  <rv s="3">
    <fb>45861</fb>
    <v>5</v>
  </rv>
  <rv s="3">
    <fb>48.14</fb>
    <v>6</v>
  </rv>
  <rv s="3">
    <fb>45862</fb>
    <v>5</v>
  </rv>
  <rv s="3">
    <fb>48.39</fb>
    <v>6</v>
  </rv>
  <rv s="3">
    <fb>45863</fb>
    <v>5</v>
  </rv>
  <rv s="3">
    <fb>48.45</fb>
    <v>6</v>
  </rv>
  <rv s="3">
    <fb>45866</fb>
    <v>5</v>
  </rv>
  <rv s="3">
    <fb>48.23</fb>
    <v>6</v>
  </rv>
  <rv s="3">
    <fb>45867</fb>
    <v>5</v>
  </rv>
  <rv s="3">
    <fb>47.95</fb>
    <v>6</v>
  </rv>
  <rv s="3">
    <fb>45868</fb>
    <v>5</v>
  </rv>
  <rv s="3">
    <fb>45869</fb>
    <v>5</v>
  </rv>
  <rv s="3">
    <fb>47.27</fb>
    <v>6</v>
  </rv>
  <rv s="3">
    <fb>45870</fb>
    <v>5</v>
  </rv>
  <rv s="3">
    <fb>45873</fb>
    <v>5</v>
  </rv>
  <rv s="3">
    <fb>45.85</fb>
    <v>6</v>
  </rv>
  <rv s="3">
    <fb>45874</fb>
    <v>5</v>
  </rv>
  <rv s="3">
    <fb>45875</fb>
    <v>5</v>
  </rv>
  <rv s="3">
    <fb>45.42</fb>
    <v>6</v>
  </rv>
  <rv s="3">
    <fb>45876</fb>
    <v>5</v>
  </rv>
  <rv s="3">
    <fb>45877</fb>
    <v>5</v>
  </rv>
  <rv s="3">
    <fb>45880</fb>
    <v>5</v>
  </rv>
  <rv s="3">
    <fb>46.16</fb>
    <v>6</v>
  </rv>
  <rv s="3">
    <fb>45881</fb>
    <v>5</v>
  </rv>
  <rv s="3">
    <fb>45882</fb>
    <v>5</v>
  </rv>
  <rv s="3">
    <fb>47.24</fb>
    <v>6</v>
  </rv>
  <rv s="3">
    <fb>45883</fb>
    <v>5</v>
  </rv>
  <rv s="3">
    <fb>47.71</fb>
    <v>6</v>
  </rv>
  <rv s="3">
    <fb>45884</fb>
    <v>5</v>
  </rv>
  <rv s="3">
    <fb>45887</fb>
    <v>5</v>
  </rv>
  <rv s="3">
    <fb>45888</fb>
    <v>5</v>
  </rv>
  <rv s="3">
    <fb>48.08</fb>
    <v>6</v>
  </rv>
  <rv s="3">
    <fb>45889</fb>
    <v>5</v>
  </rv>
  <rv s="3">
    <fb>48.35</fb>
    <v>6</v>
  </rv>
  <rv s="3">
    <fb>45890</fb>
    <v>5</v>
  </rv>
  <rv s="3">
    <fb>48.26</fb>
    <v>6</v>
  </rv>
  <rv s="3">
    <fb>45891</fb>
    <v>5</v>
  </rv>
  <rv s="3">
    <fb>49.48</fb>
    <v>6</v>
  </rv>
  <rv s="3">
    <fb>45894</fb>
    <v>5</v>
  </rv>
  <rv s="3">
    <fb>45895</fb>
    <v>5</v>
  </rv>
  <rv s="3">
    <fb>50.25</fb>
    <v>6</v>
  </rv>
  <rv s="3">
    <fb>45896</fb>
    <v>5</v>
  </rv>
  <rv s="3">
    <fb>45897</fb>
    <v>5</v>
  </rv>
  <rv s="3">
    <fb>50.49</fb>
    <v>6</v>
  </rv>
  <rv s="3">
    <fb>45898</fb>
    <v>5</v>
  </rv>
  <rv s="3">
    <fb>50.74</fb>
    <v>6</v>
  </rv>
  <rv s="3">
    <fb>45902</fb>
    <v>5</v>
  </rv>
  <rv s="3">
    <fb>50.42</fb>
    <v>6</v>
  </rv>
  <rv s="3">
    <fb>45903</fb>
    <v>5</v>
  </rv>
  <rv s="3">
    <fb>50.06</fb>
    <v>6</v>
  </rv>
  <rv s="3">
    <fb>45904</fb>
    <v>5</v>
  </rv>
  <rv s="3">
    <fb>50.62</fb>
    <v>6</v>
  </rv>
  <rv s="3">
    <fb>45905</fb>
    <v>5</v>
  </rv>
  <rv s="3">
    <fb>49.77</fb>
    <v>6</v>
  </rv>
  <rv s="3">
    <fb>45908</fb>
    <v>5</v>
  </rv>
  <rv s="3">
    <fb>49.46</fb>
    <v>6</v>
  </rv>
  <rv s="3">
    <fb>45909</fb>
    <v>5</v>
  </rv>
  <rv s="3">
    <fb>50.29</fb>
    <v>6</v>
  </rv>
  <rv s="3">
    <fb>45910</fb>
    <v>5</v>
  </rv>
  <rv s="3">
    <fb>50.13</fb>
    <v>6</v>
  </rv>
  <rv s="3">
    <fb>45911</fb>
    <v>5</v>
  </rv>
  <rv s="3">
    <fb>50.75</fb>
    <v>6</v>
  </rv>
  <rv s="3">
    <fb>45912</fb>
    <v>5</v>
  </rv>
  <rv s="3">
    <fb>50.58</fb>
    <v>6</v>
  </rv>
  <rv s="3">
    <fb>45915</fb>
    <v>5</v>
  </rv>
  <rv s="3">
    <fb>50.59</fb>
    <v>6</v>
  </rv>
  <rv s="3">
    <fb>45916</fb>
    <v>5</v>
  </rv>
  <rv s="3">
    <fb>50.66</fb>
    <v>6</v>
  </rv>
  <rv s="3">
    <fb>45917</fb>
    <v>5</v>
  </rv>
  <rv s="3">
    <fb>51.4</fb>
    <v>6</v>
  </rv>
  <rv s="3">
    <fb>45918</fb>
    <v>5</v>
  </rv>
  <rv s="3">
    <fb>52.13</fb>
    <v>6</v>
  </rv>
  <rv s="3">
    <fb>45919</fb>
    <v>5</v>
  </rv>
  <rv s="3">
    <fb>52.25</fb>
    <v>6</v>
  </rv>
  <rv s="3">
    <fb>45922</fb>
    <v>5</v>
  </rv>
  <rv s="3">
    <fb>51.92</fb>
    <v>6</v>
  </rv>
  <rv s="3">
    <fb>45923</fb>
    <v>5</v>
  </rv>
  <rv s="3">
    <fb>51.7</fb>
    <v>6</v>
  </rv>
  <rv s="3">
    <fb>45924</fb>
    <v>5</v>
  </rv>
  <rv s="3">
    <fb>45925</fb>
    <v>5</v>
  </rv>
  <rv s="3">
    <fb>51.85</fb>
    <v>6</v>
  </rv>
  <rv s="3">
    <fb>45926</fb>
    <v>5</v>
  </rv>
  <rv s="3">
    <fb>52.21</fb>
    <v>6</v>
  </rv>
  <rv s="3">
    <fb>45929</fb>
    <v>5</v>
  </rv>
  <rv s="3">
    <fb>52.42</fb>
    <v>6</v>
  </rv>
  <rv s="3">
    <fb>45930</fb>
    <v>5</v>
  </rv>
  <rv s="3">
    <fb>51.59</fb>
    <v>6</v>
  </rv>
  <rv s="3">
    <fb>45931</fb>
    <v>5</v>
  </rv>
  <rv s="3">
    <fb>50.68</fb>
    <v>6</v>
  </rv>
  <rv s="3">
    <fb>45932</fb>
    <v>5</v>
  </rv>
  <rv s="3">
    <fb>50.48</fb>
    <v>6</v>
  </rv>
  <rv s="3">
    <fb>45933</fb>
    <v>5</v>
  </rv>
  <rv s="3">
    <fb>50.64</fb>
    <v>6</v>
  </rv>
  <rv s="3">
    <fb>45936</fb>
    <v>5</v>
  </rv>
  <rv s="3">
    <fb>50.39</fb>
    <v>6</v>
  </rv>
  <rv s="3">
    <fb>45937</fb>
    <v>5</v>
  </rv>
  <rv s="3">
    <fb>45938</fb>
    <v>5</v>
  </rv>
  <rv s="3">
    <fb>49.84</fb>
    <v>6</v>
  </rv>
  <rv s="3">
    <fb>45939</fb>
    <v>5</v>
  </rv>
  <rv s="3">
    <fb>49.79</fb>
    <v>6</v>
  </rv>
  <rv s="3">
    <fb>45940</fb>
    <v>5</v>
  </rv>
  <rv s="3">
    <fb>45943</fb>
    <v>5</v>
  </rv>
  <rv s="3">
    <fb>45944</fb>
    <v>5</v>
  </rv>
  <rv s="3">
    <fb>50.09</fb>
    <v>6</v>
  </rv>
  <rv s="3">
    <fb>45945</fb>
    <v>5</v>
  </rv>
  <rv s="3">
    <fb>52.28</fb>
    <v>6</v>
  </rv>
  <rv s="3">
    <fb>45946</fb>
    <v>5</v>
  </rv>
  <rv s="3">
    <fb>50.44</fb>
    <v>6</v>
  </rv>
  <rv s="3">
    <fb>45947</fb>
    <v>5</v>
  </rv>
  <rv s="3">
    <fb>51.28</fb>
    <v>6</v>
  </rv>
  <rv s="3">
    <fb>45950</fb>
    <v>5</v>
  </rv>
  <rv s="3">
    <fb>52.04</fb>
    <v>6</v>
  </rv>
  <rv s="3">
    <fb>45951</fb>
    <v>5</v>
  </rv>
  <rv s="3">
    <fb>51.52</fb>
    <v>6</v>
  </rv>
  <rv s="3">
    <fb>45952</fb>
    <v>5</v>
  </rv>
  <rv s="3">
    <fb>51.1</fb>
    <v>6</v>
  </rv>
  <rv s="3">
    <fb>45953</fb>
    <v>5</v>
  </rv>
  <rv s="3">
    <fb>51.76</fb>
    <v>6</v>
  </rv>
  <rv s="3">
    <fb>45954</fb>
    <v>5</v>
  </rv>
  <rv s="3">
    <fb>52.57</fb>
    <v>6</v>
  </rv>
  <rv s="3">
    <fb>45957</fb>
    <v>5</v>
  </rv>
  <rv s="3">
    <fb>53.02</fb>
    <v>6</v>
  </rv>
  <rv s="3">
    <fb>45958</fb>
    <v>5</v>
  </rv>
  <rv s="3">
    <fb>52.87</fb>
    <v>6</v>
  </rv>
  <rv s="3">
    <fb>45959</fb>
    <v>5</v>
  </rv>
  <rv s="3">
    <fb>52.58</fb>
    <v>6</v>
  </rv>
  <rv s="3">
    <fb>45960</fb>
    <v>5</v>
  </rv>
  <rv s="3">
    <fb>53.03</fb>
    <v>6</v>
  </rv>
  <rv s="3">
    <fb>45961</fb>
    <v>5</v>
  </rv>
  <rv s="3">
    <fb>53.45</fb>
    <v>6</v>
  </rv>
  <rv s="3">
    <fb>45964</fb>
    <v>5</v>
  </rv>
  <rv s="3">
    <fb>53.56</fb>
    <v>6</v>
  </rv>
  <rv s="3">
    <fb>45965</fb>
    <v>5</v>
  </rv>
  <rv s="3">
    <fb>53.54</fb>
    <v>6</v>
  </rv>
  <rv s="3">
    <fb>45966</fb>
    <v>5</v>
  </rv>
  <rv s="3">
    <fb>52.45</fb>
    <v>6</v>
  </rv>
  <rv s="3">
    <fb>45967</fb>
    <v>5</v>
  </rv>
  <rv s="3">
    <fb>53.29</fb>
    <v>6</v>
  </rv>
  <rv s="3">
    <fb>45968</fb>
    <v>5</v>
  </rv>
  <rv s="3">
    <fb>53.2</fb>
    <v>6</v>
  </rv>
  <rv s="3">
    <fb>45971</fb>
    <v>5</v>
  </rv>
  <rv s="3">
    <fb>53.42</fb>
    <v>6</v>
  </rv>
  <rv s="3">
    <fb>45972</fb>
    <v>5</v>
  </rv>
  <rv s="3">
    <fb>53.63</fb>
    <v>6</v>
  </rv>
  <rv s="3">
    <fb>45973</fb>
    <v>5</v>
  </rv>
  <rv s="3">
    <fb>54.11</fb>
    <v>6</v>
  </rv>
  <rv s="3">
    <fb>45974</fb>
    <v>5</v>
  </rv>
  <rv s="3">
    <fb>45975</fb>
    <v>5</v>
  </rv>
  <rv s="3">
    <fb>52.61</fb>
    <v>6</v>
  </rv>
  <rv s="3">
    <fb>45978</fb>
    <v>5</v>
  </rv>
  <rv s="3">
    <fb>51.48</fb>
    <v>6</v>
  </rv>
  <rv s="3">
    <fb>45979</fb>
    <v>5</v>
  </rv>
  <rv s="3">
    <fb>51.64</fb>
    <v>6</v>
  </rv>
  <rv s="3">
    <fb>45980</fb>
    <v>5</v>
  </rv>
  <rv s="3">
    <fb>52.02</fb>
    <v>6</v>
  </rv>
  <rv s="3">
    <fb>45981</fb>
    <v>5</v>
  </rv>
  <rv s="3">
    <fb>51</fb>
    <v>6</v>
  </rv>
  <rv s="3">
    <fb>45982</fb>
    <v>5</v>
  </rv>
  <rv s="3">
    <fb>51.56</fb>
    <v>6</v>
  </rv>
  <rv s="3">
    <fb>45985</fb>
    <v>5</v>
  </rv>
  <rv s="3">
    <fb>51.93</fb>
    <v>6</v>
  </rv>
  <rv s="3">
    <fb>45986</fb>
    <v>5</v>
  </rv>
  <rv s="3">
    <fb>52.48</fb>
    <v>6</v>
  </rv>
  <rv s="3">
    <fb>45987</fb>
    <v>5</v>
  </rv>
  <rv s="3">
    <fb>52.99</fb>
    <v>6</v>
  </rv>
  <rv s="3">
    <fb>45989</fb>
    <v>5</v>
  </rv>
  <rv s="3">
    <fb>53.65</fb>
    <v>6</v>
  </rv>
  <rv s="3">
    <fb>45992</fb>
    <v>5</v>
  </rv>
  <rv s="3">
    <fb>53.24</fb>
    <v>6</v>
  </rv>
  <rv s="3">
    <fb>45993</fb>
    <v>5</v>
  </rv>
  <rv s="3">
    <fb>53.19</fb>
    <v>6</v>
  </rv>
  <rv s="3">
    <fb>45994</fb>
    <v>5</v>
  </rv>
  <rv s="3">
    <fb>54.09</fb>
    <v>6</v>
  </rv>
  <rv s="3">
    <fb>45995</fb>
    <v>5</v>
  </rv>
  <rv s="3">
    <fb>54.16</fb>
    <v>6</v>
  </rv>
  <rv s="3">
    <fb>45996</fb>
    <v>5</v>
  </rv>
  <rv s="3">
    <fb>53.95</fb>
    <v>6</v>
  </rv>
  <rv s="3">
    <fb>45999</fb>
    <v>5</v>
  </rv>
  <rv s="3">
    <fb>53.9</fb>
    <v>6</v>
  </rv>
  <rv s="3">
    <fb>46000</fb>
    <v>5</v>
  </rv>
  <rv s="3">
    <fb>46001</fb>
    <v>5</v>
  </rv>
  <rv s="3">
    <fb>54.08</fb>
    <v>6</v>
  </rv>
  <rv s="3">
    <fb>46002</fb>
    <v>5</v>
  </rv>
  <rv s="3">
    <fb>54.56</fb>
    <v>6</v>
  </rv>
  <rv s="3">
    <fb>46003</fb>
    <v>5</v>
  </rv>
  <rv s="3">
    <fb>55.14</fb>
    <v>6</v>
  </rv>
  <rv s="3">
    <fb>46006</fb>
    <v>5</v>
  </rv>
  <rv s="3">
    <fb>55.33</fb>
    <v>6</v>
  </rv>
  <rv s="3">
    <fb>46007</fb>
    <v>5</v>
  </rv>
  <rv s="3">
    <fb>54.81</fb>
    <v>6</v>
  </rv>
  <rv s="3">
    <fb>46008</fb>
    <v>5</v>
  </rv>
  <rv s="3">
    <fb>54.55</fb>
    <v>6</v>
  </rv>
  <rv s="3">
    <fb>46009</fb>
    <v>5</v>
  </rv>
  <rv s="3">
    <fb>54.26</fb>
    <v>6</v>
  </rv>
  <rv s="3">
    <fb>46010</fb>
    <v>5</v>
  </rv>
  <rv s="3">
    <fb>55.27</fb>
    <v>6</v>
  </rv>
  <rv s="3">
    <fb>46013</fb>
    <v>5</v>
  </rv>
  <rv s="3">
    <fb>55.88</fb>
    <v>6</v>
  </rv>
  <rv s="3">
    <fb>46014</fb>
    <v>5</v>
  </rv>
  <rv s="3">
    <fb>55.97</fb>
    <v>6</v>
  </rv>
  <rv s="3">
    <fb>46015</fb>
    <v>5</v>
  </rv>
  <rv s="3">
    <fb>56.25</fb>
    <v>6</v>
  </rv>
  <rv s="3">
    <fb>46017</fb>
    <v>5</v>
  </rv>
  <rv s="3">
    <fb>56.17</fb>
    <v>6</v>
  </rv>
  <rv s="3">
    <fb>46020</fb>
    <v>5</v>
  </rv>
  <rv s="3">
    <fb>55.35</fb>
    <v>6</v>
  </rv>
  <rv s="3">
    <fb>46021</fb>
    <v>5</v>
  </rv>
  <rv s="3">
    <fb>55.28</fb>
    <v>6</v>
  </rv>
  <rv s="3">
    <fb>46022</fb>
    <v>5</v>
  </rv>
  <rv s="3">
    <fb>55</fb>
    <v>6</v>
  </rv>
  <rv s="3">
    <fb>46024</fb>
    <v>5</v>
  </rv>
  <rv s="3">
    <fb>55.95</fb>
    <v>6</v>
  </rv>
  <rv s="3">
    <fb>46027</fb>
    <v>5</v>
  </rv>
  <rv s="3">
    <fb>56.89</fb>
    <v>6</v>
  </rv>
  <rv s="3">
    <fb>46028</fb>
    <v>5</v>
  </rv>
  <rv s="3">
    <fb>57.25</fb>
    <v>6</v>
  </rv>
  <rv s="3">
    <fb>46029</fb>
    <v>5</v>
  </rv>
  <rv s="3">
    <fb>55.64</fb>
    <v>6</v>
  </rv>
  <rv s="3">
    <fb>46030</fb>
    <v>5</v>
  </rv>
  <rv s="3">
    <fb>56.18</fb>
    <v>6</v>
  </rv>
  <rv s="3">
    <fb>46031</fb>
    <v>5</v>
  </rv>
  <rv s="3">
    <fb>55.85</fb>
    <v>6</v>
  </rv>
  <rv s="3">
    <fb>46034</fb>
    <v>5</v>
  </rv>
  <rv s="3">
    <fb>55.19</fb>
    <v>6</v>
  </rv>
  <rv s="3">
    <fb>46035</fb>
    <v>5</v>
  </rv>
  <rv s="3">
    <fb>54.54</fb>
    <v>6</v>
  </rv>
  <rv s="3">
    <fb>46036</fb>
    <v>5</v>
  </rv>
  <rv s="3">
    <fb>46037</fb>
    <v>5</v>
  </rv>
  <rv s="3">
    <fb>52.59</fb>
    <v>6</v>
  </rv>
  <rv s="3">
    <fb>46038</fb>
    <v>5</v>
  </rv>
  <rv s="3">
    <fb>52.97</fb>
    <v>6</v>
  </rv>
  <rv s="3">
    <fb>46042</fb>
    <v>5</v>
  </rv>
  <rv s="3">
    <fb>52.1</fb>
    <v>6</v>
  </rv>
  <rv s="3">
    <fb>46043</fb>
    <v>5</v>
  </rv>
  <rv s="3">
    <fb>52.07</fb>
    <v>6</v>
  </rv>
  <rv s="3">
    <fb>46044</fb>
    <v>5</v>
  </rv>
  <rv s="3">
    <fb>46045</fb>
    <v>5</v>
  </rv>
  <rv s="3">
    <fb>51.72</fb>
    <v>6</v>
  </rv>
  <rv s="3">
    <fb>46048</fb>
    <v>5</v>
  </rv>
  <rv s="3">
    <fb>46049</fb>
    <v>5</v>
  </rv>
  <rv s="3">
    <fb>52.17</fb>
    <v>6</v>
  </rv>
  <rv s="3">
    <fb>46050</fb>
    <v>5</v>
  </rv>
  <rv s="3">
    <fb>51.81</fb>
    <v>6</v>
  </rv>
  <rv s="3">
    <fb>46051</fb>
    <v>5</v>
  </rv>
  <rv s="3">
    <fb>53.08</fb>
    <v>6</v>
  </rv>
  <rv s="3">
    <fb>46052</fb>
    <v>5</v>
  </rv>
  <rv s="3">
    <fb>46055</fb>
    <v>5</v>
  </rv>
  <rv s="3">
    <fb>54.03</fb>
    <v>6</v>
  </rv>
  <rv s="3">
    <fb>46056</fb>
    <v>5</v>
  </rv>
  <rv s="3">
    <fb>54.45</fb>
    <v>6</v>
  </rv>
  <rv s="3">
    <fb>46057</fb>
    <v>5</v>
  </rv>
  <rv s="3">
    <fb>55.38</fb>
    <v>6</v>
  </rv>
  <rv s="3">
    <fb>46058</fb>
    <v>5</v>
  </rv>
  <rv s="3">
    <fb>54.94</fb>
    <v>6</v>
  </rv>
  <rv s="3">
    <fb>46059</fb>
    <v>5</v>
  </rv>
  <rv s="3">
    <fb>56.53</fb>
    <v>6</v>
  </rv>
  <rv s="3">
    <fb>46062</fb>
    <v>5</v>
  </rv>
  <rv s="3">
    <fb>56.41</fb>
    <v>6</v>
  </rv>
  <rv s="3">
    <fb>46063</fb>
    <v>5</v>
  </rv>
  <rv s="3">
    <fb>55.39</fb>
    <v>6</v>
  </rv>
  <rv s="3">
    <fb>46064</fb>
    <v>5</v>
  </rv>
  <rv s="3">
    <fb>53.85</fb>
    <v>6</v>
  </rv>
  <rv s="3">
    <fb>46065</fb>
    <v>5</v>
  </rv>
  <rv s="3">
    <fb>52.52</fb>
    <v>6</v>
  </rv>
  <rv s="3">
    <fb>46066</fb>
    <v>5</v>
  </rv>
  <rv s="3">
    <fb>52.55</fb>
    <v>6</v>
  </rv>
  <rv s="3">
    <fb>46070</fb>
    <v>5</v>
  </rv>
  <rv s="3">
    <fb>52.74</fb>
    <v>6</v>
  </rv>
  <rv s="3">
    <fb>46071</fb>
    <v>5</v>
  </rv>
  <rv s="3">
    <fb>53.36</fb>
    <v>6</v>
  </rv>
  <rv s="3">
    <fb>46072</fb>
    <v>5</v>
  </rv>
  <rv s="3">
    <fb>52.77</fb>
    <v>6</v>
  </rv>
  <rv s="3">
    <fb>46073</fb>
    <v>5</v>
  </rv>
  <rv s="3">
    <fb>53.06</fb>
    <v>6</v>
  </rv>
  <rv s="3">
    <fb>46076</fb>
    <v>5</v>
  </rv>
  <rv s="3">
    <fb>51.07</fb>
    <v>6</v>
  </rv>
  <rv s="3">
    <fb>46077</fb>
    <v>5</v>
  </rv>
  <rv s="3">
    <fb>50.41</fb>
    <v>6</v>
  </rv>
  <rv s="3">
    <fb>46078</fb>
    <v>5</v>
  </rv>
  <rv s="3">
    <fb>51.69</fb>
    <v>6</v>
  </rv>
  <rv s="3">
    <fb>46079</fb>
    <v>5</v>
  </rv>
  <rv s="3">
    <fb>52.3</fb>
    <v>6</v>
  </rv>
  <rv s="3">
    <fb>46080</fb>
    <v>5</v>
  </rv>
  <rv s="3">
    <fb>46083</fb>
    <v>5</v>
  </rv>
  <rv s="3">
    <fb>49.81</fb>
    <v>6</v>
  </rv>
  <rv s="4">
    <v>7</v>
    <v>a1o4sm</v>
    <v>Daily</v>
    <v>44257</v>
    <v>46083</v>
    <v>0</v>
    <v>1</v>
    <v>639080064000000000,639081032684365990,0</v>
    <v>0</v>
    <v>a1o4sm</v>
    <v>XNYS:BAC</v>
    <v>1</v>
  </rv>
</rvData>
</file>

<file path=xl/richData/rdrichvaluestructure.xml><?xml version="1.0" encoding="utf-8"?>
<rvStructures xmlns="http://schemas.microsoft.com/office/spreadsheetml/2017/richdata" count="5">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8">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5">
      <v>10</v>
    </spb>
    <spb s="5">
      <v>1</v>
    </spb>
    <spb s="6">
      <v>10</v>
      <v>1</v>
    </spb>
  </spbData>
</supportingPropertyBags>
</file>

<file path=xl/richData/rdsupportingpropertybagstructure.xml><?xml version="1.0" encoding="utf-8"?>
<spbStructures xmlns="http://schemas.microsoft.com/office/spreadsheetml/2017/richdata2" count="7">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19" formatCode="m/d/yy"/>
    </x:dxf>
    <x:dxf>
      <x:numFmt numFmtId="0" formatCode="General"/>
    </x:dxf>
    <x:dxf>
      <x:numFmt numFmtId="2" formatCode="0.00"/>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6">
      <rpv i="0">#,##0.00</rpv>
    </rSty>
    <rSty>
      <rpv i="1">1</rpv>
    </rSty>
    <rSty dxfid="5">
      <rpv i="0">#,##0</rpv>
    </rSty>
    <rSty dxfid="4"/>
    <rSty dxfid="1">
      <rpv i="0">_([$$-en-US]* #,##0_);_([$$-en-US]* (#,##0);_([$$-en-US]* "-"_);_(@_)</rpv>
    </rSty>
    <rSty dxfid="3"/>
    <rSty dxfid="7">
      <rpv i="0">0</rpv>
    </rSty>
    <rSty dxfid="2">
      <rpv i="0">0.00</rpv>
    </rSty>
    <rSty dxfid="0"/>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2B07E-8C85-B64B-A63D-CE7740BEB8A3}">
  <dimension ref="A1:AI1262"/>
  <sheetViews>
    <sheetView tabSelected="1" topLeftCell="K1" zoomScale="120" zoomScaleNormal="120" workbookViewId="0">
      <selection activeCell="Y6" sqref="Y6"/>
    </sheetView>
  </sheetViews>
  <sheetFormatPr baseColWidth="10" defaultRowHeight="16" x14ac:dyDescent="0.2"/>
  <cols>
    <col min="6" max="6" width="12.6640625" customWidth="1"/>
    <col min="10" max="10" width="3.83203125" customWidth="1"/>
    <col min="11" max="11" width="8.83203125" customWidth="1"/>
    <col min="12" max="12" width="8.33203125" customWidth="1"/>
  </cols>
  <sheetData>
    <row r="1" spans="1:35" x14ac:dyDescent="0.2">
      <c r="C1" t="s">
        <v>1</v>
      </c>
      <c r="D1" t="s">
        <v>2</v>
      </c>
      <c r="V1">
        <f ca="1">G3</f>
        <v>1764.866815030354</v>
      </c>
      <c r="W1">
        <v>60</v>
      </c>
      <c r="X1">
        <v>62</v>
      </c>
      <c r="Y1">
        <v>64</v>
      </c>
      <c r="Z1">
        <v>66</v>
      </c>
      <c r="AA1">
        <v>68</v>
      </c>
      <c r="AB1">
        <v>70</v>
      </c>
      <c r="AC1">
        <v>72</v>
      </c>
      <c r="AD1">
        <v>74</v>
      </c>
      <c r="AE1">
        <v>76</v>
      </c>
      <c r="AF1">
        <v>78</v>
      </c>
      <c r="AG1">
        <v>80</v>
      </c>
      <c r="AH1">
        <v>82</v>
      </c>
      <c r="AI1">
        <v>84</v>
      </c>
    </row>
    <row r="2" spans="1:35" x14ac:dyDescent="0.2">
      <c r="A2" t="s">
        <v>0</v>
      </c>
      <c r="B2" t="e" vm="1">
        <v>#VALUE!</v>
      </c>
      <c r="C2" s="1">
        <f ca="1">EDATE(D2,-60)</f>
        <v>44257</v>
      </c>
      <c r="D2" s="1">
        <f ca="1">TODAY()</f>
        <v>46083</v>
      </c>
      <c r="F2" t="s">
        <v>10</v>
      </c>
      <c r="G2">
        <f ca="1">COUNT(Q22:Q63)</f>
        <v>11</v>
      </c>
      <c r="T2" t="s">
        <v>11</v>
      </c>
      <c r="V2">
        <v>20</v>
      </c>
      <c r="W2">
        <f t="dataTable" ref="W2:AI17" dt2D="1" dtr="1" r1="C3" r2="B3" ca="1"/>
        <v>973.90155269243485</v>
      </c>
      <c r="X2">
        <v>1014.2054839775356</v>
      </c>
      <c r="Y2">
        <v>1014.2054839775356</v>
      </c>
      <c r="Z2">
        <v>1014.2054839775356</v>
      </c>
      <c r="AA2">
        <v>1041.6253716551041</v>
      </c>
      <c r="AB2">
        <v>1041.6253716551041</v>
      </c>
      <c r="AC2">
        <v>1046.9111331351173</v>
      </c>
      <c r="AD2">
        <v>1078.6257020151966</v>
      </c>
      <c r="AE2">
        <v>1078.6257020151966</v>
      </c>
      <c r="AF2">
        <v>1121.2421539478032</v>
      </c>
      <c r="AG2">
        <v>1121.2421539478032</v>
      </c>
      <c r="AH2">
        <v>1121.2421539478032</v>
      </c>
      <c r="AI2">
        <v>1646.1843409316155</v>
      </c>
    </row>
    <row r="3" spans="1:35" x14ac:dyDescent="0.2">
      <c r="A3" t="s">
        <v>3</v>
      </c>
      <c r="B3">
        <v>40</v>
      </c>
      <c r="C3">
        <v>70</v>
      </c>
      <c r="D3" s="1"/>
      <c r="F3" t="s">
        <v>11</v>
      </c>
      <c r="G3">
        <f ca="1">S63</f>
        <v>1764.866815030354</v>
      </c>
      <c r="V3">
        <v>22</v>
      </c>
      <c r="W3">
        <v>1167.6685989305995</v>
      </c>
      <c r="X3">
        <v>1221.5451903538003</v>
      </c>
      <c r="Y3">
        <v>1267.4371728581186</v>
      </c>
      <c r="Z3">
        <v>1267.4371728581186</v>
      </c>
      <c r="AA3">
        <v>1301.7033895835989</v>
      </c>
      <c r="AB3">
        <v>1329.3225574437677</v>
      </c>
      <c r="AC3">
        <v>1336.0682475544875</v>
      </c>
      <c r="AD3">
        <v>1475.399768402543</v>
      </c>
      <c r="AE3">
        <v>1514.2588014936339</v>
      </c>
      <c r="AF3">
        <v>1574.0870971728618</v>
      </c>
      <c r="AG3">
        <v>1610.280436298988</v>
      </c>
      <c r="AH3">
        <v>1610.280436298988</v>
      </c>
      <c r="AI3">
        <v>1631.6306483300589</v>
      </c>
    </row>
    <row r="4" spans="1:35" x14ac:dyDescent="0.2">
      <c r="A4" t="s">
        <v>9</v>
      </c>
      <c r="B4">
        <v>1000</v>
      </c>
      <c r="E4" s="1"/>
      <c r="F4" t="s">
        <v>16</v>
      </c>
      <c r="G4">
        <f ca="1">G3-B4</f>
        <v>764.86681503035402</v>
      </c>
      <c r="M4" t="s">
        <v>19</v>
      </c>
      <c r="N4">
        <f>AVERAGEIF(W20:AI35, "&gt;1")</f>
        <v>7.8888888888888893</v>
      </c>
      <c r="V4">
        <v>24</v>
      </c>
      <c r="W4">
        <v>1171.5475474843799</v>
      </c>
      <c r="X4">
        <v>1225.603114797294</v>
      </c>
      <c r="Y4">
        <v>1338.7594075351817</v>
      </c>
      <c r="Z4">
        <v>1338.7594075351817</v>
      </c>
      <c r="AA4">
        <v>1408.9130553442815</v>
      </c>
      <c r="AB4">
        <v>1471.4052907422169</v>
      </c>
      <c r="AC4">
        <v>1271.6837040122662</v>
      </c>
      <c r="AD4">
        <v>1453.2881406037927</v>
      </c>
      <c r="AE4">
        <v>1580.0158943623444</v>
      </c>
      <c r="AF4">
        <v>1253.8502855414501</v>
      </c>
      <c r="AG4">
        <v>1282.6803475370655</v>
      </c>
      <c r="AH4">
        <v>1282.6803475370655</v>
      </c>
      <c r="AI4">
        <v>1299.6870109546164</v>
      </c>
    </row>
    <row r="5" spans="1:35" x14ac:dyDescent="0.2">
      <c r="E5" s="1"/>
      <c r="M5" t="s">
        <v>20</v>
      </c>
      <c r="N5">
        <v>50</v>
      </c>
      <c r="V5">
        <v>26</v>
      </c>
      <c r="W5">
        <v>1124.6967048140161</v>
      </c>
      <c r="X5">
        <v>1211.2386252727035</v>
      </c>
      <c r="Y5">
        <v>1323.0686873882548</v>
      </c>
      <c r="Z5">
        <v>1323.0686873882548</v>
      </c>
      <c r="AA5">
        <v>1392.400110345852</v>
      </c>
      <c r="AB5">
        <v>1483.6244189244555</v>
      </c>
      <c r="AC5">
        <v>1282.2442655953714</v>
      </c>
      <c r="AD5">
        <v>1634.8314954303758</v>
      </c>
      <c r="AE5">
        <v>1482.585173454871</v>
      </c>
      <c r="AF5">
        <v>1176.5323688886895</v>
      </c>
      <c r="AG5">
        <v>1203.5846426139067</v>
      </c>
      <c r="AH5">
        <v>1203.5846426139067</v>
      </c>
      <c r="AI5">
        <v>1299.6870109546164</v>
      </c>
    </row>
    <row r="6" spans="1:35" x14ac:dyDescent="0.2">
      <c r="V6">
        <v>28</v>
      </c>
      <c r="W6">
        <v>1275.5997397240187</v>
      </c>
      <c r="X6">
        <v>1399.4244962121245</v>
      </c>
      <c r="Y6">
        <v>1528.6292004479988</v>
      </c>
      <c r="Z6">
        <v>1587.3565984416541</v>
      </c>
      <c r="AA6">
        <v>1861.883485316655</v>
      </c>
      <c r="AB6">
        <v>2002.381767365328</v>
      </c>
      <c r="AC6">
        <v>1518.479224662047</v>
      </c>
      <c r="AD6">
        <v>1955.7599382338019</v>
      </c>
      <c r="AE6">
        <v>1429.4901253238545</v>
      </c>
      <c r="AF6">
        <v>1134.3978299277512</v>
      </c>
      <c r="AG6">
        <v>1160.481294709502</v>
      </c>
      <c r="AH6">
        <v>1160.481294709502</v>
      </c>
      <c r="AI6">
        <v>1284.940691077875</v>
      </c>
    </row>
    <row r="7" spans="1:35" x14ac:dyDescent="0.2">
      <c r="A7" cm="1" vm="2">
        <f t="array" aca="1" ref="A7:B1262" ca="1">_xlfn.STOCKHISTORY(B2,C2,D2,0,0,0,1)</f>
        <v>44257</v>
      </c>
      <c r="B7" vm="3">
        <f ca="1"/>
        <v>35.53</v>
      </c>
      <c r="V7">
        <v>30</v>
      </c>
      <c r="W7">
        <v>1136.2545136199544</v>
      </c>
      <c r="X7">
        <v>1246.5527788798256</v>
      </c>
      <c r="Y7">
        <v>1393.654401332306</v>
      </c>
      <c r="Z7">
        <v>1466.6543928553156</v>
      </c>
      <c r="AA7">
        <v>1759.7716142673403</v>
      </c>
      <c r="AB7">
        <v>1949.8374639954948</v>
      </c>
      <c r="AC7">
        <v>1302.4643353262597</v>
      </c>
      <c r="AD7">
        <v>1677.5386364448573</v>
      </c>
      <c r="AE7">
        <v>1363.1979811240733</v>
      </c>
      <c r="AF7">
        <v>1134.3978299277512</v>
      </c>
      <c r="AG7">
        <v>1160.481294709502</v>
      </c>
      <c r="AH7">
        <v>1160.481294709502</v>
      </c>
      <c r="AI7">
        <v>1284.940691077875</v>
      </c>
    </row>
    <row r="8" spans="1:35" x14ac:dyDescent="0.2">
      <c r="A8" vm="4">
        <f ca="1"/>
        <v>44258</v>
      </c>
      <c r="B8" vm="5">
        <f ca="1"/>
        <v>36.42</v>
      </c>
      <c r="C8">
        <f ca="1">B8-B7</f>
        <v>0.89000000000000057</v>
      </c>
      <c r="D8">
        <f ca="1">IF(C8&gt;0,C8,0)</f>
        <v>0.89000000000000057</v>
      </c>
      <c r="E8">
        <f ca="1">IF(C8&lt;0,ABS(C8),0)</f>
        <v>0</v>
      </c>
      <c r="V8">
        <v>32</v>
      </c>
      <c r="W8">
        <v>968.83703436879637</v>
      </c>
      <c r="X8">
        <v>1062.8837843966146</v>
      </c>
      <c r="Y8">
        <v>1188.3112286350167</v>
      </c>
      <c r="Z8">
        <v>1250.5552896691765</v>
      </c>
      <c r="AA8">
        <v>1500.4841710168221</v>
      </c>
      <c r="AB8">
        <v>1662.5454275206621</v>
      </c>
      <c r="AC8">
        <v>1168.6737875842368</v>
      </c>
      <c r="AD8">
        <v>1505.2200500997328</v>
      </c>
      <c r="AE8">
        <v>1302.3238096744396</v>
      </c>
      <c r="AF8">
        <v>1134.3978299277512</v>
      </c>
      <c r="AG8">
        <v>1160.481294709502</v>
      </c>
      <c r="AH8">
        <v>1160.481294709502</v>
      </c>
      <c r="AI8">
        <v>1284.940691077875</v>
      </c>
    </row>
    <row r="9" spans="1:35" x14ac:dyDescent="0.2">
      <c r="A9" vm="6">
        <f ca="1"/>
        <v>44259</v>
      </c>
      <c r="B9" vm="7">
        <f ca="1"/>
        <v>36.5</v>
      </c>
      <c r="C9">
        <f t="shared" ref="C9:C72" ca="1" si="0">B9-B8</f>
        <v>7.9999999999998295E-2</v>
      </c>
      <c r="D9">
        <f t="shared" ref="D9:D72" ca="1" si="1">IF(C9&gt;0,C9,0)</f>
        <v>7.9999999999998295E-2</v>
      </c>
      <c r="E9">
        <f t="shared" ref="E9:E72" ca="1" si="2">IF(C9&lt;0,ABS(C9),0)</f>
        <v>0</v>
      </c>
      <c r="V9">
        <v>34</v>
      </c>
      <c r="W9">
        <v>1016.8201767381609</v>
      </c>
      <c r="X9">
        <v>1137.0096319074455</v>
      </c>
      <c r="Y9">
        <v>1358.9430397713893</v>
      </c>
      <c r="Z9">
        <v>1320.8256574485174</v>
      </c>
      <c r="AA9">
        <v>1611.1496227704836</v>
      </c>
      <c r="AB9">
        <v>1581.416758884739</v>
      </c>
      <c r="AC9">
        <v>1111.6450009496334</v>
      </c>
      <c r="AD9">
        <v>1431.7685241159882</v>
      </c>
      <c r="AE9">
        <v>1299.725847640608</v>
      </c>
      <c r="AF9">
        <v>1132.1348577916963</v>
      </c>
      <c r="AG9">
        <v>1130.7403168048866</v>
      </c>
      <c r="AH9">
        <v>1130.7403168048866</v>
      </c>
      <c r="AI9">
        <v>1252.0100502512564</v>
      </c>
    </row>
    <row r="10" spans="1:35" x14ac:dyDescent="0.2">
      <c r="A10" vm="8">
        <f ca="1"/>
        <v>44260</v>
      </c>
      <c r="B10" vm="9">
        <f ca="1"/>
        <v>36.93</v>
      </c>
      <c r="C10">
        <f t="shared" ca="1" si="0"/>
        <v>0.42999999999999972</v>
      </c>
      <c r="D10">
        <f t="shared" ca="1" si="1"/>
        <v>0.42999999999999972</v>
      </c>
      <c r="E10">
        <f t="shared" ca="1" si="2"/>
        <v>0</v>
      </c>
      <c r="V10">
        <v>36</v>
      </c>
      <c r="W10">
        <v>1314.0879094328525</v>
      </c>
      <c r="X10">
        <v>1561.0206510747169</v>
      </c>
      <c r="Y10">
        <v>1891.9741135030501</v>
      </c>
      <c r="Z10">
        <v>1672.4491005211232</v>
      </c>
      <c r="AA10">
        <v>2100.3344129037237</v>
      </c>
      <c r="AB10">
        <v>2195.0642586305817</v>
      </c>
      <c r="AC10">
        <v>1589.0867886870449</v>
      </c>
      <c r="AD10">
        <v>1962.3961815383968</v>
      </c>
      <c r="AE10">
        <v>1791.2231417835783</v>
      </c>
      <c r="AF10">
        <v>1328.6755590935538</v>
      </c>
      <c r="AG10">
        <v>1225.2947262262871</v>
      </c>
      <c r="AH10">
        <v>1225.2947262262871</v>
      </c>
      <c r="AI10">
        <v>1252.0100502512564</v>
      </c>
    </row>
    <row r="11" spans="1:35" x14ac:dyDescent="0.2">
      <c r="A11" vm="10">
        <f ca="1"/>
        <v>44263</v>
      </c>
      <c r="B11" vm="11">
        <f ca="1"/>
        <v>37.130000000000003</v>
      </c>
      <c r="C11">
        <f t="shared" ca="1" si="0"/>
        <v>0.20000000000000284</v>
      </c>
      <c r="D11">
        <f t="shared" ca="1" si="1"/>
        <v>0.20000000000000284</v>
      </c>
      <c r="E11">
        <f t="shared" ca="1" si="2"/>
        <v>0</v>
      </c>
      <c r="V11">
        <v>38</v>
      </c>
      <c r="W11">
        <v>1095.9919094852044</v>
      </c>
      <c r="X11">
        <v>1301.9418197490365</v>
      </c>
      <c r="Y11">
        <v>1577.9677344795946</v>
      </c>
      <c r="Z11">
        <v>1424.2639570007207</v>
      </c>
      <c r="AA11">
        <v>1788.6527016068439</v>
      </c>
      <c r="AB11">
        <v>1919.9168185039844</v>
      </c>
      <c r="AC11">
        <v>1451.8111759878475</v>
      </c>
      <c r="AD11">
        <v>1792.8716847663695</v>
      </c>
      <c r="AE11">
        <v>1636.4856812371443</v>
      </c>
      <c r="AF11">
        <v>1314.049011767557</v>
      </c>
      <c r="AG11">
        <v>1225.2947262262871</v>
      </c>
      <c r="AH11">
        <v>1225.2947262262871</v>
      </c>
      <c r="AI11">
        <v>1252.0100502512564</v>
      </c>
    </row>
    <row r="12" spans="1:35" x14ac:dyDescent="0.2">
      <c r="A12" vm="12">
        <f ca="1"/>
        <v>44264</v>
      </c>
      <c r="B12" vm="13">
        <f ca="1"/>
        <v>36.32</v>
      </c>
      <c r="C12">
        <f t="shared" ca="1" si="0"/>
        <v>-0.81000000000000227</v>
      </c>
      <c r="D12">
        <f t="shared" ca="1" si="1"/>
        <v>0</v>
      </c>
      <c r="E12">
        <f t="shared" ca="1" si="2"/>
        <v>0.81000000000000227</v>
      </c>
      <c r="V12">
        <v>40</v>
      </c>
      <c r="W12">
        <v>1257.8176933110135</v>
      </c>
      <c r="X12">
        <v>1441.4625600078111</v>
      </c>
      <c r="Y12">
        <v>1778.4011033785189</v>
      </c>
      <c r="Z12">
        <v>1640.7949381184205</v>
      </c>
      <c r="AA12">
        <v>1652.6920110251108</v>
      </c>
      <c r="AB12">
        <v>1764.866815030354</v>
      </c>
      <c r="AC12">
        <v>1423.7206166293681</v>
      </c>
      <c r="AD12">
        <v>1758.1820713262484</v>
      </c>
      <c r="AE12">
        <v>1627.8839168153984</v>
      </c>
      <c r="AF12">
        <v>1307.1420524415778</v>
      </c>
      <c r="AG12">
        <v>1225.2947262262871</v>
      </c>
      <c r="AH12">
        <v>1225.2947262262871</v>
      </c>
      <c r="AI12">
        <v>1252.0100502512564</v>
      </c>
    </row>
    <row r="13" spans="1:35" x14ac:dyDescent="0.2">
      <c r="A13" vm="14">
        <f ca="1"/>
        <v>44265</v>
      </c>
      <c r="B13" vm="15">
        <f ca="1"/>
        <v>37.369999999999997</v>
      </c>
      <c r="C13">
        <f t="shared" ca="1" si="0"/>
        <v>1.0499999999999972</v>
      </c>
      <c r="D13">
        <f t="shared" ca="1" si="1"/>
        <v>1.0499999999999972</v>
      </c>
      <c r="E13">
        <f t="shared" ca="1" si="2"/>
        <v>0</v>
      </c>
      <c r="V13">
        <v>42</v>
      </c>
      <c r="W13">
        <v>1259.6313554009203</v>
      </c>
      <c r="X13">
        <v>1440.2097168629471</v>
      </c>
      <c r="Y13">
        <v>1660.9168981522055</v>
      </c>
      <c r="Z13">
        <v>1593.1424498239944</v>
      </c>
      <c r="AA13">
        <v>1632.6453512589005</v>
      </c>
      <c r="AB13">
        <v>1813.5224417991676</v>
      </c>
      <c r="AC13">
        <v>1480.5809036245757</v>
      </c>
      <c r="AD13">
        <v>1947.3631205935219</v>
      </c>
      <c r="AE13">
        <v>1840.7518675113602</v>
      </c>
      <c r="AF13">
        <v>1425.5247288891173</v>
      </c>
      <c r="AG13">
        <v>1336.2648146392339</v>
      </c>
      <c r="AH13">
        <v>1336.2648146392339</v>
      </c>
      <c r="AI13">
        <v>1252.0100502512564</v>
      </c>
    </row>
    <row r="14" spans="1:35" x14ac:dyDescent="0.2">
      <c r="A14" vm="16">
        <f ca="1"/>
        <v>44266</v>
      </c>
      <c r="B14" vm="17">
        <f ca="1"/>
        <v>37.24</v>
      </c>
      <c r="C14">
        <f t="shared" ca="1" si="0"/>
        <v>-0.12999999999999545</v>
      </c>
      <c r="D14">
        <f t="shared" ca="1" si="1"/>
        <v>0</v>
      </c>
      <c r="E14">
        <f t="shared" ca="1" si="2"/>
        <v>0.12999999999999545</v>
      </c>
      <c r="V14">
        <v>44</v>
      </c>
      <c r="W14">
        <v>1129.654425610187</v>
      </c>
      <c r="X14">
        <v>1312.7972697398282</v>
      </c>
      <c r="Y14">
        <v>1528.2281455945338</v>
      </c>
      <c r="Z14">
        <v>1356.0912484254616</v>
      </c>
      <c r="AA14">
        <v>1431.502695904258</v>
      </c>
      <c r="AB14">
        <v>1590.0956460119214</v>
      </c>
      <c r="AC14">
        <v>1319.7696016889204</v>
      </c>
      <c r="AD14">
        <v>1735.8528964662967</v>
      </c>
      <c r="AE14">
        <v>1699.2871196585459</v>
      </c>
      <c r="AF14">
        <v>1358.0910303353646</v>
      </c>
      <c r="AG14">
        <v>1273.0535094459606</v>
      </c>
      <c r="AH14">
        <v>1273.0535094459606</v>
      </c>
      <c r="AI14">
        <v>1204.7872340425531</v>
      </c>
    </row>
    <row r="15" spans="1:35" x14ac:dyDescent="0.2">
      <c r="A15" vm="18">
        <f ca="1"/>
        <v>44267</v>
      </c>
      <c r="B15" vm="19">
        <f ca="1"/>
        <v>37.94</v>
      </c>
      <c r="C15">
        <f t="shared" ca="1" si="0"/>
        <v>0.69999999999999574</v>
      </c>
      <c r="D15">
        <f t="shared" ca="1" si="1"/>
        <v>0.69999999999999574</v>
      </c>
      <c r="E15">
        <f t="shared" ca="1" si="2"/>
        <v>0</v>
      </c>
      <c r="V15">
        <v>46</v>
      </c>
      <c r="W15">
        <v>1087.9295464768763</v>
      </c>
      <c r="X15">
        <v>1264.3078324706851</v>
      </c>
      <c r="Y15">
        <v>1471.7815604996167</v>
      </c>
      <c r="Z15">
        <v>1306.0027061673015</v>
      </c>
      <c r="AA15">
        <v>1393.5085371450255</v>
      </c>
      <c r="AB15">
        <v>1576.4930578896954</v>
      </c>
      <c r="AC15">
        <v>1319.7696016889204</v>
      </c>
      <c r="AD15">
        <v>1735.8528964662967</v>
      </c>
      <c r="AE15">
        <v>1699.2871196585459</v>
      </c>
      <c r="AF15">
        <v>1358.0910303353646</v>
      </c>
      <c r="AG15">
        <v>1273.0535094459606</v>
      </c>
      <c r="AH15">
        <v>1273.0535094459606</v>
      </c>
      <c r="AI15">
        <v>1204.7872340425531</v>
      </c>
    </row>
    <row r="16" spans="1:35" x14ac:dyDescent="0.2">
      <c r="A16" vm="20">
        <f ca="1"/>
        <v>44270</v>
      </c>
      <c r="B16" vm="21">
        <f ca="1"/>
        <v>37.75</v>
      </c>
      <c r="C16">
        <f t="shared" ca="1" si="0"/>
        <v>-0.18999999999999773</v>
      </c>
      <c r="D16">
        <f t="shared" ca="1" si="1"/>
        <v>0</v>
      </c>
      <c r="E16">
        <f t="shared" ca="1" si="2"/>
        <v>0.18999999999999773</v>
      </c>
      <c r="V16">
        <v>48</v>
      </c>
      <c r="W16">
        <v>1038.5547429179942</v>
      </c>
      <c r="X16">
        <v>1174.9429013140646</v>
      </c>
      <c r="Y16">
        <v>1384.1260445858054</v>
      </c>
      <c r="Z16">
        <v>1316.8799627925355</v>
      </c>
      <c r="AA16">
        <v>1495.6448811235978</v>
      </c>
      <c r="AB16">
        <v>1428.4281054358805</v>
      </c>
      <c r="AC16">
        <v>1256.469472688085</v>
      </c>
      <c r="AD16">
        <v>1673.817296688655</v>
      </c>
      <c r="AE16">
        <v>1653.8345382734685</v>
      </c>
      <c r="AF16">
        <v>1347.3409694092277</v>
      </c>
      <c r="AG16">
        <v>1262.9765687379454</v>
      </c>
      <c r="AH16">
        <v>1262.9765687379454</v>
      </c>
      <c r="AI16">
        <v>1195.2506596306071</v>
      </c>
    </row>
    <row r="17" spans="1:35" x14ac:dyDescent="0.2">
      <c r="A17" vm="22">
        <f ca="1"/>
        <v>44271</v>
      </c>
      <c r="B17" vm="23">
        <f ca="1"/>
        <v>37.64</v>
      </c>
      <c r="C17">
        <f t="shared" ca="1" si="0"/>
        <v>-0.10999999999999943</v>
      </c>
      <c r="D17">
        <f t="shared" ca="1" si="1"/>
        <v>0</v>
      </c>
      <c r="E17">
        <f t="shared" ca="1" si="2"/>
        <v>0.10999999999999943</v>
      </c>
      <c r="V17">
        <v>50</v>
      </c>
      <c r="W17">
        <v>1118.1111138858917</v>
      </c>
      <c r="X17">
        <v>1315.8076602715512</v>
      </c>
      <c r="Y17">
        <v>1558.1197249836234</v>
      </c>
      <c r="Z17">
        <v>1404.8675940962701</v>
      </c>
      <c r="AA17">
        <v>1651.1574586676616</v>
      </c>
      <c r="AB17">
        <v>1588.2590275718569</v>
      </c>
      <c r="AC17">
        <v>1431.0620442514191</v>
      </c>
      <c r="AD17">
        <v>1741.9903167032903</v>
      </c>
      <c r="AE17">
        <v>1763.7965865682165</v>
      </c>
      <c r="AF17">
        <v>1459.4078335225513</v>
      </c>
      <c r="AG17">
        <v>1382.7072781167262</v>
      </c>
      <c r="AH17">
        <v>1382.7072781167262</v>
      </c>
      <c r="AI17">
        <v>1308.5609243697479</v>
      </c>
    </row>
    <row r="18" spans="1:35" x14ac:dyDescent="0.2">
      <c r="A18" vm="24">
        <f ca="1"/>
        <v>44272</v>
      </c>
      <c r="B18" vm="25">
        <f ca="1"/>
        <v>37.950000000000003</v>
      </c>
      <c r="C18">
        <f t="shared" ca="1" si="0"/>
        <v>0.31000000000000227</v>
      </c>
      <c r="D18">
        <f t="shared" ca="1" si="1"/>
        <v>0.31000000000000227</v>
      </c>
      <c r="E18">
        <f t="shared" ca="1" si="2"/>
        <v>0</v>
      </c>
    </row>
    <row r="19" spans="1:35" x14ac:dyDescent="0.2">
      <c r="A19" vm="26">
        <f ca="1"/>
        <v>44273</v>
      </c>
      <c r="B19" vm="27">
        <f ca="1"/>
        <v>38.94</v>
      </c>
      <c r="C19">
        <f t="shared" ca="1" si="0"/>
        <v>0.98999999999999488</v>
      </c>
      <c r="D19">
        <f t="shared" ca="1" si="1"/>
        <v>0.98999999999999488</v>
      </c>
      <c r="E19">
        <f t="shared" ca="1" si="2"/>
        <v>0</v>
      </c>
      <c r="U19" t="s">
        <v>18</v>
      </c>
      <c r="V19">
        <f ca="1">COUNT(Q22:Q63)</f>
        <v>11</v>
      </c>
      <c r="W19">
        <v>60</v>
      </c>
      <c r="X19">
        <v>62</v>
      </c>
      <c r="Y19">
        <v>64</v>
      </c>
      <c r="Z19">
        <v>66</v>
      </c>
      <c r="AA19">
        <v>68</v>
      </c>
      <c r="AB19">
        <v>70</v>
      </c>
      <c r="AC19">
        <v>72</v>
      </c>
      <c r="AD19">
        <v>74</v>
      </c>
      <c r="AE19">
        <v>76</v>
      </c>
      <c r="AF19">
        <v>78</v>
      </c>
      <c r="AG19">
        <v>80</v>
      </c>
      <c r="AH19">
        <v>82</v>
      </c>
      <c r="AI19">
        <v>84</v>
      </c>
    </row>
    <row r="20" spans="1:35" x14ac:dyDescent="0.2">
      <c r="A20" vm="28">
        <f ca="1"/>
        <v>44274</v>
      </c>
      <c r="B20" vm="29">
        <f ca="1"/>
        <v>38.53</v>
      </c>
      <c r="C20">
        <f t="shared" ca="1" si="0"/>
        <v>-0.40999999999999659</v>
      </c>
      <c r="D20">
        <f t="shared" ca="1" si="1"/>
        <v>0</v>
      </c>
      <c r="E20">
        <f t="shared" ca="1" si="2"/>
        <v>0.40999999999999659</v>
      </c>
      <c r="V20">
        <v>20</v>
      </c>
      <c r="W20">
        <f t="dataTable" ref="W20:AI35" dt2D="1" dtr="1" r1="C3" r2="B3" ca="1"/>
        <v>1</v>
      </c>
      <c r="X20">
        <v>1</v>
      </c>
      <c r="Y20">
        <v>1</v>
      </c>
      <c r="Z20">
        <v>1</v>
      </c>
      <c r="AA20">
        <v>1</v>
      </c>
      <c r="AB20">
        <v>1</v>
      </c>
      <c r="AC20">
        <v>1</v>
      </c>
      <c r="AD20">
        <v>1</v>
      </c>
      <c r="AE20">
        <v>1</v>
      </c>
      <c r="AF20">
        <v>1</v>
      </c>
      <c r="AG20">
        <v>1</v>
      </c>
      <c r="AH20">
        <v>1</v>
      </c>
      <c r="AI20">
        <v>1</v>
      </c>
    </row>
    <row r="21" spans="1:35" x14ac:dyDescent="0.2">
      <c r="A21" vm="30">
        <f ca="1"/>
        <v>44277</v>
      </c>
      <c r="B21" vm="31">
        <f ca="1"/>
        <v>37.659999999999997</v>
      </c>
      <c r="C21">
        <f t="shared" ca="1" si="0"/>
        <v>-0.87000000000000455</v>
      </c>
      <c r="D21">
        <f t="shared" ca="1" si="1"/>
        <v>0</v>
      </c>
      <c r="E21">
        <f t="shared" ca="1" si="2"/>
        <v>0.87000000000000455</v>
      </c>
      <c r="F21">
        <f ca="1">AVERAGE(D8:D21)</f>
        <v>0.33214285714285652</v>
      </c>
      <c r="G21">
        <f ca="1">AVERAGE(E8:E21)</f>
        <v>0.17999999999999972</v>
      </c>
      <c r="J21" t="s">
        <v>8</v>
      </c>
      <c r="K21" t="s">
        <v>4</v>
      </c>
      <c r="L21" t="s">
        <v>5</v>
      </c>
      <c r="M21" t="s">
        <v>6</v>
      </c>
      <c r="N21" t="s">
        <v>7</v>
      </c>
      <c r="P21" t="s">
        <v>12</v>
      </c>
      <c r="Q21" t="s">
        <v>14</v>
      </c>
      <c r="R21" t="s">
        <v>13</v>
      </c>
      <c r="S21" t="s">
        <v>15</v>
      </c>
      <c r="V21">
        <v>22</v>
      </c>
      <c r="W21">
        <v>2</v>
      </c>
      <c r="X21">
        <v>2</v>
      </c>
      <c r="Y21">
        <v>2</v>
      </c>
      <c r="Z21">
        <v>2</v>
      </c>
      <c r="AA21">
        <v>2</v>
      </c>
      <c r="AB21">
        <v>2</v>
      </c>
      <c r="AC21">
        <v>2</v>
      </c>
      <c r="AD21">
        <v>2</v>
      </c>
      <c r="AE21">
        <v>2</v>
      </c>
      <c r="AF21">
        <v>2</v>
      </c>
      <c r="AG21">
        <v>2</v>
      </c>
      <c r="AH21">
        <v>2</v>
      </c>
      <c r="AI21">
        <v>1</v>
      </c>
    </row>
    <row r="22" spans="1:35" x14ac:dyDescent="0.2">
      <c r="A22" vm="32">
        <f ca="1"/>
        <v>44278</v>
      </c>
      <c r="B22" vm="33">
        <f ca="1"/>
        <v>36.9</v>
      </c>
      <c r="C22">
        <f t="shared" ca="1" si="0"/>
        <v>-0.75999999999999801</v>
      </c>
      <c r="D22">
        <f t="shared" ca="1" si="1"/>
        <v>0</v>
      </c>
      <c r="E22">
        <f t="shared" ca="1" si="2"/>
        <v>0.75999999999999801</v>
      </c>
      <c r="F22">
        <f ca="1">((F21*13)+D22)/14</f>
        <v>0.30841836734693823</v>
      </c>
      <c r="G22">
        <f ca="1">((G21*13)+E22)/14</f>
        <v>0.22142857142857103</v>
      </c>
      <c r="H22">
        <f ca="1">AVERAGE(F22/G22)</f>
        <v>1.3928571428571428</v>
      </c>
      <c r="I22">
        <f ca="1">IF(G22=0,100,100-(100/(1+H22)))</f>
        <v>58.208955223880594</v>
      </c>
      <c r="J22">
        <f ca="1">IF(K22=1,1,0)</f>
        <v>0</v>
      </c>
      <c r="K22">
        <f ca="1">IF(I22&lt;$B$3,1,0)</f>
        <v>0</v>
      </c>
      <c r="L22">
        <f t="shared" ref="L22:L85" ca="1" si="3">IF(I22&gt;$C$3,1,0)</f>
        <v>0</v>
      </c>
      <c r="M22" t="str">
        <f ca="1">IF(K22=0,"na",B22)</f>
        <v>na</v>
      </c>
      <c r="N22" t="s">
        <v>17</v>
      </c>
      <c r="Q22" cm="1" vm="34">
        <f t="array" aca="1" ref="Q22:Q32" ca="1">_xlfn._xlws.FILTER(M22:M1261,ISNUMBER(M22:M1261))</f>
        <v>39.799999999999997</v>
      </c>
      <c r="R22" cm="1" vm="35">
        <f t="array" aca="1" ref="R22:R32" ca="1">_xlfn._xlws.FILTER(N22:N1261,ISNUMBER(N22:N1261))</f>
        <v>46.37</v>
      </c>
      <c r="S22">
        <f ca="1">IFERROR(B4/Q22*R22,0)</f>
        <v>1165.0753768844222</v>
      </c>
      <c r="T22" t="str" cm="1">
        <f t="array" aca="1" ref="T22" ca="1">_xlfn.IFS(S22&gt;B4,"Win",S22&lt;B4,"Loss",S22=B4,"NA")</f>
        <v>Win</v>
      </c>
      <c r="V22">
        <v>24</v>
      </c>
      <c r="W22">
        <v>4</v>
      </c>
      <c r="X22">
        <v>4</v>
      </c>
      <c r="Y22">
        <v>4</v>
      </c>
      <c r="Z22">
        <v>4</v>
      </c>
      <c r="AA22">
        <v>4</v>
      </c>
      <c r="AB22">
        <v>4</v>
      </c>
      <c r="AC22">
        <v>3</v>
      </c>
      <c r="AD22">
        <v>3</v>
      </c>
      <c r="AE22">
        <v>3</v>
      </c>
      <c r="AF22">
        <v>2</v>
      </c>
      <c r="AG22">
        <v>2</v>
      </c>
      <c r="AH22">
        <v>2</v>
      </c>
      <c r="AI22">
        <v>1</v>
      </c>
    </row>
    <row r="23" spans="1:35" x14ac:dyDescent="0.2">
      <c r="A23" vm="36">
        <f ca="1"/>
        <v>44279</v>
      </c>
      <c r="B23" vm="33">
        <f ca="1"/>
        <v>36.9</v>
      </c>
      <c r="C23">
        <f t="shared" ca="1" si="0"/>
        <v>0</v>
      </c>
      <c r="D23">
        <f t="shared" ca="1" si="1"/>
        <v>0</v>
      </c>
      <c r="E23">
        <f t="shared" ca="1" si="2"/>
        <v>0</v>
      </c>
      <c r="F23">
        <f t="shared" ref="F23:F86" ca="1" si="4">((F22*13)+D23)/14</f>
        <v>0.28638848396501404</v>
      </c>
      <c r="G23">
        <f t="shared" ref="G23:G86" ca="1" si="5">((G22*13)+E23)/14</f>
        <v>0.20561224489795879</v>
      </c>
      <c r="H23">
        <f t="shared" ref="H23:H86" ca="1" si="6">AVERAGE(F23/G23)</f>
        <v>1.392857142857143</v>
      </c>
      <c r="I23">
        <f t="shared" ref="I23:I86" ca="1" si="7">IF(G23=0,100,100-(100/(1+H23)))</f>
        <v>58.208955223880601</v>
      </c>
      <c r="J23">
        <f ca="1">IF(K23=1,1,IF(L23=1,0,IF(J22=1,1,0)))</f>
        <v>0</v>
      </c>
      <c r="K23">
        <f ca="1">IF(I23&lt;$B$3,1,0)</f>
        <v>0</v>
      </c>
      <c r="L23">
        <f t="shared" ca="1" si="3"/>
        <v>0</v>
      </c>
      <c r="M23" t="str">
        <f ca="1">IF(AND(K23=1,J22=0),B23,"na")</f>
        <v>na</v>
      </c>
      <c r="N23" t="str">
        <f ca="1">IF(AND(L23=1,J22=1),B23,"na")</f>
        <v>na</v>
      </c>
      <c r="Q23" vm="37">
        <f ca="1"/>
        <v>44.47</v>
      </c>
      <c r="R23" vm="38">
        <f ca="1"/>
        <v>36.64</v>
      </c>
      <c r="S23">
        <f t="shared" ref="S23:S37" ca="1" si="8">IFERROR(S22/Q23*R23,S22)</f>
        <v>959.93617740151183</v>
      </c>
      <c r="T23" t="str" cm="1">
        <f t="array" aca="1" ref="T23" ca="1">_xlfn.IFS((S23-S22)&gt;0.1,"Win",(S23-S22)&lt;-0.1,"Loss",S23=S22,0)</f>
        <v>Loss</v>
      </c>
      <c r="V23">
        <v>26</v>
      </c>
      <c r="W23">
        <v>5</v>
      </c>
      <c r="X23">
        <v>5</v>
      </c>
      <c r="Y23">
        <v>5</v>
      </c>
      <c r="Z23">
        <v>5</v>
      </c>
      <c r="AA23">
        <v>5</v>
      </c>
      <c r="AB23">
        <v>5</v>
      </c>
      <c r="AC23">
        <v>4</v>
      </c>
      <c r="AD23">
        <v>4</v>
      </c>
      <c r="AE23">
        <v>3</v>
      </c>
      <c r="AF23">
        <v>2</v>
      </c>
      <c r="AG23">
        <v>2</v>
      </c>
      <c r="AH23">
        <v>2</v>
      </c>
      <c r="AI23">
        <v>1</v>
      </c>
    </row>
    <row r="24" spans="1:35" x14ac:dyDescent="0.2">
      <c r="A24" vm="39">
        <f ca="1"/>
        <v>44280</v>
      </c>
      <c r="B24" vm="31">
        <f ca="1"/>
        <v>37.659999999999997</v>
      </c>
      <c r="C24">
        <f t="shared" ca="1" si="0"/>
        <v>0.75999999999999801</v>
      </c>
      <c r="D24">
        <f t="shared" ca="1" si="1"/>
        <v>0.75999999999999801</v>
      </c>
      <c r="E24">
        <f t="shared" ca="1" si="2"/>
        <v>0</v>
      </c>
      <c r="F24">
        <f t="shared" ca="1" si="4"/>
        <v>0.32021787796751289</v>
      </c>
      <c r="G24">
        <f t="shared" ca="1" si="5"/>
        <v>0.19092565597667602</v>
      </c>
      <c r="H24">
        <f t="shared" ca="1" si="6"/>
        <v>1.6771862132904314</v>
      </c>
      <c r="I24">
        <f t="shared" ca="1" si="7"/>
        <v>62.647349854273429</v>
      </c>
      <c r="J24">
        <f t="shared" ref="J24:J87" ca="1" si="9">IF(K24=1,1,IF(L24=1,0,IF(J23=1,1,0)))</f>
        <v>0</v>
      </c>
      <c r="K24">
        <f t="shared" ref="K24:K87" ca="1" si="10">IF(I24&lt;$B$3,1,0)</f>
        <v>0</v>
      </c>
      <c r="L24">
        <f t="shared" ca="1" si="3"/>
        <v>0</v>
      </c>
      <c r="M24" t="str">
        <f t="shared" ref="M24:M87" ca="1" si="11">IF(AND(K24=1,J23=0),B24,"na")</f>
        <v>na</v>
      </c>
      <c r="N24" t="str">
        <f t="shared" ref="N24:N87" ca="1" si="12">IF(AND(L24=1,J23=1),B24,"na")</f>
        <v>na</v>
      </c>
      <c r="Q24" vm="40">
        <f ca="1"/>
        <v>33.06</v>
      </c>
      <c r="R24" vm="41">
        <f ca="1"/>
        <v>38.130000000000003</v>
      </c>
      <c r="S24">
        <f t="shared" ca="1" si="8"/>
        <v>1107.1496202153553</v>
      </c>
      <c r="T24" t="str" cm="1">
        <f t="array" aca="1" ref="T24" ca="1">_xlfn.IFS((S24-S23)&gt;0.1,"Win",(S24-S23)&lt;-0.1,"Loss",S24=S23,0)</f>
        <v>Win</v>
      </c>
      <c r="V24">
        <v>28</v>
      </c>
      <c r="W24">
        <v>7</v>
      </c>
      <c r="X24">
        <v>7</v>
      </c>
      <c r="Y24">
        <v>7</v>
      </c>
      <c r="Z24">
        <v>7</v>
      </c>
      <c r="AA24">
        <v>7</v>
      </c>
      <c r="AB24">
        <v>7</v>
      </c>
      <c r="AC24">
        <v>5</v>
      </c>
      <c r="AD24">
        <v>5</v>
      </c>
      <c r="AE24">
        <v>3</v>
      </c>
      <c r="AF24">
        <v>2</v>
      </c>
      <c r="AG24">
        <v>2</v>
      </c>
      <c r="AH24">
        <v>2</v>
      </c>
      <c r="AI24">
        <v>1</v>
      </c>
    </row>
    <row r="25" spans="1:35" x14ac:dyDescent="0.2">
      <c r="A25" vm="42">
        <f ca="1"/>
        <v>44281</v>
      </c>
      <c r="B25" vm="43">
        <f ca="1"/>
        <v>38.68</v>
      </c>
      <c r="C25">
        <f t="shared" ca="1" si="0"/>
        <v>1.0200000000000031</v>
      </c>
      <c r="D25">
        <f t="shared" ca="1" si="1"/>
        <v>1.0200000000000031</v>
      </c>
      <c r="E25">
        <f t="shared" ca="1" si="2"/>
        <v>0</v>
      </c>
      <c r="F25">
        <f t="shared" ca="1" si="4"/>
        <v>0.37020231525554792</v>
      </c>
      <c r="G25">
        <f t="shared" ca="1" si="5"/>
        <v>0.17728810912119916</v>
      </c>
      <c r="H25">
        <f t="shared" ca="1" si="6"/>
        <v>2.0881395661029196</v>
      </c>
      <c r="I25">
        <f t="shared" ca="1" si="7"/>
        <v>67.618043854735788</v>
      </c>
      <c r="J25">
        <f t="shared" ca="1" si="9"/>
        <v>0</v>
      </c>
      <c r="K25">
        <f t="shared" ca="1" si="10"/>
        <v>0</v>
      </c>
      <c r="L25">
        <f t="shared" ca="1" si="3"/>
        <v>0</v>
      </c>
      <c r="M25" t="str">
        <f t="shared" ca="1" si="11"/>
        <v>na</v>
      </c>
      <c r="N25" t="str">
        <f t="shared" ca="1" si="12"/>
        <v>na</v>
      </c>
      <c r="Q25" vm="44">
        <f ca="1"/>
        <v>34.47</v>
      </c>
      <c r="R25" vm="45">
        <f ca="1"/>
        <v>36.770000000000003</v>
      </c>
      <c r="S25">
        <f t="shared" ca="1" si="8"/>
        <v>1181.0238333425766</v>
      </c>
      <c r="T25" t="str" cm="1">
        <f t="array" aca="1" ref="T25" ca="1">_xlfn.IFS((S25-S24)&gt;0.1,"Win",(S25-S24)&lt;-0.1,"Loss",S25=S24,0)</f>
        <v>Win</v>
      </c>
      <c r="V25">
        <v>30</v>
      </c>
      <c r="W25">
        <v>8</v>
      </c>
      <c r="X25">
        <v>8</v>
      </c>
      <c r="Y25">
        <v>8</v>
      </c>
      <c r="Z25">
        <v>8</v>
      </c>
      <c r="AA25">
        <v>8</v>
      </c>
      <c r="AB25">
        <v>8</v>
      </c>
      <c r="AC25">
        <v>5</v>
      </c>
      <c r="AD25">
        <v>5</v>
      </c>
      <c r="AE25">
        <v>3</v>
      </c>
      <c r="AF25">
        <v>2</v>
      </c>
      <c r="AG25">
        <v>2</v>
      </c>
      <c r="AH25">
        <v>2</v>
      </c>
      <c r="AI25">
        <v>1</v>
      </c>
    </row>
    <row r="26" spans="1:35" x14ac:dyDescent="0.2">
      <c r="A26" vm="46">
        <f ca="1"/>
        <v>44284</v>
      </c>
      <c r="B26" vm="47">
        <f ca="1"/>
        <v>38.31</v>
      </c>
      <c r="C26">
        <f t="shared" ca="1" si="0"/>
        <v>-0.36999999999999744</v>
      </c>
      <c r="D26">
        <f t="shared" ca="1" si="1"/>
        <v>0</v>
      </c>
      <c r="E26">
        <f t="shared" ca="1" si="2"/>
        <v>0.36999999999999744</v>
      </c>
      <c r="F26">
        <f t="shared" ca="1" si="4"/>
        <v>0.3437592927372945</v>
      </c>
      <c r="G26">
        <f t="shared" ca="1" si="5"/>
        <v>0.19105324418397046</v>
      </c>
      <c r="H26">
        <f t="shared" ca="1" si="6"/>
        <v>1.7992852945552662</v>
      </c>
      <c r="I26">
        <f t="shared" ca="1" si="7"/>
        <v>64.276595817330787</v>
      </c>
      <c r="J26">
        <f t="shared" ca="1" si="9"/>
        <v>0</v>
      </c>
      <c r="K26">
        <f t="shared" ca="1" si="10"/>
        <v>0</v>
      </c>
      <c r="L26">
        <f t="shared" ca="1" si="3"/>
        <v>0</v>
      </c>
      <c r="M26" t="str">
        <f t="shared" ca="1" si="11"/>
        <v>na</v>
      </c>
      <c r="N26" t="str">
        <f t="shared" ca="1" si="12"/>
        <v>na</v>
      </c>
      <c r="Q26" vm="48">
        <f ca="1"/>
        <v>34.29</v>
      </c>
      <c r="R26" vm="49">
        <f ca="1"/>
        <v>31.53</v>
      </c>
      <c r="S26">
        <f t="shared" ca="1" si="8"/>
        <v>1085.9632973255013</v>
      </c>
      <c r="T26" t="str" cm="1">
        <f t="array" aca="1" ref="T26" ca="1">_xlfn.IFS((S26-S25)&gt;0.1,"Win",(S26-S25)&lt;-0.1,"Loss",S26=S25,0)</f>
        <v>Loss</v>
      </c>
      <c r="V26">
        <v>32</v>
      </c>
      <c r="W26">
        <v>8</v>
      </c>
      <c r="X26">
        <v>8</v>
      </c>
      <c r="Y26">
        <v>8</v>
      </c>
      <c r="Z26">
        <v>8</v>
      </c>
      <c r="AA26">
        <v>8</v>
      </c>
      <c r="AB26">
        <v>8</v>
      </c>
      <c r="AC26">
        <v>5</v>
      </c>
      <c r="AD26">
        <v>5</v>
      </c>
      <c r="AE26">
        <v>3</v>
      </c>
      <c r="AF26">
        <v>2</v>
      </c>
      <c r="AG26">
        <v>2</v>
      </c>
      <c r="AH26">
        <v>2</v>
      </c>
      <c r="AI26">
        <v>1</v>
      </c>
    </row>
    <row r="27" spans="1:35" x14ac:dyDescent="0.2">
      <c r="A27" vm="50">
        <f ca="1"/>
        <v>44285</v>
      </c>
      <c r="B27" vm="51">
        <f ca="1"/>
        <v>38.99</v>
      </c>
      <c r="C27">
        <f t="shared" ca="1" si="0"/>
        <v>0.67999999999999972</v>
      </c>
      <c r="D27">
        <f t="shared" ca="1" si="1"/>
        <v>0.67999999999999972</v>
      </c>
      <c r="E27">
        <f t="shared" ca="1" si="2"/>
        <v>0</v>
      </c>
      <c r="F27">
        <f t="shared" ca="1" si="4"/>
        <v>0.36777648611320196</v>
      </c>
      <c r="G27">
        <f t="shared" ca="1" si="5"/>
        <v>0.1774065838851154</v>
      </c>
      <c r="H27">
        <f t="shared" ca="1" si="6"/>
        <v>2.0730712359095191</v>
      </c>
      <c r="I27">
        <f t="shared" ca="1" si="7"/>
        <v>67.459263933918024</v>
      </c>
      <c r="J27">
        <f t="shared" ca="1" si="9"/>
        <v>0</v>
      </c>
      <c r="K27">
        <f t="shared" ca="1" si="10"/>
        <v>0</v>
      </c>
      <c r="L27">
        <f t="shared" ca="1" si="3"/>
        <v>0</v>
      </c>
      <c r="M27" t="str">
        <f t="shared" ca="1" si="11"/>
        <v>na</v>
      </c>
      <c r="N27" t="str">
        <f t="shared" ca="1" si="12"/>
        <v>na</v>
      </c>
      <c r="Q27" vm="52">
        <f ca="1"/>
        <v>29.29</v>
      </c>
      <c r="R27" vm="53">
        <f ca="1"/>
        <v>30.01</v>
      </c>
      <c r="S27">
        <f t="shared" ca="1" si="8"/>
        <v>1112.6581957233971</v>
      </c>
      <c r="T27" t="str" cm="1">
        <f t="array" aca="1" ref="T27" ca="1">_xlfn.IFS((S27-S26)&gt;0.1,"Win",(S27-S26)&lt;-0.1,"Loss",S27=S26,0)</f>
        <v>Win</v>
      </c>
      <c r="V27">
        <v>34</v>
      </c>
      <c r="W27">
        <v>10</v>
      </c>
      <c r="X27">
        <v>10</v>
      </c>
      <c r="Y27">
        <v>10</v>
      </c>
      <c r="Z27">
        <v>9</v>
      </c>
      <c r="AA27">
        <v>9</v>
      </c>
      <c r="AB27">
        <v>9</v>
      </c>
      <c r="AC27">
        <v>6</v>
      </c>
      <c r="AD27">
        <v>6</v>
      </c>
      <c r="AE27">
        <v>4</v>
      </c>
      <c r="AF27">
        <v>3</v>
      </c>
      <c r="AG27">
        <v>2</v>
      </c>
      <c r="AH27">
        <v>2</v>
      </c>
      <c r="AI27">
        <v>1</v>
      </c>
    </row>
    <row r="28" spans="1:35" x14ac:dyDescent="0.2">
      <c r="A28" vm="54">
        <f ca="1"/>
        <v>44286</v>
      </c>
      <c r="B28" vm="55">
        <f ca="1"/>
        <v>38.69</v>
      </c>
      <c r="C28">
        <f t="shared" ca="1" si="0"/>
        <v>-0.30000000000000426</v>
      </c>
      <c r="D28">
        <f t="shared" ca="1" si="1"/>
        <v>0</v>
      </c>
      <c r="E28">
        <f t="shared" ca="1" si="2"/>
        <v>0.30000000000000426</v>
      </c>
      <c r="F28">
        <f t="shared" ca="1" si="4"/>
        <v>0.34150673710511609</v>
      </c>
      <c r="G28">
        <f t="shared" ca="1" si="5"/>
        <v>0.18616325646475032</v>
      </c>
      <c r="H28">
        <f t="shared" ca="1" si="6"/>
        <v>1.8344475896605288</v>
      </c>
      <c r="I28">
        <f t="shared" ca="1" si="7"/>
        <v>64.719756906150224</v>
      </c>
      <c r="J28">
        <f t="shared" ca="1" si="9"/>
        <v>0</v>
      </c>
      <c r="K28">
        <f t="shared" ca="1" si="10"/>
        <v>0</v>
      </c>
      <c r="L28">
        <f t="shared" ca="1" si="3"/>
        <v>0</v>
      </c>
      <c r="M28" t="str">
        <f t="shared" ca="1" si="11"/>
        <v>na</v>
      </c>
      <c r="N28" t="str">
        <f t="shared" ca="1" si="12"/>
        <v>na</v>
      </c>
      <c r="Q28" vm="56">
        <f ca="1"/>
        <v>34.68</v>
      </c>
      <c r="R28" vm="57">
        <f ca="1"/>
        <v>44.13</v>
      </c>
      <c r="S28">
        <f t="shared" ca="1" si="8"/>
        <v>1415.8479289871257</v>
      </c>
      <c r="T28" t="str" cm="1">
        <f t="array" aca="1" ref="T28" ca="1">_xlfn.IFS((S28-S27)&gt;0.1,"Win",(S28-S27)&lt;-0.1,"Loss",S28=S27,0)</f>
        <v>Win</v>
      </c>
      <c r="V28">
        <v>36</v>
      </c>
      <c r="W28">
        <v>15</v>
      </c>
      <c r="X28">
        <v>15</v>
      </c>
      <c r="Y28">
        <v>15</v>
      </c>
      <c r="Z28">
        <v>13</v>
      </c>
      <c r="AA28">
        <v>13</v>
      </c>
      <c r="AB28">
        <v>11</v>
      </c>
      <c r="AC28">
        <v>8</v>
      </c>
      <c r="AD28">
        <v>7</v>
      </c>
      <c r="AE28">
        <v>5</v>
      </c>
      <c r="AF28">
        <v>3</v>
      </c>
      <c r="AG28">
        <v>2</v>
      </c>
      <c r="AH28">
        <v>2</v>
      </c>
      <c r="AI28">
        <v>1</v>
      </c>
    </row>
    <row r="29" spans="1:35" x14ac:dyDescent="0.2">
      <c r="A29" vm="58">
        <f ca="1"/>
        <v>44287</v>
      </c>
      <c r="B29" vm="59">
        <f ca="1"/>
        <v>39.49</v>
      </c>
      <c r="C29">
        <f t="shared" ca="1" si="0"/>
        <v>0.80000000000000426</v>
      </c>
      <c r="D29">
        <f t="shared" ca="1" si="1"/>
        <v>0.80000000000000426</v>
      </c>
      <c r="E29">
        <f t="shared" ca="1" si="2"/>
        <v>0</v>
      </c>
      <c r="F29">
        <f t="shared" ca="1" si="4"/>
        <v>0.3742562558833224</v>
      </c>
      <c r="G29">
        <f t="shared" ca="1" si="5"/>
        <v>0.17286588100298245</v>
      </c>
      <c r="H29">
        <f t="shared" ca="1" si="6"/>
        <v>2.1650093917426387</v>
      </c>
      <c r="I29">
        <f t="shared" ca="1" si="7"/>
        <v>68.404517136380292</v>
      </c>
      <c r="J29">
        <f t="shared" ca="1" si="9"/>
        <v>0</v>
      </c>
      <c r="K29">
        <f t="shared" ca="1" si="10"/>
        <v>0</v>
      </c>
      <c r="L29">
        <f t="shared" ca="1" si="3"/>
        <v>0</v>
      </c>
      <c r="M29" t="str">
        <f t="shared" ca="1" si="11"/>
        <v>na</v>
      </c>
      <c r="N29" t="str">
        <f t="shared" ca="1" si="12"/>
        <v>na</v>
      </c>
      <c r="Q29" vm="60">
        <f ca="1"/>
        <v>39.5</v>
      </c>
      <c r="R29" vm="61">
        <f ca="1"/>
        <v>42.8</v>
      </c>
      <c r="S29">
        <f t="shared" ca="1" si="8"/>
        <v>1534.1339584974426</v>
      </c>
      <c r="T29" t="str" cm="1">
        <f t="array" aca="1" ref="T29" ca="1">_xlfn.IFS((S29-S28)&gt;0.1,"Win",(S29-S28)&lt;-0.1,"Loss",S29=S28,0)</f>
        <v>Win</v>
      </c>
      <c r="V29">
        <v>38</v>
      </c>
      <c r="W29">
        <v>15</v>
      </c>
      <c r="X29">
        <v>15</v>
      </c>
      <c r="Y29">
        <v>15</v>
      </c>
      <c r="Z29">
        <v>13</v>
      </c>
      <c r="AA29">
        <v>13</v>
      </c>
      <c r="AB29">
        <v>11</v>
      </c>
      <c r="AC29">
        <v>8</v>
      </c>
      <c r="AD29">
        <v>7</v>
      </c>
      <c r="AE29">
        <v>5</v>
      </c>
      <c r="AF29">
        <v>3</v>
      </c>
      <c r="AG29">
        <v>2</v>
      </c>
      <c r="AH29">
        <v>2</v>
      </c>
      <c r="AI29">
        <v>1</v>
      </c>
    </row>
    <row r="30" spans="1:35" x14ac:dyDescent="0.2">
      <c r="A30" vm="62">
        <f ca="1"/>
        <v>44291</v>
      </c>
      <c r="B30" vm="34">
        <f ca="1"/>
        <v>39.799999999999997</v>
      </c>
      <c r="C30">
        <f t="shared" ca="1" si="0"/>
        <v>0.30999999999999517</v>
      </c>
      <c r="D30">
        <f t="shared" ca="1" si="1"/>
        <v>0.30999999999999517</v>
      </c>
      <c r="E30">
        <f t="shared" ca="1" si="2"/>
        <v>0</v>
      </c>
      <c r="F30">
        <f t="shared" ca="1" si="4"/>
        <v>0.36966652332022759</v>
      </c>
      <c r="G30">
        <f t="shared" ca="1" si="5"/>
        <v>0.160518318074198</v>
      </c>
      <c r="H30">
        <f t="shared" ca="1" si="6"/>
        <v>2.302955374534593</v>
      </c>
      <c r="I30">
        <f t="shared" ca="1" si="7"/>
        <v>69.724083839888209</v>
      </c>
      <c r="J30">
        <f t="shared" ca="1" si="9"/>
        <v>0</v>
      </c>
      <c r="K30">
        <f t="shared" ca="1" si="10"/>
        <v>0</v>
      </c>
      <c r="L30">
        <f t="shared" ca="1" si="3"/>
        <v>0</v>
      </c>
      <c r="M30" t="str">
        <f t="shared" ca="1" si="11"/>
        <v>na</v>
      </c>
      <c r="N30" t="str">
        <f t="shared" ca="1" si="12"/>
        <v>na</v>
      </c>
      <c r="Q30" vm="63">
        <f ca="1"/>
        <v>43.5</v>
      </c>
      <c r="R30" vm="64">
        <f ca="1"/>
        <v>44.28</v>
      </c>
      <c r="S30">
        <f t="shared" ca="1" si="8"/>
        <v>1561.6425674084312</v>
      </c>
      <c r="T30" t="str" cm="1">
        <f t="array" aca="1" ref="T30" ca="1">_xlfn.IFS((S30-S29)&gt;0.1,"Win",(S30-S29)&lt;-0.1,"Loss",S30=S29,0)</f>
        <v>Win</v>
      </c>
      <c r="V30">
        <v>40</v>
      </c>
      <c r="W30">
        <v>18</v>
      </c>
      <c r="X30">
        <v>17</v>
      </c>
      <c r="Y30">
        <v>17</v>
      </c>
      <c r="Z30">
        <v>15</v>
      </c>
      <c r="AA30">
        <v>13</v>
      </c>
      <c r="AB30">
        <v>11</v>
      </c>
      <c r="AC30">
        <v>8</v>
      </c>
      <c r="AD30">
        <v>7</v>
      </c>
      <c r="AE30">
        <v>5</v>
      </c>
      <c r="AF30">
        <v>3</v>
      </c>
      <c r="AG30">
        <v>2</v>
      </c>
      <c r="AH30">
        <v>2</v>
      </c>
      <c r="AI30">
        <v>1</v>
      </c>
    </row>
    <row r="31" spans="1:35" x14ac:dyDescent="0.2">
      <c r="A31" vm="65">
        <f ca="1"/>
        <v>44292</v>
      </c>
      <c r="B31" vm="66">
        <f ca="1"/>
        <v>39.69</v>
      </c>
      <c r="C31">
        <f t="shared" ca="1" si="0"/>
        <v>-0.10999999999999943</v>
      </c>
      <c r="D31">
        <f t="shared" ca="1" si="1"/>
        <v>0</v>
      </c>
      <c r="E31">
        <f t="shared" ca="1" si="2"/>
        <v>0.10999999999999943</v>
      </c>
      <c r="F31">
        <f t="shared" ca="1" si="4"/>
        <v>0.34326177165449706</v>
      </c>
      <c r="G31">
        <f t="shared" ca="1" si="5"/>
        <v>0.15690986678318383</v>
      </c>
      <c r="H31">
        <f t="shared" ca="1" si="6"/>
        <v>2.1876366266298093</v>
      </c>
      <c r="I31">
        <f t="shared" ca="1" si="7"/>
        <v>68.628795652368026</v>
      </c>
      <c r="J31">
        <f t="shared" ca="1" si="9"/>
        <v>0</v>
      </c>
      <c r="K31">
        <f t="shared" ca="1" si="10"/>
        <v>0</v>
      </c>
      <c r="L31">
        <f t="shared" ca="1" si="3"/>
        <v>0</v>
      </c>
      <c r="M31" t="str">
        <f t="shared" ca="1" si="11"/>
        <v>na</v>
      </c>
      <c r="N31" t="str">
        <f t="shared" ca="1" si="12"/>
        <v>na</v>
      </c>
      <c r="Q31" vm="67">
        <f ca="1"/>
        <v>45.66</v>
      </c>
      <c r="R31" vm="68">
        <f ca="1"/>
        <v>50.38</v>
      </c>
      <c r="S31">
        <f t="shared" ca="1" si="8"/>
        <v>1723.0738621558644</v>
      </c>
      <c r="T31" t="str" cm="1">
        <f t="array" aca="1" ref="T31" ca="1">_xlfn.IFS((S31-S30)&gt;0.1,"Win",(S31-S30)&lt;-0.1,"Loss",S31=S30,0)</f>
        <v>Win</v>
      </c>
      <c r="V31">
        <v>42</v>
      </c>
      <c r="W31">
        <v>21</v>
      </c>
      <c r="X31">
        <v>19</v>
      </c>
      <c r="Y31">
        <v>18</v>
      </c>
      <c r="Z31">
        <v>16</v>
      </c>
      <c r="AA31">
        <v>14</v>
      </c>
      <c r="AB31">
        <v>12</v>
      </c>
      <c r="AC31">
        <v>9</v>
      </c>
      <c r="AD31">
        <v>8</v>
      </c>
      <c r="AE31">
        <v>6</v>
      </c>
      <c r="AF31">
        <v>3</v>
      </c>
      <c r="AG31">
        <v>2</v>
      </c>
      <c r="AH31">
        <v>2</v>
      </c>
      <c r="AI31">
        <v>1</v>
      </c>
    </row>
    <row r="32" spans="1:35" x14ac:dyDescent="0.2">
      <c r="A32" vm="69">
        <f ca="1"/>
        <v>44293</v>
      </c>
      <c r="B32" vm="70">
        <f ca="1"/>
        <v>40.049999999999997</v>
      </c>
      <c r="C32">
        <f t="shared" ca="1" si="0"/>
        <v>0.35999999999999943</v>
      </c>
      <c r="D32">
        <f t="shared" ca="1" si="1"/>
        <v>0.35999999999999943</v>
      </c>
      <c r="E32">
        <f t="shared" ca="1" si="2"/>
        <v>0</v>
      </c>
      <c r="F32">
        <f t="shared" ca="1" si="4"/>
        <v>0.3444573593934615</v>
      </c>
      <c r="G32">
        <f t="shared" ca="1" si="5"/>
        <v>0.14570201915581357</v>
      </c>
      <c r="H32">
        <f t="shared" ca="1" si="6"/>
        <v>2.3641220718094456</v>
      </c>
      <c r="I32">
        <f t="shared" ca="1" si="7"/>
        <v>70.274562615317507</v>
      </c>
      <c r="J32">
        <f t="shared" ca="1" si="9"/>
        <v>0</v>
      </c>
      <c r="K32">
        <f t="shared" ca="1" si="10"/>
        <v>0</v>
      </c>
      <c r="L32">
        <f t="shared" ca="1" si="3"/>
        <v>1</v>
      </c>
      <c r="M32" t="str">
        <f t="shared" ca="1" si="11"/>
        <v>na</v>
      </c>
      <c r="N32" t="str">
        <f t="shared" ca="1" si="12"/>
        <v>na</v>
      </c>
      <c r="Q32" vm="71">
        <f ca="1"/>
        <v>48.65</v>
      </c>
      <c r="R32" vm="72">
        <f ca="1"/>
        <v>49.83</v>
      </c>
      <c r="S32">
        <f t="shared" ca="1" si="8"/>
        <v>1764.866815030354</v>
      </c>
      <c r="T32" t="str" cm="1">
        <f t="array" aca="1" ref="T32" ca="1">_xlfn.IFS((S32-S31)&gt;0.1,"Win",(S32-S31)&lt;-0.1,"Loss",S32=S31,0)</f>
        <v>Win</v>
      </c>
      <c r="V32">
        <v>44</v>
      </c>
      <c r="W32">
        <v>22</v>
      </c>
      <c r="X32">
        <v>20</v>
      </c>
      <c r="Y32">
        <v>19</v>
      </c>
      <c r="Z32">
        <v>16</v>
      </c>
      <c r="AA32">
        <v>14</v>
      </c>
      <c r="AB32">
        <v>12</v>
      </c>
      <c r="AC32">
        <v>9</v>
      </c>
      <c r="AD32">
        <v>8</v>
      </c>
      <c r="AE32">
        <v>6</v>
      </c>
      <c r="AF32">
        <v>3</v>
      </c>
      <c r="AG32">
        <v>2</v>
      </c>
      <c r="AH32">
        <v>2</v>
      </c>
      <c r="AI32">
        <v>1</v>
      </c>
    </row>
    <row r="33" spans="1:35" x14ac:dyDescent="0.2">
      <c r="A33" vm="73">
        <f ca="1"/>
        <v>44294</v>
      </c>
      <c r="B33" vm="74">
        <f ca="1"/>
        <v>39.700000000000003</v>
      </c>
      <c r="C33">
        <f t="shared" ca="1" si="0"/>
        <v>-0.34999999999999432</v>
      </c>
      <c r="D33">
        <f t="shared" ca="1" si="1"/>
        <v>0</v>
      </c>
      <c r="E33">
        <f t="shared" ca="1" si="2"/>
        <v>0.34999999999999432</v>
      </c>
      <c r="F33">
        <f t="shared" ca="1" si="4"/>
        <v>0.31985326229392852</v>
      </c>
      <c r="G33">
        <f t="shared" ca="1" si="5"/>
        <v>0.16029473207325504</v>
      </c>
      <c r="H33">
        <f t="shared" ca="1" si="6"/>
        <v>1.9954071987079083</v>
      </c>
      <c r="I33">
        <f t="shared" ca="1" si="7"/>
        <v>66.615557296137979</v>
      </c>
      <c r="J33">
        <f t="shared" ca="1" si="9"/>
        <v>0</v>
      </c>
      <c r="K33">
        <f t="shared" ca="1" si="10"/>
        <v>0</v>
      </c>
      <c r="L33">
        <f t="shared" ca="1" si="3"/>
        <v>0</v>
      </c>
      <c r="M33" t="str">
        <f t="shared" ca="1" si="11"/>
        <v>na</v>
      </c>
      <c r="N33" t="str">
        <f t="shared" ca="1" si="12"/>
        <v>na</v>
      </c>
      <c r="S33">
        <f t="shared" ca="1" si="8"/>
        <v>1764.866815030354</v>
      </c>
      <c r="T33" cm="1">
        <f t="array" aca="1" ref="T33" ca="1">_xlfn.IFS((S33-S32)&gt;0.1,"Win",(S33-S32)&lt;-0.1,"Loss",S33=S32,0)</f>
        <v>0</v>
      </c>
      <c r="V33">
        <v>46</v>
      </c>
      <c r="W33">
        <v>22</v>
      </c>
      <c r="X33">
        <v>20</v>
      </c>
      <c r="Y33">
        <v>19</v>
      </c>
      <c r="Z33">
        <v>16</v>
      </c>
      <c r="AA33">
        <v>14</v>
      </c>
      <c r="AB33">
        <v>12</v>
      </c>
      <c r="AC33">
        <v>9</v>
      </c>
      <c r="AD33">
        <v>8</v>
      </c>
      <c r="AE33">
        <v>6</v>
      </c>
      <c r="AF33">
        <v>3</v>
      </c>
      <c r="AG33">
        <v>2</v>
      </c>
      <c r="AH33">
        <v>2</v>
      </c>
      <c r="AI33">
        <v>1</v>
      </c>
    </row>
    <row r="34" spans="1:35" x14ac:dyDescent="0.2">
      <c r="A34" vm="75">
        <f ca="1"/>
        <v>44295</v>
      </c>
      <c r="B34" vm="76">
        <f ca="1"/>
        <v>39.99</v>
      </c>
      <c r="C34">
        <f t="shared" ca="1" si="0"/>
        <v>0.28999999999999915</v>
      </c>
      <c r="D34">
        <f t="shared" ca="1" si="1"/>
        <v>0.28999999999999915</v>
      </c>
      <c r="E34">
        <f t="shared" ca="1" si="2"/>
        <v>0</v>
      </c>
      <c r="F34">
        <f t="shared" ca="1" si="4"/>
        <v>0.31772088641579072</v>
      </c>
      <c r="G34">
        <f t="shared" ca="1" si="5"/>
        <v>0.14884510835373682</v>
      </c>
      <c r="H34">
        <f t="shared" ca="1" si="6"/>
        <v>2.1345739200290903</v>
      </c>
      <c r="I34">
        <f t="shared" ca="1" si="7"/>
        <v>68.097737507153141</v>
      </c>
      <c r="J34">
        <f t="shared" ca="1" si="9"/>
        <v>0</v>
      </c>
      <c r="K34">
        <f t="shared" ca="1" si="10"/>
        <v>0</v>
      </c>
      <c r="L34">
        <f t="shared" ca="1" si="3"/>
        <v>0</v>
      </c>
      <c r="M34" t="str">
        <f t="shared" ca="1" si="11"/>
        <v>na</v>
      </c>
      <c r="N34" t="str">
        <f t="shared" ca="1" si="12"/>
        <v>na</v>
      </c>
      <c r="S34">
        <f t="shared" ca="1" si="8"/>
        <v>1764.866815030354</v>
      </c>
      <c r="T34" cm="1">
        <f t="array" aca="1" ref="T34" ca="1">_xlfn.IFS((S34-S33)&gt;0.1,"Win",(S34-S33)&lt;-0.1,"Loss",S34=S33,0)</f>
        <v>0</v>
      </c>
      <c r="V34">
        <v>48</v>
      </c>
      <c r="W34">
        <v>25</v>
      </c>
      <c r="X34">
        <v>22</v>
      </c>
      <c r="Y34">
        <v>21</v>
      </c>
      <c r="Z34">
        <v>18</v>
      </c>
      <c r="AA34">
        <v>16</v>
      </c>
      <c r="AB34">
        <v>12</v>
      </c>
      <c r="AC34">
        <v>9</v>
      </c>
      <c r="AD34">
        <v>8</v>
      </c>
      <c r="AE34">
        <v>6</v>
      </c>
      <c r="AF34">
        <v>3</v>
      </c>
      <c r="AG34">
        <v>2</v>
      </c>
      <c r="AH34">
        <v>2</v>
      </c>
      <c r="AI34">
        <v>1</v>
      </c>
    </row>
    <row r="35" spans="1:35" x14ac:dyDescent="0.2">
      <c r="A35" vm="77">
        <f ca="1"/>
        <v>44298</v>
      </c>
      <c r="B35" vm="78">
        <f ca="1"/>
        <v>40.06</v>
      </c>
      <c r="C35">
        <f t="shared" ca="1" si="0"/>
        <v>7.0000000000000284E-2</v>
      </c>
      <c r="D35">
        <f t="shared" ca="1" si="1"/>
        <v>7.0000000000000284E-2</v>
      </c>
      <c r="E35">
        <f t="shared" ca="1" si="2"/>
        <v>0</v>
      </c>
      <c r="F35">
        <f t="shared" ca="1" si="4"/>
        <v>0.30002653738609142</v>
      </c>
      <c r="G35">
        <f t="shared" ca="1" si="5"/>
        <v>0.13821331489989847</v>
      </c>
      <c r="H35">
        <f t="shared" ca="1" si="6"/>
        <v>2.1707498847226607</v>
      </c>
      <c r="I35">
        <f t="shared" ca="1" si="7"/>
        <v>68.461719266530281</v>
      </c>
      <c r="J35">
        <f t="shared" ca="1" si="9"/>
        <v>0</v>
      </c>
      <c r="K35">
        <f t="shared" ca="1" si="10"/>
        <v>0</v>
      </c>
      <c r="L35">
        <f t="shared" ca="1" si="3"/>
        <v>0</v>
      </c>
      <c r="M35" t="str">
        <f t="shared" ca="1" si="11"/>
        <v>na</v>
      </c>
      <c r="N35" t="str">
        <f t="shared" ca="1" si="12"/>
        <v>na</v>
      </c>
      <c r="S35">
        <f t="shared" ca="1" si="8"/>
        <v>1764.866815030354</v>
      </c>
      <c r="T35" cm="1">
        <f t="array" aca="1" ref="T35" ca="1">_xlfn.IFS((S35-S34)&gt;0.1,"Win",(S35-S34)&lt;-0.1,"Loss",S35=S34,0)</f>
        <v>0</v>
      </c>
      <c r="V35">
        <v>50</v>
      </c>
      <c r="W35">
        <v>28</v>
      </c>
      <c r="X35">
        <v>25</v>
      </c>
      <c r="Y35">
        <v>24</v>
      </c>
      <c r="Z35">
        <v>20</v>
      </c>
      <c r="AA35">
        <v>18</v>
      </c>
      <c r="AB35">
        <v>13</v>
      </c>
      <c r="AC35">
        <v>10</v>
      </c>
      <c r="AD35">
        <v>8</v>
      </c>
      <c r="AE35">
        <v>6</v>
      </c>
      <c r="AF35">
        <v>3</v>
      </c>
      <c r="AG35">
        <v>2</v>
      </c>
      <c r="AH35">
        <v>2</v>
      </c>
      <c r="AI35">
        <v>1</v>
      </c>
    </row>
    <row r="36" spans="1:35" x14ac:dyDescent="0.2">
      <c r="A36" vm="79">
        <f ca="1"/>
        <v>44299</v>
      </c>
      <c r="B36" vm="80">
        <f ca="1"/>
        <v>39.32</v>
      </c>
      <c r="C36">
        <f t="shared" ca="1" si="0"/>
        <v>-0.74000000000000199</v>
      </c>
      <c r="D36">
        <f t="shared" ca="1" si="1"/>
        <v>0</v>
      </c>
      <c r="E36">
        <f t="shared" ca="1" si="2"/>
        <v>0.74000000000000199</v>
      </c>
      <c r="F36">
        <f t="shared" ca="1" si="4"/>
        <v>0.27859607042994206</v>
      </c>
      <c r="G36">
        <f t="shared" ca="1" si="5"/>
        <v>0.18119807812133443</v>
      </c>
      <c r="H36">
        <f t="shared" ca="1" si="6"/>
        <v>1.5375222150170251</v>
      </c>
      <c r="I36">
        <f t="shared" ca="1" si="7"/>
        <v>60.591478014182009</v>
      </c>
      <c r="J36">
        <f t="shared" ca="1" si="9"/>
        <v>0</v>
      </c>
      <c r="K36">
        <f t="shared" ca="1" si="10"/>
        <v>0</v>
      </c>
      <c r="L36">
        <f t="shared" ca="1" si="3"/>
        <v>0</v>
      </c>
      <c r="M36" t="str">
        <f t="shared" ca="1" si="11"/>
        <v>na</v>
      </c>
      <c r="N36" t="str">
        <f t="shared" ca="1" si="12"/>
        <v>na</v>
      </c>
      <c r="S36">
        <f t="shared" ca="1" si="8"/>
        <v>1764.866815030354</v>
      </c>
      <c r="T36" cm="1">
        <f t="array" aca="1" ref="T36" ca="1">_xlfn.IFS((S36-S35)&gt;0.1,"Win",(S36-S35)&lt;-0.1,"Loss",S36=S35,0)</f>
        <v>0</v>
      </c>
    </row>
    <row r="37" spans="1:35" x14ac:dyDescent="0.2">
      <c r="A37" vm="81">
        <f ca="1"/>
        <v>44300</v>
      </c>
      <c r="B37" vm="82">
        <f ca="1"/>
        <v>39.880000000000003</v>
      </c>
      <c r="C37">
        <f t="shared" ca="1" si="0"/>
        <v>0.56000000000000227</v>
      </c>
      <c r="D37">
        <f t="shared" ca="1" si="1"/>
        <v>0.56000000000000227</v>
      </c>
      <c r="E37">
        <f t="shared" ca="1" si="2"/>
        <v>0</v>
      </c>
      <c r="F37">
        <f t="shared" ca="1" si="4"/>
        <v>0.29869635111351783</v>
      </c>
      <c r="G37">
        <f t="shared" ca="1" si="5"/>
        <v>0.16825535825552482</v>
      </c>
      <c r="H37">
        <f t="shared" ca="1" si="6"/>
        <v>1.775256100075552</v>
      </c>
      <c r="I37">
        <f t="shared" ca="1" si="7"/>
        <v>63.967289362132142</v>
      </c>
      <c r="J37">
        <f t="shared" ca="1" si="9"/>
        <v>0</v>
      </c>
      <c r="K37">
        <f t="shared" ca="1" si="10"/>
        <v>0</v>
      </c>
      <c r="L37">
        <f t="shared" ca="1" si="3"/>
        <v>0</v>
      </c>
      <c r="M37" t="str">
        <f t="shared" ca="1" si="11"/>
        <v>na</v>
      </c>
      <c r="N37" t="str">
        <f t="shared" ca="1" si="12"/>
        <v>na</v>
      </c>
      <c r="S37">
        <f t="shared" ca="1" si="8"/>
        <v>1764.866815030354</v>
      </c>
      <c r="T37" cm="1">
        <f t="array" aca="1" ref="T37" ca="1">_xlfn.IFS((S37-S36)&gt;0.1,"Win",(S37-S36)&lt;-0.1,"Loss",S37=S36,0)</f>
        <v>0</v>
      </c>
      <c r="W37">
        <v>60</v>
      </c>
      <c r="X37">
        <v>62</v>
      </c>
      <c r="Y37">
        <v>64</v>
      </c>
      <c r="Z37">
        <v>66</v>
      </c>
      <c r="AA37">
        <v>68</v>
      </c>
      <c r="AB37">
        <v>70</v>
      </c>
      <c r="AC37">
        <v>72</v>
      </c>
      <c r="AD37">
        <v>74</v>
      </c>
      <c r="AE37">
        <v>76</v>
      </c>
      <c r="AF37">
        <v>78</v>
      </c>
      <c r="AG37">
        <v>80</v>
      </c>
      <c r="AH37">
        <v>82</v>
      </c>
      <c r="AI37">
        <v>84</v>
      </c>
    </row>
    <row r="38" spans="1:35" x14ac:dyDescent="0.2">
      <c r="A38" vm="83">
        <f ca="1"/>
        <v>44301</v>
      </c>
      <c r="B38" vm="84">
        <f ca="1"/>
        <v>38.74</v>
      </c>
      <c r="C38">
        <f t="shared" ca="1" si="0"/>
        <v>-1.1400000000000006</v>
      </c>
      <c r="D38">
        <f t="shared" ca="1" si="1"/>
        <v>0</v>
      </c>
      <c r="E38">
        <f t="shared" ca="1" si="2"/>
        <v>1.1400000000000006</v>
      </c>
      <c r="F38">
        <f t="shared" ca="1" si="4"/>
        <v>0.27736089746255227</v>
      </c>
      <c r="G38">
        <f t="shared" ca="1" si="5"/>
        <v>0.23766568980870167</v>
      </c>
      <c r="H38">
        <f t="shared" ca="1" si="6"/>
        <v>1.1670211955533063</v>
      </c>
      <c r="I38">
        <f t="shared" ca="1" si="7"/>
        <v>53.853704705243103</v>
      </c>
      <c r="J38">
        <f t="shared" ca="1" si="9"/>
        <v>0</v>
      </c>
      <c r="K38">
        <f t="shared" ca="1" si="10"/>
        <v>0</v>
      </c>
      <c r="L38">
        <f t="shared" ca="1" si="3"/>
        <v>0</v>
      </c>
      <c r="M38" t="str">
        <f t="shared" ca="1" si="11"/>
        <v>na</v>
      </c>
      <c r="N38" t="str">
        <f t="shared" ca="1" si="12"/>
        <v>na</v>
      </c>
      <c r="S38">
        <f t="shared" ref="S38:S63" ca="1" si="13">IFERROR(S37/Q38*R38,S37)</f>
        <v>1764.866815030354</v>
      </c>
      <c r="T38" cm="1">
        <f t="array" aca="1" ref="T38" ca="1">_xlfn.IFS((S38-S37)&gt;0.1,"Win",(S38-S37)&lt;-0.1,"Loss",S38=S37,0)</f>
        <v>0</v>
      </c>
      <c r="V38">
        <v>20</v>
      </c>
      <c r="W38" s="3">
        <f>W2*EXP(-((W20-$N$4)^2)/$N$5)</f>
        <v>376.97332191786245</v>
      </c>
      <c r="X38" s="3">
        <f t="shared" ref="X38:AI38" si="14">X2*EXP(-((X20-$N$4)^2)/$N$5)</f>
        <v>392.57398178013489</v>
      </c>
      <c r="Y38" s="3">
        <f t="shared" si="14"/>
        <v>392.57398178013489</v>
      </c>
      <c r="Z38" s="3">
        <f t="shared" si="14"/>
        <v>392.57398178013489</v>
      </c>
      <c r="AA38" s="3">
        <f t="shared" si="14"/>
        <v>403.18754545692684</v>
      </c>
      <c r="AB38" s="3">
        <f t="shared" si="14"/>
        <v>403.18754545692684</v>
      </c>
      <c r="AC38" s="3">
        <f t="shared" si="14"/>
        <v>405.2335336355855</v>
      </c>
      <c r="AD38" s="3">
        <f t="shared" si="14"/>
        <v>417.50946270753758</v>
      </c>
      <c r="AE38" s="3">
        <f t="shared" si="14"/>
        <v>417.50946270753758</v>
      </c>
      <c r="AF38" s="3">
        <f t="shared" si="14"/>
        <v>434.00524239797329</v>
      </c>
      <c r="AG38" s="3">
        <f t="shared" si="14"/>
        <v>434.00524239797329</v>
      </c>
      <c r="AH38" s="3">
        <f t="shared" si="14"/>
        <v>434.00524239797329</v>
      </c>
      <c r="AI38" s="3">
        <f t="shared" si="14"/>
        <v>637.19744339101373</v>
      </c>
    </row>
    <row r="39" spans="1:35" x14ac:dyDescent="0.2">
      <c r="A39" vm="85">
        <f ca="1"/>
        <v>44302</v>
      </c>
      <c r="B39" vm="86">
        <f ca="1"/>
        <v>39.15</v>
      </c>
      <c r="C39">
        <f t="shared" ca="1" si="0"/>
        <v>0.40999999999999659</v>
      </c>
      <c r="D39">
        <f t="shared" ca="1" si="1"/>
        <v>0.40999999999999659</v>
      </c>
      <c r="E39">
        <f t="shared" ca="1" si="2"/>
        <v>0</v>
      </c>
      <c r="F39">
        <f t="shared" ca="1" si="4"/>
        <v>0.28683511907236969</v>
      </c>
      <c r="G39">
        <f t="shared" ca="1" si="5"/>
        <v>0.22068956910808013</v>
      </c>
      <c r="H39">
        <f t="shared" ca="1" si="6"/>
        <v>1.299722140161031</v>
      </c>
      <c r="I39">
        <f t="shared" ca="1" si="7"/>
        <v>56.516485946864087</v>
      </c>
      <c r="J39">
        <f t="shared" ca="1" si="9"/>
        <v>0</v>
      </c>
      <c r="K39">
        <f t="shared" ca="1" si="10"/>
        <v>0</v>
      </c>
      <c r="L39">
        <f t="shared" ca="1" si="3"/>
        <v>0</v>
      </c>
      <c r="M39" t="str">
        <f t="shared" ca="1" si="11"/>
        <v>na</v>
      </c>
      <c r="N39" t="str">
        <f t="shared" ca="1" si="12"/>
        <v>na</v>
      </c>
      <c r="S39">
        <f t="shared" ca="1" si="13"/>
        <v>1764.866815030354</v>
      </c>
      <c r="T39" cm="1">
        <f t="array" aca="1" ref="T39" ca="1">_xlfn.IFS((S39-S38)&gt;0.1,"Win",(S39-S38)&lt;-0.1,"Loss",S39=S38,0)</f>
        <v>0</v>
      </c>
      <c r="V39">
        <v>22</v>
      </c>
      <c r="W39" s="3">
        <f t="shared" ref="W39:AI39" si="15">W3*EXP(-((W21-$N$4)^2)/$N$5)</f>
        <v>583.58151521423088</v>
      </c>
      <c r="X39" s="3">
        <f t="shared" si="15"/>
        <v>610.50814738206077</v>
      </c>
      <c r="Y39" s="3">
        <f t="shared" si="15"/>
        <v>633.44420364886696</v>
      </c>
      <c r="Z39" s="3">
        <f t="shared" si="15"/>
        <v>633.44420364886696</v>
      </c>
      <c r="AA39" s="3">
        <f t="shared" si="15"/>
        <v>650.56989384523717</v>
      </c>
      <c r="AB39" s="3">
        <f t="shared" si="15"/>
        <v>664.37349860394613</v>
      </c>
      <c r="AC39" s="3">
        <f t="shared" si="15"/>
        <v>667.74488330983343</v>
      </c>
      <c r="AD39" s="3">
        <f t="shared" si="15"/>
        <v>737.38048036886187</v>
      </c>
      <c r="AE39" s="3">
        <f t="shared" si="15"/>
        <v>756.80158446622954</v>
      </c>
      <c r="AF39" s="3">
        <f t="shared" si="15"/>
        <v>786.702780299658</v>
      </c>
      <c r="AG39" s="3">
        <f t="shared" si="15"/>
        <v>804.79161450075878</v>
      </c>
      <c r="AH39" s="3">
        <f t="shared" si="15"/>
        <v>804.79161450075878</v>
      </c>
      <c r="AI39" s="3">
        <f t="shared" si="15"/>
        <v>631.56406717242908</v>
      </c>
    </row>
    <row r="40" spans="1:35" x14ac:dyDescent="0.2">
      <c r="A40" vm="87">
        <f ca="1"/>
        <v>44305</v>
      </c>
      <c r="B40" vm="88">
        <f ca="1"/>
        <v>39.17</v>
      </c>
      <c r="C40">
        <f t="shared" ca="1" si="0"/>
        <v>2.0000000000003126E-2</v>
      </c>
      <c r="D40">
        <f t="shared" ca="1" si="1"/>
        <v>2.0000000000003126E-2</v>
      </c>
      <c r="E40">
        <f t="shared" ca="1" si="2"/>
        <v>0</v>
      </c>
      <c r="F40">
        <f t="shared" ca="1" si="4"/>
        <v>0.26777546771005778</v>
      </c>
      <c r="G40">
        <f t="shared" ca="1" si="5"/>
        <v>0.20492602845750296</v>
      </c>
      <c r="H40">
        <f t="shared" ca="1" si="6"/>
        <v>1.3066932967257909</v>
      </c>
      <c r="I40">
        <f t="shared" ca="1" si="7"/>
        <v>56.647899336273333</v>
      </c>
      <c r="J40">
        <f t="shared" ca="1" si="9"/>
        <v>0</v>
      </c>
      <c r="K40">
        <f t="shared" ca="1" si="10"/>
        <v>0</v>
      </c>
      <c r="L40">
        <f t="shared" ca="1" si="3"/>
        <v>0</v>
      </c>
      <c r="M40" t="str">
        <f t="shared" ca="1" si="11"/>
        <v>na</v>
      </c>
      <c r="N40" t="str">
        <f t="shared" ca="1" si="12"/>
        <v>na</v>
      </c>
      <c r="S40">
        <f t="shared" ca="1" si="13"/>
        <v>1764.866815030354</v>
      </c>
      <c r="T40" cm="1">
        <f t="array" aca="1" ref="T40" ca="1">_xlfn.IFS((S40-S39)&gt;0.1,"Win",(S40-S39)&lt;-0.1,"Loss",S40=S39,0)</f>
        <v>0</v>
      </c>
      <c r="V40">
        <v>24</v>
      </c>
      <c r="W40" s="3">
        <f t="shared" ref="W40:AI40" si="16">W4*EXP(-((W22-$N$4)^2)/$N$5)</f>
        <v>865.7634407694984</v>
      </c>
      <c r="X40" s="3">
        <f t="shared" si="16"/>
        <v>905.71003452923628</v>
      </c>
      <c r="Y40" s="3">
        <f t="shared" si="16"/>
        <v>989.33154998188195</v>
      </c>
      <c r="Z40" s="3">
        <f t="shared" si="16"/>
        <v>989.33154998188195</v>
      </c>
      <c r="AA40" s="3">
        <f t="shared" si="16"/>
        <v>1041.1744851151209</v>
      </c>
      <c r="AB40" s="3">
        <f t="shared" si="16"/>
        <v>1087.3557031592954</v>
      </c>
      <c r="AC40" s="3">
        <f t="shared" si="16"/>
        <v>788.45265582072727</v>
      </c>
      <c r="AD40" s="3">
        <f t="shared" si="16"/>
        <v>901.04865739537263</v>
      </c>
      <c r="AE40" s="3">
        <f t="shared" si="16"/>
        <v>979.62073762402781</v>
      </c>
      <c r="AF40" s="3">
        <f t="shared" si="16"/>
        <v>626.65370136545528</v>
      </c>
      <c r="AG40" s="3">
        <f t="shared" si="16"/>
        <v>641.06249104990013</v>
      </c>
      <c r="AH40" s="3">
        <f t="shared" si="16"/>
        <v>641.06249104990013</v>
      </c>
      <c r="AI40" s="3">
        <f t="shared" si="16"/>
        <v>503.07685475863286</v>
      </c>
    </row>
    <row r="41" spans="1:35" x14ac:dyDescent="0.2">
      <c r="A41" vm="89">
        <f ca="1"/>
        <v>44306</v>
      </c>
      <c r="B41" vm="90">
        <f ca="1"/>
        <v>38.08</v>
      </c>
      <c r="C41">
        <f t="shared" ca="1" si="0"/>
        <v>-1.0900000000000034</v>
      </c>
      <c r="D41">
        <f t="shared" ca="1" si="1"/>
        <v>0</v>
      </c>
      <c r="E41">
        <f t="shared" ca="1" si="2"/>
        <v>1.0900000000000034</v>
      </c>
      <c r="F41">
        <f t="shared" ca="1" si="4"/>
        <v>0.24864864858791078</v>
      </c>
      <c r="G41">
        <f t="shared" ca="1" si="5"/>
        <v>0.26814559785339587</v>
      </c>
      <c r="H41">
        <f t="shared" ca="1" si="6"/>
        <v>0.92728969104260772</v>
      </c>
      <c r="I41">
        <f t="shared" ca="1" si="7"/>
        <v>48.113664248417727</v>
      </c>
      <c r="J41">
        <f t="shared" ca="1" si="9"/>
        <v>0</v>
      </c>
      <c r="K41">
        <f t="shared" ca="1" si="10"/>
        <v>0</v>
      </c>
      <c r="L41">
        <f t="shared" ca="1" si="3"/>
        <v>0</v>
      </c>
      <c r="M41" t="str">
        <f t="shared" ca="1" si="11"/>
        <v>na</v>
      </c>
      <c r="N41" t="str">
        <f t="shared" ca="1" si="12"/>
        <v>na</v>
      </c>
      <c r="S41">
        <f t="shared" ca="1" si="13"/>
        <v>1764.866815030354</v>
      </c>
      <c r="T41" cm="1">
        <f t="array" aca="1" ref="T41" ca="1">_xlfn.IFS((S41-S40)&gt;0.1,"Win",(S41-S40)&lt;-0.1,"Loss",S41=S40,0)</f>
        <v>0</v>
      </c>
      <c r="V41">
        <v>26</v>
      </c>
      <c r="W41" s="3">
        <f t="shared" ref="W41:AI41" si="17">W5*EXP(-((W23-$N$4)^2)/$N$5)</f>
        <v>951.80016526700945</v>
      </c>
      <c r="X41" s="3">
        <f t="shared" si="17"/>
        <v>1025.0382336658354</v>
      </c>
      <c r="Y41" s="3">
        <f t="shared" si="17"/>
        <v>1119.6769670664128</v>
      </c>
      <c r="Z41" s="3">
        <f t="shared" si="17"/>
        <v>1119.6769670664128</v>
      </c>
      <c r="AA41" s="3">
        <f t="shared" si="17"/>
        <v>1178.3502605390297</v>
      </c>
      <c r="AB41" s="3">
        <f t="shared" si="17"/>
        <v>1255.5509063752258</v>
      </c>
      <c r="AC41" s="3">
        <f t="shared" si="17"/>
        <v>947.56735198031595</v>
      </c>
      <c r="AD41" s="3">
        <f t="shared" si="17"/>
        <v>1208.126246007969</v>
      </c>
      <c r="AE41" s="3">
        <f t="shared" si="17"/>
        <v>919.21301956044522</v>
      </c>
      <c r="AF41" s="3">
        <f t="shared" si="17"/>
        <v>588.0114813085404</v>
      </c>
      <c r="AG41" s="3">
        <f t="shared" si="17"/>
        <v>601.53176172458564</v>
      </c>
      <c r="AH41" s="3">
        <f t="shared" si="17"/>
        <v>601.53176172458564</v>
      </c>
      <c r="AI41" s="3">
        <f t="shared" si="17"/>
        <v>503.07685475863286</v>
      </c>
    </row>
    <row r="42" spans="1:35" x14ac:dyDescent="0.2">
      <c r="A42" vm="91">
        <f ca="1"/>
        <v>44307</v>
      </c>
      <c r="B42" vm="92">
        <f ca="1"/>
        <v>38.72</v>
      </c>
      <c r="C42">
        <f t="shared" ca="1" si="0"/>
        <v>0.64000000000000057</v>
      </c>
      <c r="D42">
        <f t="shared" ca="1" si="1"/>
        <v>0.64000000000000057</v>
      </c>
      <c r="E42">
        <f t="shared" ca="1" si="2"/>
        <v>0</v>
      </c>
      <c r="F42">
        <f t="shared" ca="1" si="4"/>
        <v>0.27660231654591716</v>
      </c>
      <c r="G42">
        <f t="shared" ca="1" si="5"/>
        <v>0.2489923408638676</v>
      </c>
      <c r="H42">
        <f t="shared" ca="1" si="6"/>
        <v>1.1108868473072626</v>
      </c>
      <c r="I42">
        <f t="shared" ca="1" si="7"/>
        <v>52.626546454839925</v>
      </c>
      <c r="J42">
        <f t="shared" ca="1" si="9"/>
        <v>0</v>
      </c>
      <c r="K42">
        <f t="shared" ca="1" si="10"/>
        <v>0</v>
      </c>
      <c r="L42">
        <f t="shared" ca="1" si="3"/>
        <v>0</v>
      </c>
      <c r="M42" t="str">
        <f t="shared" ca="1" si="11"/>
        <v>na</v>
      </c>
      <c r="N42" t="str">
        <f t="shared" ca="1" si="12"/>
        <v>na</v>
      </c>
      <c r="S42">
        <f t="shared" ca="1" si="13"/>
        <v>1764.866815030354</v>
      </c>
      <c r="T42" cm="1">
        <f t="array" aca="1" ref="T42" ca="1">_xlfn.IFS((S42-S41)&gt;0.1,"Win",(S42-S41)&lt;-0.1,"Loss",S42=S41,0)</f>
        <v>0</v>
      </c>
      <c r="V42">
        <v>28</v>
      </c>
      <c r="W42" s="3">
        <f t="shared" ref="W42:AI42" si="18">W6*EXP(-((W24-$N$4)^2)/$N$5)</f>
        <v>1255.6005486851104</v>
      </c>
      <c r="X42" s="3">
        <f t="shared" si="18"/>
        <v>1377.483947799713</v>
      </c>
      <c r="Y42" s="3">
        <f t="shared" si="18"/>
        <v>1504.6629464144039</v>
      </c>
      <c r="Z42" s="3">
        <f t="shared" si="18"/>
        <v>1562.4696006864062</v>
      </c>
      <c r="AA42" s="3">
        <f t="shared" si="18"/>
        <v>1832.6923822178942</v>
      </c>
      <c r="AB42" s="3">
        <f t="shared" si="18"/>
        <v>1970.9878949371082</v>
      </c>
      <c r="AC42" s="3">
        <f t="shared" si="18"/>
        <v>1285.0475784285816</v>
      </c>
      <c r="AD42" s="3">
        <f t="shared" si="18"/>
        <v>1655.1063273021255</v>
      </c>
      <c r="AE42" s="3">
        <f t="shared" si="18"/>
        <v>886.29372400153511</v>
      </c>
      <c r="AF42" s="3">
        <f t="shared" si="18"/>
        <v>566.95333337838542</v>
      </c>
      <c r="AG42" s="3">
        <f t="shared" si="18"/>
        <v>579.98941905655806</v>
      </c>
      <c r="AH42" s="3">
        <f t="shared" si="18"/>
        <v>579.98941905655806</v>
      </c>
      <c r="AI42" s="3">
        <f t="shared" si="18"/>
        <v>497.36891726266077</v>
      </c>
    </row>
    <row r="43" spans="1:35" x14ac:dyDescent="0.2">
      <c r="A43" vm="93">
        <f ca="1"/>
        <v>44308</v>
      </c>
      <c r="B43" vm="94">
        <f ca="1"/>
        <v>38.36</v>
      </c>
      <c r="C43">
        <f t="shared" ca="1" si="0"/>
        <v>-0.35999999999999943</v>
      </c>
      <c r="D43">
        <f t="shared" ca="1" si="1"/>
        <v>0</v>
      </c>
      <c r="E43">
        <f t="shared" ca="1" si="2"/>
        <v>0.35999999999999943</v>
      </c>
      <c r="F43">
        <f t="shared" ca="1" si="4"/>
        <v>0.25684500822120876</v>
      </c>
      <c r="G43">
        <f t="shared" ca="1" si="5"/>
        <v>0.25692145937359129</v>
      </c>
      <c r="H43">
        <f t="shared" ca="1" si="6"/>
        <v>0.99970243376100643</v>
      </c>
      <c r="I43">
        <f t="shared" ca="1" si="7"/>
        <v>49.992559737039628</v>
      </c>
      <c r="J43">
        <f t="shared" ca="1" si="9"/>
        <v>0</v>
      </c>
      <c r="K43">
        <f t="shared" ca="1" si="10"/>
        <v>0</v>
      </c>
      <c r="L43">
        <f t="shared" ca="1" si="3"/>
        <v>0</v>
      </c>
      <c r="M43" t="str">
        <f t="shared" ca="1" si="11"/>
        <v>na</v>
      </c>
      <c r="N43" t="str">
        <f t="shared" ca="1" si="12"/>
        <v>na</v>
      </c>
      <c r="S43">
        <f t="shared" ca="1" si="13"/>
        <v>1764.866815030354</v>
      </c>
      <c r="T43" cm="1">
        <f t="array" aca="1" ref="T43" ca="1">_xlfn.IFS((S43-S42)&gt;0.1,"Win",(S43-S42)&lt;-0.1,"Loss",S43=S42,0)</f>
        <v>0</v>
      </c>
      <c r="V43">
        <v>30</v>
      </c>
      <c r="W43" s="3">
        <f t="shared" ref="W43:AI43" si="19">W7*EXP(-((W25-$N$4)^2)/$N$5)</f>
        <v>1135.9739915837001</v>
      </c>
      <c r="X43" s="3">
        <f t="shared" si="19"/>
        <v>1246.2450260659637</v>
      </c>
      <c r="Y43" s="3">
        <f t="shared" si="19"/>
        <v>1393.3103316139373</v>
      </c>
      <c r="Z43" s="3">
        <f t="shared" si="19"/>
        <v>1466.292300672769</v>
      </c>
      <c r="AA43" s="3">
        <f t="shared" si="19"/>
        <v>1759.3371563966259</v>
      </c>
      <c r="AB43" s="3">
        <f t="shared" si="19"/>
        <v>1949.356082078672</v>
      </c>
      <c r="AC43" s="3">
        <f t="shared" si="19"/>
        <v>1102.2400655320837</v>
      </c>
      <c r="AD43" s="3">
        <f t="shared" si="19"/>
        <v>1419.6552231154992</v>
      </c>
      <c r="AE43" s="3">
        <f t="shared" si="19"/>
        <v>845.19213797864472</v>
      </c>
      <c r="AF43" s="3">
        <f t="shared" si="19"/>
        <v>566.95333337838542</v>
      </c>
      <c r="AG43" s="3">
        <f t="shared" si="19"/>
        <v>579.98941905655806</v>
      </c>
      <c r="AH43" s="3">
        <f t="shared" si="19"/>
        <v>579.98941905655806</v>
      </c>
      <c r="AI43" s="3">
        <f t="shared" si="19"/>
        <v>497.36891726266077</v>
      </c>
    </row>
    <row r="44" spans="1:35" x14ac:dyDescent="0.2">
      <c r="A44" vm="95">
        <f ca="1"/>
        <v>44309</v>
      </c>
      <c r="B44" vm="96">
        <f ca="1"/>
        <v>39.18</v>
      </c>
      <c r="C44">
        <f t="shared" ca="1" si="0"/>
        <v>0.82000000000000028</v>
      </c>
      <c r="D44">
        <f t="shared" ca="1" si="1"/>
        <v>0.82000000000000028</v>
      </c>
      <c r="E44">
        <f t="shared" ca="1" si="2"/>
        <v>0</v>
      </c>
      <c r="F44">
        <f t="shared" ca="1" si="4"/>
        <v>0.29707036477683674</v>
      </c>
      <c r="G44">
        <f t="shared" ca="1" si="5"/>
        <v>0.23856992656119189</v>
      </c>
      <c r="H44">
        <f t="shared" ca="1" si="6"/>
        <v>1.2452129614947081</v>
      </c>
      <c r="I44">
        <f t="shared" ca="1" si="7"/>
        <v>55.460795160639513</v>
      </c>
      <c r="J44">
        <f t="shared" ca="1" si="9"/>
        <v>0</v>
      </c>
      <c r="K44">
        <f t="shared" ca="1" si="10"/>
        <v>0</v>
      </c>
      <c r="L44">
        <f t="shared" ca="1" si="3"/>
        <v>0</v>
      </c>
      <c r="M44" t="str">
        <f t="shared" ca="1" si="11"/>
        <v>na</v>
      </c>
      <c r="N44" t="str">
        <f t="shared" ca="1" si="12"/>
        <v>na</v>
      </c>
      <c r="S44">
        <f t="shared" ca="1" si="13"/>
        <v>1764.866815030354</v>
      </c>
      <c r="T44" cm="1">
        <f t="array" aca="1" ref="T44" ca="1">_xlfn.IFS((S44-S43)&gt;0.1,"Win",(S44-S43)&lt;-0.1,"Loss",S44=S43,0)</f>
        <v>0</v>
      </c>
      <c r="V44">
        <v>32</v>
      </c>
      <c r="W44" s="3">
        <f t="shared" ref="W44:AI44" si="20">W8*EXP(-((W26-$N$4)^2)/$N$5)</f>
        <v>968.5978448787464</v>
      </c>
      <c r="X44" s="3">
        <f t="shared" si="20"/>
        <v>1062.6213763534106</v>
      </c>
      <c r="Y44" s="3">
        <f t="shared" si="20"/>
        <v>1188.0178546756047</v>
      </c>
      <c r="Z44" s="3">
        <f t="shared" si="20"/>
        <v>1250.2465487030447</v>
      </c>
      <c r="AA44" s="3">
        <f t="shared" si="20"/>
        <v>1500.1137268337843</v>
      </c>
      <c r="AB44" s="3">
        <f t="shared" si="20"/>
        <v>1662.1349731522939</v>
      </c>
      <c r="AC44" s="3">
        <f t="shared" si="20"/>
        <v>989.01677172588472</v>
      </c>
      <c r="AD44" s="3">
        <f t="shared" si="20"/>
        <v>1273.8267004036907</v>
      </c>
      <c r="AE44" s="3">
        <f t="shared" si="20"/>
        <v>807.44973237973875</v>
      </c>
      <c r="AF44" s="3">
        <f t="shared" si="20"/>
        <v>566.95333337838542</v>
      </c>
      <c r="AG44" s="3">
        <f t="shared" si="20"/>
        <v>579.98941905655806</v>
      </c>
      <c r="AH44" s="3">
        <f t="shared" si="20"/>
        <v>579.98941905655806</v>
      </c>
      <c r="AI44" s="3">
        <f t="shared" si="20"/>
        <v>497.36891726266077</v>
      </c>
    </row>
    <row r="45" spans="1:35" x14ac:dyDescent="0.2">
      <c r="A45" vm="97">
        <f ca="1"/>
        <v>44312</v>
      </c>
      <c r="B45" vm="98">
        <f ca="1"/>
        <v>39.409999999999997</v>
      </c>
      <c r="C45">
        <f t="shared" ca="1" si="0"/>
        <v>0.22999999999999687</v>
      </c>
      <c r="D45">
        <f t="shared" ca="1" si="1"/>
        <v>0.22999999999999687</v>
      </c>
      <c r="E45">
        <f t="shared" ca="1" si="2"/>
        <v>0</v>
      </c>
      <c r="F45">
        <f t="shared" ca="1" si="4"/>
        <v>0.29227962443563388</v>
      </c>
      <c r="G45">
        <f t="shared" ca="1" si="5"/>
        <v>0.22152921752110674</v>
      </c>
      <c r="H45">
        <f t="shared" ca="1" si="6"/>
        <v>1.3193728019546054</v>
      </c>
      <c r="I45">
        <f t="shared" ca="1" si="7"/>
        <v>56.884895815055266</v>
      </c>
      <c r="J45">
        <f t="shared" ca="1" si="9"/>
        <v>0</v>
      </c>
      <c r="K45">
        <f t="shared" ca="1" si="10"/>
        <v>0</v>
      </c>
      <c r="L45">
        <f t="shared" ca="1" si="3"/>
        <v>0</v>
      </c>
      <c r="M45" t="str">
        <f t="shared" ca="1" si="11"/>
        <v>na</v>
      </c>
      <c r="N45" t="str">
        <f t="shared" ca="1" si="12"/>
        <v>na</v>
      </c>
      <c r="S45">
        <f t="shared" ca="1" si="13"/>
        <v>1764.866815030354</v>
      </c>
      <c r="T45" cm="1">
        <f t="array" aca="1" ref="T45" ca="1">_xlfn.IFS((S45-S44)&gt;0.1,"Win",(S45-S44)&lt;-0.1,"Loss",S45=S44,0)</f>
        <v>0</v>
      </c>
      <c r="V45">
        <v>34</v>
      </c>
      <c r="W45" s="3">
        <f t="shared" ref="W45:AI45" si="21">W9*EXP(-((W27-$N$4)^2)/$N$5)</f>
        <v>930.1071183898099</v>
      </c>
      <c r="X45" s="3">
        <f t="shared" si="21"/>
        <v>1040.0469783235012</v>
      </c>
      <c r="Y45" s="3">
        <f t="shared" si="21"/>
        <v>1243.0542033816623</v>
      </c>
      <c r="Z45" s="3">
        <f t="shared" si="21"/>
        <v>1288.6120141581428</v>
      </c>
      <c r="AA45" s="3">
        <f t="shared" si="21"/>
        <v>1571.8552625022185</v>
      </c>
      <c r="AB45" s="3">
        <f t="shared" si="21"/>
        <v>1542.8475540265126</v>
      </c>
      <c r="AC45" s="3">
        <f t="shared" si="21"/>
        <v>1035.0843038729606</v>
      </c>
      <c r="AD45" s="3">
        <f t="shared" si="21"/>
        <v>1333.1604287572025</v>
      </c>
      <c r="AE45" s="3">
        <f t="shared" si="21"/>
        <v>960.48608895695588</v>
      </c>
      <c r="AF45" s="3">
        <f t="shared" si="21"/>
        <v>701.93140995418014</v>
      </c>
      <c r="AG45" s="3">
        <f t="shared" si="21"/>
        <v>565.12536861842523</v>
      </c>
      <c r="AH45" s="3">
        <f t="shared" si="21"/>
        <v>565.12536861842523</v>
      </c>
      <c r="AI45" s="3">
        <f t="shared" si="21"/>
        <v>484.62227666949718</v>
      </c>
    </row>
    <row r="46" spans="1:35" x14ac:dyDescent="0.2">
      <c r="A46" vm="99">
        <f ca="1"/>
        <v>44313</v>
      </c>
      <c r="B46" vm="82">
        <f ca="1"/>
        <v>39.880000000000003</v>
      </c>
      <c r="C46">
        <f t="shared" ca="1" si="0"/>
        <v>0.47000000000000597</v>
      </c>
      <c r="D46">
        <f t="shared" ca="1" si="1"/>
        <v>0.47000000000000597</v>
      </c>
      <c r="E46">
        <f t="shared" ca="1" si="2"/>
        <v>0</v>
      </c>
      <c r="F46">
        <f t="shared" ca="1" si="4"/>
        <v>0.30497393697594616</v>
      </c>
      <c r="G46">
        <f t="shared" ca="1" si="5"/>
        <v>0.20570570198388483</v>
      </c>
      <c r="H46">
        <f t="shared" ca="1" si="6"/>
        <v>1.4825740562108389</v>
      </c>
      <c r="I46">
        <f t="shared" ca="1" si="7"/>
        <v>59.719227811221742</v>
      </c>
      <c r="J46">
        <f t="shared" ca="1" si="9"/>
        <v>0</v>
      </c>
      <c r="K46">
        <f t="shared" ca="1" si="10"/>
        <v>0</v>
      </c>
      <c r="L46">
        <f t="shared" ca="1" si="3"/>
        <v>0</v>
      </c>
      <c r="M46" t="str">
        <f t="shared" ca="1" si="11"/>
        <v>na</v>
      </c>
      <c r="N46" t="str">
        <f t="shared" ca="1" si="12"/>
        <v>na</v>
      </c>
      <c r="S46">
        <f ca="1">IFERROR(S45/Q46*R46,S45)</f>
        <v>1764.866815030354</v>
      </c>
      <c r="T46" cm="1">
        <f t="array" aca="1" ref="T46" ca="1">_xlfn.IFS((S46-S45)&gt;0.1,"Win",(S46-S45)&lt;-0.1,"Loss",S46=S45,0)</f>
        <v>0</v>
      </c>
      <c r="V46">
        <v>36</v>
      </c>
      <c r="W46" s="3">
        <f t="shared" ref="W46:AI46" si="22">W10*EXP(-((W28-$N$4)^2)/$N$5)</f>
        <v>477.96622656394021</v>
      </c>
      <c r="X46" s="3">
        <f t="shared" si="22"/>
        <v>567.7817631733509</v>
      </c>
      <c r="Y46" s="3">
        <f t="shared" si="22"/>
        <v>688.1577109844925</v>
      </c>
      <c r="Z46" s="3">
        <f t="shared" si="22"/>
        <v>991.85330920540173</v>
      </c>
      <c r="AA46" s="3">
        <f t="shared" si="22"/>
        <v>1245.6125793170179</v>
      </c>
      <c r="AB46" s="3">
        <f>AB10*EXP(-((AB28-$N$4)^2)/$N$5)</f>
        <v>1808.7410923334098</v>
      </c>
      <c r="AC46" s="3">
        <f t="shared" si="22"/>
        <v>1588.6944700151241</v>
      </c>
      <c r="AD46" s="3">
        <f t="shared" si="22"/>
        <v>1931.629213729904</v>
      </c>
      <c r="AE46" s="3">
        <f t="shared" si="22"/>
        <v>1515.863321269024</v>
      </c>
      <c r="AF46" s="3">
        <f t="shared" si="22"/>
        <v>823.78799852993745</v>
      </c>
      <c r="AG46" s="3">
        <f t="shared" si="22"/>
        <v>612.38210359516779</v>
      </c>
      <c r="AH46" s="3">
        <f t="shared" si="22"/>
        <v>612.38210359516779</v>
      </c>
      <c r="AI46" s="3">
        <f t="shared" si="22"/>
        <v>484.62227666949718</v>
      </c>
    </row>
    <row r="47" spans="1:35" x14ac:dyDescent="0.2">
      <c r="A47" vm="100">
        <f ca="1"/>
        <v>44314</v>
      </c>
      <c r="B47" vm="101">
        <f ca="1"/>
        <v>40.03</v>
      </c>
      <c r="C47">
        <f t="shared" ca="1" si="0"/>
        <v>0.14999999999999858</v>
      </c>
      <c r="D47">
        <f t="shared" ca="1" si="1"/>
        <v>0.14999999999999858</v>
      </c>
      <c r="E47">
        <f t="shared" ca="1" si="2"/>
        <v>0</v>
      </c>
      <c r="F47">
        <f t="shared" ca="1" si="4"/>
        <v>0.29390437004909276</v>
      </c>
      <c r="G47">
        <f t="shared" ca="1" si="5"/>
        <v>0.19101243755646449</v>
      </c>
      <c r="H47">
        <f t="shared" ca="1" si="6"/>
        <v>1.5386661403250914</v>
      </c>
      <c r="I47">
        <f t="shared" ca="1" si="7"/>
        <v>60.60923553059466</v>
      </c>
      <c r="J47">
        <f t="shared" ca="1" si="9"/>
        <v>0</v>
      </c>
      <c r="K47">
        <f t="shared" ca="1" si="10"/>
        <v>0</v>
      </c>
      <c r="L47">
        <f t="shared" ca="1" si="3"/>
        <v>0</v>
      </c>
      <c r="M47" t="str">
        <f t="shared" ca="1" si="11"/>
        <v>na</v>
      </c>
      <c r="N47" t="str">
        <f t="shared" ca="1" si="12"/>
        <v>na</v>
      </c>
      <c r="S47">
        <f t="shared" ca="1" si="13"/>
        <v>1764.866815030354</v>
      </c>
      <c r="T47" cm="1">
        <f t="array" aca="1" ref="T47" ca="1">_xlfn.IFS((S47-S46)&gt;0.1,"Win",(S47-S46)&lt;-0.1,"Loss",S47=S46,0)</f>
        <v>0</v>
      </c>
      <c r="V47">
        <v>38</v>
      </c>
      <c r="W47" s="3">
        <f t="shared" ref="W47:AI47" si="23">W11*EXP(-((W29-$N$4)^2)/$N$5)</f>
        <v>398.63932508696314</v>
      </c>
      <c r="X47" s="3">
        <f t="shared" si="23"/>
        <v>473.54839377512303</v>
      </c>
      <c r="Y47" s="3">
        <f t="shared" si="23"/>
        <v>573.94583594820028</v>
      </c>
      <c r="Z47" s="3">
        <f t="shared" si="23"/>
        <v>844.66601613942669</v>
      </c>
      <c r="AA47" s="3">
        <f t="shared" si="23"/>
        <v>1060.7683669148073</v>
      </c>
      <c r="AB47" s="3">
        <f t="shared" si="23"/>
        <v>1582.0185809305769</v>
      </c>
      <c r="AC47" s="3">
        <f t="shared" si="23"/>
        <v>1451.4527483446891</v>
      </c>
      <c r="AD47" s="3">
        <f t="shared" si="23"/>
        <v>1764.7625669802137</v>
      </c>
      <c r="AE47" s="3">
        <f t="shared" si="23"/>
        <v>1384.913226109416</v>
      </c>
      <c r="AF47" s="3">
        <f t="shared" si="23"/>
        <v>814.71943844044017</v>
      </c>
      <c r="AG47" s="3">
        <f t="shared" si="23"/>
        <v>612.38210359516779</v>
      </c>
      <c r="AH47" s="3">
        <f t="shared" si="23"/>
        <v>612.38210359516779</v>
      </c>
      <c r="AI47" s="3">
        <f t="shared" si="23"/>
        <v>484.62227666949718</v>
      </c>
    </row>
    <row r="48" spans="1:35" x14ac:dyDescent="0.2">
      <c r="A48" vm="102">
        <f ca="1"/>
        <v>44315</v>
      </c>
      <c r="B48" vm="103">
        <f ca="1"/>
        <v>41.11</v>
      </c>
      <c r="C48">
        <f t="shared" ca="1" si="0"/>
        <v>1.0799999999999983</v>
      </c>
      <c r="D48">
        <f t="shared" ca="1" si="1"/>
        <v>1.0799999999999983</v>
      </c>
      <c r="E48">
        <f t="shared" ca="1" si="2"/>
        <v>0</v>
      </c>
      <c r="F48">
        <f t="shared" ca="1" si="4"/>
        <v>0.35005405790272887</v>
      </c>
      <c r="G48">
        <f t="shared" ca="1" si="5"/>
        <v>0.17736869201671704</v>
      </c>
      <c r="H48">
        <f t="shared" ca="1" si="6"/>
        <v>1.9735955309956066</v>
      </c>
      <c r="I48">
        <f t="shared" ca="1" si="7"/>
        <v>66.370678541301672</v>
      </c>
      <c r="J48">
        <f t="shared" ca="1" si="9"/>
        <v>0</v>
      </c>
      <c r="K48">
        <f t="shared" ca="1" si="10"/>
        <v>0</v>
      </c>
      <c r="L48">
        <f t="shared" ca="1" si="3"/>
        <v>0</v>
      </c>
      <c r="M48" t="str">
        <f t="shared" ca="1" si="11"/>
        <v>na</v>
      </c>
      <c r="N48" t="str">
        <f t="shared" ca="1" si="12"/>
        <v>na</v>
      </c>
      <c r="S48">
        <f t="shared" ca="1" si="13"/>
        <v>1764.866815030354</v>
      </c>
      <c r="T48" cm="1">
        <f t="array" aca="1" ref="T48" ca="1">_xlfn.IFS((S48-S47)&gt;0.1,"Win",(S48-S47)&lt;-0.1,"Loss",S48=S47,0)</f>
        <v>0</v>
      </c>
      <c r="V48">
        <v>40</v>
      </c>
      <c r="W48" s="3">
        <f t="shared" ref="W48:AI48" si="24">W12*EXP(-((W30-$N$4)^2)/$N$5)</f>
        <v>162.78692724352348</v>
      </c>
      <c r="X48" s="3">
        <f t="shared" si="24"/>
        <v>274.0105557336758</v>
      </c>
      <c r="Y48" s="3">
        <f t="shared" si="24"/>
        <v>338.05989012402068</v>
      </c>
      <c r="Z48" s="3">
        <f t="shared" si="24"/>
        <v>596.7976415490707</v>
      </c>
      <c r="AA48" s="3">
        <f t="shared" si="24"/>
        <v>980.13628021433635</v>
      </c>
      <c r="AB48" s="3">
        <f t="shared" si="24"/>
        <v>1454.2568028657504</v>
      </c>
      <c r="AC48" s="3">
        <f t="shared" si="24"/>
        <v>1423.3691240705737</v>
      </c>
      <c r="AD48" s="3">
        <f t="shared" si="24"/>
        <v>1730.6168265001209</v>
      </c>
      <c r="AE48" s="3">
        <f t="shared" si="24"/>
        <v>1377.6337873388013</v>
      </c>
      <c r="AF48" s="3">
        <f t="shared" si="24"/>
        <v>810.43707608332875</v>
      </c>
      <c r="AG48" s="3">
        <f t="shared" si="24"/>
        <v>612.38210359516779</v>
      </c>
      <c r="AH48" s="3">
        <f t="shared" si="24"/>
        <v>612.38210359516779</v>
      </c>
      <c r="AI48" s="3">
        <f t="shared" si="24"/>
        <v>484.62227666949718</v>
      </c>
    </row>
    <row r="49" spans="1:35" x14ac:dyDescent="0.2">
      <c r="A49" vm="104">
        <f ca="1"/>
        <v>44316</v>
      </c>
      <c r="B49" vm="105">
        <f ca="1"/>
        <v>40.53</v>
      </c>
      <c r="C49">
        <f t="shared" ca="1" si="0"/>
        <v>-0.57999999999999829</v>
      </c>
      <c r="D49">
        <f t="shared" ca="1" si="1"/>
        <v>0</v>
      </c>
      <c r="E49">
        <f t="shared" ca="1" si="2"/>
        <v>0.57999999999999829</v>
      </c>
      <c r="F49">
        <f t="shared" ca="1" si="4"/>
        <v>0.32505019662396251</v>
      </c>
      <c r="G49">
        <f t="shared" ca="1" si="5"/>
        <v>0.20612807115837997</v>
      </c>
      <c r="H49">
        <f t="shared" ca="1" si="6"/>
        <v>1.5769331891443736</v>
      </c>
      <c r="I49">
        <f t="shared" ca="1" si="7"/>
        <v>61.194182130424849</v>
      </c>
      <c r="J49">
        <f t="shared" ca="1" si="9"/>
        <v>0</v>
      </c>
      <c r="K49">
        <f t="shared" ca="1" si="10"/>
        <v>0</v>
      </c>
      <c r="L49">
        <f t="shared" ca="1" si="3"/>
        <v>0</v>
      </c>
      <c r="M49" t="str">
        <f t="shared" ca="1" si="11"/>
        <v>na</v>
      </c>
      <c r="N49" t="str">
        <f t="shared" ca="1" si="12"/>
        <v>na</v>
      </c>
      <c r="S49">
        <f t="shared" ca="1" si="13"/>
        <v>1764.866815030354</v>
      </c>
      <c r="T49" cm="1">
        <f t="array" aca="1" ref="T49" ca="1">_xlfn.IFS((S49-S48)&gt;0.1,"Win",(S49-S48)&lt;-0.1,"Loss",S49=S48,0)</f>
        <v>0</v>
      </c>
      <c r="V49">
        <v>42</v>
      </c>
      <c r="W49" s="3">
        <f t="shared" ref="W49:AI49" si="25">W13*EXP(-((W31-$N$4)^2)/$N$5)</f>
        <v>40.469543979027307</v>
      </c>
      <c r="X49" s="3">
        <f t="shared" si="25"/>
        <v>121.92525782424049</v>
      </c>
      <c r="Y49" s="3">
        <f t="shared" si="25"/>
        <v>214.95607805080184</v>
      </c>
      <c r="Z49" s="3">
        <f t="shared" si="25"/>
        <v>427.37474835298707</v>
      </c>
      <c r="AA49" s="3">
        <f t="shared" si="25"/>
        <v>773.59100215161413</v>
      </c>
      <c r="AB49" s="3">
        <f t="shared" si="25"/>
        <v>1293.3637246879096</v>
      </c>
      <c r="AC49" s="3">
        <f t="shared" si="25"/>
        <v>1444.4709864504678</v>
      </c>
      <c r="AD49" s="3">
        <f t="shared" si="25"/>
        <v>1946.8823495502677</v>
      </c>
      <c r="AE49" s="3">
        <f t="shared" si="25"/>
        <v>1713.9764616925361</v>
      </c>
      <c r="AF49" s="3">
        <f t="shared" si="25"/>
        <v>883.83515089842297</v>
      </c>
      <c r="AG49" s="3">
        <f t="shared" si="25"/>
        <v>667.84312429812644</v>
      </c>
      <c r="AH49" s="3">
        <f t="shared" si="25"/>
        <v>667.84312429812644</v>
      </c>
      <c r="AI49" s="3">
        <f t="shared" si="25"/>
        <v>484.62227666949718</v>
      </c>
    </row>
    <row r="50" spans="1:35" x14ac:dyDescent="0.2">
      <c r="A50" vm="106">
        <f ca="1"/>
        <v>44319</v>
      </c>
      <c r="B50" vm="107">
        <f ca="1"/>
        <v>40.56</v>
      </c>
      <c r="C50">
        <f t="shared" ca="1" si="0"/>
        <v>3.0000000000001137E-2</v>
      </c>
      <c r="D50">
        <f t="shared" ca="1" si="1"/>
        <v>3.0000000000001137E-2</v>
      </c>
      <c r="E50">
        <f t="shared" ca="1" si="2"/>
        <v>0</v>
      </c>
      <c r="F50">
        <f t="shared" ca="1" si="4"/>
        <v>0.30397518257939382</v>
      </c>
      <c r="G50">
        <f t="shared" ca="1" si="5"/>
        <v>0.19140463750420997</v>
      </c>
      <c r="H50">
        <f t="shared" ca="1" si="6"/>
        <v>1.5881286187368779</v>
      </c>
      <c r="I50">
        <f t="shared" ca="1" si="7"/>
        <v>61.362043881418671</v>
      </c>
      <c r="J50">
        <f t="shared" ca="1" si="9"/>
        <v>0</v>
      </c>
      <c r="K50">
        <f t="shared" ca="1" si="10"/>
        <v>0</v>
      </c>
      <c r="L50">
        <f t="shared" ca="1" si="3"/>
        <v>0</v>
      </c>
      <c r="M50" t="str">
        <f t="shared" ca="1" si="11"/>
        <v>na</v>
      </c>
      <c r="N50" t="str">
        <f t="shared" ca="1" si="12"/>
        <v>na</v>
      </c>
      <c r="S50">
        <f t="shared" ca="1" si="13"/>
        <v>1764.866815030354</v>
      </c>
      <c r="T50" cm="1">
        <f t="array" aca="1" ref="T50" ca="1">_xlfn.IFS((S50-S49)&gt;0.1,"Win",(S50-S49)&lt;-0.1,"Loss",S50=S49,0)</f>
        <v>0</v>
      </c>
      <c r="V50">
        <v>44</v>
      </c>
      <c r="W50" s="3">
        <f t="shared" ref="W50:AI50" si="26">W14*EXP(-((W32-$N$4)^2)/$N$5)</f>
        <v>21.056260168386377</v>
      </c>
      <c r="X50" s="3">
        <f t="shared" si="26"/>
        <v>69.848961159011438</v>
      </c>
      <c r="Y50" s="3">
        <f t="shared" si="26"/>
        <v>129.37672096237213</v>
      </c>
      <c r="Z50" s="3">
        <f t="shared" si="26"/>
        <v>363.78363786838253</v>
      </c>
      <c r="AA50" s="3">
        <f t="shared" si="26"/>
        <v>678.28423622645289</v>
      </c>
      <c r="AB50" s="3">
        <f t="shared" si="26"/>
        <v>1134.0207211859552</v>
      </c>
      <c r="AC50" s="3">
        <f t="shared" si="26"/>
        <v>1287.5817145635192</v>
      </c>
      <c r="AD50" s="3">
        <f t="shared" si="26"/>
        <v>1735.4243437227715</v>
      </c>
      <c r="AE50" s="3">
        <f t="shared" si="26"/>
        <v>1582.2546081073476</v>
      </c>
      <c r="AF50" s="3">
        <f t="shared" si="26"/>
        <v>842.02579331306561</v>
      </c>
      <c r="AG50" s="3">
        <f t="shared" si="26"/>
        <v>636.25115608287751</v>
      </c>
      <c r="AH50" s="3">
        <f t="shared" si="26"/>
        <v>636.25115608287751</v>
      </c>
      <c r="AI50" s="3">
        <f t="shared" si="26"/>
        <v>466.3434867370886</v>
      </c>
    </row>
    <row r="51" spans="1:35" x14ac:dyDescent="0.2">
      <c r="A51" vm="108">
        <f ca="1"/>
        <v>44320</v>
      </c>
      <c r="B51" vm="109">
        <f ca="1"/>
        <v>41</v>
      </c>
      <c r="C51">
        <f t="shared" ca="1" si="0"/>
        <v>0.43999999999999773</v>
      </c>
      <c r="D51">
        <f t="shared" ca="1" si="1"/>
        <v>0.43999999999999773</v>
      </c>
      <c r="E51">
        <f t="shared" ca="1" si="2"/>
        <v>0</v>
      </c>
      <c r="F51">
        <f t="shared" ca="1" si="4"/>
        <v>0.3136912409665798</v>
      </c>
      <c r="G51">
        <f t="shared" ca="1" si="5"/>
        <v>0.17773287768248069</v>
      </c>
      <c r="H51">
        <f t="shared" ca="1" si="6"/>
        <v>1.7649589938389922</v>
      </c>
      <c r="I51">
        <f t="shared" ca="1" si="7"/>
        <v>63.833098348718892</v>
      </c>
      <c r="J51">
        <f t="shared" ca="1" si="9"/>
        <v>0</v>
      </c>
      <c r="K51">
        <f t="shared" ca="1" si="10"/>
        <v>0</v>
      </c>
      <c r="L51">
        <f t="shared" ca="1" si="3"/>
        <v>0</v>
      </c>
      <c r="M51" t="str">
        <f t="shared" ca="1" si="11"/>
        <v>na</v>
      </c>
      <c r="N51" t="str">
        <f t="shared" ca="1" si="12"/>
        <v>na</v>
      </c>
      <c r="S51">
        <f t="shared" ca="1" si="13"/>
        <v>1764.866815030354</v>
      </c>
      <c r="T51" cm="1">
        <f t="array" aca="1" ref="T51" ca="1">_xlfn.IFS((S51-S50)&gt;0.1,"Win",(S51-S50)&lt;-0.1,"Loss",S51=S50,0)</f>
        <v>0</v>
      </c>
      <c r="V51">
        <v>46</v>
      </c>
      <c r="W51" s="3">
        <f t="shared" ref="W51:AI51" si="27">W15*EXP(-((W33-$N$4)^2)/$N$5)</f>
        <v>20.278526827457</v>
      </c>
      <c r="X51" s="3">
        <f t="shared" si="27"/>
        <v>67.269022200800535</v>
      </c>
      <c r="Y51" s="3">
        <f t="shared" si="27"/>
        <v>124.59806660362597</v>
      </c>
      <c r="Z51" s="3">
        <f t="shared" si="27"/>
        <v>350.34693724860176</v>
      </c>
      <c r="AA51" s="3">
        <f t="shared" si="27"/>
        <v>660.28158835941997</v>
      </c>
      <c r="AB51" s="3">
        <f t="shared" si="27"/>
        <v>1124.31965896932</v>
      </c>
      <c r="AC51" s="3">
        <f t="shared" si="27"/>
        <v>1287.5817145635192</v>
      </c>
      <c r="AD51" s="3">
        <f t="shared" si="27"/>
        <v>1735.4243437227715</v>
      </c>
      <c r="AE51" s="3">
        <f t="shared" si="27"/>
        <v>1582.2546081073476</v>
      </c>
      <c r="AF51" s="3">
        <f t="shared" si="27"/>
        <v>842.02579331306561</v>
      </c>
      <c r="AG51" s="3">
        <f t="shared" si="27"/>
        <v>636.25115608287751</v>
      </c>
      <c r="AH51" s="3">
        <f t="shared" si="27"/>
        <v>636.25115608287751</v>
      </c>
      <c r="AI51" s="3">
        <f t="shared" si="27"/>
        <v>466.3434867370886</v>
      </c>
    </row>
    <row r="52" spans="1:35" x14ac:dyDescent="0.2">
      <c r="A52" vm="110">
        <f ca="1"/>
        <v>44321</v>
      </c>
      <c r="B52" vm="111">
        <f ca="1"/>
        <v>41.39</v>
      </c>
      <c r="C52">
        <f t="shared" ca="1" si="0"/>
        <v>0.39000000000000057</v>
      </c>
      <c r="D52">
        <f t="shared" ca="1" si="1"/>
        <v>0.39000000000000057</v>
      </c>
      <c r="E52">
        <f t="shared" ca="1" si="2"/>
        <v>0</v>
      </c>
      <c r="F52">
        <f t="shared" ca="1" si="4"/>
        <v>0.31914186661182414</v>
      </c>
      <c r="G52">
        <f t="shared" ca="1" si="5"/>
        <v>0.16503767213373208</v>
      </c>
      <c r="H52">
        <f t="shared" ca="1" si="6"/>
        <v>1.9337516246182842</v>
      </c>
      <c r="I52">
        <f t="shared" ca="1" si="7"/>
        <v>65.913951555796359</v>
      </c>
      <c r="J52">
        <f t="shared" ca="1" si="9"/>
        <v>0</v>
      </c>
      <c r="K52">
        <f t="shared" ca="1" si="10"/>
        <v>0</v>
      </c>
      <c r="L52">
        <f t="shared" ca="1" si="3"/>
        <v>0</v>
      </c>
      <c r="M52" t="str">
        <f t="shared" ca="1" si="11"/>
        <v>na</v>
      </c>
      <c r="N52" t="str">
        <f t="shared" ca="1" si="12"/>
        <v>na</v>
      </c>
      <c r="S52">
        <f t="shared" ca="1" si="13"/>
        <v>1764.866815030354</v>
      </c>
      <c r="T52" cm="1">
        <f t="array" aca="1" ref="T52" ca="1">_xlfn.IFS((S52-S51)&gt;0.1,"Win",(S52-S51)&lt;-0.1,"Loss",S52=S51,0)</f>
        <v>0</v>
      </c>
      <c r="V52">
        <v>48</v>
      </c>
      <c r="W52" s="3">
        <f t="shared" ref="W52:AI52" si="28">W16*EXP(-((W34-$N$4)^2)/$N$5)</f>
        <v>2.9736283868356992</v>
      </c>
      <c r="X52" s="3">
        <f t="shared" si="28"/>
        <v>21.900417377380087</v>
      </c>
      <c r="Y52" s="3">
        <f t="shared" si="28"/>
        <v>44.469320006767937</v>
      </c>
      <c r="Z52" s="3">
        <f t="shared" si="28"/>
        <v>170.43077373737984</v>
      </c>
      <c r="AA52" s="3">
        <f t="shared" si="28"/>
        <v>401.2201512590716</v>
      </c>
      <c r="AB52" s="3">
        <f t="shared" si="28"/>
        <v>1018.7230399324923</v>
      </c>
      <c r="AC52" s="3">
        <f t="shared" si="28"/>
        <v>1225.8254136707828</v>
      </c>
      <c r="AD52" s="3">
        <f t="shared" si="28"/>
        <v>1673.4040594862884</v>
      </c>
      <c r="AE52" s="3">
        <f t="shared" si="28"/>
        <v>1539.9324157509648</v>
      </c>
      <c r="AF52" s="3">
        <f t="shared" si="28"/>
        <v>835.36068149264588</v>
      </c>
      <c r="AG52" s="3">
        <f t="shared" si="28"/>
        <v>631.21486724844863</v>
      </c>
      <c r="AH52" s="3">
        <f t="shared" si="28"/>
        <v>631.21486724844863</v>
      </c>
      <c r="AI52" s="3">
        <f t="shared" si="28"/>
        <v>462.65211349114873</v>
      </c>
    </row>
    <row r="53" spans="1:35" x14ac:dyDescent="0.2">
      <c r="A53" vm="112">
        <f ca="1"/>
        <v>44322</v>
      </c>
      <c r="B53" vm="113">
        <f ca="1"/>
        <v>42.01</v>
      </c>
      <c r="C53">
        <f t="shared" ca="1" si="0"/>
        <v>0.61999999999999744</v>
      </c>
      <c r="D53">
        <f t="shared" ca="1" si="1"/>
        <v>0.61999999999999744</v>
      </c>
      <c r="E53">
        <f t="shared" ca="1" si="2"/>
        <v>0</v>
      </c>
      <c r="F53">
        <f t="shared" ca="1" si="4"/>
        <v>0.34063173328240792</v>
      </c>
      <c r="G53">
        <f t="shared" ca="1" si="5"/>
        <v>0.15324926698132263</v>
      </c>
      <c r="H53">
        <f t="shared" ca="1" si="6"/>
        <v>2.2227299353015675</v>
      </c>
      <c r="I53">
        <f t="shared" ca="1" si="7"/>
        <v>68.970406454289972</v>
      </c>
      <c r="J53">
        <f t="shared" ca="1" si="9"/>
        <v>0</v>
      </c>
      <c r="K53">
        <f t="shared" ca="1" si="10"/>
        <v>0</v>
      </c>
      <c r="L53">
        <f t="shared" ca="1" si="3"/>
        <v>0</v>
      </c>
      <c r="M53" t="str">
        <f t="shared" ca="1" si="11"/>
        <v>na</v>
      </c>
      <c r="N53" t="str">
        <f t="shared" ca="1" si="12"/>
        <v>na</v>
      </c>
      <c r="S53">
        <f t="shared" ca="1" si="13"/>
        <v>1764.866815030354</v>
      </c>
      <c r="T53" cm="1">
        <f t="array" aca="1" ref="T53" ca="1">_xlfn.IFS((S53-S52)&gt;0.1,"Win",(S53-S52)&lt;-0.1,"Loss",S53=S52,0)</f>
        <v>0</v>
      </c>
      <c r="V53">
        <v>50</v>
      </c>
      <c r="W53" s="3">
        <f t="shared" ref="W53:AI53" si="29">W17*EXP(-((W35-$N$4)^2)/$N$5)</f>
        <v>0.34309779103577487</v>
      </c>
      <c r="X53" s="3">
        <f t="shared" si="29"/>
        <v>3.7674692036029755</v>
      </c>
      <c r="Y53" s="3">
        <f t="shared" si="29"/>
        <v>8.6700715563926831</v>
      </c>
      <c r="Z53" s="3">
        <f t="shared" si="29"/>
        <v>74.747673746329056</v>
      </c>
      <c r="AA53" s="3">
        <f t="shared" si="29"/>
        <v>213.69301014059778</v>
      </c>
      <c r="AB53" s="3">
        <f t="shared" si="29"/>
        <v>941.92401543439564</v>
      </c>
      <c r="AC53" s="3">
        <f t="shared" si="29"/>
        <v>1309.0229960675451</v>
      </c>
      <c r="AD53" s="3">
        <f t="shared" si="29"/>
        <v>1741.5602487344336</v>
      </c>
      <c r="AE53" s="3">
        <f t="shared" si="29"/>
        <v>1642.3212090387342</v>
      </c>
      <c r="AF53" s="3">
        <f t="shared" si="29"/>
        <v>904.84290915733118</v>
      </c>
      <c r="AG53" s="3">
        <f t="shared" si="29"/>
        <v>691.05430187993215</v>
      </c>
      <c r="AH53" s="3">
        <f t="shared" si="29"/>
        <v>691.05430187993215</v>
      </c>
      <c r="AI53" s="3">
        <f t="shared" si="29"/>
        <v>506.51172824175381</v>
      </c>
    </row>
    <row r="54" spans="1:35" x14ac:dyDescent="0.2">
      <c r="A54" vm="114">
        <f ca="1"/>
        <v>44323</v>
      </c>
      <c r="B54" vm="115">
        <f ca="1"/>
        <v>42.18</v>
      </c>
      <c r="C54">
        <f t="shared" ca="1" si="0"/>
        <v>0.17000000000000171</v>
      </c>
      <c r="D54">
        <f t="shared" ca="1" si="1"/>
        <v>0.17000000000000171</v>
      </c>
      <c r="E54">
        <f t="shared" ca="1" si="2"/>
        <v>0</v>
      </c>
      <c r="F54">
        <f t="shared" ca="1" si="4"/>
        <v>0.32844375233366463</v>
      </c>
      <c r="G54">
        <f t="shared" ca="1" si="5"/>
        <v>0.14230289076837102</v>
      </c>
      <c r="H54">
        <f t="shared" ca="1" si="6"/>
        <v>2.3080609997465085</v>
      </c>
      <c r="I54">
        <f t="shared" ca="1" si="7"/>
        <v>69.770811358175422</v>
      </c>
      <c r="J54">
        <f t="shared" ca="1" si="9"/>
        <v>0</v>
      </c>
      <c r="K54">
        <f t="shared" ca="1" si="10"/>
        <v>0</v>
      </c>
      <c r="L54">
        <f t="shared" ca="1" si="3"/>
        <v>0</v>
      </c>
      <c r="M54" t="str">
        <f t="shared" ca="1" si="11"/>
        <v>na</v>
      </c>
      <c r="N54" t="str">
        <f t="shared" ca="1" si="12"/>
        <v>na</v>
      </c>
      <c r="S54">
        <f t="shared" ca="1" si="13"/>
        <v>1764.866815030354</v>
      </c>
      <c r="T54" cm="1">
        <f t="array" aca="1" ref="T54" ca="1">_xlfn.IFS((S54-S53)&gt;0.1,"Win",(S54-S53)&lt;-0.1,"Loss",S54=S53,0)</f>
        <v>0</v>
      </c>
    </row>
    <row r="55" spans="1:35" x14ac:dyDescent="0.2">
      <c r="A55" vm="116">
        <f ca="1"/>
        <v>44326</v>
      </c>
      <c r="B55" vm="117">
        <f ca="1"/>
        <v>42.05</v>
      </c>
      <c r="C55">
        <f t="shared" ca="1" si="0"/>
        <v>-0.13000000000000256</v>
      </c>
      <c r="D55">
        <f t="shared" ca="1" si="1"/>
        <v>0</v>
      </c>
      <c r="E55">
        <f t="shared" ca="1" si="2"/>
        <v>0.13000000000000256</v>
      </c>
      <c r="F55">
        <f t="shared" ca="1" si="4"/>
        <v>0.30498348430983141</v>
      </c>
      <c r="G55">
        <f t="shared" ca="1" si="5"/>
        <v>0.14142411285634471</v>
      </c>
      <c r="H55">
        <f t="shared" ca="1" si="6"/>
        <v>2.1565168637092778</v>
      </c>
      <c r="I55">
        <f t="shared" ca="1" si="7"/>
        <v>68.319510296394157</v>
      </c>
      <c r="J55">
        <f t="shared" ca="1" si="9"/>
        <v>0</v>
      </c>
      <c r="K55">
        <f t="shared" ca="1" si="10"/>
        <v>0</v>
      </c>
      <c r="L55">
        <f t="shared" ca="1" si="3"/>
        <v>0</v>
      </c>
      <c r="M55" t="str">
        <f t="shared" ca="1" si="11"/>
        <v>na</v>
      </c>
      <c r="N55" t="str">
        <f t="shared" ca="1" si="12"/>
        <v>na</v>
      </c>
      <c r="S55">
        <f t="shared" ca="1" si="13"/>
        <v>1764.866815030354</v>
      </c>
      <c r="T55" cm="1">
        <f t="array" aca="1" ref="T55" ca="1">_xlfn.IFS((S55-S54)&gt;0.1,"Win",(S55-S54)&lt;-0.1,"Loss",S55=S54,0)</f>
        <v>0</v>
      </c>
    </row>
    <row r="56" spans="1:35" x14ac:dyDescent="0.2">
      <c r="A56" vm="118">
        <f ca="1"/>
        <v>44327</v>
      </c>
      <c r="B56" vm="119">
        <f ca="1"/>
        <v>41.57</v>
      </c>
      <c r="C56">
        <f t="shared" ca="1" si="0"/>
        <v>-0.47999999999999687</v>
      </c>
      <c r="D56">
        <f t="shared" ca="1" si="1"/>
        <v>0</v>
      </c>
      <c r="E56">
        <f t="shared" ca="1" si="2"/>
        <v>0.47999999999999687</v>
      </c>
      <c r="F56">
        <f t="shared" ca="1" si="4"/>
        <v>0.28319894971627202</v>
      </c>
      <c r="G56">
        <f t="shared" ca="1" si="5"/>
        <v>0.16560810479517699</v>
      </c>
      <c r="H56">
        <f t="shared" ca="1" si="6"/>
        <v>1.7100548917369147</v>
      </c>
      <c r="I56">
        <f t="shared" ca="1" si="7"/>
        <v>63.100378407498418</v>
      </c>
      <c r="J56">
        <f t="shared" ca="1" si="9"/>
        <v>0</v>
      </c>
      <c r="K56">
        <f t="shared" ca="1" si="10"/>
        <v>0</v>
      </c>
      <c r="L56">
        <f t="shared" ca="1" si="3"/>
        <v>0</v>
      </c>
      <c r="M56" t="str">
        <f t="shared" ca="1" si="11"/>
        <v>na</v>
      </c>
      <c r="N56" t="str">
        <f t="shared" ca="1" si="12"/>
        <v>na</v>
      </c>
      <c r="S56">
        <f t="shared" ca="1" si="13"/>
        <v>1764.866815030354</v>
      </c>
      <c r="T56" cm="1">
        <f t="array" aca="1" ref="T56" ca="1">_xlfn.IFS((S56-S55)&gt;0.1,"Win",(S56-S55)&lt;-0.1,"Loss",S56=S55,0)</f>
        <v>0</v>
      </c>
    </row>
    <row r="57" spans="1:35" x14ac:dyDescent="0.2">
      <c r="A57" vm="120">
        <f ca="1"/>
        <v>44328</v>
      </c>
      <c r="B57" vm="121">
        <f ca="1"/>
        <v>41.18</v>
      </c>
      <c r="C57">
        <f t="shared" ca="1" si="0"/>
        <v>-0.39000000000000057</v>
      </c>
      <c r="D57">
        <f t="shared" ca="1" si="1"/>
        <v>0</v>
      </c>
      <c r="E57">
        <f t="shared" ca="1" si="2"/>
        <v>0.39000000000000057</v>
      </c>
      <c r="F57">
        <f t="shared" ca="1" si="4"/>
        <v>0.26297045330796687</v>
      </c>
      <c r="G57">
        <f t="shared" ca="1" si="5"/>
        <v>0.18163609730980723</v>
      </c>
      <c r="H57">
        <f t="shared" ca="1" si="6"/>
        <v>1.4477874013084076</v>
      </c>
      <c r="I57">
        <f t="shared" ca="1" si="7"/>
        <v>59.146778863823172</v>
      </c>
      <c r="J57">
        <f t="shared" ca="1" si="9"/>
        <v>0</v>
      </c>
      <c r="K57">
        <f t="shared" ca="1" si="10"/>
        <v>0</v>
      </c>
      <c r="L57">
        <f t="shared" ca="1" si="3"/>
        <v>0</v>
      </c>
      <c r="M57" t="str">
        <f t="shared" ca="1" si="11"/>
        <v>na</v>
      </c>
      <c r="N57" t="str">
        <f t="shared" ca="1" si="12"/>
        <v>na</v>
      </c>
      <c r="S57">
        <f t="shared" ca="1" si="13"/>
        <v>1764.866815030354</v>
      </c>
      <c r="T57" cm="1">
        <f t="array" aca="1" ref="T57" ca="1">_xlfn.IFS((S57-S56)&gt;0.1,"Win",(S57-S56)&lt;-0.1,"Loss",S57=S56,0)</f>
        <v>0</v>
      </c>
    </row>
    <row r="58" spans="1:35" x14ac:dyDescent="0.2">
      <c r="A58" vm="122">
        <f ca="1"/>
        <v>44329</v>
      </c>
      <c r="B58" vm="123">
        <f ca="1"/>
        <v>41.84</v>
      </c>
      <c r="C58">
        <f t="shared" ca="1" si="0"/>
        <v>0.66000000000000369</v>
      </c>
      <c r="D58">
        <f t="shared" ca="1" si="1"/>
        <v>0.66000000000000369</v>
      </c>
      <c r="E58">
        <f t="shared" ca="1" si="2"/>
        <v>0</v>
      </c>
      <c r="F58">
        <f t="shared" ca="1" si="4"/>
        <v>0.29132970664311231</v>
      </c>
      <c r="G58">
        <f t="shared" ca="1" si="5"/>
        <v>0.16866209035910673</v>
      </c>
      <c r="H58">
        <f t="shared" ca="1" si="6"/>
        <v>1.7272980906546809</v>
      </c>
      <c r="I58">
        <f t="shared" ca="1" si="7"/>
        <v>63.333674326741722</v>
      </c>
      <c r="J58">
        <f t="shared" ca="1" si="9"/>
        <v>0</v>
      </c>
      <c r="K58">
        <f t="shared" ca="1" si="10"/>
        <v>0</v>
      </c>
      <c r="L58">
        <f t="shared" ca="1" si="3"/>
        <v>0</v>
      </c>
      <c r="M58" t="str">
        <f t="shared" ca="1" si="11"/>
        <v>na</v>
      </c>
      <c r="N58" t="str">
        <f t="shared" ca="1" si="12"/>
        <v>na</v>
      </c>
      <c r="S58">
        <f t="shared" ca="1" si="13"/>
        <v>1764.866815030354</v>
      </c>
      <c r="T58" cm="1">
        <f t="array" aca="1" ref="T58" ca="1">_xlfn.IFS((S58-S57)&gt;0.1,"Win",(S58-S57)&lt;-0.1,"Loss",S58=S57,0)</f>
        <v>0</v>
      </c>
    </row>
    <row r="59" spans="1:35" x14ac:dyDescent="0.2">
      <c r="A59" vm="124">
        <f ca="1"/>
        <v>44330</v>
      </c>
      <c r="B59" vm="125">
        <f ca="1"/>
        <v>42.36</v>
      </c>
      <c r="C59">
        <f t="shared" ca="1" si="0"/>
        <v>0.51999999999999602</v>
      </c>
      <c r="D59">
        <f t="shared" ca="1" si="1"/>
        <v>0.51999999999999602</v>
      </c>
      <c r="E59">
        <f t="shared" ca="1" si="2"/>
        <v>0</v>
      </c>
      <c r="F59">
        <f t="shared" ca="1" si="4"/>
        <v>0.30766329902574679</v>
      </c>
      <c r="G59">
        <f t="shared" ca="1" si="5"/>
        <v>0.15661479819059912</v>
      </c>
      <c r="H59">
        <f t="shared" ca="1" si="6"/>
        <v>1.9644586755545457</v>
      </c>
      <c r="I59">
        <f t="shared" ca="1" si="7"/>
        <v>66.267028505197999</v>
      </c>
      <c r="J59">
        <f t="shared" ca="1" si="9"/>
        <v>0</v>
      </c>
      <c r="K59">
        <f t="shared" ca="1" si="10"/>
        <v>0</v>
      </c>
      <c r="L59">
        <f t="shared" ca="1" si="3"/>
        <v>0</v>
      </c>
      <c r="M59" t="str">
        <f t="shared" ca="1" si="11"/>
        <v>na</v>
      </c>
      <c r="N59" t="str">
        <f t="shared" ca="1" si="12"/>
        <v>na</v>
      </c>
      <c r="S59">
        <f t="shared" ca="1" si="13"/>
        <v>1764.866815030354</v>
      </c>
      <c r="T59" cm="1">
        <f t="array" aca="1" ref="T59" ca="1">_xlfn.IFS((S59-S58)&gt;0.1,"Win",(S59-S58)&lt;-0.1,"Loss",S59=S58,0)</f>
        <v>0</v>
      </c>
    </row>
    <row r="60" spans="1:35" x14ac:dyDescent="0.2">
      <c r="A60" vm="126">
        <f ca="1"/>
        <v>44333</v>
      </c>
      <c r="B60" vm="127">
        <f ca="1"/>
        <v>42.74</v>
      </c>
      <c r="C60">
        <f t="shared" ca="1" si="0"/>
        <v>0.38000000000000256</v>
      </c>
      <c r="D60">
        <f t="shared" ca="1" si="1"/>
        <v>0.38000000000000256</v>
      </c>
      <c r="E60">
        <f t="shared" ca="1" si="2"/>
        <v>0</v>
      </c>
      <c r="F60">
        <f t="shared" ca="1" si="4"/>
        <v>0.31283020623819363</v>
      </c>
      <c r="G60">
        <f t="shared" ca="1" si="5"/>
        <v>0.14542802689127063</v>
      </c>
      <c r="H60">
        <f t="shared" ca="1" si="6"/>
        <v>2.1510998459195307</v>
      </c>
      <c r="I60">
        <f t="shared" ca="1" si="7"/>
        <v>68.265048748139961</v>
      </c>
      <c r="J60">
        <f t="shared" ca="1" si="9"/>
        <v>0</v>
      </c>
      <c r="K60">
        <f t="shared" ca="1" si="10"/>
        <v>0</v>
      </c>
      <c r="L60">
        <f t="shared" ca="1" si="3"/>
        <v>0</v>
      </c>
      <c r="M60" t="str">
        <f t="shared" ca="1" si="11"/>
        <v>na</v>
      </c>
      <c r="N60" t="str">
        <f t="shared" ca="1" si="12"/>
        <v>na</v>
      </c>
      <c r="S60">
        <f t="shared" ca="1" si="13"/>
        <v>1764.866815030354</v>
      </c>
      <c r="T60" cm="1">
        <f t="array" aca="1" ref="T60" ca="1">_xlfn.IFS((S60-S59)&gt;0.1,"Win",(S60-S59)&lt;-0.1,"Loss",S60=S59,0)</f>
        <v>0</v>
      </c>
    </row>
    <row r="61" spans="1:35" x14ac:dyDescent="0.2">
      <c r="A61" vm="128">
        <f ca="1"/>
        <v>44334</v>
      </c>
      <c r="B61" vm="129">
        <f ca="1"/>
        <v>42.16</v>
      </c>
      <c r="C61">
        <f t="shared" ca="1" si="0"/>
        <v>-0.5800000000000054</v>
      </c>
      <c r="D61">
        <f t="shared" ca="1" si="1"/>
        <v>0</v>
      </c>
      <c r="E61">
        <f t="shared" ca="1" si="2"/>
        <v>0.5800000000000054</v>
      </c>
      <c r="F61">
        <f t="shared" ca="1" si="4"/>
        <v>0.29048519150689411</v>
      </c>
      <c r="G61">
        <f t="shared" ca="1" si="5"/>
        <v>0.17646888211332312</v>
      </c>
      <c r="H61">
        <f t="shared" ca="1" si="6"/>
        <v>1.64609866639464</v>
      </c>
      <c r="I61">
        <f t="shared" ca="1" si="7"/>
        <v>62.208514266683828</v>
      </c>
      <c r="J61">
        <f t="shared" ca="1" si="9"/>
        <v>0</v>
      </c>
      <c r="K61">
        <f t="shared" ca="1" si="10"/>
        <v>0</v>
      </c>
      <c r="L61">
        <f t="shared" ca="1" si="3"/>
        <v>0</v>
      </c>
      <c r="M61" t="str">
        <f t="shared" ca="1" si="11"/>
        <v>na</v>
      </c>
      <c r="N61" t="str">
        <f t="shared" ca="1" si="12"/>
        <v>na</v>
      </c>
      <c r="S61">
        <f t="shared" ca="1" si="13"/>
        <v>1764.866815030354</v>
      </c>
      <c r="T61" cm="1">
        <f t="array" aca="1" ref="T61" ca="1">_xlfn.IFS((S61-S60)&gt;0.1,"Win",(S61-S60)&lt;-0.1,"Loss",S61=S60,0)</f>
        <v>0</v>
      </c>
    </row>
    <row r="62" spans="1:35" x14ac:dyDescent="0.2">
      <c r="A62" vm="130">
        <f ca="1"/>
        <v>44335</v>
      </c>
      <c r="B62" vm="131">
        <f ca="1"/>
        <v>41.97</v>
      </c>
      <c r="C62">
        <f t="shared" ca="1" si="0"/>
        <v>-0.18999999999999773</v>
      </c>
      <c r="D62">
        <f t="shared" ca="1" si="1"/>
        <v>0</v>
      </c>
      <c r="E62">
        <f t="shared" ca="1" si="2"/>
        <v>0.18999999999999773</v>
      </c>
      <c r="F62">
        <f t="shared" ca="1" si="4"/>
        <v>0.26973624925640166</v>
      </c>
      <c r="G62">
        <f t="shared" ca="1" si="5"/>
        <v>0.17743539053379989</v>
      </c>
      <c r="H62">
        <f t="shared" ca="1" si="6"/>
        <v>1.5201941869934863</v>
      </c>
      <c r="I62">
        <f t="shared" ca="1" si="7"/>
        <v>60.320517952111899</v>
      </c>
      <c r="J62">
        <f t="shared" ca="1" si="9"/>
        <v>0</v>
      </c>
      <c r="K62">
        <f t="shared" ca="1" si="10"/>
        <v>0</v>
      </c>
      <c r="L62">
        <f t="shared" ca="1" si="3"/>
        <v>0</v>
      </c>
      <c r="M62" t="str">
        <f t="shared" ca="1" si="11"/>
        <v>na</v>
      </c>
      <c r="N62" t="str">
        <f t="shared" ca="1" si="12"/>
        <v>na</v>
      </c>
      <c r="S62">
        <f t="shared" ca="1" si="13"/>
        <v>1764.866815030354</v>
      </c>
      <c r="T62" cm="1">
        <f t="array" aca="1" ref="T62" ca="1">_xlfn.IFS((S62-S61)&gt;0.1,"Win",(S62-S61)&lt;-0.1,"Loss",S62=S61,0)</f>
        <v>0</v>
      </c>
    </row>
    <row r="63" spans="1:35" x14ac:dyDescent="0.2">
      <c r="A63" vm="132">
        <f ca="1"/>
        <v>44336</v>
      </c>
      <c r="B63" vm="133">
        <f ca="1"/>
        <v>41.87</v>
      </c>
      <c r="C63">
        <f t="shared" ca="1" si="0"/>
        <v>-0.10000000000000142</v>
      </c>
      <c r="D63">
        <f t="shared" ca="1" si="1"/>
        <v>0</v>
      </c>
      <c r="E63">
        <f t="shared" ca="1" si="2"/>
        <v>0.10000000000000142</v>
      </c>
      <c r="F63">
        <f t="shared" ca="1" si="4"/>
        <v>0.25046937430951582</v>
      </c>
      <c r="G63">
        <f t="shared" ca="1" si="5"/>
        <v>0.17190429120995715</v>
      </c>
      <c r="H63">
        <f t="shared" ca="1" si="6"/>
        <v>1.4570280505889313</v>
      </c>
      <c r="I63">
        <f t="shared" ca="1" si="7"/>
        <v>59.30042395078447</v>
      </c>
      <c r="J63">
        <f t="shared" ca="1" si="9"/>
        <v>0</v>
      </c>
      <c r="K63">
        <f t="shared" ca="1" si="10"/>
        <v>0</v>
      </c>
      <c r="L63">
        <f t="shared" ca="1" si="3"/>
        <v>0</v>
      </c>
      <c r="M63" t="str">
        <f t="shared" ca="1" si="11"/>
        <v>na</v>
      </c>
      <c r="N63" t="str">
        <f t="shared" ca="1" si="12"/>
        <v>na</v>
      </c>
      <c r="Q63" s="2"/>
      <c r="R63" s="2"/>
      <c r="S63" s="2">
        <f t="shared" ca="1" si="13"/>
        <v>1764.866815030354</v>
      </c>
      <c r="T63" cm="1">
        <f t="array" aca="1" ref="T63" ca="1">_xlfn.IFS((S63-S62)&gt;0.1,"Win",(S63-S62)&lt;-0.1,"Loss",S63=S62,0)</f>
        <v>0</v>
      </c>
    </row>
    <row r="64" spans="1:35" x14ac:dyDescent="0.2">
      <c r="A64" vm="134">
        <f ca="1"/>
        <v>44337</v>
      </c>
      <c r="B64" vm="135">
        <f ca="1"/>
        <v>42.4</v>
      </c>
      <c r="C64">
        <f t="shared" ca="1" si="0"/>
        <v>0.53000000000000114</v>
      </c>
      <c r="D64">
        <f t="shared" ca="1" si="1"/>
        <v>0.53000000000000114</v>
      </c>
      <c r="E64">
        <f t="shared" ca="1" si="2"/>
        <v>0</v>
      </c>
      <c r="F64">
        <f t="shared" ca="1" si="4"/>
        <v>0.27043584757312195</v>
      </c>
      <c r="G64">
        <f t="shared" ca="1" si="5"/>
        <v>0.15962541326638879</v>
      </c>
      <c r="H64">
        <f t="shared" ca="1" si="6"/>
        <v>1.6941904302030442</v>
      </c>
      <c r="I64">
        <f t="shared" ca="1" si="7"/>
        <v>62.883098804391629</v>
      </c>
      <c r="J64">
        <f t="shared" ca="1" si="9"/>
        <v>0</v>
      </c>
      <c r="K64">
        <f t="shared" ca="1" si="10"/>
        <v>0</v>
      </c>
      <c r="L64">
        <f t="shared" ca="1" si="3"/>
        <v>0</v>
      </c>
      <c r="M64" t="str">
        <f t="shared" ca="1" si="11"/>
        <v>na</v>
      </c>
      <c r="N64" t="str">
        <f t="shared" ca="1" si="12"/>
        <v>na</v>
      </c>
    </row>
    <row r="65" spans="1:14" x14ac:dyDescent="0.2">
      <c r="A65" vm="136">
        <f ca="1"/>
        <v>44340</v>
      </c>
      <c r="B65" vm="137">
        <f ca="1"/>
        <v>42.63</v>
      </c>
      <c r="C65">
        <f t="shared" ca="1" si="0"/>
        <v>0.23000000000000398</v>
      </c>
      <c r="D65">
        <f t="shared" ca="1" si="1"/>
        <v>0.23000000000000398</v>
      </c>
      <c r="E65">
        <f t="shared" ca="1" si="2"/>
        <v>0</v>
      </c>
      <c r="F65">
        <f t="shared" ca="1" si="4"/>
        <v>0.26754757274647067</v>
      </c>
      <c r="G65">
        <f t="shared" ca="1" si="5"/>
        <v>0.1482235980330753</v>
      </c>
      <c r="H65">
        <f t="shared" ca="1" si="6"/>
        <v>1.8050268398340248</v>
      </c>
      <c r="I65">
        <f t="shared" ca="1" si="7"/>
        <v>64.349717236246818</v>
      </c>
      <c r="J65">
        <f t="shared" ca="1" si="9"/>
        <v>0</v>
      </c>
      <c r="K65">
        <f t="shared" ca="1" si="10"/>
        <v>0</v>
      </c>
      <c r="L65">
        <f t="shared" ca="1" si="3"/>
        <v>0</v>
      </c>
      <c r="M65" t="str">
        <f t="shared" ca="1" si="11"/>
        <v>na</v>
      </c>
      <c r="N65" t="str">
        <f t="shared" ca="1" si="12"/>
        <v>na</v>
      </c>
    </row>
    <row r="66" spans="1:14" x14ac:dyDescent="0.2">
      <c r="A66" vm="138">
        <f ca="1"/>
        <v>44341</v>
      </c>
      <c r="B66" vm="113">
        <f ca="1"/>
        <v>42.01</v>
      </c>
      <c r="C66">
        <f t="shared" ca="1" si="0"/>
        <v>-0.62000000000000455</v>
      </c>
      <c r="D66">
        <f t="shared" ca="1" si="1"/>
        <v>0</v>
      </c>
      <c r="E66">
        <f t="shared" ca="1" si="2"/>
        <v>0.62000000000000455</v>
      </c>
      <c r="F66">
        <f t="shared" ca="1" si="4"/>
        <v>0.24843703183600849</v>
      </c>
      <c r="G66">
        <f t="shared" ca="1" si="5"/>
        <v>0.18192191245928455</v>
      </c>
      <c r="H66">
        <f t="shared" ca="1" si="6"/>
        <v>1.3656245609863547</v>
      </c>
      <c r="I66">
        <f t="shared" ca="1" si="7"/>
        <v>57.727865338739683</v>
      </c>
      <c r="J66">
        <f t="shared" ca="1" si="9"/>
        <v>0</v>
      </c>
      <c r="K66">
        <f t="shared" ca="1" si="10"/>
        <v>0</v>
      </c>
      <c r="L66">
        <f t="shared" ca="1" si="3"/>
        <v>0</v>
      </c>
      <c r="M66" t="str">
        <f t="shared" ca="1" si="11"/>
        <v>na</v>
      </c>
      <c r="N66" t="str">
        <f t="shared" ca="1" si="12"/>
        <v>na</v>
      </c>
    </row>
    <row r="67" spans="1:14" x14ac:dyDescent="0.2">
      <c r="A67" vm="139">
        <f ca="1"/>
        <v>44342</v>
      </c>
      <c r="B67" vm="140">
        <f ca="1"/>
        <v>42.04</v>
      </c>
      <c r="C67">
        <f t="shared" ca="1" si="0"/>
        <v>3.0000000000001137E-2</v>
      </c>
      <c r="D67">
        <f t="shared" ca="1" si="1"/>
        <v>3.0000000000001137E-2</v>
      </c>
      <c r="E67">
        <f t="shared" ca="1" si="2"/>
        <v>0</v>
      </c>
      <c r="F67">
        <f t="shared" ca="1" si="4"/>
        <v>0.23283438670486509</v>
      </c>
      <c r="G67">
        <f t="shared" ca="1" si="5"/>
        <v>0.16892749014076422</v>
      </c>
      <c r="H67">
        <f t="shared" ca="1" si="6"/>
        <v>1.3783096316108669</v>
      </c>
      <c r="I67">
        <f t="shared" ca="1" si="7"/>
        <v>57.953330100139901</v>
      </c>
      <c r="J67">
        <f t="shared" ca="1" si="9"/>
        <v>0</v>
      </c>
      <c r="K67">
        <f t="shared" ca="1" si="10"/>
        <v>0</v>
      </c>
      <c r="L67">
        <f t="shared" ca="1" si="3"/>
        <v>0</v>
      </c>
      <c r="M67" t="str">
        <f t="shared" ca="1" si="11"/>
        <v>na</v>
      </c>
      <c r="N67" t="str">
        <f t="shared" ca="1" si="12"/>
        <v>na</v>
      </c>
    </row>
    <row r="68" spans="1:14" x14ac:dyDescent="0.2">
      <c r="A68" vm="141">
        <f ca="1"/>
        <v>44343</v>
      </c>
      <c r="B68" vm="142">
        <f ca="1"/>
        <v>42.55</v>
      </c>
      <c r="C68">
        <f t="shared" ca="1" si="0"/>
        <v>0.50999999999999801</v>
      </c>
      <c r="D68">
        <f t="shared" ca="1" si="1"/>
        <v>0.50999999999999801</v>
      </c>
      <c r="E68">
        <f t="shared" ca="1" si="2"/>
        <v>0</v>
      </c>
      <c r="F68">
        <f t="shared" ca="1" si="4"/>
        <v>0.25263193051166027</v>
      </c>
      <c r="G68">
        <f t="shared" ca="1" si="5"/>
        <v>0.15686124084499536</v>
      </c>
      <c r="H68">
        <f t="shared" ca="1" si="6"/>
        <v>1.610544001505777</v>
      </c>
      <c r="I68">
        <f t="shared" ca="1" si="7"/>
        <v>61.693807902751523</v>
      </c>
      <c r="J68">
        <f t="shared" ca="1" si="9"/>
        <v>0</v>
      </c>
      <c r="K68">
        <f t="shared" ca="1" si="10"/>
        <v>0</v>
      </c>
      <c r="L68">
        <f t="shared" ca="1" si="3"/>
        <v>0</v>
      </c>
      <c r="M68" t="str">
        <f t="shared" ca="1" si="11"/>
        <v>na</v>
      </c>
      <c r="N68" t="str">
        <f t="shared" ca="1" si="12"/>
        <v>na</v>
      </c>
    </row>
    <row r="69" spans="1:14" x14ac:dyDescent="0.2">
      <c r="A69" vm="143">
        <f ca="1"/>
        <v>44344</v>
      </c>
      <c r="B69" vm="144">
        <f ca="1"/>
        <v>42.39</v>
      </c>
      <c r="C69">
        <f t="shared" ca="1" si="0"/>
        <v>-0.15999999999999659</v>
      </c>
      <c r="D69">
        <f t="shared" ca="1" si="1"/>
        <v>0</v>
      </c>
      <c r="E69">
        <f t="shared" ca="1" si="2"/>
        <v>0.15999999999999659</v>
      </c>
      <c r="F69">
        <f t="shared" ca="1" si="4"/>
        <v>0.23458679261797027</v>
      </c>
      <c r="G69">
        <f t="shared" ca="1" si="5"/>
        <v>0.15708543792749546</v>
      </c>
      <c r="H69">
        <f t="shared" ca="1" si="6"/>
        <v>1.4933707141348547</v>
      </c>
      <c r="I69">
        <f t="shared" ca="1" si="7"/>
        <v>59.893649414785152</v>
      </c>
      <c r="J69">
        <f t="shared" ca="1" si="9"/>
        <v>0</v>
      </c>
      <c r="K69">
        <f t="shared" ca="1" si="10"/>
        <v>0</v>
      </c>
      <c r="L69">
        <f t="shared" ca="1" si="3"/>
        <v>0</v>
      </c>
      <c r="M69" t="str">
        <f t="shared" ca="1" si="11"/>
        <v>na</v>
      </c>
      <c r="N69" t="str">
        <f t="shared" ca="1" si="12"/>
        <v>na</v>
      </c>
    </row>
    <row r="70" spans="1:14" x14ac:dyDescent="0.2">
      <c r="A70" vm="145">
        <f ca="1"/>
        <v>44348</v>
      </c>
      <c r="B70" vm="146">
        <f ca="1"/>
        <v>42.92</v>
      </c>
      <c r="C70">
        <f t="shared" ca="1" si="0"/>
        <v>0.53000000000000114</v>
      </c>
      <c r="D70">
        <f t="shared" ca="1" si="1"/>
        <v>0.53000000000000114</v>
      </c>
      <c r="E70">
        <f t="shared" ca="1" si="2"/>
        <v>0</v>
      </c>
      <c r="F70">
        <f t="shared" ca="1" si="4"/>
        <v>0.25568773600240108</v>
      </c>
      <c r="G70">
        <f t="shared" ca="1" si="5"/>
        <v>0.14586504950410292</v>
      </c>
      <c r="H70">
        <f t="shared" ca="1" si="6"/>
        <v>1.7529061065118896</v>
      </c>
      <c r="I70">
        <f t="shared" ca="1" si="7"/>
        <v>63.674750924685007</v>
      </c>
      <c r="J70">
        <f t="shared" ca="1" si="9"/>
        <v>0</v>
      </c>
      <c r="K70">
        <f t="shared" ca="1" si="10"/>
        <v>0</v>
      </c>
      <c r="L70">
        <f t="shared" ca="1" si="3"/>
        <v>0</v>
      </c>
      <c r="M70" t="str">
        <f t="shared" ca="1" si="11"/>
        <v>na</v>
      </c>
      <c r="N70" t="str">
        <f t="shared" ca="1" si="12"/>
        <v>na</v>
      </c>
    </row>
    <row r="71" spans="1:14" x14ac:dyDescent="0.2">
      <c r="A71" vm="147">
        <f ca="1"/>
        <v>44349</v>
      </c>
      <c r="B71" vm="148">
        <f ca="1"/>
        <v>42.94</v>
      </c>
      <c r="C71">
        <f t="shared" ca="1" si="0"/>
        <v>1.9999999999996021E-2</v>
      </c>
      <c r="D71">
        <f t="shared" ca="1" si="1"/>
        <v>1.9999999999996021E-2</v>
      </c>
      <c r="E71">
        <f t="shared" ca="1" si="2"/>
        <v>0</v>
      </c>
      <c r="F71">
        <f t="shared" ca="1" si="4"/>
        <v>0.23885289771651499</v>
      </c>
      <c r="G71">
        <f t="shared" ca="1" si="5"/>
        <v>0.13544611739666698</v>
      </c>
      <c r="H71">
        <f t="shared" ca="1" si="6"/>
        <v>1.763453263241288</v>
      </c>
      <c r="I71">
        <f t="shared" ca="1" si="7"/>
        <v>63.813391986695379</v>
      </c>
      <c r="J71">
        <f t="shared" ca="1" si="9"/>
        <v>0</v>
      </c>
      <c r="K71">
        <f t="shared" ca="1" si="10"/>
        <v>0</v>
      </c>
      <c r="L71">
        <f t="shared" ca="1" si="3"/>
        <v>0</v>
      </c>
      <c r="M71" t="str">
        <f t="shared" ca="1" si="11"/>
        <v>na</v>
      </c>
      <c r="N71" t="str">
        <f t="shared" ca="1" si="12"/>
        <v>na</v>
      </c>
    </row>
    <row r="72" spans="1:14" x14ac:dyDescent="0.2">
      <c r="A72" vm="149">
        <f ca="1"/>
        <v>44350</v>
      </c>
      <c r="B72" vm="150">
        <f ca="1"/>
        <v>43.25</v>
      </c>
      <c r="C72">
        <f t="shared" ca="1" si="0"/>
        <v>0.31000000000000227</v>
      </c>
      <c r="D72">
        <f t="shared" ca="1" si="1"/>
        <v>0.31000000000000227</v>
      </c>
      <c r="E72">
        <f t="shared" ca="1" si="2"/>
        <v>0</v>
      </c>
      <c r="F72">
        <f t="shared" ca="1" si="4"/>
        <v>0.24393483359390694</v>
      </c>
      <c r="G72">
        <f t="shared" ca="1" si="5"/>
        <v>0.12577139472547647</v>
      </c>
      <c r="H72">
        <f t="shared" ca="1" si="6"/>
        <v>1.9395096486474368</v>
      </c>
      <c r="I72">
        <f t="shared" ca="1" si="7"/>
        <v>65.980720612360216</v>
      </c>
      <c r="J72">
        <f t="shared" ca="1" si="9"/>
        <v>0</v>
      </c>
      <c r="K72">
        <f t="shared" ca="1" si="10"/>
        <v>0</v>
      </c>
      <c r="L72">
        <f t="shared" ca="1" si="3"/>
        <v>0</v>
      </c>
      <c r="M72" t="str">
        <f t="shared" ca="1" si="11"/>
        <v>na</v>
      </c>
      <c r="N72" t="str">
        <f t="shared" ca="1" si="12"/>
        <v>na</v>
      </c>
    </row>
    <row r="73" spans="1:14" x14ac:dyDescent="0.2">
      <c r="A73" vm="151">
        <f ca="1"/>
        <v>44351</v>
      </c>
      <c r="B73" vm="152">
        <f ca="1"/>
        <v>43.27</v>
      </c>
      <c r="C73">
        <f t="shared" ref="C73:C136" ca="1" si="30">B73-B72</f>
        <v>2.0000000000003126E-2</v>
      </c>
      <c r="D73">
        <f t="shared" ref="D73:D136" ca="1" si="31">IF(C73&gt;0,C73,0)</f>
        <v>2.0000000000003126E-2</v>
      </c>
      <c r="E73">
        <f t="shared" ref="E73:E136" ca="1" si="32">IF(C73&lt;0,ABS(C73),0)</f>
        <v>0</v>
      </c>
      <c r="F73">
        <f t="shared" ca="1" si="4"/>
        <v>0.22793948833719951</v>
      </c>
      <c r="G73">
        <f t="shared" ca="1" si="5"/>
        <v>0.11678772367365672</v>
      </c>
      <c r="H73">
        <f t="shared" ca="1" si="6"/>
        <v>1.9517418540850864</v>
      </c>
      <c r="I73">
        <f t="shared" ca="1" si="7"/>
        <v>66.121698663585974</v>
      </c>
      <c r="J73">
        <f t="shared" ca="1" si="9"/>
        <v>0</v>
      </c>
      <c r="K73">
        <f t="shared" ca="1" si="10"/>
        <v>0</v>
      </c>
      <c r="L73">
        <f t="shared" ca="1" si="3"/>
        <v>0</v>
      </c>
      <c r="M73" t="str">
        <f t="shared" ca="1" si="11"/>
        <v>na</v>
      </c>
      <c r="N73" t="str">
        <f t="shared" ca="1" si="12"/>
        <v>na</v>
      </c>
    </row>
    <row r="74" spans="1:14" x14ac:dyDescent="0.2">
      <c r="A74" vm="153">
        <f ca="1"/>
        <v>44354</v>
      </c>
      <c r="B74" vm="154">
        <f ca="1"/>
        <v>43.12</v>
      </c>
      <c r="C74">
        <f t="shared" ca="1" si="30"/>
        <v>-0.15000000000000568</v>
      </c>
      <c r="D74">
        <f t="shared" ca="1" si="31"/>
        <v>0</v>
      </c>
      <c r="E74">
        <f t="shared" ca="1" si="32"/>
        <v>0.15000000000000568</v>
      </c>
      <c r="F74">
        <f t="shared" ca="1" si="4"/>
        <v>0.21165809631311383</v>
      </c>
      <c r="G74">
        <f t="shared" ca="1" si="5"/>
        <v>0.11916002912553879</v>
      </c>
      <c r="H74">
        <f t="shared" ca="1" si="6"/>
        <v>1.7762507937130954</v>
      </c>
      <c r="I74">
        <f t="shared" ca="1" si="7"/>
        <v>63.980199401850491</v>
      </c>
      <c r="J74">
        <f t="shared" ca="1" si="9"/>
        <v>0</v>
      </c>
      <c r="K74">
        <f t="shared" ca="1" si="10"/>
        <v>0</v>
      </c>
      <c r="L74">
        <f t="shared" ca="1" si="3"/>
        <v>0</v>
      </c>
      <c r="M74" t="str">
        <f t="shared" ca="1" si="11"/>
        <v>na</v>
      </c>
      <c r="N74" t="str">
        <f t="shared" ca="1" si="12"/>
        <v>na</v>
      </c>
    </row>
    <row r="75" spans="1:14" x14ac:dyDescent="0.2">
      <c r="A75" vm="155">
        <f ca="1"/>
        <v>44355</v>
      </c>
      <c r="B75" vm="156">
        <f ca="1"/>
        <v>42.88</v>
      </c>
      <c r="C75">
        <f t="shared" ca="1" si="30"/>
        <v>-0.23999999999999488</v>
      </c>
      <c r="D75">
        <f t="shared" ca="1" si="31"/>
        <v>0</v>
      </c>
      <c r="E75">
        <f t="shared" ca="1" si="32"/>
        <v>0.23999999999999488</v>
      </c>
      <c r="F75">
        <f t="shared" ca="1" si="4"/>
        <v>0.19653966086217714</v>
      </c>
      <c r="G75">
        <f t="shared" ca="1" si="5"/>
        <v>0.12779145561657138</v>
      </c>
      <c r="H75">
        <f t="shared" ca="1" si="6"/>
        <v>1.5379718457224525</v>
      </c>
      <c r="I75">
        <f t="shared" ca="1" si="7"/>
        <v>60.598459684041828</v>
      </c>
      <c r="J75">
        <f t="shared" ca="1" si="9"/>
        <v>0</v>
      </c>
      <c r="K75">
        <f t="shared" ca="1" si="10"/>
        <v>0</v>
      </c>
      <c r="L75">
        <f t="shared" ca="1" si="3"/>
        <v>0</v>
      </c>
      <c r="M75" t="str">
        <f t="shared" ca="1" si="11"/>
        <v>na</v>
      </c>
      <c r="N75" t="str">
        <f t="shared" ca="1" si="12"/>
        <v>na</v>
      </c>
    </row>
    <row r="76" spans="1:14" x14ac:dyDescent="0.2">
      <c r="A76" vm="157">
        <f ca="1"/>
        <v>44356</v>
      </c>
      <c r="B76" vm="158">
        <f ca="1"/>
        <v>42.32</v>
      </c>
      <c r="C76">
        <f t="shared" ca="1" si="30"/>
        <v>-0.56000000000000227</v>
      </c>
      <c r="D76">
        <f t="shared" ca="1" si="31"/>
        <v>0</v>
      </c>
      <c r="E76">
        <f t="shared" ca="1" si="32"/>
        <v>0.56000000000000227</v>
      </c>
      <c r="F76">
        <f t="shared" ca="1" si="4"/>
        <v>0.18250111365773591</v>
      </c>
      <c r="G76">
        <f t="shared" ca="1" si="5"/>
        <v>0.15866349450110215</v>
      </c>
      <c r="H76">
        <f t="shared" ca="1" si="6"/>
        <v>1.1502400992212369</v>
      </c>
      <c r="I76">
        <f t="shared" ca="1" si="7"/>
        <v>53.493565655194736</v>
      </c>
      <c r="J76">
        <f t="shared" ca="1" si="9"/>
        <v>0</v>
      </c>
      <c r="K76">
        <f t="shared" ca="1" si="10"/>
        <v>0</v>
      </c>
      <c r="L76">
        <f t="shared" ca="1" si="3"/>
        <v>0</v>
      </c>
      <c r="M76" t="str">
        <f t="shared" ca="1" si="11"/>
        <v>na</v>
      </c>
      <c r="N76" t="str">
        <f t="shared" ca="1" si="12"/>
        <v>na</v>
      </c>
    </row>
    <row r="77" spans="1:14" x14ac:dyDescent="0.2">
      <c r="A77" vm="159">
        <f ca="1"/>
        <v>44357</v>
      </c>
      <c r="B77" vm="160">
        <f ca="1"/>
        <v>41.69</v>
      </c>
      <c r="C77">
        <f t="shared" ca="1" si="30"/>
        <v>-0.63000000000000256</v>
      </c>
      <c r="D77">
        <f t="shared" ca="1" si="31"/>
        <v>0</v>
      </c>
      <c r="E77">
        <f t="shared" ca="1" si="32"/>
        <v>0.63000000000000256</v>
      </c>
      <c r="F77">
        <f t="shared" ca="1" si="4"/>
        <v>0.16946531982504048</v>
      </c>
      <c r="G77">
        <f t="shared" ca="1" si="5"/>
        <v>0.1923303877510236</v>
      </c>
      <c r="H77">
        <f t="shared" ca="1" si="6"/>
        <v>0.88111567707344041</v>
      </c>
      <c r="I77">
        <f t="shared" ca="1" si="7"/>
        <v>46.840058153374308</v>
      </c>
      <c r="J77">
        <f t="shared" ca="1" si="9"/>
        <v>0</v>
      </c>
      <c r="K77">
        <f t="shared" ca="1" si="10"/>
        <v>0</v>
      </c>
      <c r="L77">
        <f t="shared" ca="1" si="3"/>
        <v>0</v>
      </c>
      <c r="M77" t="str">
        <f t="shared" ca="1" si="11"/>
        <v>na</v>
      </c>
      <c r="N77" t="str">
        <f t="shared" ca="1" si="12"/>
        <v>na</v>
      </c>
    </row>
    <row r="78" spans="1:14" x14ac:dyDescent="0.2">
      <c r="A78" vm="161">
        <f ca="1"/>
        <v>44358</v>
      </c>
      <c r="B78" vm="162">
        <f ca="1"/>
        <v>41.86</v>
      </c>
      <c r="C78">
        <f t="shared" ca="1" si="30"/>
        <v>0.17000000000000171</v>
      </c>
      <c r="D78">
        <f t="shared" ca="1" si="31"/>
        <v>0.17000000000000171</v>
      </c>
      <c r="E78">
        <f t="shared" ca="1" si="32"/>
        <v>0</v>
      </c>
      <c r="F78">
        <f t="shared" ca="1" si="4"/>
        <v>0.16950351126610916</v>
      </c>
      <c r="G78">
        <f t="shared" ca="1" si="5"/>
        <v>0.17859250291166479</v>
      </c>
      <c r="H78">
        <f t="shared" ca="1" si="6"/>
        <v>0.9491076529116611</v>
      </c>
      <c r="I78">
        <f t="shared" ca="1" si="7"/>
        <v>48.694470594984487</v>
      </c>
      <c r="J78">
        <f t="shared" ca="1" si="9"/>
        <v>0</v>
      </c>
      <c r="K78">
        <f t="shared" ca="1" si="10"/>
        <v>0</v>
      </c>
      <c r="L78">
        <f t="shared" ca="1" si="3"/>
        <v>0</v>
      </c>
      <c r="M78" t="str">
        <f t="shared" ca="1" si="11"/>
        <v>na</v>
      </c>
      <c r="N78" t="str">
        <f t="shared" ca="1" si="12"/>
        <v>na</v>
      </c>
    </row>
    <row r="79" spans="1:14" x14ac:dyDescent="0.2">
      <c r="A79" vm="163">
        <f ca="1"/>
        <v>44361</v>
      </c>
      <c r="B79" vm="164">
        <f ca="1"/>
        <v>41.36</v>
      </c>
      <c r="C79">
        <f t="shared" ca="1" si="30"/>
        <v>-0.5</v>
      </c>
      <c r="D79">
        <f t="shared" ca="1" si="31"/>
        <v>0</v>
      </c>
      <c r="E79">
        <f t="shared" ca="1" si="32"/>
        <v>0.5</v>
      </c>
      <c r="F79">
        <f t="shared" ca="1" si="4"/>
        <v>0.15739611760424421</v>
      </c>
      <c r="G79">
        <f t="shared" ca="1" si="5"/>
        <v>0.20155018127511728</v>
      </c>
      <c r="H79">
        <f t="shared" ca="1" si="6"/>
        <v>0.78092769060523692</v>
      </c>
      <c r="I79">
        <f t="shared" ca="1" si="7"/>
        <v>43.849488933480707</v>
      </c>
      <c r="J79">
        <f t="shared" ca="1" si="9"/>
        <v>0</v>
      </c>
      <c r="K79">
        <f t="shared" ca="1" si="10"/>
        <v>0</v>
      </c>
      <c r="L79">
        <f t="shared" ca="1" si="3"/>
        <v>0</v>
      </c>
      <c r="M79" t="str">
        <f t="shared" ca="1" si="11"/>
        <v>na</v>
      </c>
      <c r="N79" t="str">
        <f t="shared" ca="1" si="12"/>
        <v>na</v>
      </c>
    </row>
    <row r="80" spans="1:14" x14ac:dyDescent="0.2">
      <c r="A80" vm="165">
        <f ca="1"/>
        <v>44362</v>
      </c>
      <c r="B80" vm="111">
        <f ca="1"/>
        <v>41.39</v>
      </c>
      <c r="C80">
        <f t="shared" ca="1" si="30"/>
        <v>3.0000000000001137E-2</v>
      </c>
      <c r="D80">
        <f t="shared" ca="1" si="31"/>
        <v>3.0000000000001137E-2</v>
      </c>
      <c r="E80">
        <f t="shared" ca="1" si="32"/>
        <v>0</v>
      </c>
      <c r="F80">
        <f t="shared" ca="1" si="4"/>
        <v>0.14829639491822683</v>
      </c>
      <c r="G80">
        <f t="shared" ca="1" si="5"/>
        <v>0.18715373975546606</v>
      </c>
      <c r="H80">
        <f t="shared" ca="1" si="6"/>
        <v>0.79237740646801924</v>
      </c>
      <c r="I80">
        <f t="shared" ca="1" si="7"/>
        <v>44.208178679815191</v>
      </c>
      <c r="J80">
        <f t="shared" ca="1" si="9"/>
        <v>0</v>
      </c>
      <c r="K80">
        <f t="shared" ca="1" si="10"/>
        <v>0</v>
      </c>
      <c r="L80">
        <f t="shared" ca="1" si="3"/>
        <v>0</v>
      </c>
      <c r="M80" t="str">
        <f t="shared" ca="1" si="11"/>
        <v>na</v>
      </c>
      <c r="N80" t="str">
        <f t="shared" ca="1" si="12"/>
        <v>na</v>
      </c>
    </row>
    <row r="81" spans="1:14" x14ac:dyDescent="0.2">
      <c r="A81" vm="166">
        <f ca="1"/>
        <v>44363</v>
      </c>
      <c r="B81" vm="167">
        <f ca="1"/>
        <v>41.62</v>
      </c>
      <c r="C81">
        <f t="shared" ca="1" si="30"/>
        <v>0.22999999999999687</v>
      </c>
      <c r="D81">
        <f t="shared" ca="1" si="31"/>
        <v>0.22999999999999687</v>
      </c>
      <c r="E81">
        <f t="shared" ca="1" si="32"/>
        <v>0</v>
      </c>
      <c r="F81">
        <f t="shared" ca="1" si="4"/>
        <v>0.15413236670978181</v>
      </c>
      <c r="G81">
        <f t="shared" ca="1" si="5"/>
        <v>0.17378561548721846</v>
      </c>
      <c r="H81">
        <f t="shared" ca="1" si="6"/>
        <v>0.88691095795047492</v>
      </c>
      <c r="I81">
        <f t="shared" ca="1" si="7"/>
        <v>47.003328599767094</v>
      </c>
      <c r="J81">
        <f t="shared" ca="1" si="9"/>
        <v>0</v>
      </c>
      <c r="K81">
        <f t="shared" ca="1" si="10"/>
        <v>0</v>
      </c>
      <c r="L81">
        <f t="shared" ca="1" si="3"/>
        <v>0</v>
      </c>
      <c r="M81" t="str">
        <f t="shared" ca="1" si="11"/>
        <v>na</v>
      </c>
      <c r="N81" t="str">
        <f t="shared" ca="1" si="12"/>
        <v>na</v>
      </c>
    </row>
    <row r="82" spans="1:14" x14ac:dyDescent="0.2">
      <c r="A82" vm="168">
        <f ca="1"/>
        <v>44364</v>
      </c>
      <c r="B82" vm="34">
        <f ca="1"/>
        <v>39.799999999999997</v>
      </c>
      <c r="C82">
        <f t="shared" ca="1" si="30"/>
        <v>-1.8200000000000003</v>
      </c>
      <c r="D82">
        <f t="shared" ca="1" si="31"/>
        <v>0</v>
      </c>
      <c r="E82">
        <f t="shared" ca="1" si="32"/>
        <v>1.8200000000000003</v>
      </c>
      <c r="F82">
        <f t="shared" ca="1" si="4"/>
        <v>0.1431229119447974</v>
      </c>
      <c r="G82">
        <f t="shared" ca="1" si="5"/>
        <v>0.29137235723813149</v>
      </c>
      <c r="H82">
        <f t="shared" ca="1" si="6"/>
        <v>0.49120278018627056</v>
      </c>
      <c r="I82">
        <f t="shared" ca="1" si="7"/>
        <v>32.940039189365848</v>
      </c>
      <c r="J82">
        <f t="shared" ca="1" si="9"/>
        <v>1</v>
      </c>
      <c r="K82">
        <f t="shared" ca="1" si="10"/>
        <v>1</v>
      </c>
      <c r="L82">
        <f t="shared" ca="1" si="3"/>
        <v>0</v>
      </c>
      <c r="M82" vm="34">
        <f t="shared" ca="1" si="11"/>
        <v>39.799999999999997</v>
      </c>
      <c r="N82" t="str">
        <f t="shared" ca="1" si="12"/>
        <v>na</v>
      </c>
    </row>
    <row r="83" spans="1:14" x14ac:dyDescent="0.2">
      <c r="A83" vm="169">
        <f ca="1"/>
        <v>44365</v>
      </c>
      <c r="B83" vm="170">
        <f ca="1"/>
        <v>38.78</v>
      </c>
      <c r="C83">
        <f t="shared" ca="1" si="30"/>
        <v>-1.019999999999996</v>
      </c>
      <c r="D83">
        <f t="shared" ca="1" si="31"/>
        <v>0</v>
      </c>
      <c r="E83">
        <f t="shared" ca="1" si="32"/>
        <v>1.019999999999996</v>
      </c>
      <c r="F83">
        <f t="shared" ca="1" si="4"/>
        <v>0.13289984680588329</v>
      </c>
      <c r="G83">
        <f t="shared" ca="1" si="5"/>
        <v>0.34341718886397893</v>
      </c>
      <c r="H83">
        <f t="shared" ca="1" si="6"/>
        <v>0.38699241364567344</v>
      </c>
      <c r="I83">
        <f t="shared" ca="1" si="7"/>
        <v>27.901552296776742</v>
      </c>
      <c r="J83">
        <f t="shared" ca="1" si="9"/>
        <v>1</v>
      </c>
      <c r="K83">
        <f t="shared" ca="1" si="10"/>
        <v>1</v>
      </c>
      <c r="L83">
        <f t="shared" ca="1" si="3"/>
        <v>0</v>
      </c>
      <c r="M83" t="str">
        <f t="shared" ca="1" si="11"/>
        <v>na</v>
      </c>
      <c r="N83" t="str">
        <f t="shared" ca="1" si="12"/>
        <v>na</v>
      </c>
    </row>
    <row r="84" spans="1:14" x14ac:dyDescent="0.2">
      <c r="A84" vm="171">
        <f ca="1"/>
        <v>44368</v>
      </c>
      <c r="B84" vm="172">
        <f ca="1"/>
        <v>39.75</v>
      </c>
      <c r="C84">
        <f t="shared" ca="1" si="30"/>
        <v>0.96999999999999886</v>
      </c>
      <c r="D84">
        <f t="shared" ca="1" si="31"/>
        <v>0.96999999999999886</v>
      </c>
      <c r="E84">
        <f t="shared" ca="1" si="32"/>
        <v>0</v>
      </c>
      <c r="F84">
        <f t="shared" ca="1" si="4"/>
        <v>0.19269271489117726</v>
      </c>
      <c r="G84">
        <f t="shared" ca="1" si="5"/>
        <v>0.31888738965940899</v>
      </c>
      <c r="H84">
        <f t="shared" ca="1" si="6"/>
        <v>0.60426570990149442</v>
      </c>
      <c r="I84">
        <f t="shared" ca="1" si="7"/>
        <v>37.666186229125202</v>
      </c>
      <c r="J84">
        <f t="shared" ca="1" si="9"/>
        <v>1</v>
      </c>
      <c r="K84">
        <f t="shared" ca="1" si="10"/>
        <v>1</v>
      </c>
      <c r="L84">
        <f t="shared" ca="1" si="3"/>
        <v>0</v>
      </c>
      <c r="M84" t="str">
        <f t="shared" ca="1" si="11"/>
        <v>na</v>
      </c>
      <c r="N84" t="str">
        <f t="shared" ca="1" si="12"/>
        <v>na</v>
      </c>
    </row>
    <row r="85" spans="1:14" x14ac:dyDescent="0.2">
      <c r="A85" vm="173">
        <f ca="1"/>
        <v>44369</v>
      </c>
      <c r="B85" vm="174">
        <f ca="1"/>
        <v>39.97</v>
      </c>
      <c r="C85">
        <f t="shared" ca="1" si="30"/>
        <v>0.21999999999999886</v>
      </c>
      <c r="D85">
        <f t="shared" ca="1" si="31"/>
        <v>0.21999999999999886</v>
      </c>
      <c r="E85">
        <f t="shared" ca="1" si="32"/>
        <v>0</v>
      </c>
      <c r="F85">
        <f t="shared" ca="1" si="4"/>
        <v>0.19464323525609309</v>
      </c>
      <c r="G85">
        <f t="shared" ca="1" si="5"/>
        <v>0.29610971896945121</v>
      </c>
      <c r="H85">
        <f t="shared" ca="1" si="6"/>
        <v>0.65733484173876056</v>
      </c>
      <c r="I85">
        <f t="shared" ca="1" si="7"/>
        <v>39.66216271958239</v>
      </c>
      <c r="J85">
        <f t="shared" ca="1" si="9"/>
        <v>1</v>
      </c>
      <c r="K85">
        <f t="shared" ca="1" si="10"/>
        <v>1</v>
      </c>
      <c r="L85">
        <f t="shared" ca="1" si="3"/>
        <v>0</v>
      </c>
      <c r="M85" t="str">
        <f t="shared" ca="1" si="11"/>
        <v>na</v>
      </c>
      <c r="N85" t="str">
        <f t="shared" ca="1" si="12"/>
        <v>na</v>
      </c>
    </row>
    <row r="86" spans="1:14" x14ac:dyDescent="0.2">
      <c r="A86" vm="175">
        <f ca="1"/>
        <v>44370</v>
      </c>
      <c r="B86" vm="176">
        <f ca="1"/>
        <v>40.200000000000003</v>
      </c>
      <c r="C86">
        <f t="shared" ca="1" si="30"/>
        <v>0.23000000000000398</v>
      </c>
      <c r="D86">
        <f t="shared" ca="1" si="31"/>
        <v>0.23000000000000398</v>
      </c>
      <c r="E86">
        <f t="shared" ca="1" si="32"/>
        <v>0</v>
      </c>
      <c r="F86">
        <f t="shared" ca="1" si="4"/>
        <v>0.19716871845208672</v>
      </c>
      <c r="G86">
        <f t="shared" ca="1" si="5"/>
        <v>0.27495902475734757</v>
      </c>
      <c r="H86">
        <f t="shared" ca="1" si="6"/>
        <v>0.71708400415694262</v>
      </c>
      <c r="I86">
        <f t="shared" ca="1" si="7"/>
        <v>41.761731075528715</v>
      </c>
      <c r="J86">
        <f t="shared" ca="1" si="9"/>
        <v>1</v>
      </c>
      <c r="K86">
        <f t="shared" ca="1" si="10"/>
        <v>0</v>
      </c>
      <c r="L86">
        <f t="shared" ref="L86:L149" ca="1" si="33">IF(I86&gt;$C$3,1,0)</f>
        <v>0</v>
      </c>
      <c r="M86" t="str">
        <f t="shared" ca="1" si="11"/>
        <v>na</v>
      </c>
      <c r="N86" t="str">
        <f t="shared" ca="1" si="12"/>
        <v>na</v>
      </c>
    </row>
    <row r="87" spans="1:14" x14ac:dyDescent="0.2">
      <c r="A87" vm="177">
        <f ca="1"/>
        <v>44371</v>
      </c>
      <c r="B87" vm="178">
        <f ca="1"/>
        <v>40.83</v>
      </c>
      <c r="C87">
        <f t="shared" ca="1" si="30"/>
        <v>0.62999999999999545</v>
      </c>
      <c r="D87">
        <f t="shared" ca="1" si="31"/>
        <v>0.62999999999999545</v>
      </c>
      <c r="E87">
        <f t="shared" ca="1" si="32"/>
        <v>0</v>
      </c>
      <c r="F87">
        <f t="shared" ref="F87:F150" ca="1" si="34">((F86*13)+D87)/14</f>
        <v>0.22808523856265164</v>
      </c>
      <c r="G87">
        <f t="shared" ref="G87:G150" ca="1" si="35">((G86*13)+E87)/14</f>
        <v>0.25531909441753703</v>
      </c>
      <c r="H87">
        <f t="shared" ref="H87:H150" ca="1" si="36">AVERAGE(F87/G87)</f>
        <v>0.89333404179184339</v>
      </c>
      <c r="I87">
        <f t="shared" ref="I87:I150" ca="1" si="37">IF(G87=0,100,100-(100/(1+H87)))</f>
        <v>47.18311835487814</v>
      </c>
      <c r="J87">
        <f t="shared" ca="1" si="9"/>
        <v>1</v>
      </c>
      <c r="K87">
        <f t="shared" ca="1" si="10"/>
        <v>0</v>
      </c>
      <c r="L87">
        <f t="shared" ca="1" si="33"/>
        <v>0</v>
      </c>
      <c r="M87" t="str">
        <f t="shared" ca="1" si="11"/>
        <v>na</v>
      </c>
      <c r="N87" t="str">
        <f t="shared" ca="1" si="12"/>
        <v>na</v>
      </c>
    </row>
    <row r="88" spans="1:14" x14ac:dyDescent="0.2">
      <c r="A88" vm="179">
        <f ca="1"/>
        <v>44372</v>
      </c>
      <c r="B88" vm="167">
        <f ca="1"/>
        <v>41.62</v>
      </c>
      <c r="C88">
        <f t="shared" ca="1" si="30"/>
        <v>0.78999999999999915</v>
      </c>
      <c r="D88">
        <f t="shared" ca="1" si="31"/>
        <v>0.78999999999999915</v>
      </c>
      <c r="E88">
        <f t="shared" ca="1" si="32"/>
        <v>0</v>
      </c>
      <c r="F88">
        <f t="shared" ca="1" si="34"/>
        <v>0.26822200723674788</v>
      </c>
      <c r="G88">
        <f t="shared" ca="1" si="35"/>
        <v>0.23708201624485584</v>
      </c>
      <c r="H88">
        <f t="shared" ca="1" si="36"/>
        <v>1.1313469131278646</v>
      </c>
      <c r="I88">
        <f t="shared" ca="1" si="37"/>
        <v>53.081312392619978</v>
      </c>
      <c r="J88">
        <f t="shared" ref="J88:J151" ca="1" si="38">IF(K88=1,1,IF(L88=1,0,IF(J87=1,1,0)))</f>
        <v>1</v>
      </c>
      <c r="K88">
        <f t="shared" ref="K88:K151" ca="1" si="39">IF(I88&lt;$B$3,1,0)</f>
        <v>0</v>
      </c>
      <c r="L88">
        <f t="shared" ca="1" si="33"/>
        <v>0</v>
      </c>
      <c r="M88" t="str">
        <f t="shared" ref="M88:M151" ca="1" si="40">IF(AND(K88=1,J87=0),B88,"na")</f>
        <v>na</v>
      </c>
      <c r="N88" t="str">
        <f t="shared" ref="N88:N151" ca="1" si="41">IF(AND(L88=1,J87=1),B88,"na")</f>
        <v>na</v>
      </c>
    </row>
    <row r="89" spans="1:14" x14ac:dyDescent="0.2">
      <c r="A89" vm="180">
        <f ca="1"/>
        <v>44375</v>
      </c>
      <c r="B89" vm="181">
        <f ca="1"/>
        <v>41.56</v>
      </c>
      <c r="C89">
        <f t="shared" ca="1" si="30"/>
        <v>-5.9999999999995168E-2</v>
      </c>
      <c r="D89">
        <f t="shared" ca="1" si="31"/>
        <v>0</v>
      </c>
      <c r="E89">
        <f t="shared" ca="1" si="32"/>
        <v>5.9999999999995168E-2</v>
      </c>
      <c r="F89">
        <f t="shared" ca="1" si="34"/>
        <v>0.24906329243412303</v>
      </c>
      <c r="G89">
        <f t="shared" ca="1" si="35"/>
        <v>0.22443330079879437</v>
      </c>
      <c r="H89">
        <f t="shared" ca="1" si="36"/>
        <v>1.1097430352254614</v>
      </c>
      <c r="I89">
        <f t="shared" ca="1" si="37"/>
        <v>52.60086260253334</v>
      </c>
      <c r="J89">
        <f t="shared" ca="1" si="38"/>
        <v>1</v>
      </c>
      <c r="K89">
        <f t="shared" ca="1" si="39"/>
        <v>0</v>
      </c>
      <c r="L89">
        <f t="shared" ca="1" si="33"/>
        <v>0</v>
      </c>
      <c r="M89" t="str">
        <f t="shared" ca="1" si="40"/>
        <v>na</v>
      </c>
      <c r="N89" t="str">
        <f t="shared" ca="1" si="41"/>
        <v>na</v>
      </c>
    </row>
    <row r="90" spans="1:14" x14ac:dyDescent="0.2">
      <c r="A90" vm="182">
        <f ca="1"/>
        <v>44376</v>
      </c>
      <c r="B90" vm="183">
        <f ca="1"/>
        <v>40.89</v>
      </c>
      <c r="C90">
        <f t="shared" ca="1" si="30"/>
        <v>-0.67000000000000171</v>
      </c>
      <c r="D90">
        <f t="shared" ca="1" si="31"/>
        <v>0</v>
      </c>
      <c r="E90">
        <f t="shared" ca="1" si="32"/>
        <v>0.67000000000000171</v>
      </c>
      <c r="F90">
        <f t="shared" ca="1" si="34"/>
        <v>0.2312730572602571</v>
      </c>
      <c r="G90">
        <f t="shared" ca="1" si="35"/>
        <v>0.25625949359888062</v>
      </c>
      <c r="H90">
        <f t="shared" ca="1" si="36"/>
        <v>0.90249556811450493</v>
      </c>
      <c r="I90">
        <f t="shared" ca="1" si="37"/>
        <v>47.437459684015764</v>
      </c>
      <c r="J90">
        <f t="shared" ca="1" si="38"/>
        <v>1</v>
      </c>
      <c r="K90">
        <f t="shared" ca="1" si="39"/>
        <v>0</v>
      </c>
      <c r="L90">
        <f t="shared" ca="1" si="33"/>
        <v>0</v>
      </c>
      <c r="M90" t="str">
        <f t="shared" ca="1" si="40"/>
        <v>na</v>
      </c>
      <c r="N90" t="str">
        <f t="shared" ca="1" si="41"/>
        <v>na</v>
      </c>
    </row>
    <row r="91" spans="1:14" x14ac:dyDescent="0.2">
      <c r="A91" vm="184">
        <f ca="1"/>
        <v>44377</v>
      </c>
      <c r="B91" vm="185">
        <f ca="1"/>
        <v>41.23</v>
      </c>
      <c r="C91">
        <f t="shared" ca="1" si="30"/>
        <v>0.33999999999999631</v>
      </c>
      <c r="D91">
        <f t="shared" ca="1" si="31"/>
        <v>0.33999999999999631</v>
      </c>
      <c r="E91">
        <f t="shared" ca="1" si="32"/>
        <v>0</v>
      </c>
      <c r="F91">
        <f t="shared" ca="1" si="34"/>
        <v>0.23903926745595275</v>
      </c>
      <c r="G91">
        <f t="shared" ca="1" si="35"/>
        <v>0.23795524405610344</v>
      </c>
      <c r="H91">
        <f t="shared" ca="1" si="36"/>
        <v>1.0045555768444998</v>
      </c>
      <c r="I91">
        <f t="shared" ca="1" si="37"/>
        <v>50.113630594659568</v>
      </c>
      <c r="J91">
        <f t="shared" ca="1" si="38"/>
        <v>1</v>
      </c>
      <c r="K91">
        <f t="shared" ca="1" si="39"/>
        <v>0</v>
      </c>
      <c r="L91">
        <f t="shared" ca="1" si="33"/>
        <v>0</v>
      </c>
      <c r="M91" t="str">
        <f t="shared" ca="1" si="40"/>
        <v>na</v>
      </c>
      <c r="N91" t="str">
        <f t="shared" ca="1" si="41"/>
        <v>na</v>
      </c>
    </row>
    <row r="92" spans="1:14" x14ac:dyDescent="0.2">
      <c r="A92" vm="186">
        <f ca="1"/>
        <v>44378</v>
      </c>
      <c r="B92" vm="187">
        <f ca="1"/>
        <v>41.54</v>
      </c>
      <c r="C92">
        <f t="shared" ca="1" si="30"/>
        <v>0.31000000000000227</v>
      </c>
      <c r="D92">
        <f t="shared" ca="1" si="31"/>
        <v>0.31000000000000227</v>
      </c>
      <c r="E92">
        <f t="shared" ca="1" si="32"/>
        <v>0</v>
      </c>
      <c r="F92">
        <f t="shared" ca="1" si="34"/>
        <v>0.24410789120909912</v>
      </c>
      <c r="G92">
        <f t="shared" ca="1" si="35"/>
        <v>0.22095844090923891</v>
      </c>
      <c r="H92">
        <f t="shared" ca="1" si="36"/>
        <v>1.1047683455974833</v>
      </c>
      <c r="I92">
        <f t="shared" ca="1" si="37"/>
        <v>52.488833172938619</v>
      </c>
      <c r="J92">
        <f t="shared" ca="1" si="38"/>
        <v>1</v>
      </c>
      <c r="K92">
        <f t="shared" ca="1" si="39"/>
        <v>0</v>
      </c>
      <c r="L92">
        <f t="shared" ca="1" si="33"/>
        <v>0</v>
      </c>
      <c r="M92" t="str">
        <f t="shared" ca="1" si="40"/>
        <v>na</v>
      </c>
      <c r="N92" t="str">
        <f t="shared" ca="1" si="41"/>
        <v>na</v>
      </c>
    </row>
    <row r="93" spans="1:14" x14ac:dyDescent="0.2">
      <c r="A93" vm="188">
        <f ca="1"/>
        <v>44379</v>
      </c>
      <c r="B93" vm="189">
        <f ca="1"/>
        <v>41.15</v>
      </c>
      <c r="C93">
        <f t="shared" ca="1" si="30"/>
        <v>-0.39000000000000057</v>
      </c>
      <c r="D93">
        <f t="shared" ca="1" si="31"/>
        <v>0</v>
      </c>
      <c r="E93">
        <f t="shared" ca="1" si="32"/>
        <v>0.39000000000000057</v>
      </c>
      <c r="F93">
        <f t="shared" ca="1" si="34"/>
        <v>0.22667161326559201</v>
      </c>
      <c r="G93">
        <f t="shared" ca="1" si="35"/>
        <v>0.23303283798715047</v>
      </c>
      <c r="H93">
        <f t="shared" ca="1" si="36"/>
        <v>0.97270245354043527</v>
      </c>
      <c r="I93">
        <f t="shared" ca="1" si="37"/>
        <v>49.308117997963315</v>
      </c>
      <c r="J93">
        <f t="shared" ca="1" si="38"/>
        <v>1</v>
      </c>
      <c r="K93">
        <f t="shared" ca="1" si="39"/>
        <v>0</v>
      </c>
      <c r="L93">
        <f t="shared" ca="1" si="33"/>
        <v>0</v>
      </c>
      <c r="M93" t="str">
        <f t="shared" ca="1" si="40"/>
        <v>na</v>
      </c>
      <c r="N93" t="str">
        <f t="shared" ca="1" si="41"/>
        <v>na</v>
      </c>
    </row>
    <row r="94" spans="1:14" x14ac:dyDescent="0.2">
      <c r="A94" vm="190">
        <f ca="1"/>
        <v>44383</v>
      </c>
      <c r="B94" vm="191">
        <f ca="1"/>
        <v>40.07</v>
      </c>
      <c r="C94">
        <f t="shared" ca="1" si="30"/>
        <v>-1.0799999999999983</v>
      </c>
      <c r="D94">
        <f t="shared" ca="1" si="31"/>
        <v>0</v>
      </c>
      <c r="E94">
        <f t="shared" ca="1" si="32"/>
        <v>1.0799999999999983</v>
      </c>
      <c r="F94">
        <f t="shared" ca="1" si="34"/>
        <v>0.21048078374662116</v>
      </c>
      <c r="G94">
        <f t="shared" ca="1" si="35"/>
        <v>0.29353049241663959</v>
      </c>
      <c r="H94">
        <f t="shared" ca="1" si="36"/>
        <v>0.71706616240694687</v>
      </c>
      <c r="I94">
        <f t="shared" ca="1" si="37"/>
        <v>41.761125931325722</v>
      </c>
      <c r="J94">
        <f t="shared" ca="1" si="38"/>
        <v>1</v>
      </c>
      <c r="K94">
        <f t="shared" ca="1" si="39"/>
        <v>0</v>
      </c>
      <c r="L94">
        <f t="shared" ca="1" si="33"/>
        <v>0</v>
      </c>
      <c r="M94" t="str">
        <f t="shared" ca="1" si="40"/>
        <v>na</v>
      </c>
      <c r="N94" t="str">
        <f t="shared" ca="1" si="41"/>
        <v>na</v>
      </c>
    </row>
    <row r="95" spans="1:14" x14ac:dyDescent="0.2">
      <c r="A95" vm="192">
        <f ca="1"/>
        <v>44384</v>
      </c>
      <c r="B95" vm="172">
        <f ca="1"/>
        <v>39.75</v>
      </c>
      <c r="C95">
        <f t="shared" ca="1" si="30"/>
        <v>-0.32000000000000028</v>
      </c>
      <c r="D95">
        <f t="shared" ca="1" si="31"/>
        <v>0</v>
      </c>
      <c r="E95">
        <f t="shared" ca="1" si="32"/>
        <v>0.32000000000000028</v>
      </c>
      <c r="F95">
        <f t="shared" ca="1" si="34"/>
        <v>0.19544644205043391</v>
      </c>
      <c r="G95">
        <f t="shared" ca="1" si="35"/>
        <v>0.29542117152973679</v>
      </c>
      <c r="H95">
        <f t="shared" ca="1" si="36"/>
        <v>0.66158576597060337</v>
      </c>
      <c r="I95">
        <f t="shared" ca="1" si="37"/>
        <v>39.816528253908267</v>
      </c>
      <c r="J95">
        <f t="shared" ca="1" si="38"/>
        <v>1</v>
      </c>
      <c r="K95">
        <f t="shared" ca="1" si="39"/>
        <v>1</v>
      </c>
      <c r="L95">
        <f t="shared" ca="1" si="33"/>
        <v>0</v>
      </c>
      <c r="M95" t="str">
        <f t="shared" ca="1" si="40"/>
        <v>na</v>
      </c>
      <c r="N95" t="str">
        <f t="shared" ca="1" si="41"/>
        <v>na</v>
      </c>
    </row>
    <row r="96" spans="1:14" x14ac:dyDescent="0.2">
      <c r="A96" vm="193">
        <f ca="1"/>
        <v>44385</v>
      </c>
      <c r="B96" vm="170">
        <f ca="1"/>
        <v>38.78</v>
      </c>
      <c r="C96">
        <f t="shared" ca="1" si="30"/>
        <v>-0.96999999999999886</v>
      </c>
      <c r="D96">
        <f t="shared" ca="1" si="31"/>
        <v>0</v>
      </c>
      <c r="E96">
        <f t="shared" ca="1" si="32"/>
        <v>0.96999999999999886</v>
      </c>
      <c r="F96">
        <f t="shared" ca="1" si="34"/>
        <v>0.18148598190397433</v>
      </c>
      <c r="G96">
        <f t="shared" ca="1" si="35"/>
        <v>0.34360537356332699</v>
      </c>
      <c r="H96">
        <f t="shared" ca="1" si="36"/>
        <v>0.52818144262963973</v>
      </c>
      <c r="I96">
        <f t="shared" ca="1" si="37"/>
        <v>34.562744180479257</v>
      </c>
      <c r="J96">
        <f t="shared" ca="1" si="38"/>
        <v>1</v>
      </c>
      <c r="K96">
        <f t="shared" ca="1" si="39"/>
        <v>1</v>
      </c>
      <c r="L96">
        <f t="shared" ca="1" si="33"/>
        <v>0</v>
      </c>
      <c r="M96" t="str">
        <f t="shared" ca="1" si="40"/>
        <v>na</v>
      </c>
      <c r="N96" t="str">
        <f t="shared" ca="1" si="41"/>
        <v>na</v>
      </c>
    </row>
    <row r="97" spans="1:14" x14ac:dyDescent="0.2">
      <c r="A97" vm="194">
        <f ca="1"/>
        <v>44386</v>
      </c>
      <c r="B97" vm="195">
        <f ca="1"/>
        <v>40.04</v>
      </c>
      <c r="C97">
        <f t="shared" ca="1" si="30"/>
        <v>1.259999999999998</v>
      </c>
      <c r="D97">
        <f t="shared" ca="1" si="31"/>
        <v>1.259999999999998</v>
      </c>
      <c r="E97">
        <f t="shared" ca="1" si="32"/>
        <v>0</v>
      </c>
      <c r="F97">
        <f t="shared" ca="1" si="34"/>
        <v>0.25852269748226175</v>
      </c>
      <c r="G97">
        <f t="shared" ca="1" si="35"/>
        <v>0.31906213259451788</v>
      </c>
      <c r="H97">
        <f t="shared" ca="1" si="36"/>
        <v>0.81025816313591481</v>
      </c>
      <c r="I97">
        <f t="shared" ca="1" si="37"/>
        <v>44.759260288726026</v>
      </c>
      <c r="J97">
        <f t="shared" ca="1" si="38"/>
        <v>1</v>
      </c>
      <c r="K97">
        <f t="shared" ca="1" si="39"/>
        <v>0</v>
      </c>
      <c r="L97">
        <f t="shared" ca="1" si="33"/>
        <v>0</v>
      </c>
      <c r="M97" t="str">
        <f t="shared" ca="1" si="40"/>
        <v>na</v>
      </c>
      <c r="N97" t="str">
        <f t="shared" ca="1" si="41"/>
        <v>na</v>
      </c>
    </row>
    <row r="98" spans="1:14" x14ac:dyDescent="0.2">
      <c r="A98" vm="196">
        <f ca="1"/>
        <v>44389</v>
      </c>
      <c r="B98" vm="197">
        <f ca="1"/>
        <v>40.630000000000003</v>
      </c>
      <c r="C98">
        <f t="shared" ca="1" si="30"/>
        <v>0.59000000000000341</v>
      </c>
      <c r="D98">
        <f t="shared" ca="1" si="31"/>
        <v>0.59000000000000341</v>
      </c>
      <c r="E98">
        <f t="shared" ca="1" si="32"/>
        <v>0</v>
      </c>
      <c r="F98">
        <f t="shared" ca="1" si="34"/>
        <v>0.28219964766210043</v>
      </c>
      <c r="G98">
        <f t="shared" ca="1" si="35"/>
        <v>0.296271980266338</v>
      </c>
      <c r="H98">
        <f t="shared" ca="1" si="36"/>
        <v>0.95250197945959303</v>
      </c>
      <c r="I98">
        <f t="shared" ca="1" si="37"/>
        <v>48.783662678960425</v>
      </c>
      <c r="J98">
        <f t="shared" ca="1" si="38"/>
        <v>1</v>
      </c>
      <c r="K98">
        <f t="shared" ca="1" si="39"/>
        <v>0</v>
      </c>
      <c r="L98">
        <f t="shared" ca="1" si="33"/>
        <v>0</v>
      </c>
      <c r="M98" t="str">
        <f t="shared" ca="1" si="40"/>
        <v>na</v>
      </c>
      <c r="N98" t="str">
        <f t="shared" ca="1" si="41"/>
        <v>na</v>
      </c>
    </row>
    <row r="99" spans="1:14" x14ac:dyDescent="0.2">
      <c r="A99" vm="198">
        <f ca="1"/>
        <v>44390</v>
      </c>
      <c r="B99" vm="199">
        <f ca="1"/>
        <v>39.86</v>
      </c>
      <c r="C99">
        <f t="shared" ca="1" si="30"/>
        <v>-0.77000000000000313</v>
      </c>
      <c r="D99">
        <f t="shared" ca="1" si="31"/>
        <v>0</v>
      </c>
      <c r="E99">
        <f t="shared" ca="1" si="32"/>
        <v>0.77000000000000313</v>
      </c>
      <c r="F99">
        <f t="shared" ca="1" si="34"/>
        <v>0.26204252997195038</v>
      </c>
      <c r="G99">
        <f t="shared" ca="1" si="35"/>
        <v>0.33010969596159978</v>
      </c>
      <c r="H99">
        <f t="shared" ca="1" si="36"/>
        <v>0.79380440252937201</v>
      </c>
      <c r="I99">
        <f t="shared" ca="1" si="37"/>
        <v>44.252561840636588</v>
      </c>
      <c r="J99">
        <f t="shared" ca="1" si="38"/>
        <v>1</v>
      </c>
      <c r="K99">
        <f t="shared" ca="1" si="39"/>
        <v>0</v>
      </c>
      <c r="L99">
        <f t="shared" ca="1" si="33"/>
        <v>0</v>
      </c>
      <c r="M99" t="str">
        <f t="shared" ca="1" si="40"/>
        <v>na</v>
      </c>
      <c r="N99" t="str">
        <f t="shared" ca="1" si="41"/>
        <v>na</v>
      </c>
    </row>
    <row r="100" spans="1:14" x14ac:dyDescent="0.2">
      <c r="A100" vm="200">
        <f ca="1"/>
        <v>44391</v>
      </c>
      <c r="B100" vm="201">
        <f ca="1"/>
        <v>38.86</v>
      </c>
      <c r="C100">
        <f t="shared" ca="1" si="30"/>
        <v>-1</v>
      </c>
      <c r="D100">
        <f t="shared" ca="1" si="31"/>
        <v>0</v>
      </c>
      <c r="E100">
        <f t="shared" ca="1" si="32"/>
        <v>1</v>
      </c>
      <c r="F100">
        <f t="shared" ca="1" si="34"/>
        <v>0.24332520640252533</v>
      </c>
      <c r="G100">
        <f t="shared" ca="1" si="35"/>
        <v>0.37795900339291411</v>
      </c>
      <c r="H100">
        <f t="shared" ca="1" si="36"/>
        <v>0.6437873002579918</v>
      </c>
      <c r="I100">
        <f t="shared" ca="1" si="37"/>
        <v>39.164878579908098</v>
      </c>
      <c r="J100">
        <f t="shared" ca="1" si="38"/>
        <v>1</v>
      </c>
      <c r="K100">
        <f t="shared" ca="1" si="39"/>
        <v>1</v>
      </c>
      <c r="L100">
        <f t="shared" ca="1" si="33"/>
        <v>0</v>
      </c>
      <c r="M100" t="str">
        <f t="shared" ca="1" si="40"/>
        <v>na</v>
      </c>
      <c r="N100" t="str">
        <f t="shared" ca="1" si="41"/>
        <v>na</v>
      </c>
    </row>
    <row r="101" spans="1:14" x14ac:dyDescent="0.2">
      <c r="A101" vm="202">
        <f ca="1"/>
        <v>44392</v>
      </c>
      <c r="B101" vm="203">
        <f ca="1"/>
        <v>38.83</v>
      </c>
      <c r="C101">
        <f t="shared" ca="1" si="30"/>
        <v>-3.0000000000001137E-2</v>
      </c>
      <c r="D101">
        <f t="shared" ca="1" si="31"/>
        <v>0</v>
      </c>
      <c r="E101">
        <f t="shared" ca="1" si="32"/>
        <v>3.0000000000001137E-2</v>
      </c>
      <c r="F101">
        <f t="shared" ca="1" si="34"/>
        <v>0.22594483451663067</v>
      </c>
      <c r="G101">
        <f t="shared" ca="1" si="35"/>
        <v>0.35310478886484892</v>
      </c>
      <c r="H101">
        <f t="shared" ca="1" si="36"/>
        <v>0.63988040276369973</v>
      </c>
      <c r="I101">
        <f t="shared" ca="1" si="37"/>
        <v>39.019943264478655</v>
      </c>
      <c r="J101">
        <f t="shared" ca="1" si="38"/>
        <v>1</v>
      </c>
      <c r="K101">
        <f t="shared" ca="1" si="39"/>
        <v>1</v>
      </c>
      <c r="L101">
        <f t="shared" ca="1" si="33"/>
        <v>0</v>
      </c>
      <c r="M101" t="str">
        <f t="shared" ca="1" si="40"/>
        <v>na</v>
      </c>
      <c r="N101" t="str">
        <f t="shared" ca="1" si="41"/>
        <v>na</v>
      </c>
    </row>
    <row r="102" spans="1:14" x14ac:dyDescent="0.2">
      <c r="A102" vm="204">
        <f ca="1"/>
        <v>44393</v>
      </c>
      <c r="B102" vm="205">
        <f ca="1"/>
        <v>37.92</v>
      </c>
      <c r="C102">
        <f t="shared" ca="1" si="30"/>
        <v>-0.90999999999999659</v>
      </c>
      <c r="D102">
        <f t="shared" ca="1" si="31"/>
        <v>0</v>
      </c>
      <c r="E102">
        <f t="shared" ca="1" si="32"/>
        <v>0.90999999999999659</v>
      </c>
      <c r="F102">
        <f t="shared" ca="1" si="34"/>
        <v>0.20980591776544277</v>
      </c>
      <c r="G102">
        <f t="shared" ca="1" si="35"/>
        <v>0.39288301823164523</v>
      </c>
      <c r="H102">
        <f t="shared" ca="1" si="36"/>
        <v>0.53401625427785848</v>
      </c>
      <c r="I102">
        <f t="shared" ca="1" si="37"/>
        <v>34.811642496529345</v>
      </c>
      <c r="J102">
        <f t="shared" ca="1" si="38"/>
        <v>1</v>
      </c>
      <c r="K102">
        <f t="shared" ca="1" si="39"/>
        <v>1</v>
      </c>
      <c r="L102">
        <f t="shared" ca="1" si="33"/>
        <v>0</v>
      </c>
      <c r="M102" t="str">
        <f t="shared" ca="1" si="40"/>
        <v>na</v>
      </c>
      <c r="N102" t="str">
        <f t="shared" ca="1" si="41"/>
        <v>na</v>
      </c>
    </row>
    <row r="103" spans="1:14" x14ac:dyDescent="0.2">
      <c r="A103" vm="206">
        <f ca="1"/>
        <v>44396</v>
      </c>
      <c r="B103" vm="9">
        <f ca="1"/>
        <v>36.93</v>
      </c>
      <c r="C103">
        <f t="shared" ca="1" si="30"/>
        <v>-0.99000000000000199</v>
      </c>
      <c r="D103">
        <f t="shared" ca="1" si="31"/>
        <v>0</v>
      </c>
      <c r="E103">
        <f t="shared" ca="1" si="32"/>
        <v>0.99000000000000199</v>
      </c>
      <c r="F103">
        <f t="shared" ca="1" si="34"/>
        <v>0.19481978078219683</v>
      </c>
      <c r="G103">
        <f t="shared" ca="1" si="35"/>
        <v>0.43553423121509927</v>
      </c>
      <c r="H103">
        <f t="shared" ca="1" si="36"/>
        <v>0.44731221295434825</v>
      </c>
      <c r="I103">
        <f t="shared" ca="1" si="37"/>
        <v>30.906407681122602</v>
      </c>
      <c r="J103">
        <f t="shared" ca="1" si="38"/>
        <v>1</v>
      </c>
      <c r="K103">
        <f t="shared" ca="1" si="39"/>
        <v>1</v>
      </c>
      <c r="L103">
        <f t="shared" ca="1" si="33"/>
        <v>0</v>
      </c>
      <c r="M103" t="str">
        <f t="shared" ca="1" si="40"/>
        <v>na</v>
      </c>
      <c r="N103" t="str">
        <f t="shared" ca="1" si="41"/>
        <v>na</v>
      </c>
    </row>
    <row r="104" spans="1:14" x14ac:dyDescent="0.2">
      <c r="A104" vm="207">
        <f ca="1"/>
        <v>44397</v>
      </c>
      <c r="B104" vm="208">
        <f ca="1"/>
        <v>37.69</v>
      </c>
      <c r="C104">
        <f t="shared" ca="1" si="30"/>
        <v>0.75999999999999801</v>
      </c>
      <c r="D104">
        <f t="shared" ca="1" si="31"/>
        <v>0.75999999999999801</v>
      </c>
      <c r="E104">
        <f t="shared" ca="1" si="32"/>
        <v>0</v>
      </c>
      <c r="F104">
        <f t="shared" ca="1" si="34"/>
        <v>0.23518979644061119</v>
      </c>
      <c r="G104">
        <f t="shared" ca="1" si="35"/>
        <v>0.40442464327116362</v>
      </c>
      <c r="H104">
        <f t="shared" ca="1" si="36"/>
        <v>0.58154170462584354</v>
      </c>
      <c r="I104">
        <f t="shared" ca="1" si="37"/>
        <v>36.770557673243459</v>
      </c>
      <c r="J104">
        <f t="shared" ca="1" si="38"/>
        <v>1</v>
      </c>
      <c r="K104">
        <f t="shared" ca="1" si="39"/>
        <v>1</v>
      </c>
      <c r="L104">
        <f t="shared" ca="1" si="33"/>
        <v>0</v>
      </c>
      <c r="M104" t="str">
        <f t="shared" ca="1" si="40"/>
        <v>na</v>
      </c>
      <c r="N104" t="str">
        <f t="shared" ca="1" si="41"/>
        <v>na</v>
      </c>
    </row>
    <row r="105" spans="1:14" x14ac:dyDescent="0.2">
      <c r="A105" vm="209">
        <f ca="1"/>
        <v>44398</v>
      </c>
      <c r="B105" vm="210">
        <f ca="1"/>
        <v>38.46</v>
      </c>
      <c r="C105">
        <f t="shared" ca="1" si="30"/>
        <v>0.77000000000000313</v>
      </c>
      <c r="D105">
        <f t="shared" ca="1" si="31"/>
        <v>0.77000000000000313</v>
      </c>
      <c r="E105">
        <f t="shared" ca="1" si="32"/>
        <v>0</v>
      </c>
      <c r="F105">
        <f t="shared" ca="1" si="34"/>
        <v>0.27339052526628205</v>
      </c>
      <c r="G105">
        <f t="shared" ca="1" si="35"/>
        <v>0.37553716875179477</v>
      </c>
      <c r="H105">
        <f t="shared" ca="1" si="36"/>
        <v>0.72799857914190935</v>
      </c>
      <c r="I105">
        <f t="shared" ca="1" si="37"/>
        <v>42.129582045340534</v>
      </c>
      <c r="J105">
        <f t="shared" ca="1" si="38"/>
        <v>1</v>
      </c>
      <c r="K105">
        <f t="shared" ca="1" si="39"/>
        <v>0</v>
      </c>
      <c r="L105">
        <f t="shared" ca="1" si="33"/>
        <v>0</v>
      </c>
      <c r="M105" t="str">
        <f t="shared" ca="1" si="40"/>
        <v>na</v>
      </c>
      <c r="N105" t="str">
        <f t="shared" ca="1" si="41"/>
        <v>na</v>
      </c>
    </row>
    <row r="106" spans="1:14" x14ac:dyDescent="0.2">
      <c r="A106" vm="211">
        <f ca="1"/>
        <v>44399</v>
      </c>
      <c r="B106" vm="212">
        <f ca="1"/>
        <v>37.96</v>
      </c>
      <c r="C106">
        <f t="shared" ca="1" si="30"/>
        <v>-0.5</v>
      </c>
      <c r="D106">
        <f t="shared" ca="1" si="31"/>
        <v>0</v>
      </c>
      <c r="E106">
        <f t="shared" ca="1" si="32"/>
        <v>0.5</v>
      </c>
      <c r="F106">
        <f t="shared" ca="1" si="34"/>
        <v>0.25386263060440478</v>
      </c>
      <c r="G106">
        <f t="shared" ca="1" si="35"/>
        <v>0.38442737098380941</v>
      </c>
      <c r="H106">
        <f t="shared" ca="1" si="36"/>
        <v>0.66036564970577105</v>
      </c>
      <c r="I106">
        <f t="shared" ca="1" si="37"/>
        <v>39.772302554126718</v>
      </c>
      <c r="J106">
        <f t="shared" ca="1" si="38"/>
        <v>1</v>
      </c>
      <c r="K106">
        <f t="shared" ca="1" si="39"/>
        <v>1</v>
      </c>
      <c r="L106">
        <f t="shared" ca="1" si="33"/>
        <v>0</v>
      </c>
      <c r="M106" t="str">
        <f t="shared" ca="1" si="40"/>
        <v>na</v>
      </c>
      <c r="N106" t="str">
        <f t="shared" ca="1" si="41"/>
        <v>na</v>
      </c>
    </row>
    <row r="107" spans="1:14" x14ac:dyDescent="0.2">
      <c r="A107" vm="213">
        <f ca="1"/>
        <v>44400</v>
      </c>
      <c r="B107" vm="214">
        <f ca="1"/>
        <v>37.700000000000003</v>
      </c>
      <c r="C107">
        <f t="shared" ca="1" si="30"/>
        <v>-0.25999999999999801</v>
      </c>
      <c r="D107">
        <f t="shared" ca="1" si="31"/>
        <v>0</v>
      </c>
      <c r="E107">
        <f t="shared" ca="1" si="32"/>
        <v>0.25999999999999801</v>
      </c>
      <c r="F107">
        <f t="shared" ca="1" si="34"/>
        <v>0.235729585561233</v>
      </c>
      <c r="G107">
        <f t="shared" ca="1" si="35"/>
        <v>0.37553970162782285</v>
      </c>
      <c r="H107">
        <f t="shared" ca="1" si="36"/>
        <v>0.62770882689482421</v>
      </c>
      <c r="I107">
        <f t="shared" ca="1" si="37"/>
        <v>38.563950537290062</v>
      </c>
      <c r="J107">
        <f t="shared" ca="1" si="38"/>
        <v>1</v>
      </c>
      <c r="K107">
        <f t="shared" ca="1" si="39"/>
        <v>1</v>
      </c>
      <c r="L107">
        <f t="shared" ca="1" si="33"/>
        <v>0</v>
      </c>
      <c r="M107" t="str">
        <f t="shared" ca="1" si="40"/>
        <v>na</v>
      </c>
      <c r="N107" t="str">
        <f t="shared" ca="1" si="41"/>
        <v>na</v>
      </c>
    </row>
    <row r="108" spans="1:14" x14ac:dyDescent="0.2">
      <c r="A108" vm="215">
        <f ca="1"/>
        <v>44403</v>
      </c>
      <c r="B108" vm="41">
        <f ca="1"/>
        <v>38.130000000000003</v>
      </c>
      <c r="C108">
        <f t="shared" ca="1" si="30"/>
        <v>0.42999999999999972</v>
      </c>
      <c r="D108">
        <f t="shared" ca="1" si="31"/>
        <v>0.42999999999999972</v>
      </c>
      <c r="E108">
        <f t="shared" ca="1" si="32"/>
        <v>0</v>
      </c>
      <c r="F108">
        <f t="shared" ca="1" si="34"/>
        <v>0.2496060437354306</v>
      </c>
      <c r="G108">
        <f t="shared" ca="1" si="35"/>
        <v>0.34871543722583548</v>
      </c>
      <c r="H108">
        <f t="shared" ca="1" si="36"/>
        <v>0.71578719233407628</v>
      </c>
      <c r="I108">
        <f t="shared" ca="1" si="37"/>
        <v>41.71771391767723</v>
      </c>
      <c r="J108">
        <f t="shared" ca="1" si="38"/>
        <v>1</v>
      </c>
      <c r="K108">
        <f t="shared" ca="1" si="39"/>
        <v>0</v>
      </c>
      <c r="L108">
        <f t="shared" ca="1" si="33"/>
        <v>0</v>
      </c>
      <c r="M108" t="str">
        <f t="shared" ca="1" si="40"/>
        <v>na</v>
      </c>
      <c r="N108" t="str">
        <f t="shared" ca="1" si="41"/>
        <v>na</v>
      </c>
    </row>
    <row r="109" spans="1:14" x14ac:dyDescent="0.2">
      <c r="A109" vm="216">
        <f ca="1"/>
        <v>44404</v>
      </c>
      <c r="B109" vm="217">
        <f ca="1"/>
        <v>37.979999999999997</v>
      </c>
      <c r="C109">
        <f t="shared" ca="1" si="30"/>
        <v>-0.15000000000000568</v>
      </c>
      <c r="D109">
        <f t="shared" ca="1" si="31"/>
        <v>0</v>
      </c>
      <c r="E109">
        <f t="shared" ca="1" si="32"/>
        <v>0.15000000000000568</v>
      </c>
      <c r="F109">
        <f t="shared" ca="1" si="34"/>
        <v>0.23177704061147125</v>
      </c>
      <c r="G109">
        <f t="shared" ca="1" si="35"/>
        <v>0.33452147742399052</v>
      </c>
      <c r="H109">
        <f t="shared" ca="1" si="36"/>
        <v>0.69286146407187055</v>
      </c>
      <c r="I109">
        <f t="shared" ca="1" si="37"/>
        <v>40.928420829269641</v>
      </c>
      <c r="J109">
        <f t="shared" ca="1" si="38"/>
        <v>1</v>
      </c>
      <c r="K109">
        <f t="shared" ca="1" si="39"/>
        <v>0</v>
      </c>
      <c r="L109">
        <f t="shared" ca="1" si="33"/>
        <v>0</v>
      </c>
      <c r="M109" t="str">
        <f t="shared" ca="1" si="40"/>
        <v>na</v>
      </c>
      <c r="N109" t="str">
        <f t="shared" ca="1" si="41"/>
        <v>na</v>
      </c>
    </row>
    <row r="110" spans="1:14" x14ac:dyDescent="0.2">
      <c r="A110" vm="218">
        <f ca="1"/>
        <v>44405</v>
      </c>
      <c r="B110" vm="41">
        <f ca="1"/>
        <v>38.130000000000003</v>
      </c>
      <c r="C110">
        <f t="shared" ca="1" si="30"/>
        <v>0.15000000000000568</v>
      </c>
      <c r="D110">
        <f t="shared" ca="1" si="31"/>
        <v>0.15000000000000568</v>
      </c>
      <c r="E110">
        <f t="shared" ca="1" si="32"/>
        <v>0</v>
      </c>
      <c r="F110">
        <f t="shared" ca="1" si="34"/>
        <v>0.22593582342493801</v>
      </c>
      <c r="G110">
        <f t="shared" ca="1" si="35"/>
        <v>0.31062708617941975</v>
      </c>
      <c r="H110">
        <f t="shared" ca="1" si="36"/>
        <v>0.72735390272577949</v>
      </c>
      <c r="I110">
        <f t="shared" ca="1" si="37"/>
        <v>42.107983869316449</v>
      </c>
      <c r="J110">
        <f t="shared" ca="1" si="38"/>
        <v>1</v>
      </c>
      <c r="K110">
        <f t="shared" ca="1" si="39"/>
        <v>0</v>
      </c>
      <c r="L110">
        <f t="shared" ca="1" si="33"/>
        <v>0</v>
      </c>
      <c r="M110" t="str">
        <f t="shared" ca="1" si="40"/>
        <v>na</v>
      </c>
      <c r="N110" t="str">
        <f t="shared" ca="1" si="41"/>
        <v>na</v>
      </c>
    </row>
    <row r="111" spans="1:14" x14ac:dyDescent="0.2">
      <c r="A111" vm="219">
        <f ca="1"/>
        <v>44406</v>
      </c>
      <c r="B111" vm="43">
        <f ca="1"/>
        <v>38.68</v>
      </c>
      <c r="C111">
        <f t="shared" ca="1" si="30"/>
        <v>0.54999999999999716</v>
      </c>
      <c r="D111">
        <f t="shared" ca="1" si="31"/>
        <v>0.54999999999999716</v>
      </c>
      <c r="E111">
        <f t="shared" ca="1" si="32"/>
        <v>0</v>
      </c>
      <c r="F111">
        <f t="shared" ca="1" si="34"/>
        <v>0.24908326460887079</v>
      </c>
      <c r="G111">
        <f t="shared" ca="1" si="35"/>
        <v>0.28843943716660408</v>
      </c>
      <c r="H111">
        <f t="shared" ca="1" si="36"/>
        <v>0.86355481433351644</v>
      </c>
      <c r="I111">
        <f t="shared" ca="1" si="37"/>
        <v>46.339115312921933</v>
      </c>
      <c r="J111">
        <f t="shared" ca="1" si="38"/>
        <v>1</v>
      </c>
      <c r="K111">
        <f t="shared" ca="1" si="39"/>
        <v>0</v>
      </c>
      <c r="L111">
        <f t="shared" ca="1" si="33"/>
        <v>0</v>
      </c>
      <c r="M111" t="str">
        <f t="shared" ca="1" si="40"/>
        <v>na</v>
      </c>
      <c r="N111" t="str">
        <f t="shared" ca="1" si="41"/>
        <v>na</v>
      </c>
    </row>
    <row r="112" spans="1:14" x14ac:dyDescent="0.2">
      <c r="A112" vm="220">
        <f ca="1"/>
        <v>44407</v>
      </c>
      <c r="B112" vm="94">
        <f ca="1"/>
        <v>38.36</v>
      </c>
      <c r="C112">
        <f t="shared" ca="1" si="30"/>
        <v>-0.32000000000000028</v>
      </c>
      <c r="D112">
        <f t="shared" ca="1" si="31"/>
        <v>0</v>
      </c>
      <c r="E112">
        <f t="shared" ca="1" si="32"/>
        <v>0.32000000000000028</v>
      </c>
      <c r="F112">
        <f t="shared" ca="1" si="34"/>
        <v>0.23129160285109429</v>
      </c>
      <c r="G112">
        <f t="shared" ca="1" si="35"/>
        <v>0.29069376308327527</v>
      </c>
      <c r="H112">
        <f t="shared" ca="1" si="36"/>
        <v>0.79565381932475798</v>
      </c>
      <c r="I112">
        <f t="shared" ca="1" si="37"/>
        <v>44.309978391266839</v>
      </c>
      <c r="J112">
        <f t="shared" ca="1" si="38"/>
        <v>1</v>
      </c>
      <c r="K112">
        <f t="shared" ca="1" si="39"/>
        <v>0</v>
      </c>
      <c r="L112">
        <f t="shared" ca="1" si="33"/>
        <v>0</v>
      </c>
      <c r="M112" t="str">
        <f t="shared" ca="1" si="40"/>
        <v>na</v>
      </c>
      <c r="N112" t="str">
        <f t="shared" ca="1" si="41"/>
        <v>na</v>
      </c>
    </row>
    <row r="113" spans="1:14" x14ac:dyDescent="0.2">
      <c r="A113" vm="221">
        <f ca="1"/>
        <v>44410</v>
      </c>
      <c r="B113" vm="212">
        <f ca="1"/>
        <v>37.96</v>
      </c>
      <c r="C113">
        <f t="shared" ca="1" si="30"/>
        <v>-0.39999999999999858</v>
      </c>
      <c r="D113">
        <f t="shared" ca="1" si="31"/>
        <v>0</v>
      </c>
      <c r="E113">
        <f t="shared" ca="1" si="32"/>
        <v>0.39999999999999858</v>
      </c>
      <c r="F113">
        <f t="shared" ca="1" si="34"/>
        <v>0.21477077407601611</v>
      </c>
      <c r="G113">
        <f t="shared" ca="1" si="35"/>
        <v>0.29850135143446976</v>
      </c>
      <c r="H113">
        <f t="shared" ca="1" si="36"/>
        <v>0.71949682319332786</v>
      </c>
      <c r="I113">
        <f t="shared" ca="1" si="37"/>
        <v>41.843451728926681</v>
      </c>
      <c r="J113">
        <f t="shared" ca="1" si="38"/>
        <v>1</v>
      </c>
      <c r="K113">
        <f t="shared" ca="1" si="39"/>
        <v>0</v>
      </c>
      <c r="L113">
        <f t="shared" ca="1" si="33"/>
        <v>0</v>
      </c>
      <c r="M113" t="str">
        <f t="shared" ca="1" si="40"/>
        <v>na</v>
      </c>
      <c r="N113" t="str">
        <f t="shared" ca="1" si="41"/>
        <v>na</v>
      </c>
    </row>
    <row r="114" spans="1:14" x14ac:dyDescent="0.2">
      <c r="A114" vm="222">
        <f ca="1"/>
        <v>44411</v>
      </c>
      <c r="B114" vm="223">
        <f ca="1"/>
        <v>38.549999999999997</v>
      </c>
      <c r="C114">
        <f t="shared" ca="1" si="30"/>
        <v>0.58999999999999631</v>
      </c>
      <c r="D114">
        <f t="shared" ca="1" si="31"/>
        <v>0.58999999999999631</v>
      </c>
      <c r="E114">
        <f t="shared" ca="1" si="32"/>
        <v>0</v>
      </c>
      <c r="F114">
        <f t="shared" ca="1" si="34"/>
        <v>0.24157286164201469</v>
      </c>
      <c r="G114">
        <f t="shared" ca="1" si="35"/>
        <v>0.27717982633200766</v>
      </c>
      <c r="H114">
        <f t="shared" ca="1" si="36"/>
        <v>0.87153839743249306</v>
      </c>
      <c r="I114">
        <f t="shared" ca="1" si="37"/>
        <v>46.568021186641438</v>
      </c>
      <c r="J114">
        <f t="shared" ca="1" si="38"/>
        <v>1</v>
      </c>
      <c r="K114">
        <f t="shared" ca="1" si="39"/>
        <v>0</v>
      </c>
      <c r="L114">
        <f t="shared" ca="1" si="33"/>
        <v>0</v>
      </c>
      <c r="M114" t="str">
        <f t="shared" ca="1" si="40"/>
        <v>na</v>
      </c>
      <c r="N114" t="str">
        <f t="shared" ca="1" si="41"/>
        <v>na</v>
      </c>
    </row>
    <row r="115" spans="1:14" x14ac:dyDescent="0.2">
      <c r="A115" vm="224">
        <f ca="1"/>
        <v>44412</v>
      </c>
      <c r="B115" vm="225">
        <f ca="1"/>
        <v>38.270000000000003</v>
      </c>
      <c r="C115">
        <f t="shared" ca="1" si="30"/>
        <v>-0.27999999999999403</v>
      </c>
      <c r="D115">
        <f t="shared" ca="1" si="31"/>
        <v>0</v>
      </c>
      <c r="E115">
        <f t="shared" ca="1" si="32"/>
        <v>0.27999999999999403</v>
      </c>
      <c r="F115">
        <f t="shared" ca="1" si="34"/>
        <v>0.22431765723901362</v>
      </c>
      <c r="G115">
        <f t="shared" ca="1" si="35"/>
        <v>0.27738126730829238</v>
      </c>
      <c r="H115">
        <f t="shared" ca="1" si="36"/>
        <v>0.80869793196848516</v>
      </c>
      <c r="I115">
        <f t="shared" ca="1" si="37"/>
        <v>44.711608150529798</v>
      </c>
      <c r="J115">
        <f t="shared" ca="1" si="38"/>
        <v>1</v>
      </c>
      <c r="K115">
        <f t="shared" ca="1" si="39"/>
        <v>0</v>
      </c>
      <c r="L115">
        <f t="shared" ca="1" si="33"/>
        <v>0</v>
      </c>
      <c r="M115" t="str">
        <f t="shared" ca="1" si="40"/>
        <v>na</v>
      </c>
      <c r="N115" t="str">
        <f t="shared" ca="1" si="41"/>
        <v>na</v>
      </c>
    </row>
    <row r="116" spans="1:14" x14ac:dyDescent="0.2">
      <c r="A116" vm="226">
        <f ca="1"/>
        <v>44413</v>
      </c>
      <c r="B116" vm="227">
        <f ca="1"/>
        <v>39.020000000000003</v>
      </c>
      <c r="C116">
        <f t="shared" ca="1" si="30"/>
        <v>0.75</v>
      </c>
      <c r="D116">
        <f t="shared" ca="1" si="31"/>
        <v>0.75</v>
      </c>
      <c r="E116">
        <f t="shared" ca="1" si="32"/>
        <v>0</v>
      </c>
      <c r="F116">
        <f t="shared" ca="1" si="34"/>
        <v>0.26186639600765549</v>
      </c>
      <c r="G116">
        <f t="shared" ca="1" si="35"/>
        <v>0.25756831964341437</v>
      </c>
      <c r="H116">
        <f t="shared" ca="1" si="36"/>
        <v>1.0166871312830379</v>
      </c>
      <c r="I116">
        <f t="shared" ca="1" si="37"/>
        <v>50.413726329289894</v>
      </c>
      <c r="J116">
        <f t="shared" ca="1" si="38"/>
        <v>1</v>
      </c>
      <c r="K116">
        <f t="shared" ca="1" si="39"/>
        <v>0</v>
      </c>
      <c r="L116">
        <f t="shared" ca="1" si="33"/>
        <v>0</v>
      </c>
      <c r="M116" t="str">
        <f t="shared" ca="1" si="40"/>
        <v>na</v>
      </c>
      <c r="N116" t="str">
        <f t="shared" ca="1" si="41"/>
        <v>na</v>
      </c>
    </row>
    <row r="117" spans="1:14" x14ac:dyDescent="0.2">
      <c r="A117" vm="228">
        <f ca="1"/>
        <v>44414</v>
      </c>
      <c r="B117" vm="229">
        <f ca="1"/>
        <v>40.15</v>
      </c>
      <c r="C117">
        <f t="shared" ca="1" si="30"/>
        <v>1.1299999999999955</v>
      </c>
      <c r="D117">
        <f t="shared" ca="1" si="31"/>
        <v>1.1299999999999955</v>
      </c>
      <c r="E117">
        <f t="shared" ca="1" si="32"/>
        <v>0</v>
      </c>
      <c r="F117">
        <f t="shared" ca="1" si="34"/>
        <v>0.32387593914996549</v>
      </c>
      <c r="G117">
        <f t="shared" ca="1" si="35"/>
        <v>0.2391705825260276</v>
      </c>
      <c r="H117">
        <f t="shared" ca="1" si="36"/>
        <v>1.3541629398118804</v>
      </c>
      <c r="I117">
        <f t="shared" ca="1" si="37"/>
        <v>57.52205664745069</v>
      </c>
      <c r="J117">
        <f t="shared" ca="1" si="38"/>
        <v>1</v>
      </c>
      <c r="K117">
        <f t="shared" ca="1" si="39"/>
        <v>0</v>
      </c>
      <c r="L117">
        <f t="shared" ca="1" si="33"/>
        <v>0</v>
      </c>
      <c r="M117" t="str">
        <f t="shared" ca="1" si="40"/>
        <v>na</v>
      </c>
      <c r="N117" t="str">
        <f t="shared" ca="1" si="41"/>
        <v>na</v>
      </c>
    </row>
    <row r="118" spans="1:14" x14ac:dyDescent="0.2">
      <c r="A118" vm="230">
        <f ca="1"/>
        <v>44417</v>
      </c>
      <c r="B118" vm="231">
        <f ca="1"/>
        <v>40.67</v>
      </c>
      <c r="C118">
        <f t="shared" ca="1" si="30"/>
        <v>0.52000000000000313</v>
      </c>
      <c r="D118">
        <f t="shared" ca="1" si="31"/>
        <v>0.52000000000000313</v>
      </c>
      <c r="E118">
        <f t="shared" ca="1" si="32"/>
        <v>0</v>
      </c>
      <c r="F118">
        <f t="shared" ca="1" si="34"/>
        <v>0.33788480063925391</v>
      </c>
      <c r="G118">
        <f t="shared" ca="1" si="35"/>
        <v>0.22208696948845419</v>
      </c>
      <c r="H118">
        <f t="shared" ca="1" si="36"/>
        <v>1.5214075882863529</v>
      </c>
      <c r="I118">
        <f t="shared" ca="1" si="37"/>
        <v>60.339613291969229</v>
      </c>
      <c r="J118">
        <f t="shared" ca="1" si="38"/>
        <v>1</v>
      </c>
      <c r="K118">
        <f t="shared" ca="1" si="39"/>
        <v>0</v>
      </c>
      <c r="L118">
        <f t="shared" ca="1" si="33"/>
        <v>0</v>
      </c>
      <c r="M118" t="str">
        <f t="shared" ca="1" si="40"/>
        <v>na</v>
      </c>
      <c r="N118" t="str">
        <f t="shared" ca="1" si="41"/>
        <v>na</v>
      </c>
    </row>
    <row r="119" spans="1:14" x14ac:dyDescent="0.2">
      <c r="A119" vm="232">
        <f ca="1"/>
        <v>44418</v>
      </c>
      <c r="B119" vm="233">
        <f ca="1"/>
        <v>41.43</v>
      </c>
      <c r="C119">
        <f t="shared" ca="1" si="30"/>
        <v>0.75999999999999801</v>
      </c>
      <c r="D119">
        <f t="shared" ca="1" si="31"/>
        <v>0.75999999999999801</v>
      </c>
      <c r="E119">
        <f t="shared" ca="1" si="32"/>
        <v>0</v>
      </c>
      <c r="F119">
        <f t="shared" ca="1" si="34"/>
        <v>0.36803588630787848</v>
      </c>
      <c r="G119">
        <f t="shared" ca="1" si="35"/>
        <v>0.20622361452499316</v>
      </c>
      <c r="H119">
        <f t="shared" ca="1" si="36"/>
        <v>1.7846447273053425</v>
      </c>
      <c r="I119">
        <f t="shared" ca="1" si="37"/>
        <v>64.08877620206566</v>
      </c>
      <c r="J119">
        <f t="shared" ca="1" si="38"/>
        <v>1</v>
      </c>
      <c r="K119">
        <f t="shared" ca="1" si="39"/>
        <v>0</v>
      </c>
      <c r="L119">
        <f t="shared" ca="1" si="33"/>
        <v>0</v>
      </c>
      <c r="M119" t="str">
        <f t="shared" ca="1" si="40"/>
        <v>na</v>
      </c>
      <c r="N119" t="str">
        <f t="shared" ca="1" si="41"/>
        <v>na</v>
      </c>
    </row>
    <row r="120" spans="1:14" x14ac:dyDescent="0.2">
      <c r="A120" vm="234">
        <f ca="1"/>
        <v>44419</v>
      </c>
      <c r="B120" vm="235">
        <f ca="1"/>
        <v>41.95</v>
      </c>
      <c r="C120">
        <f t="shared" ca="1" si="30"/>
        <v>0.52000000000000313</v>
      </c>
      <c r="D120">
        <f t="shared" ca="1" si="31"/>
        <v>0.52000000000000313</v>
      </c>
      <c r="E120">
        <f t="shared" ca="1" si="32"/>
        <v>0</v>
      </c>
      <c r="F120">
        <f t="shared" ca="1" si="34"/>
        <v>0.37889046585731595</v>
      </c>
      <c r="G120">
        <f t="shared" ca="1" si="35"/>
        <v>0.19149335634463652</v>
      </c>
      <c r="H120">
        <f t="shared" ca="1" si="36"/>
        <v>1.978608935003547</v>
      </c>
      <c r="I120">
        <f t="shared" ca="1" si="37"/>
        <v>66.427281263802115</v>
      </c>
      <c r="J120">
        <f t="shared" ca="1" si="38"/>
        <v>1</v>
      </c>
      <c r="K120">
        <f t="shared" ca="1" si="39"/>
        <v>0</v>
      </c>
      <c r="L120">
        <f t="shared" ca="1" si="33"/>
        <v>0</v>
      </c>
      <c r="M120" t="str">
        <f t="shared" ca="1" si="40"/>
        <v>na</v>
      </c>
      <c r="N120" t="str">
        <f t="shared" ca="1" si="41"/>
        <v>na</v>
      </c>
    </row>
    <row r="121" spans="1:14" x14ac:dyDescent="0.2">
      <c r="A121" vm="236">
        <f ca="1"/>
        <v>44420</v>
      </c>
      <c r="B121" vm="237">
        <f ca="1"/>
        <v>42.15</v>
      </c>
      <c r="C121">
        <f t="shared" ca="1" si="30"/>
        <v>0.19999999999999574</v>
      </c>
      <c r="D121">
        <f t="shared" ca="1" si="31"/>
        <v>0.19999999999999574</v>
      </c>
      <c r="E121">
        <f t="shared" ca="1" si="32"/>
        <v>0</v>
      </c>
      <c r="F121">
        <f t="shared" ca="1" si="34"/>
        <v>0.36611257543893594</v>
      </c>
      <c r="G121">
        <f t="shared" ca="1" si="35"/>
        <v>0.17781525946287677</v>
      </c>
      <c r="H121">
        <f t="shared" ca="1" si="36"/>
        <v>2.0589491393755819</v>
      </c>
      <c r="I121">
        <f t="shared" ca="1" si="37"/>
        <v>67.309034755506644</v>
      </c>
      <c r="J121">
        <f t="shared" ca="1" si="38"/>
        <v>1</v>
      </c>
      <c r="K121">
        <f t="shared" ca="1" si="39"/>
        <v>0</v>
      </c>
      <c r="L121">
        <f t="shared" ca="1" si="33"/>
        <v>0</v>
      </c>
      <c r="M121" t="str">
        <f t="shared" ca="1" si="40"/>
        <v>na</v>
      </c>
      <c r="N121" t="str">
        <f t="shared" ca="1" si="41"/>
        <v>na</v>
      </c>
    </row>
    <row r="122" spans="1:14" x14ac:dyDescent="0.2">
      <c r="A122" vm="238">
        <f ca="1"/>
        <v>44421</v>
      </c>
      <c r="B122" vm="239">
        <f ca="1"/>
        <v>41.63</v>
      </c>
      <c r="C122">
        <f t="shared" ca="1" si="30"/>
        <v>-0.51999999999999602</v>
      </c>
      <c r="D122">
        <f t="shared" ca="1" si="31"/>
        <v>0</v>
      </c>
      <c r="E122">
        <f t="shared" ca="1" si="32"/>
        <v>0.51999999999999602</v>
      </c>
      <c r="F122">
        <f t="shared" ca="1" si="34"/>
        <v>0.33996167719329767</v>
      </c>
      <c r="G122">
        <f t="shared" ca="1" si="35"/>
        <v>0.20225702664409956</v>
      </c>
      <c r="H122">
        <f t="shared" ca="1" si="36"/>
        <v>1.6808398839537444</v>
      </c>
      <c r="I122">
        <f t="shared" ca="1" si="37"/>
        <v>62.698257140027913</v>
      </c>
      <c r="J122">
        <f t="shared" ca="1" si="38"/>
        <v>1</v>
      </c>
      <c r="K122">
        <f t="shared" ca="1" si="39"/>
        <v>0</v>
      </c>
      <c r="L122">
        <f t="shared" ca="1" si="33"/>
        <v>0</v>
      </c>
      <c r="M122" t="str">
        <f t="shared" ca="1" si="40"/>
        <v>na</v>
      </c>
      <c r="N122" t="str">
        <f t="shared" ca="1" si="41"/>
        <v>na</v>
      </c>
    </row>
    <row r="123" spans="1:14" x14ac:dyDescent="0.2">
      <c r="A123" vm="240">
        <f ca="1"/>
        <v>44424</v>
      </c>
      <c r="B123" vm="241">
        <f ca="1"/>
        <v>41.29</v>
      </c>
      <c r="C123">
        <f t="shared" ca="1" si="30"/>
        <v>-0.34000000000000341</v>
      </c>
      <c r="D123">
        <f t="shared" ca="1" si="31"/>
        <v>0</v>
      </c>
      <c r="E123">
        <f t="shared" ca="1" si="32"/>
        <v>0.34000000000000341</v>
      </c>
      <c r="F123">
        <f t="shared" ca="1" si="34"/>
        <v>0.31567870025091926</v>
      </c>
      <c r="G123">
        <f t="shared" ca="1" si="35"/>
        <v>0.21209581045523554</v>
      </c>
      <c r="H123">
        <f t="shared" ca="1" si="36"/>
        <v>1.4883778211995644</v>
      </c>
      <c r="I123">
        <f t="shared" ca="1" si="37"/>
        <v>59.813176621308529</v>
      </c>
      <c r="J123">
        <f t="shared" ca="1" si="38"/>
        <v>1</v>
      </c>
      <c r="K123">
        <f t="shared" ca="1" si="39"/>
        <v>0</v>
      </c>
      <c r="L123">
        <f t="shared" ca="1" si="33"/>
        <v>0</v>
      </c>
      <c r="M123" t="str">
        <f t="shared" ca="1" si="40"/>
        <v>na</v>
      </c>
      <c r="N123" t="str">
        <f t="shared" ca="1" si="41"/>
        <v>na</v>
      </c>
    </row>
    <row r="124" spans="1:14" x14ac:dyDescent="0.2">
      <c r="A124" vm="242">
        <f ca="1"/>
        <v>44425</v>
      </c>
      <c r="B124" vm="243">
        <f ca="1"/>
        <v>41.09</v>
      </c>
      <c r="C124">
        <f t="shared" ca="1" si="30"/>
        <v>-0.19999999999999574</v>
      </c>
      <c r="D124">
        <f t="shared" ca="1" si="31"/>
        <v>0</v>
      </c>
      <c r="E124">
        <f t="shared" ca="1" si="32"/>
        <v>0.19999999999999574</v>
      </c>
      <c r="F124">
        <f t="shared" ca="1" si="34"/>
        <v>0.29313022166156788</v>
      </c>
      <c r="G124">
        <f t="shared" ca="1" si="35"/>
        <v>0.211231823994147</v>
      </c>
      <c r="H124">
        <f t="shared" ca="1" si="36"/>
        <v>1.3877180820523056</v>
      </c>
      <c r="I124">
        <f t="shared" ca="1" si="37"/>
        <v>58.119008792676482</v>
      </c>
      <c r="J124">
        <f t="shared" ca="1" si="38"/>
        <v>1</v>
      </c>
      <c r="K124">
        <f t="shared" ca="1" si="39"/>
        <v>0</v>
      </c>
      <c r="L124">
        <f t="shared" ca="1" si="33"/>
        <v>0</v>
      </c>
      <c r="M124" t="str">
        <f t="shared" ca="1" si="40"/>
        <v>na</v>
      </c>
      <c r="N124" t="str">
        <f t="shared" ca="1" si="41"/>
        <v>na</v>
      </c>
    </row>
    <row r="125" spans="1:14" x14ac:dyDescent="0.2">
      <c r="A125" vm="244">
        <f ca="1"/>
        <v>44426</v>
      </c>
      <c r="B125" vm="245">
        <f ca="1"/>
        <v>40.79</v>
      </c>
      <c r="C125">
        <f t="shared" ca="1" si="30"/>
        <v>-0.30000000000000426</v>
      </c>
      <c r="D125">
        <f t="shared" ca="1" si="31"/>
        <v>0</v>
      </c>
      <c r="E125">
        <f t="shared" ca="1" si="32"/>
        <v>0.30000000000000426</v>
      </c>
      <c r="F125">
        <f t="shared" ca="1" si="34"/>
        <v>0.2721923486857416</v>
      </c>
      <c r="G125">
        <f t="shared" ca="1" si="35"/>
        <v>0.21757240799456537</v>
      </c>
      <c r="H125">
        <f t="shared" ca="1" si="36"/>
        <v>1.2510425894286217</v>
      </c>
      <c r="I125">
        <f t="shared" ca="1" si="37"/>
        <v>55.576140376187709</v>
      </c>
      <c r="J125">
        <f t="shared" ca="1" si="38"/>
        <v>1</v>
      </c>
      <c r="K125">
        <f t="shared" ca="1" si="39"/>
        <v>0</v>
      </c>
      <c r="L125">
        <f t="shared" ca="1" si="33"/>
        <v>0</v>
      </c>
      <c r="M125" t="str">
        <f t="shared" ca="1" si="40"/>
        <v>na</v>
      </c>
      <c r="N125" t="str">
        <f t="shared" ca="1" si="41"/>
        <v>na</v>
      </c>
    </row>
    <row r="126" spans="1:14" x14ac:dyDescent="0.2">
      <c r="A126" vm="246">
        <f ca="1"/>
        <v>44427</v>
      </c>
      <c r="B126" vm="247">
        <f ca="1"/>
        <v>40.19</v>
      </c>
      <c r="C126">
        <f t="shared" ca="1" si="30"/>
        <v>-0.60000000000000142</v>
      </c>
      <c r="D126">
        <f t="shared" ca="1" si="31"/>
        <v>0</v>
      </c>
      <c r="E126">
        <f t="shared" ca="1" si="32"/>
        <v>0.60000000000000142</v>
      </c>
      <c r="F126">
        <f t="shared" ca="1" si="34"/>
        <v>0.25275003806533147</v>
      </c>
      <c r="G126">
        <f t="shared" ca="1" si="35"/>
        <v>0.24488866456638222</v>
      </c>
      <c r="H126">
        <f t="shared" ca="1" si="36"/>
        <v>1.0321018268153375</v>
      </c>
      <c r="I126">
        <f t="shared" ca="1" si="37"/>
        <v>50.789867574344115</v>
      </c>
      <c r="J126">
        <f t="shared" ca="1" si="38"/>
        <v>1</v>
      </c>
      <c r="K126">
        <f t="shared" ca="1" si="39"/>
        <v>0</v>
      </c>
      <c r="L126">
        <f t="shared" ca="1" si="33"/>
        <v>0</v>
      </c>
      <c r="M126" t="str">
        <f t="shared" ca="1" si="40"/>
        <v>na</v>
      </c>
      <c r="N126" t="str">
        <f t="shared" ca="1" si="41"/>
        <v>na</v>
      </c>
    </row>
    <row r="127" spans="1:14" x14ac:dyDescent="0.2">
      <c r="A127" vm="248">
        <f ca="1"/>
        <v>44428</v>
      </c>
      <c r="B127" vm="249">
        <f ca="1"/>
        <v>40.369999999999997</v>
      </c>
      <c r="C127">
        <f t="shared" ca="1" si="30"/>
        <v>0.17999999999999972</v>
      </c>
      <c r="D127">
        <f t="shared" ca="1" si="31"/>
        <v>0.17999999999999972</v>
      </c>
      <c r="E127">
        <f t="shared" ca="1" si="32"/>
        <v>0</v>
      </c>
      <c r="F127">
        <f t="shared" ca="1" si="34"/>
        <v>0.24755360677495064</v>
      </c>
      <c r="G127">
        <f t="shared" ca="1" si="35"/>
        <v>0.22739661709735493</v>
      </c>
      <c r="H127">
        <f t="shared" ca="1" si="36"/>
        <v>1.0886424342406376</v>
      </c>
      <c r="I127">
        <f t="shared" ca="1" si="37"/>
        <v>52.122010756543517</v>
      </c>
      <c r="J127">
        <f t="shared" ca="1" si="38"/>
        <v>1</v>
      </c>
      <c r="K127">
        <f t="shared" ca="1" si="39"/>
        <v>0</v>
      </c>
      <c r="L127">
        <f t="shared" ca="1" si="33"/>
        <v>0</v>
      </c>
      <c r="M127" t="str">
        <f t="shared" ca="1" si="40"/>
        <v>na</v>
      </c>
      <c r="N127" t="str">
        <f t="shared" ca="1" si="41"/>
        <v>na</v>
      </c>
    </row>
    <row r="128" spans="1:14" x14ac:dyDescent="0.2">
      <c r="A128" vm="250">
        <f ca="1"/>
        <v>44431</v>
      </c>
      <c r="B128" vm="251">
        <f ca="1"/>
        <v>40.909999999999997</v>
      </c>
      <c r="C128">
        <f t="shared" ca="1" si="30"/>
        <v>0.53999999999999915</v>
      </c>
      <c r="D128">
        <f t="shared" ca="1" si="31"/>
        <v>0.53999999999999915</v>
      </c>
      <c r="E128">
        <f t="shared" ca="1" si="32"/>
        <v>0</v>
      </c>
      <c r="F128">
        <f t="shared" ca="1" si="34"/>
        <v>0.26844263486245412</v>
      </c>
      <c r="G128">
        <f t="shared" ca="1" si="35"/>
        <v>0.21115400159040101</v>
      </c>
      <c r="H128">
        <f t="shared" ca="1" si="36"/>
        <v>1.2713120889992995</v>
      </c>
      <c r="I128">
        <f t="shared" ca="1" si="37"/>
        <v>55.972584972213902</v>
      </c>
      <c r="J128">
        <f t="shared" ca="1" si="38"/>
        <v>1</v>
      </c>
      <c r="K128">
        <f t="shared" ca="1" si="39"/>
        <v>0</v>
      </c>
      <c r="L128">
        <f t="shared" ca="1" si="33"/>
        <v>0</v>
      </c>
      <c r="M128" t="str">
        <f t="shared" ca="1" si="40"/>
        <v>na</v>
      </c>
      <c r="N128" t="str">
        <f t="shared" ca="1" si="41"/>
        <v>na</v>
      </c>
    </row>
    <row r="129" spans="1:14" x14ac:dyDescent="0.2">
      <c r="A129" vm="252">
        <f ca="1"/>
        <v>44432</v>
      </c>
      <c r="B129" vm="253">
        <f ca="1"/>
        <v>41.48</v>
      </c>
      <c r="C129">
        <f t="shared" ca="1" si="30"/>
        <v>0.57000000000000028</v>
      </c>
      <c r="D129">
        <f t="shared" ca="1" si="31"/>
        <v>0.57000000000000028</v>
      </c>
      <c r="E129">
        <f t="shared" ca="1" si="32"/>
        <v>0</v>
      </c>
      <c r="F129">
        <f t="shared" ca="1" si="34"/>
        <v>0.28998244665799311</v>
      </c>
      <c r="G129">
        <f t="shared" ca="1" si="35"/>
        <v>0.19607157290537236</v>
      </c>
      <c r="H129">
        <f t="shared" ca="1" si="36"/>
        <v>1.478962209365984</v>
      </c>
      <c r="I129">
        <f t="shared" ca="1" si="37"/>
        <v>59.66053874392226</v>
      </c>
      <c r="J129">
        <f t="shared" ca="1" si="38"/>
        <v>1</v>
      </c>
      <c r="K129">
        <f t="shared" ca="1" si="39"/>
        <v>0</v>
      </c>
      <c r="L129">
        <f t="shared" ca="1" si="33"/>
        <v>0</v>
      </c>
      <c r="M129" t="str">
        <f t="shared" ca="1" si="40"/>
        <v>na</v>
      </c>
      <c r="N129" t="str">
        <f t="shared" ca="1" si="41"/>
        <v>na</v>
      </c>
    </row>
    <row r="130" spans="1:14" x14ac:dyDescent="0.2">
      <c r="A130" vm="254">
        <f ca="1"/>
        <v>44433</v>
      </c>
      <c r="B130" vm="237">
        <f ca="1"/>
        <v>42.15</v>
      </c>
      <c r="C130">
        <f t="shared" ca="1" si="30"/>
        <v>0.67000000000000171</v>
      </c>
      <c r="D130">
        <f t="shared" ca="1" si="31"/>
        <v>0.67000000000000171</v>
      </c>
      <c r="E130">
        <f t="shared" ca="1" si="32"/>
        <v>0</v>
      </c>
      <c r="F130">
        <f t="shared" ca="1" si="34"/>
        <v>0.31712655761099373</v>
      </c>
      <c r="G130">
        <f t="shared" ca="1" si="35"/>
        <v>0.18206646055498862</v>
      </c>
      <c r="H130">
        <f t="shared" ca="1" si="36"/>
        <v>1.7418175574145003</v>
      </c>
      <c r="I130">
        <f t="shared" ca="1" si="37"/>
        <v>63.527843152956265</v>
      </c>
      <c r="J130">
        <f t="shared" ca="1" si="38"/>
        <v>1</v>
      </c>
      <c r="K130">
        <f t="shared" ca="1" si="39"/>
        <v>0</v>
      </c>
      <c r="L130">
        <f t="shared" ca="1" si="33"/>
        <v>0</v>
      </c>
      <c r="M130" t="str">
        <f t="shared" ca="1" si="40"/>
        <v>na</v>
      </c>
      <c r="N130" t="str">
        <f t="shared" ca="1" si="41"/>
        <v>na</v>
      </c>
    </row>
    <row r="131" spans="1:14" x14ac:dyDescent="0.2">
      <c r="A131" vm="255">
        <f ca="1"/>
        <v>44434</v>
      </c>
      <c r="B131" vm="140">
        <f ca="1"/>
        <v>42.04</v>
      </c>
      <c r="C131">
        <f t="shared" ca="1" si="30"/>
        <v>-0.10999999999999943</v>
      </c>
      <c r="D131">
        <f t="shared" ca="1" si="31"/>
        <v>0</v>
      </c>
      <c r="E131">
        <f t="shared" ca="1" si="32"/>
        <v>0.10999999999999943</v>
      </c>
      <c r="F131">
        <f t="shared" ca="1" si="34"/>
        <v>0.29447466063877986</v>
      </c>
      <c r="G131">
        <f t="shared" ca="1" si="35"/>
        <v>0.17691885622963224</v>
      </c>
      <c r="H131">
        <f t="shared" ca="1" si="36"/>
        <v>1.6644617024686492</v>
      </c>
      <c r="I131">
        <f t="shared" ca="1" si="37"/>
        <v>62.468967030995778</v>
      </c>
      <c r="J131">
        <f t="shared" ca="1" si="38"/>
        <v>1</v>
      </c>
      <c r="K131">
        <f t="shared" ca="1" si="39"/>
        <v>0</v>
      </c>
      <c r="L131">
        <f t="shared" ca="1" si="33"/>
        <v>0</v>
      </c>
      <c r="M131" t="str">
        <f t="shared" ca="1" si="40"/>
        <v>na</v>
      </c>
      <c r="N131" t="str">
        <f t="shared" ca="1" si="41"/>
        <v>na</v>
      </c>
    </row>
    <row r="132" spans="1:14" x14ac:dyDescent="0.2">
      <c r="A132" vm="256">
        <f ca="1"/>
        <v>44435</v>
      </c>
      <c r="B132" vm="257">
        <f ca="1"/>
        <v>42.49</v>
      </c>
      <c r="C132">
        <f t="shared" ca="1" si="30"/>
        <v>0.45000000000000284</v>
      </c>
      <c r="D132">
        <f t="shared" ca="1" si="31"/>
        <v>0.45000000000000284</v>
      </c>
      <c r="E132">
        <f t="shared" ca="1" si="32"/>
        <v>0</v>
      </c>
      <c r="F132">
        <f t="shared" ca="1" si="34"/>
        <v>0.30558361345029578</v>
      </c>
      <c r="G132">
        <f t="shared" ca="1" si="35"/>
        <v>0.1642817950703728</v>
      </c>
      <c r="H132">
        <f t="shared" ca="1" si="36"/>
        <v>1.8601185439895762</v>
      </c>
      <c r="I132">
        <f t="shared" ca="1" si="37"/>
        <v>65.036414238792304</v>
      </c>
      <c r="J132">
        <f t="shared" ca="1" si="38"/>
        <v>1</v>
      </c>
      <c r="K132">
        <f t="shared" ca="1" si="39"/>
        <v>0</v>
      </c>
      <c r="L132">
        <f t="shared" ca="1" si="33"/>
        <v>0</v>
      </c>
      <c r="M132" t="str">
        <f t="shared" ca="1" si="40"/>
        <v>na</v>
      </c>
      <c r="N132" t="str">
        <f t="shared" ca="1" si="41"/>
        <v>na</v>
      </c>
    </row>
    <row r="133" spans="1:14" x14ac:dyDescent="0.2">
      <c r="A133" vm="258">
        <f ca="1"/>
        <v>44438</v>
      </c>
      <c r="B133" vm="259">
        <f ca="1"/>
        <v>41.66</v>
      </c>
      <c r="C133">
        <f t="shared" ca="1" si="30"/>
        <v>-0.8300000000000054</v>
      </c>
      <c r="D133">
        <f t="shared" ca="1" si="31"/>
        <v>0</v>
      </c>
      <c r="E133">
        <f t="shared" ca="1" si="32"/>
        <v>0.8300000000000054</v>
      </c>
      <c r="F133">
        <f t="shared" ca="1" si="34"/>
        <v>0.28375621248956034</v>
      </c>
      <c r="G133">
        <f t="shared" ca="1" si="35"/>
        <v>0.2118330954224894</v>
      </c>
      <c r="H133">
        <f t="shared" ca="1" si="36"/>
        <v>1.3395272911611109</v>
      </c>
      <c r="I133">
        <f t="shared" ca="1" si="37"/>
        <v>57.256322515318956</v>
      </c>
      <c r="J133">
        <f t="shared" ca="1" si="38"/>
        <v>1</v>
      </c>
      <c r="K133">
        <f t="shared" ca="1" si="39"/>
        <v>0</v>
      </c>
      <c r="L133">
        <f t="shared" ca="1" si="33"/>
        <v>0</v>
      </c>
      <c r="M133" t="str">
        <f t="shared" ca="1" si="40"/>
        <v>na</v>
      </c>
      <c r="N133" t="str">
        <f t="shared" ca="1" si="41"/>
        <v>na</v>
      </c>
    </row>
    <row r="134" spans="1:14" x14ac:dyDescent="0.2">
      <c r="A134" vm="260">
        <f ca="1"/>
        <v>44439</v>
      </c>
      <c r="B134" vm="261">
        <f ca="1"/>
        <v>41.75</v>
      </c>
      <c r="C134">
        <f t="shared" ca="1" si="30"/>
        <v>9.0000000000003411E-2</v>
      </c>
      <c r="D134">
        <f t="shared" ca="1" si="31"/>
        <v>9.0000000000003411E-2</v>
      </c>
      <c r="E134">
        <f t="shared" ca="1" si="32"/>
        <v>0</v>
      </c>
      <c r="F134">
        <f t="shared" ca="1" si="34"/>
        <v>0.26991648302602056</v>
      </c>
      <c r="G134">
        <f t="shared" ca="1" si="35"/>
        <v>0.19670216003516874</v>
      </c>
      <c r="H134">
        <f t="shared" ca="1" si="36"/>
        <v>1.3722090442614443</v>
      </c>
      <c r="I134">
        <f t="shared" ca="1" si="37"/>
        <v>57.845199080617419</v>
      </c>
      <c r="J134">
        <f t="shared" ca="1" si="38"/>
        <v>1</v>
      </c>
      <c r="K134">
        <f t="shared" ca="1" si="39"/>
        <v>0</v>
      </c>
      <c r="L134">
        <f t="shared" ca="1" si="33"/>
        <v>0</v>
      </c>
      <c r="M134" t="str">
        <f t="shared" ca="1" si="40"/>
        <v>na</v>
      </c>
      <c r="N134" t="str">
        <f t="shared" ca="1" si="41"/>
        <v>na</v>
      </c>
    </row>
    <row r="135" spans="1:14" x14ac:dyDescent="0.2">
      <c r="A135" vm="262">
        <f ca="1"/>
        <v>44440</v>
      </c>
      <c r="B135" vm="263">
        <f ca="1"/>
        <v>41.19</v>
      </c>
      <c r="C135">
        <f t="shared" ca="1" si="30"/>
        <v>-0.56000000000000227</v>
      </c>
      <c r="D135">
        <f t="shared" ca="1" si="31"/>
        <v>0</v>
      </c>
      <c r="E135">
        <f t="shared" ca="1" si="32"/>
        <v>0.56000000000000227</v>
      </c>
      <c r="F135">
        <f t="shared" ca="1" si="34"/>
        <v>0.25063673423844762</v>
      </c>
      <c r="G135">
        <f t="shared" ca="1" si="35"/>
        <v>0.22265200574694258</v>
      </c>
      <c r="H135">
        <f t="shared" ca="1" si="36"/>
        <v>1.1256881939941352</v>
      </c>
      <c r="I135">
        <f t="shared" ca="1" si="37"/>
        <v>52.956411818752429</v>
      </c>
      <c r="J135">
        <f t="shared" ca="1" si="38"/>
        <v>1</v>
      </c>
      <c r="K135">
        <f t="shared" ca="1" si="39"/>
        <v>0</v>
      </c>
      <c r="L135">
        <f t="shared" ca="1" si="33"/>
        <v>0</v>
      </c>
      <c r="M135" t="str">
        <f t="shared" ca="1" si="40"/>
        <v>na</v>
      </c>
      <c r="N135" t="str">
        <f t="shared" ca="1" si="41"/>
        <v>na</v>
      </c>
    </row>
    <row r="136" spans="1:14" x14ac:dyDescent="0.2">
      <c r="A136" vm="264">
        <f ca="1"/>
        <v>44441</v>
      </c>
      <c r="B136" vm="265">
        <f ca="1"/>
        <v>41.02</v>
      </c>
      <c r="C136">
        <f t="shared" ca="1" si="30"/>
        <v>-0.1699999999999946</v>
      </c>
      <c r="D136">
        <f t="shared" ca="1" si="31"/>
        <v>0</v>
      </c>
      <c r="E136">
        <f t="shared" ca="1" si="32"/>
        <v>0.1699999999999946</v>
      </c>
      <c r="F136">
        <f t="shared" ca="1" si="34"/>
        <v>0.2327341103642728</v>
      </c>
      <c r="G136">
        <f t="shared" ca="1" si="35"/>
        <v>0.21889114819358915</v>
      </c>
      <c r="H136">
        <f t="shared" ca="1" si="36"/>
        <v>1.0632413063978303</v>
      </c>
      <c r="I136">
        <f t="shared" ca="1" si="37"/>
        <v>51.532571740438883</v>
      </c>
      <c r="J136">
        <f t="shared" ca="1" si="38"/>
        <v>1</v>
      </c>
      <c r="K136">
        <f t="shared" ca="1" si="39"/>
        <v>0</v>
      </c>
      <c r="L136">
        <f t="shared" ca="1" si="33"/>
        <v>0</v>
      </c>
      <c r="M136" t="str">
        <f t="shared" ca="1" si="40"/>
        <v>na</v>
      </c>
      <c r="N136" t="str">
        <f t="shared" ca="1" si="41"/>
        <v>na</v>
      </c>
    </row>
    <row r="137" spans="1:14" x14ac:dyDescent="0.2">
      <c r="A137" vm="266">
        <f ca="1"/>
        <v>44442</v>
      </c>
      <c r="B137" vm="267">
        <f ca="1"/>
        <v>41.05</v>
      </c>
      <c r="C137">
        <f t="shared" ref="C137:C200" ca="1" si="42">B137-B136</f>
        <v>2.9999999999994031E-2</v>
      </c>
      <c r="D137">
        <f t="shared" ref="D137:D200" ca="1" si="43">IF(C137&gt;0,C137,0)</f>
        <v>2.9999999999994031E-2</v>
      </c>
      <c r="E137">
        <f t="shared" ref="E137:E200" ca="1" si="44">IF(C137&lt;0,ABS(C137),0)</f>
        <v>0</v>
      </c>
      <c r="F137">
        <f t="shared" ca="1" si="34"/>
        <v>0.21825310248111005</v>
      </c>
      <c r="G137">
        <f t="shared" ca="1" si="35"/>
        <v>0.20325606617976136</v>
      </c>
      <c r="H137">
        <f t="shared" ca="1" si="36"/>
        <v>1.0737839543154652</v>
      </c>
      <c r="I137">
        <f t="shared" ca="1" si="37"/>
        <v>51.778969167977309</v>
      </c>
      <c r="J137">
        <f t="shared" ca="1" si="38"/>
        <v>1</v>
      </c>
      <c r="K137">
        <f t="shared" ca="1" si="39"/>
        <v>0</v>
      </c>
      <c r="L137">
        <f t="shared" ca="1" si="33"/>
        <v>0</v>
      </c>
      <c r="M137" t="str">
        <f t="shared" ca="1" si="40"/>
        <v>na</v>
      </c>
      <c r="N137" t="str">
        <f t="shared" ca="1" si="41"/>
        <v>na</v>
      </c>
    </row>
    <row r="138" spans="1:14" x14ac:dyDescent="0.2">
      <c r="A138" vm="268">
        <f ca="1"/>
        <v>44446</v>
      </c>
      <c r="B138" vm="269">
        <f ca="1"/>
        <v>41.32</v>
      </c>
      <c r="C138">
        <f t="shared" ca="1" si="42"/>
        <v>0.27000000000000313</v>
      </c>
      <c r="D138">
        <f t="shared" ca="1" si="43"/>
        <v>0.27000000000000313</v>
      </c>
      <c r="E138">
        <f t="shared" ca="1" si="44"/>
        <v>0</v>
      </c>
      <c r="F138">
        <f t="shared" ca="1" si="34"/>
        <v>0.22194930944674526</v>
      </c>
      <c r="G138">
        <f t="shared" ca="1" si="35"/>
        <v>0.18873777573834985</v>
      </c>
      <c r="H138">
        <f t="shared" ca="1" si="36"/>
        <v>1.1759665418248708</v>
      </c>
      <c r="I138">
        <f t="shared" ca="1" si="37"/>
        <v>54.043411018565038</v>
      </c>
      <c r="J138">
        <f t="shared" ca="1" si="38"/>
        <v>1</v>
      </c>
      <c r="K138">
        <f t="shared" ca="1" si="39"/>
        <v>0</v>
      </c>
      <c r="L138">
        <f t="shared" ca="1" si="33"/>
        <v>0</v>
      </c>
      <c r="M138" t="str">
        <f t="shared" ca="1" si="40"/>
        <v>na</v>
      </c>
      <c r="N138" t="str">
        <f t="shared" ca="1" si="41"/>
        <v>na</v>
      </c>
    </row>
    <row r="139" spans="1:14" x14ac:dyDescent="0.2">
      <c r="A139" vm="270">
        <f ca="1"/>
        <v>44447</v>
      </c>
      <c r="B139" vm="271">
        <f ca="1"/>
        <v>40.78</v>
      </c>
      <c r="C139">
        <f t="shared" ca="1" si="42"/>
        <v>-0.53999999999999915</v>
      </c>
      <c r="D139">
        <f t="shared" ca="1" si="43"/>
        <v>0</v>
      </c>
      <c r="E139">
        <f t="shared" ca="1" si="44"/>
        <v>0.53999999999999915</v>
      </c>
      <c r="F139">
        <f t="shared" ca="1" si="34"/>
        <v>0.20609578734340633</v>
      </c>
      <c r="G139">
        <f t="shared" ca="1" si="35"/>
        <v>0.21382793461418195</v>
      </c>
      <c r="H139">
        <f t="shared" ca="1" si="36"/>
        <v>0.96383939598571611</v>
      </c>
      <c r="I139">
        <f t="shared" ca="1" si="37"/>
        <v>49.079339072018826</v>
      </c>
      <c r="J139">
        <f t="shared" ca="1" si="38"/>
        <v>1</v>
      </c>
      <c r="K139">
        <f t="shared" ca="1" si="39"/>
        <v>0</v>
      </c>
      <c r="L139">
        <f t="shared" ca="1" si="33"/>
        <v>0</v>
      </c>
      <c r="M139" t="str">
        <f t="shared" ca="1" si="40"/>
        <v>na</v>
      </c>
      <c r="N139" t="str">
        <f t="shared" ca="1" si="41"/>
        <v>na</v>
      </c>
    </row>
    <row r="140" spans="1:14" x14ac:dyDescent="0.2">
      <c r="A140" vm="272">
        <f ca="1"/>
        <v>44448</v>
      </c>
      <c r="B140" vm="273">
        <f ca="1"/>
        <v>40.93</v>
      </c>
      <c r="C140">
        <f t="shared" ca="1" si="42"/>
        <v>0.14999999999999858</v>
      </c>
      <c r="D140">
        <f t="shared" ca="1" si="43"/>
        <v>0.14999999999999858</v>
      </c>
      <c r="E140">
        <f t="shared" ca="1" si="44"/>
        <v>0</v>
      </c>
      <c r="F140">
        <f t="shared" ca="1" si="34"/>
        <v>0.20208894539030578</v>
      </c>
      <c r="G140">
        <f t="shared" ca="1" si="35"/>
        <v>0.19855451071316896</v>
      </c>
      <c r="H140">
        <f t="shared" ca="1" si="36"/>
        <v>1.0178008279159301</v>
      </c>
      <c r="I140">
        <f t="shared" ca="1" si="37"/>
        <v>50.44109477183423</v>
      </c>
      <c r="J140">
        <f t="shared" ca="1" si="38"/>
        <v>1</v>
      </c>
      <c r="K140">
        <f t="shared" ca="1" si="39"/>
        <v>0</v>
      </c>
      <c r="L140">
        <f t="shared" ca="1" si="33"/>
        <v>0</v>
      </c>
      <c r="M140" t="str">
        <f t="shared" ca="1" si="40"/>
        <v>na</v>
      </c>
      <c r="N140" t="str">
        <f t="shared" ca="1" si="41"/>
        <v>na</v>
      </c>
    </row>
    <row r="141" spans="1:14" x14ac:dyDescent="0.2">
      <c r="A141" vm="274">
        <f ca="1"/>
        <v>44449</v>
      </c>
      <c r="B141" vm="275">
        <f ca="1"/>
        <v>40.270000000000003</v>
      </c>
      <c r="C141">
        <f t="shared" ca="1" si="42"/>
        <v>-0.65999999999999659</v>
      </c>
      <c r="D141">
        <f t="shared" ca="1" si="43"/>
        <v>0</v>
      </c>
      <c r="E141">
        <f t="shared" ca="1" si="44"/>
        <v>0.65999999999999659</v>
      </c>
      <c r="F141">
        <f t="shared" ca="1" si="34"/>
        <v>0.18765402071956966</v>
      </c>
      <c r="G141">
        <f t="shared" ca="1" si="35"/>
        <v>0.23151490280508522</v>
      </c>
      <c r="H141">
        <f t="shared" ca="1" si="36"/>
        <v>0.81054834244324014</v>
      </c>
      <c r="I141">
        <f t="shared" ca="1" si="37"/>
        <v>44.768113805204877</v>
      </c>
      <c r="J141">
        <f t="shared" ca="1" si="38"/>
        <v>1</v>
      </c>
      <c r="K141">
        <f t="shared" ca="1" si="39"/>
        <v>0</v>
      </c>
      <c r="L141">
        <f t="shared" ca="1" si="33"/>
        <v>0</v>
      </c>
      <c r="M141" t="str">
        <f t="shared" ca="1" si="40"/>
        <v>na</v>
      </c>
      <c r="N141" t="str">
        <f t="shared" ca="1" si="41"/>
        <v>na</v>
      </c>
    </row>
    <row r="142" spans="1:14" x14ac:dyDescent="0.2">
      <c r="A142" vm="276">
        <f ca="1"/>
        <v>44452</v>
      </c>
      <c r="B142" vm="277">
        <f ca="1"/>
        <v>40.94</v>
      </c>
      <c r="C142">
        <f t="shared" ca="1" si="42"/>
        <v>0.6699999999999946</v>
      </c>
      <c r="D142">
        <f t="shared" ca="1" si="43"/>
        <v>0.6699999999999946</v>
      </c>
      <c r="E142">
        <f t="shared" ca="1" si="44"/>
        <v>0</v>
      </c>
      <c r="F142">
        <f t="shared" ca="1" si="34"/>
        <v>0.22210730495388573</v>
      </c>
      <c r="G142">
        <f t="shared" ca="1" si="35"/>
        <v>0.21497812403329339</v>
      </c>
      <c r="H142">
        <f t="shared" ca="1" si="36"/>
        <v>1.0331623552519615</v>
      </c>
      <c r="I142">
        <f t="shared" ca="1" si="37"/>
        <v>50.815536328574503</v>
      </c>
      <c r="J142">
        <f t="shared" ca="1" si="38"/>
        <v>1</v>
      </c>
      <c r="K142">
        <f t="shared" ca="1" si="39"/>
        <v>0</v>
      </c>
      <c r="L142">
        <f t="shared" ca="1" si="33"/>
        <v>0</v>
      </c>
      <c r="M142" t="str">
        <f t="shared" ca="1" si="40"/>
        <v>na</v>
      </c>
      <c r="N142" t="str">
        <f t="shared" ca="1" si="41"/>
        <v>na</v>
      </c>
    </row>
    <row r="143" spans="1:14" x14ac:dyDescent="0.2">
      <c r="A143" vm="278">
        <f ca="1"/>
        <v>44453</v>
      </c>
      <c r="B143" vm="279">
        <f ca="1"/>
        <v>39.840000000000003</v>
      </c>
      <c r="C143">
        <f t="shared" ca="1" si="42"/>
        <v>-1.0999999999999943</v>
      </c>
      <c r="D143">
        <f t="shared" ca="1" si="43"/>
        <v>0</v>
      </c>
      <c r="E143">
        <f t="shared" ca="1" si="44"/>
        <v>1.0999999999999943</v>
      </c>
      <c r="F143">
        <f t="shared" ca="1" si="34"/>
        <v>0.20624249745717962</v>
      </c>
      <c r="G143">
        <f t="shared" ca="1" si="35"/>
        <v>0.27819397231662918</v>
      </c>
      <c r="H143">
        <f t="shared" ca="1" si="36"/>
        <v>0.74136220759823912</v>
      </c>
      <c r="I143">
        <f t="shared" ca="1" si="37"/>
        <v>42.573693420207931</v>
      </c>
      <c r="J143">
        <f t="shared" ca="1" si="38"/>
        <v>1</v>
      </c>
      <c r="K143">
        <f t="shared" ca="1" si="39"/>
        <v>0</v>
      </c>
      <c r="L143">
        <f t="shared" ca="1" si="33"/>
        <v>0</v>
      </c>
      <c r="M143" t="str">
        <f t="shared" ca="1" si="40"/>
        <v>na</v>
      </c>
      <c r="N143" t="str">
        <f t="shared" ca="1" si="41"/>
        <v>na</v>
      </c>
    </row>
    <row r="144" spans="1:14" x14ac:dyDescent="0.2">
      <c r="A144" vm="280">
        <f ca="1"/>
        <v>44454</v>
      </c>
      <c r="B144" vm="281">
        <f ca="1"/>
        <v>40.14</v>
      </c>
      <c r="C144">
        <f t="shared" ca="1" si="42"/>
        <v>0.29999999999999716</v>
      </c>
      <c r="D144">
        <f t="shared" ca="1" si="43"/>
        <v>0.29999999999999716</v>
      </c>
      <c r="E144">
        <f t="shared" ca="1" si="44"/>
        <v>0</v>
      </c>
      <c r="F144">
        <f t="shared" ca="1" si="34"/>
        <v>0.21293946192452373</v>
      </c>
      <c r="G144">
        <f t="shared" ca="1" si="35"/>
        <v>0.2583229742940128</v>
      </c>
      <c r="H144">
        <f t="shared" ca="1" si="36"/>
        <v>0.82431484271377509</v>
      </c>
      <c r="I144">
        <f t="shared" ca="1" si="37"/>
        <v>45.184900293172994</v>
      </c>
      <c r="J144">
        <f t="shared" ca="1" si="38"/>
        <v>1</v>
      </c>
      <c r="K144">
        <f t="shared" ca="1" si="39"/>
        <v>0</v>
      </c>
      <c r="L144">
        <f t="shared" ca="1" si="33"/>
        <v>0</v>
      </c>
      <c r="M144" t="str">
        <f t="shared" ca="1" si="40"/>
        <v>na</v>
      </c>
      <c r="N144" t="str">
        <f t="shared" ca="1" si="41"/>
        <v>na</v>
      </c>
    </row>
    <row r="145" spans="1:14" x14ac:dyDescent="0.2">
      <c r="A145" vm="282">
        <f ca="1"/>
        <v>44455</v>
      </c>
      <c r="B145" vm="283">
        <f ca="1"/>
        <v>40.450000000000003</v>
      </c>
      <c r="C145">
        <f t="shared" ca="1" si="42"/>
        <v>0.31000000000000227</v>
      </c>
      <c r="D145">
        <f t="shared" ca="1" si="43"/>
        <v>0.31000000000000227</v>
      </c>
      <c r="E145">
        <f t="shared" ca="1" si="44"/>
        <v>0</v>
      </c>
      <c r="F145">
        <f t="shared" ca="1" si="34"/>
        <v>0.21987235750134365</v>
      </c>
      <c r="G145">
        <f t="shared" ca="1" si="35"/>
        <v>0.23987133327301188</v>
      </c>
      <c r="H145">
        <f t="shared" ca="1" si="36"/>
        <v>0.91662623666286036</v>
      </c>
      <c r="I145">
        <f t="shared" ca="1" si="37"/>
        <v>47.824986381217805</v>
      </c>
      <c r="J145">
        <f t="shared" ca="1" si="38"/>
        <v>1</v>
      </c>
      <c r="K145">
        <f t="shared" ca="1" si="39"/>
        <v>0</v>
      </c>
      <c r="L145">
        <f t="shared" ca="1" si="33"/>
        <v>0</v>
      </c>
      <c r="M145" t="str">
        <f t="shared" ca="1" si="40"/>
        <v>na</v>
      </c>
      <c r="N145" t="str">
        <f t="shared" ca="1" si="41"/>
        <v>na</v>
      </c>
    </row>
    <row r="146" spans="1:14" x14ac:dyDescent="0.2">
      <c r="A146" vm="284">
        <f ca="1"/>
        <v>44456</v>
      </c>
      <c r="B146" vm="285">
        <f ca="1"/>
        <v>40.5</v>
      </c>
      <c r="C146">
        <f t="shared" ca="1" si="42"/>
        <v>4.9999999999997158E-2</v>
      </c>
      <c r="D146">
        <f t="shared" ca="1" si="43"/>
        <v>4.9999999999997158E-2</v>
      </c>
      <c r="E146">
        <f t="shared" ca="1" si="44"/>
        <v>0</v>
      </c>
      <c r="F146">
        <f t="shared" ca="1" si="34"/>
        <v>0.20773861767981888</v>
      </c>
      <c r="G146">
        <f t="shared" ca="1" si="35"/>
        <v>0.22273766661065389</v>
      </c>
      <c r="H146">
        <f t="shared" ca="1" si="36"/>
        <v>0.93266047382523143</v>
      </c>
      <c r="I146">
        <f t="shared" ca="1" si="37"/>
        <v>48.257854209604481</v>
      </c>
      <c r="J146">
        <f t="shared" ca="1" si="38"/>
        <v>1</v>
      </c>
      <c r="K146">
        <f t="shared" ca="1" si="39"/>
        <v>0</v>
      </c>
      <c r="L146">
        <f t="shared" ca="1" si="33"/>
        <v>0</v>
      </c>
      <c r="M146" t="str">
        <f t="shared" ca="1" si="40"/>
        <v>na</v>
      </c>
      <c r="N146" t="str">
        <f t="shared" ca="1" si="41"/>
        <v>na</v>
      </c>
    </row>
    <row r="147" spans="1:14" x14ac:dyDescent="0.2">
      <c r="A147" vm="286">
        <f ca="1"/>
        <v>44459</v>
      </c>
      <c r="B147" vm="287">
        <f ca="1"/>
        <v>39.11</v>
      </c>
      <c r="C147">
        <f t="shared" ca="1" si="42"/>
        <v>-1.3900000000000006</v>
      </c>
      <c r="D147">
        <f t="shared" ca="1" si="43"/>
        <v>0</v>
      </c>
      <c r="E147">
        <f t="shared" ca="1" si="44"/>
        <v>1.3900000000000006</v>
      </c>
      <c r="F147">
        <f t="shared" ca="1" si="34"/>
        <v>0.19290014498840327</v>
      </c>
      <c r="G147">
        <f t="shared" ca="1" si="35"/>
        <v>0.30611354756703574</v>
      </c>
      <c r="H147">
        <f t="shared" ca="1" si="36"/>
        <v>0.63015879735332558</v>
      </c>
      <c r="I147">
        <f t="shared" ca="1" si="37"/>
        <v>38.656282956999746</v>
      </c>
      <c r="J147">
        <f t="shared" ca="1" si="38"/>
        <v>1</v>
      </c>
      <c r="K147">
        <f t="shared" ca="1" si="39"/>
        <v>1</v>
      </c>
      <c r="L147">
        <f t="shared" ca="1" si="33"/>
        <v>0</v>
      </c>
      <c r="M147" t="str">
        <f t="shared" ca="1" si="40"/>
        <v>na</v>
      </c>
      <c r="N147" t="str">
        <f t="shared" ca="1" si="41"/>
        <v>na</v>
      </c>
    </row>
    <row r="148" spans="1:14" x14ac:dyDescent="0.2">
      <c r="A148" vm="288">
        <f ca="1"/>
        <v>44460</v>
      </c>
      <c r="B148" vm="289">
        <f ca="1"/>
        <v>39.130000000000003</v>
      </c>
      <c r="C148">
        <f t="shared" ca="1" si="42"/>
        <v>2.0000000000003126E-2</v>
      </c>
      <c r="D148">
        <f t="shared" ca="1" si="43"/>
        <v>2.0000000000003126E-2</v>
      </c>
      <c r="E148">
        <f t="shared" ca="1" si="44"/>
        <v>0</v>
      </c>
      <c r="F148">
        <f t="shared" ca="1" si="34"/>
        <v>0.18055013463208899</v>
      </c>
      <c r="G148">
        <f t="shared" ca="1" si="35"/>
        <v>0.28424829416939035</v>
      </c>
      <c r="H148">
        <f t="shared" ca="1" si="36"/>
        <v>0.63518458451854365</v>
      </c>
      <c r="I148">
        <f t="shared" ca="1" si="37"/>
        <v>38.844824647461095</v>
      </c>
      <c r="J148">
        <f t="shared" ca="1" si="38"/>
        <v>1</v>
      </c>
      <c r="K148">
        <f t="shared" ca="1" si="39"/>
        <v>1</v>
      </c>
      <c r="L148">
        <f t="shared" ca="1" si="33"/>
        <v>0</v>
      </c>
      <c r="M148" t="str">
        <f t="shared" ca="1" si="40"/>
        <v>na</v>
      </c>
      <c r="N148" t="str">
        <f t="shared" ca="1" si="41"/>
        <v>na</v>
      </c>
    </row>
    <row r="149" spans="1:14" x14ac:dyDescent="0.2">
      <c r="A149" vm="290">
        <f ca="1"/>
        <v>44461</v>
      </c>
      <c r="B149" vm="281">
        <f ca="1"/>
        <v>40.14</v>
      </c>
      <c r="C149">
        <f t="shared" ca="1" si="42"/>
        <v>1.009999999999998</v>
      </c>
      <c r="D149">
        <f t="shared" ca="1" si="43"/>
        <v>1.009999999999998</v>
      </c>
      <c r="E149">
        <f t="shared" ca="1" si="44"/>
        <v>0</v>
      </c>
      <c r="F149">
        <f t="shared" ca="1" si="34"/>
        <v>0.23979655358693966</v>
      </c>
      <c r="G149">
        <f t="shared" ca="1" si="35"/>
        <v>0.26394484458586248</v>
      </c>
      <c r="H149">
        <f t="shared" ca="1" si="36"/>
        <v>0.90851008650382159</v>
      </c>
      <c r="I149">
        <f t="shared" ca="1" si="37"/>
        <v>47.60310636702534</v>
      </c>
      <c r="J149">
        <f t="shared" ca="1" si="38"/>
        <v>1</v>
      </c>
      <c r="K149">
        <f t="shared" ca="1" si="39"/>
        <v>0</v>
      </c>
      <c r="L149">
        <f t="shared" ca="1" si="33"/>
        <v>0</v>
      </c>
      <c r="M149" t="str">
        <f t="shared" ca="1" si="40"/>
        <v>na</v>
      </c>
      <c r="N149" t="str">
        <f t="shared" ca="1" si="41"/>
        <v>na</v>
      </c>
    </row>
    <row r="150" spans="1:14" x14ac:dyDescent="0.2">
      <c r="A150" vm="291">
        <f ca="1"/>
        <v>44462</v>
      </c>
      <c r="B150" vm="160">
        <f ca="1"/>
        <v>41.69</v>
      </c>
      <c r="C150">
        <f t="shared" ca="1" si="42"/>
        <v>1.5499999999999972</v>
      </c>
      <c r="D150">
        <f t="shared" ca="1" si="43"/>
        <v>1.5499999999999972</v>
      </c>
      <c r="E150">
        <f t="shared" ca="1" si="44"/>
        <v>0</v>
      </c>
      <c r="F150">
        <f t="shared" ca="1" si="34"/>
        <v>0.33338251404501523</v>
      </c>
      <c r="G150">
        <f t="shared" ca="1" si="35"/>
        <v>0.24509164140115799</v>
      </c>
      <c r="H150">
        <f t="shared" ca="1" si="36"/>
        <v>1.3602361636615163</v>
      </c>
      <c r="I150">
        <f t="shared" ca="1" si="37"/>
        <v>57.631358446407951</v>
      </c>
      <c r="J150">
        <f t="shared" ca="1" si="38"/>
        <v>1</v>
      </c>
      <c r="K150">
        <f t="shared" ca="1" si="39"/>
        <v>0</v>
      </c>
      <c r="L150">
        <f t="shared" ref="L150:L213" ca="1" si="45">IF(I150&gt;$C$3,1,0)</f>
        <v>0</v>
      </c>
      <c r="M150" t="str">
        <f t="shared" ca="1" si="40"/>
        <v>na</v>
      </c>
      <c r="N150" t="str">
        <f t="shared" ca="1" si="41"/>
        <v>na</v>
      </c>
    </row>
    <row r="151" spans="1:14" x14ac:dyDescent="0.2">
      <c r="A151" vm="292">
        <f ca="1"/>
        <v>44463</v>
      </c>
      <c r="B151" vm="293">
        <f ca="1"/>
        <v>42.14</v>
      </c>
      <c r="C151">
        <f t="shared" ca="1" si="42"/>
        <v>0.45000000000000284</v>
      </c>
      <c r="D151">
        <f t="shared" ca="1" si="43"/>
        <v>0.45000000000000284</v>
      </c>
      <c r="E151">
        <f t="shared" ca="1" si="44"/>
        <v>0</v>
      </c>
      <c r="F151">
        <f t="shared" ref="F151:F214" ca="1" si="46">((F150*13)+D151)/14</f>
        <v>0.34171233447037153</v>
      </c>
      <c r="G151">
        <f t="shared" ref="G151:G214" ca="1" si="47">((G150*13)+E151)/14</f>
        <v>0.22758509558678955</v>
      </c>
      <c r="H151">
        <f t="shared" ref="H151:H214" ca="1" si="48">AVERAGE(F151/G151)</f>
        <v>1.5014706195470502</v>
      </c>
      <c r="I151">
        <f t="shared" ref="I151:I214" ca="1" si="49">IF(G151=0,100,100-(100/(1+H151)))</f>
        <v>60.023516079470348</v>
      </c>
      <c r="J151">
        <f t="shared" ca="1" si="38"/>
        <v>1</v>
      </c>
      <c r="K151">
        <f t="shared" ca="1" si="39"/>
        <v>0</v>
      </c>
      <c r="L151">
        <f t="shared" ca="1" si="45"/>
        <v>0</v>
      </c>
      <c r="M151" t="str">
        <f t="shared" ca="1" si="40"/>
        <v>na</v>
      </c>
      <c r="N151" t="str">
        <f t="shared" ca="1" si="41"/>
        <v>na</v>
      </c>
    </row>
    <row r="152" spans="1:14" x14ac:dyDescent="0.2">
      <c r="A152" vm="294">
        <f ca="1"/>
        <v>44466</v>
      </c>
      <c r="B152" vm="295">
        <f ca="1"/>
        <v>43.26</v>
      </c>
      <c r="C152">
        <f t="shared" ca="1" si="42"/>
        <v>1.1199999999999974</v>
      </c>
      <c r="D152">
        <f t="shared" ca="1" si="43"/>
        <v>1.1199999999999974</v>
      </c>
      <c r="E152">
        <f t="shared" ca="1" si="44"/>
        <v>0</v>
      </c>
      <c r="F152">
        <f t="shared" ca="1" si="46"/>
        <v>0.3973043105796305</v>
      </c>
      <c r="G152">
        <f t="shared" ca="1" si="47"/>
        <v>0.21132901733059031</v>
      </c>
      <c r="H152">
        <f t="shared" ca="1" si="48"/>
        <v>1.8800272466043397</v>
      </c>
      <c r="I152">
        <f t="shared" ca="1" si="49"/>
        <v>65.278106268645985</v>
      </c>
      <c r="J152">
        <f t="shared" ref="J152:J215" ca="1" si="50">IF(K152=1,1,IF(L152=1,0,IF(J151=1,1,0)))</f>
        <v>1</v>
      </c>
      <c r="K152">
        <f t="shared" ref="K152:K215" ca="1" si="51">IF(I152&lt;$B$3,1,0)</f>
        <v>0</v>
      </c>
      <c r="L152">
        <f t="shared" ca="1" si="45"/>
        <v>0</v>
      </c>
      <c r="M152" t="str">
        <f t="shared" ref="M152:M215" ca="1" si="52">IF(AND(K152=1,J151=0),B152,"na")</f>
        <v>na</v>
      </c>
      <c r="N152" t="str">
        <f t="shared" ref="N152:N215" ca="1" si="53">IF(AND(L152=1,J151=1),B152,"na")</f>
        <v>na</v>
      </c>
    </row>
    <row r="153" spans="1:14" x14ac:dyDescent="0.2">
      <c r="A153" vm="296">
        <f ca="1"/>
        <v>44467</v>
      </c>
      <c r="B153" vm="297">
        <f ca="1"/>
        <v>43.16</v>
      </c>
      <c r="C153">
        <f t="shared" ca="1" si="42"/>
        <v>-0.10000000000000142</v>
      </c>
      <c r="D153">
        <f t="shared" ca="1" si="43"/>
        <v>0</v>
      </c>
      <c r="E153">
        <f t="shared" ca="1" si="44"/>
        <v>0.10000000000000142</v>
      </c>
      <c r="F153">
        <f t="shared" ca="1" si="46"/>
        <v>0.36892543125251404</v>
      </c>
      <c r="G153">
        <f t="shared" ca="1" si="47"/>
        <v>0.20337694466411968</v>
      </c>
      <c r="H153">
        <f t="shared" ca="1" si="48"/>
        <v>1.8139982969151216</v>
      </c>
      <c r="I153">
        <f t="shared" ca="1" si="49"/>
        <v>64.463375791795556</v>
      </c>
      <c r="J153">
        <f t="shared" ca="1" si="50"/>
        <v>1</v>
      </c>
      <c r="K153">
        <f t="shared" ca="1" si="51"/>
        <v>0</v>
      </c>
      <c r="L153">
        <f t="shared" ca="1" si="45"/>
        <v>0</v>
      </c>
      <c r="M153" t="str">
        <f t="shared" ca="1" si="52"/>
        <v>na</v>
      </c>
      <c r="N153" t="str">
        <f t="shared" ca="1" si="53"/>
        <v>na</v>
      </c>
    </row>
    <row r="154" spans="1:14" x14ac:dyDescent="0.2">
      <c r="A154" vm="298">
        <f ca="1"/>
        <v>44468</v>
      </c>
      <c r="B154" vm="299">
        <f ca="1"/>
        <v>43.07</v>
      </c>
      <c r="C154">
        <f t="shared" ca="1" si="42"/>
        <v>-8.9999999999996305E-2</v>
      </c>
      <c r="D154">
        <f t="shared" ca="1" si="43"/>
        <v>0</v>
      </c>
      <c r="E154">
        <f t="shared" ca="1" si="44"/>
        <v>8.9999999999996305E-2</v>
      </c>
      <c r="F154">
        <f t="shared" ca="1" si="46"/>
        <v>0.34257361473447734</v>
      </c>
      <c r="G154">
        <f t="shared" ca="1" si="47"/>
        <v>0.19527859147382515</v>
      </c>
      <c r="H154">
        <f t="shared" ca="1" si="48"/>
        <v>1.7542814711483383</v>
      </c>
      <c r="I154">
        <f t="shared" ca="1" si="49"/>
        <v>63.692890124876321</v>
      </c>
      <c r="J154">
        <f t="shared" ca="1" si="50"/>
        <v>1</v>
      </c>
      <c r="K154">
        <f t="shared" ca="1" si="51"/>
        <v>0</v>
      </c>
      <c r="L154">
        <f t="shared" ca="1" si="45"/>
        <v>0</v>
      </c>
      <c r="M154" t="str">
        <f t="shared" ca="1" si="52"/>
        <v>na</v>
      </c>
      <c r="N154" t="str">
        <f t="shared" ca="1" si="53"/>
        <v>na</v>
      </c>
    </row>
    <row r="155" spans="1:14" x14ac:dyDescent="0.2">
      <c r="A155" vm="300">
        <f ca="1"/>
        <v>44469</v>
      </c>
      <c r="B155" vm="301">
        <f ca="1"/>
        <v>42.45</v>
      </c>
      <c r="C155">
        <f t="shared" ca="1" si="42"/>
        <v>-0.61999999999999744</v>
      </c>
      <c r="D155">
        <f t="shared" ca="1" si="43"/>
        <v>0</v>
      </c>
      <c r="E155">
        <f t="shared" ca="1" si="44"/>
        <v>0.61999999999999744</v>
      </c>
      <c r="F155">
        <f t="shared" ca="1" si="46"/>
        <v>0.3181040708248718</v>
      </c>
      <c r="G155">
        <f t="shared" ca="1" si="47"/>
        <v>0.22561583493998033</v>
      </c>
      <c r="H155">
        <f t="shared" ca="1" si="48"/>
        <v>1.409936810993323</v>
      </c>
      <c r="I155">
        <f t="shared" ca="1" si="49"/>
        <v>58.505136091604747</v>
      </c>
      <c r="J155">
        <f t="shared" ca="1" si="50"/>
        <v>1</v>
      </c>
      <c r="K155">
        <f t="shared" ca="1" si="51"/>
        <v>0</v>
      </c>
      <c r="L155">
        <f t="shared" ca="1" si="45"/>
        <v>0</v>
      </c>
      <c r="M155" t="str">
        <f t="shared" ca="1" si="52"/>
        <v>na</v>
      </c>
      <c r="N155" t="str">
        <f t="shared" ca="1" si="53"/>
        <v>na</v>
      </c>
    </row>
    <row r="156" spans="1:14" x14ac:dyDescent="0.2">
      <c r="A156" vm="302">
        <f ca="1"/>
        <v>44470</v>
      </c>
      <c r="B156" vm="303">
        <f ca="1"/>
        <v>43.08</v>
      </c>
      <c r="C156">
        <f t="shared" ca="1" si="42"/>
        <v>0.62999999999999545</v>
      </c>
      <c r="D156">
        <f t="shared" ca="1" si="43"/>
        <v>0.62999999999999545</v>
      </c>
      <c r="E156">
        <f t="shared" ca="1" si="44"/>
        <v>0</v>
      </c>
      <c r="F156">
        <f t="shared" ca="1" si="46"/>
        <v>0.34038235148023777</v>
      </c>
      <c r="G156">
        <f t="shared" ca="1" si="47"/>
        <v>0.20950041815855316</v>
      </c>
      <c r="H156">
        <f t="shared" ca="1" si="48"/>
        <v>1.6247335183008138</v>
      </c>
      <c r="I156">
        <f t="shared" ca="1" si="49"/>
        <v>61.900894204019053</v>
      </c>
      <c r="J156">
        <f t="shared" ca="1" si="50"/>
        <v>1</v>
      </c>
      <c r="K156">
        <f t="shared" ca="1" si="51"/>
        <v>0</v>
      </c>
      <c r="L156">
        <f t="shared" ca="1" si="45"/>
        <v>0</v>
      </c>
      <c r="M156" t="str">
        <f t="shared" ca="1" si="52"/>
        <v>na</v>
      </c>
      <c r="N156" t="str">
        <f t="shared" ca="1" si="53"/>
        <v>na</v>
      </c>
    </row>
    <row r="157" spans="1:14" x14ac:dyDescent="0.2">
      <c r="A157" vm="304">
        <f ca="1"/>
        <v>44473</v>
      </c>
      <c r="B157" vm="305">
        <f ca="1"/>
        <v>43.34</v>
      </c>
      <c r="C157">
        <f t="shared" ca="1" si="42"/>
        <v>0.26000000000000512</v>
      </c>
      <c r="D157">
        <f t="shared" ca="1" si="43"/>
        <v>0.26000000000000512</v>
      </c>
      <c r="E157">
        <f t="shared" ca="1" si="44"/>
        <v>0</v>
      </c>
      <c r="F157">
        <f t="shared" ca="1" si="46"/>
        <v>0.33464075494593543</v>
      </c>
      <c r="G157">
        <f t="shared" ca="1" si="47"/>
        <v>0.19453610257579937</v>
      </c>
      <c r="H157">
        <f t="shared" ca="1" si="48"/>
        <v>1.7201987215485899</v>
      </c>
      <c r="I157">
        <f t="shared" ca="1" si="49"/>
        <v>63.23797992851393</v>
      </c>
      <c r="J157">
        <f t="shared" ca="1" si="50"/>
        <v>1</v>
      </c>
      <c r="K157">
        <f t="shared" ca="1" si="51"/>
        <v>0</v>
      </c>
      <c r="L157">
        <f t="shared" ca="1" si="45"/>
        <v>0</v>
      </c>
      <c r="M157" t="str">
        <f t="shared" ca="1" si="52"/>
        <v>na</v>
      </c>
      <c r="N157" t="str">
        <f t="shared" ca="1" si="53"/>
        <v>na</v>
      </c>
    </row>
    <row r="158" spans="1:14" x14ac:dyDescent="0.2">
      <c r="A158" vm="306">
        <f ca="1"/>
        <v>44474</v>
      </c>
      <c r="B158" vm="307">
        <f ca="1"/>
        <v>44.22</v>
      </c>
      <c r="C158">
        <f t="shared" ca="1" si="42"/>
        <v>0.87999999999999545</v>
      </c>
      <c r="D158">
        <f t="shared" ca="1" si="43"/>
        <v>0.87999999999999545</v>
      </c>
      <c r="E158">
        <f t="shared" ca="1" si="44"/>
        <v>0</v>
      </c>
      <c r="F158">
        <f t="shared" ca="1" si="46"/>
        <v>0.37359498673551117</v>
      </c>
      <c r="G158">
        <f t="shared" ca="1" si="47"/>
        <v>0.18064066667752798</v>
      </c>
      <c r="H158">
        <f t="shared" ca="1" si="48"/>
        <v>2.0681665629724288</v>
      </c>
      <c r="I158">
        <f t="shared" ca="1" si="49"/>
        <v>67.407245354007003</v>
      </c>
      <c r="J158">
        <f t="shared" ca="1" si="50"/>
        <v>1</v>
      </c>
      <c r="K158">
        <f t="shared" ca="1" si="51"/>
        <v>0</v>
      </c>
      <c r="L158">
        <f t="shared" ca="1" si="45"/>
        <v>0</v>
      </c>
      <c r="M158" t="str">
        <f t="shared" ca="1" si="52"/>
        <v>na</v>
      </c>
      <c r="N158" t="str">
        <f t="shared" ca="1" si="53"/>
        <v>na</v>
      </c>
    </row>
    <row r="159" spans="1:14" x14ac:dyDescent="0.2">
      <c r="A159" vm="308">
        <f ca="1"/>
        <v>44475</v>
      </c>
      <c r="B159" vm="309">
        <f ca="1"/>
        <v>44.24</v>
      </c>
      <c r="C159">
        <f t="shared" ca="1" si="42"/>
        <v>2.0000000000003126E-2</v>
      </c>
      <c r="D159">
        <f t="shared" ca="1" si="43"/>
        <v>2.0000000000003126E-2</v>
      </c>
      <c r="E159">
        <f t="shared" ca="1" si="44"/>
        <v>0</v>
      </c>
      <c r="F159">
        <f t="shared" ca="1" si="46"/>
        <v>0.3483382019686892</v>
      </c>
      <c r="G159">
        <f t="shared" ca="1" si="47"/>
        <v>0.16773776191484741</v>
      </c>
      <c r="H159">
        <f t="shared" ca="1" si="48"/>
        <v>2.076683258391895</v>
      </c>
      <c r="I159">
        <f t="shared" ca="1" si="49"/>
        <v>67.497466719317913</v>
      </c>
      <c r="J159">
        <f t="shared" ca="1" si="50"/>
        <v>1</v>
      </c>
      <c r="K159">
        <f t="shared" ca="1" si="51"/>
        <v>0</v>
      </c>
      <c r="L159">
        <f t="shared" ca="1" si="45"/>
        <v>0</v>
      </c>
      <c r="M159" t="str">
        <f t="shared" ca="1" si="52"/>
        <v>na</v>
      </c>
      <c r="N159" t="str">
        <f t="shared" ca="1" si="53"/>
        <v>na</v>
      </c>
    </row>
    <row r="160" spans="1:14" x14ac:dyDescent="0.2">
      <c r="A160" vm="310">
        <f ca="1"/>
        <v>44476</v>
      </c>
      <c r="B160" vm="311">
        <f ca="1"/>
        <v>44.12</v>
      </c>
      <c r="C160">
        <f t="shared" ca="1" si="42"/>
        <v>-0.12000000000000455</v>
      </c>
      <c r="D160">
        <f t="shared" ca="1" si="43"/>
        <v>0</v>
      </c>
      <c r="E160">
        <f t="shared" ca="1" si="44"/>
        <v>0.12000000000000455</v>
      </c>
      <c r="F160">
        <f t="shared" ca="1" si="46"/>
        <v>0.32345690182806852</v>
      </c>
      <c r="G160">
        <f t="shared" ca="1" si="47"/>
        <v>0.1643279217780729</v>
      </c>
      <c r="H160">
        <f t="shared" ca="1" si="48"/>
        <v>1.968362395922596</v>
      </c>
      <c r="I160">
        <f t="shared" ca="1" si="49"/>
        <v>66.31139104262941</v>
      </c>
      <c r="J160">
        <f t="shared" ca="1" si="50"/>
        <v>1</v>
      </c>
      <c r="K160">
        <f t="shared" ca="1" si="51"/>
        <v>0</v>
      </c>
      <c r="L160">
        <f t="shared" ca="1" si="45"/>
        <v>0</v>
      </c>
      <c r="M160" t="str">
        <f t="shared" ca="1" si="52"/>
        <v>na</v>
      </c>
      <c r="N160" t="str">
        <f t="shared" ca="1" si="53"/>
        <v>na</v>
      </c>
    </row>
    <row r="161" spans="1:14" x14ac:dyDescent="0.2">
      <c r="A161" vm="312">
        <f ca="1"/>
        <v>44477</v>
      </c>
      <c r="B161" vm="313">
        <f ca="1"/>
        <v>44.34</v>
      </c>
      <c r="C161">
        <f t="shared" ca="1" si="42"/>
        <v>0.22000000000000597</v>
      </c>
      <c r="D161">
        <f t="shared" ca="1" si="43"/>
        <v>0.22000000000000597</v>
      </c>
      <c r="E161">
        <f t="shared" ca="1" si="44"/>
        <v>0</v>
      </c>
      <c r="F161">
        <f t="shared" ca="1" si="46"/>
        <v>0.31606712312606405</v>
      </c>
      <c r="G161">
        <f t="shared" ca="1" si="47"/>
        <v>0.1525902130796391</v>
      </c>
      <c r="H161">
        <f t="shared" ca="1" si="48"/>
        <v>2.071345971324543</v>
      </c>
      <c r="I161">
        <f t="shared" ca="1" si="49"/>
        <v>67.440984853662002</v>
      </c>
      <c r="J161">
        <f t="shared" ca="1" si="50"/>
        <v>1</v>
      </c>
      <c r="K161">
        <f t="shared" ca="1" si="51"/>
        <v>0</v>
      </c>
      <c r="L161">
        <f t="shared" ca="1" si="45"/>
        <v>0</v>
      </c>
      <c r="M161" t="str">
        <f t="shared" ca="1" si="52"/>
        <v>na</v>
      </c>
      <c r="N161" t="str">
        <f t="shared" ca="1" si="53"/>
        <v>na</v>
      </c>
    </row>
    <row r="162" spans="1:14" x14ac:dyDescent="0.2">
      <c r="A162" vm="314">
        <f ca="1"/>
        <v>44480</v>
      </c>
      <c r="B162" vm="315">
        <f ca="1"/>
        <v>43.78</v>
      </c>
      <c r="C162">
        <f t="shared" ca="1" si="42"/>
        <v>-0.56000000000000227</v>
      </c>
      <c r="D162">
        <f t="shared" ca="1" si="43"/>
        <v>0</v>
      </c>
      <c r="E162">
        <f t="shared" ca="1" si="44"/>
        <v>0.56000000000000227</v>
      </c>
      <c r="F162">
        <f t="shared" ca="1" si="46"/>
        <v>0.29349090004563089</v>
      </c>
      <c r="G162">
        <f t="shared" ca="1" si="47"/>
        <v>0.18169091214537933</v>
      </c>
      <c r="H162">
        <f t="shared" ca="1" si="48"/>
        <v>1.6153306545722836</v>
      </c>
      <c r="I162">
        <f t="shared" ca="1" si="49"/>
        <v>61.763916992609026</v>
      </c>
      <c r="J162">
        <f t="shared" ca="1" si="50"/>
        <v>1</v>
      </c>
      <c r="K162">
        <f t="shared" ca="1" si="51"/>
        <v>0</v>
      </c>
      <c r="L162">
        <f t="shared" ca="1" si="45"/>
        <v>0</v>
      </c>
      <c r="M162" t="str">
        <f t="shared" ca="1" si="52"/>
        <v>na</v>
      </c>
      <c r="N162" t="str">
        <f t="shared" ca="1" si="53"/>
        <v>na</v>
      </c>
    </row>
    <row r="163" spans="1:14" x14ac:dyDescent="0.2">
      <c r="A163" vm="316">
        <f ca="1"/>
        <v>44481</v>
      </c>
      <c r="B163" vm="317">
        <f ca="1"/>
        <v>43.54</v>
      </c>
      <c r="C163">
        <f t="shared" ca="1" si="42"/>
        <v>-0.24000000000000199</v>
      </c>
      <c r="D163">
        <f t="shared" ca="1" si="43"/>
        <v>0</v>
      </c>
      <c r="E163">
        <f t="shared" ca="1" si="44"/>
        <v>0.24000000000000199</v>
      </c>
      <c r="F163">
        <f t="shared" ca="1" si="46"/>
        <v>0.27252726432808583</v>
      </c>
      <c r="G163">
        <f t="shared" ca="1" si="47"/>
        <v>0.18585584699213809</v>
      </c>
      <c r="H163">
        <f t="shared" ca="1" si="48"/>
        <v>1.4663367805674365</v>
      </c>
      <c r="I163">
        <f t="shared" ca="1" si="49"/>
        <v>59.454036939353941</v>
      </c>
      <c r="J163">
        <f t="shared" ca="1" si="50"/>
        <v>1</v>
      </c>
      <c r="K163">
        <f t="shared" ca="1" si="51"/>
        <v>0</v>
      </c>
      <c r="L163">
        <f t="shared" ca="1" si="45"/>
        <v>0</v>
      </c>
      <c r="M163" t="str">
        <f t="shared" ca="1" si="52"/>
        <v>na</v>
      </c>
      <c r="N163" t="str">
        <f t="shared" ca="1" si="53"/>
        <v>na</v>
      </c>
    </row>
    <row r="164" spans="1:14" x14ac:dyDescent="0.2">
      <c r="A164" vm="318">
        <f ca="1"/>
        <v>44482</v>
      </c>
      <c r="B164" vm="319">
        <f ca="1"/>
        <v>43.14</v>
      </c>
      <c r="C164">
        <f t="shared" ca="1" si="42"/>
        <v>-0.39999999999999858</v>
      </c>
      <c r="D164">
        <f t="shared" ca="1" si="43"/>
        <v>0</v>
      </c>
      <c r="E164">
        <f t="shared" ca="1" si="44"/>
        <v>0.39999999999999858</v>
      </c>
      <c r="F164">
        <f t="shared" ca="1" si="46"/>
        <v>0.25306103116179396</v>
      </c>
      <c r="G164">
        <f t="shared" ca="1" si="47"/>
        <v>0.20115185792127097</v>
      </c>
      <c r="H164">
        <f t="shared" ca="1" si="48"/>
        <v>1.2580596260803107</v>
      </c>
      <c r="I164">
        <f t="shared" ca="1" si="49"/>
        <v>55.714189809244928</v>
      </c>
      <c r="J164">
        <f t="shared" ca="1" si="50"/>
        <v>1</v>
      </c>
      <c r="K164">
        <f t="shared" ca="1" si="51"/>
        <v>0</v>
      </c>
      <c r="L164">
        <f t="shared" ca="1" si="45"/>
        <v>0</v>
      </c>
      <c r="M164" t="str">
        <f t="shared" ca="1" si="52"/>
        <v>na</v>
      </c>
      <c r="N164" t="str">
        <f t="shared" ca="1" si="53"/>
        <v>na</v>
      </c>
    </row>
    <row r="165" spans="1:14" x14ac:dyDescent="0.2">
      <c r="A165" vm="320">
        <f ca="1"/>
        <v>44483</v>
      </c>
      <c r="B165" vm="321">
        <f ca="1"/>
        <v>45.07</v>
      </c>
      <c r="C165">
        <f t="shared" ca="1" si="42"/>
        <v>1.9299999999999997</v>
      </c>
      <c r="D165">
        <f t="shared" ca="1" si="43"/>
        <v>1.9299999999999997</v>
      </c>
      <c r="E165">
        <f t="shared" ca="1" si="44"/>
        <v>0</v>
      </c>
      <c r="F165">
        <f t="shared" ca="1" si="46"/>
        <v>0.37284238607880865</v>
      </c>
      <c r="G165">
        <f t="shared" ca="1" si="47"/>
        <v>0.18678386806975161</v>
      </c>
      <c r="H165">
        <f t="shared" ca="1" si="48"/>
        <v>1.9961166343314847</v>
      </c>
      <c r="I165">
        <f t="shared" ca="1" si="49"/>
        <v>66.623462233033962</v>
      </c>
      <c r="J165">
        <f t="shared" ca="1" si="50"/>
        <v>1</v>
      </c>
      <c r="K165">
        <f t="shared" ca="1" si="51"/>
        <v>0</v>
      </c>
      <c r="L165">
        <f t="shared" ca="1" si="45"/>
        <v>0</v>
      </c>
      <c r="M165" t="str">
        <f t="shared" ca="1" si="52"/>
        <v>na</v>
      </c>
      <c r="N165" t="str">
        <f t="shared" ca="1" si="53"/>
        <v>na</v>
      </c>
    </row>
    <row r="166" spans="1:14" x14ac:dyDescent="0.2">
      <c r="A166" vm="322">
        <f ca="1"/>
        <v>44484</v>
      </c>
      <c r="B166" vm="35">
        <f ca="1"/>
        <v>46.37</v>
      </c>
      <c r="C166">
        <f t="shared" ca="1" si="42"/>
        <v>1.2999999999999972</v>
      </c>
      <c r="D166">
        <f t="shared" ca="1" si="43"/>
        <v>1.2999999999999972</v>
      </c>
      <c r="E166">
        <f t="shared" ca="1" si="44"/>
        <v>0</v>
      </c>
      <c r="F166">
        <f t="shared" ca="1" si="46"/>
        <v>0.43906792993032212</v>
      </c>
      <c r="G166">
        <f t="shared" ca="1" si="47"/>
        <v>0.17344216320762648</v>
      </c>
      <c r="H166">
        <f t="shared" ca="1" si="48"/>
        <v>2.5314947750318173</v>
      </c>
      <c r="I166">
        <f t="shared" ca="1" si="49"/>
        <v>71.683378747431661</v>
      </c>
      <c r="J166">
        <f t="shared" ca="1" si="50"/>
        <v>0</v>
      </c>
      <c r="K166">
        <f t="shared" ca="1" si="51"/>
        <v>0</v>
      </c>
      <c r="L166">
        <f t="shared" ca="1" si="45"/>
        <v>1</v>
      </c>
      <c r="M166" t="str">
        <f t="shared" ca="1" si="52"/>
        <v>na</v>
      </c>
      <c r="N166" vm="35">
        <f t="shared" ca="1" si="53"/>
        <v>46.37</v>
      </c>
    </row>
    <row r="167" spans="1:14" x14ac:dyDescent="0.2">
      <c r="A167" vm="323">
        <f ca="1"/>
        <v>44487</v>
      </c>
      <c r="B167" vm="324">
        <f ca="1"/>
        <v>46.28</v>
      </c>
      <c r="C167">
        <f t="shared" ca="1" si="42"/>
        <v>-8.9999999999996305E-2</v>
      </c>
      <c r="D167">
        <f t="shared" ca="1" si="43"/>
        <v>0</v>
      </c>
      <c r="E167">
        <f t="shared" ca="1" si="44"/>
        <v>8.9999999999996305E-2</v>
      </c>
      <c r="F167">
        <f t="shared" ca="1" si="46"/>
        <v>0.40770593493529911</v>
      </c>
      <c r="G167">
        <f t="shared" ca="1" si="47"/>
        <v>0.16748200869279575</v>
      </c>
      <c r="H167">
        <f t="shared" ca="1" si="48"/>
        <v>2.4343267561540571</v>
      </c>
      <c r="I167">
        <f t="shared" ca="1" si="49"/>
        <v>70.882211536567553</v>
      </c>
      <c r="J167">
        <f t="shared" ca="1" si="50"/>
        <v>0</v>
      </c>
      <c r="K167">
        <f t="shared" ca="1" si="51"/>
        <v>0</v>
      </c>
      <c r="L167">
        <f t="shared" ca="1" si="45"/>
        <v>1</v>
      </c>
      <c r="M167" t="str">
        <f t="shared" ca="1" si="52"/>
        <v>na</v>
      </c>
      <c r="N167" t="str">
        <f t="shared" ca="1" si="53"/>
        <v>na</v>
      </c>
    </row>
    <row r="168" spans="1:14" x14ac:dyDescent="0.2">
      <c r="A168" vm="325">
        <f ca="1"/>
        <v>44488</v>
      </c>
      <c r="B168" vm="326">
        <f ca="1"/>
        <v>46.48</v>
      </c>
      <c r="C168">
        <f t="shared" ca="1" si="42"/>
        <v>0.19999999999999574</v>
      </c>
      <c r="D168">
        <f t="shared" ca="1" si="43"/>
        <v>0.19999999999999574</v>
      </c>
      <c r="E168">
        <f t="shared" ca="1" si="44"/>
        <v>0</v>
      </c>
      <c r="F168">
        <f t="shared" ca="1" si="46"/>
        <v>0.39286979672563455</v>
      </c>
      <c r="G168">
        <f t="shared" ca="1" si="47"/>
        <v>0.15551900807188176</v>
      </c>
      <c r="H168">
        <f t="shared" ca="1" si="48"/>
        <v>2.5261850727857516</v>
      </c>
      <c r="I168">
        <f t="shared" ca="1" si="49"/>
        <v>71.640739797869387</v>
      </c>
      <c r="J168">
        <f t="shared" ca="1" si="50"/>
        <v>0</v>
      </c>
      <c r="K168">
        <f t="shared" ca="1" si="51"/>
        <v>0</v>
      </c>
      <c r="L168">
        <f t="shared" ca="1" si="45"/>
        <v>1</v>
      </c>
      <c r="M168" t="str">
        <f t="shared" ca="1" si="52"/>
        <v>na</v>
      </c>
      <c r="N168" t="str">
        <f t="shared" ca="1" si="53"/>
        <v>na</v>
      </c>
    </row>
    <row r="169" spans="1:14" x14ac:dyDescent="0.2">
      <c r="A169" vm="327">
        <f ca="1"/>
        <v>44489</v>
      </c>
      <c r="B169" vm="328">
        <f ca="1"/>
        <v>47.09</v>
      </c>
      <c r="C169">
        <f t="shared" ca="1" si="42"/>
        <v>0.61000000000000654</v>
      </c>
      <c r="D169">
        <f t="shared" ca="1" si="43"/>
        <v>0.61000000000000654</v>
      </c>
      <c r="E169">
        <f t="shared" ca="1" si="44"/>
        <v>0</v>
      </c>
      <c r="F169">
        <f t="shared" ca="1" si="46"/>
        <v>0.40837909695951824</v>
      </c>
      <c r="G169">
        <f t="shared" ca="1" si="47"/>
        <v>0.14441050749531878</v>
      </c>
      <c r="H169">
        <f t="shared" ca="1" si="48"/>
        <v>2.8279043127990966</v>
      </c>
      <c r="I169">
        <f t="shared" ca="1" si="49"/>
        <v>73.876045003100785</v>
      </c>
      <c r="J169">
        <f t="shared" ca="1" si="50"/>
        <v>0</v>
      </c>
      <c r="K169">
        <f t="shared" ca="1" si="51"/>
        <v>0</v>
      </c>
      <c r="L169">
        <f t="shared" ca="1" si="45"/>
        <v>1</v>
      </c>
      <c r="M169" t="str">
        <f t="shared" ca="1" si="52"/>
        <v>na</v>
      </c>
      <c r="N169" t="str">
        <f t="shared" ca="1" si="53"/>
        <v>na</v>
      </c>
    </row>
    <row r="170" spans="1:14" x14ac:dyDescent="0.2">
      <c r="A170" vm="329">
        <f ca="1"/>
        <v>44490</v>
      </c>
      <c r="B170" vm="330">
        <f ca="1"/>
        <v>46.83</v>
      </c>
      <c r="C170">
        <f t="shared" ca="1" si="42"/>
        <v>-0.26000000000000512</v>
      </c>
      <c r="D170">
        <f t="shared" ca="1" si="43"/>
        <v>0</v>
      </c>
      <c r="E170">
        <f t="shared" ca="1" si="44"/>
        <v>0.26000000000000512</v>
      </c>
      <c r="F170">
        <f t="shared" ca="1" si="46"/>
        <v>0.37920916146240974</v>
      </c>
      <c r="G170">
        <f t="shared" ca="1" si="47"/>
        <v>0.15266689981708209</v>
      </c>
      <c r="H170">
        <f t="shared" ca="1" si="48"/>
        <v>2.4838990109628174</v>
      </c>
      <c r="I170">
        <f t="shared" ca="1" si="49"/>
        <v>71.296527343264245</v>
      </c>
      <c r="J170">
        <f t="shared" ca="1" si="50"/>
        <v>0</v>
      </c>
      <c r="K170">
        <f t="shared" ca="1" si="51"/>
        <v>0</v>
      </c>
      <c r="L170">
        <f t="shared" ca="1" si="45"/>
        <v>1</v>
      </c>
      <c r="M170" t="str">
        <f t="shared" ca="1" si="52"/>
        <v>na</v>
      </c>
      <c r="N170" t="str">
        <f t="shared" ca="1" si="53"/>
        <v>na</v>
      </c>
    </row>
    <row r="171" spans="1:14" x14ac:dyDescent="0.2">
      <c r="A171" vm="331">
        <f ca="1"/>
        <v>44491</v>
      </c>
      <c r="B171" vm="332">
        <f ca="1"/>
        <v>47.57</v>
      </c>
      <c r="C171">
        <f t="shared" ca="1" si="42"/>
        <v>0.74000000000000199</v>
      </c>
      <c r="D171">
        <f t="shared" ca="1" si="43"/>
        <v>0.74000000000000199</v>
      </c>
      <c r="E171">
        <f t="shared" ca="1" si="44"/>
        <v>0</v>
      </c>
      <c r="F171">
        <f t="shared" ca="1" si="46"/>
        <v>0.40497993564366636</v>
      </c>
      <c r="G171">
        <f t="shared" ca="1" si="47"/>
        <v>0.14176212125871909</v>
      </c>
      <c r="H171">
        <f t="shared" ca="1" si="48"/>
        <v>2.856757024004803</v>
      </c>
      <c r="I171">
        <f t="shared" ca="1" si="49"/>
        <v>74.07148042316615</v>
      </c>
      <c r="J171">
        <f t="shared" ca="1" si="50"/>
        <v>0</v>
      </c>
      <c r="K171">
        <f t="shared" ca="1" si="51"/>
        <v>0</v>
      </c>
      <c r="L171">
        <f t="shared" ca="1" si="45"/>
        <v>1</v>
      </c>
      <c r="M171" t="str">
        <f t="shared" ca="1" si="52"/>
        <v>na</v>
      </c>
      <c r="N171" t="str">
        <f t="shared" ca="1" si="53"/>
        <v>na</v>
      </c>
    </row>
    <row r="172" spans="1:14" x14ac:dyDescent="0.2">
      <c r="A172" vm="333">
        <f ca="1"/>
        <v>44494</v>
      </c>
      <c r="B172" vm="334">
        <f ca="1"/>
        <v>47.51</v>
      </c>
      <c r="C172">
        <f t="shared" ca="1" si="42"/>
        <v>-6.0000000000002274E-2</v>
      </c>
      <c r="D172">
        <f t="shared" ca="1" si="43"/>
        <v>0</v>
      </c>
      <c r="E172">
        <f t="shared" ca="1" si="44"/>
        <v>6.0000000000002274E-2</v>
      </c>
      <c r="F172">
        <f t="shared" ca="1" si="46"/>
        <v>0.37605279738340452</v>
      </c>
      <c r="G172">
        <f t="shared" ca="1" si="47"/>
        <v>0.13592196974023932</v>
      </c>
      <c r="H172">
        <f t="shared" ca="1" si="48"/>
        <v>2.76668148719504</v>
      </c>
      <c r="I172">
        <f t="shared" ca="1" si="49"/>
        <v>73.451431893046077</v>
      </c>
      <c r="J172">
        <f t="shared" ca="1" si="50"/>
        <v>0</v>
      </c>
      <c r="K172">
        <f t="shared" ca="1" si="51"/>
        <v>0</v>
      </c>
      <c r="L172">
        <f t="shared" ca="1" si="45"/>
        <v>1</v>
      </c>
      <c r="M172" t="str">
        <f t="shared" ca="1" si="52"/>
        <v>na</v>
      </c>
      <c r="N172" t="str">
        <f t="shared" ca="1" si="53"/>
        <v>na</v>
      </c>
    </row>
    <row r="173" spans="1:14" x14ac:dyDescent="0.2">
      <c r="A173" vm="335">
        <f ca="1"/>
        <v>44495</v>
      </c>
      <c r="B173" vm="336">
        <f ca="1"/>
        <v>47.96</v>
      </c>
      <c r="C173">
        <f t="shared" ca="1" si="42"/>
        <v>0.45000000000000284</v>
      </c>
      <c r="D173">
        <f t="shared" ca="1" si="43"/>
        <v>0.45000000000000284</v>
      </c>
      <c r="E173">
        <f t="shared" ca="1" si="44"/>
        <v>0</v>
      </c>
      <c r="F173">
        <f t="shared" ca="1" si="46"/>
        <v>0.38133474042744725</v>
      </c>
      <c r="G173">
        <f t="shared" ca="1" si="47"/>
        <v>0.12621325761593652</v>
      </c>
      <c r="H173">
        <f t="shared" ca="1" si="48"/>
        <v>3.0213524920483268</v>
      </c>
      <c r="I173">
        <f t="shared" ca="1" si="49"/>
        <v>75.132744468997359</v>
      </c>
      <c r="J173">
        <f t="shared" ca="1" si="50"/>
        <v>0</v>
      </c>
      <c r="K173">
        <f t="shared" ca="1" si="51"/>
        <v>0</v>
      </c>
      <c r="L173">
        <f t="shared" ca="1" si="45"/>
        <v>1</v>
      </c>
      <c r="M173" t="str">
        <f t="shared" ca="1" si="52"/>
        <v>na</v>
      </c>
      <c r="N173" t="str">
        <f t="shared" ca="1" si="53"/>
        <v>na</v>
      </c>
    </row>
    <row r="174" spans="1:14" x14ac:dyDescent="0.2">
      <c r="A174" vm="337">
        <f ca="1"/>
        <v>44496</v>
      </c>
      <c r="B174" vm="338">
        <f ca="1"/>
        <v>47.04</v>
      </c>
      <c r="C174">
        <f t="shared" ca="1" si="42"/>
        <v>-0.92000000000000171</v>
      </c>
      <c r="D174">
        <f t="shared" ca="1" si="43"/>
        <v>0</v>
      </c>
      <c r="E174">
        <f t="shared" ca="1" si="44"/>
        <v>0.92000000000000171</v>
      </c>
      <c r="F174">
        <f t="shared" ca="1" si="46"/>
        <v>0.35409654468262958</v>
      </c>
      <c r="G174">
        <f t="shared" ca="1" si="47"/>
        <v>0.18291231064336974</v>
      </c>
      <c r="H174">
        <f t="shared" ca="1" si="48"/>
        <v>1.9358814255702201</v>
      </c>
      <c r="I174">
        <f t="shared" ca="1" si="49"/>
        <v>65.938678882244858</v>
      </c>
      <c r="J174">
        <f t="shared" ca="1" si="50"/>
        <v>0</v>
      </c>
      <c r="K174">
        <f t="shared" ca="1" si="51"/>
        <v>0</v>
      </c>
      <c r="L174">
        <f t="shared" ca="1" si="45"/>
        <v>0</v>
      </c>
      <c r="M174" t="str">
        <f t="shared" ca="1" si="52"/>
        <v>na</v>
      </c>
      <c r="N174" t="str">
        <f t="shared" ca="1" si="53"/>
        <v>na</v>
      </c>
    </row>
    <row r="175" spans="1:14" x14ac:dyDescent="0.2">
      <c r="A175" vm="339">
        <f ca="1"/>
        <v>44497</v>
      </c>
      <c r="B175" vm="340">
        <f ca="1"/>
        <v>47.78</v>
      </c>
      <c r="C175">
        <f t="shared" ca="1" si="42"/>
        <v>0.74000000000000199</v>
      </c>
      <c r="D175">
        <f t="shared" ca="1" si="43"/>
        <v>0.74000000000000199</v>
      </c>
      <c r="E175">
        <f t="shared" ca="1" si="44"/>
        <v>0</v>
      </c>
      <c r="F175">
        <f t="shared" ca="1" si="46"/>
        <v>0.38166107720529902</v>
      </c>
      <c r="G175">
        <f t="shared" ca="1" si="47"/>
        <v>0.16984714559741473</v>
      </c>
      <c r="H175">
        <f t="shared" ca="1" si="48"/>
        <v>2.2470856125539052</v>
      </c>
      <c r="I175">
        <f t="shared" ca="1" si="49"/>
        <v>69.203152632200613</v>
      </c>
      <c r="J175">
        <f t="shared" ca="1" si="50"/>
        <v>0</v>
      </c>
      <c r="K175">
        <f t="shared" ca="1" si="51"/>
        <v>0</v>
      </c>
      <c r="L175">
        <f t="shared" ca="1" si="45"/>
        <v>0</v>
      </c>
      <c r="M175" t="str">
        <f t="shared" ca="1" si="52"/>
        <v>na</v>
      </c>
      <c r="N175" t="str">
        <f t="shared" ca="1" si="53"/>
        <v>na</v>
      </c>
    </row>
    <row r="176" spans="1:14" x14ac:dyDescent="0.2">
      <c r="A176" vm="341">
        <f ca="1"/>
        <v>44498</v>
      </c>
      <c r="B176" vm="340">
        <f ca="1"/>
        <v>47.78</v>
      </c>
      <c r="C176">
        <f t="shared" ca="1" si="42"/>
        <v>0</v>
      </c>
      <c r="D176">
        <f t="shared" ca="1" si="43"/>
        <v>0</v>
      </c>
      <c r="E176">
        <f t="shared" ca="1" si="44"/>
        <v>0</v>
      </c>
      <c r="F176">
        <f t="shared" ca="1" si="46"/>
        <v>0.3543995716906348</v>
      </c>
      <c r="G176">
        <f t="shared" ca="1" si="47"/>
        <v>0.15771520662617083</v>
      </c>
      <c r="H176">
        <f t="shared" ca="1" si="48"/>
        <v>2.2470856125539052</v>
      </c>
      <c r="I176">
        <f t="shared" ca="1" si="49"/>
        <v>69.203152632200613</v>
      </c>
      <c r="J176">
        <f t="shared" ca="1" si="50"/>
        <v>0</v>
      </c>
      <c r="K176">
        <f t="shared" ca="1" si="51"/>
        <v>0</v>
      </c>
      <c r="L176">
        <f t="shared" ca="1" si="45"/>
        <v>0</v>
      </c>
      <c r="M176" t="str">
        <f t="shared" ca="1" si="52"/>
        <v>na</v>
      </c>
      <c r="N176" t="str">
        <f t="shared" ca="1" si="53"/>
        <v>na</v>
      </c>
    </row>
    <row r="177" spans="1:14" x14ac:dyDescent="0.2">
      <c r="A177" vm="342">
        <f ca="1"/>
        <v>44501</v>
      </c>
      <c r="B177" vm="343">
        <f ca="1"/>
        <v>47.85</v>
      </c>
      <c r="C177">
        <f t="shared" ca="1" si="42"/>
        <v>7.0000000000000284E-2</v>
      </c>
      <c r="D177">
        <f t="shared" ca="1" si="43"/>
        <v>7.0000000000000284E-2</v>
      </c>
      <c r="E177">
        <f t="shared" ca="1" si="44"/>
        <v>0</v>
      </c>
      <c r="F177">
        <f t="shared" ca="1" si="46"/>
        <v>0.33408531656987517</v>
      </c>
      <c r="G177">
        <f t="shared" ca="1" si="47"/>
        <v>0.14644983472430148</v>
      </c>
      <c r="H177">
        <f t="shared" ca="1" si="48"/>
        <v>2.2812269962530589</v>
      </c>
      <c r="I177">
        <f t="shared" ca="1" si="49"/>
        <v>69.523595863927341</v>
      </c>
      <c r="J177">
        <f t="shared" ca="1" si="50"/>
        <v>0</v>
      </c>
      <c r="K177">
        <f t="shared" ca="1" si="51"/>
        <v>0</v>
      </c>
      <c r="L177">
        <f t="shared" ca="1" si="45"/>
        <v>0</v>
      </c>
      <c r="M177" t="str">
        <f t="shared" ca="1" si="52"/>
        <v>na</v>
      </c>
      <c r="N177" t="str">
        <f t="shared" ca="1" si="53"/>
        <v>na</v>
      </c>
    </row>
    <row r="178" spans="1:14" x14ac:dyDescent="0.2">
      <c r="A178" vm="344">
        <f ca="1"/>
        <v>44502</v>
      </c>
      <c r="B178" vm="345">
        <f ca="1"/>
        <v>47.88</v>
      </c>
      <c r="C178">
        <f t="shared" ca="1" si="42"/>
        <v>3.0000000000001137E-2</v>
      </c>
      <c r="D178">
        <f t="shared" ca="1" si="43"/>
        <v>3.0000000000001137E-2</v>
      </c>
      <c r="E178">
        <f t="shared" ca="1" si="44"/>
        <v>0</v>
      </c>
      <c r="F178">
        <f t="shared" ca="1" si="46"/>
        <v>0.31236493681488414</v>
      </c>
      <c r="G178">
        <f t="shared" ca="1" si="47"/>
        <v>0.13598913224399423</v>
      </c>
      <c r="H178">
        <f t="shared" ca="1" si="48"/>
        <v>2.2969845579603607</v>
      </c>
      <c r="I178">
        <f t="shared" ca="1" si="49"/>
        <v>69.669254361972577</v>
      </c>
      <c r="J178">
        <f t="shared" ca="1" si="50"/>
        <v>0</v>
      </c>
      <c r="K178">
        <f t="shared" ca="1" si="51"/>
        <v>0</v>
      </c>
      <c r="L178">
        <f t="shared" ca="1" si="45"/>
        <v>0</v>
      </c>
      <c r="M178" t="str">
        <f t="shared" ca="1" si="52"/>
        <v>na</v>
      </c>
      <c r="N178" t="str">
        <f t="shared" ca="1" si="53"/>
        <v>na</v>
      </c>
    </row>
    <row r="179" spans="1:14" x14ac:dyDescent="0.2">
      <c r="A179" vm="346">
        <f ca="1"/>
        <v>44503</v>
      </c>
      <c r="B179" vm="347">
        <f ca="1"/>
        <v>48.37</v>
      </c>
      <c r="C179">
        <f t="shared" ca="1" si="42"/>
        <v>0.48999999999999488</v>
      </c>
      <c r="D179">
        <f t="shared" ca="1" si="43"/>
        <v>0.48999999999999488</v>
      </c>
      <c r="E179">
        <f t="shared" ca="1" si="44"/>
        <v>0</v>
      </c>
      <c r="F179">
        <f t="shared" ca="1" si="46"/>
        <v>0.32505315561382059</v>
      </c>
      <c r="G179">
        <f t="shared" ca="1" si="47"/>
        <v>0.12627562279799465</v>
      </c>
      <c r="H179">
        <f t="shared" ca="1" si="48"/>
        <v>2.5741560279913558</v>
      </c>
      <c r="I179">
        <f t="shared" ca="1" si="49"/>
        <v>72.021366941778666</v>
      </c>
      <c r="J179">
        <f t="shared" ca="1" si="50"/>
        <v>0</v>
      </c>
      <c r="K179">
        <f t="shared" ca="1" si="51"/>
        <v>0</v>
      </c>
      <c r="L179">
        <f t="shared" ca="1" si="45"/>
        <v>1</v>
      </c>
      <c r="M179" t="str">
        <f t="shared" ca="1" si="52"/>
        <v>na</v>
      </c>
      <c r="N179" t="str">
        <f t="shared" ca="1" si="53"/>
        <v>na</v>
      </c>
    </row>
    <row r="180" spans="1:14" x14ac:dyDescent="0.2">
      <c r="A180" vm="348">
        <f ca="1"/>
        <v>44504</v>
      </c>
      <c r="B180" vm="349">
        <f ca="1"/>
        <v>47.33</v>
      </c>
      <c r="C180">
        <f t="shared" ca="1" si="42"/>
        <v>-1.0399999999999991</v>
      </c>
      <c r="D180">
        <f t="shared" ca="1" si="43"/>
        <v>0</v>
      </c>
      <c r="E180">
        <f t="shared" ca="1" si="44"/>
        <v>1.0399999999999991</v>
      </c>
      <c r="F180">
        <f t="shared" ca="1" si="46"/>
        <v>0.30183507306997626</v>
      </c>
      <c r="G180">
        <f t="shared" ca="1" si="47"/>
        <v>0.19154164974099497</v>
      </c>
      <c r="H180">
        <f t="shared" ca="1" si="48"/>
        <v>1.5758195331308957</v>
      </c>
      <c r="I180">
        <f t="shared" ca="1" si="49"/>
        <v>61.177404428465337</v>
      </c>
      <c r="J180">
        <f t="shared" ca="1" si="50"/>
        <v>0</v>
      </c>
      <c r="K180">
        <f t="shared" ca="1" si="51"/>
        <v>0</v>
      </c>
      <c r="L180">
        <f t="shared" ca="1" si="45"/>
        <v>0</v>
      </c>
      <c r="M180" t="str">
        <f t="shared" ca="1" si="52"/>
        <v>na</v>
      </c>
      <c r="N180" t="str">
        <f t="shared" ca="1" si="53"/>
        <v>na</v>
      </c>
    </row>
    <row r="181" spans="1:14" x14ac:dyDescent="0.2">
      <c r="A181" vm="350">
        <f ca="1"/>
        <v>44505</v>
      </c>
      <c r="B181" vm="351">
        <f ca="1"/>
        <v>46.97</v>
      </c>
      <c r="C181">
        <f t="shared" ca="1" si="42"/>
        <v>-0.35999999999999943</v>
      </c>
      <c r="D181">
        <f t="shared" ca="1" si="43"/>
        <v>0</v>
      </c>
      <c r="E181">
        <f t="shared" ca="1" si="44"/>
        <v>0.35999999999999943</v>
      </c>
      <c r="F181">
        <f t="shared" ca="1" si="46"/>
        <v>0.2802754249935494</v>
      </c>
      <c r="G181">
        <f t="shared" ca="1" si="47"/>
        <v>0.20357438904520958</v>
      </c>
      <c r="H181">
        <f t="shared" ca="1" si="48"/>
        <v>1.3767715394263378</v>
      </c>
      <c r="I181">
        <f t="shared" ca="1" si="49"/>
        <v>57.926120226037298</v>
      </c>
      <c r="J181">
        <f t="shared" ca="1" si="50"/>
        <v>0</v>
      </c>
      <c r="K181">
        <f t="shared" ca="1" si="51"/>
        <v>0</v>
      </c>
      <c r="L181">
        <f t="shared" ca="1" si="45"/>
        <v>0</v>
      </c>
      <c r="M181" t="str">
        <f t="shared" ca="1" si="52"/>
        <v>na</v>
      </c>
      <c r="N181" t="str">
        <f t="shared" ca="1" si="53"/>
        <v>na</v>
      </c>
    </row>
    <row r="182" spans="1:14" x14ac:dyDescent="0.2">
      <c r="A182" vm="352">
        <f ca="1"/>
        <v>44508</v>
      </c>
      <c r="B182" vm="353">
        <f ca="1"/>
        <v>47.34</v>
      </c>
      <c r="C182">
        <f t="shared" ca="1" si="42"/>
        <v>0.37000000000000455</v>
      </c>
      <c r="D182">
        <f t="shared" ca="1" si="43"/>
        <v>0.37000000000000455</v>
      </c>
      <c r="E182">
        <f t="shared" ca="1" si="44"/>
        <v>0</v>
      </c>
      <c r="F182">
        <f t="shared" ca="1" si="46"/>
        <v>0.28668432320829623</v>
      </c>
      <c r="G182">
        <f t="shared" ca="1" si="47"/>
        <v>0.18903336125626605</v>
      </c>
      <c r="H182">
        <f t="shared" ca="1" si="48"/>
        <v>1.5165805723554169</v>
      </c>
      <c r="I182">
        <f t="shared" ca="1" si="49"/>
        <v>60.263541291505689</v>
      </c>
      <c r="J182">
        <f t="shared" ca="1" si="50"/>
        <v>0</v>
      </c>
      <c r="K182">
        <f t="shared" ca="1" si="51"/>
        <v>0</v>
      </c>
      <c r="L182">
        <f t="shared" ca="1" si="45"/>
        <v>0</v>
      </c>
      <c r="M182" t="str">
        <f t="shared" ca="1" si="52"/>
        <v>na</v>
      </c>
      <c r="N182" t="str">
        <f t="shared" ca="1" si="53"/>
        <v>na</v>
      </c>
    </row>
    <row r="183" spans="1:14" x14ac:dyDescent="0.2">
      <c r="A183" vm="354">
        <f ca="1"/>
        <v>44509</v>
      </c>
      <c r="B183" vm="355">
        <f ca="1"/>
        <v>46.88</v>
      </c>
      <c r="C183">
        <f t="shared" ca="1" si="42"/>
        <v>-0.46000000000000085</v>
      </c>
      <c r="D183">
        <f t="shared" ca="1" si="43"/>
        <v>0</v>
      </c>
      <c r="E183">
        <f t="shared" ca="1" si="44"/>
        <v>0.46000000000000085</v>
      </c>
      <c r="F183">
        <f t="shared" ca="1" si="46"/>
        <v>0.26620687155056078</v>
      </c>
      <c r="G183">
        <f t="shared" ca="1" si="47"/>
        <v>0.20838812116653282</v>
      </c>
      <c r="H183">
        <f t="shared" ca="1" si="48"/>
        <v>1.2774570357483201</v>
      </c>
      <c r="I183">
        <f t="shared" ca="1" si="49"/>
        <v>56.091378045626968</v>
      </c>
      <c r="J183">
        <f t="shared" ca="1" si="50"/>
        <v>0</v>
      </c>
      <c r="K183">
        <f t="shared" ca="1" si="51"/>
        <v>0</v>
      </c>
      <c r="L183">
        <f t="shared" ca="1" si="45"/>
        <v>0</v>
      </c>
      <c r="M183" t="str">
        <f t="shared" ca="1" si="52"/>
        <v>na</v>
      </c>
      <c r="N183" t="str">
        <f t="shared" ca="1" si="53"/>
        <v>na</v>
      </c>
    </row>
    <row r="184" spans="1:14" x14ac:dyDescent="0.2">
      <c r="A184" vm="356">
        <f ca="1"/>
        <v>44510</v>
      </c>
      <c r="B184" vm="357">
        <f ca="1"/>
        <v>47.23</v>
      </c>
      <c r="C184">
        <f t="shared" ca="1" si="42"/>
        <v>0.34999999999999432</v>
      </c>
      <c r="D184">
        <f t="shared" ca="1" si="43"/>
        <v>0.34999999999999432</v>
      </c>
      <c r="E184">
        <f t="shared" ca="1" si="44"/>
        <v>0</v>
      </c>
      <c r="F184">
        <f t="shared" ca="1" si="46"/>
        <v>0.27219209501123459</v>
      </c>
      <c r="G184">
        <f t="shared" ca="1" si="47"/>
        <v>0.19350325536892335</v>
      </c>
      <c r="H184">
        <f t="shared" ca="1" si="48"/>
        <v>1.4066538285998711</v>
      </c>
      <c r="I184">
        <f t="shared" ca="1" si="49"/>
        <v>58.448531811416593</v>
      </c>
      <c r="J184">
        <f t="shared" ca="1" si="50"/>
        <v>0</v>
      </c>
      <c r="K184">
        <f t="shared" ca="1" si="51"/>
        <v>0</v>
      </c>
      <c r="L184">
        <f t="shared" ca="1" si="45"/>
        <v>0</v>
      </c>
      <c r="M184" t="str">
        <f t="shared" ca="1" si="52"/>
        <v>na</v>
      </c>
      <c r="N184" t="str">
        <f t="shared" ca="1" si="53"/>
        <v>na</v>
      </c>
    </row>
    <row r="185" spans="1:14" x14ac:dyDescent="0.2">
      <c r="A185" vm="358">
        <f ca="1"/>
        <v>44511</v>
      </c>
      <c r="B185" vm="359">
        <f ca="1"/>
        <v>47.49</v>
      </c>
      <c r="C185">
        <f t="shared" ca="1" si="42"/>
        <v>0.26000000000000512</v>
      </c>
      <c r="D185">
        <f t="shared" ca="1" si="43"/>
        <v>0.26000000000000512</v>
      </c>
      <c r="E185">
        <f t="shared" ca="1" si="44"/>
        <v>0</v>
      </c>
      <c r="F185">
        <f t="shared" ca="1" si="46"/>
        <v>0.27132123108186107</v>
      </c>
      <c r="G185">
        <f t="shared" ca="1" si="47"/>
        <v>0.17968159427114311</v>
      </c>
      <c r="H185">
        <f t="shared" ca="1" si="48"/>
        <v>1.5100112628811158</v>
      </c>
      <c r="I185">
        <f t="shared" ca="1" si="49"/>
        <v>60.159541322051666</v>
      </c>
      <c r="J185">
        <f t="shared" ca="1" si="50"/>
        <v>0</v>
      </c>
      <c r="K185">
        <f t="shared" ca="1" si="51"/>
        <v>0</v>
      </c>
      <c r="L185">
        <f t="shared" ca="1" si="45"/>
        <v>0</v>
      </c>
      <c r="M185" t="str">
        <f t="shared" ca="1" si="52"/>
        <v>na</v>
      </c>
      <c r="N185" t="str">
        <f t="shared" ca="1" si="53"/>
        <v>na</v>
      </c>
    </row>
    <row r="186" spans="1:14" x14ac:dyDescent="0.2">
      <c r="A186" vm="360">
        <f ca="1"/>
        <v>44512</v>
      </c>
      <c r="B186" vm="361">
        <f ca="1"/>
        <v>46.91</v>
      </c>
      <c r="C186">
        <f t="shared" ca="1" si="42"/>
        <v>-0.5800000000000054</v>
      </c>
      <c r="D186">
        <f t="shared" ca="1" si="43"/>
        <v>0</v>
      </c>
      <c r="E186">
        <f t="shared" ca="1" si="44"/>
        <v>0.5800000000000054</v>
      </c>
      <c r="F186">
        <f t="shared" ca="1" si="46"/>
        <v>0.25194114314744243</v>
      </c>
      <c r="G186">
        <f t="shared" ca="1" si="47"/>
        <v>0.20827576610891899</v>
      </c>
      <c r="H186">
        <f t="shared" ca="1" si="48"/>
        <v>1.20965174131535</v>
      </c>
      <c r="I186">
        <f t="shared" ca="1" si="49"/>
        <v>54.74399964020008</v>
      </c>
      <c r="J186">
        <f t="shared" ca="1" si="50"/>
        <v>0</v>
      </c>
      <c r="K186">
        <f t="shared" ca="1" si="51"/>
        <v>0</v>
      </c>
      <c r="L186">
        <f t="shared" ca="1" si="45"/>
        <v>0</v>
      </c>
      <c r="M186" t="str">
        <f t="shared" ca="1" si="52"/>
        <v>na</v>
      </c>
      <c r="N186" t="str">
        <f t="shared" ca="1" si="53"/>
        <v>na</v>
      </c>
    </row>
    <row r="187" spans="1:14" x14ac:dyDescent="0.2">
      <c r="A187" vm="362">
        <f ca="1"/>
        <v>44515</v>
      </c>
      <c r="B187" vm="363">
        <f ca="1"/>
        <v>47.05</v>
      </c>
      <c r="C187">
        <f t="shared" ca="1" si="42"/>
        <v>0.14000000000000057</v>
      </c>
      <c r="D187">
        <f t="shared" ca="1" si="43"/>
        <v>0.14000000000000057</v>
      </c>
      <c r="E187">
        <f t="shared" ca="1" si="44"/>
        <v>0</v>
      </c>
      <c r="F187">
        <f t="shared" ca="1" si="46"/>
        <v>0.24394534720833944</v>
      </c>
      <c r="G187">
        <f t="shared" ca="1" si="47"/>
        <v>0.19339892567256764</v>
      </c>
      <c r="H187">
        <f t="shared" ca="1" si="48"/>
        <v>1.2613583367125263</v>
      </c>
      <c r="I187">
        <f t="shared" ca="1" si="49"/>
        <v>55.778790837114272</v>
      </c>
      <c r="J187">
        <f t="shared" ca="1" si="50"/>
        <v>0</v>
      </c>
      <c r="K187">
        <f t="shared" ca="1" si="51"/>
        <v>0</v>
      </c>
      <c r="L187">
        <f t="shared" ca="1" si="45"/>
        <v>0</v>
      </c>
      <c r="M187" t="str">
        <f t="shared" ca="1" si="52"/>
        <v>na</v>
      </c>
      <c r="N187" t="str">
        <f t="shared" ca="1" si="53"/>
        <v>na</v>
      </c>
    </row>
    <row r="188" spans="1:14" x14ac:dyDescent="0.2">
      <c r="A188" vm="364">
        <f ca="1"/>
        <v>44516</v>
      </c>
      <c r="B188" vm="365">
        <f ca="1"/>
        <v>47.08</v>
      </c>
      <c r="C188">
        <f t="shared" ca="1" si="42"/>
        <v>3.0000000000001137E-2</v>
      </c>
      <c r="D188">
        <f t="shared" ca="1" si="43"/>
        <v>3.0000000000001137E-2</v>
      </c>
      <c r="E188">
        <f t="shared" ca="1" si="44"/>
        <v>0</v>
      </c>
      <c r="F188">
        <f t="shared" ca="1" si="46"/>
        <v>0.22866353669345812</v>
      </c>
      <c r="G188">
        <f t="shared" ca="1" si="47"/>
        <v>0.17958471669595566</v>
      </c>
      <c r="H188">
        <f t="shared" ca="1" si="48"/>
        <v>1.2732906279580289</v>
      </c>
      <c r="I188">
        <f t="shared" ca="1" si="49"/>
        <v>56.010903854460324</v>
      </c>
      <c r="J188">
        <f t="shared" ca="1" si="50"/>
        <v>0</v>
      </c>
      <c r="K188">
        <f t="shared" ca="1" si="51"/>
        <v>0</v>
      </c>
      <c r="L188">
        <f t="shared" ca="1" si="45"/>
        <v>0</v>
      </c>
      <c r="M188" t="str">
        <f t="shared" ca="1" si="52"/>
        <v>na</v>
      </c>
      <c r="N188" t="str">
        <f t="shared" ca="1" si="53"/>
        <v>na</v>
      </c>
    </row>
    <row r="189" spans="1:14" x14ac:dyDescent="0.2">
      <c r="A189" vm="366">
        <f ca="1"/>
        <v>44517</v>
      </c>
      <c r="B189" vm="367">
        <f ca="1"/>
        <v>46.51</v>
      </c>
      <c r="C189">
        <f t="shared" ca="1" si="42"/>
        <v>-0.57000000000000028</v>
      </c>
      <c r="D189">
        <f t="shared" ca="1" si="43"/>
        <v>0</v>
      </c>
      <c r="E189">
        <f t="shared" ca="1" si="44"/>
        <v>0.57000000000000028</v>
      </c>
      <c r="F189">
        <f t="shared" ca="1" si="46"/>
        <v>0.21233042692963969</v>
      </c>
      <c r="G189">
        <f t="shared" ca="1" si="47"/>
        <v>0.20747152264624455</v>
      </c>
      <c r="H189">
        <f t="shared" ca="1" si="48"/>
        <v>1.0234196202997938</v>
      </c>
      <c r="I189">
        <f t="shared" ca="1" si="49"/>
        <v>50.578713877854064</v>
      </c>
      <c r="J189">
        <f t="shared" ca="1" si="50"/>
        <v>0</v>
      </c>
      <c r="K189">
        <f t="shared" ca="1" si="51"/>
        <v>0</v>
      </c>
      <c r="L189">
        <f t="shared" ca="1" si="45"/>
        <v>0</v>
      </c>
      <c r="M189" t="str">
        <f t="shared" ca="1" si="52"/>
        <v>na</v>
      </c>
      <c r="N189" t="str">
        <f t="shared" ca="1" si="53"/>
        <v>na</v>
      </c>
    </row>
    <row r="190" spans="1:14" x14ac:dyDescent="0.2">
      <c r="A190" vm="368">
        <f ca="1"/>
        <v>44518</v>
      </c>
      <c r="B190" vm="369">
        <f ca="1"/>
        <v>46.32</v>
      </c>
      <c r="C190">
        <f t="shared" ca="1" si="42"/>
        <v>-0.18999999999999773</v>
      </c>
      <c r="D190">
        <f t="shared" ca="1" si="43"/>
        <v>0</v>
      </c>
      <c r="E190">
        <f t="shared" ca="1" si="44"/>
        <v>0.18999999999999773</v>
      </c>
      <c r="F190">
        <f t="shared" ca="1" si="46"/>
        <v>0.19716396786323687</v>
      </c>
      <c r="G190">
        <f t="shared" ca="1" si="47"/>
        <v>0.20622355674294118</v>
      </c>
      <c r="H190">
        <f t="shared" ca="1" si="48"/>
        <v>0.95606908821286041</v>
      </c>
      <c r="I190">
        <f t="shared" ca="1" si="49"/>
        <v>48.877061345842428</v>
      </c>
      <c r="J190">
        <f t="shared" ca="1" si="50"/>
        <v>0</v>
      </c>
      <c r="K190">
        <f t="shared" ca="1" si="51"/>
        <v>0</v>
      </c>
      <c r="L190">
        <f t="shared" ca="1" si="45"/>
        <v>0</v>
      </c>
      <c r="M190" t="str">
        <f t="shared" ca="1" si="52"/>
        <v>na</v>
      </c>
      <c r="N190" t="str">
        <f t="shared" ca="1" si="53"/>
        <v>na</v>
      </c>
    </row>
    <row r="191" spans="1:14" x14ac:dyDescent="0.2">
      <c r="A191" vm="370">
        <f ca="1"/>
        <v>44519</v>
      </c>
      <c r="B191" vm="371">
        <f ca="1"/>
        <v>45.4</v>
      </c>
      <c r="C191">
        <f t="shared" ca="1" si="42"/>
        <v>-0.92000000000000171</v>
      </c>
      <c r="D191">
        <f t="shared" ca="1" si="43"/>
        <v>0</v>
      </c>
      <c r="E191">
        <f t="shared" ca="1" si="44"/>
        <v>0.92000000000000171</v>
      </c>
      <c r="F191">
        <f t="shared" ca="1" si="46"/>
        <v>0.1830808273015771</v>
      </c>
      <c r="G191">
        <f t="shared" ca="1" si="47"/>
        <v>0.2572075884041598</v>
      </c>
      <c r="H191">
        <f t="shared" ca="1" si="48"/>
        <v>0.71180181128208164</v>
      </c>
      <c r="I191">
        <f t="shared" ca="1" si="49"/>
        <v>41.582022322371898</v>
      </c>
      <c r="J191">
        <f t="shared" ca="1" si="50"/>
        <v>0</v>
      </c>
      <c r="K191">
        <f t="shared" ca="1" si="51"/>
        <v>0</v>
      </c>
      <c r="L191">
        <f t="shared" ca="1" si="45"/>
        <v>0</v>
      </c>
      <c r="M191" t="str">
        <f t="shared" ca="1" si="52"/>
        <v>na</v>
      </c>
      <c r="N191" t="str">
        <f t="shared" ca="1" si="53"/>
        <v>na</v>
      </c>
    </row>
    <row r="192" spans="1:14" x14ac:dyDescent="0.2">
      <c r="A192" vm="372">
        <f ca="1"/>
        <v>44522</v>
      </c>
      <c r="B192" vm="324">
        <f ca="1"/>
        <v>46.28</v>
      </c>
      <c r="C192">
        <f t="shared" ca="1" si="42"/>
        <v>0.88000000000000256</v>
      </c>
      <c r="D192">
        <f t="shared" ca="1" si="43"/>
        <v>0.88000000000000256</v>
      </c>
      <c r="E192">
        <f t="shared" ca="1" si="44"/>
        <v>0</v>
      </c>
      <c r="F192">
        <f t="shared" ca="1" si="46"/>
        <v>0.23286076820860749</v>
      </c>
      <c r="G192">
        <f t="shared" ca="1" si="47"/>
        <v>0.23883561780386267</v>
      </c>
      <c r="H192">
        <f t="shared" ca="1" si="48"/>
        <v>0.97498342311672348</v>
      </c>
      <c r="I192">
        <f t="shared" ca="1" si="49"/>
        <v>49.366663623844552</v>
      </c>
      <c r="J192">
        <f t="shared" ca="1" si="50"/>
        <v>0</v>
      </c>
      <c r="K192">
        <f t="shared" ca="1" si="51"/>
        <v>0</v>
      </c>
      <c r="L192">
        <f t="shared" ca="1" si="45"/>
        <v>0</v>
      </c>
      <c r="M192" t="str">
        <f t="shared" ca="1" si="52"/>
        <v>na</v>
      </c>
      <c r="N192" t="str">
        <f t="shared" ca="1" si="53"/>
        <v>na</v>
      </c>
    </row>
    <row r="193" spans="1:14" x14ac:dyDescent="0.2">
      <c r="A193" vm="373">
        <f ca="1"/>
        <v>44523</v>
      </c>
      <c r="B193" vm="374">
        <f ca="1"/>
        <v>47.5</v>
      </c>
      <c r="C193">
        <f t="shared" ca="1" si="42"/>
        <v>1.2199999999999989</v>
      </c>
      <c r="D193">
        <f t="shared" ca="1" si="43"/>
        <v>1.2199999999999989</v>
      </c>
      <c r="E193">
        <f t="shared" ca="1" si="44"/>
        <v>0</v>
      </c>
      <c r="F193">
        <f t="shared" ca="1" si="46"/>
        <v>0.30337071333656407</v>
      </c>
      <c r="G193">
        <f t="shared" ca="1" si="47"/>
        <v>0.22177593081787247</v>
      </c>
      <c r="H193">
        <f t="shared" ca="1" si="48"/>
        <v>1.3679154100166944</v>
      </c>
      <c r="I193">
        <f t="shared" ca="1" si="49"/>
        <v>57.768761680851185</v>
      </c>
      <c r="J193">
        <f t="shared" ca="1" si="50"/>
        <v>0</v>
      </c>
      <c r="K193">
        <f t="shared" ca="1" si="51"/>
        <v>0</v>
      </c>
      <c r="L193">
        <f t="shared" ca="1" si="45"/>
        <v>0</v>
      </c>
      <c r="M193" t="str">
        <f t="shared" ca="1" si="52"/>
        <v>na</v>
      </c>
      <c r="N193" t="str">
        <f t="shared" ca="1" si="53"/>
        <v>na</v>
      </c>
    </row>
    <row r="194" spans="1:14" x14ac:dyDescent="0.2">
      <c r="A194" vm="375">
        <f ca="1"/>
        <v>44524</v>
      </c>
      <c r="B194" vm="376">
        <f ca="1"/>
        <v>47.63</v>
      </c>
      <c r="C194">
        <f t="shared" ca="1" si="42"/>
        <v>0.13000000000000256</v>
      </c>
      <c r="D194">
        <f t="shared" ca="1" si="43"/>
        <v>0.13000000000000256</v>
      </c>
      <c r="E194">
        <f t="shared" ca="1" si="44"/>
        <v>0</v>
      </c>
      <c r="F194">
        <f t="shared" ca="1" si="46"/>
        <v>0.29098709095538106</v>
      </c>
      <c r="G194">
        <f t="shared" ca="1" si="47"/>
        <v>0.20593479290231015</v>
      </c>
      <c r="H194">
        <f t="shared" ca="1" si="48"/>
        <v>1.4130059658904621</v>
      </c>
      <c r="I194">
        <f t="shared" ca="1" si="49"/>
        <v>58.557914313694042</v>
      </c>
      <c r="J194">
        <f t="shared" ca="1" si="50"/>
        <v>0</v>
      </c>
      <c r="K194">
        <f t="shared" ca="1" si="51"/>
        <v>0</v>
      </c>
      <c r="L194">
        <f t="shared" ca="1" si="45"/>
        <v>0</v>
      </c>
      <c r="M194" t="str">
        <f t="shared" ca="1" si="52"/>
        <v>na</v>
      </c>
      <c r="N194" t="str">
        <f t="shared" ca="1" si="53"/>
        <v>na</v>
      </c>
    </row>
    <row r="195" spans="1:14" x14ac:dyDescent="0.2">
      <c r="A195" vm="377">
        <f ca="1"/>
        <v>44526</v>
      </c>
      <c r="B195" vm="378">
        <f ca="1"/>
        <v>45.76</v>
      </c>
      <c r="C195">
        <f t="shared" ca="1" si="42"/>
        <v>-1.8700000000000045</v>
      </c>
      <c r="D195">
        <f t="shared" ca="1" si="43"/>
        <v>0</v>
      </c>
      <c r="E195">
        <f t="shared" ca="1" si="44"/>
        <v>1.8700000000000045</v>
      </c>
      <c r="F195">
        <f t="shared" ca="1" si="46"/>
        <v>0.27020229874428242</v>
      </c>
      <c r="G195">
        <f t="shared" ca="1" si="47"/>
        <v>0.32479659340928835</v>
      </c>
      <c r="H195">
        <f t="shared" ca="1" si="48"/>
        <v>0.83191235446176737</v>
      </c>
      <c r="I195">
        <f t="shared" ca="1" si="49"/>
        <v>45.412235603716475</v>
      </c>
      <c r="J195">
        <f t="shared" ca="1" si="50"/>
        <v>0</v>
      </c>
      <c r="K195">
        <f t="shared" ca="1" si="51"/>
        <v>0</v>
      </c>
      <c r="L195">
        <f t="shared" ca="1" si="45"/>
        <v>0</v>
      </c>
      <c r="M195" t="str">
        <f t="shared" ca="1" si="52"/>
        <v>na</v>
      </c>
      <c r="N195" t="str">
        <f t="shared" ca="1" si="53"/>
        <v>na</v>
      </c>
    </row>
    <row r="196" spans="1:14" x14ac:dyDescent="0.2">
      <c r="A196" vm="379">
        <f ca="1"/>
        <v>44529</v>
      </c>
      <c r="B196" vm="380">
        <f ca="1"/>
        <v>45.59</v>
      </c>
      <c r="C196">
        <f t="shared" ca="1" si="42"/>
        <v>-0.1699999999999946</v>
      </c>
      <c r="D196">
        <f t="shared" ca="1" si="43"/>
        <v>0</v>
      </c>
      <c r="E196">
        <f t="shared" ca="1" si="44"/>
        <v>0.1699999999999946</v>
      </c>
      <c r="F196">
        <f t="shared" ca="1" si="46"/>
        <v>0.25090213454826221</v>
      </c>
      <c r="G196">
        <f t="shared" ca="1" si="47"/>
        <v>0.31373969388005307</v>
      </c>
      <c r="H196">
        <f t="shared" ca="1" si="48"/>
        <v>0.7997143474111551</v>
      </c>
      <c r="I196">
        <f t="shared" ca="1" si="49"/>
        <v>44.435626607162668</v>
      </c>
      <c r="J196">
        <f t="shared" ca="1" si="50"/>
        <v>0</v>
      </c>
      <c r="K196">
        <f t="shared" ca="1" si="51"/>
        <v>0</v>
      </c>
      <c r="L196">
        <f t="shared" ca="1" si="45"/>
        <v>0</v>
      </c>
      <c r="M196" t="str">
        <f t="shared" ca="1" si="52"/>
        <v>na</v>
      </c>
      <c r="N196" t="str">
        <f t="shared" ca="1" si="53"/>
        <v>na</v>
      </c>
    </row>
    <row r="197" spans="1:14" x14ac:dyDescent="0.2">
      <c r="A197" vm="381">
        <f ca="1"/>
        <v>44530</v>
      </c>
      <c r="B197" vm="37">
        <f ca="1"/>
        <v>44.47</v>
      </c>
      <c r="C197">
        <f t="shared" ca="1" si="42"/>
        <v>-1.1200000000000045</v>
      </c>
      <c r="D197">
        <f t="shared" ca="1" si="43"/>
        <v>0</v>
      </c>
      <c r="E197">
        <f t="shared" ca="1" si="44"/>
        <v>1.1200000000000045</v>
      </c>
      <c r="F197">
        <f t="shared" ca="1" si="46"/>
        <v>0.2329805535091006</v>
      </c>
      <c r="G197">
        <f t="shared" ca="1" si="47"/>
        <v>0.3713297157457639</v>
      </c>
      <c r="H197">
        <f t="shared" ca="1" si="48"/>
        <v>0.62742232476921944</v>
      </c>
      <c r="I197">
        <f t="shared" ca="1" si="49"/>
        <v>38.553134931228904</v>
      </c>
      <c r="J197">
        <f t="shared" ca="1" si="50"/>
        <v>1</v>
      </c>
      <c r="K197">
        <f t="shared" ca="1" si="51"/>
        <v>1</v>
      </c>
      <c r="L197">
        <f t="shared" ca="1" si="45"/>
        <v>0</v>
      </c>
      <c r="M197" vm="37">
        <f t="shared" ca="1" si="52"/>
        <v>44.47</v>
      </c>
      <c r="N197" t="str">
        <f t="shared" ca="1" si="53"/>
        <v>na</v>
      </c>
    </row>
    <row r="198" spans="1:14" x14ac:dyDescent="0.2">
      <c r="A198" vm="382">
        <f ca="1"/>
        <v>44531</v>
      </c>
      <c r="B198" vm="383">
        <f ca="1"/>
        <v>43.84</v>
      </c>
      <c r="C198">
        <f t="shared" ca="1" si="42"/>
        <v>-0.62999999999999545</v>
      </c>
      <c r="D198">
        <f t="shared" ca="1" si="43"/>
        <v>0</v>
      </c>
      <c r="E198">
        <f t="shared" ca="1" si="44"/>
        <v>0.62999999999999545</v>
      </c>
      <c r="F198">
        <f t="shared" ca="1" si="46"/>
        <v>0.2163390854013077</v>
      </c>
      <c r="G198">
        <f t="shared" ca="1" si="47"/>
        <v>0.38980616462106615</v>
      </c>
      <c r="H198">
        <f t="shared" ca="1" si="48"/>
        <v>0.55499144199428641</v>
      </c>
      <c r="I198">
        <f t="shared" ca="1" si="49"/>
        <v>35.690964400582573</v>
      </c>
      <c r="J198">
        <f t="shared" ca="1" si="50"/>
        <v>1</v>
      </c>
      <c r="K198">
        <f t="shared" ca="1" si="51"/>
        <v>1</v>
      </c>
      <c r="L198">
        <f t="shared" ca="1" si="45"/>
        <v>0</v>
      </c>
      <c r="M198" t="str">
        <f t="shared" ca="1" si="52"/>
        <v>na</v>
      </c>
      <c r="N198" t="str">
        <f t="shared" ca="1" si="53"/>
        <v>na</v>
      </c>
    </row>
    <row r="199" spans="1:14" x14ac:dyDescent="0.2">
      <c r="A199" vm="384">
        <f ca="1"/>
        <v>44532</v>
      </c>
      <c r="B199" vm="385">
        <f ca="1"/>
        <v>44.89</v>
      </c>
      <c r="C199">
        <f t="shared" ca="1" si="42"/>
        <v>1.0499999999999972</v>
      </c>
      <c r="D199">
        <f t="shared" ca="1" si="43"/>
        <v>1.0499999999999972</v>
      </c>
      <c r="E199">
        <f t="shared" ca="1" si="44"/>
        <v>0</v>
      </c>
      <c r="F199">
        <f t="shared" ca="1" si="46"/>
        <v>0.27588629358692834</v>
      </c>
      <c r="G199">
        <f t="shared" ca="1" si="47"/>
        <v>0.36196286714813286</v>
      </c>
      <c r="H199">
        <f t="shared" ca="1" si="48"/>
        <v>0.76219501674469337</v>
      </c>
      <c r="I199">
        <f t="shared" ca="1" si="49"/>
        <v>43.252591767777091</v>
      </c>
      <c r="J199">
        <f t="shared" ca="1" si="50"/>
        <v>1</v>
      </c>
      <c r="K199">
        <f t="shared" ca="1" si="51"/>
        <v>0</v>
      </c>
      <c r="L199">
        <f t="shared" ca="1" si="45"/>
        <v>0</v>
      </c>
      <c r="M199" t="str">
        <f t="shared" ca="1" si="52"/>
        <v>na</v>
      </c>
      <c r="N199" t="str">
        <f t="shared" ca="1" si="53"/>
        <v>na</v>
      </c>
    </row>
    <row r="200" spans="1:14" x14ac:dyDescent="0.2">
      <c r="A200" vm="386">
        <f ca="1"/>
        <v>44533</v>
      </c>
      <c r="B200" vm="387">
        <f ca="1"/>
        <v>43.87</v>
      </c>
      <c r="C200">
        <f t="shared" ca="1" si="42"/>
        <v>-1.0200000000000031</v>
      </c>
      <c r="D200">
        <f t="shared" ca="1" si="43"/>
        <v>0</v>
      </c>
      <c r="E200">
        <f t="shared" ca="1" si="44"/>
        <v>1.0200000000000031</v>
      </c>
      <c r="F200">
        <f t="shared" ca="1" si="46"/>
        <v>0.25618012975929061</v>
      </c>
      <c r="G200">
        <f t="shared" ca="1" si="47"/>
        <v>0.40896551949469501</v>
      </c>
      <c r="H200">
        <f t="shared" ca="1" si="48"/>
        <v>0.62641009461095587</v>
      </c>
      <c r="I200">
        <f t="shared" ca="1" si="49"/>
        <v>38.514892196411004</v>
      </c>
      <c r="J200">
        <f t="shared" ca="1" si="50"/>
        <v>1</v>
      </c>
      <c r="K200">
        <f t="shared" ca="1" si="51"/>
        <v>1</v>
      </c>
      <c r="L200">
        <f t="shared" ca="1" si="45"/>
        <v>0</v>
      </c>
      <c r="M200" t="str">
        <f t="shared" ca="1" si="52"/>
        <v>na</v>
      </c>
      <c r="N200" t="str">
        <f t="shared" ca="1" si="53"/>
        <v>na</v>
      </c>
    </row>
    <row r="201" spans="1:14" x14ac:dyDescent="0.2">
      <c r="A201" vm="388">
        <f ca="1"/>
        <v>44536</v>
      </c>
      <c r="B201" vm="389">
        <f ca="1"/>
        <v>44.15</v>
      </c>
      <c r="C201">
        <f t="shared" ref="C201:C264" ca="1" si="54">B201-B200</f>
        <v>0.28000000000000114</v>
      </c>
      <c r="D201">
        <f t="shared" ref="D201:D264" ca="1" si="55">IF(C201&gt;0,C201,0)</f>
        <v>0.28000000000000114</v>
      </c>
      <c r="E201">
        <f t="shared" ref="E201:E264" ca="1" si="56">IF(C201&lt;0,ABS(C201),0)</f>
        <v>0</v>
      </c>
      <c r="F201">
        <f t="shared" ca="1" si="46"/>
        <v>0.25788154906219851</v>
      </c>
      <c r="G201">
        <f t="shared" ca="1" si="47"/>
        <v>0.37975369667364539</v>
      </c>
      <c r="H201">
        <f t="shared" ca="1" si="48"/>
        <v>0.67907580971836601</v>
      </c>
      <c r="I201">
        <f t="shared" ca="1" si="49"/>
        <v>40.44342761583043</v>
      </c>
      <c r="J201">
        <f t="shared" ca="1" si="50"/>
        <v>1</v>
      </c>
      <c r="K201">
        <f t="shared" ca="1" si="51"/>
        <v>0</v>
      </c>
      <c r="L201">
        <f t="shared" ca="1" si="45"/>
        <v>0</v>
      </c>
      <c r="M201" t="str">
        <f t="shared" ca="1" si="52"/>
        <v>na</v>
      </c>
      <c r="N201" t="str">
        <f t="shared" ca="1" si="53"/>
        <v>na</v>
      </c>
    </row>
    <row r="202" spans="1:14" x14ac:dyDescent="0.2">
      <c r="A202" vm="390">
        <f ca="1"/>
        <v>44537</v>
      </c>
      <c r="B202" vm="391">
        <f ca="1"/>
        <v>44.71</v>
      </c>
      <c r="C202">
        <f t="shared" ca="1" si="54"/>
        <v>0.56000000000000227</v>
      </c>
      <c r="D202">
        <f t="shared" ca="1" si="55"/>
        <v>0.56000000000000227</v>
      </c>
      <c r="E202">
        <f t="shared" ca="1" si="56"/>
        <v>0</v>
      </c>
      <c r="F202">
        <f t="shared" ca="1" si="46"/>
        <v>0.27946143841489879</v>
      </c>
      <c r="G202">
        <f t="shared" ca="1" si="47"/>
        <v>0.3526284326255279</v>
      </c>
      <c r="H202">
        <f t="shared" ca="1" si="48"/>
        <v>0.79250965764201875</v>
      </c>
      <c r="I202">
        <f t="shared" ca="1" si="49"/>
        <v>44.212294994523845</v>
      </c>
      <c r="J202">
        <f t="shared" ca="1" si="50"/>
        <v>1</v>
      </c>
      <c r="K202">
        <f t="shared" ca="1" si="51"/>
        <v>0</v>
      </c>
      <c r="L202">
        <f t="shared" ca="1" si="45"/>
        <v>0</v>
      </c>
      <c r="M202" t="str">
        <f t="shared" ca="1" si="52"/>
        <v>na</v>
      </c>
      <c r="N202" t="str">
        <f t="shared" ca="1" si="53"/>
        <v>na</v>
      </c>
    </row>
    <row r="203" spans="1:14" x14ac:dyDescent="0.2">
      <c r="A203" vm="392">
        <f ca="1"/>
        <v>44538</v>
      </c>
      <c r="B203" vm="393">
        <f ca="1"/>
        <v>44.16</v>
      </c>
      <c r="C203">
        <f t="shared" ca="1" si="54"/>
        <v>-0.55000000000000426</v>
      </c>
      <c r="D203">
        <f t="shared" ca="1" si="55"/>
        <v>0</v>
      </c>
      <c r="E203">
        <f t="shared" ca="1" si="56"/>
        <v>0.55000000000000426</v>
      </c>
      <c r="F203">
        <f t="shared" ca="1" si="46"/>
        <v>0.25949990709954884</v>
      </c>
      <c r="G203">
        <f t="shared" ca="1" si="47"/>
        <v>0.3667264017237048</v>
      </c>
      <c r="H203">
        <f t="shared" ca="1" si="48"/>
        <v>0.7076117396506908</v>
      </c>
      <c r="I203">
        <f t="shared" ca="1" si="49"/>
        <v>41.438678548522979</v>
      </c>
      <c r="J203">
        <f t="shared" ca="1" si="50"/>
        <v>1</v>
      </c>
      <c r="K203">
        <f t="shared" ca="1" si="51"/>
        <v>0</v>
      </c>
      <c r="L203">
        <f t="shared" ca="1" si="45"/>
        <v>0</v>
      </c>
      <c r="M203" t="str">
        <f t="shared" ca="1" si="52"/>
        <v>na</v>
      </c>
      <c r="N203" t="str">
        <f t="shared" ca="1" si="53"/>
        <v>na</v>
      </c>
    </row>
    <row r="204" spans="1:14" x14ac:dyDescent="0.2">
      <c r="A204" vm="394">
        <f ca="1"/>
        <v>44539</v>
      </c>
      <c r="B204" vm="395">
        <f ca="1"/>
        <v>44.49</v>
      </c>
      <c r="C204">
        <f t="shared" ca="1" si="54"/>
        <v>0.3300000000000054</v>
      </c>
      <c r="D204">
        <f t="shared" ca="1" si="55"/>
        <v>0.3300000000000054</v>
      </c>
      <c r="E204">
        <f t="shared" ca="1" si="56"/>
        <v>0</v>
      </c>
      <c r="F204">
        <f t="shared" ca="1" si="46"/>
        <v>0.26453562802100999</v>
      </c>
      <c r="G204">
        <f t="shared" ca="1" si="47"/>
        <v>0.34053165874344016</v>
      </c>
      <c r="H204">
        <f t="shared" ca="1" si="48"/>
        <v>0.77683123207147586</v>
      </c>
      <c r="I204">
        <f t="shared" ca="1" si="49"/>
        <v>43.720034747803588</v>
      </c>
      <c r="J204">
        <f t="shared" ca="1" si="50"/>
        <v>1</v>
      </c>
      <c r="K204">
        <f t="shared" ca="1" si="51"/>
        <v>0</v>
      </c>
      <c r="L204">
        <f t="shared" ca="1" si="45"/>
        <v>0</v>
      </c>
      <c r="M204" t="str">
        <f t="shared" ca="1" si="52"/>
        <v>na</v>
      </c>
      <c r="N204" t="str">
        <f t="shared" ca="1" si="53"/>
        <v>na</v>
      </c>
    </row>
    <row r="205" spans="1:14" x14ac:dyDescent="0.2">
      <c r="A205" vm="396">
        <f ca="1"/>
        <v>44540</v>
      </c>
      <c r="B205" vm="397">
        <f ca="1"/>
        <v>44.52</v>
      </c>
      <c r="C205">
        <f t="shared" ca="1" si="54"/>
        <v>3.0000000000001137E-2</v>
      </c>
      <c r="D205">
        <f t="shared" ca="1" si="55"/>
        <v>3.0000000000001137E-2</v>
      </c>
      <c r="E205">
        <f t="shared" ca="1" si="56"/>
        <v>0</v>
      </c>
      <c r="F205">
        <f t="shared" ca="1" si="46"/>
        <v>0.2477830831623665</v>
      </c>
      <c r="G205">
        <f t="shared" ca="1" si="47"/>
        <v>0.31620796883319446</v>
      </c>
      <c r="H205">
        <f t="shared" ca="1" si="48"/>
        <v>0.78360796559518919</v>
      </c>
      <c r="I205">
        <f t="shared" ca="1" si="49"/>
        <v>43.933867795533168</v>
      </c>
      <c r="J205">
        <f t="shared" ca="1" si="50"/>
        <v>1</v>
      </c>
      <c r="K205">
        <f t="shared" ca="1" si="51"/>
        <v>0</v>
      </c>
      <c r="L205">
        <f t="shared" ca="1" si="45"/>
        <v>0</v>
      </c>
      <c r="M205" t="str">
        <f t="shared" ca="1" si="52"/>
        <v>na</v>
      </c>
      <c r="N205" t="str">
        <f t="shared" ca="1" si="53"/>
        <v>na</v>
      </c>
    </row>
    <row r="206" spans="1:14" x14ac:dyDescent="0.2">
      <c r="A206" vm="398">
        <f ca="1"/>
        <v>44543</v>
      </c>
      <c r="B206" vm="399">
        <f ca="1"/>
        <v>43.58</v>
      </c>
      <c r="C206">
        <f t="shared" ca="1" si="54"/>
        <v>-0.94000000000000483</v>
      </c>
      <c r="D206">
        <f t="shared" ca="1" si="55"/>
        <v>0</v>
      </c>
      <c r="E206">
        <f t="shared" ca="1" si="56"/>
        <v>0.94000000000000483</v>
      </c>
      <c r="F206">
        <f t="shared" ca="1" si="46"/>
        <v>0.23008429150791174</v>
      </c>
      <c r="G206">
        <f t="shared" ca="1" si="47"/>
        <v>0.36076454248796663</v>
      </c>
      <c r="H206">
        <f t="shared" ca="1" si="48"/>
        <v>0.63776858424379734</v>
      </c>
      <c r="I206">
        <f t="shared" ca="1" si="49"/>
        <v>38.941312611529455</v>
      </c>
      <c r="J206">
        <f t="shared" ca="1" si="50"/>
        <v>1</v>
      </c>
      <c r="K206">
        <f t="shared" ca="1" si="51"/>
        <v>1</v>
      </c>
      <c r="L206">
        <f t="shared" ca="1" si="45"/>
        <v>0</v>
      </c>
      <c r="M206" t="str">
        <f t="shared" ca="1" si="52"/>
        <v>na</v>
      </c>
      <c r="N206" t="str">
        <f t="shared" ca="1" si="53"/>
        <v>na</v>
      </c>
    </row>
    <row r="207" spans="1:14" x14ac:dyDescent="0.2">
      <c r="A207" vm="400">
        <f ca="1"/>
        <v>44544</v>
      </c>
      <c r="B207" vm="57">
        <f ca="1"/>
        <v>44.13</v>
      </c>
      <c r="C207">
        <f t="shared" ca="1" si="54"/>
        <v>0.55000000000000426</v>
      </c>
      <c r="D207">
        <f t="shared" ca="1" si="55"/>
        <v>0.55000000000000426</v>
      </c>
      <c r="E207">
        <f t="shared" ca="1" si="56"/>
        <v>0</v>
      </c>
      <c r="F207">
        <f t="shared" ca="1" si="46"/>
        <v>0.2529354135430612</v>
      </c>
      <c r="G207">
        <f t="shared" ca="1" si="47"/>
        <v>0.33499564659596903</v>
      </c>
      <c r="H207">
        <f t="shared" ca="1" si="48"/>
        <v>0.75504089713775024</v>
      </c>
      <c r="I207">
        <f t="shared" ca="1" si="49"/>
        <v>43.021270807371295</v>
      </c>
      <c r="J207">
        <f t="shared" ca="1" si="50"/>
        <v>1</v>
      </c>
      <c r="K207">
        <f t="shared" ca="1" si="51"/>
        <v>0</v>
      </c>
      <c r="L207">
        <f t="shared" ca="1" si="45"/>
        <v>0</v>
      </c>
      <c r="M207" t="str">
        <f t="shared" ca="1" si="52"/>
        <v>na</v>
      </c>
      <c r="N207" t="str">
        <f t="shared" ca="1" si="53"/>
        <v>na</v>
      </c>
    </row>
    <row r="208" spans="1:14" x14ac:dyDescent="0.2">
      <c r="A208" vm="401">
        <f ca="1"/>
        <v>44545</v>
      </c>
      <c r="B208" vm="402">
        <f ca="1"/>
        <v>43.94</v>
      </c>
      <c r="C208">
        <f t="shared" ca="1" si="54"/>
        <v>-0.19000000000000483</v>
      </c>
      <c r="D208">
        <f t="shared" ca="1" si="55"/>
        <v>0</v>
      </c>
      <c r="E208">
        <f t="shared" ca="1" si="56"/>
        <v>0.19000000000000483</v>
      </c>
      <c r="F208">
        <f t="shared" ca="1" si="46"/>
        <v>0.23486859828998541</v>
      </c>
      <c r="G208">
        <f t="shared" ca="1" si="47"/>
        <v>0.32463881469625733</v>
      </c>
      <c r="H208">
        <f t="shared" ca="1" si="48"/>
        <v>0.72347663821325903</v>
      </c>
      <c r="I208">
        <f t="shared" ca="1" si="49"/>
        <v>41.977745573812506</v>
      </c>
      <c r="J208">
        <f t="shared" ca="1" si="50"/>
        <v>1</v>
      </c>
      <c r="K208">
        <f t="shared" ca="1" si="51"/>
        <v>0</v>
      </c>
      <c r="L208">
        <f t="shared" ca="1" si="45"/>
        <v>0</v>
      </c>
      <c r="M208" t="str">
        <f t="shared" ca="1" si="52"/>
        <v>na</v>
      </c>
      <c r="N208" t="str">
        <f t="shared" ca="1" si="53"/>
        <v>na</v>
      </c>
    </row>
    <row r="209" spans="1:14" x14ac:dyDescent="0.2">
      <c r="A209" vm="403">
        <f ca="1"/>
        <v>44546</v>
      </c>
      <c r="B209" vm="404">
        <f ca="1"/>
        <v>45</v>
      </c>
      <c r="C209">
        <f t="shared" ca="1" si="54"/>
        <v>1.0600000000000023</v>
      </c>
      <c r="D209">
        <f t="shared" ca="1" si="55"/>
        <v>1.0600000000000023</v>
      </c>
      <c r="E209">
        <f t="shared" ca="1" si="56"/>
        <v>0</v>
      </c>
      <c r="F209">
        <f t="shared" ca="1" si="46"/>
        <v>0.29380655555498658</v>
      </c>
      <c r="G209">
        <f t="shared" ca="1" si="47"/>
        <v>0.30145032793223897</v>
      </c>
      <c r="H209">
        <f t="shared" ca="1" si="48"/>
        <v>0.97464334363248539</v>
      </c>
      <c r="I209">
        <f t="shared" ca="1" si="49"/>
        <v>49.357943386351756</v>
      </c>
      <c r="J209">
        <f t="shared" ca="1" si="50"/>
        <v>1</v>
      </c>
      <c r="K209">
        <f t="shared" ca="1" si="51"/>
        <v>0</v>
      </c>
      <c r="L209">
        <f t="shared" ca="1" si="45"/>
        <v>0</v>
      </c>
      <c r="M209" t="str">
        <f t="shared" ca="1" si="52"/>
        <v>na</v>
      </c>
      <c r="N209" t="str">
        <f t="shared" ca="1" si="53"/>
        <v>na</v>
      </c>
    </row>
    <row r="210" spans="1:14" x14ac:dyDescent="0.2">
      <c r="A210" vm="405">
        <f ca="1"/>
        <v>44547</v>
      </c>
      <c r="B210" vm="406">
        <f ca="1"/>
        <v>43.88</v>
      </c>
      <c r="C210">
        <f t="shared" ca="1" si="54"/>
        <v>-1.1199999999999974</v>
      </c>
      <c r="D210">
        <f t="shared" ca="1" si="55"/>
        <v>0</v>
      </c>
      <c r="E210">
        <f t="shared" ca="1" si="56"/>
        <v>1.1199999999999974</v>
      </c>
      <c r="F210">
        <f t="shared" ca="1" si="46"/>
        <v>0.27282037301534467</v>
      </c>
      <c r="G210">
        <f t="shared" ca="1" si="47"/>
        <v>0.35991816165136459</v>
      </c>
      <c r="H210">
        <f t="shared" ca="1" si="48"/>
        <v>0.75800668619666001</v>
      </c>
      <c r="I210">
        <f t="shared" ca="1" si="49"/>
        <v>43.117394953517561</v>
      </c>
      <c r="J210">
        <f t="shared" ca="1" si="50"/>
        <v>1</v>
      </c>
      <c r="K210">
        <f t="shared" ca="1" si="51"/>
        <v>0</v>
      </c>
      <c r="L210">
        <f t="shared" ca="1" si="45"/>
        <v>0</v>
      </c>
      <c r="M210" t="str">
        <f t="shared" ca="1" si="52"/>
        <v>na</v>
      </c>
      <c r="N210" t="str">
        <f t="shared" ca="1" si="53"/>
        <v>na</v>
      </c>
    </row>
    <row r="211" spans="1:14" x14ac:dyDescent="0.2">
      <c r="A211" vm="407">
        <f ca="1"/>
        <v>44550</v>
      </c>
      <c r="B211" vm="297">
        <f ca="1"/>
        <v>43.16</v>
      </c>
      <c r="C211">
        <f t="shared" ca="1" si="54"/>
        <v>-0.72000000000000597</v>
      </c>
      <c r="D211">
        <f t="shared" ca="1" si="55"/>
        <v>0</v>
      </c>
      <c r="E211">
        <f t="shared" ca="1" si="56"/>
        <v>0.72000000000000597</v>
      </c>
      <c r="F211">
        <f t="shared" ca="1" si="46"/>
        <v>0.25333320351424865</v>
      </c>
      <c r="G211">
        <f t="shared" ca="1" si="47"/>
        <v>0.38563829296198182</v>
      </c>
      <c r="H211">
        <f t="shared" ca="1" si="48"/>
        <v>0.65691921196016578</v>
      </c>
      <c r="I211">
        <f t="shared" ca="1" si="49"/>
        <v>39.647027279200792</v>
      </c>
      <c r="J211">
        <f t="shared" ca="1" si="50"/>
        <v>1</v>
      </c>
      <c r="K211">
        <f t="shared" ca="1" si="51"/>
        <v>1</v>
      </c>
      <c r="L211">
        <f t="shared" ca="1" si="45"/>
        <v>0</v>
      </c>
      <c r="M211" t="str">
        <f t="shared" ca="1" si="52"/>
        <v>na</v>
      </c>
      <c r="N211" t="str">
        <f t="shared" ca="1" si="53"/>
        <v>na</v>
      </c>
    </row>
    <row r="212" spans="1:14" x14ac:dyDescent="0.2">
      <c r="A212" vm="408">
        <f ca="1"/>
        <v>44551</v>
      </c>
      <c r="B212" vm="409">
        <f ca="1"/>
        <v>44.19</v>
      </c>
      <c r="C212">
        <f t="shared" ca="1" si="54"/>
        <v>1.0300000000000011</v>
      </c>
      <c r="D212">
        <f t="shared" ca="1" si="55"/>
        <v>1.0300000000000011</v>
      </c>
      <c r="E212">
        <f t="shared" ca="1" si="56"/>
        <v>0</v>
      </c>
      <c r="F212">
        <f t="shared" ca="1" si="46"/>
        <v>0.30880940326323097</v>
      </c>
      <c r="G212">
        <f t="shared" ca="1" si="47"/>
        <v>0.35809270060755455</v>
      </c>
      <c r="H212">
        <f t="shared" ca="1" si="48"/>
        <v>0.86237279547807721</v>
      </c>
      <c r="I212">
        <f t="shared" ca="1" si="49"/>
        <v>46.305057589541484</v>
      </c>
      <c r="J212">
        <f t="shared" ca="1" si="50"/>
        <v>1</v>
      </c>
      <c r="K212">
        <f t="shared" ca="1" si="51"/>
        <v>0</v>
      </c>
      <c r="L212">
        <f t="shared" ca="1" si="45"/>
        <v>0</v>
      </c>
      <c r="M212" t="str">
        <f t="shared" ca="1" si="52"/>
        <v>na</v>
      </c>
      <c r="N212" t="str">
        <f t="shared" ca="1" si="53"/>
        <v>na</v>
      </c>
    </row>
    <row r="213" spans="1:14" x14ac:dyDescent="0.2">
      <c r="A213" vm="410">
        <f ca="1"/>
        <v>44552</v>
      </c>
      <c r="B213" vm="64">
        <f ca="1"/>
        <v>44.28</v>
      </c>
      <c r="C213">
        <f t="shared" ca="1" si="54"/>
        <v>9.0000000000003411E-2</v>
      </c>
      <c r="D213">
        <f t="shared" ca="1" si="55"/>
        <v>9.0000000000003411E-2</v>
      </c>
      <c r="E213">
        <f t="shared" ca="1" si="56"/>
        <v>0</v>
      </c>
      <c r="F213">
        <f t="shared" ca="1" si="46"/>
        <v>0.29318016017300047</v>
      </c>
      <c r="G213">
        <f t="shared" ca="1" si="47"/>
        <v>0.3325146505641578</v>
      </c>
      <c r="H213">
        <f t="shared" ca="1" si="48"/>
        <v>0.88170599303092112</v>
      </c>
      <c r="I213">
        <f t="shared" ca="1" si="49"/>
        <v>46.856735127400562</v>
      </c>
      <c r="J213">
        <f t="shared" ca="1" si="50"/>
        <v>1</v>
      </c>
      <c r="K213">
        <f t="shared" ca="1" si="51"/>
        <v>0</v>
      </c>
      <c r="L213">
        <f t="shared" ca="1" si="45"/>
        <v>0</v>
      </c>
      <c r="M213" t="str">
        <f t="shared" ca="1" si="52"/>
        <v>na</v>
      </c>
      <c r="N213" t="str">
        <f t="shared" ca="1" si="53"/>
        <v>na</v>
      </c>
    </row>
    <row r="214" spans="1:14" x14ac:dyDescent="0.2">
      <c r="A214" vm="411">
        <f ca="1"/>
        <v>44553</v>
      </c>
      <c r="B214" vm="412">
        <f ca="1"/>
        <v>44.42</v>
      </c>
      <c r="C214">
        <f t="shared" ca="1" si="54"/>
        <v>0.14000000000000057</v>
      </c>
      <c r="D214">
        <f t="shared" ca="1" si="55"/>
        <v>0.14000000000000057</v>
      </c>
      <c r="E214">
        <f t="shared" ca="1" si="56"/>
        <v>0</v>
      </c>
      <c r="F214">
        <f t="shared" ca="1" si="46"/>
        <v>0.28223872016064333</v>
      </c>
      <c r="G214">
        <f t="shared" ca="1" si="47"/>
        <v>0.30876360409528936</v>
      </c>
      <c r="H214">
        <f t="shared" ca="1" si="48"/>
        <v>0.91409322995705145</v>
      </c>
      <c r="I214">
        <f t="shared" ca="1" si="49"/>
        <v>47.755940810550904</v>
      </c>
      <c r="J214">
        <f t="shared" ca="1" si="50"/>
        <v>1</v>
      </c>
      <c r="K214">
        <f t="shared" ca="1" si="51"/>
        <v>0</v>
      </c>
      <c r="L214">
        <f t="shared" ref="L214:L277" ca="1" si="57">IF(I214&gt;$C$3,1,0)</f>
        <v>0</v>
      </c>
      <c r="M214" t="str">
        <f t="shared" ca="1" si="52"/>
        <v>na</v>
      </c>
      <c r="N214" t="str">
        <f t="shared" ca="1" si="53"/>
        <v>na</v>
      </c>
    </row>
    <row r="215" spans="1:14" x14ac:dyDescent="0.2">
      <c r="A215" vm="413">
        <f ca="1"/>
        <v>44557</v>
      </c>
      <c r="B215" vm="414">
        <f ca="1"/>
        <v>44.64</v>
      </c>
      <c r="C215">
        <f t="shared" ca="1" si="54"/>
        <v>0.21999999999999886</v>
      </c>
      <c r="D215">
        <f t="shared" ca="1" si="55"/>
        <v>0.21999999999999886</v>
      </c>
      <c r="E215">
        <f t="shared" ca="1" si="56"/>
        <v>0</v>
      </c>
      <c r="F215">
        <f t="shared" ref="F215:F278" ca="1" si="58">((F214*13)+D215)/14</f>
        <v>0.27779309729202589</v>
      </c>
      <c r="G215">
        <f t="shared" ref="G215:G278" ca="1" si="59">((G214*13)+E215)/14</f>
        <v>0.28670906094562587</v>
      </c>
      <c r="H215">
        <f t="shared" ref="H215:H278" ca="1" si="60">AVERAGE(F215/G215)</f>
        <v>0.96890240013973294</v>
      </c>
      <c r="I215">
        <f t="shared" ref="I215:I278" ca="1" si="61">IF(G215=0,100,100-(100/(1+H215)))</f>
        <v>49.210280817930332</v>
      </c>
      <c r="J215">
        <f t="shared" ca="1" si="50"/>
        <v>1</v>
      </c>
      <c r="K215">
        <f t="shared" ca="1" si="51"/>
        <v>0</v>
      </c>
      <c r="L215">
        <f t="shared" ca="1" si="57"/>
        <v>0</v>
      </c>
      <c r="M215" t="str">
        <f t="shared" ca="1" si="52"/>
        <v>na</v>
      </c>
      <c r="N215" t="str">
        <f t="shared" ca="1" si="53"/>
        <v>na</v>
      </c>
    </row>
    <row r="216" spans="1:14" x14ac:dyDescent="0.2">
      <c r="A216" vm="415">
        <f ca="1"/>
        <v>44558</v>
      </c>
      <c r="B216" vm="416">
        <f ca="1"/>
        <v>44.7</v>
      </c>
      <c r="C216">
        <f t="shared" ca="1" si="54"/>
        <v>6.0000000000002274E-2</v>
      </c>
      <c r="D216">
        <f t="shared" ca="1" si="55"/>
        <v>6.0000000000002274E-2</v>
      </c>
      <c r="E216">
        <f t="shared" ca="1" si="56"/>
        <v>0</v>
      </c>
      <c r="F216">
        <f t="shared" ca="1" si="58"/>
        <v>0.26223644748545277</v>
      </c>
      <c r="G216">
        <f t="shared" ca="1" si="59"/>
        <v>0.26622984230665259</v>
      </c>
      <c r="H216">
        <f t="shared" ca="1" si="60"/>
        <v>0.98500019837520658</v>
      </c>
      <c r="I216">
        <f t="shared" ca="1" si="61"/>
        <v>49.622171281467089</v>
      </c>
      <c r="J216">
        <f t="shared" ref="J216:J279" ca="1" si="62">IF(K216=1,1,IF(L216=1,0,IF(J215=1,1,0)))</f>
        <v>1</v>
      </c>
      <c r="K216">
        <f t="shared" ref="K216:K279" ca="1" si="63">IF(I216&lt;$B$3,1,0)</f>
        <v>0</v>
      </c>
      <c r="L216">
        <f t="shared" ca="1" si="57"/>
        <v>0</v>
      </c>
      <c r="M216" t="str">
        <f t="shared" ref="M216:M279" ca="1" si="64">IF(AND(K216=1,J215=0),B216,"na")</f>
        <v>na</v>
      </c>
      <c r="N216" t="str">
        <f t="shared" ref="N216:N279" ca="1" si="65">IF(AND(L216=1,J215=1),B216,"na")</f>
        <v>na</v>
      </c>
    </row>
    <row r="217" spans="1:14" x14ac:dyDescent="0.2">
      <c r="A217" vm="417">
        <f ca="1"/>
        <v>44559</v>
      </c>
      <c r="B217" vm="418">
        <f ca="1"/>
        <v>44.63</v>
      </c>
      <c r="C217">
        <f t="shared" ca="1" si="54"/>
        <v>-7.0000000000000284E-2</v>
      </c>
      <c r="D217">
        <f t="shared" ca="1" si="55"/>
        <v>0</v>
      </c>
      <c r="E217">
        <f t="shared" ca="1" si="56"/>
        <v>7.0000000000000284E-2</v>
      </c>
      <c r="F217">
        <f t="shared" ca="1" si="58"/>
        <v>0.24350527266506328</v>
      </c>
      <c r="G217">
        <f t="shared" ca="1" si="59"/>
        <v>0.25221342499903454</v>
      </c>
      <c r="H217">
        <f t="shared" ca="1" si="60"/>
        <v>0.96547308164105616</v>
      </c>
      <c r="I217">
        <f t="shared" ca="1" si="61"/>
        <v>49.121663921997957</v>
      </c>
      <c r="J217">
        <f t="shared" ca="1" si="62"/>
        <v>1</v>
      </c>
      <c r="K217">
        <f t="shared" ca="1" si="63"/>
        <v>0</v>
      </c>
      <c r="L217">
        <f t="shared" ca="1" si="57"/>
        <v>0</v>
      </c>
      <c r="M217" t="str">
        <f t="shared" ca="1" si="64"/>
        <v>na</v>
      </c>
      <c r="N217" t="str">
        <f t="shared" ca="1" si="65"/>
        <v>na</v>
      </c>
    </row>
    <row r="218" spans="1:14" x14ac:dyDescent="0.2">
      <c r="A218" vm="419">
        <f ca="1"/>
        <v>44560</v>
      </c>
      <c r="B218" vm="420">
        <f ca="1"/>
        <v>44.53</v>
      </c>
      <c r="C218">
        <f t="shared" ca="1" si="54"/>
        <v>-0.10000000000000142</v>
      </c>
      <c r="D218">
        <f t="shared" ca="1" si="55"/>
        <v>0</v>
      </c>
      <c r="E218">
        <f t="shared" ca="1" si="56"/>
        <v>0.10000000000000142</v>
      </c>
      <c r="F218">
        <f t="shared" ca="1" si="58"/>
        <v>0.22611203890327305</v>
      </c>
      <c r="G218">
        <f t="shared" ca="1" si="59"/>
        <v>0.2413410374991036</v>
      </c>
      <c r="H218">
        <f t="shared" ca="1" si="60"/>
        <v>0.93689842907098997</v>
      </c>
      <c r="I218">
        <f t="shared" ca="1" si="61"/>
        <v>48.371066598487673</v>
      </c>
      <c r="J218">
        <f t="shared" ca="1" si="62"/>
        <v>1</v>
      </c>
      <c r="K218">
        <f t="shared" ca="1" si="63"/>
        <v>0</v>
      </c>
      <c r="L218">
        <f t="shared" ca="1" si="57"/>
        <v>0</v>
      </c>
      <c r="M218" t="str">
        <f t="shared" ca="1" si="64"/>
        <v>na</v>
      </c>
      <c r="N218" t="str">
        <f t="shared" ca="1" si="65"/>
        <v>na</v>
      </c>
    </row>
    <row r="219" spans="1:14" x14ac:dyDescent="0.2">
      <c r="A219" vm="421">
        <f ca="1"/>
        <v>44561</v>
      </c>
      <c r="B219" vm="395">
        <f ca="1"/>
        <v>44.49</v>
      </c>
      <c r="C219">
        <f t="shared" ca="1" si="54"/>
        <v>-3.9999999999999147E-2</v>
      </c>
      <c r="D219">
        <f t="shared" ca="1" si="55"/>
        <v>0</v>
      </c>
      <c r="E219">
        <f t="shared" ca="1" si="56"/>
        <v>3.9999999999999147E-2</v>
      </c>
      <c r="F219">
        <f t="shared" ca="1" si="58"/>
        <v>0.20996117898161071</v>
      </c>
      <c r="G219">
        <f t="shared" ca="1" si="59"/>
        <v>0.22695953482059614</v>
      </c>
      <c r="H219">
        <f t="shared" ca="1" si="60"/>
        <v>0.92510402414940596</v>
      </c>
      <c r="I219">
        <f t="shared" ca="1" si="61"/>
        <v>48.054755096060681</v>
      </c>
      <c r="J219">
        <f t="shared" ca="1" si="62"/>
        <v>1</v>
      </c>
      <c r="K219">
        <f t="shared" ca="1" si="63"/>
        <v>0</v>
      </c>
      <c r="L219">
        <f t="shared" ca="1" si="57"/>
        <v>0</v>
      </c>
      <c r="M219" t="str">
        <f t="shared" ca="1" si="64"/>
        <v>na</v>
      </c>
      <c r="N219" t="str">
        <f t="shared" ca="1" si="65"/>
        <v>na</v>
      </c>
    </row>
    <row r="220" spans="1:14" x14ac:dyDescent="0.2">
      <c r="A220" vm="422">
        <f ca="1"/>
        <v>44564</v>
      </c>
      <c r="B220" vm="423">
        <f ca="1"/>
        <v>46.18</v>
      </c>
      <c r="C220">
        <f t="shared" ca="1" si="54"/>
        <v>1.6899999999999977</v>
      </c>
      <c r="D220">
        <f t="shared" ca="1" si="55"/>
        <v>1.6899999999999977</v>
      </c>
      <c r="E220">
        <f t="shared" ca="1" si="56"/>
        <v>0</v>
      </c>
      <c r="F220">
        <f t="shared" ca="1" si="58"/>
        <v>0.31567823762578123</v>
      </c>
      <c r="G220">
        <f t="shared" ca="1" si="59"/>
        <v>0.21074813947626783</v>
      </c>
      <c r="H220">
        <f t="shared" ca="1" si="60"/>
        <v>1.4978933546472875</v>
      </c>
      <c r="I220">
        <f t="shared" ca="1" si="61"/>
        <v>59.966265247492764</v>
      </c>
      <c r="J220">
        <f t="shared" ca="1" si="62"/>
        <v>1</v>
      </c>
      <c r="K220">
        <f t="shared" ca="1" si="63"/>
        <v>0</v>
      </c>
      <c r="L220">
        <f t="shared" ca="1" si="57"/>
        <v>0</v>
      </c>
      <c r="M220" t="str">
        <f t="shared" ca="1" si="64"/>
        <v>na</v>
      </c>
      <c r="N220" t="str">
        <f t="shared" ca="1" si="65"/>
        <v>na</v>
      </c>
    </row>
    <row r="221" spans="1:14" x14ac:dyDescent="0.2">
      <c r="A221" vm="424">
        <f ca="1"/>
        <v>44565</v>
      </c>
      <c r="B221" vm="425">
        <f ca="1"/>
        <v>47.99</v>
      </c>
      <c r="C221">
        <f t="shared" ca="1" si="54"/>
        <v>1.8100000000000023</v>
      </c>
      <c r="D221">
        <f t="shared" ca="1" si="55"/>
        <v>1.8100000000000023</v>
      </c>
      <c r="E221">
        <f t="shared" ca="1" si="56"/>
        <v>0</v>
      </c>
      <c r="F221">
        <f t="shared" ca="1" si="58"/>
        <v>0.42241550636679703</v>
      </c>
      <c r="G221">
        <f t="shared" ca="1" si="59"/>
        <v>0.19569470094224869</v>
      </c>
      <c r="H221">
        <f t="shared" ca="1" si="60"/>
        <v>2.1585434063002849</v>
      </c>
      <c r="I221">
        <f t="shared" ca="1" si="61"/>
        <v>68.339836710639474</v>
      </c>
      <c r="J221">
        <f t="shared" ca="1" si="62"/>
        <v>1</v>
      </c>
      <c r="K221">
        <f t="shared" ca="1" si="63"/>
        <v>0</v>
      </c>
      <c r="L221">
        <f t="shared" ca="1" si="57"/>
        <v>0</v>
      </c>
      <c r="M221" t="str">
        <f t="shared" ca="1" si="64"/>
        <v>na</v>
      </c>
      <c r="N221" t="str">
        <f t="shared" ca="1" si="65"/>
        <v>na</v>
      </c>
    </row>
    <row r="222" spans="1:14" x14ac:dyDescent="0.2">
      <c r="A222" vm="426">
        <f ca="1"/>
        <v>44566</v>
      </c>
      <c r="B222" vm="427">
        <f ca="1"/>
        <v>47.18</v>
      </c>
      <c r="C222">
        <f t="shared" ca="1" si="54"/>
        <v>-0.81000000000000227</v>
      </c>
      <c r="D222">
        <f t="shared" ca="1" si="55"/>
        <v>0</v>
      </c>
      <c r="E222">
        <f t="shared" ca="1" si="56"/>
        <v>0.81000000000000227</v>
      </c>
      <c r="F222">
        <f t="shared" ca="1" si="58"/>
        <v>0.39224297019774007</v>
      </c>
      <c r="G222">
        <f t="shared" ca="1" si="59"/>
        <v>0.23957365087494537</v>
      </c>
      <c r="H222">
        <f t="shared" ca="1" si="60"/>
        <v>1.637254217086195</v>
      </c>
      <c r="I222">
        <f t="shared" ca="1" si="61"/>
        <v>62.081774539548817</v>
      </c>
      <c r="J222">
        <f t="shared" ca="1" si="62"/>
        <v>1</v>
      </c>
      <c r="K222">
        <f t="shared" ca="1" si="63"/>
        <v>0</v>
      </c>
      <c r="L222">
        <f t="shared" ca="1" si="57"/>
        <v>0</v>
      </c>
      <c r="M222" t="str">
        <f t="shared" ca="1" si="64"/>
        <v>na</v>
      </c>
      <c r="N222" t="str">
        <f t="shared" ca="1" si="65"/>
        <v>na</v>
      </c>
    </row>
    <row r="223" spans="1:14" x14ac:dyDescent="0.2">
      <c r="A223" vm="428">
        <f ca="1"/>
        <v>44567</v>
      </c>
      <c r="B223" vm="429">
        <f ca="1"/>
        <v>48.13</v>
      </c>
      <c r="C223">
        <f t="shared" ca="1" si="54"/>
        <v>0.95000000000000284</v>
      </c>
      <c r="D223">
        <f t="shared" ca="1" si="55"/>
        <v>0.95000000000000284</v>
      </c>
      <c r="E223">
        <f t="shared" ca="1" si="56"/>
        <v>0</v>
      </c>
      <c r="F223">
        <f t="shared" ca="1" si="58"/>
        <v>0.43208275804075885</v>
      </c>
      <c r="G223">
        <f t="shared" ca="1" si="59"/>
        <v>0.2224612472410207</v>
      </c>
      <c r="H223">
        <f t="shared" ca="1" si="60"/>
        <v>1.9422832668587369</v>
      </c>
      <c r="I223">
        <f t="shared" ca="1" si="61"/>
        <v>66.012789751966068</v>
      </c>
      <c r="J223">
        <f t="shared" ca="1" si="62"/>
        <v>1</v>
      </c>
      <c r="K223">
        <f t="shared" ca="1" si="63"/>
        <v>0</v>
      </c>
      <c r="L223">
        <f t="shared" ca="1" si="57"/>
        <v>0</v>
      </c>
      <c r="M223" t="str">
        <f t="shared" ca="1" si="64"/>
        <v>na</v>
      </c>
      <c r="N223" t="str">
        <f t="shared" ca="1" si="65"/>
        <v>na</v>
      </c>
    </row>
    <row r="224" spans="1:14" x14ac:dyDescent="0.2">
      <c r="A224" vm="430">
        <f ca="1"/>
        <v>44568</v>
      </c>
      <c r="B224" vm="431">
        <f ca="1"/>
        <v>49.18</v>
      </c>
      <c r="C224">
        <f t="shared" ca="1" si="54"/>
        <v>1.0499999999999972</v>
      </c>
      <c r="D224">
        <f t="shared" ca="1" si="55"/>
        <v>1.0499999999999972</v>
      </c>
      <c r="E224">
        <f t="shared" ca="1" si="56"/>
        <v>0</v>
      </c>
      <c r="F224">
        <f t="shared" ca="1" si="58"/>
        <v>0.47621970389499019</v>
      </c>
      <c r="G224">
        <f t="shared" ca="1" si="59"/>
        <v>0.20657115815237637</v>
      </c>
      <c r="H224">
        <f t="shared" ca="1" si="60"/>
        <v>2.3053542815677526</v>
      </c>
      <c r="I224">
        <f t="shared" ca="1" si="61"/>
        <v>69.746057008881564</v>
      </c>
      <c r="J224">
        <f t="shared" ca="1" si="62"/>
        <v>1</v>
      </c>
      <c r="K224">
        <f t="shared" ca="1" si="63"/>
        <v>0</v>
      </c>
      <c r="L224">
        <f t="shared" ca="1" si="57"/>
        <v>0</v>
      </c>
      <c r="M224" t="str">
        <f t="shared" ca="1" si="64"/>
        <v>na</v>
      </c>
      <c r="N224" t="str">
        <f t="shared" ca="1" si="65"/>
        <v>na</v>
      </c>
    </row>
    <row r="225" spans="1:14" x14ac:dyDescent="0.2">
      <c r="A225" vm="432">
        <f ca="1"/>
        <v>44571</v>
      </c>
      <c r="B225" vm="433">
        <f ca="1"/>
        <v>48.93</v>
      </c>
      <c r="C225">
        <f t="shared" ca="1" si="54"/>
        <v>-0.25</v>
      </c>
      <c r="D225">
        <f t="shared" ca="1" si="55"/>
        <v>0</v>
      </c>
      <c r="E225">
        <f t="shared" ca="1" si="56"/>
        <v>0.25</v>
      </c>
      <c r="F225">
        <f t="shared" ca="1" si="58"/>
        <v>0.44220401075963378</v>
      </c>
      <c r="G225">
        <f t="shared" ca="1" si="59"/>
        <v>0.20967321828434948</v>
      </c>
      <c r="H225">
        <f t="shared" ca="1" si="60"/>
        <v>2.1090152303568708</v>
      </c>
      <c r="I225">
        <f t="shared" ca="1" si="61"/>
        <v>67.835474389579815</v>
      </c>
      <c r="J225">
        <f t="shared" ca="1" si="62"/>
        <v>1</v>
      </c>
      <c r="K225">
        <f t="shared" ca="1" si="63"/>
        <v>0</v>
      </c>
      <c r="L225">
        <f t="shared" ca="1" si="57"/>
        <v>0</v>
      </c>
      <c r="M225" t="str">
        <f t="shared" ca="1" si="64"/>
        <v>na</v>
      </c>
      <c r="N225" t="str">
        <f t="shared" ca="1" si="65"/>
        <v>na</v>
      </c>
    </row>
    <row r="226" spans="1:14" x14ac:dyDescent="0.2">
      <c r="A226" vm="434">
        <f ca="1"/>
        <v>44572</v>
      </c>
      <c r="B226" vm="435">
        <f ca="1"/>
        <v>49.21</v>
      </c>
      <c r="C226">
        <f t="shared" ca="1" si="54"/>
        <v>0.28000000000000114</v>
      </c>
      <c r="D226">
        <f t="shared" ca="1" si="55"/>
        <v>0.28000000000000114</v>
      </c>
      <c r="E226">
        <f t="shared" ca="1" si="56"/>
        <v>0</v>
      </c>
      <c r="F226">
        <f t="shared" ca="1" si="58"/>
        <v>0.43061800999108862</v>
      </c>
      <c r="G226">
        <f t="shared" ca="1" si="59"/>
        <v>0.19469655983546735</v>
      </c>
      <c r="H226">
        <f t="shared" ca="1" si="60"/>
        <v>2.2117391820122139</v>
      </c>
      <c r="I226">
        <f t="shared" ca="1" si="61"/>
        <v>68.864221428669012</v>
      </c>
      <c r="J226">
        <f t="shared" ca="1" si="62"/>
        <v>1</v>
      </c>
      <c r="K226">
        <f t="shared" ca="1" si="63"/>
        <v>0</v>
      </c>
      <c r="L226">
        <f t="shared" ca="1" si="57"/>
        <v>0</v>
      </c>
      <c r="M226" t="str">
        <f t="shared" ca="1" si="64"/>
        <v>na</v>
      </c>
      <c r="N226" t="str">
        <f t="shared" ca="1" si="65"/>
        <v>na</v>
      </c>
    </row>
    <row r="227" spans="1:14" x14ac:dyDescent="0.2">
      <c r="A227" vm="436">
        <f ca="1"/>
        <v>44573</v>
      </c>
      <c r="B227" vm="437">
        <f ca="1"/>
        <v>48.86</v>
      </c>
      <c r="C227">
        <f t="shared" ca="1" si="54"/>
        <v>-0.35000000000000142</v>
      </c>
      <c r="D227">
        <f t="shared" ca="1" si="55"/>
        <v>0</v>
      </c>
      <c r="E227">
        <f t="shared" ca="1" si="56"/>
        <v>0.35000000000000142</v>
      </c>
      <c r="F227">
        <f t="shared" ca="1" si="58"/>
        <v>0.39985958070601091</v>
      </c>
      <c r="G227">
        <f t="shared" ca="1" si="59"/>
        <v>0.20578966270436266</v>
      </c>
      <c r="H227">
        <f t="shared" ca="1" si="60"/>
        <v>1.9430498862348058</v>
      </c>
      <c r="I227">
        <f t="shared" ca="1" si="61"/>
        <v>66.021642899184727</v>
      </c>
      <c r="J227">
        <f t="shared" ca="1" si="62"/>
        <v>1</v>
      </c>
      <c r="K227">
        <f t="shared" ca="1" si="63"/>
        <v>0</v>
      </c>
      <c r="L227">
        <f t="shared" ca="1" si="57"/>
        <v>0</v>
      </c>
      <c r="M227" t="str">
        <f t="shared" ca="1" si="64"/>
        <v>na</v>
      </c>
      <c r="N227" t="str">
        <f t="shared" ca="1" si="65"/>
        <v>na</v>
      </c>
    </row>
    <row r="228" spans="1:14" x14ac:dyDescent="0.2">
      <c r="A228" vm="438">
        <f ca="1"/>
        <v>44574</v>
      </c>
      <c r="B228" vm="439">
        <f ca="1"/>
        <v>48.76</v>
      </c>
      <c r="C228">
        <f t="shared" ca="1" si="54"/>
        <v>-0.10000000000000142</v>
      </c>
      <c r="D228">
        <f t="shared" ca="1" si="55"/>
        <v>0</v>
      </c>
      <c r="E228">
        <f t="shared" ca="1" si="56"/>
        <v>0.10000000000000142</v>
      </c>
      <c r="F228">
        <f t="shared" ca="1" si="58"/>
        <v>0.37129818208415299</v>
      </c>
      <c r="G228">
        <f t="shared" ca="1" si="59"/>
        <v>0.19823325822547971</v>
      </c>
      <c r="H228">
        <f t="shared" ca="1" si="60"/>
        <v>1.8730367719720431</v>
      </c>
      <c r="I228">
        <f t="shared" ca="1" si="61"/>
        <v>65.193623355067501</v>
      </c>
      <c r="J228">
        <f t="shared" ca="1" si="62"/>
        <v>1</v>
      </c>
      <c r="K228">
        <f t="shared" ca="1" si="63"/>
        <v>0</v>
      </c>
      <c r="L228">
        <f t="shared" ca="1" si="57"/>
        <v>0</v>
      </c>
      <c r="M228" t="str">
        <f t="shared" ca="1" si="64"/>
        <v>na</v>
      </c>
      <c r="N228" t="str">
        <f t="shared" ca="1" si="65"/>
        <v>na</v>
      </c>
    </row>
    <row r="229" spans="1:14" x14ac:dyDescent="0.2">
      <c r="A229" vm="440">
        <f ca="1"/>
        <v>44575</v>
      </c>
      <c r="B229" vm="441">
        <f ca="1"/>
        <v>47.91</v>
      </c>
      <c r="C229">
        <f t="shared" ca="1" si="54"/>
        <v>-0.85000000000000142</v>
      </c>
      <c r="D229">
        <f t="shared" ca="1" si="55"/>
        <v>0</v>
      </c>
      <c r="E229">
        <f t="shared" ca="1" si="56"/>
        <v>0.85000000000000142</v>
      </c>
      <c r="F229">
        <f t="shared" ca="1" si="58"/>
        <v>0.34477688336385637</v>
      </c>
      <c r="G229">
        <f t="shared" ca="1" si="59"/>
        <v>0.24478802549508841</v>
      </c>
      <c r="H229">
        <f t="shared" ca="1" si="60"/>
        <v>1.4084711973412041</v>
      </c>
      <c r="I229">
        <f t="shared" ca="1" si="61"/>
        <v>58.479885451653523</v>
      </c>
      <c r="J229">
        <f t="shared" ca="1" si="62"/>
        <v>1</v>
      </c>
      <c r="K229">
        <f t="shared" ca="1" si="63"/>
        <v>0</v>
      </c>
      <c r="L229">
        <f t="shared" ca="1" si="57"/>
        <v>0</v>
      </c>
      <c r="M229" t="str">
        <f t="shared" ca="1" si="64"/>
        <v>na</v>
      </c>
      <c r="N229" t="str">
        <f t="shared" ca="1" si="65"/>
        <v>na</v>
      </c>
    </row>
    <row r="230" spans="1:14" x14ac:dyDescent="0.2">
      <c r="A230" vm="442">
        <f ca="1"/>
        <v>44579</v>
      </c>
      <c r="B230" vm="443">
        <f ca="1"/>
        <v>46.26</v>
      </c>
      <c r="C230">
        <f t="shared" ca="1" si="54"/>
        <v>-1.6499999999999986</v>
      </c>
      <c r="D230">
        <f t="shared" ca="1" si="55"/>
        <v>0</v>
      </c>
      <c r="E230">
        <f t="shared" ca="1" si="56"/>
        <v>1.6499999999999986</v>
      </c>
      <c r="F230">
        <f t="shared" ca="1" si="58"/>
        <v>0.32014996312358096</v>
      </c>
      <c r="G230">
        <f t="shared" ca="1" si="59"/>
        <v>0.34516030938829628</v>
      </c>
      <c r="H230">
        <f t="shared" ca="1" si="60"/>
        <v>0.92753991236987987</v>
      </c>
      <c r="I230">
        <f t="shared" ca="1" si="61"/>
        <v>48.12039981208401</v>
      </c>
      <c r="J230">
        <f t="shared" ca="1" si="62"/>
        <v>1</v>
      </c>
      <c r="K230">
        <f t="shared" ca="1" si="63"/>
        <v>0</v>
      </c>
      <c r="L230">
        <f t="shared" ca="1" si="57"/>
        <v>0</v>
      </c>
      <c r="M230" t="str">
        <f t="shared" ca="1" si="64"/>
        <v>na</v>
      </c>
      <c r="N230" t="str">
        <f t="shared" ca="1" si="65"/>
        <v>na</v>
      </c>
    </row>
    <row r="231" spans="1:14" x14ac:dyDescent="0.2">
      <c r="A231" vm="444">
        <f ca="1"/>
        <v>44580</v>
      </c>
      <c r="B231" vm="445">
        <f ca="1"/>
        <v>46.44</v>
      </c>
      <c r="C231">
        <f t="shared" ca="1" si="54"/>
        <v>0.17999999999999972</v>
      </c>
      <c r="D231">
        <f t="shared" ca="1" si="55"/>
        <v>0.17999999999999972</v>
      </c>
      <c r="E231">
        <f t="shared" ca="1" si="56"/>
        <v>0</v>
      </c>
      <c r="F231">
        <f t="shared" ca="1" si="58"/>
        <v>0.31013925147189658</v>
      </c>
      <c r="G231">
        <f t="shared" ca="1" si="59"/>
        <v>0.32050600157484654</v>
      </c>
      <c r="H231">
        <f t="shared" ca="1" si="60"/>
        <v>0.96765505153722042</v>
      </c>
      <c r="I231">
        <f t="shared" ca="1" si="61"/>
        <v>49.178083871014124</v>
      </c>
      <c r="J231">
        <f t="shared" ca="1" si="62"/>
        <v>1</v>
      </c>
      <c r="K231">
        <f t="shared" ca="1" si="63"/>
        <v>0</v>
      </c>
      <c r="L231">
        <f t="shared" ca="1" si="57"/>
        <v>0</v>
      </c>
      <c r="M231" t="str">
        <f t="shared" ca="1" si="64"/>
        <v>na</v>
      </c>
      <c r="N231" t="str">
        <f t="shared" ca="1" si="65"/>
        <v>na</v>
      </c>
    </row>
    <row r="232" spans="1:14" x14ac:dyDescent="0.2">
      <c r="A232" vm="446">
        <f ca="1"/>
        <v>44581</v>
      </c>
      <c r="B232" vm="447">
        <f ca="1"/>
        <v>45.75</v>
      </c>
      <c r="C232">
        <f t="shared" ca="1" si="54"/>
        <v>-0.68999999999999773</v>
      </c>
      <c r="D232">
        <f t="shared" ca="1" si="55"/>
        <v>0</v>
      </c>
      <c r="E232">
        <f t="shared" ca="1" si="56"/>
        <v>0.68999999999999773</v>
      </c>
      <c r="F232">
        <f t="shared" ca="1" si="58"/>
        <v>0.28798644779533256</v>
      </c>
      <c r="G232">
        <f t="shared" ca="1" si="59"/>
        <v>0.3468984300337859</v>
      </c>
      <c r="H232">
        <f t="shared" ca="1" si="60"/>
        <v>0.83017512580637609</v>
      </c>
      <c r="I232">
        <f t="shared" ca="1" si="61"/>
        <v>45.360420109556486</v>
      </c>
      <c r="J232">
        <f t="shared" ca="1" si="62"/>
        <v>1</v>
      </c>
      <c r="K232">
        <f t="shared" ca="1" si="63"/>
        <v>0</v>
      </c>
      <c r="L232">
        <f t="shared" ca="1" si="57"/>
        <v>0</v>
      </c>
      <c r="M232" t="str">
        <f t="shared" ca="1" si="64"/>
        <v>na</v>
      </c>
      <c r="N232" t="str">
        <f t="shared" ca="1" si="65"/>
        <v>na</v>
      </c>
    </row>
    <row r="233" spans="1:14" x14ac:dyDescent="0.2">
      <c r="A233" vm="448">
        <f ca="1"/>
        <v>44582</v>
      </c>
      <c r="B233" vm="449">
        <f ca="1"/>
        <v>44.92</v>
      </c>
      <c r="C233">
        <f t="shared" ca="1" si="54"/>
        <v>-0.82999999999999829</v>
      </c>
      <c r="D233">
        <f t="shared" ca="1" si="55"/>
        <v>0</v>
      </c>
      <c r="E233">
        <f t="shared" ca="1" si="56"/>
        <v>0.82999999999999829</v>
      </c>
      <c r="F233">
        <f t="shared" ca="1" si="58"/>
        <v>0.26741598723852306</v>
      </c>
      <c r="G233">
        <f t="shared" ca="1" si="59"/>
        <v>0.38140568503137251</v>
      </c>
      <c r="H233">
        <f t="shared" ca="1" si="60"/>
        <v>0.70113267246272626</v>
      </c>
      <c r="I233">
        <f t="shared" ca="1" si="61"/>
        <v>41.215637311092138</v>
      </c>
      <c r="J233">
        <f t="shared" ca="1" si="62"/>
        <v>1</v>
      </c>
      <c r="K233">
        <f t="shared" ca="1" si="63"/>
        <v>0</v>
      </c>
      <c r="L233">
        <f t="shared" ca="1" si="57"/>
        <v>0</v>
      </c>
      <c r="M233" t="str">
        <f t="shared" ca="1" si="64"/>
        <v>na</v>
      </c>
      <c r="N233" t="str">
        <f t="shared" ca="1" si="65"/>
        <v>na</v>
      </c>
    </row>
    <row r="234" spans="1:14" x14ac:dyDescent="0.2">
      <c r="A234" vm="450">
        <f ca="1"/>
        <v>44585</v>
      </c>
      <c r="B234" vm="451">
        <f ca="1"/>
        <v>44.55</v>
      </c>
      <c r="C234">
        <f t="shared" ca="1" si="54"/>
        <v>-0.37000000000000455</v>
      </c>
      <c r="D234">
        <f t="shared" ca="1" si="55"/>
        <v>0</v>
      </c>
      <c r="E234">
        <f t="shared" ca="1" si="56"/>
        <v>0.37000000000000455</v>
      </c>
      <c r="F234">
        <f t="shared" ca="1" si="58"/>
        <v>0.24831484529291425</v>
      </c>
      <c r="G234">
        <f t="shared" ca="1" si="59"/>
        <v>0.38059099324341766</v>
      </c>
      <c r="H234">
        <f t="shared" ca="1" si="60"/>
        <v>0.6524454064894214</v>
      </c>
      <c r="I234">
        <f t="shared" ca="1" si="61"/>
        <v>39.483628562079105</v>
      </c>
      <c r="J234">
        <f t="shared" ca="1" si="62"/>
        <v>1</v>
      </c>
      <c r="K234">
        <f t="shared" ca="1" si="63"/>
        <v>1</v>
      </c>
      <c r="L234">
        <f t="shared" ca="1" si="57"/>
        <v>0</v>
      </c>
      <c r="M234" t="str">
        <f t="shared" ca="1" si="64"/>
        <v>na</v>
      </c>
      <c r="N234" t="str">
        <f t="shared" ca="1" si="65"/>
        <v>na</v>
      </c>
    </row>
    <row r="235" spans="1:14" x14ac:dyDescent="0.2">
      <c r="A235" vm="452">
        <f ca="1"/>
        <v>44586</v>
      </c>
      <c r="B235" vm="453">
        <f ca="1"/>
        <v>45.43</v>
      </c>
      <c r="C235">
        <f t="shared" ca="1" si="54"/>
        <v>0.88000000000000256</v>
      </c>
      <c r="D235">
        <f t="shared" ca="1" si="55"/>
        <v>0.88000000000000256</v>
      </c>
      <c r="E235">
        <f t="shared" ca="1" si="56"/>
        <v>0</v>
      </c>
      <c r="F235">
        <f t="shared" ca="1" si="58"/>
        <v>0.29343521348627771</v>
      </c>
      <c r="G235">
        <f t="shared" ca="1" si="59"/>
        <v>0.35340592229745926</v>
      </c>
      <c r="H235">
        <f t="shared" ca="1" si="60"/>
        <v>0.83030644075991278</v>
      </c>
      <c r="I235">
        <f t="shared" ca="1" si="61"/>
        <v>45.364340214810333</v>
      </c>
      <c r="J235">
        <f t="shared" ca="1" si="62"/>
        <v>1</v>
      </c>
      <c r="K235">
        <f t="shared" ca="1" si="63"/>
        <v>0</v>
      </c>
      <c r="L235">
        <f t="shared" ca="1" si="57"/>
        <v>0</v>
      </c>
      <c r="M235" t="str">
        <f t="shared" ca="1" si="64"/>
        <v>na</v>
      </c>
      <c r="N235" t="str">
        <f t="shared" ca="1" si="65"/>
        <v>na</v>
      </c>
    </row>
    <row r="236" spans="1:14" x14ac:dyDescent="0.2">
      <c r="A236" vm="454">
        <f ca="1"/>
        <v>44587</v>
      </c>
      <c r="B236" vm="455">
        <f ca="1"/>
        <v>45.9</v>
      </c>
      <c r="C236">
        <f t="shared" ca="1" si="54"/>
        <v>0.46999999999999886</v>
      </c>
      <c r="D236">
        <f t="shared" ca="1" si="55"/>
        <v>0.46999999999999886</v>
      </c>
      <c r="E236">
        <f t="shared" ca="1" si="56"/>
        <v>0</v>
      </c>
      <c r="F236">
        <f t="shared" ca="1" si="58"/>
        <v>0.30604698395154351</v>
      </c>
      <c r="G236">
        <f t="shared" ca="1" si="59"/>
        <v>0.32816264213335505</v>
      </c>
      <c r="H236">
        <f t="shared" ca="1" si="60"/>
        <v>0.93260763005185565</v>
      </c>
      <c r="I236">
        <f t="shared" ca="1" si="61"/>
        <v>48.256439411182079</v>
      </c>
      <c r="J236">
        <f t="shared" ca="1" si="62"/>
        <v>1</v>
      </c>
      <c r="K236">
        <f t="shared" ca="1" si="63"/>
        <v>0</v>
      </c>
      <c r="L236">
        <f t="shared" ca="1" si="57"/>
        <v>0</v>
      </c>
      <c r="M236" t="str">
        <f t="shared" ca="1" si="64"/>
        <v>na</v>
      </c>
      <c r="N236" t="str">
        <f t="shared" ca="1" si="65"/>
        <v>na</v>
      </c>
    </row>
    <row r="237" spans="1:14" x14ac:dyDescent="0.2">
      <c r="A237" vm="456">
        <f ca="1"/>
        <v>44588</v>
      </c>
      <c r="B237" vm="457">
        <f ca="1"/>
        <v>45.47</v>
      </c>
      <c r="C237">
        <f t="shared" ca="1" si="54"/>
        <v>-0.42999999999999972</v>
      </c>
      <c r="D237">
        <f t="shared" ca="1" si="55"/>
        <v>0</v>
      </c>
      <c r="E237">
        <f t="shared" ca="1" si="56"/>
        <v>0.42999999999999972</v>
      </c>
      <c r="F237">
        <f t="shared" ca="1" si="58"/>
        <v>0.28418648509786182</v>
      </c>
      <c r="G237">
        <f t="shared" ca="1" si="59"/>
        <v>0.33543673912382971</v>
      </c>
      <c r="H237">
        <f t="shared" ca="1" si="60"/>
        <v>0.84721335486436278</v>
      </c>
      <c r="I237">
        <f t="shared" ca="1" si="61"/>
        <v>45.864401783007466</v>
      </c>
      <c r="J237">
        <f t="shared" ca="1" si="62"/>
        <v>1</v>
      </c>
      <c r="K237">
        <f t="shared" ca="1" si="63"/>
        <v>0</v>
      </c>
      <c r="L237">
        <f t="shared" ca="1" si="57"/>
        <v>0</v>
      </c>
      <c r="M237" t="str">
        <f t="shared" ca="1" si="64"/>
        <v>na</v>
      </c>
      <c r="N237" t="str">
        <f t="shared" ca="1" si="65"/>
        <v>na</v>
      </c>
    </row>
    <row r="238" spans="1:14" x14ac:dyDescent="0.2">
      <c r="A238" vm="458">
        <f ca="1"/>
        <v>44589</v>
      </c>
      <c r="B238" vm="459">
        <f ca="1"/>
        <v>45.87</v>
      </c>
      <c r="C238">
        <f t="shared" ca="1" si="54"/>
        <v>0.39999999999999858</v>
      </c>
      <c r="D238">
        <f t="shared" ca="1" si="55"/>
        <v>0.39999999999999858</v>
      </c>
      <c r="E238">
        <f t="shared" ca="1" si="56"/>
        <v>0</v>
      </c>
      <c r="F238">
        <f t="shared" ca="1" si="58"/>
        <v>0.29245887901944301</v>
      </c>
      <c r="G238">
        <f t="shared" ca="1" si="59"/>
        <v>0.31147697204355618</v>
      </c>
      <c r="H238">
        <f t="shared" ca="1" si="60"/>
        <v>0.93894221810576184</v>
      </c>
      <c r="I238">
        <f t="shared" ca="1" si="61"/>
        <v>48.425487326953757</v>
      </c>
      <c r="J238">
        <f t="shared" ca="1" si="62"/>
        <v>1</v>
      </c>
      <c r="K238">
        <f t="shared" ca="1" si="63"/>
        <v>0</v>
      </c>
      <c r="L238">
        <f t="shared" ca="1" si="57"/>
        <v>0</v>
      </c>
      <c r="M238" t="str">
        <f t="shared" ca="1" si="64"/>
        <v>na</v>
      </c>
      <c r="N238" t="str">
        <f t="shared" ca="1" si="65"/>
        <v>na</v>
      </c>
    </row>
    <row r="239" spans="1:14" x14ac:dyDescent="0.2">
      <c r="A239" vm="460">
        <f ca="1"/>
        <v>44592</v>
      </c>
      <c r="B239" vm="461">
        <f ca="1"/>
        <v>46.14</v>
      </c>
      <c r="C239">
        <f t="shared" ca="1" si="54"/>
        <v>0.27000000000000313</v>
      </c>
      <c r="D239">
        <f t="shared" ca="1" si="55"/>
        <v>0.27000000000000313</v>
      </c>
      <c r="E239">
        <f t="shared" ca="1" si="56"/>
        <v>0</v>
      </c>
      <c r="F239">
        <f t="shared" ca="1" si="58"/>
        <v>0.29085467337519727</v>
      </c>
      <c r="G239">
        <f t="shared" ca="1" si="59"/>
        <v>0.28922861689758783</v>
      </c>
      <c r="H239">
        <f t="shared" ca="1" si="60"/>
        <v>1.0056220456158569</v>
      </c>
      <c r="I239">
        <f t="shared" ca="1" si="61"/>
        <v>50.140157155435794</v>
      </c>
      <c r="J239">
        <f t="shared" ca="1" si="62"/>
        <v>1</v>
      </c>
      <c r="K239">
        <f t="shared" ca="1" si="63"/>
        <v>0</v>
      </c>
      <c r="L239">
        <f t="shared" ca="1" si="57"/>
        <v>0</v>
      </c>
      <c r="M239" t="str">
        <f t="shared" ca="1" si="64"/>
        <v>na</v>
      </c>
      <c r="N239" t="str">
        <f t="shared" ca="1" si="65"/>
        <v>na</v>
      </c>
    </row>
    <row r="240" spans="1:14" x14ac:dyDescent="0.2">
      <c r="A240" vm="462">
        <f ca="1"/>
        <v>44593</v>
      </c>
      <c r="B240" vm="463">
        <f ca="1"/>
        <v>46.94</v>
      </c>
      <c r="C240">
        <f t="shared" ca="1" si="54"/>
        <v>0.79999999999999716</v>
      </c>
      <c r="D240">
        <f t="shared" ca="1" si="55"/>
        <v>0.79999999999999716</v>
      </c>
      <c r="E240">
        <f t="shared" ca="1" si="56"/>
        <v>0</v>
      </c>
      <c r="F240">
        <f t="shared" ca="1" si="58"/>
        <v>0.32722219670554015</v>
      </c>
      <c r="G240">
        <f t="shared" ca="1" si="59"/>
        <v>0.26856942997633154</v>
      </c>
      <c r="H240">
        <f t="shared" ca="1" si="60"/>
        <v>1.2183895863888066</v>
      </c>
      <c r="I240">
        <f t="shared" ca="1" si="61"/>
        <v>54.922255038717317</v>
      </c>
      <c r="J240">
        <f t="shared" ca="1" si="62"/>
        <v>1</v>
      </c>
      <c r="K240">
        <f t="shared" ca="1" si="63"/>
        <v>0</v>
      </c>
      <c r="L240">
        <f t="shared" ca="1" si="57"/>
        <v>0</v>
      </c>
      <c r="M240" t="str">
        <f t="shared" ca="1" si="64"/>
        <v>na</v>
      </c>
      <c r="N240" t="str">
        <f t="shared" ca="1" si="65"/>
        <v>na</v>
      </c>
    </row>
    <row r="241" spans="1:14" x14ac:dyDescent="0.2">
      <c r="A241" vm="464">
        <f ca="1"/>
        <v>44594</v>
      </c>
      <c r="B241" vm="465">
        <f ca="1"/>
        <v>46.89</v>
      </c>
      <c r="C241">
        <f t="shared" ca="1" si="54"/>
        <v>-4.9999999999997158E-2</v>
      </c>
      <c r="D241">
        <f t="shared" ca="1" si="55"/>
        <v>0</v>
      </c>
      <c r="E241">
        <f t="shared" ca="1" si="56"/>
        <v>4.9999999999997158E-2</v>
      </c>
      <c r="F241">
        <f t="shared" ca="1" si="58"/>
        <v>0.30384918265514443</v>
      </c>
      <c r="G241">
        <f t="shared" ca="1" si="59"/>
        <v>0.25295732783516478</v>
      </c>
      <c r="H241">
        <f t="shared" ca="1" si="60"/>
        <v>1.2011875095911135</v>
      </c>
      <c r="I241">
        <f t="shared" ca="1" si="61"/>
        <v>54.569976631125016</v>
      </c>
      <c r="J241">
        <f t="shared" ca="1" si="62"/>
        <v>1</v>
      </c>
      <c r="K241">
        <f t="shared" ca="1" si="63"/>
        <v>0</v>
      </c>
      <c r="L241">
        <f t="shared" ca="1" si="57"/>
        <v>0</v>
      </c>
      <c r="M241" t="str">
        <f t="shared" ca="1" si="64"/>
        <v>na</v>
      </c>
      <c r="N241" t="str">
        <f t="shared" ca="1" si="65"/>
        <v>na</v>
      </c>
    </row>
    <row r="242" spans="1:14" x14ac:dyDescent="0.2">
      <c r="A242" vm="466">
        <f ca="1"/>
        <v>44595</v>
      </c>
      <c r="B242" vm="467">
        <f ca="1"/>
        <v>46.43</v>
      </c>
      <c r="C242">
        <f t="shared" ca="1" si="54"/>
        <v>-0.46000000000000085</v>
      </c>
      <c r="D242">
        <f t="shared" ca="1" si="55"/>
        <v>0</v>
      </c>
      <c r="E242">
        <f t="shared" ca="1" si="56"/>
        <v>0.46000000000000085</v>
      </c>
      <c r="F242">
        <f t="shared" ca="1" si="58"/>
        <v>0.28214566960834842</v>
      </c>
      <c r="G242">
        <f t="shared" ca="1" si="59"/>
        <v>0.26774609013265305</v>
      </c>
      <c r="H242">
        <f t="shared" ca="1" si="60"/>
        <v>1.0537807273621109</v>
      </c>
      <c r="I242">
        <f t="shared" ca="1" si="61"/>
        <v>51.3093103525026</v>
      </c>
      <c r="J242">
        <f t="shared" ca="1" si="62"/>
        <v>1</v>
      </c>
      <c r="K242">
        <f t="shared" ca="1" si="63"/>
        <v>0</v>
      </c>
      <c r="L242">
        <f t="shared" ca="1" si="57"/>
        <v>0</v>
      </c>
      <c r="M242" t="str">
        <f t="shared" ca="1" si="64"/>
        <v>na</v>
      </c>
      <c r="N242" t="str">
        <f t="shared" ca="1" si="65"/>
        <v>na</v>
      </c>
    </row>
    <row r="243" spans="1:14" x14ac:dyDescent="0.2">
      <c r="A243" vm="468">
        <f ca="1"/>
        <v>44596</v>
      </c>
      <c r="B243" vm="469">
        <f ca="1"/>
        <v>48.28</v>
      </c>
      <c r="C243">
        <f t="shared" ca="1" si="54"/>
        <v>1.8500000000000014</v>
      </c>
      <c r="D243">
        <f t="shared" ca="1" si="55"/>
        <v>1.8500000000000014</v>
      </c>
      <c r="E243">
        <f t="shared" ca="1" si="56"/>
        <v>0</v>
      </c>
      <c r="F243">
        <f t="shared" ca="1" si="58"/>
        <v>0.39413526463632359</v>
      </c>
      <c r="G243">
        <f t="shared" ca="1" si="59"/>
        <v>0.24862136940889212</v>
      </c>
      <c r="H243">
        <f t="shared" ca="1" si="60"/>
        <v>1.5852831378629959</v>
      </c>
      <c r="I243">
        <f t="shared" ca="1" si="61"/>
        <v>61.31951717959204</v>
      </c>
      <c r="J243">
        <f t="shared" ca="1" si="62"/>
        <v>1</v>
      </c>
      <c r="K243">
        <f t="shared" ca="1" si="63"/>
        <v>0</v>
      </c>
      <c r="L243">
        <f t="shared" ca="1" si="57"/>
        <v>0</v>
      </c>
      <c r="M243" t="str">
        <f t="shared" ca="1" si="64"/>
        <v>na</v>
      </c>
      <c r="N243" t="str">
        <f t="shared" ca="1" si="65"/>
        <v>na</v>
      </c>
    </row>
    <row r="244" spans="1:14" x14ac:dyDescent="0.2">
      <c r="A244" vm="470">
        <f ca="1"/>
        <v>44599</v>
      </c>
      <c r="B244" vm="471">
        <f ca="1"/>
        <v>48.51</v>
      </c>
      <c r="C244">
        <f t="shared" ca="1" si="54"/>
        <v>0.22999999999999687</v>
      </c>
      <c r="D244">
        <f t="shared" ca="1" si="55"/>
        <v>0.22999999999999687</v>
      </c>
      <c r="E244">
        <f t="shared" ca="1" si="56"/>
        <v>0</v>
      </c>
      <c r="F244">
        <f t="shared" ca="1" si="58"/>
        <v>0.38241131716230026</v>
      </c>
      <c r="G244">
        <f t="shared" ca="1" si="59"/>
        <v>0.23086270016539981</v>
      </c>
      <c r="H244">
        <f t="shared" ca="1" si="60"/>
        <v>1.6564447911608269</v>
      </c>
      <c r="I244">
        <f t="shared" ca="1" si="61"/>
        <v>62.355701751173427</v>
      </c>
      <c r="J244">
        <f t="shared" ca="1" si="62"/>
        <v>1</v>
      </c>
      <c r="K244">
        <f t="shared" ca="1" si="63"/>
        <v>0</v>
      </c>
      <c r="L244">
        <f t="shared" ca="1" si="57"/>
        <v>0</v>
      </c>
      <c r="M244" t="str">
        <f t="shared" ca="1" si="64"/>
        <v>na</v>
      </c>
      <c r="N244" t="str">
        <f t="shared" ca="1" si="65"/>
        <v>na</v>
      </c>
    </row>
    <row r="245" spans="1:14" x14ac:dyDescent="0.2">
      <c r="A245" vm="472">
        <f ca="1"/>
        <v>44600</v>
      </c>
      <c r="B245" vm="473">
        <f ca="1"/>
        <v>49.38</v>
      </c>
      <c r="C245">
        <f t="shared" ca="1" si="54"/>
        <v>0.87000000000000455</v>
      </c>
      <c r="D245">
        <f t="shared" ca="1" si="55"/>
        <v>0.87000000000000455</v>
      </c>
      <c r="E245">
        <f t="shared" ca="1" si="56"/>
        <v>0</v>
      </c>
      <c r="F245">
        <f t="shared" ca="1" si="58"/>
        <v>0.41723908022213629</v>
      </c>
      <c r="G245">
        <f t="shared" ca="1" si="59"/>
        <v>0.21437250729644267</v>
      </c>
      <c r="H245">
        <f t="shared" ca="1" si="60"/>
        <v>1.9463273788422963</v>
      </c>
      <c r="I245">
        <f t="shared" ca="1" si="61"/>
        <v>66.059440400919357</v>
      </c>
      <c r="J245">
        <f t="shared" ca="1" si="62"/>
        <v>1</v>
      </c>
      <c r="K245">
        <f t="shared" ca="1" si="63"/>
        <v>0</v>
      </c>
      <c r="L245">
        <f t="shared" ca="1" si="57"/>
        <v>0</v>
      </c>
      <c r="M245" t="str">
        <f t="shared" ca="1" si="64"/>
        <v>na</v>
      </c>
      <c r="N245" t="str">
        <f t="shared" ca="1" si="65"/>
        <v>na</v>
      </c>
    </row>
    <row r="246" spans="1:14" x14ac:dyDescent="0.2">
      <c r="A246" vm="474">
        <f ca="1"/>
        <v>44601</v>
      </c>
      <c r="B246" vm="475">
        <f ca="1"/>
        <v>49.28</v>
      </c>
      <c r="C246">
        <f t="shared" ca="1" si="54"/>
        <v>-0.10000000000000142</v>
      </c>
      <c r="D246">
        <f t="shared" ca="1" si="55"/>
        <v>0</v>
      </c>
      <c r="E246">
        <f t="shared" ca="1" si="56"/>
        <v>0.10000000000000142</v>
      </c>
      <c r="F246">
        <f t="shared" ca="1" si="58"/>
        <v>0.38743628877769798</v>
      </c>
      <c r="G246">
        <f t="shared" ca="1" si="59"/>
        <v>0.20620304248955401</v>
      </c>
      <c r="H246">
        <f t="shared" ca="1" si="60"/>
        <v>1.8789067518115063</v>
      </c>
      <c r="I246">
        <f t="shared" ca="1" si="61"/>
        <v>65.264592214709069</v>
      </c>
      <c r="J246">
        <f t="shared" ca="1" si="62"/>
        <v>1</v>
      </c>
      <c r="K246">
        <f t="shared" ca="1" si="63"/>
        <v>0</v>
      </c>
      <c r="L246">
        <f t="shared" ca="1" si="57"/>
        <v>0</v>
      </c>
      <c r="M246" t="str">
        <f t="shared" ca="1" si="64"/>
        <v>na</v>
      </c>
      <c r="N246" t="str">
        <f t="shared" ca="1" si="65"/>
        <v>na</v>
      </c>
    </row>
    <row r="247" spans="1:14" x14ac:dyDescent="0.2">
      <c r="A247" vm="476">
        <f ca="1"/>
        <v>44602</v>
      </c>
      <c r="B247" vm="477">
        <f ca="1"/>
        <v>49.05</v>
      </c>
      <c r="C247">
        <f t="shared" ca="1" si="54"/>
        <v>-0.23000000000000398</v>
      </c>
      <c r="D247">
        <f t="shared" ca="1" si="55"/>
        <v>0</v>
      </c>
      <c r="E247">
        <f t="shared" ca="1" si="56"/>
        <v>0.23000000000000398</v>
      </c>
      <c r="F247">
        <f t="shared" ca="1" si="58"/>
        <v>0.3597622681507196</v>
      </c>
      <c r="G247">
        <f t="shared" ca="1" si="59"/>
        <v>0.20790282516887187</v>
      </c>
      <c r="H247">
        <f t="shared" ca="1" si="60"/>
        <v>1.7304347252544445</v>
      </c>
      <c r="I247">
        <f t="shared" ca="1" si="61"/>
        <v>63.37579540903284</v>
      </c>
      <c r="J247">
        <f t="shared" ca="1" si="62"/>
        <v>1</v>
      </c>
      <c r="K247">
        <f t="shared" ca="1" si="63"/>
        <v>0</v>
      </c>
      <c r="L247">
        <f t="shared" ca="1" si="57"/>
        <v>0</v>
      </c>
      <c r="M247" t="str">
        <f t="shared" ca="1" si="64"/>
        <v>na</v>
      </c>
      <c r="N247" t="str">
        <f t="shared" ca="1" si="65"/>
        <v>na</v>
      </c>
    </row>
    <row r="248" spans="1:14" x14ac:dyDescent="0.2">
      <c r="A248" vm="478">
        <f ca="1"/>
        <v>44603</v>
      </c>
      <c r="B248" vm="479">
        <f ca="1"/>
        <v>47.92</v>
      </c>
      <c r="C248">
        <f t="shared" ca="1" si="54"/>
        <v>-1.1299999999999955</v>
      </c>
      <c r="D248">
        <f t="shared" ca="1" si="55"/>
        <v>0</v>
      </c>
      <c r="E248">
        <f t="shared" ca="1" si="56"/>
        <v>1.1299999999999955</v>
      </c>
      <c r="F248">
        <f t="shared" ca="1" si="58"/>
        <v>0.33406496328281104</v>
      </c>
      <c r="G248">
        <f t="shared" ca="1" si="59"/>
        <v>0.27376690908538071</v>
      </c>
      <c r="H248">
        <f t="shared" ca="1" si="60"/>
        <v>1.2202532599680445</v>
      </c>
      <c r="I248">
        <f t="shared" ca="1" si="61"/>
        <v>54.960093155571236</v>
      </c>
      <c r="J248">
        <f t="shared" ca="1" si="62"/>
        <v>1</v>
      </c>
      <c r="K248">
        <f t="shared" ca="1" si="63"/>
        <v>0</v>
      </c>
      <c r="L248">
        <f t="shared" ca="1" si="57"/>
        <v>0</v>
      </c>
      <c r="M248" t="str">
        <f t="shared" ca="1" si="64"/>
        <v>na</v>
      </c>
      <c r="N248" t="str">
        <f t="shared" ca="1" si="65"/>
        <v>na</v>
      </c>
    </row>
    <row r="249" spans="1:14" x14ac:dyDescent="0.2">
      <c r="A249" vm="480">
        <f ca="1"/>
        <v>44606</v>
      </c>
      <c r="B249" vm="481">
        <f ca="1"/>
        <v>47.42</v>
      </c>
      <c r="C249">
        <f t="shared" ca="1" si="54"/>
        <v>-0.5</v>
      </c>
      <c r="D249">
        <f t="shared" ca="1" si="55"/>
        <v>0</v>
      </c>
      <c r="E249">
        <f t="shared" ca="1" si="56"/>
        <v>0.5</v>
      </c>
      <c r="F249">
        <f t="shared" ca="1" si="58"/>
        <v>0.31020318019118165</v>
      </c>
      <c r="G249">
        <f t="shared" ca="1" si="59"/>
        <v>0.28992641557928206</v>
      </c>
      <c r="H249">
        <f t="shared" ca="1" si="60"/>
        <v>1.0699376239015199</v>
      </c>
      <c r="I249">
        <f t="shared" ca="1" si="61"/>
        <v>51.689365493287141</v>
      </c>
      <c r="J249">
        <f t="shared" ca="1" si="62"/>
        <v>1</v>
      </c>
      <c r="K249">
        <f t="shared" ca="1" si="63"/>
        <v>0</v>
      </c>
      <c r="L249">
        <f t="shared" ca="1" si="57"/>
        <v>0</v>
      </c>
      <c r="M249" t="str">
        <f t="shared" ca="1" si="64"/>
        <v>na</v>
      </c>
      <c r="N249" t="str">
        <f t="shared" ca="1" si="65"/>
        <v>na</v>
      </c>
    </row>
    <row r="250" spans="1:14" x14ac:dyDescent="0.2">
      <c r="A250" vm="482">
        <f ca="1"/>
        <v>44607</v>
      </c>
      <c r="B250" vm="483">
        <f ca="1"/>
        <v>47.79</v>
      </c>
      <c r="C250">
        <f t="shared" ca="1" si="54"/>
        <v>0.36999999999999744</v>
      </c>
      <c r="D250">
        <f t="shared" ca="1" si="55"/>
        <v>0.36999999999999744</v>
      </c>
      <c r="E250">
        <f t="shared" ca="1" si="56"/>
        <v>0</v>
      </c>
      <c r="F250">
        <f t="shared" ca="1" si="58"/>
        <v>0.31447438160609709</v>
      </c>
      <c r="G250">
        <f t="shared" ca="1" si="59"/>
        <v>0.26921738589504762</v>
      </c>
      <c r="H250">
        <f t="shared" ca="1" si="60"/>
        <v>1.1681057691002636</v>
      </c>
      <c r="I250">
        <f t="shared" ca="1" si="61"/>
        <v>53.876788934748909</v>
      </c>
      <c r="J250">
        <f t="shared" ca="1" si="62"/>
        <v>1</v>
      </c>
      <c r="K250">
        <f t="shared" ca="1" si="63"/>
        <v>0</v>
      </c>
      <c r="L250">
        <f t="shared" ca="1" si="57"/>
        <v>0</v>
      </c>
      <c r="M250" t="str">
        <f t="shared" ca="1" si="64"/>
        <v>na</v>
      </c>
      <c r="N250" t="str">
        <f t="shared" ca="1" si="65"/>
        <v>na</v>
      </c>
    </row>
    <row r="251" spans="1:14" x14ac:dyDescent="0.2">
      <c r="A251" vm="484">
        <f ca="1"/>
        <v>44608</v>
      </c>
      <c r="B251" vm="485">
        <f ca="1"/>
        <v>47.68</v>
      </c>
      <c r="C251">
        <f t="shared" ca="1" si="54"/>
        <v>-0.10999999999999943</v>
      </c>
      <c r="D251">
        <f t="shared" ca="1" si="55"/>
        <v>0</v>
      </c>
      <c r="E251">
        <f t="shared" ca="1" si="56"/>
        <v>0.10999999999999943</v>
      </c>
      <c r="F251">
        <f t="shared" ca="1" si="58"/>
        <v>0.29201192577709012</v>
      </c>
      <c r="G251">
        <f t="shared" ca="1" si="59"/>
        <v>0.25784471547397275</v>
      </c>
      <c r="H251">
        <f t="shared" ca="1" si="60"/>
        <v>1.1325108030246456</v>
      </c>
      <c r="I251">
        <f t="shared" ca="1" si="61"/>
        <v>53.106919853271066</v>
      </c>
      <c r="J251">
        <f t="shared" ca="1" si="62"/>
        <v>1</v>
      </c>
      <c r="K251">
        <f t="shared" ca="1" si="63"/>
        <v>0</v>
      </c>
      <c r="L251">
        <f t="shared" ca="1" si="57"/>
        <v>0</v>
      </c>
      <c r="M251" t="str">
        <f t="shared" ca="1" si="64"/>
        <v>na</v>
      </c>
      <c r="N251" t="str">
        <f t="shared" ca="1" si="65"/>
        <v>na</v>
      </c>
    </row>
    <row r="252" spans="1:14" x14ac:dyDescent="0.2">
      <c r="A252" vm="486">
        <f ca="1"/>
        <v>44609</v>
      </c>
      <c r="B252" vm="487">
        <f ca="1"/>
        <v>46.07</v>
      </c>
      <c r="C252">
        <f t="shared" ca="1" si="54"/>
        <v>-1.6099999999999994</v>
      </c>
      <c r="D252">
        <f t="shared" ca="1" si="55"/>
        <v>0</v>
      </c>
      <c r="E252">
        <f t="shared" ca="1" si="56"/>
        <v>1.6099999999999994</v>
      </c>
      <c r="F252">
        <f t="shared" ca="1" si="58"/>
        <v>0.27115393107872654</v>
      </c>
      <c r="G252">
        <f t="shared" ca="1" si="59"/>
        <v>0.35442723579726032</v>
      </c>
      <c r="H252">
        <f t="shared" ca="1" si="60"/>
        <v>0.76504823470686145</v>
      </c>
      <c r="I252">
        <f t="shared" ca="1" si="61"/>
        <v>43.344324515523532</v>
      </c>
      <c r="J252">
        <f t="shared" ca="1" si="62"/>
        <v>1</v>
      </c>
      <c r="K252">
        <f t="shared" ca="1" si="63"/>
        <v>0</v>
      </c>
      <c r="L252">
        <f t="shared" ca="1" si="57"/>
        <v>0</v>
      </c>
      <c r="M252" t="str">
        <f t="shared" ca="1" si="64"/>
        <v>na</v>
      </c>
      <c r="N252" t="str">
        <f t="shared" ca="1" si="65"/>
        <v>na</v>
      </c>
    </row>
    <row r="253" spans="1:14" x14ac:dyDescent="0.2">
      <c r="A253" vm="488">
        <f ca="1"/>
        <v>44610</v>
      </c>
      <c r="B253" vm="489">
        <f ca="1"/>
        <v>45.96</v>
      </c>
      <c r="C253">
        <f t="shared" ca="1" si="54"/>
        <v>-0.10999999999999943</v>
      </c>
      <c r="D253">
        <f t="shared" ca="1" si="55"/>
        <v>0</v>
      </c>
      <c r="E253">
        <f t="shared" ca="1" si="56"/>
        <v>0.10999999999999943</v>
      </c>
      <c r="F253">
        <f t="shared" ca="1" si="58"/>
        <v>0.25178579314453181</v>
      </c>
      <c r="G253">
        <f t="shared" ca="1" si="59"/>
        <v>0.33696814752602744</v>
      </c>
      <c r="H253">
        <f t="shared" ca="1" si="60"/>
        <v>0.74720947660218795</v>
      </c>
      <c r="I253">
        <f t="shared" ca="1" si="61"/>
        <v>42.76587819654528</v>
      </c>
      <c r="J253">
        <f t="shared" ca="1" si="62"/>
        <v>1</v>
      </c>
      <c r="K253">
        <f t="shared" ca="1" si="63"/>
        <v>0</v>
      </c>
      <c r="L253">
        <f t="shared" ca="1" si="57"/>
        <v>0</v>
      </c>
      <c r="M253" t="str">
        <f t="shared" ca="1" si="64"/>
        <v>na</v>
      </c>
      <c r="N253" t="str">
        <f t="shared" ca="1" si="65"/>
        <v>na</v>
      </c>
    </row>
    <row r="254" spans="1:14" x14ac:dyDescent="0.2">
      <c r="A254" vm="490">
        <f ca="1"/>
        <v>44614</v>
      </c>
      <c r="B254" vm="491">
        <f ca="1"/>
        <v>45.56</v>
      </c>
      <c r="C254">
        <f t="shared" ca="1" si="54"/>
        <v>-0.39999999999999858</v>
      </c>
      <c r="D254">
        <f t="shared" ca="1" si="55"/>
        <v>0</v>
      </c>
      <c r="E254">
        <f t="shared" ca="1" si="56"/>
        <v>0.39999999999999858</v>
      </c>
      <c r="F254">
        <f t="shared" ca="1" si="58"/>
        <v>0.23380109363420812</v>
      </c>
      <c r="G254">
        <f t="shared" ca="1" si="59"/>
        <v>0.34147042270273964</v>
      </c>
      <c r="H254">
        <f t="shared" ca="1" si="60"/>
        <v>0.68468915047948109</v>
      </c>
      <c r="I254">
        <f t="shared" ca="1" si="61"/>
        <v>40.641868577631129</v>
      </c>
      <c r="J254">
        <f t="shared" ca="1" si="62"/>
        <v>1</v>
      </c>
      <c r="K254">
        <f t="shared" ca="1" si="63"/>
        <v>0</v>
      </c>
      <c r="L254">
        <f t="shared" ca="1" si="57"/>
        <v>0</v>
      </c>
      <c r="M254" t="str">
        <f t="shared" ca="1" si="64"/>
        <v>na</v>
      </c>
      <c r="N254" t="str">
        <f t="shared" ca="1" si="65"/>
        <v>na</v>
      </c>
    </row>
    <row r="255" spans="1:14" x14ac:dyDescent="0.2">
      <c r="A255" vm="492">
        <f ca="1"/>
        <v>44615</v>
      </c>
      <c r="B255" vm="493">
        <f ca="1"/>
        <v>44.78</v>
      </c>
      <c r="C255">
        <f t="shared" ca="1" si="54"/>
        <v>-0.78000000000000114</v>
      </c>
      <c r="D255">
        <f t="shared" ca="1" si="55"/>
        <v>0</v>
      </c>
      <c r="E255">
        <f t="shared" ca="1" si="56"/>
        <v>0.78000000000000114</v>
      </c>
      <c r="F255">
        <f t="shared" ca="1" si="58"/>
        <v>0.21710101551747898</v>
      </c>
      <c r="G255">
        <f t="shared" ca="1" si="59"/>
        <v>0.37279396393825831</v>
      </c>
      <c r="H255">
        <f t="shared" ca="1" si="60"/>
        <v>0.58236193854639506</v>
      </c>
      <c r="I255">
        <f t="shared" ca="1" si="61"/>
        <v>36.80333331837911</v>
      </c>
      <c r="J255">
        <f t="shared" ca="1" si="62"/>
        <v>1</v>
      </c>
      <c r="K255">
        <f t="shared" ca="1" si="63"/>
        <v>1</v>
      </c>
      <c r="L255">
        <f t="shared" ca="1" si="57"/>
        <v>0</v>
      </c>
      <c r="M255" t="str">
        <f t="shared" ca="1" si="64"/>
        <v>na</v>
      </c>
      <c r="N255" t="str">
        <f t="shared" ca="1" si="65"/>
        <v>na</v>
      </c>
    </row>
    <row r="256" spans="1:14" x14ac:dyDescent="0.2">
      <c r="A256" vm="494">
        <f ca="1"/>
        <v>44616</v>
      </c>
      <c r="B256" vm="495">
        <f ca="1"/>
        <v>43.6</v>
      </c>
      <c r="C256">
        <f t="shared" ca="1" si="54"/>
        <v>-1.1799999999999997</v>
      </c>
      <c r="D256">
        <f t="shared" ca="1" si="55"/>
        <v>0</v>
      </c>
      <c r="E256">
        <f t="shared" ca="1" si="56"/>
        <v>1.1799999999999997</v>
      </c>
      <c r="F256">
        <f t="shared" ca="1" si="58"/>
        <v>0.20159380012337333</v>
      </c>
      <c r="G256">
        <f t="shared" ca="1" si="59"/>
        <v>0.43045153794266838</v>
      </c>
      <c r="H256">
        <f t="shared" ca="1" si="60"/>
        <v>0.46833100210742773</v>
      </c>
      <c r="I256">
        <f t="shared" ca="1" si="61"/>
        <v>31.895465084865322</v>
      </c>
      <c r="J256">
        <f t="shared" ca="1" si="62"/>
        <v>1</v>
      </c>
      <c r="K256">
        <f t="shared" ca="1" si="63"/>
        <v>1</v>
      </c>
      <c r="L256">
        <f t="shared" ca="1" si="57"/>
        <v>0</v>
      </c>
      <c r="M256" t="str">
        <f t="shared" ca="1" si="64"/>
        <v>na</v>
      </c>
      <c r="N256" t="str">
        <f t="shared" ca="1" si="65"/>
        <v>na</v>
      </c>
    </row>
    <row r="257" spans="1:14" x14ac:dyDescent="0.2">
      <c r="A257" vm="496">
        <f ca="1"/>
        <v>44617</v>
      </c>
      <c r="B257" vm="497">
        <f ca="1"/>
        <v>45.02</v>
      </c>
      <c r="C257">
        <f t="shared" ca="1" si="54"/>
        <v>1.4200000000000017</v>
      </c>
      <c r="D257">
        <f t="shared" ca="1" si="55"/>
        <v>1.4200000000000017</v>
      </c>
      <c r="E257">
        <f t="shared" ca="1" si="56"/>
        <v>0</v>
      </c>
      <c r="F257">
        <f t="shared" ca="1" si="58"/>
        <v>0.28862281440027537</v>
      </c>
      <c r="G257">
        <f t="shared" ca="1" si="59"/>
        <v>0.39970499951819205</v>
      </c>
      <c r="H257">
        <f t="shared" ca="1" si="60"/>
        <v>0.72208957793418616</v>
      </c>
      <c r="I257">
        <f t="shared" ca="1" si="61"/>
        <v>41.931011440206433</v>
      </c>
      <c r="J257">
        <f t="shared" ca="1" si="62"/>
        <v>1</v>
      </c>
      <c r="K257">
        <f t="shared" ca="1" si="63"/>
        <v>0</v>
      </c>
      <c r="L257">
        <f t="shared" ca="1" si="57"/>
        <v>0</v>
      </c>
      <c r="M257" t="str">
        <f t="shared" ca="1" si="64"/>
        <v>na</v>
      </c>
      <c r="N257" t="str">
        <f t="shared" ca="1" si="65"/>
        <v>na</v>
      </c>
    </row>
    <row r="258" spans="1:14" x14ac:dyDescent="0.2">
      <c r="A258" vm="498">
        <f ca="1"/>
        <v>44620</v>
      </c>
      <c r="B258" vm="499">
        <f ca="1"/>
        <v>44.2</v>
      </c>
      <c r="C258">
        <f t="shared" ca="1" si="54"/>
        <v>-0.82000000000000028</v>
      </c>
      <c r="D258">
        <f t="shared" ca="1" si="55"/>
        <v>0</v>
      </c>
      <c r="E258">
        <f t="shared" ca="1" si="56"/>
        <v>0.82000000000000028</v>
      </c>
      <c r="F258">
        <f t="shared" ca="1" si="58"/>
        <v>0.26800689908596997</v>
      </c>
      <c r="G258">
        <f t="shared" ca="1" si="59"/>
        <v>0.42972607098117838</v>
      </c>
      <c r="H258">
        <f t="shared" ca="1" si="60"/>
        <v>0.62366916318118493</v>
      </c>
      <c r="I258">
        <f t="shared" ca="1" si="61"/>
        <v>38.411098598390382</v>
      </c>
      <c r="J258">
        <f t="shared" ca="1" si="62"/>
        <v>1</v>
      </c>
      <c r="K258">
        <f t="shared" ca="1" si="63"/>
        <v>1</v>
      </c>
      <c r="L258">
        <f t="shared" ca="1" si="57"/>
        <v>0</v>
      </c>
      <c r="M258" t="str">
        <f t="shared" ca="1" si="64"/>
        <v>na</v>
      </c>
      <c r="N258" t="str">
        <f t="shared" ca="1" si="65"/>
        <v>na</v>
      </c>
    </row>
    <row r="259" spans="1:14" x14ac:dyDescent="0.2">
      <c r="A259" vm="500">
        <f ca="1"/>
        <v>44621</v>
      </c>
      <c r="B259" vm="501">
        <f ca="1"/>
        <v>42.47</v>
      </c>
      <c r="C259">
        <f t="shared" ca="1" si="54"/>
        <v>-1.730000000000004</v>
      </c>
      <c r="D259">
        <f t="shared" ca="1" si="55"/>
        <v>0</v>
      </c>
      <c r="E259">
        <f t="shared" ca="1" si="56"/>
        <v>1.730000000000004</v>
      </c>
      <c r="F259">
        <f t="shared" ca="1" si="58"/>
        <v>0.24886354915125783</v>
      </c>
      <c r="G259">
        <f t="shared" ca="1" si="59"/>
        <v>0.52260278019680872</v>
      </c>
      <c r="H259">
        <f t="shared" ca="1" si="60"/>
        <v>0.47620020134132751</v>
      </c>
      <c r="I259">
        <f t="shared" ca="1" si="61"/>
        <v>32.258510797426752</v>
      </c>
      <c r="J259">
        <f t="shared" ca="1" si="62"/>
        <v>1</v>
      </c>
      <c r="K259">
        <f t="shared" ca="1" si="63"/>
        <v>1</v>
      </c>
      <c r="L259">
        <f t="shared" ca="1" si="57"/>
        <v>0</v>
      </c>
      <c r="M259" t="str">
        <f t="shared" ca="1" si="64"/>
        <v>na</v>
      </c>
      <c r="N259" t="str">
        <f t="shared" ca="1" si="65"/>
        <v>na</v>
      </c>
    </row>
    <row r="260" spans="1:14" x14ac:dyDescent="0.2">
      <c r="A260" vm="502">
        <f ca="1"/>
        <v>44622</v>
      </c>
      <c r="B260" vm="297">
        <f ca="1"/>
        <v>43.16</v>
      </c>
      <c r="C260">
        <f t="shared" ca="1" si="54"/>
        <v>0.68999999999999773</v>
      </c>
      <c r="D260">
        <f t="shared" ca="1" si="55"/>
        <v>0.68999999999999773</v>
      </c>
      <c r="E260">
        <f t="shared" ca="1" si="56"/>
        <v>0</v>
      </c>
      <c r="F260">
        <f t="shared" ca="1" si="58"/>
        <v>0.28037329564045355</v>
      </c>
      <c r="G260">
        <f t="shared" ca="1" si="59"/>
        <v>0.48527401018275096</v>
      </c>
      <c r="H260">
        <f t="shared" ca="1" si="60"/>
        <v>0.57776285100219327</v>
      </c>
      <c r="I260">
        <f t="shared" ca="1" si="61"/>
        <v>36.619118686639055</v>
      </c>
      <c r="J260">
        <f t="shared" ca="1" si="62"/>
        <v>1</v>
      </c>
      <c r="K260">
        <f t="shared" ca="1" si="63"/>
        <v>1</v>
      </c>
      <c r="L260">
        <f t="shared" ca="1" si="57"/>
        <v>0</v>
      </c>
      <c r="M260" t="str">
        <f t="shared" ca="1" si="64"/>
        <v>na</v>
      </c>
      <c r="N260" t="str">
        <f t="shared" ca="1" si="65"/>
        <v>na</v>
      </c>
    </row>
    <row r="261" spans="1:14" x14ac:dyDescent="0.2">
      <c r="A261" vm="503">
        <f ca="1"/>
        <v>44623</v>
      </c>
      <c r="B261" vm="257">
        <f ca="1"/>
        <v>42.49</v>
      </c>
      <c r="C261">
        <f t="shared" ca="1" si="54"/>
        <v>-0.6699999999999946</v>
      </c>
      <c r="D261">
        <f t="shared" ca="1" si="55"/>
        <v>0</v>
      </c>
      <c r="E261">
        <f t="shared" ca="1" si="56"/>
        <v>0.6699999999999946</v>
      </c>
      <c r="F261">
        <f t="shared" ca="1" si="58"/>
        <v>0.26034663166613542</v>
      </c>
      <c r="G261">
        <f t="shared" ca="1" si="59"/>
        <v>0.4984687237411255</v>
      </c>
      <c r="H261">
        <f t="shared" ca="1" si="60"/>
        <v>0.52229281250019555</v>
      </c>
      <c r="I261">
        <f t="shared" ca="1" si="61"/>
        <v>34.30961561477703</v>
      </c>
      <c r="J261">
        <f t="shared" ca="1" si="62"/>
        <v>1</v>
      </c>
      <c r="K261">
        <f t="shared" ca="1" si="63"/>
        <v>1</v>
      </c>
      <c r="L261">
        <f t="shared" ca="1" si="57"/>
        <v>0</v>
      </c>
      <c r="M261" t="str">
        <f t="shared" ca="1" si="64"/>
        <v>na</v>
      </c>
      <c r="N261" t="str">
        <f t="shared" ca="1" si="65"/>
        <v>na</v>
      </c>
    </row>
    <row r="262" spans="1:14" x14ac:dyDescent="0.2">
      <c r="A262" vm="504">
        <f ca="1"/>
        <v>44624</v>
      </c>
      <c r="B262" vm="505">
        <f ca="1"/>
        <v>40.950000000000003</v>
      </c>
      <c r="C262">
        <f t="shared" ca="1" si="54"/>
        <v>-1.5399999999999991</v>
      </c>
      <c r="D262">
        <f t="shared" ca="1" si="55"/>
        <v>0</v>
      </c>
      <c r="E262">
        <f t="shared" ca="1" si="56"/>
        <v>1.5399999999999991</v>
      </c>
      <c r="F262">
        <f t="shared" ca="1" si="58"/>
        <v>0.24175044368998289</v>
      </c>
      <c r="G262">
        <f t="shared" ca="1" si="59"/>
        <v>0.57286381490247351</v>
      </c>
      <c r="H262">
        <f t="shared" ca="1" si="60"/>
        <v>0.42200334076108365</v>
      </c>
      <c r="I262">
        <f t="shared" ca="1" si="61"/>
        <v>29.676677168368627</v>
      </c>
      <c r="J262">
        <f t="shared" ca="1" si="62"/>
        <v>1</v>
      </c>
      <c r="K262">
        <f t="shared" ca="1" si="63"/>
        <v>1</v>
      </c>
      <c r="L262">
        <f t="shared" ca="1" si="57"/>
        <v>0</v>
      </c>
      <c r="M262" t="str">
        <f t="shared" ca="1" si="64"/>
        <v>na</v>
      </c>
      <c r="N262" t="str">
        <f t="shared" ca="1" si="65"/>
        <v>na</v>
      </c>
    </row>
    <row r="263" spans="1:14" x14ac:dyDescent="0.2">
      <c r="A263" vm="506">
        <f ca="1"/>
        <v>44627</v>
      </c>
      <c r="B263" vm="507">
        <f ca="1"/>
        <v>38.340000000000003</v>
      </c>
      <c r="C263">
        <f t="shared" ca="1" si="54"/>
        <v>-2.6099999999999994</v>
      </c>
      <c r="D263">
        <f t="shared" ca="1" si="55"/>
        <v>0</v>
      </c>
      <c r="E263">
        <f t="shared" ca="1" si="56"/>
        <v>2.6099999999999994</v>
      </c>
      <c r="F263">
        <f t="shared" ca="1" si="58"/>
        <v>0.22448255485498411</v>
      </c>
      <c r="G263">
        <f t="shared" ca="1" si="59"/>
        <v>0.71837354240943974</v>
      </c>
      <c r="H263">
        <f t="shared" ca="1" si="60"/>
        <v>0.31248722510306404</v>
      </c>
      <c r="I263">
        <f t="shared" ca="1" si="61"/>
        <v>23.808782220987013</v>
      </c>
      <c r="J263">
        <f t="shared" ca="1" si="62"/>
        <v>1</v>
      </c>
      <c r="K263">
        <f t="shared" ca="1" si="63"/>
        <v>1</v>
      </c>
      <c r="L263">
        <f t="shared" ca="1" si="57"/>
        <v>0</v>
      </c>
      <c r="M263" t="str">
        <f t="shared" ca="1" si="64"/>
        <v>na</v>
      </c>
      <c r="N263" t="str">
        <f t="shared" ca="1" si="65"/>
        <v>na</v>
      </c>
    </row>
    <row r="264" spans="1:14" x14ac:dyDescent="0.2">
      <c r="A264" vm="508">
        <f ca="1"/>
        <v>44628</v>
      </c>
      <c r="B264" vm="509">
        <f ca="1"/>
        <v>38.590000000000003</v>
      </c>
      <c r="C264">
        <f t="shared" ca="1" si="54"/>
        <v>0.25</v>
      </c>
      <c r="D264">
        <f t="shared" ca="1" si="55"/>
        <v>0.25</v>
      </c>
      <c r="E264">
        <f t="shared" ca="1" si="56"/>
        <v>0</v>
      </c>
      <c r="F264">
        <f t="shared" ca="1" si="58"/>
        <v>0.22630522950819953</v>
      </c>
      <c r="G264">
        <f t="shared" ca="1" si="59"/>
        <v>0.66706114652305115</v>
      </c>
      <c r="H264">
        <f t="shared" ca="1" si="60"/>
        <v>0.3392570991246891</v>
      </c>
      <c r="I264">
        <f t="shared" ca="1" si="61"/>
        <v>25.331737972225085</v>
      </c>
      <c r="J264">
        <f t="shared" ca="1" si="62"/>
        <v>1</v>
      </c>
      <c r="K264">
        <f t="shared" ca="1" si="63"/>
        <v>1</v>
      </c>
      <c r="L264">
        <f t="shared" ca="1" si="57"/>
        <v>0</v>
      </c>
      <c r="M264" t="str">
        <f t="shared" ca="1" si="64"/>
        <v>na</v>
      </c>
      <c r="N264" t="str">
        <f t="shared" ca="1" si="65"/>
        <v>na</v>
      </c>
    </row>
    <row r="265" spans="1:14" x14ac:dyDescent="0.2">
      <c r="A265" vm="510">
        <f ca="1"/>
        <v>44629</v>
      </c>
      <c r="B265" vm="511">
        <f ca="1"/>
        <v>41.04</v>
      </c>
      <c r="C265">
        <f t="shared" ref="C265:C328" ca="1" si="66">B265-B264</f>
        <v>2.4499999999999957</v>
      </c>
      <c r="D265">
        <f t="shared" ref="D265:D328" ca="1" si="67">IF(C265&gt;0,C265,0)</f>
        <v>2.4499999999999957</v>
      </c>
      <c r="E265">
        <f t="shared" ref="E265:E328" ca="1" si="68">IF(C265&lt;0,ABS(C265),0)</f>
        <v>0</v>
      </c>
      <c r="F265">
        <f t="shared" ca="1" si="58"/>
        <v>0.3851405702576135</v>
      </c>
      <c r="G265">
        <f t="shared" ca="1" si="59"/>
        <v>0.61941392177140464</v>
      </c>
      <c r="H265">
        <f t="shared" ca="1" si="60"/>
        <v>0.62178223110676234</v>
      </c>
      <c r="I265">
        <f t="shared" ca="1" si="61"/>
        <v>38.339440350288939</v>
      </c>
      <c r="J265">
        <f t="shared" ca="1" si="62"/>
        <v>1</v>
      </c>
      <c r="K265">
        <f t="shared" ca="1" si="63"/>
        <v>1</v>
      </c>
      <c r="L265">
        <f t="shared" ca="1" si="57"/>
        <v>0</v>
      </c>
      <c r="M265" t="str">
        <f t="shared" ca="1" si="64"/>
        <v>na</v>
      </c>
      <c r="N265" t="str">
        <f t="shared" ca="1" si="65"/>
        <v>na</v>
      </c>
    </row>
    <row r="266" spans="1:14" x14ac:dyDescent="0.2">
      <c r="A266" vm="512">
        <f ca="1"/>
        <v>44630</v>
      </c>
      <c r="B266" vm="231">
        <f ca="1"/>
        <v>40.67</v>
      </c>
      <c r="C266">
        <f t="shared" ca="1" si="66"/>
        <v>-0.36999999999999744</v>
      </c>
      <c r="D266">
        <f t="shared" ca="1" si="67"/>
        <v>0</v>
      </c>
      <c r="E266">
        <f t="shared" ca="1" si="68"/>
        <v>0.36999999999999744</v>
      </c>
      <c r="F266">
        <f t="shared" ca="1" si="58"/>
        <v>0.35763052952492685</v>
      </c>
      <c r="G266">
        <f t="shared" ca="1" si="59"/>
        <v>0.60159864164487564</v>
      </c>
      <c r="H266">
        <f t="shared" ca="1" si="60"/>
        <v>0.59446698308211365</v>
      </c>
      <c r="I266">
        <f t="shared" ca="1" si="61"/>
        <v>37.283116514147295</v>
      </c>
      <c r="J266">
        <f t="shared" ca="1" si="62"/>
        <v>1</v>
      </c>
      <c r="K266">
        <f t="shared" ca="1" si="63"/>
        <v>1</v>
      </c>
      <c r="L266">
        <f t="shared" ca="1" si="57"/>
        <v>0</v>
      </c>
      <c r="M266" t="str">
        <f t="shared" ca="1" si="64"/>
        <v>na</v>
      </c>
      <c r="N266" t="str">
        <f t="shared" ca="1" si="65"/>
        <v>na</v>
      </c>
    </row>
    <row r="267" spans="1:14" x14ac:dyDescent="0.2">
      <c r="A267" vm="513">
        <f ca="1"/>
        <v>44631</v>
      </c>
      <c r="B267" vm="514">
        <f ca="1"/>
        <v>40.33</v>
      </c>
      <c r="C267">
        <f t="shared" ca="1" si="66"/>
        <v>-0.34000000000000341</v>
      </c>
      <c r="D267">
        <f t="shared" ca="1" si="67"/>
        <v>0</v>
      </c>
      <c r="E267">
        <f t="shared" ca="1" si="68"/>
        <v>0.34000000000000341</v>
      </c>
      <c r="F267">
        <f t="shared" ca="1" si="58"/>
        <v>0.33208549170171781</v>
      </c>
      <c r="G267">
        <f t="shared" ca="1" si="59"/>
        <v>0.58291302438452763</v>
      </c>
      <c r="H267">
        <f t="shared" ca="1" si="60"/>
        <v>0.56969990000198112</v>
      </c>
      <c r="I267">
        <f t="shared" ca="1" si="61"/>
        <v>36.293555220412649</v>
      </c>
      <c r="J267">
        <f t="shared" ca="1" si="62"/>
        <v>1</v>
      </c>
      <c r="K267">
        <f t="shared" ca="1" si="63"/>
        <v>1</v>
      </c>
      <c r="L267">
        <f t="shared" ca="1" si="57"/>
        <v>0</v>
      </c>
      <c r="M267" t="str">
        <f t="shared" ca="1" si="64"/>
        <v>na</v>
      </c>
      <c r="N267" t="str">
        <f t="shared" ca="1" si="65"/>
        <v>na</v>
      </c>
    </row>
    <row r="268" spans="1:14" x14ac:dyDescent="0.2">
      <c r="A268" vm="515">
        <f ca="1"/>
        <v>44634</v>
      </c>
      <c r="B268" vm="516">
        <f ca="1"/>
        <v>41.2</v>
      </c>
      <c r="C268">
        <f t="shared" ca="1" si="66"/>
        <v>0.87000000000000455</v>
      </c>
      <c r="D268">
        <f t="shared" ca="1" si="67"/>
        <v>0.87000000000000455</v>
      </c>
      <c r="E268">
        <f t="shared" ca="1" si="68"/>
        <v>0</v>
      </c>
      <c r="F268">
        <f t="shared" ca="1" si="58"/>
        <v>0.37050795658016689</v>
      </c>
      <c r="G268">
        <f t="shared" ca="1" si="59"/>
        <v>0.54127637978563281</v>
      </c>
      <c r="H268">
        <f t="shared" ca="1" si="60"/>
        <v>0.68450789729066497</v>
      </c>
      <c r="I268">
        <f t="shared" ca="1" si="61"/>
        <v>40.63548163778966</v>
      </c>
      <c r="J268">
        <f t="shared" ca="1" si="62"/>
        <v>1</v>
      </c>
      <c r="K268">
        <f t="shared" ca="1" si="63"/>
        <v>0</v>
      </c>
      <c r="L268">
        <f t="shared" ca="1" si="57"/>
        <v>0</v>
      </c>
      <c r="M268" t="str">
        <f t="shared" ca="1" si="64"/>
        <v>na</v>
      </c>
      <c r="N268" t="str">
        <f t="shared" ca="1" si="65"/>
        <v>na</v>
      </c>
    </row>
    <row r="269" spans="1:14" x14ac:dyDescent="0.2">
      <c r="A269" vm="517">
        <f ca="1"/>
        <v>44635</v>
      </c>
      <c r="B269" vm="518">
        <f ca="1"/>
        <v>41.5</v>
      </c>
      <c r="C269">
        <f t="shared" ca="1" si="66"/>
        <v>0.29999999999999716</v>
      </c>
      <c r="D269">
        <f t="shared" ca="1" si="67"/>
        <v>0.29999999999999716</v>
      </c>
      <c r="E269">
        <f t="shared" ca="1" si="68"/>
        <v>0</v>
      </c>
      <c r="F269">
        <f t="shared" ca="1" si="58"/>
        <v>0.36547167396729757</v>
      </c>
      <c r="G269">
        <f t="shared" ca="1" si="59"/>
        <v>0.50261378122951617</v>
      </c>
      <c r="H269">
        <f t="shared" ca="1" si="60"/>
        <v>0.72714216684083854</v>
      </c>
      <c r="I269">
        <f t="shared" ca="1" si="61"/>
        <v>42.100886701809472</v>
      </c>
      <c r="J269">
        <f t="shared" ca="1" si="62"/>
        <v>1</v>
      </c>
      <c r="K269">
        <f t="shared" ca="1" si="63"/>
        <v>0</v>
      </c>
      <c r="L269">
        <f t="shared" ca="1" si="57"/>
        <v>0</v>
      </c>
      <c r="M269" t="str">
        <f t="shared" ca="1" si="64"/>
        <v>na</v>
      </c>
      <c r="N269" t="str">
        <f t="shared" ca="1" si="65"/>
        <v>na</v>
      </c>
    </row>
    <row r="270" spans="1:14" x14ac:dyDescent="0.2">
      <c r="A270" vm="519">
        <f ca="1"/>
        <v>44636</v>
      </c>
      <c r="B270" vm="61">
        <f ca="1"/>
        <v>42.8</v>
      </c>
      <c r="C270">
        <f t="shared" ca="1" si="66"/>
        <v>1.2999999999999972</v>
      </c>
      <c r="D270">
        <f t="shared" ca="1" si="67"/>
        <v>1.2999999999999972</v>
      </c>
      <c r="E270">
        <f t="shared" ca="1" si="68"/>
        <v>0</v>
      </c>
      <c r="F270">
        <f t="shared" ca="1" si="58"/>
        <v>0.43222369725534754</v>
      </c>
      <c r="G270">
        <f t="shared" ca="1" si="59"/>
        <v>0.46671279685597927</v>
      </c>
      <c r="H270">
        <f t="shared" ca="1" si="60"/>
        <v>0.92610209140831734</v>
      </c>
      <c r="I270">
        <f t="shared" ca="1" si="61"/>
        <v>48.081672074358991</v>
      </c>
      <c r="J270">
        <f t="shared" ca="1" si="62"/>
        <v>1</v>
      </c>
      <c r="K270">
        <f t="shared" ca="1" si="63"/>
        <v>0</v>
      </c>
      <c r="L270">
        <f t="shared" ca="1" si="57"/>
        <v>0</v>
      </c>
      <c r="M270" t="str">
        <f t="shared" ca="1" si="64"/>
        <v>na</v>
      </c>
      <c r="N270" t="str">
        <f t="shared" ca="1" si="65"/>
        <v>na</v>
      </c>
    </row>
    <row r="271" spans="1:14" x14ac:dyDescent="0.2">
      <c r="A271" vm="520">
        <f ca="1"/>
        <v>44637</v>
      </c>
      <c r="B271" vm="521">
        <f ca="1"/>
        <v>43.03</v>
      </c>
      <c r="C271">
        <f t="shared" ca="1" si="66"/>
        <v>0.23000000000000398</v>
      </c>
      <c r="D271">
        <f t="shared" ca="1" si="67"/>
        <v>0.23000000000000398</v>
      </c>
      <c r="E271">
        <f t="shared" ca="1" si="68"/>
        <v>0</v>
      </c>
      <c r="F271">
        <f t="shared" ca="1" si="58"/>
        <v>0.41777914745139444</v>
      </c>
      <c r="G271">
        <f t="shared" ca="1" si="59"/>
        <v>0.43337616850912358</v>
      </c>
      <c r="H271">
        <f t="shared" ca="1" si="60"/>
        <v>0.9640104320655537</v>
      </c>
      <c r="I271">
        <f t="shared" ca="1" si="61"/>
        <v>49.083773503774211</v>
      </c>
      <c r="J271">
        <f t="shared" ca="1" si="62"/>
        <v>1</v>
      </c>
      <c r="K271">
        <f t="shared" ca="1" si="63"/>
        <v>0</v>
      </c>
      <c r="L271">
        <f t="shared" ca="1" si="57"/>
        <v>0</v>
      </c>
      <c r="M271" t="str">
        <f t="shared" ca="1" si="64"/>
        <v>na</v>
      </c>
      <c r="N271" t="str">
        <f t="shared" ca="1" si="65"/>
        <v>na</v>
      </c>
    </row>
    <row r="272" spans="1:14" x14ac:dyDescent="0.2">
      <c r="A272" vm="522">
        <f ca="1"/>
        <v>44638</v>
      </c>
      <c r="B272" vm="523">
        <f ca="1"/>
        <v>42.9</v>
      </c>
      <c r="C272">
        <f t="shared" ca="1" si="66"/>
        <v>-0.13000000000000256</v>
      </c>
      <c r="D272">
        <f t="shared" ca="1" si="67"/>
        <v>0</v>
      </c>
      <c r="E272">
        <f t="shared" ca="1" si="68"/>
        <v>0.13000000000000256</v>
      </c>
      <c r="F272">
        <f t="shared" ca="1" si="58"/>
        <v>0.38793777977629479</v>
      </c>
      <c r="G272">
        <f t="shared" ca="1" si="59"/>
        <v>0.4117064421870435</v>
      </c>
      <c r="H272">
        <f t="shared" ca="1" si="60"/>
        <v>0.94226793662861774</v>
      </c>
      <c r="I272">
        <f t="shared" ca="1" si="61"/>
        <v>48.513797651636224</v>
      </c>
      <c r="J272">
        <f t="shared" ca="1" si="62"/>
        <v>1</v>
      </c>
      <c r="K272">
        <f t="shared" ca="1" si="63"/>
        <v>0</v>
      </c>
      <c r="L272">
        <f t="shared" ca="1" si="57"/>
        <v>0</v>
      </c>
      <c r="M272" t="str">
        <f t="shared" ca="1" si="64"/>
        <v>na</v>
      </c>
      <c r="N272" t="str">
        <f t="shared" ca="1" si="65"/>
        <v>na</v>
      </c>
    </row>
    <row r="273" spans="1:14" x14ac:dyDescent="0.2">
      <c r="A273" vm="524">
        <f ca="1"/>
        <v>44641</v>
      </c>
      <c r="B273" vm="525">
        <f ca="1"/>
        <v>42.84</v>
      </c>
      <c r="C273">
        <f t="shared" ca="1" si="66"/>
        <v>-5.9999999999995168E-2</v>
      </c>
      <c r="D273">
        <f t="shared" ca="1" si="67"/>
        <v>0</v>
      </c>
      <c r="E273">
        <f t="shared" ca="1" si="68"/>
        <v>5.9999999999995168E-2</v>
      </c>
      <c r="F273">
        <f t="shared" ca="1" si="58"/>
        <v>0.36022793836370232</v>
      </c>
      <c r="G273">
        <f t="shared" ca="1" si="59"/>
        <v>0.38658455345939718</v>
      </c>
      <c r="H273">
        <f t="shared" ca="1" si="60"/>
        <v>0.93182186184150506</v>
      </c>
      <c r="I273">
        <f t="shared" ca="1" si="61"/>
        <v>48.235392726803902</v>
      </c>
      <c r="J273">
        <f t="shared" ca="1" si="62"/>
        <v>1</v>
      </c>
      <c r="K273">
        <f t="shared" ca="1" si="63"/>
        <v>0</v>
      </c>
      <c r="L273">
        <f t="shared" ca="1" si="57"/>
        <v>0</v>
      </c>
      <c r="M273" t="str">
        <f t="shared" ca="1" si="64"/>
        <v>na</v>
      </c>
      <c r="N273" t="str">
        <f t="shared" ca="1" si="65"/>
        <v>na</v>
      </c>
    </row>
    <row r="274" spans="1:14" x14ac:dyDescent="0.2">
      <c r="A274" vm="526">
        <f ca="1"/>
        <v>44642</v>
      </c>
      <c r="B274" vm="527">
        <f ca="1"/>
        <v>44.18</v>
      </c>
      <c r="C274">
        <f t="shared" ca="1" si="66"/>
        <v>1.3399999999999963</v>
      </c>
      <c r="D274">
        <f t="shared" ca="1" si="67"/>
        <v>1.3399999999999963</v>
      </c>
      <c r="E274">
        <f t="shared" ca="1" si="68"/>
        <v>0</v>
      </c>
      <c r="F274">
        <f t="shared" ca="1" si="58"/>
        <v>0.43021165705200903</v>
      </c>
      <c r="G274">
        <f t="shared" ca="1" si="59"/>
        <v>0.35897137106944027</v>
      </c>
      <c r="H274">
        <f t="shared" ca="1" si="60"/>
        <v>1.1984567342246017</v>
      </c>
      <c r="I274">
        <f t="shared" ca="1" si="61"/>
        <v>54.513546505944717</v>
      </c>
      <c r="J274">
        <f t="shared" ca="1" si="62"/>
        <v>1</v>
      </c>
      <c r="K274">
        <f t="shared" ca="1" si="63"/>
        <v>0</v>
      </c>
      <c r="L274">
        <f t="shared" ca="1" si="57"/>
        <v>0</v>
      </c>
      <c r="M274" t="str">
        <f t="shared" ca="1" si="64"/>
        <v>na</v>
      </c>
      <c r="N274" t="str">
        <f t="shared" ca="1" si="65"/>
        <v>na</v>
      </c>
    </row>
    <row r="275" spans="1:14" x14ac:dyDescent="0.2">
      <c r="A275" vm="528">
        <f ca="1"/>
        <v>44643</v>
      </c>
      <c r="B275" vm="529">
        <f ca="1"/>
        <v>43.09</v>
      </c>
      <c r="C275">
        <f t="shared" ca="1" si="66"/>
        <v>-1.0899999999999963</v>
      </c>
      <c r="D275">
        <f t="shared" ca="1" si="67"/>
        <v>0</v>
      </c>
      <c r="E275">
        <f t="shared" ca="1" si="68"/>
        <v>1.0899999999999963</v>
      </c>
      <c r="F275">
        <f t="shared" ca="1" si="58"/>
        <v>0.39948225297686552</v>
      </c>
      <c r="G275">
        <f t="shared" ca="1" si="59"/>
        <v>0.41118770170733715</v>
      </c>
      <c r="H275">
        <f t="shared" ca="1" si="60"/>
        <v>0.97153259039152151</v>
      </c>
      <c r="I275">
        <f t="shared" ca="1" si="61"/>
        <v>49.27803857396988</v>
      </c>
      <c r="J275">
        <f t="shared" ca="1" si="62"/>
        <v>1</v>
      </c>
      <c r="K275">
        <f t="shared" ca="1" si="63"/>
        <v>0</v>
      </c>
      <c r="L275">
        <f t="shared" ca="1" si="57"/>
        <v>0</v>
      </c>
      <c r="M275" t="str">
        <f t="shared" ca="1" si="64"/>
        <v>na</v>
      </c>
      <c r="N275" t="str">
        <f t="shared" ca="1" si="65"/>
        <v>na</v>
      </c>
    </row>
    <row r="276" spans="1:14" x14ac:dyDescent="0.2">
      <c r="A276" vm="530">
        <f ca="1"/>
        <v>44644</v>
      </c>
      <c r="B276" vm="299">
        <f ca="1"/>
        <v>43.07</v>
      </c>
      <c r="C276">
        <f t="shared" ca="1" si="66"/>
        <v>-2.0000000000003126E-2</v>
      </c>
      <c r="D276">
        <f t="shared" ca="1" si="67"/>
        <v>0</v>
      </c>
      <c r="E276">
        <f t="shared" ca="1" si="68"/>
        <v>2.0000000000003126E-2</v>
      </c>
      <c r="F276">
        <f t="shared" ca="1" si="58"/>
        <v>0.37094780633566088</v>
      </c>
      <c r="G276">
        <f t="shared" ca="1" si="59"/>
        <v>0.38324572301395615</v>
      </c>
      <c r="H276">
        <f t="shared" ca="1" si="60"/>
        <v>0.96791114436560211</v>
      </c>
      <c r="I276">
        <f t="shared" ca="1" si="61"/>
        <v>49.184697547796489</v>
      </c>
      <c r="J276">
        <f t="shared" ca="1" si="62"/>
        <v>1</v>
      </c>
      <c r="K276">
        <f t="shared" ca="1" si="63"/>
        <v>0</v>
      </c>
      <c r="L276">
        <f t="shared" ca="1" si="57"/>
        <v>0</v>
      </c>
      <c r="M276" t="str">
        <f t="shared" ca="1" si="64"/>
        <v>na</v>
      </c>
      <c r="N276" t="str">
        <f t="shared" ca="1" si="65"/>
        <v>na</v>
      </c>
    </row>
    <row r="277" spans="1:14" x14ac:dyDescent="0.2">
      <c r="A277" vm="531">
        <f ca="1"/>
        <v>44645</v>
      </c>
      <c r="B277" vm="532">
        <f ca="1"/>
        <v>43.73</v>
      </c>
      <c r="C277">
        <f t="shared" ca="1" si="66"/>
        <v>0.65999999999999659</v>
      </c>
      <c r="D277">
        <f t="shared" ca="1" si="67"/>
        <v>0.65999999999999659</v>
      </c>
      <c r="E277">
        <f t="shared" ca="1" si="68"/>
        <v>0</v>
      </c>
      <c r="F277">
        <f t="shared" ca="1" si="58"/>
        <v>0.39159439159739912</v>
      </c>
      <c r="G277">
        <f t="shared" ca="1" si="59"/>
        <v>0.35587102851295926</v>
      </c>
      <c r="H277">
        <f t="shared" ca="1" si="60"/>
        <v>1.100382892177858</v>
      </c>
      <c r="I277">
        <f t="shared" ca="1" si="61"/>
        <v>52.389633160498953</v>
      </c>
      <c r="J277">
        <f t="shared" ca="1" si="62"/>
        <v>1</v>
      </c>
      <c r="K277">
        <f t="shared" ca="1" si="63"/>
        <v>0</v>
      </c>
      <c r="L277">
        <f t="shared" ca="1" si="57"/>
        <v>0</v>
      </c>
      <c r="M277" t="str">
        <f t="shared" ca="1" si="64"/>
        <v>na</v>
      </c>
      <c r="N277" t="str">
        <f t="shared" ca="1" si="65"/>
        <v>na</v>
      </c>
    </row>
    <row r="278" spans="1:14" x14ac:dyDescent="0.2">
      <c r="A278" vm="533">
        <f ca="1"/>
        <v>44648</v>
      </c>
      <c r="B278" vm="534">
        <f ca="1"/>
        <v>43.55</v>
      </c>
      <c r="C278">
        <f t="shared" ca="1" si="66"/>
        <v>-0.17999999999999972</v>
      </c>
      <c r="D278">
        <f t="shared" ca="1" si="67"/>
        <v>0</v>
      </c>
      <c r="E278">
        <f t="shared" ca="1" si="68"/>
        <v>0.17999999999999972</v>
      </c>
      <c r="F278">
        <f t="shared" ca="1" si="58"/>
        <v>0.36362336362615633</v>
      </c>
      <c r="G278">
        <f t="shared" ca="1" si="59"/>
        <v>0.34330881219060499</v>
      </c>
      <c r="H278">
        <f t="shared" ca="1" si="60"/>
        <v>1.0591728225847949</v>
      </c>
      <c r="I278">
        <f t="shared" ca="1" si="61"/>
        <v>51.436810498268862</v>
      </c>
      <c r="J278">
        <f t="shared" ca="1" si="62"/>
        <v>1</v>
      </c>
      <c r="K278">
        <f t="shared" ca="1" si="63"/>
        <v>0</v>
      </c>
      <c r="L278">
        <f t="shared" ref="L278:L341" ca="1" si="69">IF(I278&gt;$C$3,1,0)</f>
        <v>0</v>
      </c>
      <c r="M278" t="str">
        <f t="shared" ca="1" si="64"/>
        <v>na</v>
      </c>
      <c r="N278" t="str">
        <f t="shared" ca="1" si="65"/>
        <v>na</v>
      </c>
    </row>
    <row r="279" spans="1:14" x14ac:dyDescent="0.2">
      <c r="A279" vm="535">
        <f ca="1"/>
        <v>44649</v>
      </c>
      <c r="B279" vm="536">
        <f ca="1"/>
        <v>43.44</v>
      </c>
      <c r="C279">
        <f t="shared" ca="1" si="66"/>
        <v>-0.10999999999999943</v>
      </c>
      <c r="D279">
        <f t="shared" ca="1" si="67"/>
        <v>0</v>
      </c>
      <c r="E279">
        <f t="shared" ca="1" si="68"/>
        <v>0.10999999999999943</v>
      </c>
      <c r="F279">
        <f t="shared" ref="F279:F342" ca="1" si="70">((F278*13)+D279)/14</f>
        <v>0.33765026622428801</v>
      </c>
      <c r="G279">
        <f t="shared" ref="G279:G342" ca="1" si="71">((G278*13)+E279)/14</f>
        <v>0.32664389703413316</v>
      </c>
      <c r="H279">
        <f t="shared" ref="H279:H342" ca="1" si="72">AVERAGE(F279/G279)</f>
        <v>1.0336953155717608</v>
      </c>
      <c r="I279">
        <f t="shared" ref="I279:I342" ca="1" si="73">IF(G279=0,100,100-(100/(1+H279)))</f>
        <v>50.828425854004763</v>
      </c>
      <c r="J279">
        <f t="shared" ca="1" si="62"/>
        <v>1</v>
      </c>
      <c r="K279">
        <f t="shared" ca="1" si="63"/>
        <v>0</v>
      </c>
      <c r="L279">
        <f t="shared" ca="1" si="69"/>
        <v>0</v>
      </c>
      <c r="M279" t="str">
        <f t="shared" ca="1" si="64"/>
        <v>na</v>
      </c>
      <c r="N279" t="str">
        <f t="shared" ca="1" si="65"/>
        <v>na</v>
      </c>
    </row>
    <row r="280" spans="1:14" x14ac:dyDescent="0.2">
      <c r="A280" vm="537">
        <f ca="1"/>
        <v>44650</v>
      </c>
      <c r="B280" vm="538">
        <f ca="1"/>
        <v>43</v>
      </c>
      <c r="C280">
        <f t="shared" ca="1" si="66"/>
        <v>-0.43999999999999773</v>
      </c>
      <c r="D280">
        <f t="shared" ca="1" si="67"/>
        <v>0</v>
      </c>
      <c r="E280">
        <f t="shared" ca="1" si="68"/>
        <v>0.43999999999999773</v>
      </c>
      <c r="F280">
        <f t="shared" ca="1" si="70"/>
        <v>0.31353239006541028</v>
      </c>
      <c r="G280">
        <f t="shared" ca="1" si="71"/>
        <v>0.33474076153169491</v>
      </c>
      <c r="H280">
        <f t="shared" ca="1" si="72"/>
        <v>0.93664239942204797</v>
      </c>
      <c r="I280">
        <f t="shared" ca="1" si="73"/>
        <v>48.364241106234687</v>
      </c>
      <c r="J280">
        <f t="shared" ref="J280:J343" ca="1" si="74">IF(K280=1,1,IF(L280=1,0,IF(J279=1,1,0)))</f>
        <v>1</v>
      </c>
      <c r="K280">
        <f t="shared" ref="K280:K343" ca="1" si="75">IF(I280&lt;$B$3,1,0)</f>
        <v>0</v>
      </c>
      <c r="L280">
        <f t="shared" ca="1" si="69"/>
        <v>0</v>
      </c>
      <c r="M280" t="str">
        <f t="shared" ref="M280:M343" ca="1" si="76">IF(AND(K280=1,J279=0),B280,"na")</f>
        <v>na</v>
      </c>
      <c r="N280" t="str">
        <f t="shared" ref="N280:N343" ca="1" si="77">IF(AND(L280=1,J279=1),B280,"na")</f>
        <v>na</v>
      </c>
    </row>
    <row r="281" spans="1:14" x14ac:dyDescent="0.2">
      <c r="A281" vm="539">
        <f ca="1"/>
        <v>44651</v>
      </c>
      <c r="B281" vm="540">
        <f ca="1"/>
        <v>41.22</v>
      </c>
      <c r="C281">
        <f t="shared" ca="1" si="66"/>
        <v>-1.7800000000000011</v>
      </c>
      <c r="D281">
        <f t="shared" ca="1" si="67"/>
        <v>0</v>
      </c>
      <c r="E281">
        <f t="shared" ca="1" si="68"/>
        <v>1.7800000000000011</v>
      </c>
      <c r="F281">
        <f t="shared" ca="1" si="70"/>
        <v>0.29113721934645242</v>
      </c>
      <c r="G281">
        <f t="shared" ca="1" si="71"/>
        <v>0.43797356427943107</v>
      </c>
      <c r="H281">
        <f t="shared" ca="1" si="72"/>
        <v>0.6647369683726031</v>
      </c>
      <c r="I281">
        <f t="shared" ca="1" si="73"/>
        <v>39.930450335492338</v>
      </c>
      <c r="J281">
        <f t="shared" ca="1" si="74"/>
        <v>1</v>
      </c>
      <c r="K281">
        <f t="shared" ca="1" si="75"/>
        <v>1</v>
      </c>
      <c r="L281">
        <f t="shared" ca="1" si="69"/>
        <v>0</v>
      </c>
      <c r="M281" t="str">
        <f t="shared" ca="1" si="76"/>
        <v>na</v>
      </c>
      <c r="N281" t="str">
        <f t="shared" ca="1" si="77"/>
        <v>na</v>
      </c>
    </row>
    <row r="282" spans="1:14" x14ac:dyDescent="0.2">
      <c r="A282" vm="541">
        <f ca="1"/>
        <v>44652</v>
      </c>
      <c r="B282" vm="542">
        <f ca="1"/>
        <v>40.9</v>
      </c>
      <c r="C282">
        <f t="shared" ca="1" si="66"/>
        <v>-0.32000000000000028</v>
      </c>
      <c r="D282">
        <f t="shared" ca="1" si="67"/>
        <v>0</v>
      </c>
      <c r="E282">
        <f t="shared" ca="1" si="68"/>
        <v>0.32000000000000028</v>
      </c>
      <c r="F282">
        <f t="shared" ca="1" si="70"/>
        <v>0.27034170367884869</v>
      </c>
      <c r="G282">
        <f t="shared" ca="1" si="71"/>
        <v>0.4295468811166146</v>
      </c>
      <c r="H282">
        <f t="shared" ca="1" si="72"/>
        <v>0.62936483900451268</v>
      </c>
      <c r="I282">
        <f t="shared" ca="1" si="73"/>
        <v>38.626391335965835</v>
      </c>
      <c r="J282">
        <f t="shared" ca="1" si="74"/>
        <v>1</v>
      </c>
      <c r="K282">
        <f t="shared" ca="1" si="75"/>
        <v>1</v>
      </c>
      <c r="L282">
        <f t="shared" ca="1" si="69"/>
        <v>0</v>
      </c>
      <c r="M282" t="str">
        <f t="shared" ca="1" si="76"/>
        <v>na</v>
      </c>
      <c r="N282" t="str">
        <f t="shared" ca="1" si="77"/>
        <v>na</v>
      </c>
    </row>
    <row r="283" spans="1:14" x14ac:dyDescent="0.2">
      <c r="A283" vm="543">
        <f ca="1"/>
        <v>44655</v>
      </c>
      <c r="B283" vm="178">
        <f ca="1"/>
        <v>40.83</v>
      </c>
      <c r="C283">
        <f t="shared" ca="1" si="66"/>
        <v>-7.0000000000000284E-2</v>
      </c>
      <c r="D283">
        <f t="shared" ca="1" si="67"/>
        <v>0</v>
      </c>
      <c r="E283">
        <f t="shared" ca="1" si="68"/>
        <v>7.0000000000000284E-2</v>
      </c>
      <c r="F283">
        <f t="shared" ca="1" si="70"/>
        <v>0.25103158198750236</v>
      </c>
      <c r="G283">
        <f t="shared" ca="1" si="71"/>
        <v>0.40386496103685643</v>
      </c>
      <c r="H283">
        <f t="shared" ca="1" si="72"/>
        <v>0.62157306576688487</v>
      </c>
      <c r="I283">
        <f t="shared" ca="1" si="73"/>
        <v>38.331486806789464</v>
      </c>
      <c r="J283">
        <f t="shared" ca="1" si="74"/>
        <v>1</v>
      </c>
      <c r="K283">
        <f t="shared" ca="1" si="75"/>
        <v>1</v>
      </c>
      <c r="L283">
        <f t="shared" ca="1" si="69"/>
        <v>0</v>
      </c>
      <c r="M283" t="str">
        <f t="shared" ca="1" si="76"/>
        <v>na</v>
      </c>
      <c r="N283" t="str">
        <f t="shared" ca="1" si="77"/>
        <v>na</v>
      </c>
    </row>
    <row r="284" spans="1:14" x14ac:dyDescent="0.2">
      <c r="A284" vm="544">
        <f ca="1"/>
        <v>44656</v>
      </c>
      <c r="B284" vm="281">
        <f ca="1"/>
        <v>40.14</v>
      </c>
      <c r="C284">
        <f t="shared" ca="1" si="66"/>
        <v>-0.68999999999999773</v>
      </c>
      <c r="D284">
        <f t="shared" ca="1" si="67"/>
        <v>0</v>
      </c>
      <c r="E284">
        <f t="shared" ca="1" si="68"/>
        <v>0.68999999999999773</v>
      </c>
      <c r="F284">
        <f t="shared" ca="1" si="70"/>
        <v>0.23310075470268074</v>
      </c>
      <c r="G284">
        <f t="shared" ca="1" si="71"/>
        <v>0.42430317810565221</v>
      </c>
      <c r="H284">
        <f t="shared" ca="1" si="72"/>
        <v>0.54937310567265718</v>
      </c>
      <c r="I284">
        <f t="shared" ca="1" si="73"/>
        <v>35.457766993712468</v>
      </c>
      <c r="J284">
        <f t="shared" ca="1" si="74"/>
        <v>1</v>
      </c>
      <c r="K284">
        <f t="shared" ca="1" si="75"/>
        <v>1</v>
      </c>
      <c r="L284">
        <f t="shared" ca="1" si="69"/>
        <v>0</v>
      </c>
      <c r="M284" t="str">
        <f t="shared" ca="1" si="76"/>
        <v>na</v>
      </c>
      <c r="N284" t="str">
        <f t="shared" ca="1" si="77"/>
        <v>na</v>
      </c>
    </row>
    <row r="285" spans="1:14" x14ac:dyDescent="0.2">
      <c r="A285" vm="545">
        <f ca="1"/>
        <v>44657</v>
      </c>
      <c r="B285" vm="74">
        <f ca="1"/>
        <v>39.700000000000003</v>
      </c>
      <c r="C285">
        <f t="shared" ca="1" si="66"/>
        <v>-0.43999999999999773</v>
      </c>
      <c r="D285">
        <f t="shared" ca="1" si="67"/>
        <v>0</v>
      </c>
      <c r="E285">
        <f t="shared" ca="1" si="68"/>
        <v>0.43999999999999773</v>
      </c>
      <c r="F285">
        <f t="shared" ca="1" si="70"/>
        <v>0.2164507007953464</v>
      </c>
      <c r="G285">
        <f t="shared" ca="1" si="71"/>
        <v>0.42542437966953406</v>
      </c>
      <c r="H285">
        <f t="shared" ca="1" si="72"/>
        <v>0.50878772148291884</v>
      </c>
      <c r="I285">
        <f t="shared" ca="1" si="73"/>
        <v>33.721623939440235</v>
      </c>
      <c r="J285">
        <f t="shared" ca="1" si="74"/>
        <v>1</v>
      </c>
      <c r="K285">
        <f t="shared" ca="1" si="75"/>
        <v>1</v>
      </c>
      <c r="L285">
        <f t="shared" ca="1" si="69"/>
        <v>0</v>
      </c>
      <c r="M285" t="str">
        <f t="shared" ca="1" si="76"/>
        <v>na</v>
      </c>
      <c r="N285" t="str">
        <f t="shared" ca="1" si="77"/>
        <v>na</v>
      </c>
    </row>
    <row r="286" spans="1:14" x14ac:dyDescent="0.2">
      <c r="A286" vm="546">
        <f ca="1"/>
        <v>44658</v>
      </c>
      <c r="B286" vm="547">
        <f ca="1"/>
        <v>39.39</v>
      </c>
      <c r="C286">
        <f t="shared" ca="1" si="66"/>
        <v>-0.31000000000000227</v>
      </c>
      <c r="D286">
        <f t="shared" ca="1" si="67"/>
        <v>0</v>
      </c>
      <c r="E286">
        <f t="shared" ca="1" si="68"/>
        <v>0.31000000000000227</v>
      </c>
      <c r="F286">
        <f t="shared" ca="1" si="70"/>
        <v>0.20098993645282165</v>
      </c>
      <c r="G286">
        <f t="shared" ca="1" si="71"/>
        <v>0.41717978112171039</v>
      </c>
      <c r="H286">
        <f t="shared" ca="1" si="72"/>
        <v>0.48178254447615165</v>
      </c>
      <c r="I286">
        <f t="shared" ca="1" si="73"/>
        <v>32.513714395689163</v>
      </c>
      <c r="J286">
        <f t="shared" ca="1" si="74"/>
        <v>1</v>
      </c>
      <c r="K286">
        <f t="shared" ca="1" si="75"/>
        <v>1</v>
      </c>
      <c r="L286">
        <f t="shared" ca="1" si="69"/>
        <v>0</v>
      </c>
      <c r="M286" t="str">
        <f t="shared" ca="1" si="76"/>
        <v>na</v>
      </c>
      <c r="N286" t="str">
        <f t="shared" ca="1" si="77"/>
        <v>na</v>
      </c>
    </row>
    <row r="287" spans="1:14" x14ac:dyDescent="0.2">
      <c r="A287" vm="548">
        <f ca="1"/>
        <v>44659</v>
      </c>
      <c r="B287" vm="549">
        <f ca="1"/>
        <v>39.67</v>
      </c>
      <c r="C287">
        <f t="shared" ca="1" si="66"/>
        <v>0.28000000000000114</v>
      </c>
      <c r="D287">
        <f t="shared" ca="1" si="67"/>
        <v>0.28000000000000114</v>
      </c>
      <c r="E287">
        <f t="shared" ca="1" si="68"/>
        <v>0</v>
      </c>
      <c r="F287">
        <f t="shared" ca="1" si="70"/>
        <v>0.20663351242047731</v>
      </c>
      <c r="G287">
        <f t="shared" ca="1" si="71"/>
        <v>0.38738122532730251</v>
      </c>
      <c r="H287">
        <f t="shared" ca="1" si="72"/>
        <v>0.53341127269627087</v>
      </c>
      <c r="I287">
        <f t="shared" ca="1" si="73"/>
        <v>34.785923528418323</v>
      </c>
      <c r="J287">
        <f t="shared" ca="1" si="74"/>
        <v>1</v>
      </c>
      <c r="K287">
        <f t="shared" ca="1" si="75"/>
        <v>1</v>
      </c>
      <c r="L287">
        <f t="shared" ca="1" si="69"/>
        <v>0</v>
      </c>
      <c r="M287" t="str">
        <f t="shared" ca="1" si="76"/>
        <v>na</v>
      </c>
      <c r="N287" t="str">
        <f t="shared" ca="1" si="77"/>
        <v>na</v>
      </c>
    </row>
    <row r="288" spans="1:14" x14ac:dyDescent="0.2">
      <c r="A288" vm="550">
        <f ca="1"/>
        <v>44662</v>
      </c>
      <c r="B288" vm="551">
        <f ca="1"/>
        <v>39.590000000000003</v>
      </c>
      <c r="C288">
        <f t="shared" ca="1" si="66"/>
        <v>-7.9999999999998295E-2</v>
      </c>
      <c r="D288">
        <f t="shared" ca="1" si="67"/>
        <v>0</v>
      </c>
      <c r="E288">
        <f t="shared" ca="1" si="68"/>
        <v>7.9999999999998295E-2</v>
      </c>
      <c r="F288">
        <f t="shared" ca="1" si="70"/>
        <v>0.19187397581901464</v>
      </c>
      <c r="G288">
        <f t="shared" ca="1" si="71"/>
        <v>0.36542542351820939</v>
      </c>
      <c r="H288">
        <f t="shared" ca="1" si="72"/>
        <v>0.525070133248278</v>
      </c>
      <c r="I288">
        <f t="shared" ca="1" si="73"/>
        <v>34.429245042647352</v>
      </c>
      <c r="J288">
        <f t="shared" ca="1" si="74"/>
        <v>1</v>
      </c>
      <c r="K288">
        <f t="shared" ca="1" si="75"/>
        <v>1</v>
      </c>
      <c r="L288">
        <f t="shared" ca="1" si="69"/>
        <v>0</v>
      </c>
      <c r="M288" t="str">
        <f t="shared" ca="1" si="76"/>
        <v>na</v>
      </c>
      <c r="N288" t="str">
        <f t="shared" ca="1" si="77"/>
        <v>na</v>
      </c>
    </row>
    <row r="289" spans="1:14" x14ac:dyDescent="0.2">
      <c r="A289" vm="552">
        <f ca="1"/>
        <v>44663</v>
      </c>
      <c r="B289" vm="88">
        <f ca="1"/>
        <v>39.17</v>
      </c>
      <c r="C289">
        <f t="shared" ca="1" si="66"/>
        <v>-0.42000000000000171</v>
      </c>
      <c r="D289">
        <f t="shared" ca="1" si="67"/>
        <v>0</v>
      </c>
      <c r="E289">
        <f t="shared" ca="1" si="68"/>
        <v>0.42000000000000171</v>
      </c>
      <c r="F289">
        <f t="shared" ca="1" si="70"/>
        <v>0.17816869183194214</v>
      </c>
      <c r="G289">
        <f t="shared" ca="1" si="71"/>
        <v>0.36932360755262311</v>
      </c>
      <c r="H289">
        <f t="shared" ca="1" si="72"/>
        <v>0.4824189090229109</v>
      </c>
      <c r="I289">
        <f t="shared" ca="1" si="73"/>
        <v>32.54268453313793</v>
      </c>
      <c r="J289">
        <f t="shared" ca="1" si="74"/>
        <v>1</v>
      </c>
      <c r="K289">
        <f t="shared" ca="1" si="75"/>
        <v>1</v>
      </c>
      <c r="L289">
        <f t="shared" ca="1" si="69"/>
        <v>0</v>
      </c>
      <c r="M289" t="str">
        <f t="shared" ca="1" si="76"/>
        <v>na</v>
      </c>
      <c r="N289" t="str">
        <f t="shared" ca="1" si="77"/>
        <v>na</v>
      </c>
    </row>
    <row r="290" spans="1:14" x14ac:dyDescent="0.2">
      <c r="A290" vm="553">
        <f ca="1"/>
        <v>44664</v>
      </c>
      <c r="B290" vm="554">
        <f ca="1"/>
        <v>38.82</v>
      </c>
      <c r="C290">
        <f t="shared" ca="1" si="66"/>
        <v>-0.35000000000000142</v>
      </c>
      <c r="D290">
        <f t="shared" ca="1" si="67"/>
        <v>0</v>
      </c>
      <c r="E290">
        <f t="shared" ca="1" si="68"/>
        <v>0.35000000000000142</v>
      </c>
      <c r="F290">
        <f t="shared" ca="1" si="70"/>
        <v>0.16544235670108914</v>
      </c>
      <c r="G290">
        <f t="shared" ca="1" si="71"/>
        <v>0.36794334987029298</v>
      </c>
      <c r="H290">
        <f t="shared" ca="1" si="72"/>
        <v>0.44964083943740446</v>
      </c>
      <c r="I290">
        <f t="shared" ca="1" si="73"/>
        <v>31.017395978710624</v>
      </c>
      <c r="J290">
        <f t="shared" ca="1" si="74"/>
        <v>1</v>
      </c>
      <c r="K290">
        <f t="shared" ca="1" si="75"/>
        <v>1</v>
      </c>
      <c r="L290">
        <f t="shared" ca="1" si="69"/>
        <v>0</v>
      </c>
      <c r="M290" t="str">
        <f t="shared" ca="1" si="76"/>
        <v>na</v>
      </c>
      <c r="N290" t="str">
        <f t="shared" ca="1" si="77"/>
        <v>na</v>
      </c>
    </row>
    <row r="291" spans="1:14" x14ac:dyDescent="0.2">
      <c r="A291" vm="555">
        <f ca="1"/>
        <v>44665</v>
      </c>
      <c r="B291" vm="556">
        <f ca="1"/>
        <v>37.57</v>
      </c>
      <c r="C291">
        <f t="shared" ca="1" si="66"/>
        <v>-1.25</v>
      </c>
      <c r="D291">
        <f t="shared" ca="1" si="67"/>
        <v>0</v>
      </c>
      <c r="E291">
        <f t="shared" ca="1" si="68"/>
        <v>1.25</v>
      </c>
      <c r="F291">
        <f t="shared" ca="1" si="70"/>
        <v>0.1536250455081542</v>
      </c>
      <c r="G291">
        <f t="shared" ca="1" si="71"/>
        <v>0.43094739630812917</v>
      </c>
      <c r="H291">
        <f t="shared" ca="1" si="72"/>
        <v>0.35648212942981017</v>
      </c>
      <c r="I291">
        <f t="shared" ca="1" si="73"/>
        <v>26.279898694990948</v>
      </c>
      <c r="J291">
        <f t="shared" ca="1" si="74"/>
        <v>1</v>
      </c>
      <c r="K291">
        <f t="shared" ca="1" si="75"/>
        <v>1</v>
      </c>
      <c r="L291">
        <f t="shared" ca="1" si="69"/>
        <v>0</v>
      </c>
      <c r="M291" t="str">
        <f t="shared" ca="1" si="76"/>
        <v>na</v>
      </c>
      <c r="N291" t="str">
        <f t="shared" ca="1" si="77"/>
        <v>na</v>
      </c>
    </row>
    <row r="292" spans="1:14" x14ac:dyDescent="0.2">
      <c r="A292" vm="557">
        <f ca="1"/>
        <v>44669</v>
      </c>
      <c r="B292" vm="558">
        <f ca="1"/>
        <v>38.85</v>
      </c>
      <c r="C292">
        <f t="shared" ca="1" si="66"/>
        <v>1.2800000000000011</v>
      </c>
      <c r="D292">
        <f t="shared" ca="1" si="67"/>
        <v>1.2800000000000011</v>
      </c>
      <c r="E292">
        <f t="shared" ca="1" si="68"/>
        <v>0</v>
      </c>
      <c r="F292">
        <f t="shared" ca="1" si="70"/>
        <v>0.23408039940042899</v>
      </c>
      <c r="G292">
        <f t="shared" ca="1" si="71"/>
        <v>0.40016543942897709</v>
      </c>
      <c r="H292">
        <f t="shared" ca="1" si="72"/>
        <v>0.58495906026880784</v>
      </c>
      <c r="I292">
        <f t="shared" ca="1" si="73"/>
        <v>36.906887687660472</v>
      </c>
      <c r="J292">
        <f t="shared" ca="1" si="74"/>
        <v>1</v>
      </c>
      <c r="K292">
        <f t="shared" ca="1" si="75"/>
        <v>1</v>
      </c>
      <c r="L292">
        <f t="shared" ca="1" si="69"/>
        <v>0</v>
      </c>
      <c r="M292" t="str">
        <f t="shared" ca="1" si="76"/>
        <v>na</v>
      </c>
      <c r="N292" t="str">
        <f t="shared" ca="1" si="77"/>
        <v>na</v>
      </c>
    </row>
    <row r="293" spans="1:14" x14ac:dyDescent="0.2">
      <c r="A293" vm="559">
        <f ca="1"/>
        <v>44670</v>
      </c>
      <c r="B293" vm="560">
        <f ca="1"/>
        <v>39.57</v>
      </c>
      <c r="C293">
        <f t="shared" ca="1" si="66"/>
        <v>0.71999999999999886</v>
      </c>
      <c r="D293">
        <f t="shared" ca="1" si="67"/>
        <v>0.71999999999999886</v>
      </c>
      <c r="E293">
        <f t="shared" ca="1" si="68"/>
        <v>0</v>
      </c>
      <c r="F293">
        <f t="shared" ca="1" si="70"/>
        <v>0.26878894230039829</v>
      </c>
      <c r="G293">
        <f t="shared" ca="1" si="71"/>
        <v>0.37158219375547874</v>
      </c>
      <c r="H293">
        <f t="shared" ca="1" si="72"/>
        <v>0.72336335491166193</v>
      </c>
      <c r="I293">
        <f t="shared" ca="1" si="73"/>
        <v>41.97393154786797</v>
      </c>
      <c r="J293">
        <f t="shared" ca="1" si="74"/>
        <v>1</v>
      </c>
      <c r="K293">
        <f t="shared" ca="1" si="75"/>
        <v>0</v>
      </c>
      <c r="L293">
        <f t="shared" ca="1" si="69"/>
        <v>0</v>
      </c>
      <c r="M293" t="str">
        <f t="shared" ca="1" si="76"/>
        <v>na</v>
      </c>
      <c r="N293" t="str">
        <f t="shared" ca="1" si="77"/>
        <v>na</v>
      </c>
    </row>
    <row r="294" spans="1:14" x14ac:dyDescent="0.2">
      <c r="A294" vm="561">
        <f ca="1"/>
        <v>44671</v>
      </c>
      <c r="B294" vm="562">
        <f ca="1"/>
        <v>39.659999999999997</v>
      </c>
      <c r="C294">
        <f t="shared" ca="1" si="66"/>
        <v>8.9999999999996305E-2</v>
      </c>
      <c r="D294">
        <f t="shared" ca="1" si="67"/>
        <v>8.9999999999996305E-2</v>
      </c>
      <c r="E294">
        <f t="shared" ca="1" si="68"/>
        <v>0</v>
      </c>
      <c r="F294">
        <f t="shared" ca="1" si="70"/>
        <v>0.25601830356465533</v>
      </c>
      <c r="G294">
        <f t="shared" ca="1" si="71"/>
        <v>0.34504060848723028</v>
      </c>
      <c r="H294">
        <f t="shared" ca="1" si="72"/>
        <v>0.74199470226743003</v>
      </c>
      <c r="I294">
        <f t="shared" ca="1" si="73"/>
        <v>42.594544133895958</v>
      </c>
      <c r="J294">
        <f t="shared" ca="1" si="74"/>
        <v>1</v>
      </c>
      <c r="K294">
        <f t="shared" ca="1" si="75"/>
        <v>0</v>
      </c>
      <c r="L294">
        <f t="shared" ca="1" si="69"/>
        <v>0</v>
      </c>
      <c r="M294" t="str">
        <f t="shared" ca="1" si="76"/>
        <v>na</v>
      </c>
      <c r="N294" t="str">
        <f t="shared" ca="1" si="77"/>
        <v>na</v>
      </c>
    </row>
    <row r="295" spans="1:14" x14ac:dyDescent="0.2">
      <c r="A295" vm="563">
        <f ca="1"/>
        <v>44672</v>
      </c>
      <c r="B295" vm="564">
        <f ca="1"/>
        <v>38.909999999999997</v>
      </c>
      <c r="C295">
        <f t="shared" ca="1" si="66"/>
        <v>-0.75</v>
      </c>
      <c r="D295">
        <f t="shared" ca="1" si="67"/>
        <v>0</v>
      </c>
      <c r="E295">
        <f t="shared" ca="1" si="68"/>
        <v>0.75</v>
      </c>
      <c r="F295">
        <f t="shared" ca="1" si="70"/>
        <v>0.23773128188146567</v>
      </c>
      <c r="G295">
        <f t="shared" ca="1" si="71"/>
        <v>0.37396627930957094</v>
      </c>
      <c r="H295">
        <f t="shared" ca="1" si="72"/>
        <v>0.63570245509935575</v>
      </c>
      <c r="I295">
        <f t="shared" ca="1" si="73"/>
        <v>38.864186644553392</v>
      </c>
      <c r="J295">
        <f t="shared" ca="1" si="74"/>
        <v>1</v>
      </c>
      <c r="K295">
        <f t="shared" ca="1" si="75"/>
        <v>1</v>
      </c>
      <c r="L295">
        <f t="shared" ca="1" si="69"/>
        <v>0</v>
      </c>
      <c r="M295" t="str">
        <f t="shared" ca="1" si="76"/>
        <v>na</v>
      </c>
      <c r="N295" t="str">
        <f t="shared" ca="1" si="77"/>
        <v>na</v>
      </c>
    </row>
    <row r="296" spans="1:14" x14ac:dyDescent="0.2">
      <c r="A296" vm="565">
        <f ca="1"/>
        <v>44673</v>
      </c>
      <c r="B296" vm="566">
        <f ca="1"/>
        <v>37.56</v>
      </c>
      <c r="C296">
        <f t="shared" ca="1" si="66"/>
        <v>-1.3499999999999943</v>
      </c>
      <c r="D296">
        <f t="shared" ca="1" si="67"/>
        <v>0</v>
      </c>
      <c r="E296">
        <f t="shared" ca="1" si="68"/>
        <v>1.3499999999999943</v>
      </c>
      <c r="F296">
        <f t="shared" ca="1" si="70"/>
        <v>0.22075047603278955</v>
      </c>
      <c r="G296">
        <f t="shared" ca="1" si="71"/>
        <v>0.44368297364460119</v>
      </c>
      <c r="H296">
        <f t="shared" ca="1" si="72"/>
        <v>0.49754101271782186</v>
      </c>
      <c r="I296">
        <f t="shared" ca="1" si="73"/>
        <v>33.223865556433509</v>
      </c>
      <c r="J296">
        <f t="shared" ca="1" si="74"/>
        <v>1</v>
      </c>
      <c r="K296">
        <f t="shared" ca="1" si="75"/>
        <v>1</v>
      </c>
      <c r="L296">
        <f t="shared" ca="1" si="69"/>
        <v>0</v>
      </c>
      <c r="M296" t="str">
        <f t="shared" ca="1" si="76"/>
        <v>na</v>
      </c>
      <c r="N296" t="str">
        <f t="shared" ca="1" si="77"/>
        <v>na</v>
      </c>
    </row>
    <row r="297" spans="1:14" x14ac:dyDescent="0.2">
      <c r="A297" vm="567">
        <f ca="1"/>
        <v>44676</v>
      </c>
      <c r="B297" vm="568">
        <f ca="1"/>
        <v>37.29</v>
      </c>
      <c r="C297">
        <f t="shared" ca="1" si="66"/>
        <v>-0.27000000000000313</v>
      </c>
      <c r="D297">
        <f t="shared" ca="1" si="67"/>
        <v>0</v>
      </c>
      <c r="E297">
        <f t="shared" ca="1" si="68"/>
        <v>0.27000000000000313</v>
      </c>
      <c r="F297">
        <f t="shared" ca="1" si="70"/>
        <v>0.2049825848875903</v>
      </c>
      <c r="G297">
        <f t="shared" ca="1" si="71"/>
        <v>0.43127704695570129</v>
      </c>
      <c r="H297">
        <f t="shared" ca="1" si="72"/>
        <v>0.47529212679998045</v>
      </c>
      <c r="I297">
        <f t="shared" ca="1" si="73"/>
        <v>32.216814430571432</v>
      </c>
      <c r="J297">
        <f t="shared" ca="1" si="74"/>
        <v>1</v>
      </c>
      <c r="K297">
        <f t="shared" ca="1" si="75"/>
        <v>1</v>
      </c>
      <c r="L297">
        <f t="shared" ca="1" si="69"/>
        <v>0</v>
      </c>
      <c r="M297" t="str">
        <f t="shared" ca="1" si="76"/>
        <v>na</v>
      </c>
      <c r="N297" t="str">
        <f t="shared" ca="1" si="77"/>
        <v>na</v>
      </c>
    </row>
    <row r="298" spans="1:14" x14ac:dyDescent="0.2">
      <c r="A298" vm="569">
        <f ca="1"/>
        <v>44677</v>
      </c>
      <c r="B298" vm="570">
        <f ca="1"/>
        <v>36.450000000000003</v>
      </c>
      <c r="C298">
        <f t="shared" ca="1" si="66"/>
        <v>-0.83999999999999631</v>
      </c>
      <c r="D298">
        <f t="shared" ca="1" si="67"/>
        <v>0</v>
      </c>
      <c r="E298">
        <f t="shared" ca="1" si="68"/>
        <v>0.83999999999999631</v>
      </c>
      <c r="F298">
        <f t="shared" ca="1" si="70"/>
        <v>0.19034097168133385</v>
      </c>
      <c r="G298">
        <f t="shared" ca="1" si="71"/>
        <v>0.46047154360172238</v>
      </c>
      <c r="H298">
        <f t="shared" ca="1" si="72"/>
        <v>0.41336098685387229</v>
      </c>
      <c r="I298">
        <f t="shared" ca="1" si="73"/>
        <v>29.246667390615457</v>
      </c>
      <c r="J298">
        <f t="shared" ca="1" si="74"/>
        <v>1</v>
      </c>
      <c r="K298">
        <f t="shared" ca="1" si="75"/>
        <v>1</v>
      </c>
      <c r="L298">
        <f t="shared" ca="1" si="69"/>
        <v>0</v>
      </c>
      <c r="M298" t="str">
        <f t="shared" ca="1" si="76"/>
        <v>na</v>
      </c>
      <c r="N298" t="str">
        <f t="shared" ca="1" si="77"/>
        <v>na</v>
      </c>
    </row>
    <row r="299" spans="1:14" x14ac:dyDescent="0.2">
      <c r="A299" vm="571">
        <f ca="1"/>
        <v>44678</v>
      </c>
      <c r="B299" vm="572">
        <f ca="1"/>
        <v>36.25</v>
      </c>
      <c r="C299">
        <f t="shared" ca="1" si="66"/>
        <v>-0.20000000000000284</v>
      </c>
      <c r="D299">
        <f t="shared" ca="1" si="67"/>
        <v>0</v>
      </c>
      <c r="E299">
        <f t="shared" ca="1" si="68"/>
        <v>0.20000000000000284</v>
      </c>
      <c r="F299">
        <f t="shared" ca="1" si="70"/>
        <v>0.17674518798981001</v>
      </c>
      <c r="G299">
        <f t="shared" ca="1" si="71"/>
        <v>0.44186643334445669</v>
      </c>
      <c r="H299">
        <f t="shared" ca="1" si="72"/>
        <v>0.39999686478114627</v>
      </c>
      <c r="I299">
        <f t="shared" ca="1" si="73"/>
        <v>28.571268610924747</v>
      </c>
      <c r="J299">
        <f t="shared" ca="1" si="74"/>
        <v>1</v>
      </c>
      <c r="K299">
        <f t="shared" ca="1" si="75"/>
        <v>1</v>
      </c>
      <c r="L299">
        <f t="shared" ca="1" si="69"/>
        <v>0</v>
      </c>
      <c r="M299" t="str">
        <f t="shared" ca="1" si="76"/>
        <v>na</v>
      </c>
      <c r="N299" t="str">
        <f t="shared" ca="1" si="77"/>
        <v>na</v>
      </c>
    </row>
    <row r="300" spans="1:14" x14ac:dyDescent="0.2">
      <c r="A300" vm="573">
        <f ca="1"/>
        <v>44679</v>
      </c>
      <c r="B300" vm="574">
        <f ca="1"/>
        <v>36.81</v>
      </c>
      <c r="C300">
        <f t="shared" ca="1" si="66"/>
        <v>0.56000000000000227</v>
      </c>
      <c r="D300">
        <f t="shared" ca="1" si="67"/>
        <v>0.56000000000000227</v>
      </c>
      <c r="E300">
        <f t="shared" ca="1" si="68"/>
        <v>0</v>
      </c>
      <c r="F300">
        <f t="shared" ca="1" si="70"/>
        <v>0.20412053170482375</v>
      </c>
      <c r="G300">
        <f t="shared" ca="1" si="71"/>
        <v>0.41030454524842408</v>
      </c>
      <c r="H300">
        <f t="shared" ca="1" si="72"/>
        <v>0.49748542654148858</v>
      </c>
      <c r="I300">
        <f t="shared" ca="1" si="73"/>
        <v>33.221386847847597</v>
      </c>
      <c r="J300">
        <f t="shared" ca="1" si="74"/>
        <v>1</v>
      </c>
      <c r="K300">
        <f t="shared" ca="1" si="75"/>
        <v>1</v>
      </c>
      <c r="L300">
        <f t="shared" ca="1" si="69"/>
        <v>0</v>
      </c>
      <c r="M300" t="str">
        <f t="shared" ca="1" si="76"/>
        <v>na</v>
      </c>
      <c r="N300" t="str">
        <f t="shared" ca="1" si="77"/>
        <v>na</v>
      </c>
    </row>
    <row r="301" spans="1:14" x14ac:dyDescent="0.2">
      <c r="A301" vm="575">
        <f ca="1"/>
        <v>44680</v>
      </c>
      <c r="B301" vm="576">
        <f ca="1"/>
        <v>35.68</v>
      </c>
      <c r="C301">
        <f t="shared" ca="1" si="66"/>
        <v>-1.1300000000000026</v>
      </c>
      <c r="D301">
        <f t="shared" ca="1" si="67"/>
        <v>0</v>
      </c>
      <c r="E301">
        <f t="shared" ca="1" si="68"/>
        <v>1.1300000000000026</v>
      </c>
      <c r="F301">
        <f t="shared" ca="1" si="70"/>
        <v>0.18954049372590775</v>
      </c>
      <c r="G301">
        <f t="shared" ca="1" si="71"/>
        <v>0.46171136344496538</v>
      </c>
      <c r="H301">
        <f t="shared" ca="1" si="72"/>
        <v>0.41051728142814142</v>
      </c>
      <c r="I301">
        <f t="shared" ca="1" si="73"/>
        <v>29.104023526212657</v>
      </c>
      <c r="J301">
        <f t="shared" ca="1" si="74"/>
        <v>1</v>
      </c>
      <c r="K301">
        <f t="shared" ca="1" si="75"/>
        <v>1</v>
      </c>
      <c r="L301">
        <f t="shared" ca="1" si="69"/>
        <v>0</v>
      </c>
      <c r="M301" t="str">
        <f t="shared" ca="1" si="76"/>
        <v>na</v>
      </c>
      <c r="N301" t="str">
        <f t="shared" ca="1" si="77"/>
        <v>na</v>
      </c>
    </row>
    <row r="302" spans="1:14" x14ac:dyDescent="0.2">
      <c r="A302" vm="577">
        <f ca="1"/>
        <v>44683</v>
      </c>
      <c r="B302" vm="578">
        <f ca="1"/>
        <v>36.14</v>
      </c>
      <c r="C302">
        <f t="shared" ca="1" si="66"/>
        <v>0.46000000000000085</v>
      </c>
      <c r="D302">
        <f t="shared" ca="1" si="67"/>
        <v>0.46000000000000085</v>
      </c>
      <c r="E302">
        <f t="shared" ca="1" si="68"/>
        <v>0</v>
      </c>
      <c r="F302">
        <f t="shared" ca="1" si="70"/>
        <v>0.20885902988834298</v>
      </c>
      <c r="G302">
        <f t="shared" ca="1" si="71"/>
        <v>0.42873198034175358</v>
      </c>
      <c r="H302">
        <f t="shared" ca="1" si="72"/>
        <v>0.48715523792243337</v>
      </c>
      <c r="I302">
        <f t="shared" ca="1" si="73"/>
        <v>32.757524265119272</v>
      </c>
      <c r="J302">
        <f t="shared" ca="1" si="74"/>
        <v>1</v>
      </c>
      <c r="K302">
        <f t="shared" ca="1" si="75"/>
        <v>1</v>
      </c>
      <c r="L302">
        <f t="shared" ca="1" si="69"/>
        <v>0</v>
      </c>
      <c r="M302" t="str">
        <f t="shared" ca="1" si="76"/>
        <v>na</v>
      </c>
      <c r="N302" t="str">
        <f t="shared" ca="1" si="77"/>
        <v>na</v>
      </c>
    </row>
    <row r="303" spans="1:14" x14ac:dyDescent="0.2">
      <c r="A303" vm="579">
        <f ca="1"/>
        <v>44684</v>
      </c>
      <c r="B303" vm="11">
        <f ca="1"/>
        <v>37.130000000000003</v>
      </c>
      <c r="C303">
        <f t="shared" ca="1" si="66"/>
        <v>0.99000000000000199</v>
      </c>
      <c r="D303">
        <f t="shared" ca="1" si="67"/>
        <v>0.99000000000000199</v>
      </c>
      <c r="E303">
        <f t="shared" ca="1" si="68"/>
        <v>0</v>
      </c>
      <c r="F303">
        <f t="shared" ca="1" si="70"/>
        <v>0.26465481346774722</v>
      </c>
      <c r="G303">
        <f t="shared" ca="1" si="71"/>
        <v>0.39810826746019978</v>
      </c>
      <c r="H303">
        <f t="shared" ca="1" si="72"/>
        <v>0.66478100330886913</v>
      </c>
      <c r="I303">
        <f t="shared" ca="1" si="73"/>
        <v>39.932039228437269</v>
      </c>
      <c r="J303">
        <f t="shared" ca="1" si="74"/>
        <v>1</v>
      </c>
      <c r="K303">
        <f t="shared" ca="1" si="75"/>
        <v>1</v>
      </c>
      <c r="L303">
        <f t="shared" ca="1" si="69"/>
        <v>0</v>
      </c>
      <c r="M303" t="str">
        <f t="shared" ca="1" si="76"/>
        <v>na</v>
      </c>
      <c r="N303" t="str">
        <f t="shared" ca="1" si="77"/>
        <v>na</v>
      </c>
    </row>
    <row r="304" spans="1:14" x14ac:dyDescent="0.2">
      <c r="A304" vm="580">
        <f ca="1"/>
        <v>44685</v>
      </c>
      <c r="B304" vm="581">
        <f ca="1"/>
        <v>38.619999999999997</v>
      </c>
      <c r="C304">
        <f t="shared" ca="1" si="66"/>
        <v>1.4899999999999949</v>
      </c>
      <c r="D304">
        <f t="shared" ca="1" si="67"/>
        <v>1.4899999999999949</v>
      </c>
      <c r="E304">
        <f t="shared" ca="1" si="68"/>
        <v>0</v>
      </c>
      <c r="F304">
        <f t="shared" ca="1" si="70"/>
        <v>0.35217946964862207</v>
      </c>
      <c r="G304">
        <f t="shared" ca="1" si="71"/>
        <v>0.36967196264161412</v>
      </c>
      <c r="H304">
        <f t="shared" ca="1" si="72"/>
        <v>0.95268103951407723</v>
      </c>
      <c r="I304">
        <f t="shared" ca="1" si="73"/>
        <v>48.788359196192687</v>
      </c>
      <c r="J304">
        <f t="shared" ca="1" si="74"/>
        <v>1</v>
      </c>
      <c r="K304">
        <f t="shared" ca="1" si="75"/>
        <v>0</v>
      </c>
      <c r="L304">
        <f t="shared" ca="1" si="69"/>
        <v>0</v>
      </c>
      <c r="M304" t="str">
        <f t="shared" ca="1" si="76"/>
        <v>na</v>
      </c>
      <c r="N304" t="str">
        <f t="shared" ca="1" si="77"/>
        <v>na</v>
      </c>
    </row>
    <row r="305" spans="1:14" x14ac:dyDescent="0.2">
      <c r="A305" vm="582">
        <f ca="1"/>
        <v>44686</v>
      </c>
      <c r="B305" vm="583">
        <f ca="1"/>
        <v>37.54</v>
      </c>
      <c r="C305">
        <f t="shared" ca="1" si="66"/>
        <v>-1.0799999999999983</v>
      </c>
      <c r="D305">
        <f t="shared" ca="1" si="67"/>
        <v>0</v>
      </c>
      <c r="E305">
        <f t="shared" ca="1" si="68"/>
        <v>1.0799999999999983</v>
      </c>
      <c r="F305">
        <f t="shared" ca="1" si="70"/>
        <v>0.32702379324514907</v>
      </c>
      <c r="G305">
        <f t="shared" ca="1" si="71"/>
        <v>0.4204096795957844</v>
      </c>
      <c r="H305">
        <f t="shared" ca="1" si="72"/>
        <v>0.77786932394034314</v>
      </c>
      <c r="I305">
        <f t="shared" ca="1" si="73"/>
        <v>43.752896428649144</v>
      </c>
      <c r="J305">
        <f t="shared" ca="1" si="74"/>
        <v>1</v>
      </c>
      <c r="K305">
        <f t="shared" ca="1" si="75"/>
        <v>0</v>
      </c>
      <c r="L305">
        <f t="shared" ca="1" si="69"/>
        <v>0</v>
      </c>
      <c r="M305" t="str">
        <f t="shared" ca="1" si="76"/>
        <v>na</v>
      </c>
      <c r="N305" t="str">
        <f t="shared" ca="1" si="77"/>
        <v>na</v>
      </c>
    </row>
    <row r="306" spans="1:14" x14ac:dyDescent="0.2">
      <c r="A306" vm="584">
        <f ca="1"/>
        <v>44687</v>
      </c>
      <c r="B306" vm="585">
        <f ca="1"/>
        <v>37.450000000000003</v>
      </c>
      <c r="C306">
        <f t="shared" ca="1" si="66"/>
        <v>-8.9999999999996305E-2</v>
      </c>
      <c r="D306">
        <f t="shared" ca="1" si="67"/>
        <v>0</v>
      </c>
      <c r="E306">
        <f t="shared" ca="1" si="68"/>
        <v>8.9999999999996305E-2</v>
      </c>
      <c r="F306">
        <f t="shared" ca="1" si="70"/>
        <v>0.30366495087049555</v>
      </c>
      <c r="G306">
        <f t="shared" ca="1" si="71"/>
        <v>0.39680898819608529</v>
      </c>
      <c r="H306">
        <f t="shared" ca="1" si="72"/>
        <v>0.76526731980284146</v>
      </c>
      <c r="I306">
        <f t="shared" ca="1" si="73"/>
        <v>43.351355979802108</v>
      </c>
      <c r="J306">
        <f t="shared" ca="1" si="74"/>
        <v>1</v>
      </c>
      <c r="K306">
        <f t="shared" ca="1" si="75"/>
        <v>0</v>
      </c>
      <c r="L306">
        <f t="shared" ca="1" si="69"/>
        <v>0</v>
      </c>
      <c r="M306" t="str">
        <f t="shared" ca="1" si="76"/>
        <v>na</v>
      </c>
      <c r="N306" t="str">
        <f t="shared" ca="1" si="77"/>
        <v>na</v>
      </c>
    </row>
    <row r="307" spans="1:14" x14ac:dyDescent="0.2">
      <c r="A307" vm="586">
        <f ca="1"/>
        <v>44690</v>
      </c>
      <c r="B307" vm="587">
        <f ca="1"/>
        <v>36.369999999999997</v>
      </c>
      <c r="C307">
        <f t="shared" ca="1" si="66"/>
        <v>-1.0800000000000054</v>
      </c>
      <c r="D307">
        <f t="shared" ca="1" si="67"/>
        <v>0</v>
      </c>
      <c r="E307">
        <f t="shared" ca="1" si="68"/>
        <v>1.0800000000000054</v>
      </c>
      <c r="F307">
        <f t="shared" ca="1" si="70"/>
        <v>0.28197459723688872</v>
      </c>
      <c r="G307">
        <f t="shared" ca="1" si="71"/>
        <v>0.44560834618207956</v>
      </c>
      <c r="H307">
        <f t="shared" ca="1" si="72"/>
        <v>0.63278571789064153</v>
      </c>
      <c r="I307">
        <f t="shared" ca="1" si="73"/>
        <v>38.754976293406273</v>
      </c>
      <c r="J307">
        <f t="shared" ca="1" si="74"/>
        <v>1</v>
      </c>
      <c r="K307">
        <f t="shared" ca="1" si="75"/>
        <v>1</v>
      </c>
      <c r="L307">
        <f t="shared" ca="1" si="69"/>
        <v>0</v>
      </c>
      <c r="M307" t="str">
        <f t="shared" ca="1" si="76"/>
        <v>na</v>
      </c>
      <c r="N307" t="str">
        <f t="shared" ca="1" si="77"/>
        <v>na</v>
      </c>
    </row>
    <row r="308" spans="1:14" x14ac:dyDescent="0.2">
      <c r="A308" vm="588">
        <f ca="1"/>
        <v>44691</v>
      </c>
      <c r="B308" vm="589">
        <f ca="1"/>
        <v>35.76</v>
      </c>
      <c r="C308">
        <f t="shared" ca="1" si="66"/>
        <v>-0.60999999999999943</v>
      </c>
      <c r="D308">
        <f t="shared" ca="1" si="67"/>
        <v>0</v>
      </c>
      <c r="E308">
        <f t="shared" ca="1" si="68"/>
        <v>0.60999999999999943</v>
      </c>
      <c r="F308">
        <f t="shared" ca="1" si="70"/>
        <v>0.26183355457711094</v>
      </c>
      <c r="G308">
        <f t="shared" ca="1" si="71"/>
        <v>0.45735060716907389</v>
      </c>
      <c r="H308">
        <f t="shared" ca="1" si="72"/>
        <v>0.57250072586066558</v>
      </c>
      <c r="I308">
        <f t="shared" ca="1" si="73"/>
        <v>36.407024584826367</v>
      </c>
      <c r="J308">
        <f t="shared" ca="1" si="74"/>
        <v>1</v>
      </c>
      <c r="K308">
        <f t="shared" ca="1" si="75"/>
        <v>1</v>
      </c>
      <c r="L308">
        <f t="shared" ca="1" si="69"/>
        <v>0</v>
      </c>
      <c r="M308" t="str">
        <f t="shared" ca="1" si="76"/>
        <v>na</v>
      </c>
      <c r="N308" t="str">
        <f t="shared" ca="1" si="77"/>
        <v>na</v>
      </c>
    </row>
    <row r="309" spans="1:14" x14ac:dyDescent="0.2">
      <c r="A309" vm="590">
        <f ca="1"/>
        <v>44692</v>
      </c>
      <c r="B309" vm="591">
        <f ca="1"/>
        <v>35.57</v>
      </c>
      <c r="C309">
        <f t="shared" ca="1" si="66"/>
        <v>-0.18999999999999773</v>
      </c>
      <c r="D309">
        <f t="shared" ca="1" si="67"/>
        <v>0</v>
      </c>
      <c r="E309">
        <f t="shared" ca="1" si="68"/>
        <v>0.18999999999999773</v>
      </c>
      <c r="F309">
        <f t="shared" ca="1" si="70"/>
        <v>0.24313115782160302</v>
      </c>
      <c r="G309">
        <f t="shared" ca="1" si="71"/>
        <v>0.4382541352284256</v>
      </c>
      <c r="H309">
        <f t="shared" ca="1" si="72"/>
        <v>0.55477207920668881</v>
      </c>
      <c r="I309">
        <f t="shared" ca="1" si="73"/>
        <v>35.681891038959051</v>
      </c>
      <c r="J309">
        <f t="shared" ca="1" si="74"/>
        <v>1</v>
      </c>
      <c r="K309">
        <f t="shared" ca="1" si="75"/>
        <v>1</v>
      </c>
      <c r="L309">
        <f t="shared" ca="1" si="69"/>
        <v>0</v>
      </c>
      <c r="M309" t="str">
        <f t="shared" ca="1" si="76"/>
        <v>na</v>
      </c>
      <c r="N309" t="str">
        <f t="shared" ca="1" si="77"/>
        <v>na</v>
      </c>
    </row>
    <row r="310" spans="1:14" x14ac:dyDescent="0.2">
      <c r="A310" vm="592">
        <f ca="1"/>
        <v>44693</v>
      </c>
      <c r="B310" vm="593">
        <f ca="1"/>
        <v>35.07</v>
      </c>
      <c r="C310">
        <f t="shared" ca="1" si="66"/>
        <v>-0.5</v>
      </c>
      <c r="D310">
        <f t="shared" ca="1" si="67"/>
        <v>0</v>
      </c>
      <c r="E310">
        <f t="shared" ca="1" si="68"/>
        <v>0.5</v>
      </c>
      <c r="F310">
        <f t="shared" ca="1" si="70"/>
        <v>0.22576464654863138</v>
      </c>
      <c r="G310">
        <f t="shared" ca="1" si="71"/>
        <v>0.44266455414068095</v>
      </c>
      <c r="H310">
        <f t="shared" ca="1" si="72"/>
        <v>0.51001293064201902</v>
      </c>
      <c r="I310">
        <f t="shared" ca="1" si="73"/>
        <v>33.775401540778503</v>
      </c>
      <c r="J310">
        <f t="shared" ca="1" si="74"/>
        <v>1</v>
      </c>
      <c r="K310">
        <f t="shared" ca="1" si="75"/>
        <v>1</v>
      </c>
      <c r="L310">
        <f t="shared" ca="1" si="69"/>
        <v>0</v>
      </c>
      <c r="M310" t="str">
        <f t="shared" ca="1" si="76"/>
        <v>na</v>
      </c>
      <c r="N310" t="str">
        <f t="shared" ca="1" si="77"/>
        <v>na</v>
      </c>
    </row>
    <row r="311" spans="1:14" x14ac:dyDescent="0.2">
      <c r="A311" vm="594">
        <f ca="1"/>
        <v>44694</v>
      </c>
      <c r="B311" vm="595">
        <f ca="1"/>
        <v>35.17</v>
      </c>
      <c r="C311">
        <f t="shared" ca="1" si="66"/>
        <v>0.10000000000000142</v>
      </c>
      <c r="D311">
        <f t="shared" ca="1" si="67"/>
        <v>0.10000000000000142</v>
      </c>
      <c r="E311">
        <f t="shared" ca="1" si="68"/>
        <v>0</v>
      </c>
      <c r="F311">
        <f t="shared" ca="1" si="70"/>
        <v>0.21678145750944353</v>
      </c>
      <c r="G311">
        <f t="shared" ca="1" si="71"/>
        <v>0.41104565741634663</v>
      </c>
      <c r="H311">
        <f t="shared" ca="1" si="72"/>
        <v>0.52739021468329583</v>
      </c>
      <c r="I311">
        <f t="shared" ca="1" si="73"/>
        <v>34.528845976183632</v>
      </c>
      <c r="J311">
        <f t="shared" ca="1" si="74"/>
        <v>1</v>
      </c>
      <c r="K311">
        <f t="shared" ca="1" si="75"/>
        <v>1</v>
      </c>
      <c r="L311">
        <f t="shared" ca="1" si="69"/>
        <v>0</v>
      </c>
      <c r="M311" t="str">
        <f t="shared" ca="1" si="76"/>
        <v>na</v>
      </c>
      <c r="N311" t="str">
        <f t="shared" ca="1" si="77"/>
        <v>na</v>
      </c>
    </row>
    <row r="312" spans="1:14" x14ac:dyDescent="0.2">
      <c r="A312" vm="596">
        <f ca="1"/>
        <v>44697</v>
      </c>
      <c r="B312" vm="597">
        <f ca="1"/>
        <v>34.81</v>
      </c>
      <c r="C312">
        <f t="shared" ca="1" si="66"/>
        <v>-0.35999999999999943</v>
      </c>
      <c r="D312">
        <f t="shared" ca="1" si="67"/>
        <v>0</v>
      </c>
      <c r="E312">
        <f t="shared" ca="1" si="68"/>
        <v>0.35999999999999943</v>
      </c>
      <c r="F312">
        <f t="shared" ca="1" si="70"/>
        <v>0.20129706768734043</v>
      </c>
      <c r="G312">
        <f t="shared" ca="1" si="71"/>
        <v>0.40739953902946474</v>
      </c>
      <c r="H312">
        <f t="shared" ca="1" si="72"/>
        <v>0.49410234524782276</v>
      </c>
      <c r="I312">
        <f t="shared" ca="1" si="73"/>
        <v>33.070180688717642</v>
      </c>
      <c r="J312">
        <f t="shared" ca="1" si="74"/>
        <v>1</v>
      </c>
      <c r="K312">
        <f t="shared" ca="1" si="75"/>
        <v>1</v>
      </c>
      <c r="L312">
        <f t="shared" ca="1" si="69"/>
        <v>0</v>
      </c>
      <c r="M312" t="str">
        <f t="shared" ca="1" si="76"/>
        <v>na</v>
      </c>
      <c r="N312" t="str">
        <f t="shared" ca="1" si="77"/>
        <v>na</v>
      </c>
    </row>
    <row r="313" spans="1:14" x14ac:dyDescent="0.2">
      <c r="A313" vm="598">
        <f ca="1"/>
        <v>44698</v>
      </c>
      <c r="B313" vm="599">
        <f ca="1"/>
        <v>35.99</v>
      </c>
      <c r="C313">
        <f t="shared" ca="1" si="66"/>
        <v>1.1799999999999997</v>
      </c>
      <c r="D313">
        <f t="shared" ca="1" si="67"/>
        <v>1.1799999999999997</v>
      </c>
      <c r="E313">
        <f t="shared" ca="1" si="68"/>
        <v>0</v>
      </c>
      <c r="F313">
        <f t="shared" ca="1" si="70"/>
        <v>0.27120441999538752</v>
      </c>
      <c r="G313">
        <f t="shared" ca="1" si="71"/>
        <v>0.37829957195593156</v>
      </c>
      <c r="H313">
        <f t="shared" ca="1" si="72"/>
        <v>0.71690385107541266</v>
      </c>
      <c r="I313">
        <f t="shared" ca="1" si="73"/>
        <v>41.755620189585308</v>
      </c>
      <c r="J313">
        <f t="shared" ca="1" si="74"/>
        <v>1</v>
      </c>
      <c r="K313">
        <f t="shared" ca="1" si="75"/>
        <v>0</v>
      </c>
      <c r="L313">
        <f t="shared" ca="1" si="69"/>
        <v>0</v>
      </c>
      <c r="M313" t="str">
        <f t="shared" ca="1" si="76"/>
        <v>na</v>
      </c>
      <c r="N313" t="str">
        <f t="shared" ca="1" si="77"/>
        <v>na</v>
      </c>
    </row>
    <row r="314" spans="1:14" x14ac:dyDescent="0.2">
      <c r="A314" vm="600">
        <f ca="1"/>
        <v>44699</v>
      </c>
      <c r="B314" vm="601">
        <f ca="1"/>
        <v>34.880000000000003</v>
      </c>
      <c r="C314">
        <f t="shared" ca="1" si="66"/>
        <v>-1.1099999999999994</v>
      </c>
      <c r="D314">
        <f t="shared" ca="1" si="67"/>
        <v>0</v>
      </c>
      <c r="E314">
        <f t="shared" ca="1" si="68"/>
        <v>1.1099999999999994</v>
      </c>
      <c r="F314">
        <f t="shared" ca="1" si="70"/>
        <v>0.25183267571000273</v>
      </c>
      <c r="G314">
        <f t="shared" ca="1" si="71"/>
        <v>0.43056388824479352</v>
      </c>
      <c r="H314">
        <f t="shared" ca="1" si="72"/>
        <v>0.58489037883926154</v>
      </c>
      <c r="I314">
        <f t="shared" ca="1" si="73"/>
        <v>36.904153539478372</v>
      </c>
      <c r="J314">
        <f t="shared" ca="1" si="74"/>
        <v>1</v>
      </c>
      <c r="K314">
        <f t="shared" ca="1" si="75"/>
        <v>1</v>
      </c>
      <c r="L314">
        <f t="shared" ca="1" si="69"/>
        <v>0</v>
      </c>
      <c r="M314" t="str">
        <f t="shared" ca="1" si="76"/>
        <v>na</v>
      </c>
      <c r="N314" t="str">
        <f t="shared" ca="1" si="77"/>
        <v>na</v>
      </c>
    </row>
    <row r="315" spans="1:14" x14ac:dyDescent="0.2">
      <c r="A315" vm="602">
        <f ca="1"/>
        <v>44700</v>
      </c>
      <c r="B315" vm="603">
        <f ca="1"/>
        <v>34.450000000000003</v>
      </c>
      <c r="C315">
        <f t="shared" ca="1" si="66"/>
        <v>-0.42999999999999972</v>
      </c>
      <c r="D315">
        <f t="shared" ca="1" si="67"/>
        <v>0</v>
      </c>
      <c r="E315">
        <f t="shared" ca="1" si="68"/>
        <v>0.42999999999999972</v>
      </c>
      <c r="F315">
        <f t="shared" ca="1" si="70"/>
        <v>0.23384462744500253</v>
      </c>
      <c r="G315">
        <f t="shared" ca="1" si="71"/>
        <v>0.43052361051302251</v>
      </c>
      <c r="H315">
        <f t="shared" ca="1" si="72"/>
        <v>0.54316330564622817</v>
      </c>
      <c r="I315">
        <f t="shared" ca="1" si="73"/>
        <v>35.198044410391716</v>
      </c>
      <c r="J315">
        <f t="shared" ca="1" si="74"/>
        <v>1</v>
      </c>
      <c r="K315">
        <f t="shared" ca="1" si="75"/>
        <v>1</v>
      </c>
      <c r="L315">
        <f t="shared" ca="1" si="69"/>
        <v>0</v>
      </c>
      <c r="M315" t="str">
        <f t="shared" ca="1" si="76"/>
        <v>na</v>
      </c>
      <c r="N315" t="str">
        <f t="shared" ca="1" si="77"/>
        <v>na</v>
      </c>
    </row>
    <row r="316" spans="1:14" x14ac:dyDescent="0.2">
      <c r="A316" vm="604">
        <f ca="1"/>
        <v>44701</v>
      </c>
      <c r="B316" vm="605">
        <f ca="1"/>
        <v>33.86</v>
      </c>
      <c r="C316">
        <f t="shared" ca="1" si="66"/>
        <v>-0.59000000000000341</v>
      </c>
      <c r="D316">
        <f t="shared" ca="1" si="67"/>
        <v>0</v>
      </c>
      <c r="E316">
        <f t="shared" ca="1" si="68"/>
        <v>0.59000000000000341</v>
      </c>
      <c r="F316">
        <f t="shared" ca="1" si="70"/>
        <v>0.21714143977035949</v>
      </c>
      <c r="G316">
        <f t="shared" ca="1" si="71"/>
        <v>0.44191478119066396</v>
      </c>
      <c r="H316">
        <f t="shared" ca="1" si="72"/>
        <v>0.49136496223391518</v>
      </c>
      <c r="I316">
        <f t="shared" ca="1" si="73"/>
        <v>32.94733178509837</v>
      </c>
      <c r="J316">
        <f t="shared" ca="1" si="74"/>
        <v>1</v>
      </c>
      <c r="K316">
        <f t="shared" ca="1" si="75"/>
        <v>1</v>
      </c>
      <c r="L316">
        <f t="shared" ca="1" si="69"/>
        <v>0</v>
      </c>
      <c r="M316" t="str">
        <f t="shared" ca="1" si="76"/>
        <v>na</v>
      </c>
      <c r="N316" t="str">
        <f t="shared" ca="1" si="77"/>
        <v>na</v>
      </c>
    </row>
    <row r="317" spans="1:14" x14ac:dyDescent="0.2">
      <c r="A317" vm="606">
        <f ca="1"/>
        <v>44704</v>
      </c>
      <c r="B317" vm="607">
        <f ca="1"/>
        <v>35.869999999999997</v>
      </c>
      <c r="C317">
        <f t="shared" ca="1" si="66"/>
        <v>2.009999999999998</v>
      </c>
      <c r="D317">
        <f t="shared" ca="1" si="67"/>
        <v>2.009999999999998</v>
      </c>
      <c r="E317">
        <f t="shared" ca="1" si="68"/>
        <v>0</v>
      </c>
      <c r="F317">
        <f t="shared" ca="1" si="70"/>
        <v>0.34520276550104795</v>
      </c>
      <c r="G317">
        <f t="shared" ca="1" si="71"/>
        <v>0.41034943967704512</v>
      </c>
      <c r="H317">
        <f t="shared" ca="1" si="72"/>
        <v>0.84124098176600615</v>
      </c>
      <c r="I317">
        <f t="shared" ca="1" si="73"/>
        <v>45.688803915234338</v>
      </c>
      <c r="J317">
        <f t="shared" ca="1" si="74"/>
        <v>1</v>
      </c>
      <c r="K317">
        <f t="shared" ca="1" si="75"/>
        <v>0</v>
      </c>
      <c r="L317">
        <f t="shared" ca="1" si="69"/>
        <v>0</v>
      </c>
      <c r="M317" t="str">
        <f t="shared" ca="1" si="76"/>
        <v>na</v>
      </c>
      <c r="N317" t="str">
        <f t="shared" ca="1" si="77"/>
        <v>na</v>
      </c>
    </row>
    <row r="318" spans="1:14" x14ac:dyDescent="0.2">
      <c r="A318" vm="608">
        <f ca="1"/>
        <v>44705</v>
      </c>
      <c r="B318" vm="609">
        <f ca="1"/>
        <v>35.65</v>
      </c>
      <c r="C318">
        <f t="shared" ca="1" si="66"/>
        <v>-0.21999999999999886</v>
      </c>
      <c r="D318">
        <f t="shared" ca="1" si="67"/>
        <v>0</v>
      </c>
      <c r="E318">
        <f t="shared" ca="1" si="68"/>
        <v>0.21999999999999886</v>
      </c>
      <c r="F318">
        <f t="shared" ca="1" si="70"/>
        <v>0.32054542510811596</v>
      </c>
      <c r="G318">
        <f t="shared" ca="1" si="71"/>
        <v>0.3967530511286847</v>
      </c>
      <c r="H318">
        <f t="shared" ca="1" si="72"/>
        <v>0.80792176442305108</v>
      </c>
      <c r="I318">
        <f t="shared" ca="1" si="73"/>
        <v>44.687872026413558</v>
      </c>
      <c r="J318">
        <f t="shared" ca="1" si="74"/>
        <v>1</v>
      </c>
      <c r="K318">
        <f t="shared" ca="1" si="75"/>
        <v>0</v>
      </c>
      <c r="L318">
        <f t="shared" ca="1" si="69"/>
        <v>0</v>
      </c>
      <c r="M318" t="str">
        <f t="shared" ca="1" si="76"/>
        <v>na</v>
      </c>
      <c r="N318" t="str">
        <f t="shared" ca="1" si="77"/>
        <v>na</v>
      </c>
    </row>
    <row r="319" spans="1:14" x14ac:dyDescent="0.2">
      <c r="A319" vm="610">
        <f ca="1"/>
        <v>44706</v>
      </c>
      <c r="B319" vm="611">
        <f ca="1"/>
        <v>35.840000000000003</v>
      </c>
      <c r="C319">
        <f t="shared" ca="1" si="66"/>
        <v>0.19000000000000483</v>
      </c>
      <c r="D319">
        <f t="shared" ca="1" si="67"/>
        <v>0.19000000000000483</v>
      </c>
      <c r="E319">
        <f t="shared" ca="1" si="68"/>
        <v>0</v>
      </c>
      <c r="F319">
        <f t="shared" ca="1" si="70"/>
        <v>0.31122075188610804</v>
      </c>
      <c r="G319">
        <f t="shared" ca="1" si="71"/>
        <v>0.36841354747663579</v>
      </c>
      <c r="H319">
        <f t="shared" ca="1" si="72"/>
        <v>0.84475924953830628</v>
      </c>
      <c r="I319">
        <f t="shared" ca="1" si="73"/>
        <v>45.792384548267037</v>
      </c>
      <c r="J319">
        <f t="shared" ca="1" si="74"/>
        <v>1</v>
      </c>
      <c r="K319">
        <f t="shared" ca="1" si="75"/>
        <v>0</v>
      </c>
      <c r="L319">
        <f t="shared" ca="1" si="69"/>
        <v>0</v>
      </c>
      <c r="M319" t="str">
        <f t="shared" ca="1" si="76"/>
        <v>na</v>
      </c>
      <c r="N319" t="str">
        <f t="shared" ca="1" si="77"/>
        <v>na</v>
      </c>
    </row>
    <row r="320" spans="1:14" x14ac:dyDescent="0.2">
      <c r="A320" vm="612">
        <f ca="1"/>
        <v>44707</v>
      </c>
      <c r="B320" vm="613">
        <f ca="1"/>
        <v>36.67</v>
      </c>
      <c r="C320">
        <f t="shared" ca="1" si="66"/>
        <v>0.82999999999999829</v>
      </c>
      <c r="D320">
        <f t="shared" ca="1" si="67"/>
        <v>0.82999999999999829</v>
      </c>
      <c r="E320">
        <f t="shared" ca="1" si="68"/>
        <v>0</v>
      </c>
      <c r="F320">
        <f t="shared" ca="1" si="70"/>
        <v>0.34827641246567165</v>
      </c>
      <c r="G320">
        <f t="shared" ca="1" si="71"/>
        <v>0.34209829408544751</v>
      </c>
      <c r="H320">
        <f t="shared" ca="1" si="72"/>
        <v>1.0180594831574372</v>
      </c>
      <c r="I320">
        <f t="shared" ca="1" si="73"/>
        <v>50.447446750409497</v>
      </c>
      <c r="J320">
        <f t="shared" ca="1" si="74"/>
        <v>1</v>
      </c>
      <c r="K320">
        <f t="shared" ca="1" si="75"/>
        <v>0</v>
      </c>
      <c r="L320">
        <f t="shared" ca="1" si="69"/>
        <v>0</v>
      </c>
      <c r="M320" t="str">
        <f t="shared" ca="1" si="76"/>
        <v>na</v>
      </c>
      <c r="N320" t="str">
        <f t="shared" ca="1" si="77"/>
        <v>na</v>
      </c>
    </row>
    <row r="321" spans="1:14" x14ac:dyDescent="0.2">
      <c r="A321" vm="614">
        <f ca="1"/>
        <v>44708</v>
      </c>
      <c r="B321" vm="615">
        <f ca="1"/>
        <v>37.020000000000003</v>
      </c>
      <c r="C321">
        <f t="shared" ca="1" si="66"/>
        <v>0.35000000000000142</v>
      </c>
      <c r="D321">
        <f t="shared" ca="1" si="67"/>
        <v>0.35000000000000142</v>
      </c>
      <c r="E321">
        <f t="shared" ca="1" si="68"/>
        <v>0</v>
      </c>
      <c r="F321">
        <f t="shared" ca="1" si="70"/>
        <v>0.34839952586098094</v>
      </c>
      <c r="G321">
        <f t="shared" ca="1" si="71"/>
        <v>0.31766270165077265</v>
      </c>
      <c r="H321">
        <f t="shared" ca="1" si="72"/>
        <v>1.0967593112143184</v>
      </c>
      <c r="I321">
        <f t="shared" ca="1" si="73"/>
        <v>52.307353798235454</v>
      </c>
      <c r="J321">
        <f t="shared" ca="1" si="74"/>
        <v>1</v>
      </c>
      <c r="K321">
        <f t="shared" ca="1" si="75"/>
        <v>0</v>
      </c>
      <c r="L321">
        <f t="shared" ca="1" si="69"/>
        <v>0</v>
      </c>
      <c r="M321" t="str">
        <f t="shared" ca="1" si="76"/>
        <v>na</v>
      </c>
      <c r="N321" t="str">
        <f t="shared" ca="1" si="77"/>
        <v>na</v>
      </c>
    </row>
    <row r="322" spans="1:14" x14ac:dyDescent="0.2">
      <c r="A322" vm="616">
        <f ca="1"/>
        <v>44712</v>
      </c>
      <c r="B322" vm="617">
        <f ca="1"/>
        <v>37.200000000000003</v>
      </c>
      <c r="C322">
        <f t="shared" ca="1" si="66"/>
        <v>0.17999999999999972</v>
      </c>
      <c r="D322">
        <f t="shared" ca="1" si="67"/>
        <v>0.17999999999999972</v>
      </c>
      <c r="E322">
        <f t="shared" ca="1" si="68"/>
        <v>0</v>
      </c>
      <c r="F322">
        <f t="shared" ca="1" si="70"/>
        <v>0.33637098829948231</v>
      </c>
      <c r="G322">
        <f t="shared" ca="1" si="71"/>
        <v>0.29497250867571745</v>
      </c>
      <c r="H322">
        <f t="shared" ca="1" si="72"/>
        <v>1.1403469082919755</v>
      </c>
      <c r="I322">
        <f t="shared" ca="1" si="73"/>
        <v>53.278601888045664</v>
      </c>
      <c r="J322">
        <f t="shared" ca="1" si="74"/>
        <v>1</v>
      </c>
      <c r="K322">
        <f t="shared" ca="1" si="75"/>
        <v>0</v>
      </c>
      <c r="L322">
        <f t="shared" ca="1" si="69"/>
        <v>0</v>
      </c>
      <c r="M322" t="str">
        <f t="shared" ca="1" si="76"/>
        <v>na</v>
      </c>
      <c r="N322" t="str">
        <f t="shared" ca="1" si="77"/>
        <v>na</v>
      </c>
    </row>
    <row r="323" spans="1:14" x14ac:dyDescent="0.2">
      <c r="A323" vm="618">
        <f ca="1"/>
        <v>44713</v>
      </c>
      <c r="B323" vm="613">
        <f ca="1"/>
        <v>36.67</v>
      </c>
      <c r="C323">
        <f t="shared" ca="1" si="66"/>
        <v>-0.53000000000000114</v>
      </c>
      <c r="D323">
        <f t="shared" ca="1" si="67"/>
        <v>0</v>
      </c>
      <c r="E323">
        <f t="shared" ca="1" si="68"/>
        <v>0.53000000000000114</v>
      </c>
      <c r="F323">
        <f t="shared" ca="1" si="70"/>
        <v>0.31234448913523355</v>
      </c>
      <c r="G323">
        <f t="shared" ca="1" si="71"/>
        <v>0.31176018662745203</v>
      </c>
      <c r="H323">
        <f t="shared" ca="1" si="72"/>
        <v>1.0018742050231055</v>
      </c>
      <c r="I323">
        <f t="shared" ca="1" si="73"/>
        <v>50.04681125862961</v>
      </c>
      <c r="J323">
        <f t="shared" ca="1" si="74"/>
        <v>1</v>
      </c>
      <c r="K323">
        <f t="shared" ca="1" si="75"/>
        <v>0</v>
      </c>
      <c r="L323">
        <f t="shared" ca="1" si="69"/>
        <v>0</v>
      </c>
      <c r="M323" t="str">
        <f t="shared" ca="1" si="76"/>
        <v>na</v>
      </c>
      <c r="N323" t="str">
        <f t="shared" ca="1" si="77"/>
        <v>na</v>
      </c>
    </row>
    <row r="324" spans="1:14" x14ac:dyDescent="0.2">
      <c r="A324" vm="619">
        <f ca="1"/>
        <v>44714</v>
      </c>
      <c r="B324" vm="620">
        <f ca="1"/>
        <v>36.700000000000003</v>
      </c>
      <c r="C324">
        <f t="shared" ca="1" si="66"/>
        <v>3.0000000000001137E-2</v>
      </c>
      <c r="D324">
        <f t="shared" ca="1" si="67"/>
        <v>3.0000000000001137E-2</v>
      </c>
      <c r="E324">
        <f t="shared" ca="1" si="68"/>
        <v>0</v>
      </c>
      <c r="F324">
        <f t="shared" ca="1" si="70"/>
        <v>0.29217702562557413</v>
      </c>
      <c r="G324">
        <f t="shared" ca="1" si="71"/>
        <v>0.28949160186834832</v>
      </c>
      <c r="H324">
        <f t="shared" ca="1" si="72"/>
        <v>1.0092763442528017</v>
      </c>
      <c r="I324">
        <f t="shared" ca="1" si="73"/>
        <v>50.230837940219999</v>
      </c>
      <c r="J324">
        <f t="shared" ca="1" si="74"/>
        <v>1</v>
      </c>
      <c r="K324">
        <f t="shared" ca="1" si="75"/>
        <v>0</v>
      </c>
      <c r="L324">
        <f t="shared" ca="1" si="69"/>
        <v>0</v>
      </c>
      <c r="M324" t="str">
        <f t="shared" ca="1" si="76"/>
        <v>na</v>
      </c>
      <c r="N324" t="str">
        <f t="shared" ca="1" si="77"/>
        <v>na</v>
      </c>
    </row>
    <row r="325" spans="1:14" x14ac:dyDescent="0.2">
      <c r="A325" vm="621">
        <f ca="1"/>
        <v>44715</v>
      </c>
      <c r="B325" vm="622">
        <f ca="1"/>
        <v>36.19</v>
      </c>
      <c r="C325">
        <f t="shared" ca="1" si="66"/>
        <v>-0.51000000000000512</v>
      </c>
      <c r="D325">
        <f t="shared" ca="1" si="67"/>
        <v>0</v>
      </c>
      <c r="E325">
        <f t="shared" ca="1" si="68"/>
        <v>0.51000000000000512</v>
      </c>
      <c r="F325">
        <f t="shared" ca="1" si="70"/>
        <v>0.27130723808089025</v>
      </c>
      <c r="G325">
        <f t="shared" ca="1" si="71"/>
        <v>0.30524220173489525</v>
      </c>
      <c r="H325">
        <f t="shared" ca="1" si="72"/>
        <v>0.88882610772321147</v>
      </c>
      <c r="I325">
        <f t="shared" ca="1" si="73"/>
        <v>47.057063860399587</v>
      </c>
      <c r="J325">
        <f t="shared" ca="1" si="74"/>
        <v>1</v>
      </c>
      <c r="K325">
        <f t="shared" ca="1" si="75"/>
        <v>0</v>
      </c>
      <c r="L325">
        <f t="shared" ca="1" si="69"/>
        <v>0</v>
      </c>
      <c r="M325" t="str">
        <f t="shared" ca="1" si="76"/>
        <v>na</v>
      </c>
      <c r="N325" t="str">
        <f t="shared" ca="1" si="77"/>
        <v>na</v>
      </c>
    </row>
    <row r="326" spans="1:14" x14ac:dyDescent="0.2">
      <c r="A326" vm="623">
        <f ca="1"/>
        <v>44718</v>
      </c>
      <c r="B326" vm="624">
        <f ca="1"/>
        <v>36.15</v>
      </c>
      <c r="C326">
        <f t="shared" ca="1" si="66"/>
        <v>-3.9999999999999147E-2</v>
      </c>
      <c r="D326">
        <f t="shared" ca="1" si="67"/>
        <v>0</v>
      </c>
      <c r="E326">
        <f t="shared" ca="1" si="68"/>
        <v>3.9999999999999147E-2</v>
      </c>
      <c r="F326">
        <f t="shared" ca="1" si="70"/>
        <v>0.25192814964654092</v>
      </c>
      <c r="G326">
        <f t="shared" ca="1" si="71"/>
        <v>0.28629633018240269</v>
      </c>
      <c r="H326">
        <f t="shared" ca="1" si="72"/>
        <v>0.87995591660582795</v>
      </c>
      <c r="I326">
        <f t="shared" ca="1" si="73"/>
        <v>46.80726334235257</v>
      </c>
      <c r="J326">
        <f t="shared" ca="1" si="74"/>
        <v>1</v>
      </c>
      <c r="K326">
        <f t="shared" ca="1" si="75"/>
        <v>0</v>
      </c>
      <c r="L326">
        <f t="shared" ca="1" si="69"/>
        <v>0</v>
      </c>
      <c r="M326" t="str">
        <f t="shared" ca="1" si="76"/>
        <v>na</v>
      </c>
      <c r="N326" t="str">
        <f t="shared" ca="1" si="77"/>
        <v>na</v>
      </c>
    </row>
    <row r="327" spans="1:14" x14ac:dyDescent="0.2">
      <c r="A327" vm="625">
        <f ca="1"/>
        <v>44719</v>
      </c>
      <c r="B327" vm="626">
        <f ca="1"/>
        <v>36.35</v>
      </c>
      <c r="C327">
        <f t="shared" ca="1" si="66"/>
        <v>0.20000000000000284</v>
      </c>
      <c r="D327">
        <f t="shared" ca="1" si="67"/>
        <v>0.20000000000000284</v>
      </c>
      <c r="E327">
        <f t="shared" ca="1" si="68"/>
        <v>0</v>
      </c>
      <c r="F327">
        <f t="shared" ca="1" si="70"/>
        <v>0.24821899610035963</v>
      </c>
      <c r="G327">
        <f t="shared" ca="1" si="71"/>
        <v>0.26584659231223107</v>
      </c>
      <c r="H327">
        <f t="shared" ca="1" si="72"/>
        <v>0.93369260046347258</v>
      </c>
      <c r="I327">
        <f t="shared" ca="1" si="73"/>
        <v>48.285472067260464</v>
      </c>
      <c r="J327">
        <f t="shared" ca="1" si="74"/>
        <v>1</v>
      </c>
      <c r="K327">
        <f t="shared" ca="1" si="75"/>
        <v>0</v>
      </c>
      <c r="L327">
        <f t="shared" ca="1" si="69"/>
        <v>0</v>
      </c>
      <c r="M327" t="str">
        <f t="shared" ca="1" si="76"/>
        <v>na</v>
      </c>
      <c r="N327" t="str">
        <f t="shared" ca="1" si="77"/>
        <v>na</v>
      </c>
    </row>
    <row r="328" spans="1:14" x14ac:dyDescent="0.2">
      <c r="A328" vm="627">
        <f ca="1"/>
        <v>44720</v>
      </c>
      <c r="B328" vm="628">
        <f ca="1"/>
        <v>35.89</v>
      </c>
      <c r="C328">
        <f t="shared" ca="1" si="66"/>
        <v>-0.46000000000000085</v>
      </c>
      <c r="D328">
        <f t="shared" ca="1" si="67"/>
        <v>0</v>
      </c>
      <c r="E328">
        <f t="shared" ca="1" si="68"/>
        <v>0.46000000000000085</v>
      </c>
      <c r="F328">
        <f t="shared" ca="1" si="70"/>
        <v>0.23048906780747683</v>
      </c>
      <c r="G328">
        <f t="shared" ca="1" si="71"/>
        <v>0.27971469286135747</v>
      </c>
      <c r="H328">
        <f t="shared" ca="1" si="72"/>
        <v>0.82401487547785102</v>
      </c>
      <c r="I328">
        <f t="shared" ca="1" si="73"/>
        <v>45.175885709922056</v>
      </c>
      <c r="J328">
        <f t="shared" ca="1" si="74"/>
        <v>1</v>
      </c>
      <c r="K328">
        <f t="shared" ca="1" si="75"/>
        <v>0</v>
      </c>
      <c r="L328">
        <f t="shared" ca="1" si="69"/>
        <v>0</v>
      </c>
      <c r="M328" t="str">
        <f t="shared" ca="1" si="76"/>
        <v>na</v>
      </c>
      <c r="N328" t="str">
        <f t="shared" ca="1" si="77"/>
        <v>na</v>
      </c>
    </row>
    <row r="329" spans="1:14" x14ac:dyDescent="0.2">
      <c r="A329" vm="629">
        <f ca="1"/>
        <v>44721</v>
      </c>
      <c r="B329" vm="630">
        <f ca="1"/>
        <v>34.51</v>
      </c>
      <c r="C329">
        <f t="shared" ref="C329:C392" ca="1" si="78">B329-B328</f>
        <v>-1.3800000000000026</v>
      </c>
      <c r="D329">
        <f t="shared" ref="D329:D392" ca="1" si="79">IF(C329&gt;0,C329,0)</f>
        <v>0</v>
      </c>
      <c r="E329">
        <f t="shared" ref="E329:E392" ca="1" si="80">IF(C329&lt;0,ABS(C329),0)</f>
        <v>1.3800000000000026</v>
      </c>
      <c r="F329">
        <f t="shared" ca="1" si="70"/>
        <v>0.21402556296408565</v>
      </c>
      <c r="G329">
        <f t="shared" ca="1" si="71"/>
        <v>0.35830650051411783</v>
      </c>
      <c r="H329">
        <f t="shared" ca="1" si="72"/>
        <v>0.59732536991930096</v>
      </c>
      <c r="I329">
        <f t="shared" ca="1" si="73"/>
        <v>37.39534732046976</v>
      </c>
      <c r="J329">
        <f t="shared" ca="1" si="74"/>
        <v>1</v>
      </c>
      <c r="K329">
        <f t="shared" ca="1" si="75"/>
        <v>1</v>
      </c>
      <c r="L329">
        <f t="shared" ca="1" si="69"/>
        <v>0</v>
      </c>
      <c r="M329" t="str">
        <f t="shared" ca="1" si="76"/>
        <v>na</v>
      </c>
      <c r="N329" t="str">
        <f t="shared" ca="1" si="77"/>
        <v>na</v>
      </c>
    </row>
    <row r="330" spans="1:14" x14ac:dyDescent="0.2">
      <c r="A330" vm="631">
        <f ca="1"/>
        <v>44722</v>
      </c>
      <c r="B330" vm="632">
        <f ca="1"/>
        <v>33.17</v>
      </c>
      <c r="C330">
        <f t="shared" ca="1" si="78"/>
        <v>-1.3399999999999963</v>
      </c>
      <c r="D330">
        <f t="shared" ca="1" si="79"/>
        <v>0</v>
      </c>
      <c r="E330">
        <f t="shared" ca="1" si="80"/>
        <v>1.3399999999999963</v>
      </c>
      <c r="F330">
        <f t="shared" ca="1" si="70"/>
        <v>0.19873802275236524</v>
      </c>
      <c r="G330">
        <f t="shared" ca="1" si="71"/>
        <v>0.42842746476310911</v>
      </c>
      <c r="H330">
        <f t="shared" ca="1" si="72"/>
        <v>0.4638778768822715</v>
      </c>
      <c r="I330">
        <f t="shared" ca="1" si="73"/>
        <v>31.688290683798456</v>
      </c>
      <c r="J330">
        <f t="shared" ca="1" si="74"/>
        <v>1</v>
      </c>
      <c r="K330">
        <f t="shared" ca="1" si="75"/>
        <v>1</v>
      </c>
      <c r="L330">
        <f t="shared" ca="1" si="69"/>
        <v>0</v>
      </c>
      <c r="M330" t="str">
        <f t="shared" ca="1" si="76"/>
        <v>na</v>
      </c>
      <c r="N330" t="str">
        <f t="shared" ca="1" si="77"/>
        <v>na</v>
      </c>
    </row>
    <row r="331" spans="1:14" x14ac:dyDescent="0.2">
      <c r="A331" vm="633">
        <f ca="1"/>
        <v>44725</v>
      </c>
      <c r="B331" vm="634">
        <f ca="1"/>
        <v>32.020000000000003</v>
      </c>
      <c r="C331">
        <f t="shared" ca="1" si="78"/>
        <v>-1.1499999999999986</v>
      </c>
      <c r="D331">
        <f t="shared" ca="1" si="79"/>
        <v>0</v>
      </c>
      <c r="E331">
        <f t="shared" ca="1" si="80"/>
        <v>1.1499999999999986</v>
      </c>
      <c r="F331">
        <f t="shared" ca="1" si="70"/>
        <v>0.18454244969862485</v>
      </c>
      <c r="G331">
        <f t="shared" ca="1" si="71"/>
        <v>0.47996836013717264</v>
      </c>
      <c r="H331">
        <f t="shared" ca="1" si="72"/>
        <v>0.38448878098107031</v>
      </c>
      <c r="I331">
        <f t="shared" ca="1" si="73"/>
        <v>27.771173465820027</v>
      </c>
      <c r="J331">
        <f t="shared" ca="1" si="74"/>
        <v>1</v>
      </c>
      <c r="K331">
        <f t="shared" ca="1" si="75"/>
        <v>1</v>
      </c>
      <c r="L331">
        <f t="shared" ca="1" si="69"/>
        <v>0</v>
      </c>
      <c r="M331" t="str">
        <f t="shared" ca="1" si="76"/>
        <v>na</v>
      </c>
      <c r="N331" t="str">
        <f t="shared" ca="1" si="77"/>
        <v>na</v>
      </c>
    </row>
    <row r="332" spans="1:14" x14ac:dyDescent="0.2">
      <c r="A332" vm="635">
        <f ca="1"/>
        <v>44726</v>
      </c>
      <c r="B332" vm="636">
        <f ca="1"/>
        <v>31.46</v>
      </c>
      <c r="C332">
        <f t="shared" ca="1" si="78"/>
        <v>-0.56000000000000227</v>
      </c>
      <c r="D332">
        <f t="shared" ca="1" si="79"/>
        <v>0</v>
      </c>
      <c r="E332">
        <f t="shared" ca="1" si="80"/>
        <v>0.56000000000000227</v>
      </c>
      <c r="F332">
        <f t="shared" ca="1" si="70"/>
        <v>0.17136084614872307</v>
      </c>
      <c r="G332">
        <f t="shared" ca="1" si="71"/>
        <v>0.48568490584166046</v>
      </c>
      <c r="H332">
        <f t="shared" ca="1" si="72"/>
        <v>0.35282308362407483</v>
      </c>
      <c r="I332">
        <f t="shared" ca="1" si="73"/>
        <v>26.080504383388984</v>
      </c>
      <c r="J332">
        <f t="shared" ca="1" si="74"/>
        <v>1</v>
      </c>
      <c r="K332">
        <f t="shared" ca="1" si="75"/>
        <v>1</v>
      </c>
      <c r="L332">
        <f t="shared" ca="1" si="69"/>
        <v>0</v>
      </c>
      <c r="M332" t="str">
        <f t="shared" ca="1" si="76"/>
        <v>na</v>
      </c>
      <c r="N332" t="str">
        <f t="shared" ca="1" si="77"/>
        <v>na</v>
      </c>
    </row>
    <row r="333" spans="1:14" x14ac:dyDescent="0.2">
      <c r="A333" vm="637">
        <f ca="1"/>
        <v>44727</v>
      </c>
      <c r="B333" vm="638">
        <f ca="1"/>
        <v>32.049999999999997</v>
      </c>
      <c r="C333">
        <f t="shared" ca="1" si="78"/>
        <v>0.58999999999999631</v>
      </c>
      <c r="D333">
        <f t="shared" ca="1" si="79"/>
        <v>0.58999999999999631</v>
      </c>
      <c r="E333">
        <f t="shared" ca="1" si="80"/>
        <v>0</v>
      </c>
      <c r="F333">
        <f t="shared" ca="1" si="70"/>
        <v>0.20126364285238546</v>
      </c>
      <c r="G333">
        <f t="shared" ca="1" si="71"/>
        <v>0.45099312685297044</v>
      </c>
      <c r="H333">
        <f t="shared" ca="1" si="72"/>
        <v>0.44626764992363177</v>
      </c>
      <c r="I333">
        <f t="shared" ca="1" si="73"/>
        <v>30.856505014628269</v>
      </c>
      <c r="J333">
        <f t="shared" ca="1" si="74"/>
        <v>1</v>
      </c>
      <c r="K333">
        <f t="shared" ca="1" si="75"/>
        <v>1</v>
      </c>
      <c r="L333">
        <f t="shared" ca="1" si="69"/>
        <v>0</v>
      </c>
      <c r="M333" t="str">
        <f t="shared" ca="1" si="76"/>
        <v>na</v>
      </c>
      <c r="N333" t="str">
        <f t="shared" ca="1" si="77"/>
        <v>na</v>
      </c>
    </row>
    <row r="334" spans="1:14" x14ac:dyDescent="0.2">
      <c r="A334" vm="639">
        <f ca="1"/>
        <v>44728</v>
      </c>
      <c r="B334" vm="640">
        <f ca="1"/>
        <v>31.85</v>
      </c>
      <c r="C334">
        <f t="shared" ca="1" si="78"/>
        <v>-0.19999999999999574</v>
      </c>
      <c r="D334">
        <f t="shared" ca="1" si="79"/>
        <v>0</v>
      </c>
      <c r="E334">
        <f t="shared" ca="1" si="80"/>
        <v>0.19999999999999574</v>
      </c>
      <c r="F334">
        <f t="shared" ca="1" si="70"/>
        <v>0.18688766836292933</v>
      </c>
      <c r="G334">
        <f t="shared" ca="1" si="71"/>
        <v>0.43306504636347226</v>
      </c>
      <c r="H334">
        <f t="shared" ca="1" si="72"/>
        <v>0.4315464153301215</v>
      </c>
      <c r="I334">
        <f t="shared" ca="1" si="73"/>
        <v>30.145471408316496</v>
      </c>
      <c r="J334">
        <f t="shared" ca="1" si="74"/>
        <v>1</v>
      </c>
      <c r="K334">
        <f t="shared" ca="1" si="75"/>
        <v>1</v>
      </c>
      <c r="L334">
        <f t="shared" ca="1" si="69"/>
        <v>0</v>
      </c>
      <c r="M334" t="str">
        <f t="shared" ca="1" si="76"/>
        <v>na</v>
      </c>
      <c r="N334" t="str">
        <f t="shared" ca="1" si="77"/>
        <v>na</v>
      </c>
    </row>
    <row r="335" spans="1:14" x14ac:dyDescent="0.2">
      <c r="A335" vm="641">
        <f ca="1"/>
        <v>44729</v>
      </c>
      <c r="B335" vm="642">
        <f ca="1"/>
        <v>31.92</v>
      </c>
      <c r="C335">
        <f t="shared" ca="1" si="78"/>
        <v>7.0000000000000284E-2</v>
      </c>
      <c r="D335">
        <f t="shared" ca="1" si="79"/>
        <v>7.0000000000000284E-2</v>
      </c>
      <c r="E335">
        <f t="shared" ca="1" si="80"/>
        <v>0</v>
      </c>
      <c r="F335">
        <f t="shared" ca="1" si="70"/>
        <v>0.17853854919414869</v>
      </c>
      <c r="G335">
        <f t="shared" ca="1" si="71"/>
        <v>0.40213182876608139</v>
      </c>
      <c r="H335">
        <f t="shared" ca="1" si="72"/>
        <v>0.44398014885313619</v>
      </c>
      <c r="I335">
        <f t="shared" ca="1" si="73"/>
        <v>30.746970393309226</v>
      </c>
      <c r="J335">
        <f t="shared" ca="1" si="74"/>
        <v>1</v>
      </c>
      <c r="K335">
        <f t="shared" ca="1" si="75"/>
        <v>1</v>
      </c>
      <c r="L335">
        <f t="shared" ca="1" si="69"/>
        <v>0</v>
      </c>
      <c r="M335" t="str">
        <f t="shared" ca="1" si="76"/>
        <v>na</v>
      </c>
      <c r="N335" t="str">
        <f t="shared" ca="1" si="77"/>
        <v>na</v>
      </c>
    </row>
    <row r="336" spans="1:14" x14ac:dyDescent="0.2">
      <c r="A336" vm="643">
        <f ca="1"/>
        <v>44733</v>
      </c>
      <c r="B336" vm="644">
        <f ca="1"/>
        <v>32.85</v>
      </c>
      <c r="C336">
        <f t="shared" ca="1" si="78"/>
        <v>0.92999999999999972</v>
      </c>
      <c r="D336">
        <f t="shared" ca="1" si="79"/>
        <v>0.92999999999999972</v>
      </c>
      <c r="E336">
        <f t="shared" ca="1" si="80"/>
        <v>0</v>
      </c>
      <c r="F336">
        <f t="shared" ca="1" si="70"/>
        <v>0.23221436710885232</v>
      </c>
      <c r="G336">
        <f t="shared" ca="1" si="71"/>
        <v>0.37340812671136131</v>
      </c>
      <c r="H336">
        <f t="shared" ca="1" si="72"/>
        <v>0.62187818233626824</v>
      </c>
      <c r="I336">
        <f t="shared" ca="1" si="73"/>
        <v>38.343088223831387</v>
      </c>
      <c r="J336">
        <f t="shared" ca="1" si="74"/>
        <v>1</v>
      </c>
      <c r="K336">
        <f t="shared" ca="1" si="75"/>
        <v>1</v>
      </c>
      <c r="L336">
        <f t="shared" ca="1" si="69"/>
        <v>0</v>
      </c>
      <c r="M336" t="str">
        <f t="shared" ca="1" si="76"/>
        <v>na</v>
      </c>
      <c r="N336" t="str">
        <f t="shared" ca="1" si="77"/>
        <v>na</v>
      </c>
    </row>
    <row r="337" spans="1:14" x14ac:dyDescent="0.2">
      <c r="A337" vm="645">
        <f ca="1"/>
        <v>44734</v>
      </c>
      <c r="B337" vm="646">
        <f ca="1"/>
        <v>32.6</v>
      </c>
      <c r="C337">
        <f t="shared" ca="1" si="78"/>
        <v>-0.25</v>
      </c>
      <c r="D337">
        <f t="shared" ca="1" si="79"/>
        <v>0</v>
      </c>
      <c r="E337">
        <f t="shared" ca="1" si="80"/>
        <v>0.25</v>
      </c>
      <c r="F337">
        <f t="shared" ca="1" si="70"/>
        <v>0.21562762660107718</v>
      </c>
      <c r="G337">
        <f t="shared" ca="1" si="71"/>
        <v>0.36459326051769264</v>
      </c>
      <c r="H337">
        <f t="shared" ca="1" si="72"/>
        <v>0.59141967214342794</v>
      </c>
      <c r="I337">
        <f t="shared" ca="1" si="73"/>
        <v>37.163023839391485</v>
      </c>
      <c r="J337">
        <f t="shared" ca="1" si="74"/>
        <v>1</v>
      </c>
      <c r="K337">
        <f t="shared" ca="1" si="75"/>
        <v>1</v>
      </c>
      <c r="L337">
        <f t="shared" ca="1" si="69"/>
        <v>0</v>
      </c>
      <c r="M337" t="str">
        <f t="shared" ca="1" si="76"/>
        <v>na</v>
      </c>
      <c r="N337" t="str">
        <f t="shared" ca="1" si="77"/>
        <v>na</v>
      </c>
    </row>
    <row r="338" spans="1:14" x14ac:dyDescent="0.2">
      <c r="A338" vm="647">
        <f ca="1"/>
        <v>44735</v>
      </c>
      <c r="B338" vm="648">
        <f ca="1"/>
        <v>32.08</v>
      </c>
      <c r="C338">
        <f t="shared" ca="1" si="78"/>
        <v>-0.52000000000000313</v>
      </c>
      <c r="D338">
        <f t="shared" ca="1" si="79"/>
        <v>0</v>
      </c>
      <c r="E338">
        <f t="shared" ca="1" si="80"/>
        <v>0.52000000000000313</v>
      </c>
      <c r="F338">
        <f t="shared" ca="1" si="70"/>
        <v>0.20022565327242883</v>
      </c>
      <c r="G338">
        <f t="shared" ca="1" si="71"/>
        <v>0.37569374190928623</v>
      </c>
      <c r="H338">
        <f t="shared" ca="1" si="72"/>
        <v>0.53294913099929853</v>
      </c>
      <c r="I338">
        <f t="shared" ca="1" si="73"/>
        <v>34.766263290933836</v>
      </c>
      <c r="J338">
        <f t="shared" ca="1" si="74"/>
        <v>1</v>
      </c>
      <c r="K338">
        <f t="shared" ca="1" si="75"/>
        <v>1</v>
      </c>
      <c r="L338">
        <f t="shared" ca="1" si="69"/>
        <v>0</v>
      </c>
      <c r="M338" t="str">
        <f t="shared" ca="1" si="76"/>
        <v>na</v>
      </c>
      <c r="N338" t="str">
        <f t="shared" ca="1" si="77"/>
        <v>na</v>
      </c>
    </row>
    <row r="339" spans="1:14" x14ac:dyDescent="0.2">
      <c r="A339" vm="649">
        <f ca="1"/>
        <v>44736</v>
      </c>
      <c r="B339" vm="650">
        <f ca="1"/>
        <v>32.31</v>
      </c>
      <c r="C339">
        <f t="shared" ca="1" si="78"/>
        <v>0.23000000000000398</v>
      </c>
      <c r="D339">
        <f t="shared" ca="1" si="79"/>
        <v>0.23000000000000398</v>
      </c>
      <c r="E339">
        <f t="shared" ca="1" si="80"/>
        <v>0</v>
      </c>
      <c r="F339">
        <f t="shared" ca="1" si="70"/>
        <v>0.20235239232439847</v>
      </c>
      <c r="G339">
        <f t="shared" ca="1" si="71"/>
        <v>0.34885847463005148</v>
      </c>
      <c r="H339">
        <f t="shared" ca="1" si="72"/>
        <v>0.58004149831528085</v>
      </c>
      <c r="I339">
        <f t="shared" ca="1" si="73"/>
        <v>36.710523042195412</v>
      </c>
      <c r="J339">
        <f t="shared" ca="1" si="74"/>
        <v>1</v>
      </c>
      <c r="K339">
        <f t="shared" ca="1" si="75"/>
        <v>1</v>
      </c>
      <c r="L339">
        <f t="shared" ca="1" si="69"/>
        <v>0</v>
      </c>
      <c r="M339" t="str">
        <f t="shared" ca="1" si="76"/>
        <v>na</v>
      </c>
      <c r="N339" t="str">
        <f t="shared" ca="1" si="77"/>
        <v>na</v>
      </c>
    </row>
    <row r="340" spans="1:14" x14ac:dyDescent="0.2">
      <c r="A340" vm="651">
        <f ca="1"/>
        <v>44739</v>
      </c>
      <c r="B340" vm="652">
        <f ca="1"/>
        <v>32.35</v>
      </c>
      <c r="C340">
        <f t="shared" ca="1" si="78"/>
        <v>3.9999999999999147E-2</v>
      </c>
      <c r="D340">
        <f t="shared" ca="1" si="79"/>
        <v>3.9999999999999147E-2</v>
      </c>
      <c r="E340">
        <f t="shared" ca="1" si="80"/>
        <v>0</v>
      </c>
      <c r="F340">
        <f t="shared" ca="1" si="70"/>
        <v>0.19075579287265568</v>
      </c>
      <c r="G340">
        <f t="shared" ca="1" si="71"/>
        <v>0.32394001215647633</v>
      </c>
      <c r="H340">
        <f t="shared" ca="1" si="72"/>
        <v>0.58886147346476236</v>
      </c>
      <c r="I340">
        <f t="shared" ca="1" si="73"/>
        <v>37.061851098992115</v>
      </c>
      <c r="J340">
        <f t="shared" ca="1" si="74"/>
        <v>1</v>
      </c>
      <c r="K340">
        <f t="shared" ca="1" si="75"/>
        <v>1</v>
      </c>
      <c r="L340">
        <f t="shared" ca="1" si="69"/>
        <v>0</v>
      </c>
      <c r="M340" t="str">
        <f t="shared" ca="1" si="76"/>
        <v>na</v>
      </c>
      <c r="N340" t="str">
        <f t="shared" ca="1" si="77"/>
        <v>na</v>
      </c>
    </row>
    <row r="341" spans="1:14" x14ac:dyDescent="0.2">
      <c r="A341" vm="653">
        <f ca="1"/>
        <v>44740</v>
      </c>
      <c r="B341" vm="654">
        <f ca="1"/>
        <v>32.26</v>
      </c>
      <c r="C341">
        <f t="shared" ca="1" si="78"/>
        <v>-9.0000000000003411E-2</v>
      </c>
      <c r="D341">
        <f t="shared" ca="1" si="79"/>
        <v>0</v>
      </c>
      <c r="E341">
        <f t="shared" ca="1" si="80"/>
        <v>9.0000000000003411E-2</v>
      </c>
      <c r="F341">
        <f t="shared" ca="1" si="70"/>
        <v>0.17713037909603743</v>
      </c>
      <c r="G341">
        <f t="shared" ca="1" si="71"/>
        <v>0.3072300112881568</v>
      </c>
      <c r="H341">
        <f t="shared" ca="1" si="72"/>
        <v>0.57653996220409442</v>
      </c>
      <c r="I341">
        <f t="shared" ca="1" si="73"/>
        <v>36.569955473761553</v>
      </c>
      <c r="J341">
        <f t="shared" ca="1" si="74"/>
        <v>1</v>
      </c>
      <c r="K341">
        <f t="shared" ca="1" si="75"/>
        <v>1</v>
      </c>
      <c r="L341">
        <f t="shared" ca="1" si="69"/>
        <v>0</v>
      </c>
      <c r="M341" t="str">
        <f t="shared" ca="1" si="76"/>
        <v>na</v>
      </c>
      <c r="N341" t="str">
        <f t="shared" ca="1" si="77"/>
        <v>na</v>
      </c>
    </row>
    <row r="342" spans="1:14" x14ac:dyDescent="0.2">
      <c r="A342" vm="655">
        <f ca="1"/>
        <v>44741</v>
      </c>
      <c r="B342" vm="656">
        <f ca="1"/>
        <v>31.86</v>
      </c>
      <c r="C342">
        <f t="shared" ca="1" si="78"/>
        <v>-0.39999999999999858</v>
      </c>
      <c r="D342">
        <f t="shared" ca="1" si="79"/>
        <v>0</v>
      </c>
      <c r="E342">
        <f t="shared" ca="1" si="80"/>
        <v>0.39999999999999858</v>
      </c>
      <c r="F342">
        <f t="shared" ca="1" si="70"/>
        <v>0.16447820916060621</v>
      </c>
      <c r="G342">
        <f t="shared" ca="1" si="71"/>
        <v>0.31385643905328836</v>
      </c>
      <c r="H342">
        <f t="shared" ca="1" si="72"/>
        <v>0.52405555118364211</v>
      </c>
      <c r="I342">
        <f t="shared" ca="1" si="73"/>
        <v>34.385593804414782</v>
      </c>
      <c r="J342">
        <f t="shared" ca="1" si="74"/>
        <v>1</v>
      </c>
      <c r="K342">
        <f t="shared" ca="1" si="75"/>
        <v>1</v>
      </c>
      <c r="L342">
        <f t="shared" ref="L342:L405" ca="1" si="81">IF(I342&gt;$C$3,1,0)</f>
        <v>0</v>
      </c>
      <c r="M342" t="str">
        <f t="shared" ca="1" si="76"/>
        <v>na</v>
      </c>
      <c r="N342" t="str">
        <f t="shared" ca="1" si="77"/>
        <v>na</v>
      </c>
    </row>
    <row r="343" spans="1:14" x14ac:dyDescent="0.2">
      <c r="A343" vm="657">
        <f ca="1"/>
        <v>44742</v>
      </c>
      <c r="B343" vm="658">
        <f ca="1"/>
        <v>31.13</v>
      </c>
      <c r="C343">
        <f t="shared" ca="1" si="78"/>
        <v>-0.73000000000000043</v>
      </c>
      <c r="D343">
        <f t="shared" ca="1" si="79"/>
        <v>0</v>
      </c>
      <c r="E343">
        <f t="shared" ca="1" si="80"/>
        <v>0.73000000000000043</v>
      </c>
      <c r="F343">
        <f t="shared" ref="F343:F406" ca="1" si="82">((F342*13)+D343)/14</f>
        <v>0.15272976564913435</v>
      </c>
      <c r="G343">
        <f t="shared" ref="G343:G406" ca="1" si="83">((G342*13)+E343)/14</f>
        <v>0.34358097912091068</v>
      </c>
      <c r="H343">
        <f t="shared" ref="H343:H406" ca="1" si="84">AVERAGE(F343/G343)</f>
        <v>0.4445233436376777</v>
      </c>
      <c r="I343">
        <f t="shared" ref="I343:I406" ca="1" si="85">IF(G343=0,100,100-(100/(1+H343)))</f>
        <v>30.773012121649387</v>
      </c>
      <c r="J343">
        <f t="shared" ca="1" si="74"/>
        <v>1</v>
      </c>
      <c r="K343">
        <f t="shared" ca="1" si="75"/>
        <v>1</v>
      </c>
      <c r="L343">
        <f t="shared" ca="1" si="81"/>
        <v>0</v>
      </c>
      <c r="M343" t="str">
        <f t="shared" ca="1" si="76"/>
        <v>na</v>
      </c>
      <c r="N343" t="str">
        <f t="shared" ca="1" si="77"/>
        <v>na</v>
      </c>
    </row>
    <row r="344" spans="1:14" x14ac:dyDescent="0.2">
      <c r="A344" vm="659">
        <f ca="1"/>
        <v>44743</v>
      </c>
      <c r="B344" vm="660">
        <f ca="1"/>
        <v>31.56</v>
      </c>
      <c r="C344">
        <f t="shared" ca="1" si="78"/>
        <v>0.42999999999999972</v>
      </c>
      <c r="D344">
        <f t="shared" ca="1" si="79"/>
        <v>0.42999999999999972</v>
      </c>
      <c r="E344">
        <f t="shared" ca="1" si="80"/>
        <v>0</v>
      </c>
      <c r="F344">
        <f t="shared" ca="1" si="82"/>
        <v>0.17253478238848188</v>
      </c>
      <c r="G344">
        <f t="shared" ca="1" si="83"/>
        <v>0.31903948061227416</v>
      </c>
      <c r="H344">
        <f t="shared" ca="1" si="84"/>
        <v>0.54079445608852994</v>
      </c>
      <c r="I344">
        <f t="shared" ca="1" si="85"/>
        <v>35.098416531261023</v>
      </c>
      <c r="J344">
        <f t="shared" ref="J344:J407" ca="1" si="86">IF(K344=1,1,IF(L344=1,0,IF(J343=1,1,0)))</f>
        <v>1</v>
      </c>
      <c r="K344">
        <f t="shared" ref="K344:K407" ca="1" si="87">IF(I344&lt;$B$3,1,0)</f>
        <v>1</v>
      </c>
      <c r="L344">
        <f t="shared" ca="1" si="81"/>
        <v>0</v>
      </c>
      <c r="M344" t="str">
        <f t="shared" ref="M344:M407" ca="1" si="88">IF(AND(K344=1,J343=0),B344,"na")</f>
        <v>na</v>
      </c>
      <c r="N344" t="str">
        <f t="shared" ref="N344:N407" ca="1" si="89">IF(AND(L344=1,J343=1),B344,"na")</f>
        <v>na</v>
      </c>
    </row>
    <row r="345" spans="1:14" x14ac:dyDescent="0.2">
      <c r="A345" vm="661">
        <f ca="1"/>
        <v>44747</v>
      </c>
      <c r="B345" vm="662">
        <f ca="1"/>
        <v>31.24</v>
      </c>
      <c r="C345">
        <f t="shared" ca="1" si="78"/>
        <v>-0.32000000000000028</v>
      </c>
      <c r="D345">
        <f t="shared" ca="1" si="79"/>
        <v>0</v>
      </c>
      <c r="E345">
        <f t="shared" ca="1" si="80"/>
        <v>0.32000000000000028</v>
      </c>
      <c r="F345">
        <f t="shared" ca="1" si="82"/>
        <v>0.16021086936073317</v>
      </c>
      <c r="G345">
        <f t="shared" ca="1" si="83"/>
        <v>0.31910808913996885</v>
      </c>
      <c r="H345">
        <f t="shared" ca="1" si="84"/>
        <v>0.50205831444924809</v>
      </c>
      <c r="I345">
        <f t="shared" ca="1" si="85"/>
        <v>33.424688616921983</v>
      </c>
      <c r="J345">
        <f t="shared" ca="1" si="86"/>
        <v>1</v>
      </c>
      <c r="K345">
        <f t="shared" ca="1" si="87"/>
        <v>1</v>
      </c>
      <c r="L345">
        <f t="shared" ca="1" si="81"/>
        <v>0</v>
      </c>
      <c r="M345" t="str">
        <f t="shared" ca="1" si="88"/>
        <v>na</v>
      </c>
      <c r="N345" t="str">
        <f t="shared" ca="1" si="89"/>
        <v>na</v>
      </c>
    </row>
    <row r="346" spans="1:14" x14ac:dyDescent="0.2">
      <c r="A346" vm="663">
        <f ca="1"/>
        <v>44748</v>
      </c>
      <c r="B346" vm="664">
        <f ca="1"/>
        <v>30.98</v>
      </c>
      <c r="C346">
        <f t="shared" ca="1" si="78"/>
        <v>-0.25999999999999801</v>
      </c>
      <c r="D346">
        <f t="shared" ca="1" si="79"/>
        <v>0</v>
      </c>
      <c r="E346">
        <f t="shared" ca="1" si="80"/>
        <v>0.25999999999999801</v>
      </c>
      <c r="F346">
        <f t="shared" ca="1" si="82"/>
        <v>0.14876723583496651</v>
      </c>
      <c r="G346">
        <f t="shared" ca="1" si="83"/>
        <v>0.31488608277282809</v>
      </c>
      <c r="H346">
        <f t="shared" ca="1" si="84"/>
        <v>0.47244779612026672</v>
      </c>
      <c r="I346">
        <f t="shared" ca="1" si="85"/>
        <v>32.085877500384953</v>
      </c>
      <c r="J346">
        <f t="shared" ca="1" si="86"/>
        <v>1</v>
      </c>
      <c r="K346">
        <f t="shared" ca="1" si="87"/>
        <v>1</v>
      </c>
      <c r="L346">
        <f t="shared" ca="1" si="81"/>
        <v>0</v>
      </c>
      <c r="M346" t="str">
        <f t="shared" ca="1" si="88"/>
        <v>na</v>
      </c>
      <c r="N346" t="str">
        <f t="shared" ca="1" si="89"/>
        <v>na</v>
      </c>
    </row>
    <row r="347" spans="1:14" x14ac:dyDescent="0.2">
      <c r="A347" vm="665">
        <f ca="1"/>
        <v>44749</v>
      </c>
      <c r="B347" vm="656">
        <f ca="1"/>
        <v>31.86</v>
      </c>
      <c r="C347">
        <f t="shared" ca="1" si="78"/>
        <v>0.87999999999999901</v>
      </c>
      <c r="D347">
        <f t="shared" ca="1" si="79"/>
        <v>0.87999999999999901</v>
      </c>
      <c r="E347">
        <f t="shared" ca="1" si="80"/>
        <v>0</v>
      </c>
      <c r="F347">
        <f t="shared" ca="1" si="82"/>
        <v>0.20099814756104026</v>
      </c>
      <c r="G347">
        <f t="shared" ca="1" si="83"/>
        <v>0.29239421971762608</v>
      </c>
      <c r="H347">
        <f t="shared" ca="1" si="84"/>
        <v>0.68742175462685351</v>
      </c>
      <c r="I347">
        <f t="shared" ca="1" si="85"/>
        <v>40.737992902009601</v>
      </c>
      <c r="J347">
        <f t="shared" ca="1" si="86"/>
        <v>1</v>
      </c>
      <c r="K347">
        <f t="shared" ca="1" si="87"/>
        <v>0</v>
      </c>
      <c r="L347">
        <f t="shared" ca="1" si="81"/>
        <v>0</v>
      </c>
      <c r="M347" t="str">
        <f t="shared" ca="1" si="88"/>
        <v>na</v>
      </c>
      <c r="N347" t="str">
        <f t="shared" ca="1" si="89"/>
        <v>na</v>
      </c>
    </row>
    <row r="348" spans="1:14" x14ac:dyDescent="0.2">
      <c r="A348" vm="666">
        <f ca="1"/>
        <v>44750</v>
      </c>
      <c r="B348" vm="667">
        <f ca="1"/>
        <v>31.79</v>
      </c>
      <c r="C348">
        <f t="shared" ca="1" si="78"/>
        <v>-7.0000000000000284E-2</v>
      </c>
      <c r="D348">
        <f t="shared" ca="1" si="79"/>
        <v>0</v>
      </c>
      <c r="E348">
        <f t="shared" ca="1" si="80"/>
        <v>7.0000000000000284E-2</v>
      </c>
      <c r="F348">
        <f t="shared" ca="1" si="82"/>
        <v>0.18664113702096596</v>
      </c>
      <c r="G348">
        <f t="shared" ca="1" si="83"/>
        <v>0.27650891830922425</v>
      </c>
      <c r="H348">
        <f t="shared" ca="1" si="84"/>
        <v>0.67499138241986922</v>
      </c>
      <c r="I348">
        <f t="shared" ca="1" si="85"/>
        <v>40.298200307437135</v>
      </c>
      <c r="J348">
        <f t="shared" ca="1" si="86"/>
        <v>1</v>
      </c>
      <c r="K348">
        <f t="shared" ca="1" si="87"/>
        <v>0</v>
      </c>
      <c r="L348">
        <f t="shared" ca="1" si="81"/>
        <v>0</v>
      </c>
      <c r="M348" t="str">
        <f t="shared" ca="1" si="88"/>
        <v>na</v>
      </c>
      <c r="N348" t="str">
        <f t="shared" ca="1" si="89"/>
        <v>na</v>
      </c>
    </row>
    <row r="349" spans="1:14" x14ac:dyDescent="0.2">
      <c r="A349" vm="668">
        <f ca="1"/>
        <v>44753</v>
      </c>
      <c r="B349" vm="636">
        <f ca="1"/>
        <v>31.46</v>
      </c>
      <c r="C349">
        <f t="shared" ca="1" si="78"/>
        <v>-0.32999999999999829</v>
      </c>
      <c r="D349">
        <f t="shared" ca="1" si="79"/>
        <v>0</v>
      </c>
      <c r="E349">
        <f t="shared" ca="1" si="80"/>
        <v>0.32999999999999829</v>
      </c>
      <c r="F349">
        <f t="shared" ca="1" si="82"/>
        <v>0.17330962723375412</v>
      </c>
      <c r="G349">
        <f t="shared" ca="1" si="83"/>
        <v>0.28032970985856526</v>
      </c>
      <c r="H349">
        <f t="shared" ca="1" si="84"/>
        <v>0.61823496097218533</v>
      </c>
      <c r="I349">
        <f t="shared" ca="1" si="85"/>
        <v>38.204276627466321</v>
      </c>
      <c r="J349">
        <f t="shared" ca="1" si="86"/>
        <v>1</v>
      </c>
      <c r="K349">
        <f t="shared" ca="1" si="87"/>
        <v>1</v>
      </c>
      <c r="L349">
        <f t="shared" ca="1" si="81"/>
        <v>0</v>
      </c>
      <c r="M349" t="str">
        <f t="shared" ca="1" si="88"/>
        <v>na</v>
      </c>
      <c r="N349" t="str">
        <f t="shared" ca="1" si="89"/>
        <v>na</v>
      </c>
    </row>
    <row r="350" spans="1:14" x14ac:dyDescent="0.2">
      <c r="A350" vm="669">
        <f ca="1"/>
        <v>44754</v>
      </c>
      <c r="B350" vm="670">
        <f ca="1"/>
        <v>31.36</v>
      </c>
      <c r="C350">
        <f t="shared" ca="1" si="78"/>
        <v>-0.10000000000000142</v>
      </c>
      <c r="D350">
        <f t="shared" ca="1" si="79"/>
        <v>0</v>
      </c>
      <c r="E350">
        <f t="shared" ca="1" si="80"/>
        <v>0.10000000000000142</v>
      </c>
      <c r="F350">
        <f t="shared" ca="1" si="82"/>
        <v>0.16093036814562883</v>
      </c>
      <c r="G350">
        <f t="shared" ca="1" si="83"/>
        <v>0.26744901629723927</v>
      </c>
      <c r="H350">
        <f t="shared" ca="1" si="84"/>
        <v>0.60172353734430251</v>
      </c>
      <c r="I350">
        <f t="shared" ca="1" si="85"/>
        <v>37.567253231601704</v>
      </c>
      <c r="J350">
        <f t="shared" ca="1" si="86"/>
        <v>1</v>
      </c>
      <c r="K350">
        <f t="shared" ca="1" si="87"/>
        <v>1</v>
      </c>
      <c r="L350">
        <f t="shared" ca="1" si="81"/>
        <v>0</v>
      </c>
      <c r="M350" t="str">
        <f t="shared" ca="1" si="88"/>
        <v>na</v>
      </c>
      <c r="N350" t="str">
        <f t="shared" ca="1" si="89"/>
        <v>na</v>
      </c>
    </row>
    <row r="351" spans="1:14" x14ac:dyDescent="0.2">
      <c r="A351" vm="671">
        <f ca="1"/>
        <v>44755</v>
      </c>
      <c r="B351" vm="672">
        <f ca="1"/>
        <v>30.84</v>
      </c>
      <c r="C351">
        <f t="shared" ca="1" si="78"/>
        <v>-0.51999999999999957</v>
      </c>
      <c r="D351">
        <f t="shared" ca="1" si="79"/>
        <v>0</v>
      </c>
      <c r="E351">
        <f t="shared" ca="1" si="80"/>
        <v>0.51999999999999957</v>
      </c>
      <c r="F351">
        <f t="shared" ca="1" si="82"/>
        <v>0.14943534184951249</v>
      </c>
      <c r="G351">
        <f t="shared" ca="1" si="83"/>
        <v>0.28548837227600787</v>
      </c>
      <c r="H351">
        <f t="shared" ca="1" si="84"/>
        <v>0.5234375770129075</v>
      </c>
      <c r="I351">
        <f t="shared" ca="1" si="85"/>
        <v>34.358977677263411</v>
      </c>
      <c r="J351">
        <f t="shared" ca="1" si="86"/>
        <v>1</v>
      </c>
      <c r="K351">
        <f t="shared" ca="1" si="87"/>
        <v>1</v>
      </c>
      <c r="L351">
        <f t="shared" ca="1" si="81"/>
        <v>0</v>
      </c>
      <c r="M351" t="str">
        <f t="shared" ca="1" si="88"/>
        <v>na</v>
      </c>
      <c r="N351" t="str">
        <f t="shared" ca="1" si="89"/>
        <v>na</v>
      </c>
    </row>
    <row r="352" spans="1:14" x14ac:dyDescent="0.2">
      <c r="A352" vm="673">
        <f ca="1"/>
        <v>44756</v>
      </c>
      <c r="B352" vm="674">
        <f ca="1"/>
        <v>30.13</v>
      </c>
      <c r="C352">
        <f t="shared" ca="1" si="78"/>
        <v>-0.71000000000000085</v>
      </c>
      <c r="D352">
        <f t="shared" ca="1" si="79"/>
        <v>0</v>
      </c>
      <c r="E352">
        <f t="shared" ca="1" si="80"/>
        <v>0.71000000000000085</v>
      </c>
      <c r="F352">
        <f t="shared" ca="1" si="82"/>
        <v>0.1387613888602616</v>
      </c>
      <c r="G352">
        <f t="shared" ca="1" si="83"/>
        <v>0.31581063139915022</v>
      </c>
      <c r="H352">
        <f t="shared" ca="1" si="84"/>
        <v>0.43938162640535783</v>
      </c>
      <c r="I352">
        <f t="shared" ca="1" si="85"/>
        <v>30.525721486569779</v>
      </c>
      <c r="J352">
        <f t="shared" ca="1" si="86"/>
        <v>1</v>
      </c>
      <c r="K352">
        <f t="shared" ca="1" si="87"/>
        <v>1</v>
      </c>
      <c r="L352">
        <f t="shared" ca="1" si="81"/>
        <v>0</v>
      </c>
      <c r="M352" t="str">
        <f t="shared" ca="1" si="88"/>
        <v>na</v>
      </c>
      <c r="N352" t="str">
        <f t="shared" ca="1" si="89"/>
        <v>na</v>
      </c>
    </row>
    <row r="353" spans="1:14" x14ac:dyDescent="0.2">
      <c r="A353" vm="675">
        <f ca="1"/>
        <v>44757</v>
      </c>
      <c r="B353" vm="676">
        <f ca="1"/>
        <v>32.25</v>
      </c>
      <c r="C353">
        <f t="shared" ca="1" si="78"/>
        <v>2.120000000000001</v>
      </c>
      <c r="D353">
        <f t="shared" ca="1" si="79"/>
        <v>2.120000000000001</v>
      </c>
      <c r="E353">
        <f t="shared" ca="1" si="80"/>
        <v>0</v>
      </c>
      <c r="F353">
        <f t="shared" ca="1" si="82"/>
        <v>0.28027843251310014</v>
      </c>
      <c r="G353">
        <f t="shared" ca="1" si="83"/>
        <v>0.29325272915635381</v>
      </c>
      <c r="H353">
        <f t="shared" ca="1" si="84"/>
        <v>0.95575728594042797</v>
      </c>
      <c r="I353">
        <f t="shared" ca="1" si="85"/>
        <v>48.868910923210549</v>
      </c>
      <c r="J353">
        <f t="shared" ca="1" si="86"/>
        <v>1</v>
      </c>
      <c r="K353">
        <f t="shared" ca="1" si="87"/>
        <v>0</v>
      </c>
      <c r="L353">
        <f t="shared" ca="1" si="81"/>
        <v>0</v>
      </c>
      <c r="M353" t="str">
        <f t="shared" ca="1" si="88"/>
        <v>na</v>
      </c>
      <c r="N353" t="str">
        <f t="shared" ca="1" si="89"/>
        <v>na</v>
      </c>
    </row>
    <row r="354" spans="1:14" x14ac:dyDescent="0.2">
      <c r="A354" vm="677">
        <f ca="1"/>
        <v>44760</v>
      </c>
      <c r="B354" vm="654">
        <f ca="1"/>
        <v>32.26</v>
      </c>
      <c r="C354">
        <f t="shared" ca="1" si="78"/>
        <v>9.9999999999980105E-3</v>
      </c>
      <c r="D354">
        <f t="shared" ca="1" si="79"/>
        <v>9.9999999999980105E-3</v>
      </c>
      <c r="E354">
        <f t="shared" ca="1" si="80"/>
        <v>0</v>
      </c>
      <c r="F354">
        <f t="shared" ca="1" si="82"/>
        <v>0.26097283019073569</v>
      </c>
      <c r="G354">
        <f t="shared" ca="1" si="83"/>
        <v>0.2723061056451857</v>
      </c>
      <c r="H354">
        <f t="shared" ca="1" si="84"/>
        <v>0.95838038435606276</v>
      </c>
      <c r="I354">
        <f t="shared" ca="1" si="85"/>
        <v>48.937397045630078</v>
      </c>
      <c r="J354">
        <f t="shared" ca="1" si="86"/>
        <v>1</v>
      </c>
      <c r="K354">
        <f t="shared" ca="1" si="87"/>
        <v>0</v>
      </c>
      <c r="L354">
        <f t="shared" ca="1" si="81"/>
        <v>0</v>
      </c>
      <c r="M354" t="str">
        <f t="shared" ca="1" si="88"/>
        <v>na</v>
      </c>
      <c r="N354" t="str">
        <f t="shared" ca="1" si="89"/>
        <v>na</v>
      </c>
    </row>
    <row r="355" spans="1:14" x14ac:dyDescent="0.2">
      <c r="A355" vm="678">
        <f ca="1"/>
        <v>44761</v>
      </c>
      <c r="B355" vm="679">
        <f ca="1"/>
        <v>33.35</v>
      </c>
      <c r="C355">
        <f t="shared" ca="1" si="78"/>
        <v>1.0900000000000034</v>
      </c>
      <c r="D355">
        <f t="shared" ca="1" si="79"/>
        <v>1.0900000000000034</v>
      </c>
      <c r="E355">
        <f t="shared" ca="1" si="80"/>
        <v>0</v>
      </c>
      <c r="F355">
        <f t="shared" ca="1" si="82"/>
        <v>0.32018905660568336</v>
      </c>
      <c r="G355">
        <f t="shared" ca="1" si="83"/>
        <v>0.25285566952767241</v>
      </c>
      <c r="H355">
        <f t="shared" ca="1" si="84"/>
        <v>1.2662917829914113</v>
      </c>
      <c r="I355">
        <f t="shared" ca="1" si="85"/>
        <v>55.875055122865007</v>
      </c>
      <c r="J355">
        <f t="shared" ca="1" si="86"/>
        <v>1</v>
      </c>
      <c r="K355">
        <f t="shared" ca="1" si="87"/>
        <v>0</v>
      </c>
      <c r="L355">
        <f t="shared" ca="1" si="81"/>
        <v>0</v>
      </c>
      <c r="M355" t="str">
        <f t="shared" ca="1" si="88"/>
        <v>na</v>
      </c>
      <c r="N355" t="str">
        <f t="shared" ca="1" si="89"/>
        <v>na</v>
      </c>
    </row>
    <row r="356" spans="1:14" x14ac:dyDescent="0.2">
      <c r="A356" vm="680">
        <f ca="1"/>
        <v>44762</v>
      </c>
      <c r="B356" vm="681">
        <f ca="1"/>
        <v>33.36</v>
      </c>
      <c r="C356">
        <f t="shared" ca="1" si="78"/>
        <v>9.9999999999980105E-3</v>
      </c>
      <c r="D356">
        <f t="shared" ca="1" si="79"/>
        <v>9.9999999999980105E-3</v>
      </c>
      <c r="E356">
        <f t="shared" ca="1" si="80"/>
        <v>0</v>
      </c>
      <c r="F356">
        <f t="shared" ca="1" si="82"/>
        <v>0.29803269541956295</v>
      </c>
      <c r="G356">
        <f t="shared" ca="1" si="83"/>
        <v>0.23479455027569582</v>
      </c>
      <c r="H356">
        <f t="shared" ca="1" si="84"/>
        <v>1.2693339563018515</v>
      </c>
      <c r="I356">
        <f t="shared" ca="1" si="85"/>
        <v>55.934207161399087</v>
      </c>
      <c r="J356">
        <f t="shared" ca="1" si="86"/>
        <v>1</v>
      </c>
      <c r="K356">
        <f t="shared" ca="1" si="87"/>
        <v>0</v>
      </c>
      <c r="L356">
        <f t="shared" ca="1" si="81"/>
        <v>0</v>
      </c>
      <c r="M356" t="str">
        <f t="shared" ca="1" si="88"/>
        <v>na</v>
      </c>
      <c r="N356" t="str">
        <f t="shared" ca="1" si="89"/>
        <v>na</v>
      </c>
    </row>
    <row r="357" spans="1:14" x14ac:dyDescent="0.2">
      <c r="A357" vm="682">
        <f ca="1"/>
        <v>44763</v>
      </c>
      <c r="B357" vm="683">
        <f ca="1"/>
        <v>33.65</v>
      </c>
      <c r="C357">
        <f t="shared" ca="1" si="78"/>
        <v>0.28999999999999915</v>
      </c>
      <c r="D357">
        <f t="shared" ca="1" si="79"/>
        <v>0.28999999999999915</v>
      </c>
      <c r="E357">
        <f t="shared" ca="1" si="80"/>
        <v>0</v>
      </c>
      <c r="F357">
        <f t="shared" ca="1" si="82"/>
        <v>0.2974589314610227</v>
      </c>
      <c r="G357">
        <f t="shared" ca="1" si="83"/>
        <v>0.21802351097028899</v>
      </c>
      <c r="H357">
        <f t="shared" ca="1" si="84"/>
        <v>1.3643433689202387</v>
      </c>
      <c r="I357">
        <f t="shared" ca="1" si="85"/>
        <v>57.704958884348279</v>
      </c>
      <c r="J357">
        <f t="shared" ca="1" si="86"/>
        <v>1</v>
      </c>
      <c r="K357">
        <f t="shared" ca="1" si="87"/>
        <v>0</v>
      </c>
      <c r="L357">
        <f t="shared" ca="1" si="81"/>
        <v>0</v>
      </c>
      <c r="M357" t="str">
        <f t="shared" ca="1" si="88"/>
        <v>na</v>
      </c>
      <c r="N357" t="str">
        <f t="shared" ca="1" si="89"/>
        <v>na</v>
      </c>
    </row>
    <row r="358" spans="1:14" x14ac:dyDescent="0.2">
      <c r="A358" vm="684">
        <f ca="1"/>
        <v>44764</v>
      </c>
      <c r="B358" vm="685">
        <f ca="1"/>
        <v>33.43</v>
      </c>
      <c r="C358">
        <f t="shared" ca="1" si="78"/>
        <v>-0.21999999999999886</v>
      </c>
      <c r="D358">
        <f t="shared" ca="1" si="79"/>
        <v>0</v>
      </c>
      <c r="E358">
        <f t="shared" ca="1" si="80"/>
        <v>0.21999999999999886</v>
      </c>
      <c r="F358">
        <f t="shared" ca="1" si="82"/>
        <v>0.27621186492809252</v>
      </c>
      <c r="G358">
        <f t="shared" ca="1" si="83"/>
        <v>0.21816468875812542</v>
      </c>
      <c r="H358">
        <f t="shared" ca="1" si="84"/>
        <v>1.2660704465988204</v>
      </c>
      <c r="I358">
        <f t="shared" ca="1" si="85"/>
        <v>55.870745258563552</v>
      </c>
      <c r="J358">
        <f t="shared" ca="1" si="86"/>
        <v>1</v>
      </c>
      <c r="K358">
        <f t="shared" ca="1" si="87"/>
        <v>0</v>
      </c>
      <c r="L358">
        <f t="shared" ca="1" si="81"/>
        <v>0</v>
      </c>
      <c r="M358" t="str">
        <f t="shared" ca="1" si="88"/>
        <v>na</v>
      </c>
      <c r="N358" t="str">
        <f t="shared" ca="1" si="89"/>
        <v>na</v>
      </c>
    </row>
    <row r="359" spans="1:14" x14ac:dyDescent="0.2">
      <c r="A359" vm="686">
        <f ca="1"/>
        <v>44767</v>
      </c>
      <c r="B359" vm="687">
        <f ca="1"/>
        <v>33.729999999999997</v>
      </c>
      <c r="C359">
        <f t="shared" ca="1" si="78"/>
        <v>0.29999999999999716</v>
      </c>
      <c r="D359">
        <f t="shared" ca="1" si="79"/>
        <v>0.29999999999999716</v>
      </c>
      <c r="E359">
        <f t="shared" ca="1" si="80"/>
        <v>0</v>
      </c>
      <c r="F359">
        <f t="shared" ca="1" si="82"/>
        <v>0.27791101743322855</v>
      </c>
      <c r="G359">
        <f t="shared" ca="1" si="83"/>
        <v>0.2025814967039736</v>
      </c>
      <c r="H359">
        <f t="shared" ca="1" si="84"/>
        <v>1.3718479819473925</v>
      </c>
      <c r="I359">
        <f t="shared" ca="1" si="85"/>
        <v>57.838781928218033</v>
      </c>
      <c r="J359">
        <f t="shared" ca="1" si="86"/>
        <v>1</v>
      </c>
      <c r="K359">
        <f t="shared" ca="1" si="87"/>
        <v>0</v>
      </c>
      <c r="L359">
        <f t="shared" ca="1" si="81"/>
        <v>0</v>
      </c>
      <c r="M359" t="str">
        <f t="shared" ca="1" si="88"/>
        <v>na</v>
      </c>
      <c r="N359" t="str">
        <f t="shared" ca="1" si="89"/>
        <v>na</v>
      </c>
    </row>
    <row r="360" spans="1:14" x14ac:dyDescent="0.2">
      <c r="A360" vm="688">
        <f ca="1"/>
        <v>44768</v>
      </c>
      <c r="B360" vm="689">
        <f ca="1"/>
        <v>33.049999999999997</v>
      </c>
      <c r="C360">
        <f t="shared" ca="1" si="78"/>
        <v>-0.67999999999999972</v>
      </c>
      <c r="D360">
        <f t="shared" ca="1" si="79"/>
        <v>0</v>
      </c>
      <c r="E360">
        <f t="shared" ca="1" si="80"/>
        <v>0.67999999999999972</v>
      </c>
      <c r="F360">
        <f t="shared" ca="1" si="82"/>
        <v>0.25806023047371224</v>
      </c>
      <c r="G360">
        <f t="shared" ca="1" si="83"/>
        <v>0.23668281836797547</v>
      </c>
      <c r="H360">
        <f t="shared" ca="1" si="84"/>
        <v>1.0903209293059071</v>
      </c>
      <c r="I360">
        <f t="shared" ca="1" si="85"/>
        <v>52.160456034277431</v>
      </c>
      <c r="J360">
        <f t="shared" ca="1" si="86"/>
        <v>1</v>
      </c>
      <c r="K360">
        <f t="shared" ca="1" si="87"/>
        <v>0</v>
      </c>
      <c r="L360">
        <f t="shared" ca="1" si="81"/>
        <v>0</v>
      </c>
      <c r="M360" t="str">
        <f t="shared" ca="1" si="88"/>
        <v>na</v>
      </c>
      <c r="N360" t="str">
        <f t="shared" ca="1" si="89"/>
        <v>na</v>
      </c>
    </row>
    <row r="361" spans="1:14" x14ac:dyDescent="0.2">
      <c r="A361" vm="690">
        <f ca="1"/>
        <v>44769</v>
      </c>
      <c r="B361" vm="691">
        <f ca="1"/>
        <v>33.590000000000003</v>
      </c>
      <c r="C361">
        <f t="shared" ca="1" si="78"/>
        <v>0.54000000000000625</v>
      </c>
      <c r="D361">
        <f t="shared" ca="1" si="79"/>
        <v>0.54000000000000625</v>
      </c>
      <c r="E361">
        <f t="shared" ca="1" si="80"/>
        <v>0</v>
      </c>
      <c r="F361">
        <f t="shared" ca="1" si="82"/>
        <v>0.27819878543987608</v>
      </c>
      <c r="G361">
        <f t="shared" ca="1" si="83"/>
        <v>0.21977690277026293</v>
      </c>
      <c r="H361">
        <f t="shared" ca="1" si="84"/>
        <v>1.265823578061261</v>
      </c>
      <c r="I361">
        <f t="shared" ca="1" si="85"/>
        <v>55.865937238783431</v>
      </c>
      <c r="J361">
        <f t="shared" ca="1" si="86"/>
        <v>1</v>
      </c>
      <c r="K361">
        <f t="shared" ca="1" si="87"/>
        <v>0</v>
      </c>
      <c r="L361">
        <f t="shared" ca="1" si="81"/>
        <v>0</v>
      </c>
      <c r="M361" t="str">
        <f t="shared" ca="1" si="88"/>
        <v>na</v>
      </c>
      <c r="N361" t="str">
        <f t="shared" ca="1" si="89"/>
        <v>na</v>
      </c>
    </row>
    <row r="362" spans="1:14" x14ac:dyDescent="0.2">
      <c r="A362" vm="692">
        <f ca="1"/>
        <v>44770</v>
      </c>
      <c r="B362" vm="693">
        <f ca="1"/>
        <v>33.32</v>
      </c>
      <c r="C362">
        <f t="shared" ca="1" si="78"/>
        <v>-0.27000000000000313</v>
      </c>
      <c r="D362">
        <f t="shared" ca="1" si="79"/>
        <v>0</v>
      </c>
      <c r="E362">
        <f t="shared" ca="1" si="80"/>
        <v>0.27000000000000313</v>
      </c>
      <c r="F362">
        <f t="shared" ca="1" si="82"/>
        <v>0.25832744362274207</v>
      </c>
      <c r="G362">
        <f t="shared" ca="1" si="83"/>
        <v>0.22336426685810151</v>
      </c>
      <c r="H362">
        <f t="shared" ca="1" si="84"/>
        <v>1.1565298570646123</v>
      </c>
      <c r="I362">
        <f t="shared" ca="1" si="85"/>
        <v>53.62920681463865</v>
      </c>
      <c r="J362">
        <f t="shared" ca="1" si="86"/>
        <v>1</v>
      </c>
      <c r="K362">
        <f t="shared" ca="1" si="87"/>
        <v>0</v>
      </c>
      <c r="L362">
        <f t="shared" ca="1" si="81"/>
        <v>0</v>
      </c>
      <c r="M362" t="str">
        <f t="shared" ca="1" si="88"/>
        <v>na</v>
      </c>
      <c r="N362" t="str">
        <f t="shared" ca="1" si="89"/>
        <v>na</v>
      </c>
    </row>
    <row r="363" spans="1:14" x14ac:dyDescent="0.2">
      <c r="A363" vm="694">
        <f ca="1"/>
        <v>44771</v>
      </c>
      <c r="B363" vm="695">
        <f ca="1"/>
        <v>33.81</v>
      </c>
      <c r="C363">
        <f t="shared" ca="1" si="78"/>
        <v>0.49000000000000199</v>
      </c>
      <c r="D363">
        <f t="shared" ca="1" si="79"/>
        <v>0.49000000000000199</v>
      </c>
      <c r="E363">
        <f t="shared" ca="1" si="80"/>
        <v>0</v>
      </c>
      <c r="F363">
        <f t="shared" ca="1" si="82"/>
        <v>0.27487548336397494</v>
      </c>
      <c r="G363">
        <f t="shared" ca="1" si="83"/>
        <v>0.20740967636823712</v>
      </c>
      <c r="H363">
        <f t="shared" ca="1" si="84"/>
        <v>1.3252780110218116</v>
      </c>
      <c r="I363">
        <f t="shared" ca="1" si="85"/>
        <v>56.994389691899094</v>
      </c>
      <c r="J363">
        <f t="shared" ca="1" si="86"/>
        <v>1</v>
      </c>
      <c r="K363">
        <f t="shared" ca="1" si="87"/>
        <v>0</v>
      </c>
      <c r="L363">
        <f t="shared" ca="1" si="81"/>
        <v>0</v>
      </c>
      <c r="M363" t="str">
        <f t="shared" ca="1" si="88"/>
        <v>na</v>
      </c>
      <c r="N363" t="str">
        <f t="shared" ca="1" si="89"/>
        <v>na</v>
      </c>
    </row>
    <row r="364" spans="1:14" x14ac:dyDescent="0.2">
      <c r="A364" vm="696">
        <f ca="1"/>
        <v>44774</v>
      </c>
      <c r="B364" vm="697">
        <f ca="1"/>
        <v>33.71</v>
      </c>
      <c r="C364">
        <f t="shared" ca="1" si="78"/>
        <v>-0.10000000000000142</v>
      </c>
      <c r="D364">
        <f t="shared" ca="1" si="79"/>
        <v>0</v>
      </c>
      <c r="E364">
        <f t="shared" ca="1" si="80"/>
        <v>0.10000000000000142</v>
      </c>
      <c r="F364">
        <f t="shared" ca="1" si="82"/>
        <v>0.25524152026654817</v>
      </c>
      <c r="G364">
        <f t="shared" ca="1" si="83"/>
        <v>0.19973755662764886</v>
      </c>
      <c r="H364">
        <f t="shared" ca="1" si="84"/>
        <v>1.2778844628722976</v>
      </c>
      <c r="I364">
        <f t="shared" ca="1" si="85"/>
        <v>56.099617153582479</v>
      </c>
      <c r="J364">
        <f t="shared" ca="1" si="86"/>
        <v>1</v>
      </c>
      <c r="K364">
        <f t="shared" ca="1" si="87"/>
        <v>0</v>
      </c>
      <c r="L364">
        <f t="shared" ca="1" si="81"/>
        <v>0</v>
      </c>
      <c r="M364" t="str">
        <f t="shared" ca="1" si="88"/>
        <v>na</v>
      </c>
      <c r="N364" t="str">
        <f t="shared" ca="1" si="89"/>
        <v>na</v>
      </c>
    </row>
    <row r="365" spans="1:14" x14ac:dyDescent="0.2">
      <c r="A365" vm="698">
        <f ca="1"/>
        <v>44775</v>
      </c>
      <c r="B365" vm="699">
        <f ca="1"/>
        <v>33.04</v>
      </c>
      <c r="C365">
        <f t="shared" ca="1" si="78"/>
        <v>-0.67000000000000171</v>
      </c>
      <c r="D365">
        <f t="shared" ca="1" si="79"/>
        <v>0</v>
      </c>
      <c r="E365">
        <f t="shared" ca="1" si="80"/>
        <v>0.67000000000000171</v>
      </c>
      <c r="F365">
        <f t="shared" ca="1" si="82"/>
        <v>0.23700998310465188</v>
      </c>
      <c r="G365">
        <f t="shared" ca="1" si="83"/>
        <v>0.23332773115424549</v>
      </c>
      <c r="H365">
        <f t="shared" ca="1" si="84"/>
        <v>1.0157814586898468</v>
      </c>
      <c r="I365">
        <f t="shared" ca="1" si="85"/>
        <v>50.391447659710686</v>
      </c>
      <c r="J365">
        <f t="shared" ca="1" si="86"/>
        <v>1</v>
      </c>
      <c r="K365">
        <f t="shared" ca="1" si="87"/>
        <v>0</v>
      </c>
      <c r="L365">
        <f t="shared" ca="1" si="81"/>
        <v>0</v>
      </c>
      <c r="M365" t="str">
        <f t="shared" ca="1" si="88"/>
        <v>na</v>
      </c>
      <c r="N365" t="str">
        <f t="shared" ca="1" si="89"/>
        <v>na</v>
      </c>
    </row>
    <row r="366" spans="1:14" x14ac:dyDescent="0.2">
      <c r="A366" vm="700">
        <f ca="1"/>
        <v>44776</v>
      </c>
      <c r="B366" vm="701">
        <f ca="1"/>
        <v>33.64</v>
      </c>
      <c r="C366">
        <f t="shared" ca="1" si="78"/>
        <v>0.60000000000000142</v>
      </c>
      <c r="D366">
        <f t="shared" ca="1" si="79"/>
        <v>0.60000000000000142</v>
      </c>
      <c r="E366">
        <f t="shared" ca="1" si="80"/>
        <v>0</v>
      </c>
      <c r="F366">
        <f t="shared" ca="1" si="82"/>
        <v>0.2629378414543197</v>
      </c>
      <c r="G366">
        <f t="shared" ca="1" si="83"/>
        <v>0.21666146464322794</v>
      </c>
      <c r="H366">
        <f t="shared" ca="1" si="84"/>
        <v>1.2135884057060822</v>
      </c>
      <c r="I366">
        <f t="shared" ca="1" si="85"/>
        <v>54.824483294986194</v>
      </c>
      <c r="J366">
        <f t="shared" ca="1" si="86"/>
        <v>1</v>
      </c>
      <c r="K366">
        <f t="shared" ca="1" si="87"/>
        <v>0</v>
      </c>
      <c r="L366">
        <f t="shared" ca="1" si="81"/>
        <v>0</v>
      </c>
      <c r="M366" t="str">
        <f t="shared" ca="1" si="88"/>
        <v>na</v>
      </c>
      <c r="N366" t="str">
        <f t="shared" ca="1" si="89"/>
        <v>na</v>
      </c>
    </row>
    <row r="367" spans="1:14" x14ac:dyDescent="0.2">
      <c r="A367" vm="702">
        <f ca="1"/>
        <v>44777</v>
      </c>
      <c r="B367" vm="703">
        <f ca="1"/>
        <v>33.4</v>
      </c>
      <c r="C367">
        <f t="shared" ca="1" si="78"/>
        <v>-0.24000000000000199</v>
      </c>
      <c r="D367">
        <f t="shared" ca="1" si="79"/>
        <v>0</v>
      </c>
      <c r="E367">
        <f t="shared" ca="1" si="80"/>
        <v>0.24000000000000199</v>
      </c>
      <c r="F367">
        <f t="shared" ca="1" si="82"/>
        <v>0.24415656706472544</v>
      </c>
      <c r="G367">
        <f t="shared" ca="1" si="83"/>
        <v>0.21832850288299752</v>
      </c>
      <c r="H367">
        <f t="shared" ca="1" si="84"/>
        <v>1.118299094441046</v>
      </c>
      <c r="I367">
        <f t="shared" ca="1" si="85"/>
        <v>52.792313293988862</v>
      </c>
      <c r="J367">
        <f t="shared" ca="1" si="86"/>
        <v>1</v>
      </c>
      <c r="K367">
        <f t="shared" ca="1" si="87"/>
        <v>0</v>
      </c>
      <c r="L367">
        <f t="shared" ca="1" si="81"/>
        <v>0</v>
      </c>
      <c r="M367" t="str">
        <f t="shared" ca="1" si="88"/>
        <v>na</v>
      </c>
      <c r="N367" t="str">
        <f t="shared" ca="1" si="89"/>
        <v>na</v>
      </c>
    </row>
    <row r="368" spans="1:14" x14ac:dyDescent="0.2">
      <c r="A368" vm="704">
        <f ca="1"/>
        <v>44778</v>
      </c>
      <c r="B368" vm="705">
        <f ca="1"/>
        <v>33.96</v>
      </c>
      <c r="C368">
        <f t="shared" ca="1" si="78"/>
        <v>0.56000000000000227</v>
      </c>
      <c r="D368">
        <f t="shared" ca="1" si="79"/>
        <v>0.56000000000000227</v>
      </c>
      <c r="E368">
        <f t="shared" ca="1" si="80"/>
        <v>0</v>
      </c>
      <c r="F368">
        <f t="shared" ca="1" si="82"/>
        <v>0.26671681227438804</v>
      </c>
      <c r="G368">
        <f t="shared" ca="1" si="83"/>
        <v>0.20273360981992625</v>
      </c>
      <c r="H368">
        <f t="shared" ca="1" si="84"/>
        <v>1.3156023439393867</v>
      </c>
      <c r="I368">
        <f t="shared" ca="1" si="85"/>
        <v>56.814692185068189</v>
      </c>
      <c r="J368">
        <f t="shared" ca="1" si="86"/>
        <v>1</v>
      </c>
      <c r="K368">
        <f t="shared" ca="1" si="87"/>
        <v>0</v>
      </c>
      <c r="L368">
        <f t="shared" ca="1" si="81"/>
        <v>0</v>
      </c>
      <c r="M368" t="str">
        <f t="shared" ca="1" si="88"/>
        <v>na</v>
      </c>
      <c r="N368" t="str">
        <f t="shared" ca="1" si="89"/>
        <v>na</v>
      </c>
    </row>
    <row r="369" spans="1:14" x14ac:dyDescent="0.2">
      <c r="A369" vm="706">
        <f ca="1"/>
        <v>44781</v>
      </c>
      <c r="B369" vm="707">
        <f ca="1"/>
        <v>33.49</v>
      </c>
      <c r="C369">
        <f t="shared" ca="1" si="78"/>
        <v>-0.46999999999999886</v>
      </c>
      <c r="D369">
        <f t="shared" ca="1" si="79"/>
        <v>0</v>
      </c>
      <c r="E369">
        <f t="shared" ca="1" si="80"/>
        <v>0.46999999999999886</v>
      </c>
      <c r="F369">
        <f t="shared" ca="1" si="82"/>
        <v>0.24766561139764603</v>
      </c>
      <c r="G369">
        <f t="shared" ca="1" si="83"/>
        <v>0.22182406626136</v>
      </c>
      <c r="H369">
        <f t="shared" ca="1" si="84"/>
        <v>1.1164956786331683</v>
      </c>
      <c r="I369">
        <f t="shared" ca="1" si="85"/>
        <v>52.752088742945162</v>
      </c>
      <c r="J369">
        <f t="shared" ca="1" si="86"/>
        <v>1</v>
      </c>
      <c r="K369">
        <f t="shared" ca="1" si="87"/>
        <v>0</v>
      </c>
      <c r="L369">
        <f t="shared" ca="1" si="81"/>
        <v>0</v>
      </c>
      <c r="M369" t="str">
        <f t="shared" ca="1" si="88"/>
        <v>na</v>
      </c>
      <c r="N369" t="str">
        <f t="shared" ca="1" si="89"/>
        <v>na</v>
      </c>
    </row>
    <row r="370" spans="1:14" x14ac:dyDescent="0.2">
      <c r="A370" vm="708">
        <f ca="1"/>
        <v>44782</v>
      </c>
      <c r="B370" vm="709">
        <f ca="1"/>
        <v>33.92</v>
      </c>
      <c r="C370">
        <f t="shared" ca="1" si="78"/>
        <v>0.42999999999999972</v>
      </c>
      <c r="D370">
        <f t="shared" ca="1" si="79"/>
        <v>0.42999999999999972</v>
      </c>
      <c r="E370">
        <f t="shared" ca="1" si="80"/>
        <v>0</v>
      </c>
      <c r="F370">
        <f t="shared" ca="1" si="82"/>
        <v>0.26068949629781418</v>
      </c>
      <c r="G370">
        <f t="shared" ca="1" si="83"/>
        <v>0.20597949009983427</v>
      </c>
      <c r="H370">
        <f t="shared" ca="1" si="84"/>
        <v>1.2656089990875452</v>
      </c>
      <c r="I370">
        <f t="shared" ca="1" si="85"/>
        <v>55.861757240426684</v>
      </c>
      <c r="J370">
        <f t="shared" ca="1" si="86"/>
        <v>1</v>
      </c>
      <c r="K370">
        <f t="shared" ca="1" si="87"/>
        <v>0</v>
      </c>
      <c r="L370">
        <f t="shared" ca="1" si="81"/>
        <v>0</v>
      </c>
      <c r="M370" t="str">
        <f t="shared" ca="1" si="88"/>
        <v>na</v>
      </c>
      <c r="N370" t="str">
        <f t="shared" ca="1" si="89"/>
        <v>na</v>
      </c>
    </row>
    <row r="371" spans="1:14" x14ac:dyDescent="0.2">
      <c r="A371" vm="710">
        <f ca="1"/>
        <v>44783</v>
      </c>
      <c r="B371" vm="593">
        <f ca="1"/>
        <v>35.07</v>
      </c>
      <c r="C371">
        <f t="shared" ca="1" si="78"/>
        <v>1.1499999999999986</v>
      </c>
      <c r="D371">
        <f t="shared" ca="1" si="79"/>
        <v>1.1499999999999986</v>
      </c>
      <c r="E371">
        <f t="shared" ca="1" si="80"/>
        <v>0</v>
      </c>
      <c r="F371">
        <f t="shared" ca="1" si="82"/>
        <v>0.32421167513368448</v>
      </c>
      <c r="G371">
        <f t="shared" ca="1" si="83"/>
        <v>0.19126666937841752</v>
      </c>
      <c r="H371">
        <f t="shared" ca="1" si="84"/>
        <v>1.6950767020062327</v>
      </c>
      <c r="I371">
        <f t="shared" ca="1" si="85"/>
        <v>62.895304639916432</v>
      </c>
      <c r="J371">
        <f t="shared" ca="1" si="86"/>
        <v>1</v>
      </c>
      <c r="K371">
        <f t="shared" ca="1" si="87"/>
        <v>0</v>
      </c>
      <c r="L371">
        <f t="shared" ca="1" si="81"/>
        <v>0</v>
      </c>
      <c r="M371" t="str">
        <f t="shared" ca="1" si="88"/>
        <v>na</v>
      </c>
      <c r="N371" t="str">
        <f t="shared" ca="1" si="89"/>
        <v>na</v>
      </c>
    </row>
    <row r="372" spans="1:14" x14ac:dyDescent="0.2">
      <c r="A372" vm="711">
        <f ca="1"/>
        <v>44784</v>
      </c>
      <c r="B372" vm="712">
        <f ca="1"/>
        <v>35.909999999999997</v>
      </c>
      <c r="C372">
        <f t="shared" ca="1" si="78"/>
        <v>0.83999999999999631</v>
      </c>
      <c r="D372">
        <f t="shared" ca="1" si="79"/>
        <v>0.83999999999999631</v>
      </c>
      <c r="E372">
        <f t="shared" ca="1" si="80"/>
        <v>0</v>
      </c>
      <c r="F372">
        <f t="shared" ca="1" si="82"/>
        <v>0.36105369833842105</v>
      </c>
      <c r="G372">
        <f t="shared" ca="1" si="83"/>
        <v>0.17760476442281625</v>
      </c>
      <c r="H372">
        <f t="shared" ca="1" si="84"/>
        <v>2.0329054770111661</v>
      </c>
      <c r="I372">
        <f t="shared" ca="1" si="85"/>
        <v>67.028316326380576</v>
      </c>
      <c r="J372">
        <f t="shared" ca="1" si="86"/>
        <v>1</v>
      </c>
      <c r="K372">
        <f t="shared" ca="1" si="87"/>
        <v>0</v>
      </c>
      <c r="L372">
        <f t="shared" ca="1" si="81"/>
        <v>0</v>
      </c>
      <c r="M372" t="str">
        <f t="shared" ca="1" si="88"/>
        <v>na</v>
      </c>
      <c r="N372" t="str">
        <f t="shared" ca="1" si="89"/>
        <v>na</v>
      </c>
    </row>
    <row r="373" spans="1:14" x14ac:dyDescent="0.2">
      <c r="A373" vm="713">
        <f ca="1"/>
        <v>44785</v>
      </c>
      <c r="B373" vm="714">
        <f ca="1"/>
        <v>36.299999999999997</v>
      </c>
      <c r="C373">
        <f t="shared" ca="1" si="78"/>
        <v>0.39000000000000057</v>
      </c>
      <c r="D373">
        <f t="shared" ca="1" si="79"/>
        <v>0.39000000000000057</v>
      </c>
      <c r="E373">
        <f t="shared" ca="1" si="80"/>
        <v>0</v>
      </c>
      <c r="F373">
        <f t="shared" ca="1" si="82"/>
        <v>0.3631212913142482</v>
      </c>
      <c r="G373">
        <f t="shared" ca="1" si="83"/>
        <v>0.16491870982118653</v>
      </c>
      <c r="H373">
        <f t="shared" ca="1" si="84"/>
        <v>2.2018198645136335</v>
      </c>
      <c r="I373">
        <f t="shared" ca="1" si="85"/>
        <v>68.767762012998091</v>
      </c>
      <c r="J373">
        <f t="shared" ca="1" si="86"/>
        <v>1</v>
      </c>
      <c r="K373">
        <f t="shared" ca="1" si="87"/>
        <v>0</v>
      </c>
      <c r="L373">
        <f t="shared" ca="1" si="81"/>
        <v>0</v>
      </c>
      <c r="M373" t="str">
        <f t="shared" ca="1" si="88"/>
        <v>na</v>
      </c>
      <c r="N373" t="str">
        <f t="shared" ca="1" si="89"/>
        <v>na</v>
      </c>
    </row>
    <row r="374" spans="1:14" x14ac:dyDescent="0.2">
      <c r="A374" vm="715">
        <f ca="1"/>
        <v>44788</v>
      </c>
      <c r="B374" vm="572">
        <f ca="1"/>
        <v>36.25</v>
      </c>
      <c r="C374">
        <f t="shared" ca="1" si="78"/>
        <v>-4.9999999999997158E-2</v>
      </c>
      <c r="D374">
        <f t="shared" ca="1" si="79"/>
        <v>0</v>
      </c>
      <c r="E374">
        <f t="shared" ca="1" si="80"/>
        <v>4.9999999999997158E-2</v>
      </c>
      <c r="F374">
        <f t="shared" ca="1" si="82"/>
        <v>0.33718405622037334</v>
      </c>
      <c r="G374">
        <f t="shared" ca="1" si="83"/>
        <v>0.15671023054824443</v>
      </c>
      <c r="H374">
        <f t="shared" ca="1" si="84"/>
        <v>2.1516403558385977</v>
      </c>
      <c r="I374">
        <f t="shared" ca="1" si="85"/>
        <v>68.270491328509564</v>
      </c>
      <c r="J374">
        <f t="shared" ca="1" si="86"/>
        <v>1</v>
      </c>
      <c r="K374">
        <f t="shared" ca="1" si="87"/>
        <v>0</v>
      </c>
      <c r="L374">
        <f t="shared" ca="1" si="81"/>
        <v>0</v>
      </c>
      <c r="M374" t="str">
        <f t="shared" ca="1" si="88"/>
        <v>na</v>
      </c>
      <c r="N374" t="str">
        <f t="shared" ca="1" si="89"/>
        <v>na</v>
      </c>
    </row>
    <row r="375" spans="1:14" x14ac:dyDescent="0.2">
      <c r="A375" vm="716">
        <f ca="1"/>
        <v>44789</v>
      </c>
      <c r="B375" vm="38">
        <f ca="1"/>
        <v>36.64</v>
      </c>
      <c r="C375">
        <f t="shared" ca="1" si="78"/>
        <v>0.39000000000000057</v>
      </c>
      <c r="D375">
        <f t="shared" ca="1" si="79"/>
        <v>0.39000000000000057</v>
      </c>
      <c r="E375">
        <f t="shared" ca="1" si="80"/>
        <v>0</v>
      </c>
      <c r="F375">
        <f t="shared" ca="1" si="82"/>
        <v>0.34095662363320389</v>
      </c>
      <c r="G375">
        <f t="shared" ca="1" si="83"/>
        <v>0.14551664265194125</v>
      </c>
      <c r="H375">
        <f t="shared" ca="1" si="84"/>
        <v>2.3430764854074608</v>
      </c>
      <c r="I375">
        <f t="shared" ca="1" si="85"/>
        <v>70.08743280732574</v>
      </c>
      <c r="J375">
        <f t="shared" ca="1" si="86"/>
        <v>0</v>
      </c>
      <c r="K375">
        <f t="shared" ca="1" si="87"/>
        <v>0</v>
      </c>
      <c r="L375">
        <f t="shared" ca="1" si="81"/>
        <v>1</v>
      </c>
      <c r="M375" t="str">
        <f t="shared" ca="1" si="88"/>
        <v>na</v>
      </c>
      <c r="N375" vm="38">
        <f t="shared" ca="1" si="89"/>
        <v>36.64</v>
      </c>
    </row>
    <row r="376" spans="1:14" x14ac:dyDescent="0.2">
      <c r="A376" vm="717">
        <f ca="1"/>
        <v>44790</v>
      </c>
      <c r="B376" vm="718">
        <f ca="1"/>
        <v>36.409999999999997</v>
      </c>
      <c r="C376">
        <f t="shared" ca="1" si="78"/>
        <v>-0.23000000000000398</v>
      </c>
      <c r="D376">
        <f t="shared" ca="1" si="79"/>
        <v>0</v>
      </c>
      <c r="E376">
        <f t="shared" ca="1" si="80"/>
        <v>0.23000000000000398</v>
      </c>
      <c r="F376">
        <f t="shared" ca="1" si="82"/>
        <v>0.31660257908797501</v>
      </c>
      <c r="G376">
        <f t="shared" ca="1" si="83"/>
        <v>0.15155116817680289</v>
      </c>
      <c r="H376">
        <f t="shared" ca="1" si="84"/>
        <v>2.0890804267415448</v>
      </c>
      <c r="I376">
        <f t="shared" ca="1" si="85"/>
        <v>67.627906630620487</v>
      </c>
      <c r="J376">
        <f t="shared" ca="1" si="86"/>
        <v>0</v>
      </c>
      <c r="K376">
        <f t="shared" ca="1" si="87"/>
        <v>0</v>
      </c>
      <c r="L376">
        <f t="shared" ca="1" si="81"/>
        <v>0</v>
      </c>
      <c r="M376" t="str">
        <f t="shared" ca="1" si="88"/>
        <v>na</v>
      </c>
      <c r="N376" t="str">
        <f t="shared" ca="1" si="89"/>
        <v>na</v>
      </c>
    </row>
    <row r="377" spans="1:14" x14ac:dyDescent="0.2">
      <c r="A377" vm="719">
        <f ca="1"/>
        <v>44791</v>
      </c>
      <c r="B377" vm="720">
        <f ca="1"/>
        <v>36.28</v>
      </c>
      <c r="C377">
        <f t="shared" ca="1" si="78"/>
        <v>-0.12999999999999545</v>
      </c>
      <c r="D377">
        <f t="shared" ca="1" si="79"/>
        <v>0</v>
      </c>
      <c r="E377">
        <f t="shared" ca="1" si="80"/>
        <v>0.12999999999999545</v>
      </c>
      <c r="F377">
        <f t="shared" ca="1" si="82"/>
        <v>0.29398810915311963</v>
      </c>
      <c r="G377">
        <f t="shared" ca="1" si="83"/>
        <v>0.15001179902131664</v>
      </c>
      <c r="H377">
        <f t="shared" ca="1" si="84"/>
        <v>1.959766572170393</v>
      </c>
      <c r="I377">
        <f t="shared" ca="1" si="85"/>
        <v>66.213551791460986</v>
      </c>
      <c r="J377">
        <f t="shared" ca="1" si="86"/>
        <v>0</v>
      </c>
      <c r="K377">
        <f t="shared" ca="1" si="87"/>
        <v>0</v>
      </c>
      <c r="L377">
        <f t="shared" ca="1" si="81"/>
        <v>0</v>
      </c>
      <c r="M377" t="str">
        <f t="shared" ca="1" si="88"/>
        <v>na</v>
      </c>
      <c r="N377" t="str">
        <f t="shared" ca="1" si="89"/>
        <v>na</v>
      </c>
    </row>
    <row r="378" spans="1:14" x14ac:dyDescent="0.2">
      <c r="A378" vm="721">
        <f ca="1"/>
        <v>44792</v>
      </c>
      <c r="B378" vm="722">
        <f ca="1"/>
        <v>35.479999999999997</v>
      </c>
      <c r="C378">
        <f t="shared" ca="1" si="78"/>
        <v>-0.80000000000000426</v>
      </c>
      <c r="D378">
        <f t="shared" ca="1" si="79"/>
        <v>0</v>
      </c>
      <c r="E378">
        <f t="shared" ca="1" si="80"/>
        <v>0.80000000000000426</v>
      </c>
      <c r="F378">
        <f t="shared" ca="1" si="82"/>
        <v>0.27298895849932536</v>
      </c>
      <c r="G378">
        <f t="shared" ca="1" si="83"/>
        <v>0.19643952766265146</v>
      </c>
      <c r="H378">
        <f t="shared" ca="1" si="84"/>
        <v>1.3896844578456398</v>
      </c>
      <c r="I378">
        <f t="shared" ca="1" si="85"/>
        <v>58.153470985808518</v>
      </c>
      <c r="J378">
        <f t="shared" ca="1" si="86"/>
        <v>0</v>
      </c>
      <c r="K378">
        <f t="shared" ca="1" si="87"/>
        <v>0</v>
      </c>
      <c r="L378">
        <f t="shared" ca="1" si="81"/>
        <v>0</v>
      </c>
      <c r="M378" t="str">
        <f t="shared" ca="1" si="88"/>
        <v>na</v>
      </c>
      <c r="N378" t="str">
        <f t="shared" ca="1" si="89"/>
        <v>na</v>
      </c>
    </row>
    <row r="379" spans="1:14" x14ac:dyDescent="0.2">
      <c r="A379" vm="723">
        <f ca="1"/>
        <v>44795</v>
      </c>
      <c r="B379" vm="724">
        <f ca="1"/>
        <v>34.72</v>
      </c>
      <c r="C379">
        <f t="shared" ca="1" si="78"/>
        <v>-0.75999999999999801</v>
      </c>
      <c r="D379">
        <f t="shared" ca="1" si="79"/>
        <v>0</v>
      </c>
      <c r="E379">
        <f t="shared" ca="1" si="80"/>
        <v>0.75999999999999801</v>
      </c>
      <c r="F379">
        <f t="shared" ca="1" si="82"/>
        <v>0.25348974717794498</v>
      </c>
      <c r="G379">
        <f t="shared" ca="1" si="83"/>
        <v>0.23669384711531907</v>
      </c>
      <c r="H379">
        <f t="shared" ca="1" si="84"/>
        <v>1.0709604422224073</v>
      </c>
      <c r="I379">
        <f t="shared" ca="1" si="85"/>
        <v>51.71322543819953</v>
      </c>
      <c r="J379">
        <f t="shared" ca="1" si="86"/>
        <v>0</v>
      </c>
      <c r="K379">
        <f t="shared" ca="1" si="87"/>
        <v>0</v>
      </c>
      <c r="L379">
        <f t="shared" ca="1" si="81"/>
        <v>0</v>
      </c>
      <c r="M379" t="str">
        <f t="shared" ca="1" si="88"/>
        <v>na</v>
      </c>
      <c r="N379" t="str">
        <f t="shared" ca="1" si="89"/>
        <v>na</v>
      </c>
    </row>
    <row r="380" spans="1:14" x14ac:dyDescent="0.2">
      <c r="A380" vm="725">
        <f ca="1"/>
        <v>44796</v>
      </c>
      <c r="B380" vm="726">
        <f ca="1"/>
        <v>34.409999999999997</v>
      </c>
      <c r="C380">
        <f t="shared" ca="1" si="78"/>
        <v>-0.31000000000000227</v>
      </c>
      <c r="D380">
        <f t="shared" ca="1" si="79"/>
        <v>0</v>
      </c>
      <c r="E380">
        <f t="shared" ca="1" si="80"/>
        <v>0.31000000000000227</v>
      </c>
      <c r="F380">
        <f t="shared" ca="1" si="82"/>
        <v>0.23538333666523464</v>
      </c>
      <c r="G380">
        <f t="shared" ca="1" si="83"/>
        <v>0.24193000089279645</v>
      </c>
      <c r="H380">
        <f t="shared" ca="1" si="84"/>
        <v>0.9729398412623379</v>
      </c>
      <c r="I380">
        <f t="shared" ca="1" si="85"/>
        <v>49.314217337707866</v>
      </c>
      <c r="J380">
        <f t="shared" ca="1" si="86"/>
        <v>0</v>
      </c>
      <c r="K380">
        <f t="shared" ca="1" si="87"/>
        <v>0</v>
      </c>
      <c r="L380">
        <f t="shared" ca="1" si="81"/>
        <v>0</v>
      </c>
      <c r="M380" t="str">
        <f t="shared" ca="1" si="88"/>
        <v>na</v>
      </c>
      <c r="N380" t="str">
        <f t="shared" ca="1" si="89"/>
        <v>na</v>
      </c>
    </row>
    <row r="381" spans="1:14" x14ac:dyDescent="0.2">
      <c r="A381" vm="727">
        <f ca="1"/>
        <v>44797</v>
      </c>
      <c r="B381" vm="728">
        <f ca="1"/>
        <v>34.520000000000003</v>
      </c>
      <c r="C381">
        <f t="shared" ca="1" si="78"/>
        <v>0.11000000000000654</v>
      </c>
      <c r="D381">
        <f t="shared" ca="1" si="79"/>
        <v>0.11000000000000654</v>
      </c>
      <c r="E381">
        <f t="shared" ca="1" si="80"/>
        <v>0</v>
      </c>
      <c r="F381">
        <f t="shared" ca="1" si="82"/>
        <v>0.22642738404628979</v>
      </c>
      <c r="G381">
        <f t="shared" ca="1" si="83"/>
        <v>0.22464928654331098</v>
      </c>
      <c r="H381">
        <f t="shared" ca="1" si="84"/>
        <v>1.007914992877736</v>
      </c>
      <c r="I381">
        <f t="shared" ca="1" si="85"/>
        <v>50.197094819895547</v>
      </c>
      <c r="J381">
        <f t="shared" ca="1" si="86"/>
        <v>0</v>
      </c>
      <c r="K381">
        <f t="shared" ca="1" si="87"/>
        <v>0</v>
      </c>
      <c r="L381">
        <f t="shared" ca="1" si="81"/>
        <v>0</v>
      </c>
      <c r="M381" t="str">
        <f t="shared" ca="1" si="88"/>
        <v>na</v>
      </c>
      <c r="N381" t="str">
        <f t="shared" ca="1" si="89"/>
        <v>na</v>
      </c>
    </row>
    <row r="382" spans="1:14" x14ac:dyDescent="0.2">
      <c r="A382" vm="729">
        <f ca="1"/>
        <v>44798</v>
      </c>
      <c r="B382" vm="730">
        <f ca="1"/>
        <v>35.14</v>
      </c>
      <c r="C382">
        <f t="shared" ca="1" si="78"/>
        <v>0.61999999999999744</v>
      </c>
      <c r="D382">
        <f t="shared" ca="1" si="79"/>
        <v>0.61999999999999744</v>
      </c>
      <c r="E382">
        <f t="shared" ca="1" si="80"/>
        <v>0</v>
      </c>
      <c r="F382">
        <f t="shared" ca="1" si="82"/>
        <v>0.25453971375726892</v>
      </c>
      <c r="G382">
        <f t="shared" ca="1" si="83"/>
        <v>0.20860290893307448</v>
      </c>
      <c r="H382">
        <f t="shared" ca="1" si="84"/>
        <v>1.2202117173683911</v>
      </c>
      <c r="I382">
        <f t="shared" ca="1" si="85"/>
        <v>54.959250409447606</v>
      </c>
      <c r="J382">
        <f t="shared" ca="1" si="86"/>
        <v>0</v>
      </c>
      <c r="K382">
        <f t="shared" ca="1" si="87"/>
        <v>0</v>
      </c>
      <c r="L382">
        <f t="shared" ca="1" si="81"/>
        <v>0</v>
      </c>
      <c r="M382" t="str">
        <f t="shared" ca="1" si="88"/>
        <v>na</v>
      </c>
      <c r="N382" t="str">
        <f t="shared" ca="1" si="89"/>
        <v>na</v>
      </c>
    </row>
    <row r="383" spans="1:14" x14ac:dyDescent="0.2">
      <c r="A383" vm="731">
        <f ca="1"/>
        <v>44799</v>
      </c>
      <c r="B383" vm="732">
        <f ca="1"/>
        <v>34.03</v>
      </c>
      <c r="C383">
        <f t="shared" ca="1" si="78"/>
        <v>-1.1099999999999994</v>
      </c>
      <c r="D383">
        <f t="shared" ca="1" si="79"/>
        <v>0</v>
      </c>
      <c r="E383">
        <f t="shared" ca="1" si="80"/>
        <v>1.1099999999999994</v>
      </c>
      <c r="F383">
        <f t="shared" ca="1" si="82"/>
        <v>0.2363583056317497</v>
      </c>
      <c r="G383">
        <f t="shared" ca="1" si="83"/>
        <v>0.27298841543785485</v>
      </c>
      <c r="H383">
        <f t="shared" ca="1" si="84"/>
        <v>0.86581807968901192</v>
      </c>
      <c r="I383">
        <f t="shared" ca="1" si="85"/>
        <v>46.404206772040894</v>
      </c>
      <c r="J383">
        <f t="shared" ca="1" si="86"/>
        <v>0</v>
      </c>
      <c r="K383">
        <f t="shared" ca="1" si="87"/>
        <v>0</v>
      </c>
      <c r="L383">
        <f t="shared" ca="1" si="81"/>
        <v>0</v>
      </c>
      <c r="M383" t="str">
        <f t="shared" ca="1" si="88"/>
        <v>na</v>
      </c>
      <c r="N383" t="str">
        <f t="shared" ca="1" si="89"/>
        <v>na</v>
      </c>
    </row>
    <row r="384" spans="1:14" x14ac:dyDescent="0.2">
      <c r="A384" vm="733">
        <f ca="1"/>
        <v>44802</v>
      </c>
      <c r="B384" vm="734">
        <f ca="1"/>
        <v>33.9</v>
      </c>
      <c r="C384">
        <f t="shared" ca="1" si="78"/>
        <v>-0.13000000000000256</v>
      </c>
      <c r="D384">
        <f t="shared" ca="1" si="79"/>
        <v>0</v>
      </c>
      <c r="E384">
        <f t="shared" ca="1" si="80"/>
        <v>0.13000000000000256</v>
      </c>
      <c r="F384">
        <f t="shared" ca="1" si="82"/>
        <v>0.21947556951519614</v>
      </c>
      <c r="G384">
        <f t="shared" ca="1" si="83"/>
        <v>0.26277495719229399</v>
      </c>
      <c r="H384">
        <f t="shared" ca="1" si="84"/>
        <v>0.83522254883134794</v>
      </c>
      <c r="I384">
        <f t="shared" ca="1" si="85"/>
        <v>45.510695657222037</v>
      </c>
      <c r="J384">
        <f t="shared" ca="1" si="86"/>
        <v>0</v>
      </c>
      <c r="K384">
        <f t="shared" ca="1" si="87"/>
        <v>0</v>
      </c>
      <c r="L384">
        <f t="shared" ca="1" si="81"/>
        <v>0</v>
      </c>
      <c r="M384" t="str">
        <f t="shared" ca="1" si="88"/>
        <v>na</v>
      </c>
      <c r="N384" t="str">
        <f t="shared" ca="1" si="89"/>
        <v>na</v>
      </c>
    </row>
    <row r="385" spans="1:14" x14ac:dyDescent="0.2">
      <c r="A385" vm="735">
        <f ca="1"/>
        <v>44803</v>
      </c>
      <c r="B385" vm="736">
        <f ca="1"/>
        <v>34.090000000000003</v>
      </c>
      <c r="C385">
        <f t="shared" ca="1" si="78"/>
        <v>0.19000000000000483</v>
      </c>
      <c r="D385">
        <f t="shared" ca="1" si="79"/>
        <v>0.19000000000000483</v>
      </c>
      <c r="E385">
        <f t="shared" ca="1" si="80"/>
        <v>0</v>
      </c>
      <c r="F385">
        <f t="shared" ca="1" si="82"/>
        <v>0.2173701716926825</v>
      </c>
      <c r="G385">
        <f t="shared" ca="1" si="83"/>
        <v>0.24400531739284442</v>
      </c>
      <c r="H385">
        <f t="shared" ca="1" si="84"/>
        <v>0.89084194563973462</v>
      </c>
      <c r="I385">
        <f t="shared" ca="1" si="85"/>
        <v>47.113506641525937</v>
      </c>
      <c r="J385">
        <f t="shared" ca="1" si="86"/>
        <v>0</v>
      </c>
      <c r="K385">
        <f t="shared" ca="1" si="87"/>
        <v>0</v>
      </c>
      <c r="L385">
        <f t="shared" ca="1" si="81"/>
        <v>0</v>
      </c>
      <c r="M385" t="str">
        <f t="shared" ca="1" si="88"/>
        <v>na</v>
      </c>
      <c r="N385" t="str">
        <f t="shared" ca="1" si="89"/>
        <v>na</v>
      </c>
    </row>
    <row r="386" spans="1:14" x14ac:dyDescent="0.2">
      <c r="A386" vm="737">
        <f ca="1"/>
        <v>44804</v>
      </c>
      <c r="B386" vm="738">
        <f ca="1"/>
        <v>33.61</v>
      </c>
      <c r="C386">
        <f t="shared" ca="1" si="78"/>
        <v>-0.48000000000000398</v>
      </c>
      <c r="D386">
        <f t="shared" ca="1" si="79"/>
        <v>0</v>
      </c>
      <c r="E386">
        <f t="shared" ca="1" si="80"/>
        <v>0.48000000000000398</v>
      </c>
      <c r="F386">
        <f t="shared" ca="1" si="82"/>
        <v>0.20184373085749091</v>
      </c>
      <c r="G386">
        <f t="shared" ca="1" si="83"/>
        <v>0.26086208043621295</v>
      </c>
      <c r="H386">
        <f t="shared" ca="1" si="84"/>
        <v>0.7737565019797753</v>
      </c>
      <c r="I386">
        <f t="shared" ca="1" si="85"/>
        <v>43.622475864987571</v>
      </c>
      <c r="J386">
        <f t="shared" ca="1" si="86"/>
        <v>0</v>
      </c>
      <c r="K386">
        <f t="shared" ca="1" si="87"/>
        <v>0</v>
      </c>
      <c r="L386">
        <f t="shared" ca="1" si="81"/>
        <v>0</v>
      </c>
      <c r="M386" t="str">
        <f t="shared" ca="1" si="88"/>
        <v>na</v>
      </c>
      <c r="N386" t="str">
        <f t="shared" ca="1" si="89"/>
        <v>na</v>
      </c>
    </row>
    <row r="387" spans="1:14" x14ac:dyDescent="0.2">
      <c r="A387" vm="739">
        <f ca="1"/>
        <v>44805</v>
      </c>
      <c r="B387" vm="740">
        <f ca="1"/>
        <v>33.47</v>
      </c>
      <c r="C387">
        <f t="shared" ca="1" si="78"/>
        <v>-0.14000000000000057</v>
      </c>
      <c r="D387">
        <f t="shared" ca="1" si="79"/>
        <v>0</v>
      </c>
      <c r="E387">
        <f t="shared" ca="1" si="80"/>
        <v>0.14000000000000057</v>
      </c>
      <c r="F387">
        <f t="shared" ca="1" si="82"/>
        <v>0.18742632151052727</v>
      </c>
      <c r="G387">
        <f t="shared" ca="1" si="83"/>
        <v>0.25222907469076922</v>
      </c>
      <c r="H387">
        <f t="shared" ca="1" si="84"/>
        <v>0.74307976485387506</v>
      </c>
      <c r="I387">
        <f t="shared" ca="1" si="85"/>
        <v>42.630278879760191</v>
      </c>
      <c r="J387">
        <f t="shared" ca="1" si="86"/>
        <v>0</v>
      </c>
      <c r="K387">
        <f t="shared" ca="1" si="87"/>
        <v>0</v>
      </c>
      <c r="L387">
        <f t="shared" ca="1" si="81"/>
        <v>0</v>
      </c>
      <c r="M387" t="str">
        <f t="shared" ca="1" si="88"/>
        <v>na</v>
      </c>
      <c r="N387" t="str">
        <f t="shared" ca="1" si="89"/>
        <v>na</v>
      </c>
    </row>
    <row r="388" spans="1:14" x14ac:dyDescent="0.2">
      <c r="A388" vm="741">
        <f ca="1"/>
        <v>44806</v>
      </c>
      <c r="B388" vm="685">
        <f ca="1"/>
        <v>33.43</v>
      </c>
      <c r="C388">
        <f t="shared" ca="1" si="78"/>
        <v>-3.9999999999999147E-2</v>
      </c>
      <c r="D388">
        <f t="shared" ca="1" si="79"/>
        <v>0</v>
      </c>
      <c r="E388">
        <f t="shared" ca="1" si="80"/>
        <v>3.9999999999999147E-2</v>
      </c>
      <c r="F388">
        <f t="shared" ca="1" si="82"/>
        <v>0.17403872711691817</v>
      </c>
      <c r="G388">
        <f t="shared" ca="1" si="83"/>
        <v>0.23706985506999992</v>
      </c>
      <c r="H388">
        <f t="shared" ca="1" si="84"/>
        <v>0.73412423973317709</v>
      </c>
      <c r="I388">
        <f t="shared" ca="1" si="85"/>
        <v>42.334004848818324</v>
      </c>
      <c r="J388">
        <f t="shared" ca="1" si="86"/>
        <v>0</v>
      </c>
      <c r="K388">
        <f t="shared" ca="1" si="87"/>
        <v>0</v>
      </c>
      <c r="L388">
        <f t="shared" ca="1" si="81"/>
        <v>0</v>
      </c>
      <c r="M388" t="str">
        <f t="shared" ca="1" si="88"/>
        <v>na</v>
      </c>
      <c r="N388" t="str">
        <f t="shared" ca="1" si="89"/>
        <v>na</v>
      </c>
    </row>
    <row r="389" spans="1:14" x14ac:dyDescent="0.2">
      <c r="A389" vm="742">
        <f ca="1"/>
        <v>44810</v>
      </c>
      <c r="B389" vm="40">
        <f ca="1"/>
        <v>33.06</v>
      </c>
      <c r="C389">
        <f t="shared" ca="1" si="78"/>
        <v>-0.36999999999999744</v>
      </c>
      <c r="D389">
        <f t="shared" ca="1" si="79"/>
        <v>0</v>
      </c>
      <c r="E389">
        <f t="shared" ca="1" si="80"/>
        <v>0.36999999999999744</v>
      </c>
      <c r="F389">
        <f t="shared" ca="1" si="82"/>
        <v>0.16160738946570974</v>
      </c>
      <c r="G389">
        <f t="shared" ca="1" si="83"/>
        <v>0.24656486542214259</v>
      </c>
      <c r="H389">
        <f t="shared" ca="1" si="84"/>
        <v>0.65543559577729149</v>
      </c>
      <c r="I389">
        <f t="shared" ca="1" si="85"/>
        <v>39.592938405407367</v>
      </c>
      <c r="J389">
        <f t="shared" ca="1" si="86"/>
        <v>1</v>
      </c>
      <c r="K389">
        <f t="shared" ca="1" si="87"/>
        <v>1</v>
      </c>
      <c r="L389">
        <f t="shared" ca="1" si="81"/>
        <v>0</v>
      </c>
      <c r="M389" vm="40">
        <f t="shared" ca="1" si="88"/>
        <v>33.06</v>
      </c>
      <c r="N389" t="str">
        <f t="shared" ca="1" si="89"/>
        <v>na</v>
      </c>
    </row>
    <row r="390" spans="1:14" x14ac:dyDescent="0.2">
      <c r="A390" vm="743">
        <f ca="1"/>
        <v>44811</v>
      </c>
      <c r="B390" vm="744">
        <f ca="1"/>
        <v>33.57</v>
      </c>
      <c r="C390">
        <f t="shared" ca="1" si="78"/>
        <v>0.50999999999999801</v>
      </c>
      <c r="D390">
        <f t="shared" ca="1" si="79"/>
        <v>0.50999999999999801</v>
      </c>
      <c r="E390">
        <f t="shared" ca="1" si="80"/>
        <v>0</v>
      </c>
      <c r="F390">
        <f t="shared" ca="1" si="82"/>
        <v>0.18649257593244459</v>
      </c>
      <c r="G390">
        <f t="shared" ca="1" si="83"/>
        <v>0.22895308932056097</v>
      </c>
      <c r="H390">
        <f t="shared" ca="1" si="84"/>
        <v>0.81454492047204163</v>
      </c>
      <c r="I390">
        <f t="shared" ca="1" si="85"/>
        <v>44.889763338575449</v>
      </c>
      <c r="J390">
        <f t="shared" ca="1" si="86"/>
        <v>1</v>
      </c>
      <c r="K390">
        <f t="shared" ca="1" si="87"/>
        <v>0</v>
      </c>
      <c r="L390">
        <f t="shared" ca="1" si="81"/>
        <v>0</v>
      </c>
      <c r="M390" t="str">
        <f t="shared" ca="1" si="88"/>
        <v>na</v>
      </c>
      <c r="N390" t="str">
        <f t="shared" ca="1" si="89"/>
        <v>na</v>
      </c>
    </row>
    <row r="391" spans="1:14" x14ac:dyDescent="0.2">
      <c r="A391" vm="745">
        <f ca="1"/>
        <v>44812</v>
      </c>
      <c r="B391" vm="746">
        <f ca="1"/>
        <v>34.65</v>
      </c>
      <c r="C391">
        <f t="shared" ca="1" si="78"/>
        <v>1.0799999999999983</v>
      </c>
      <c r="D391">
        <f t="shared" ca="1" si="79"/>
        <v>1.0799999999999983</v>
      </c>
      <c r="E391">
        <f t="shared" ca="1" si="80"/>
        <v>0</v>
      </c>
      <c r="F391">
        <f t="shared" ca="1" si="82"/>
        <v>0.25031453479441274</v>
      </c>
      <c r="G391">
        <f t="shared" ca="1" si="83"/>
        <v>0.21259929722623519</v>
      </c>
      <c r="H391">
        <f t="shared" ca="1" si="84"/>
        <v>1.1774005749795273</v>
      </c>
      <c r="I391">
        <f t="shared" ca="1" si="85"/>
        <v>54.073677967619609</v>
      </c>
      <c r="J391">
        <f t="shared" ca="1" si="86"/>
        <v>1</v>
      </c>
      <c r="K391">
        <f t="shared" ca="1" si="87"/>
        <v>0</v>
      </c>
      <c r="L391">
        <f t="shared" ca="1" si="81"/>
        <v>0</v>
      </c>
      <c r="M391" t="str">
        <f t="shared" ca="1" si="88"/>
        <v>na</v>
      </c>
      <c r="N391" t="str">
        <f t="shared" ca="1" si="89"/>
        <v>na</v>
      </c>
    </row>
    <row r="392" spans="1:14" x14ac:dyDescent="0.2">
      <c r="A392" vm="747">
        <f ca="1"/>
        <v>44813</v>
      </c>
      <c r="B392" vm="748">
        <f ca="1"/>
        <v>34.94</v>
      </c>
      <c r="C392">
        <f t="shared" ca="1" si="78"/>
        <v>0.28999999999999915</v>
      </c>
      <c r="D392">
        <f t="shared" ca="1" si="79"/>
        <v>0.28999999999999915</v>
      </c>
      <c r="E392">
        <f t="shared" ca="1" si="80"/>
        <v>0</v>
      </c>
      <c r="F392">
        <f t="shared" ca="1" si="82"/>
        <v>0.25314921088052605</v>
      </c>
      <c r="G392">
        <f t="shared" ca="1" si="83"/>
        <v>0.19741363313864696</v>
      </c>
      <c r="H392">
        <f t="shared" ca="1" si="84"/>
        <v>1.2823289195165921</v>
      </c>
      <c r="I392">
        <f t="shared" ca="1" si="85"/>
        <v>56.18510586056086</v>
      </c>
      <c r="J392">
        <f t="shared" ca="1" si="86"/>
        <v>1</v>
      </c>
      <c r="K392">
        <f t="shared" ca="1" si="87"/>
        <v>0</v>
      </c>
      <c r="L392">
        <f t="shared" ca="1" si="81"/>
        <v>0</v>
      </c>
      <c r="M392" t="str">
        <f t="shared" ca="1" si="88"/>
        <v>na</v>
      </c>
      <c r="N392" t="str">
        <f t="shared" ca="1" si="89"/>
        <v>na</v>
      </c>
    </row>
    <row r="393" spans="1:14" x14ac:dyDescent="0.2">
      <c r="A393" vm="749">
        <f ca="1"/>
        <v>44816</v>
      </c>
      <c r="B393" vm="750">
        <f ca="1"/>
        <v>35.270000000000003</v>
      </c>
      <c r="C393">
        <f t="shared" ref="C393:C456" ca="1" si="90">B393-B392</f>
        <v>0.3300000000000054</v>
      </c>
      <c r="D393">
        <f t="shared" ref="D393:D456" ca="1" si="91">IF(C393&gt;0,C393,0)</f>
        <v>0.3300000000000054</v>
      </c>
      <c r="E393">
        <f t="shared" ref="E393:E456" ca="1" si="92">IF(C393&lt;0,ABS(C393),0)</f>
        <v>0</v>
      </c>
      <c r="F393">
        <f t="shared" ca="1" si="82"/>
        <v>0.25863855296048888</v>
      </c>
      <c r="G393">
        <f t="shared" ca="1" si="83"/>
        <v>0.18331265934302934</v>
      </c>
      <c r="H393">
        <f t="shared" ca="1" si="84"/>
        <v>1.4109148483657294</v>
      </c>
      <c r="I393">
        <f t="shared" ca="1" si="85"/>
        <v>58.52196933965282</v>
      </c>
      <c r="J393">
        <f t="shared" ca="1" si="86"/>
        <v>1</v>
      </c>
      <c r="K393">
        <f t="shared" ca="1" si="87"/>
        <v>0</v>
      </c>
      <c r="L393">
        <f t="shared" ca="1" si="81"/>
        <v>0</v>
      </c>
      <c r="M393" t="str">
        <f t="shared" ca="1" si="88"/>
        <v>na</v>
      </c>
      <c r="N393" t="str">
        <f t="shared" ca="1" si="89"/>
        <v>na</v>
      </c>
    </row>
    <row r="394" spans="1:14" x14ac:dyDescent="0.2">
      <c r="A394" vm="751">
        <f ca="1"/>
        <v>44817</v>
      </c>
      <c r="B394" vm="752">
        <f ca="1"/>
        <v>34</v>
      </c>
      <c r="C394">
        <f t="shared" ca="1" si="90"/>
        <v>-1.2700000000000031</v>
      </c>
      <c r="D394">
        <f t="shared" ca="1" si="91"/>
        <v>0</v>
      </c>
      <c r="E394">
        <f t="shared" ca="1" si="92"/>
        <v>1.2700000000000031</v>
      </c>
      <c r="F394">
        <f t="shared" ca="1" si="82"/>
        <v>0.24016437060616824</v>
      </c>
      <c r="G394">
        <f t="shared" ca="1" si="83"/>
        <v>0.26093318367567037</v>
      </c>
      <c r="H394">
        <f t="shared" ca="1" si="84"/>
        <v>0.92040562730680919</v>
      </c>
      <c r="I394">
        <f t="shared" ca="1" si="85"/>
        <v>47.927667687455845</v>
      </c>
      <c r="J394">
        <f t="shared" ca="1" si="86"/>
        <v>1</v>
      </c>
      <c r="K394">
        <f t="shared" ca="1" si="87"/>
        <v>0</v>
      </c>
      <c r="L394">
        <f t="shared" ca="1" si="81"/>
        <v>0</v>
      </c>
      <c r="M394" t="str">
        <f t="shared" ca="1" si="88"/>
        <v>na</v>
      </c>
      <c r="N394" t="str">
        <f t="shared" ca="1" si="89"/>
        <v>na</v>
      </c>
    </row>
    <row r="395" spans="1:14" x14ac:dyDescent="0.2">
      <c r="A395" vm="753">
        <f ca="1"/>
        <v>44818</v>
      </c>
      <c r="B395" vm="754">
        <f ca="1"/>
        <v>33.869999999999997</v>
      </c>
      <c r="C395">
        <f t="shared" ca="1" si="90"/>
        <v>-0.13000000000000256</v>
      </c>
      <c r="D395">
        <f t="shared" ca="1" si="91"/>
        <v>0</v>
      </c>
      <c r="E395">
        <f t="shared" ca="1" si="92"/>
        <v>0.13000000000000256</v>
      </c>
      <c r="F395">
        <f t="shared" ca="1" si="82"/>
        <v>0.22300977270572764</v>
      </c>
      <c r="G395">
        <f t="shared" ca="1" si="83"/>
        <v>0.25158081341312266</v>
      </c>
      <c r="H395">
        <f t="shared" ca="1" si="84"/>
        <v>0.88643394414788579</v>
      </c>
      <c r="I395">
        <f t="shared" ca="1" si="85"/>
        <v>46.989927577257085</v>
      </c>
      <c r="J395">
        <f t="shared" ca="1" si="86"/>
        <v>1</v>
      </c>
      <c r="K395">
        <f t="shared" ca="1" si="87"/>
        <v>0</v>
      </c>
      <c r="L395">
        <f t="shared" ca="1" si="81"/>
        <v>0</v>
      </c>
      <c r="M395" t="str">
        <f t="shared" ca="1" si="88"/>
        <v>na</v>
      </c>
      <c r="N395" t="str">
        <f t="shared" ca="1" si="89"/>
        <v>na</v>
      </c>
    </row>
    <row r="396" spans="1:14" x14ac:dyDescent="0.2">
      <c r="A396" vm="755">
        <f ca="1"/>
        <v>44819</v>
      </c>
      <c r="B396" vm="630">
        <f ca="1"/>
        <v>34.51</v>
      </c>
      <c r="C396">
        <f t="shared" ca="1" si="90"/>
        <v>0.64000000000000057</v>
      </c>
      <c r="D396">
        <f t="shared" ca="1" si="91"/>
        <v>0.64000000000000057</v>
      </c>
      <c r="E396">
        <f t="shared" ca="1" si="92"/>
        <v>0</v>
      </c>
      <c r="F396">
        <f t="shared" ca="1" si="82"/>
        <v>0.25279478894103286</v>
      </c>
      <c r="G396">
        <f t="shared" ca="1" si="83"/>
        <v>0.23361075531218534</v>
      </c>
      <c r="H396">
        <f t="shared" ca="1" si="84"/>
        <v>1.08211965071219</v>
      </c>
      <c r="I396">
        <f t="shared" ca="1" si="85"/>
        <v>51.972020452429355</v>
      </c>
      <c r="J396">
        <f t="shared" ca="1" si="86"/>
        <v>1</v>
      </c>
      <c r="K396">
        <f t="shared" ca="1" si="87"/>
        <v>0</v>
      </c>
      <c r="L396">
        <f t="shared" ca="1" si="81"/>
        <v>0</v>
      </c>
      <c r="M396" t="str">
        <f t="shared" ca="1" si="88"/>
        <v>na</v>
      </c>
      <c r="N396" t="str">
        <f t="shared" ca="1" si="89"/>
        <v>na</v>
      </c>
    </row>
    <row r="397" spans="1:14" x14ac:dyDescent="0.2">
      <c r="A397" vm="756">
        <f ca="1"/>
        <v>44820</v>
      </c>
      <c r="B397" vm="757">
        <f ca="1"/>
        <v>34.119999999999997</v>
      </c>
      <c r="C397">
        <f t="shared" ca="1" si="90"/>
        <v>-0.39000000000000057</v>
      </c>
      <c r="D397">
        <f t="shared" ca="1" si="91"/>
        <v>0</v>
      </c>
      <c r="E397">
        <f t="shared" ca="1" si="92"/>
        <v>0.39000000000000057</v>
      </c>
      <c r="F397">
        <f t="shared" ca="1" si="82"/>
        <v>0.23473801830238766</v>
      </c>
      <c r="G397">
        <f t="shared" ca="1" si="83"/>
        <v>0.24478141564702929</v>
      </c>
      <c r="H397">
        <f t="shared" ca="1" si="84"/>
        <v>0.95896993520486851</v>
      </c>
      <c r="I397">
        <f t="shared" ca="1" si="85"/>
        <v>48.952764305929975</v>
      </c>
      <c r="J397">
        <f t="shared" ca="1" si="86"/>
        <v>1</v>
      </c>
      <c r="K397">
        <f t="shared" ca="1" si="87"/>
        <v>0</v>
      </c>
      <c r="L397">
        <f t="shared" ca="1" si="81"/>
        <v>0</v>
      </c>
      <c r="M397" t="str">
        <f t="shared" ca="1" si="88"/>
        <v>na</v>
      </c>
      <c r="N397" t="str">
        <f t="shared" ca="1" si="89"/>
        <v>na</v>
      </c>
    </row>
    <row r="398" spans="1:14" x14ac:dyDescent="0.2">
      <c r="A398" vm="758">
        <f ca="1"/>
        <v>44823</v>
      </c>
      <c r="B398" vm="759">
        <f ca="1"/>
        <v>34.69</v>
      </c>
      <c r="C398">
        <f t="shared" ca="1" si="90"/>
        <v>0.57000000000000028</v>
      </c>
      <c r="D398">
        <f t="shared" ca="1" si="91"/>
        <v>0.57000000000000028</v>
      </c>
      <c r="E398">
        <f t="shared" ca="1" si="92"/>
        <v>0</v>
      </c>
      <c r="F398">
        <f t="shared" ca="1" si="82"/>
        <v>0.25868530270935997</v>
      </c>
      <c r="G398">
        <f t="shared" ca="1" si="83"/>
        <v>0.22729702881509864</v>
      </c>
      <c r="H398">
        <f t="shared" ca="1" si="84"/>
        <v>1.1380936392256804</v>
      </c>
      <c r="I398">
        <f t="shared" ca="1" si="85"/>
        <v>53.22936368857286</v>
      </c>
      <c r="J398">
        <f t="shared" ca="1" si="86"/>
        <v>1</v>
      </c>
      <c r="K398">
        <f t="shared" ca="1" si="87"/>
        <v>0</v>
      </c>
      <c r="L398">
        <f t="shared" ca="1" si="81"/>
        <v>0</v>
      </c>
      <c r="M398" t="str">
        <f t="shared" ca="1" si="88"/>
        <v>na</v>
      </c>
      <c r="N398" t="str">
        <f t="shared" ca="1" si="89"/>
        <v>na</v>
      </c>
    </row>
    <row r="399" spans="1:14" x14ac:dyDescent="0.2">
      <c r="A399" vm="760">
        <f ca="1"/>
        <v>44824</v>
      </c>
      <c r="B399" vm="761">
        <f ca="1"/>
        <v>34.17</v>
      </c>
      <c r="C399">
        <f t="shared" ca="1" si="90"/>
        <v>-0.51999999999999602</v>
      </c>
      <c r="D399">
        <f t="shared" ca="1" si="91"/>
        <v>0</v>
      </c>
      <c r="E399">
        <f t="shared" ca="1" si="92"/>
        <v>0.51999999999999602</v>
      </c>
      <c r="F399">
        <f t="shared" ca="1" si="82"/>
        <v>0.24020778108726284</v>
      </c>
      <c r="G399">
        <f t="shared" ca="1" si="83"/>
        <v>0.24820438389973415</v>
      </c>
      <c r="H399">
        <f t="shared" ca="1" si="84"/>
        <v>0.9677821854439862</v>
      </c>
      <c r="I399">
        <f t="shared" ca="1" si="85"/>
        <v>49.181367358787611</v>
      </c>
      <c r="J399">
        <f t="shared" ca="1" si="86"/>
        <v>1</v>
      </c>
      <c r="K399">
        <f t="shared" ca="1" si="87"/>
        <v>0</v>
      </c>
      <c r="L399">
        <f t="shared" ca="1" si="81"/>
        <v>0</v>
      </c>
      <c r="M399" t="str">
        <f t="shared" ca="1" si="88"/>
        <v>na</v>
      </c>
      <c r="N399" t="str">
        <f t="shared" ca="1" si="89"/>
        <v>na</v>
      </c>
    </row>
    <row r="400" spans="1:14" x14ac:dyDescent="0.2">
      <c r="A400" vm="762">
        <f ca="1"/>
        <v>44825</v>
      </c>
      <c r="B400" vm="763">
        <f ca="1"/>
        <v>33.15</v>
      </c>
      <c r="C400">
        <f t="shared" ca="1" si="90"/>
        <v>-1.0200000000000031</v>
      </c>
      <c r="D400">
        <f t="shared" ca="1" si="91"/>
        <v>0</v>
      </c>
      <c r="E400">
        <f t="shared" ca="1" si="92"/>
        <v>1.0200000000000031</v>
      </c>
      <c r="F400">
        <f t="shared" ca="1" si="82"/>
        <v>0.22305008243817265</v>
      </c>
      <c r="G400">
        <f t="shared" ca="1" si="83"/>
        <v>0.30333264219261047</v>
      </c>
      <c r="H400">
        <f t="shared" ca="1" si="84"/>
        <v>0.73533161754658793</v>
      </c>
      <c r="I400">
        <f t="shared" ca="1" si="85"/>
        <v>42.374126657485789</v>
      </c>
      <c r="J400">
        <f t="shared" ca="1" si="86"/>
        <v>1</v>
      </c>
      <c r="K400">
        <f t="shared" ca="1" si="87"/>
        <v>0</v>
      </c>
      <c r="L400">
        <f t="shared" ca="1" si="81"/>
        <v>0</v>
      </c>
      <c r="M400" t="str">
        <f t="shared" ca="1" si="88"/>
        <v>na</v>
      </c>
      <c r="N400" t="str">
        <f t="shared" ca="1" si="89"/>
        <v>na</v>
      </c>
    </row>
    <row r="401" spans="1:14" x14ac:dyDescent="0.2">
      <c r="A401" vm="764">
        <f ca="1"/>
        <v>44826</v>
      </c>
      <c r="B401" vm="765">
        <f ca="1"/>
        <v>32.5</v>
      </c>
      <c r="C401">
        <f t="shared" ca="1" si="90"/>
        <v>-0.64999999999999858</v>
      </c>
      <c r="D401">
        <f t="shared" ca="1" si="91"/>
        <v>0</v>
      </c>
      <c r="E401">
        <f t="shared" ca="1" si="92"/>
        <v>0.64999999999999858</v>
      </c>
      <c r="F401">
        <f t="shared" ca="1" si="82"/>
        <v>0.20711793369258888</v>
      </c>
      <c r="G401">
        <f t="shared" ca="1" si="83"/>
        <v>0.32809459632170956</v>
      </c>
      <c r="H401">
        <f t="shared" ca="1" si="84"/>
        <v>0.63127505303227138</v>
      </c>
      <c r="I401">
        <f t="shared" ca="1" si="85"/>
        <v>38.698259490870974</v>
      </c>
      <c r="J401">
        <f t="shared" ca="1" si="86"/>
        <v>1</v>
      </c>
      <c r="K401">
        <f t="shared" ca="1" si="87"/>
        <v>1</v>
      </c>
      <c r="L401">
        <f t="shared" ca="1" si="81"/>
        <v>0</v>
      </c>
      <c r="M401" t="str">
        <f t="shared" ca="1" si="88"/>
        <v>na</v>
      </c>
      <c r="N401" t="str">
        <f t="shared" ca="1" si="89"/>
        <v>na</v>
      </c>
    </row>
    <row r="402" spans="1:14" x14ac:dyDescent="0.2">
      <c r="A402" vm="766">
        <f ca="1"/>
        <v>44827</v>
      </c>
      <c r="B402" vm="767">
        <f ca="1"/>
        <v>31.73</v>
      </c>
      <c r="C402">
        <f t="shared" ca="1" si="90"/>
        <v>-0.76999999999999957</v>
      </c>
      <c r="D402">
        <f t="shared" ca="1" si="91"/>
        <v>0</v>
      </c>
      <c r="E402">
        <f t="shared" ca="1" si="92"/>
        <v>0.76999999999999957</v>
      </c>
      <c r="F402">
        <f t="shared" ca="1" si="82"/>
        <v>0.19232379557168966</v>
      </c>
      <c r="G402">
        <f t="shared" ca="1" si="83"/>
        <v>0.35965926801301601</v>
      </c>
      <c r="H402">
        <f t="shared" ca="1" si="84"/>
        <v>0.53473888392813362</v>
      </c>
      <c r="I402">
        <f t="shared" ca="1" si="85"/>
        <v>34.842336343201268</v>
      </c>
      <c r="J402">
        <f t="shared" ca="1" si="86"/>
        <v>1</v>
      </c>
      <c r="K402">
        <f t="shared" ca="1" si="87"/>
        <v>1</v>
      </c>
      <c r="L402">
        <f t="shared" ca="1" si="81"/>
        <v>0</v>
      </c>
      <c r="M402" t="str">
        <f t="shared" ca="1" si="88"/>
        <v>na</v>
      </c>
      <c r="N402" t="str">
        <f t="shared" ca="1" si="89"/>
        <v>na</v>
      </c>
    </row>
    <row r="403" spans="1:14" x14ac:dyDescent="0.2">
      <c r="A403" vm="768">
        <f ca="1"/>
        <v>44830</v>
      </c>
      <c r="B403" vm="769">
        <f ca="1"/>
        <v>31.03</v>
      </c>
      <c r="C403">
        <f t="shared" ca="1" si="90"/>
        <v>-0.69999999999999929</v>
      </c>
      <c r="D403">
        <f t="shared" ca="1" si="91"/>
        <v>0</v>
      </c>
      <c r="E403">
        <f t="shared" ca="1" si="92"/>
        <v>0.69999999999999929</v>
      </c>
      <c r="F403">
        <f t="shared" ca="1" si="82"/>
        <v>0.17858638160228324</v>
      </c>
      <c r="G403">
        <f t="shared" ca="1" si="83"/>
        <v>0.38396932029780056</v>
      </c>
      <c r="H403">
        <f t="shared" ca="1" si="84"/>
        <v>0.46510586174899193</v>
      </c>
      <c r="I403">
        <f t="shared" ca="1" si="85"/>
        <v>31.745546440839775</v>
      </c>
      <c r="J403">
        <f t="shared" ca="1" si="86"/>
        <v>1</v>
      </c>
      <c r="K403">
        <f t="shared" ca="1" si="87"/>
        <v>1</v>
      </c>
      <c r="L403">
        <f t="shared" ca="1" si="81"/>
        <v>0</v>
      </c>
      <c r="M403" t="str">
        <f t="shared" ca="1" si="88"/>
        <v>na</v>
      </c>
      <c r="N403" t="str">
        <f t="shared" ca="1" si="89"/>
        <v>na</v>
      </c>
    </row>
    <row r="404" spans="1:14" x14ac:dyDescent="0.2">
      <c r="A404" vm="770">
        <f ca="1"/>
        <v>44831</v>
      </c>
      <c r="B404" vm="771">
        <f ca="1"/>
        <v>30.57</v>
      </c>
      <c r="C404">
        <f t="shared" ca="1" si="90"/>
        <v>-0.46000000000000085</v>
      </c>
      <c r="D404">
        <f t="shared" ca="1" si="91"/>
        <v>0</v>
      </c>
      <c r="E404">
        <f t="shared" ca="1" si="92"/>
        <v>0.46000000000000085</v>
      </c>
      <c r="F404">
        <f t="shared" ca="1" si="82"/>
        <v>0.16583021148783444</v>
      </c>
      <c r="G404">
        <f t="shared" ca="1" si="83"/>
        <v>0.38940008313367203</v>
      </c>
      <c r="H404">
        <f t="shared" ca="1" si="84"/>
        <v>0.42586075008851187</v>
      </c>
      <c r="I404">
        <f t="shared" ca="1" si="85"/>
        <v>29.866924246429818</v>
      </c>
      <c r="J404">
        <f t="shared" ca="1" si="86"/>
        <v>1</v>
      </c>
      <c r="K404">
        <f t="shared" ca="1" si="87"/>
        <v>1</v>
      </c>
      <c r="L404">
        <f t="shared" ca="1" si="81"/>
        <v>0</v>
      </c>
      <c r="M404" t="str">
        <f t="shared" ca="1" si="88"/>
        <v>na</v>
      </c>
      <c r="N404" t="str">
        <f t="shared" ca="1" si="89"/>
        <v>na</v>
      </c>
    </row>
    <row r="405" spans="1:14" x14ac:dyDescent="0.2">
      <c r="A405" vm="772">
        <f ca="1"/>
        <v>44832</v>
      </c>
      <c r="B405" vm="773">
        <f ca="1"/>
        <v>31.07</v>
      </c>
      <c r="C405">
        <f t="shared" ca="1" si="90"/>
        <v>0.5</v>
      </c>
      <c r="D405">
        <f t="shared" ca="1" si="91"/>
        <v>0.5</v>
      </c>
      <c r="E405">
        <f t="shared" ca="1" si="92"/>
        <v>0</v>
      </c>
      <c r="F405">
        <f t="shared" ca="1" si="82"/>
        <v>0.18969948209584625</v>
      </c>
      <c r="G405">
        <f t="shared" ca="1" si="83"/>
        <v>0.3615857914812669</v>
      </c>
      <c r="H405">
        <f t="shared" ca="1" si="84"/>
        <v>0.52463201421362882</v>
      </c>
      <c r="I405">
        <f t="shared" ca="1" si="85"/>
        <v>34.410402596997969</v>
      </c>
      <c r="J405">
        <f t="shared" ca="1" si="86"/>
        <v>1</v>
      </c>
      <c r="K405">
        <f t="shared" ca="1" si="87"/>
        <v>1</v>
      </c>
      <c r="L405">
        <f t="shared" ca="1" si="81"/>
        <v>0</v>
      </c>
      <c r="M405" t="str">
        <f t="shared" ca="1" si="88"/>
        <v>na</v>
      </c>
      <c r="N405" t="str">
        <f t="shared" ca="1" si="89"/>
        <v>na</v>
      </c>
    </row>
    <row r="406" spans="1:14" x14ac:dyDescent="0.2">
      <c r="A406" vm="774">
        <f ca="1"/>
        <v>44833</v>
      </c>
      <c r="B406" vm="775">
        <f ca="1"/>
        <v>30.66</v>
      </c>
      <c r="C406">
        <f t="shared" ca="1" si="90"/>
        <v>-0.41000000000000014</v>
      </c>
      <c r="D406">
        <f t="shared" ca="1" si="91"/>
        <v>0</v>
      </c>
      <c r="E406">
        <f t="shared" ca="1" si="92"/>
        <v>0.41000000000000014</v>
      </c>
      <c r="F406">
        <f t="shared" ca="1" si="82"/>
        <v>0.17614951908900009</v>
      </c>
      <c r="G406">
        <f t="shared" ca="1" si="83"/>
        <v>0.36504394923260497</v>
      </c>
      <c r="H406">
        <f t="shared" ca="1" si="84"/>
        <v>0.48254331967233377</v>
      </c>
      <c r="I406">
        <f t="shared" ca="1" si="85"/>
        <v>32.548345351485821</v>
      </c>
      <c r="J406">
        <f t="shared" ca="1" si="86"/>
        <v>1</v>
      </c>
      <c r="K406">
        <f t="shared" ca="1" si="87"/>
        <v>1</v>
      </c>
      <c r="L406">
        <f t="shared" ref="L406:L469" ca="1" si="93">IF(I406&gt;$C$3,1,0)</f>
        <v>0</v>
      </c>
      <c r="M406" t="str">
        <f t="shared" ca="1" si="88"/>
        <v>na</v>
      </c>
      <c r="N406" t="str">
        <f t="shared" ca="1" si="89"/>
        <v>na</v>
      </c>
    </row>
    <row r="407" spans="1:14" x14ac:dyDescent="0.2">
      <c r="A407" vm="776">
        <f ca="1"/>
        <v>44834</v>
      </c>
      <c r="B407" vm="777">
        <f ca="1"/>
        <v>30.2</v>
      </c>
      <c r="C407">
        <f t="shared" ca="1" si="90"/>
        <v>-0.46000000000000085</v>
      </c>
      <c r="D407">
        <f t="shared" ca="1" si="91"/>
        <v>0</v>
      </c>
      <c r="E407">
        <f t="shared" ca="1" si="92"/>
        <v>0.46000000000000085</v>
      </c>
      <c r="F407">
        <f t="shared" ref="F407:F470" ca="1" si="94">((F406*13)+D407)/14</f>
        <v>0.16356741058264296</v>
      </c>
      <c r="G407">
        <f t="shared" ref="G407:G470" ca="1" si="95">((G406*13)+E407)/14</f>
        <v>0.37182652428741897</v>
      </c>
      <c r="H407">
        <f t="shared" ref="H407:H470" ca="1" si="96">AVERAGE(F407/G407)</f>
        <v>0.43990248112640462</v>
      </c>
      <c r="I407">
        <f t="shared" ref="I407:I470" ca="1" si="97">IF(G407=0,100,100-(100/(1+H407)))</f>
        <v>30.550852359270763</v>
      </c>
      <c r="J407">
        <f t="shared" ca="1" si="86"/>
        <v>1</v>
      </c>
      <c r="K407">
        <f t="shared" ca="1" si="87"/>
        <v>1</v>
      </c>
      <c r="L407">
        <f t="shared" ca="1" si="93"/>
        <v>0</v>
      </c>
      <c r="M407" t="str">
        <f t="shared" ca="1" si="88"/>
        <v>na</v>
      </c>
      <c r="N407" t="str">
        <f t="shared" ca="1" si="89"/>
        <v>na</v>
      </c>
    </row>
    <row r="408" spans="1:14" x14ac:dyDescent="0.2">
      <c r="A408" vm="778">
        <f ca="1"/>
        <v>44837</v>
      </c>
      <c r="B408" vm="779">
        <f ca="1"/>
        <v>31.09</v>
      </c>
      <c r="C408">
        <f t="shared" ca="1" si="90"/>
        <v>0.89000000000000057</v>
      </c>
      <c r="D408">
        <f t="shared" ca="1" si="91"/>
        <v>0.89000000000000057</v>
      </c>
      <c r="E408">
        <f t="shared" ca="1" si="92"/>
        <v>0</v>
      </c>
      <c r="F408">
        <f t="shared" ca="1" si="94"/>
        <v>0.21545545268388278</v>
      </c>
      <c r="G408">
        <f t="shared" ca="1" si="95"/>
        <v>0.34526748683831759</v>
      </c>
      <c r="H408">
        <f t="shared" ca="1" si="96"/>
        <v>0.62402473704330175</v>
      </c>
      <c r="I408">
        <f t="shared" ca="1" si="97"/>
        <v>38.424583247383339</v>
      </c>
      <c r="J408">
        <f t="shared" ref="J408:J471" ca="1" si="98">IF(K408=1,1,IF(L408=1,0,IF(J407=1,1,0)))</f>
        <v>1</v>
      </c>
      <c r="K408">
        <f t="shared" ref="K408:K471" ca="1" si="99">IF(I408&lt;$B$3,1,0)</f>
        <v>1</v>
      </c>
      <c r="L408">
        <f t="shared" ca="1" si="93"/>
        <v>0</v>
      </c>
      <c r="M408" t="str">
        <f t="shared" ref="M408:M471" ca="1" si="100">IF(AND(K408=1,J407=0),B408,"na")</f>
        <v>na</v>
      </c>
      <c r="N408" t="str">
        <f t="shared" ref="N408:N471" ca="1" si="101">IF(AND(L408=1,J407=1),B408,"na")</f>
        <v>na</v>
      </c>
    </row>
    <row r="409" spans="1:14" x14ac:dyDescent="0.2">
      <c r="A409" vm="780">
        <f ca="1"/>
        <v>44838</v>
      </c>
      <c r="B409" vm="781">
        <f ca="1"/>
        <v>32.380000000000003</v>
      </c>
      <c r="C409">
        <f t="shared" ca="1" si="90"/>
        <v>1.2900000000000027</v>
      </c>
      <c r="D409">
        <f t="shared" ca="1" si="91"/>
        <v>1.2900000000000027</v>
      </c>
      <c r="E409">
        <f t="shared" ca="1" si="92"/>
        <v>0</v>
      </c>
      <c r="F409">
        <f t="shared" ca="1" si="94"/>
        <v>0.29220863463503421</v>
      </c>
      <c r="G409">
        <f t="shared" ca="1" si="95"/>
        <v>0.32060552349272348</v>
      </c>
      <c r="H409">
        <f t="shared" ca="1" si="96"/>
        <v>0.9114273249308702</v>
      </c>
      <c r="I409">
        <f t="shared" ca="1" si="97"/>
        <v>47.683075000710971</v>
      </c>
      <c r="J409">
        <f t="shared" ca="1" si="98"/>
        <v>1</v>
      </c>
      <c r="K409">
        <f t="shared" ca="1" si="99"/>
        <v>0</v>
      </c>
      <c r="L409">
        <f t="shared" ca="1" si="93"/>
        <v>0</v>
      </c>
      <c r="M409" t="str">
        <f t="shared" ca="1" si="100"/>
        <v>na</v>
      </c>
      <c r="N409" t="str">
        <f t="shared" ca="1" si="101"/>
        <v>na</v>
      </c>
    </row>
    <row r="410" spans="1:14" x14ac:dyDescent="0.2">
      <c r="A410" vm="782">
        <f ca="1"/>
        <v>44839</v>
      </c>
      <c r="B410" vm="642">
        <f ca="1"/>
        <v>31.92</v>
      </c>
      <c r="C410">
        <f t="shared" ca="1" si="90"/>
        <v>-0.46000000000000085</v>
      </c>
      <c r="D410">
        <f t="shared" ca="1" si="91"/>
        <v>0</v>
      </c>
      <c r="E410">
        <f t="shared" ca="1" si="92"/>
        <v>0.46000000000000085</v>
      </c>
      <c r="F410">
        <f t="shared" ca="1" si="94"/>
        <v>0.27133658930396037</v>
      </c>
      <c r="G410">
        <f t="shared" ca="1" si="95"/>
        <v>0.33056227181467185</v>
      </c>
      <c r="H410">
        <f t="shared" ca="1" si="96"/>
        <v>0.82083350835658564</v>
      </c>
      <c r="I410">
        <f t="shared" ca="1" si="97"/>
        <v>45.080096812225214</v>
      </c>
      <c r="J410">
        <f t="shared" ca="1" si="98"/>
        <v>1</v>
      </c>
      <c r="K410">
        <f t="shared" ca="1" si="99"/>
        <v>0</v>
      </c>
      <c r="L410">
        <f t="shared" ca="1" si="93"/>
        <v>0</v>
      </c>
      <c r="M410" t="str">
        <f t="shared" ca="1" si="100"/>
        <v>na</v>
      </c>
      <c r="N410" t="str">
        <f t="shared" ca="1" si="101"/>
        <v>na</v>
      </c>
    </row>
    <row r="411" spans="1:14" x14ac:dyDescent="0.2">
      <c r="A411" vm="783">
        <f ca="1"/>
        <v>44840</v>
      </c>
      <c r="B411" vm="636">
        <f ca="1"/>
        <v>31.46</v>
      </c>
      <c r="C411">
        <f t="shared" ca="1" si="90"/>
        <v>-0.46000000000000085</v>
      </c>
      <c r="D411">
        <f t="shared" ca="1" si="91"/>
        <v>0</v>
      </c>
      <c r="E411">
        <f t="shared" ca="1" si="92"/>
        <v>0.46000000000000085</v>
      </c>
      <c r="F411">
        <f t="shared" ca="1" si="94"/>
        <v>0.25195540435367747</v>
      </c>
      <c r="G411">
        <f t="shared" ca="1" si="95"/>
        <v>0.33980782382790958</v>
      </c>
      <c r="H411">
        <f t="shared" ca="1" si="96"/>
        <v>0.74146440042321216</v>
      </c>
      <c r="I411">
        <f t="shared" ca="1" si="97"/>
        <v>42.577063317689458</v>
      </c>
      <c r="J411">
        <f t="shared" ca="1" si="98"/>
        <v>1</v>
      </c>
      <c r="K411">
        <f t="shared" ca="1" si="99"/>
        <v>0</v>
      </c>
      <c r="L411">
        <f t="shared" ca="1" si="93"/>
        <v>0</v>
      </c>
      <c r="M411" t="str">
        <f t="shared" ca="1" si="100"/>
        <v>na</v>
      </c>
      <c r="N411" t="str">
        <f t="shared" ca="1" si="101"/>
        <v>na</v>
      </c>
    </row>
    <row r="412" spans="1:14" x14ac:dyDescent="0.2">
      <c r="A412" vm="784">
        <f ca="1"/>
        <v>44841</v>
      </c>
      <c r="B412" vm="785">
        <f ca="1"/>
        <v>30.75</v>
      </c>
      <c r="C412">
        <f t="shared" ca="1" si="90"/>
        <v>-0.71000000000000085</v>
      </c>
      <c r="D412">
        <f t="shared" ca="1" si="91"/>
        <v>0</v>
      </c>
      <c r="E412">
        <f t="shared" ca="1" si="92"/>
        <v>0.71000000000000085</v>
      </c>
      <c r="F412">
        <f t="shared" ca="1" si="94"/>
        <v>0.23395858975698622</v>
      </c>
      <c r="G412">
        <f t="shared" ca="1" si="95"/>
        <v>0.36625012212591607</v>
      </c>
      <c r="H412">
        <f t="shared" ca="1" si="96"/>
        <v>0.63879457131362194</v>
      </c>
      <c r="I412">
        <f t="shared" ca="1" si="97"/>
        <v>38.979539137817511</v>
      </c>
      <c r="J412">
        <f t="shared" ca="1" si="98"/>
        <v>1</v>
      </c>
      <c r="K412">
        <f t="shared" ca="1" si="99"/>
        <v>1</v>
      </c>
      <c r="L412">
        <f t="shared" ca="1" si="93"/>
        <v>0</v>
      </c>
      <c r="M412" t="str">
        <f t="shared" ca="1" si="100"/>
        <v>na</v>
      </c>
      <c r="N412" t="str">
        <f t="shared" ca="1" si="101"/>
        <v>na</v>
      </c>
    </row>
    <row r="413" spans="1:14" x14ac:dyDescent="0.2">
      <c r="A413" vm="786">
        <f ca="1"/>
        <v>44844</v>
      </c>
      <c r="B413" vm="775">
        <f ca="1"/>
        <v>30.66</v>
      </c>
      <c r="C413">
        <f t="shared" ca="1" si="90"/>
        <v>-8.9999999999999858E-2</v>
      </c>
      <c r="D413">
        <f t="shared" ca="1" si="91"/>
        <v>0</v>
      </c>
      <c r="E413">
        <f t="shared" ca="1" si="92"/>
        <v>8.9999999999999858E-2</v>
      </c>
      <c r="F413">
        <f t="shared" ca="1" si="94"/>
        <v>0.21724726191720148</v>
      </c>
      <c r="G413">
        <f t="shared" ca="1" si="95"/>
        <v>0.34651797054549344</v>
      </c>
      <c r="H413">
        <f t="shared" ca="1" si="96"/>
        <v>0.62694370965871637</v>
      </c>
      <c r="I413">
        <f t="shared" ca="1" si="97"/>
        <v>38.535058461870833</v>
      </c>
      <c r="J413">
        <f t="shared" ca="1" si="98"/>
        <v>1</v>
      </c>
      <c r="K413">
        <f t="shared" ca="1" si="99"/>
        <v>1</v>
      </c>
      <c r="L413">
        <f t="shared" ca="1" si="93"/>
        <v>0</v>
      </c>
      <c r="M413" t="str">
        <f t="shared" ca="1" si="100"/>
        <v>na</v>
      </c>
      <c r="N413" t="str">
        <f t="shared" ca="1" si="101"/>
        <v>na</v>
      </c>
    </row>
    <row r="414" spans="1:14" x14ac:dyDescent="0.2">
      <c r="A414" vm="787">
        <f ca="1"/>
        <v>44845</v>
      </c>
      <c r="B414" vm="788">
        <f ca="1"/>
        <v>29.77</v>
      </c>
      <c r="C414">
        <f t="shared" ca="1" si="90"/>
        <v>-0.89000000000000057</v>
      </c>
      <c r="D414">
        <f t="shared" ca="1" si="91"/>
        <v>0</v>
      </c>
      <c r="E414">
        <f t="shared" ca="1" si="92"/>
        <v>0.89000000000000057</v>
      </c>
      <c r="F414">
        <f t="shared" ca="1" si="94"/>
        <v>0.20172960035168708</v>
      </c>
      <c r="G414">
        <f t="shared" ca="1" si="95"/>
        <v>0.38533811550652963</v>
      </c>
      <c r="H414">
        <f t="shared" ca="1" si="96"/>
        <v>0.52351322704350722</v>
      </c>
      <c r="I414">
        <f t="shared" ca="1" si="97"/>
        <v>34.362237081421625</v>
      </c>
      <c r="J414">
        <f t="shared" ca="1" si="98"/>
        <v>1</v>
      </c>
      <c r="K414">
        <f t="shared" ca="1" si="99"/>
        <v>1</v>
      </c>
      <c r="L414">
        <f t="shared" ca="1" si="93"/>
        <v>0</v>
      </c>
      <c r="M414" t="str">
        <f t="shared" ca="1" si="100"/>
        <v>na</v>
      </c>
      <c r="N414" t="str">
        <f t="shared" ca="1" si="101"/>
        <v>na</v>
      </c>
    </row>
    <row r="415" spans="1:14" x14ac:dyDescent="0.2">
      <c r="A415" vm="789">
        <f ca="1"/>
        <v>44846</v>
      </c>
      <c r="B415" vm="790">
        <f ca="1"/>
        <v>29.86</v>
      </c>
      <c r="C415">
        <f t="shared" ca="1" si="90"/>
        <v>8.9999999999999858E-2</v>
      </c>
      <c r="D415">
        <f t="shared" ca="1" si="91"/>
        <v>8.9999999999999858E-2</v>
      </c>
      <c r="E415">
        <f t="shared" ca="1" si="92"/>
        <v>0</v>
      </c>
      <c r="F415">
        <f t="shared" ca="1" si="94"/>
        <v>0.19374891461228083</v>
      </c>
      <c r="G415">
        <f t="shared" ca="1" si="95"/>
        <v>0.35781396439892038</v>
      </c>
      <c r="H415">
        <f t="shared" ca="1" si="96"/>
        <v>0.54147946667691715</v>
      </c>
      <c r="I415">
        <f t="shared" ca="1" si="97"/>
        <v>35.127257831349837</v>
      </c>
      <c r="J415">
        <f t="shared" ca="1" si="98"/>
        <v>1</v>
      </c>
      <c r="K415">
        <f t="shared" ca="1" si="99"/>
        <v>1</v>
      </c>
      <c r="L415">
        <f t="shared" ca="1" si="93"/>
        <v>0</v>
      </c>
      <c r="M415" t="str">
        <f t="shared" ca="1" si="100"/>
        <v>na</v>
      </c>
      <c r="N415" t="str">
        <f t="shared" ca="1" si="101"/>
        <v>na</v>
      </c>
    </row>
    <row r="416" spans="1:14" x14ac:dyDescent="0.2">
      <c r="A416" vm="791">
        <f ca="1"/>
        <v>44847</v>
      </c>
      <c r="B416" vm="792">
        <f ca="1"/>
        <v>31.69</v>
      </c>
      <c r="C416">
        <f t="shared" ca="1" si="90"/>
        <v>1.8300000000000018</v>
      </c>
      <c r="D416">
        <f t="shared" ca="1" si="91"/>
        <v>1.8300000000000018</v>
      </c>
      <c r="E416">
        <f t="shared" ca="1" si="92"/>
        <v>0</v>
      </c>
      <c r="F416">
        <f t="shared" ca="1" si="94"/>
        <v>0.31062399213997516</v>
      </c>
      <c r="G416">
        <f t="shared" ca="1" si="95"/>
        <v>0.33225582408471183</v>
      </c>
      <c r="H416">
        <f t="shared" ca="1" si="96"/>
        <v>0.93489404736748449</v>
      </c>
      <c r="I416">
        <f t="shared" ca="1" si="97"/>
        <v>48.317583520371691</v>
      </c>
      <c r="J416">
        <f t="shared" ca="1" si="98"/>
        <v>1</v>
      </c>
      <c r="K416">
        <f t="shared" ca="1" si="99"/>
        <v>0</v>
      </c>
      <c r="L416">
        <f t="shared" ca="1" si="93"/>
        <v>0</v>
      </c>
      <c r="M416" t="str">
        <f t="shared" ca="1" si="100"/>
        <v>na</v>
      </c>
      <c r="N416" t="str">
        <f t="shared" ca="1" si="101"/>
        <v>na</v>
      </c>
    </row>
    <row r="417" spans="1:14" x14ac:dyDescent="0.2">
      <c r="A417" vm="793">
        <f ca="1"/>
        <v>44848</v>
      </c>
      <c r="B417" vm="794">
        <f ca="1"/>
        <v>31.7</v>
      </c>
      <c r="C417">
        <f t="shared" ca="1" si="90"/>
        <v>9.9999999999980105E-3</v>
      </c>
      <c r="D417">
        <f t="shared" ca="1" si="91"/>
        <v>9.9999999999980105E-3</v>
      </c>
      <c r="E417">
        <f t="shared" ca="1" si="92"/>
        <v>0</v>
      </c>
      <c r="F417">
        <f t="shared" ca="1" si="94"/>
        <v>0.28915084984426248</v>
      </c>
      <c r="G417">
        <f t="shared" ca="1" si="95"/>
        <v>0.30852326522151813</v>
      </c>
      <c r="H417">
        <f t="shared" ca="1" si="96"/>
        <v>0.93720922354641112</v>
      </c>
      <c r="I417">
        <f t="shared" ca="1" si="97"/>
        <v>48.379349641474477</v>
      </c>
      <c r="J417">
        <f t="shared" ca="1" si="98"/>
        <v>1</v>
      </c>
      <c r="K417">
        <f t="shared" ca="1" si="99"/>
        <v>0</v>
      </c>
      <c r="L417">
        <f t="shared" ca="1" si="93"/>
        <v>0</v>
      </c>
      <c r="M417" t="str">
        <f t="shared" ca="1" si="100"/>
        <v>na</v>
      </c>
      <c r="N417" t="str">
        <f t="shared" ca="1" si="101"/>
        <v>na</v>
      </c>
    </row>
    <row r="418" spans="1:14" x14ac:dyDescent="0.2">
      <c r="A418" vm="795">
        <f ca="1"/>
        <v>44851</v>
      </c>
      <c r="B418" vm="796">
        <f ca="1"/>
        <v>33.619999999999997</v>
      </c>
      <c r="C418">
        <f t="shared" ca="1" si="90"/>
        <v>1.9199999999999982</v>
      </c>
      <c r="D418">
        <f t="shared" ca="1" si="91"/>
        <v>1.9199999999999982</v>
      </c>
      <c r="E418">
        <f t="shared" ca="1" si="92"/>
        <v>0</v>
      </c>
      <c r="F418">
        <f t="shared" ca="1" si="94"/>
        <v>0.40564007485538645</v>
      </c>
      <c r="G418">
        <f t="shared" ca="1" si="95"/>
        <v>0.28648588913426687</v>
      </c>
      <c r="H418">
        <f t="shared" ca="1" si="96"/>
        <v>1.4159164211584458</v>
      </c>
      <c r="I418">
        <f t="shared" ca="1" si="97"/>
        <v>58.607839607278542</v>
      </c>
      <c r="J418">
        <f t="shared" ca="1" si="98"/>
        <v>1</v>
      </c>
      <c r="K418">
        <f t="shared" ca="1" si="99"/>
        <v>0</v>
      </c>
      <c r="L418">
        <f t="shared" ca="1" si="93"/>
        <v>0</v>
      </c>
      <c r="M418" t="str">
        <f t="shared" ca="1" si="100"/>
        <v>na</v>
      </c>
      <c r="N418" t="str">
        <f t="shared" ca="1" si="101"/>
        <v>na</v>
      </c>
    </row>
    <row r="419" spans="1:14" x14ac:dyDescent="0.2">
      <c r="A419" vm="797">
        <f ca="1"/>
        <v>44852</v>
      </c>
      <c r="B419" vm="601">
        <f ca="1"/>
        <v>34.880000000000003</v>
      </c>
      <c r="C419">
        <f t="shared" ca="1" si="90"/>
        <v>1.2600000000000051</v>
      </c>
      <c r="D419">
        <f t="shared" ca="1" si="91"/>
        <v>1.2600000000000051</v>
      </c>
      <c r="E419">
        <f t="shared" ca="1" si="92"/>
        <v>0</v>
      </c>
      <c r="F419">
        <f t="shared" ca="1" si="94"/>
        <v>0.46666578379428775</v>
      </c>
      <c r="G419">
        <f t="shared" ca="1" si="95"/>
        <v>0.2660226113389621</v>
      </c>
      <c r="H419">
        <f t="shared" ca="1" si="96"/>
        <v>1.7542335271631067</v>
      </c>
      <c r="I419">
        <f t="shared" ca="1" si="97"/>
        <v>63.69225811327582</v>
      </c>
      <c r="J419">
        <f t="shared" ca="1" si="98"/>
        <v>1</v>
      </c>
      <c r="K419">
        <f t="shared" ca="1" si="99"/>
        <v>0</v>
      </c>
      <c r="L419">
        <f t="shared" ca="1" si="93"/>
        <v>0</v>
      </c>
      <c r="M419" t="str">
        <f t="shared" ca="1" si="100"/>
        <v>na</v>
      </c>
      <c r="N419" t="str">
        <f t="shared" ca="1" si="101"/>
        <v>na</v>
      </c>
    </row>
    <row r="420" spans="1:14" x14ac:dyDescent="0.2">
      <c r="A420" vm="798">
        <f ca="1"/>
        <v>44853</v>
      </c>
      <c r="B420" vm="709">
        <f ca="1"/>
        <v>33.92</v>
      </c>
      <c r="C420">
        <f t="shared" ca="1" si="90"/>
        <v>-0.96000000000000085</v>
      </c>
      <c r="D420">
        <f t="shared" ca="1" si="91"/>
        <v>0</v>
      </c>
      <c r="E420">
        <f t="shared" ca="1" si="92"/>
        <v>0.96000000000000085</v>
      </c>
      <c r="F420">
        <f t="shared" ca="1" si="94"/>
        <v>0.43333251352326718</v>
      </c>
      <c r="G420">
        <f t="shared" ca="1" si="95"/>
        <v>0.31559242481475058</v>
      </c>
      <c r="H420">
        <f t="shared" ca="1" si="96"/>
        <v>1.3730764094785506</v>
      </c>
      <c r="I420">
        <f t="shared" ca="1" si="97"/>
        <v>57.860606763195818</v>
      </c>
      <c r="J420">
        <f t="shared" ca="1" si="98"/>
        <v>1</v>
      </c>
      <c r="K420">
        <f t="shared" ca="1" si="99"/>
        <v>0</v>
      </c>
      <c r="L420">
        <f t="shared" ca="1" si="93"/>
        <v>0</v>
      </c>
      <c r="M420" t="str">
        <f t="shared" ca="1" si="100"/>
        <v>na</v>
      </c>
      <c r="N420" t="str">
        <f t="shared" ca="1" si="101"/>
        <v>na</v>
      </c>
    </row>
    <row r="421" spans="1:14" x14ac:dyDescent="0.2">
      <c r="A421" vm="799">
        <f ca="1"/>
        <v>44854</v>
      </c>
      <c r="B421" vm="800">
        <f ca="1"/>
        <v>33.700000000000003</v>
      </c>
      <c r="C421">
        <f t="shared" ca="1" si="90"/>
        <v>-0.21999999999999886</v>
      </c>
      <c r="D421">
        <f t="shared" ca="1" si="91"/>
        <v>0</v>
      </c>
      <c r="E421">
        <f t="shared" ca="1" si="92"/>
        <v>0.21999999999999886</v>
      </c>
      <c r="F421">
        <f t="shared" ca="1" si="94"/>
        <v>0.40238019112874807</v>
      </c>
      <c r="G421">
        <f t="shared" ca="1" si="95"/>
        <v>0.30876439447083975</v>
      </c>
      <c r="H421">
        <f t="shared" ca="1" si="96"/>
        <v>1.3031949225180157</v>
      </c>
      <c r="I421">
        <f t="shared" ca="1" si="97"/>
        <v>56.582050862341724</v>
      </c>
      <c r="J421">
        <f t="shared" ca="1" si="98"/>
        <v>1</v>
      </c>
      <c r="K421">
        <f t="shared" ca="1" si="99"/>
        <v>0</v>
      </c>
      <c r="L421">
        <f t="shared" ca="1" si="93"/>
        <v>0</v>
      </c>
      <c r="M421" t="str">
        <f t="shared" ca="1" si="100"/>
        <v>na</v>
      </c>
      <c r="N421" t="str">
        <f t="shared" ca="1" si="101"/>
        <v>na</v>
      </c>
    </row>
    <row r="422" spans="1:14" x14ac:dyDescent="0.2">
      <c r="A422" vm="801">
        <f ca="1"/>
        <v>44855</v>
      </c>
      <c r="B422" vm="802">
        <f ca="1"/>
        <v>34.950000000000003</v>
      </c>
      <c r="C422">
        <f t="shared" ca="1" si="90"/>
        <v>1.25</v>
      </c>
      <c r="D422">
        <f t="shared" ca="1" si="91"/>
        <v>1.25</v>
      </c>
      <c r="E422">
        <f t="shared" ca="1" si="92"/>
        <v>0</v>
      </c>
      <c r="F422">
        <f t="shared" ca="1" si="94"/>
        <v>0.46292446319098035</v>
      </c>
      <c r="G422">
        <f t="shared" ca="1" si="95"/>
        <v>0.2867097948657798</v>
      </c>
      <c r="H422">
        <f t="shared" ca="1" si="96"/>
        <v>1.6146098650298766</v>
      </c>
      <c r="I422">
        <f t="shared" ca="1" si="97"/>
        <v>61.753376158527836</v>
      </c>
      <c r="J422">
        <f t="shared" ca="1" si="98"/>
        <v>1</v>
      </c>
      <c r="K422">
        <f t="shared" ca="1" si="99"/>
        <v>0</v>
      </c>
      <c r="L422">
        <f t="shared" ca="1" si="93"/>
        <v>0</v>
      </c>
      <c r="M422" t="str">
        <f t="shared" ca="1" si="100"/>
        <v>na</v>
      </c>
      <c r="N422" t="str">
        <f t="shared" ca="1" si="101"/>
        <v>na</v>
      </c>
    </row>
    <row r="423" spans="1:14" x14ac:dyDescent="0.2">
      <c r="A423" vm="803">
        <f ca="1"/>
        <v>44858</v>
      </c>
      <c r="B423" vm="593">
        <f ca="1"/>
        <v>35.07</v>
      </c>
      <c r="C423">
        <f t="shared" ca="1" si="90"/>
        <v>0.11999999999999744</v>
      </c>
      <c r="D423">
        <f t="shared" ca="1" si="91"/>
        <v>0.11999999999999744</v>
      </c>
      <c r="E423">
        <f t="shared" ca="1" si="92"/>
        <v>0</v>
      </c>
      <c r="F423">
        <f t="shared" ca="1" si="94"/>
        <v>0.43842985867733869</v>
      </c>
      <c r="G423">
        <f t="shared" ca="1" si="95"/>
        <v>0.26623052380393836</v>
      </c>
      <c r="H423">
        <f t="shared" ca="1" si="96"/>
        <v>1.6468053790864869</v>
      </c>
      <c r="I423">
        <f t="shared" ca="1" si="97"/>
        <v>62.218604816908076</v>
      </c>
      <c r="J423">
        <f t="shared" ca="1" si="98"/>
        <v>1</v>
      </c>
      <c r="K423">
        <f t="shared" ca="1" si="99"/>
        <v>0</v>
      </c>
      <c r="L423">
        <f t="shared" ca="1" si="93"/>
        <v>0</v>
      </c>
      <c r="M423" t="str">
        <f t="shared" ca="1" si="100"/>
        <v>na</v>
      </c>
      <c r="N423" t="str">
        <f t="shared" ca="1" si="101"/>
        <v>na</v>
      </c>
    </row>
    <row r="424" spans="1:14" x14ac:dyDescent="0.2">
      <c r="A424" vm="804">
        <f ca="1"/>
        <v>44859</v>
      </c>
      <c r="B424" vm="805">
        <f ca="1"/>
        <v>35.39</v>
      </c>
      <c r="C424">
        <f t="shared" ca="1" si="90"/>
        <v>0.32000000000000028</v>
      </c>
      <c r="D424">
        <f t="shared" ca="1" si="91"/>
        <v>0.32000000000000028</v>
      </c>
      <c r="E424">
        <f t="shared" ca="1" si="92"/>
        <v>0</v>
      </c>
      <c r="F424">
        <f t="shared" ca="1" si="94"/>
        <v>0.42997058305752883</v>
      </c>
      <c r="G424">
        <f t="shared" ca="1" si="95"/>
        <v>0.24721405781794276</v>
      </c>
      <c r="H424">
        <f t="shared" ca="1" si="96"/>
        <v>1.7392642912490619</v>
      </c>
      <c r="I424">
        <f t="shared" ca="1" si="97"/>
        <v>63.493847483259252</v>
      </c>
      <c r="J424">
        <f t="shared" ca="1" si="98"/>
        <v>1</v>
      </c>
      <c r="K424">
        <f t="shared" ca="1" si="99"/>
        <v>0</v>
      </c>
      <c r="L424">
        <f t="shared" ca="1" si="93"/>
        <v>0</v>
      </c>
      <c r="M424" t="str">
        <f t="shared" ca="1" si="100"/>
        <v>na</v>
      </c>
      <c r="N424" t="str">
        <f t="shared" ca="1" si="101"/>
        <v>na</v>
      </c>
    </row>
    <row r="425" spans="1:14" x14ac:dyDescent="0.2">
      <c r="A425" vm="806">
        <f ca="1"/>
        <v>44860</v>
      </c>
      <c r="B425" vm="807">
        <f ca="1"/>
        <v>35.700000000000003</v>
      </c>
      <c r="C425">
        <f t="shared" ca="1" si="90"/>
        <v>0.31000000000000227</v>
      </c>
      <c r="D425">
        <f t="shared" ca="1" si="91"/>
        <v>0.31000000000000227</v>
      </c>
      <c r="E425">
        <f t="shared" ca="1" si="92"/>
        <v>0</v>
      </c>
      <c r="F425">
        <f t="shared" ca="1" si="94"/>
        <v>0.42140125569627696</v>
      </c>
      <c r="G425">
        <f t="shared" ca="1" si="95"/>
        <v>0.22955591083094684</v>
      </c>
      <c r="H425">
        <f t="shared" ca="1" si="96"/>
        <v>1.835723829418672</v>
      </c>
      <c r="I425">
        <f t="shared" ca="1" si="97"/>
        <v>64.735635056358731</v>
      </c>
      <c r="J425">
        <f t="shared" ca="1" si="98"/>
        <v>1</v>
      </c>
      <c r="K425">
        <f t="shared" ca="1" si="99"/>
        <v>0</v>
      </c>
      <c r="L425">
        <f t="shared" ca="1" si="93"/>
        <v>0</v>
      </c>
      <c r="M425" t="str">
        <f t="shared" ca="1" si="100"/>
        <v>na</v>
      </c>
      <c r="N425" t="str">
        <f t="shared" ca="1" si="101"/>
        <v>na</v>
      </c>
    </row>
    <row r="426" spans="1:14" x14ac:dyDescent="0.2">
      <c r="A426" vm="808">
        <f ca="1"/>
        <v>44861</v>
      </c>
      <c r="B426" vm="607">
        <f ca="1"/>
        <v>35.869999999999997</v>
      </c>
      <c r="C426">
        <f t="shared" ca="1" si="90"/>
        <v>0.1699999999999946</v>
      </c>
      <c r="D426">
        <f t="shared" ca="1" si="91"/>
        <v>0.1699999999999946</v>
      </c>
      <c r="E426">
        <f t="shared" ca="1" si="92"/>
        <v>0</v>
      </c>
      <c r="F426">
        <f t="shared" ca="1" si="94"/>
        <v>0.40344402314654249</v>
      </c>
      <c r="G426">
        <f t="shared" ca="1" si="95"/>
        <v>0.21315906005730781</v>
      </c>
      <c r="H426">
        <f t="shared" ca="1" si="96"/>
        <v>1.8926900082880669</v>
      </c>
      <c r="I426">
        <f t="shared" ca="1" si="97"/>
        <v>65.430101492561477</v>
      </c>
      <c r="J426">
        <f t="shared" ca="1" si="98"/>
        <v>1</v>
      </c>
      <c r="K426">
        <f t="shared" ca="1" si="99"/>
        <v>0</v>
      </c>
      <c r="L426">
        <f t="shared" ca="1" si="93"/>
        <v>0</v>
      </c>
      <c r="M426" t="str">
        <f t="shared" ca="1" si="100"/>
        <v>na</v>
      </c>
      <c r="N426" t="str">
        <f t="shared" ca="1" si="101"/>
        <v>na</v>
      </c>
    </row>
    <row r="427" spans="1:14" x14ac:dyDescent="0.2">
      <c r="A427" vm="809">
        <f ca="1"/>
        <v>44862</v>
      </c>
      <c r="B427" vm="810">
        <f ca="1"/>
        <v>36.18</v>
      </c>
      <c r="C427">
        <f t="shared" ca="1" si="90"/>
        <v>0.31000000000000227</v>
      </c>
      <c r="D427">
        <f t="shared" ca="1" si="91"/>
        <v>0.31000000000000227</v>
      </c>
      <c r="E427">
        <f t="shared" ca="1" si="92"/>
        <v>0</v>
      </c>
      <c r="F427">
        <f t="shared" ca="1" si="94"/>
        <v>0.39676945006464676</v>
      </c>
      <c r="G427">
        <f t="shared" ca="1" si="95"/>
        <v>0.19793341291035724</v>
      </c>
      <c r="H427">
        <f t="shared" ca="1" si="96"/>
        <v>2.0045602419048931</v>
      </c>
      <c r="I427">
        <f t="shared" ca="1" si="97"/>
        <v>66.717259116562118</v>
      </c>
      <c r="J427">
        <f t="shared" ca="1" si="98"/>
        <v>1</v>
      </c>
      <c r="K427">
        <f t="shared" ca="1" si="99"/>
        <v>0</v>
      </c>
      <c r="L427">
        <f t="shared" ca="1" si="93"/>
        <v>0</v>
      </c>
      <c r="M427" t="str">
        <f t="shared" ca="1" si="100"/>
        <v>na</v>
      </c>
      <c r="N427" t="str">
        <f t="shared" ca="1" si="101"/>
        <v>na</v>
      </c>
    </row>
    <row r="428" spans="1:14" x14ac:dyDescent="0.2">
      <c r="A428" vm="811">
        <f ca="1"/>
        <v>44865</v>
      </c>
      <c r="B428" vm="812">
        <f ca="1"/>
        <v>36.04</v>
      </c>
      <c r="C428">
        <f t="shared" ca="1" si="90"/>
        <v>-0.14000000000000057</v>
      </c>
      <c r="D428">
        <f t="shared" ca="1" si="91"/>
        <v>0</v>
      </c>
      <c r="E428">
        <f t="shared" ca="1" si="92"/>
        <v>0.14000000000000057</v>
      </c>
      <c r="F428">
        <f t="shared" ca="1" si="94"/>
        <v>0.36842877506002913</v>
      </c>
      <c r="G428">
        <f t="shared" ca="1" si="95"/>
        <v>0.19379531198818892</v>
      </c>
      <c r="H428">
        <f t="shared" ca="1" si="96"/>
        <v>1.9011232587632638</v>
      </c>
      <c r="I428">
        <f t="shared" ca="1" si="97"/>
        <v>65.530592435900303</v>
      </c>
      <c r="J428">
        <f t="shared" ca="1" si="98"/>
        <v>1</v>
      </c>
      <c r="K428">
        <f t="shared" ca="1" si="99"/>
        <v>0</v>
      </c>
      <c r="L428">
        <f t="shared" ca="1" si="93"/>
        <v>0</v>
      </c>
      <c r="M428" t="str">
        <f t="shared" ca="1" si="100"/>
        <v>na</v>
      </c>
      <c r="N428" t="str">
        <f t="shared" ca="1" si="101"/>
        <v>na</v>
      </c>
    </row>
    <row r="429" spans="1:14" x14ac:dyDescent="0.2">
      <c r="A429" vm="813">
        <f ca="1"/>
        <v>44866</v>
      </c>
      <c r="B429" vm="814">
        <f ca="1"/>
        <v>36.200000000000003</v>
      </c>
      <c r="C429">
        <f t="shared" ca="1" si="90"/>
        <v>0.16000000000000369</v>
      </c>
      <c r="D429">
        <f t="shared" ca="1" si="91"/>
        <v>0.16000000000000369</v>
      </c>
      <c r="E429">
        <f t="shared" ca="1" si="92"/>
        <v>0</v>
      </c>
      <c r="F429">
        <f t="shared" ca="1" si="94"/>
        <v>0.35354100541288441</v>
      </c>
      <c r="G429">
        <f t="shared" ca="1" si="95"/>
        <v>0.17995278970331827</v>
      </c>
      <c r="H429">
        <f t="shared" ca="1" si="96"/>
        <v>1.964631979286094</v>
      </c>
      <c r="I429">
        <f t="shared" ca="1" si="97"/>
        <v>66.269000436242749</v>
      </c>
      <c r="J429">
        <f t="shared" ca="1" si="98"/>
        <v>1</v>
      </c>
      <c r="K429">
        <f t="shared" ca="1" si="99"/>
        <v>0</v>
      </c>
      <c r="L429">
        <f t="shared" ca="1" si="93"/>
        <v>0</v>
      </c>
      <c r="M429" t="str">
        <f t="shared" ca="1" si="100"/>
        <v>na</v>
      </c>
      <c r="N429" t="str">
        <f t="shared" ca="1" si="101"/>
        <v>na</v>
      </c>
    </row>
    <row r="430" spans="1:14" x14ac:dyDescent="0.2">
      <c r="A430" vm="815">
        <f ca="1"/>
        <v>44867</v>
      </c>
      <c r="B430" vm="816">
        <f ca="1"/>
        <v>36.090000000000003</v>
      </c>
      <c r="C430">
        <f t="shared" ca="1" si="90"/>
        <v>-0.10999999999999943</v>
      </c>
      <c r="D430">
        <f t="shared" ca="1" si="91"/>
        <v>0</v>
      </c>
      <c r="E430">
        <f t="shared" ca="1" si="92"/>
        <v>0.10999999999999943</v>
      </c>
      <c r="F430">
        <f t="shared" ca="1" si="94"/>
        <v>0.32828807645482122</v>
      </c>
      <c r="G430">
        <f t="shared" ca="1" si="95"/>
        <v>0.17495616186736693</v>
      </c>
      <c r="H430">
        <f t="shared" ca="1" si="96"/>
        <v>1.8764019109180856</v>
      </c>
      <c r="I430">
        <f t="shared" ca="1" si="97"/>
        <v>65.234343774969147</v>
      </c>
      <c r="J430">
        <f t="shared" ca="1" si="98"/>
        <v>1</v>
      </c>
      <c r="K430">
        <f t="shared" ca="1" si="99"/>
        <v>0</v>
      </c>
      <c r="L430">
        <f t="shared" ca="1" si="93"/>
        <v>0</v>
      </c>
      <c r="M430" t="str">
        <f t="shared" ca="1" si="100"/>
        <v>na</v>
      </c>
      <c r="N430" t="str">
        <f t="shared" ca="1" si="101"/>
        <v>na</v>
      </c>
    </row>
    <row r="431" spans="1:14" x14ac:dyDescent="0.2">
      <c r="A431" vm="817">
        <f ca="1"/>
        <v>44868</v>
      </c>
      <c r="B431" vm="628">
        <f ca="1"/>
        <v>35.89</v>
      </c>
      <c r="C431">
        <f t="shared" ca="1" si="90"/>
        <v>-0.20000000000000284</v>
      </c>
      <c r="D431">
        <f t="shared" ca="1" si="91"/>
        <v>0</v>
      </c>
      <c r="E431">
        <f t="shared" ca="1" si="92"/>
        <v>0.20000000000000284</v>
      </c>
      <c r="F431">
        <f t="shared" ca="1" si="94"/>
        <v>0.30483892813661972</v>
      </c>
      <c r="G431">
        <f t="shared" ca="1" si="95"/>
        <v>0.17674500744826949</v>
      </c>
      <c r="H431">
        <f t="shared" ca="1" si="96"/>
        <v>1.7247385515307487</v>
      </c>
      <c r="I431">
        <f t="shared" ca="1" si="97"/>
        <v>63.299231060601997</v>
      </c>
      <c r="J431">
        <f t="shared" ca="1" si="98"/>
        <v>1</v>
      </c>
      <c r="K431">
        <f t="shared" ca="1" si="99"/>
        <v>0</v>
      </c>
      <c r="L431">
        <f t="shared" ca="1" si="93"/>
        <v>0</v>
      </c>
      <c r="M431" t="str">
        <f t="shared" ca="1" si="100"/>
        <v>na</v>
      </c>
      <c r="N431" t="str">
        <f t="shared" ca="1" si="101"/>
        <v>na</v>
      </c>
    </row>
    <row r="432" spans="1:14" x14ac:dyDescent="0.2">
      <c r="A432" vm="818">
        <f ca="1"/>
        <v>44869</v>
      </c>
      <c r="B432" vm="819">
        <f ca="1"/>
        <v>36.79</v>
      </c>
      <c r="C432">
        <f t="shared" ca="1" si="90"/>
        <v>0.89999999999999858</v>
      </c>
      <c r="D432">
        <f t="shared" ca="1" si="91"/>
        <v>0.89999999999999858</v>
      </c>
      <c r="E432">
        <f t="shared" ca="1" si="92"/>
        <v>0</v>
      </c>
      <c r="F432">
        <f t="shared" ca="1" si="94"/>
        <v>0.34735043326971826</v>
      </c>
      <c r="G432">
        <f t="shared" ca="1" si="95"/>
        <v>0.16412036405910738</v>
      </c>
      <c r="H432">
        <f t="shared" ca="1" si="96"/>
        <v>2.1164371360072125</v>
      </c>
      <c r="I432">
        <f t="shared" ca="1" si="97"/>
        <v>67.912075348928653</v>
      </c>
      <c r="J432">
        <f t="shared" ca="1" si="98"/>
        <v>1</v>
      </c>
      <c r="K432">
        <f t="shared" ca="1" si="99"/>
        <v>0</v>
      </c>
      <c r="L432">
        <f t="shared" ca="1" si="93"/>
        <v>0</v>
      </c>
      <c r="M432" t="str">
        <f t="shared" ca="1" si="100"/>
        <v>na</v>
      </c>
      <c r="N432" t="str">
        <f t="shared" ca="1" si="101"/>
        <v>na</v>
      </c>
    </row>
    <row r="433" spans="1:14" x14ac:dyDescent="0.2">
      <c r="A433" vm="820">
        <f ca="1"/>
        <v>44872</v>
      </c>
      <c r="B433" vm="821">
        <f ca="1"/>
        <v>37.01</v>
      </c>
      <c r="C433">
        <f t="shared" ca="1" si="90"/>
        <v>0.21999999999999886</v>
      </c>
      <c r="D433">
        <f t="shared" ca="1" si="91"/>
        <v>0.21999999999999886</v>
      </c>
      <c r="E433">
        <f t="shared" ca="1" si="92"/>
        <v>0</v>
      </c>
      <c r="F433">
        <f t="shared" ca="1" si="94"/>
        <v>0.33825397375045257</v>
      </c>
      <c r="G433">
        <f t="shared" ca="1" si="95"/>
        <v>0.15239748091202829</v>
      </c>
      <c r="H433">
        <f t="shared" ca="1" si="96"/>
        <v>2.2195509514078533</v>
      </c>
      <c r="I433">
        <f t="shared" ca="1" si="97"/>
        <v>68.939767840520815</v>
      </c>
      <c r="J433">
        <f t="shared" ca="1" si="98"/>
        <v>1</v>
      </c>
      <c r="K433">
        <f t="shared" ca="1" si="99"/>
        <v>0</v>
      </c>
      <c r="L433">
        <f t="shared" ca="1" si="93"/>
        <v>0</v>
      </c>
      <c r="M433" t="str">
        <f t="shared" ca="1" si="100"/>
        <v>na</v>
      </c>
      <c r="N433" t="str">
        <f t="shared" ca="1" si="101"/>
        <v>na</v>
      </c>
    </row>
    <row r="434" spans="1:14" x14ac:dyDescent="0.2">
      <c r="A434" vm="822">
        <f ca="1"/>
        <v>44873</v>
      </c>
      <c r="B434" vm="823">
        <f ca="1"/>
        <v>37.11</v>
      </c>
      <c r="C434">
        <f t="shared" ca="1" si="90"/>
        <v>0.10000000000000142</v>
      </c>
      <c r="D434">
        <f t="shared" ca="1" si="91"/>
        <v>0.10000000000000142</v>
      </c>
      <c r="E434">
        <f t="shared" ca="1" si="92"/>
        <v>0</v>
      </c>
      <c r="F434">
        <f t="shared" ca="1" si="94"/>
        <v>0.3212358327682775</v>
      </c>
      <c r="G434">
        <f t="shared" ca="1" si="95"/>
        <v>0.14151194656116911</v>
      </c>
      <c r="H434">
        <f t="shared" ca="1" si="96"/>
        <v>2.270026245659917</v>
      </c>
      <c r="I434">
        <f t="shared" ca="1" si="97"/>
        <v>69.419205692087885</v>
      </c>
      <c r="J434">
        <f t="shared" ca="1" si="98"/>
        <v>1</v>
      </c>
      <c r="K434">
        <f t="shared" ca="1" si="99"/>
        <v>0</v>
      </c>
      <c r="L434">
        <f t="shared" ca="1" si="93"/>
        <v>0</v>
      </c>
      <c r="M434" t="str">
        <f t="shared" ca="1" si="100"/>
        <v>na</v>
      </c>
      <c r="N434" t="str">
        <f t="shared" ca="1" si="101"/>
        <v>na</v>
      </c>
    </row>
    <row r="435" spans="1:14" x14ac:dyDescent="0.2">
      <c r="A435" vm="824">
        <f ca="1"/>
        <v>44874</v>
      </c>
      <c r="B435" vm="825">
        <f ca="1"/>
        <v>36.520000000000003</v>
      </c>
      <c r="C435">
        <f t="shared" ca="1" si="90"/>
        <v>-0.58999999999999631</v>
      </c>
      <c r="D435">
        <f t="shared" ca="1" si="91"/>
        <v>0</v>
      </c>
      <c r="E435">
        <f t="shared" ca="1" si="92"/>
        <v>0.58999999999999631</v>
      </c>
      <c r="F435">
        <f t="shared" ca="1" si="94"/>
        <v>0.29829041614197199</v>
      </c>
      <c r="G435">
        <f t="shared" ca="1" si="95"/>
        <v>0.17354680752108534</v>
      </c>
      <c r="H435">
        <f t="shared" ca="1" si="96"/>
        <v>1.7187894171186684</v>
      </c>
      <c r="I435">
        <f t="shared" ca="1" si="97"/>
        <v>63.218924065851901</v>
      </c>
      <c r="J435">
        <f t="shared" ca="1" si="98"/>
        <v>1</v>
      </c>
      <c r="K435">
        <f t="shared" ca="1" si="99"/>
        <v>0</v>
      </c>
      <c r="L435">
        <f t="shared" ca="1" si="93"/>
        <v>0</v>
      </c>
      <c r="M435" t="str">
        <f t="shared" ca="1" si="100"/>
        <v>na</v>
      </c>
      <c r="N435" t="str">
        <f t="shared" ca="1" si="101"/>
        <v>na</v>
      </c>
    </row>
    <row r="436" spans="1:14" x14ac:dyDescent="0.2">
      <c r="A436" vm="826">
        <f ca="1"/>
        <v>44875</v>
      </c>
      <c r="B436" vm="41">
        <f ca="1"/>
        <v>38.130000000000003</v>
      </c>
      <c r="C436">
        <f t="shared" ca="1" si="90"/>
        <v>1.6099999999999994</v>
      </c>
      <c r="D436">
        <f t="shared" ca="1" si="91"/>
        <v>1.6099999999999994</v>
      </c>
      <c r="E436">
        <f t="shared" ca="1" si="92"/>
        <v>0</v>
      </c>
      <c r="F436">
        <f t="shared" ca="1" si="94"/>
        <v>0.39198395784611684</v>
      </c>
      <c r="G436">
        <f t="shared" ca="1" si="95"/>
        <v>0.16115060698386494</v>
      </c>
      <c r="H436">
        <f t="shared" ca="1" si="96"/>
        <v>2.4324075793606155</v>
      </c>
      <c r="I436">
        <f t="shared" ca="1" si="97"/>
        <v>70.865930782431178</v>
      </c>
      <c r="J436">
        <f t="shared" ca="1" si="98"/>
        <v>0</v>
      </c>
      <c r="K436">
        <f t="shared" ca="1" si="99"/>
        <v>0</v>
      </c>
      <c r="L436">
        <f t="shared" ca="1" si="93"/>
        <v>1</v>
      </c>
      <c r="M436" t="str">
        <f t="shared" ca="1" si="100"/>
        <v>na</v>
      </c>
      <c r="N436" vm="41">
        <f t="shared" ca="1" si="101"/>
        <v>38.130000000000003</v>
      </c>
    </row>
    <row r="437" spans="1:14" x14ac:dyDescent="0.2">
      <c r="A437" vm="827">
        <f ca="1"/>
        <v>44876</v>
      </c>
      <c r="B437" vm="828">
        <f ca="1"/>
        <v>38.409999999999997</v>
      </c>
      <c r="C437">
        <f t="shared" ca="1" si="90"/>
        <v>0.27999999999999403</v>
      </c>
      <c r="D437">
        <f t="shared" ca="1" si="91"/>
        <v>0.27999999999999403</v>
      </c>
      <c r="E437">
        <f t="shared" ca="1" si="92"/>
        <v>0</v>
      </c>
      <c r="F437">
        <f t="shared" ca="1" si="94"/>
        <v>0.38398510371425093</v>
      </c>
      <c r="G437">
        <f t="shared" ca="1" si="95"/>
        <v>0.14963984934216029</v>
      </c>
      <c r="H437">
        <f t="shared" ca="1" si="96"/>
        <v>2.5660618171049241</v>
      </c>
      <c r="I437">
        <f t="shared" ca="1" si="97"/>
        <v>71.957861324685581</v>
      </c>
      <c r="J437">
        <f t="shared" ca="1" si="98"/>
        <v>0</v>
      </c>
      <c r="K437">
        <f t="shared" ca="1" si="99"/>
        <v>0</v>
      </c>
      <c r="L437">
        <f t="shared" ca="1" si="93"/>
        <v>1</v>
      </c>
      <c r="M437" t="str">
        <f t="shared" ca="1" si="100"/>
        <v>na</v>
      </c>
      <c r="N437" t="str">
        <f t="shared" ca="1" si="101"/>
        <v>na</v>
      </c>
    </row>
    <row r="438" spans="1:14" x14ac:dyDescent="0.2">
      <c r="A438" vm="829">
        <f ca="1"/>
        <v>44879</v>
      </c>
      <c r="B438" vm="830">
        <f ca="1"/>
        <v>37.76</v>
      </c>
      <c r="C438">
        <f t="shared" ca="1" si="90"/>
        <v>-0.64999999999999858</v>
      </c>
      <c r="D438">
        <f t="shared" ca="1" si="91"/>
        <v>0</v>
      </c>
      <c r="E438">
        <f t="shared" ca="1" si="92"/>
        <v>0.64999999999999858</v>
      </c>
      <c r="F438">
        <f t="shared" ca="1" si="94"/>
        <v>0.35655759630609019</v>
      </c>
      <c r="G438">
        <f t="shared" ca="1" si="95"/>
        <v>0.18537986010343444</v>
      </c>
      <c r="H438">
        <f t="shared" ca="1" si="96"/>
        <v>1.923389067761436</v>
      </c>
      <c r="I438">
        <f t="shared" ca="1" si="97"/>
        <v>65.793126511014052</v>
      </c>
      <c r="J438">
        <f t="shared" ca="1" si="98"/>
        <v>0</v>
      </c>
      <c r="K438">
        <f t="shared" ca="1" si="99"/>
        <v>0</v>
      </c>
      <c r="L438">
        <f t="shared" ca="1" si="93"/>
        <v>0</v>
      </c>
      <c r="M438" t="str">
        <f t="shared" ca="1" si="100"/>
        <v>na</v>
      </c>
      <c r="N438" t="str">
        <f t="shared" ca="1" si="101"/>
        <v>na</v>
      </c>
    </row>
    <row r="439" spans="1:14" x14ac:dyDescent="0.2">
      <c r="A439" vm="831">
        <f ca="1"/>
        <v>44880</v>
      </c>
      <c r="B439" vm="214">
        <f ca="1"/>
        <v>37.700000000000003</v>
      </c>
      <c r="C439">
        <f t="shared" ca="1" si="90"/>
        <v>-5.9999999999995168E-2</v>
      </c>
      <c r="D439">
        <f t="shared" ca="1" si="91"/>
        <v>0</v>
      </c>
      <c r="E439">
        <f t="shared" ca="1" si="92"/>
        <v>5.9999999999995168E-2</v>
      </c>
      <c r="F439">
        <f t="shared" ca="1" si="94"/>
        <v>0.33108919656994085</v>
      </c>
      <c r="G439">
        <f t="shared" ca="1" si="95"/>
        <v>0.17642415581033163</v>
      </c>
      <c r="H439">
        <f t="shared" ca="1" si="96"/>
        <v>1.8766658967374343</v>
      </c>
      <c r="I439">
        <f t="shared" ca="1" si="97"/>
        <v>65.23753414902481</v>
      </c>
      <c r="J439">
        <f t="shared" ca="1" si="98"/>
        <v>0</v>
      </c>
      <c r="K439">
        <f t="shared" ca="1" si="99"/>
        <v>0</v>
      </c>
      <c r="L439">
        <f t="shared" ca="1" si="93"/>
        <v>0</v>
      </c>
      <c r="M439" t="str">
        <f t="shared" ca="1" si="100"/>
        <v>na</v>
      </c>
      <c r="N439" t="str">
        <f t="shared" ca="1" si="101"/>
        <v>na</v>
      </c>
    </row>
    <row r="440" spans="1:14" x14ac:dyDescent="0.2">
      <c r="A440" vm="832">
        <f ca="1"/>
        <v>44881</v>
      </c>
      <c r="B440" vm="833">
        <f ca="1"/>
        <v>37.36</v>
      </c>
      <c r="C440">
        <f t="shared" ca="1" si="90"/>
        <v>-0.34000000000000341</v>
      </c>
      <c r="D440">
        <f t="shared" ca="1" si="91"/>
        <v>0</v>
      </c>
      <c r="E440">
        <f t="shared" ca="1" si="92"/>
        <v>0.34000000000000341</v>
      </c>
      <c r="F440">
        <f t="shared" ca="1" si="94"/>
        <v>0.30743996824351649</v>
      </c>
      <c r="G440">
        <f t="shared" ca="1" si="95"/>
        <v>0.18810814468102247</v>
      </c>
      <c r="H440">
        <f t="shared" ca="1" si="96"/>
        <v>1.634378823760378</v>
      </c>
      <c r="I440">
        <f t="shared" ca="1" si="97"/>
        <v>62.040387244968244</v>
      </c>
      <c r="J440">
        <f t="shared" ca="1" si="98"/>
        <v>0</v>
      </c>
      <c r="K440">
        <f t="shared" ca="1" si="99"/>
        <v>0</v>
      </c>
      <c r="L440">
        <f t="shared" ca="1" si="93"/>
        <v>0</v>
      </c>
      <c r="M440" t="str">
        <f t="shared" ca="1" si="100"/>
        <v>na</v>
      </c>
      <c r="N440" t="str">
        <f t="shared" ca="1" si="101"/>
        <v>na</v>
      </c>
    </row>
    <row r="441" spans="1:14" x14ac:dyDescent="0.2">
      <c r="A441" vm="834">
        <f ca="1"/>
        <v>44882</v>
      </c>
      <c r="B441" vm="835">
        <f ca="1"/>
        <v>37.17</v>
      </c>
      <c r="C441">
        <f t="shared" ca="1" si="90"/>
        <v>-0.18999999999999773</v>
      </c>
      <c r="D441">
        <f t="shared" ca="1" si="91"/>
        <v>0</v>
      </c>
      <c r="E441">
        <f t="shared" ca="1" si="92"/>
        <v>0.18999999999999773</v>
      </c>
      <c r="F441">
        <f t="shared" ca="1" si="94"/>
        <v>0.28547997051183677</v>
      </c>
      <c r="G441">
        <f t="shared" ca="1" si="95"/>
        <v>0.18824327720380643</v>
      </c>
      <c r="H441">
        <f t="shared" ca="1" si="96"/>
        <v>1.516548026322101</v>
      </c>
      <c r="I441">
        <f t="shared" ca="1" si="97"/>
        <v>60.263027387500898</v>
      </c>
      <c r="J441">
        <f t="shared" ca="1" si="98"/>
        <v>0</v>
      </c>
      <c r="K441">
        <f t="shared" ca="1" si="99"/>
        <v>0</v>
      </c>
      <c r="L441">
        <f t="shared" ca="1" si="93"/>
        <v>0</v>
      </c>
      <c r="M441" t="str">
        <f t="shared" ca="1" si="100"/>
        <v>na</v>
      </c>
      <c r="N441" t="str">
        <f t="shared" ca="1" si="101"/>
        <v>na</v>
      </c>
    </row>
    <row r="442" spans="1:14" x14ac:dyDescent="0.2">
      <c r="A442" vm="836">
        <f ca="1"/>
        <v>44883</v>
      </c>
      <c r="B442" vm="837">
        <f ca="1"/>
        <v>37.19</v>
      </c>
      <c r="C442">
        <f t="shared" ca="1" si="90"/>
        <v>1.9999999999996021E-2</v>
      </c>
      <c r="D442">
        <f t="shared" ca="1" si="91"/>
        <v>1.9999999999996021E-2</v>
      </c>
      <c r="E442">
        <f t="shared" ca="1" si="92"/>
        <v>0</v>
      </c>
      <c r="F442">
        <f t="shared" ca="1" si="94"/>
        <v>0.26651711547527673</v>
      </c>
      <c r="G442">
        <f t="shared" ca="1" si="95"/>
        <v>0.174797328832106</v>
      </c>
      <c r="H442">
        <f t="shared" ca="1" si="96"/>
        <v>1.5247207566384966</v>
      </c>
      <c r="I442">
        <f t="shared" ca="1" si="97"/>
        <v>60.391659260906316</v>
      </c>
      <c r="J442">
        <f t="shared" ca="1" si="98"/>
        <v>0</v>
      </c>
      <c r="K442">
        <f t="shared" ca="1" si="99"/>
        <v>0</v>
      </c>
      <c r="L442">
        <f t="shared" ca="1" si="93"/>
        <v>0</v>
      </c>
      <c r="M442" t="str">
        <f t="shared" ca="1" si="100"/>
        <v>na</v>
      </c>
      <c r="N442" t="str">
        <f t="shared" ca="1" si="101"/>
        <v>na</v>
      </c>
    </row>
    <row r="443" spans="1:14" x14ac:dyDescent="0.2">
      <c r="A443" vm="838">
        <f ca="1"/>
        <v>44886</v>
      </c>
      <c r="B443" vm="839">
        <f ca="1"/>
        <v>37.31</v>
      </c>
      <c r="C443">
        <f t="shared" ca="1" si="90"/>
        <v>0.12000000000000455</v>
      </c>
      <c r="D443">
        <f t="shared" ca="1" si="91"/>
        <v>0.12000000000000455</v>
      </c>
      <c r="E443">
        <f t="shared" ca="1" si="92"/>
        <v>0</v>
      </c>
      <c r="F443">
        <f t="shared" ca="1" si="94"/>
        <v>0.25605160722704301</v>
      </c>
      <c r="G443">
        <f t="shared" ca="1" si="95"/>
        <v>0.16231180534409842</v>
      </c>
      <c r="H443">
        <f t="shared" ca="1" si="96"/>
        <v>1.5775291679136814</v>
      </c>
      <c r="I443">
        <f t="shared" ca="1" si="97"/>
        <v>61.203154848896403</v>
      </c>
      <c r="J443">
        <f t="shared" ca="1" si="98"/>
        <v>0</v>
      </c>
      <c r="K443">
        <f t="shared" ca="1" si="99"/>
        <v>0</v>
      </c>
      <c r="L443">
        <f t="shared" ca="1" si="93"/>
        <v>0</v>
      </c>
      <c r="M443" t="str">
        <f t="shared" ca="1" si="100"/>
        <v>na</v>
      </c>
      <c r="N443" t="str">
        <f t="shared" ca="1" si="101"/>
        <v>na</v>
      </c>
    </row>
    <row r="444" spans="1:14" x14ac:dyDescent="0.2">
      <c r="A444" vm="840">
        <f ca="1"/>
        <v>44887</v>
      </c>
      <c r="B444" vm="841">
        <f ca="1"/>
        <v>37.49</v>
      </c>
      <c r="C444">
        <f t="shared" ca="1" si="90"/>
        <v>0.17999999999999972</v>
      </c>
      <c r="D444">
        <f t="shared" ca="1" si="91"/>
        <v>0.17999999999999972</v>
      </c>
      <c r="E444">
        <f t="shared" ca="1" si="92"/>
        <v>0</v>
      </c>
      <c r="F444">
        <f t="shared" ca="1" si="94"/>
        <v>0.2506193495679685</v>
      </c>
      <c r="G444">
        <f t="shared" ca="1" si="95"/>
        <v>0.15071810496237711</v>
      </c>
      <c r="H444">
        <f t="shared" ca="1" si="96"/>
        <v>1.6628350630505151</v>
      </c>
      <c r="I444">
        <f t="shared" ca="1" si="97"/>
        <v>62.446040542428086</v>
      </c>
      <c r="J444">
        <f t="shared" ca="1" si="98"/>
        <v>0</v>
      </c>
      <c r="K444">
        <f t="shared" ca="1" si="99"/>
        <v>0</v>
      </c>
      <c r="L444">
        <f t="shared" ca="1" si="93"/>
        <v>0</v>
      </c>
      <c r="M444" t="str">
        <f t="shared" ca="1" si="100"/>
        <v>na</v>
      </c>
      <c r="N444" t="str">
        <f t="shared" ca="1" si="101"/>
        <v>na</v>
      </c>
    </row>
    <row r="445" spans="1:14" x14ac:dyDescent="0.2">
      <c r="A445" vm="842">
        <f ca="1"/>
        <v>44888</v>
      </c>
      <c r="B445" vm="843">
        <f ca="1"/>
        <v>37.61</v>
      </c>
      <c r="C445">
        <f t="shared" ca="1" si="90"/>
        <v>0.11999999999999744</v>
      </c>
      <c r="D445">
        <f t="shared" ca="1" si="91"/>
        <v>0.11999999999999744</v>
      </c>
      <c r="E445">
        <f t="shared" ca="1" si="92"/>
        <v>0</v>
      </c>
      <c r="F445">
        <f t="shared" ca="1" si="94"/>
        <v>0.24128939602739916</v>
      </c>
      <c r="G445">
        <f t="shared" ca="1" si="95"/>
        <v>0.13995252603649302</v>
      </c>
      <c r="H445">
        <f t="shared" ca="1" si="96"/>
        <v>1.7240803210974716</v>
      </c>
      <c r="I445">
        <f t="shared" ca="1" si="97"/>
        <v>63.29036290687926</v>
      </c>
      <c r="J445">
        <f t="shared" ca="1" si="98"/>
        <v>0</v>
      </c>
      <c r="K445">
        <f t="shared" ca="1" si="99"/>
        <v>0</v>
      </c>
      <c r="L445">
        <f t="shared" ca="1" si="93"/>
        <v>0</v>
      </c>
      <c r="M445" t="str">
        <f t="shared" ca="1" si="100"/>
        <v>na</v>
      </c>
      <c r="N445" t="str">
        <f t="shared" ca="1" si="101"/>
        <v>na</v>
      </c>
    </row>
    <row r="446" spans="1:14" x14ac:dyDescent="0.2">
      <c r="A446" vm="844">
        <f ca="1"/>
        <v>44890</v>
      </c>
      <c r="B446" vm="214">
        <f ca="1"/>
        <v>37.700000000000003</v>
      </c>
      <c r="C446">
        <f t="shared" ca="1" si="90"/>
        <v>9.0000000000003411E-2</v>
      </c>
      <c r="D446">
        <f t="shared" ca="1" si="91"/>
        <v>9.0000000000003411E-2</v>
      </c>
      <c r="E446">
        <f t="shared" ca="1" si="92"/>
        <v>0</v>
      </c>
      <c r="F446">
        <f t="shared" ca="1" si="94"/>
        <v>0.2304830105968709</v>
      </c>
      <c r="G446">
        <f t="shared" ca="1" si="95"/>
        <v>0.12995591703388637</v>
      </c>
      <c r="H446">
        <f t="shared" ca="1" si="96"/>
        <v>1.7735476449046319</v>
      </c>
      <c r="I446">
        <f t="shared" ca="1" si="97"/>
        <v>63.945093864274142</v>
      </c>
      <c r="J446">
        <f t="shared" ca="1" si="98"/>
        <v>0</v>
      </c>
      <c r="K446">
        <f t="shared" ca="1" si="99"/>
        <v>0</v>
      </c>
      <c r="L446">
        <f t="shared" ca="1" si="93"/>
        <v>0</v>
      </c>
      <c r="M446" t="str">
        <f t="shared" ca="1" si="100"/>
        <v>na</v>
      </c>
      <c r="N446" t="str">
        <f t="shared" ca="1" si="101"/>
        <v>na</v>
      </c>
    </row>
    <row r="447" spans="1:14" x14ac:dyDescent="0.2">
      <c r="A447" vm="845">
        <f ca="1"/>
        <v>44893</v>
      </c>
      <c r="B447" vm="846">
        <f ca="1"/>
        <v>36.86</v>
      </c>
      <c r="C447">
        <f t="shared" ca="1" si="90"/>
        <v>-0.84000000000000341</v>
      </c>
      <c r="D447">
        <f t="shared" ca="1" si="91"/>
        <v>0</v>
      </c>
      <c r="E447">
        <f t="shared" ca="1" si="92"/>
        <v>0.84000000000000341</v>
      </c>
      <c r="F447">
        <f t="shared" ca="1" si="94"/>
        <v>0.21401993841138012</v>
      </c>
      <c r="G447">
        <f t="shared" ca="1" si="95"/>
        <v>0.18067335153146619</v>
      </c>
      <c r="H447">
        <f t="shared" ca="1" si="96"/>
        <v>1.1845683749000819</v>
      </c>
      <c r="I447">
        <f t="shared" ca="1" si="97"/>
        <v>54.224367088270327</v>
      </c>
      <c r="J447">
        <f t="shared" ca="1" si="98"/>
        <v>0</v>
      </c>
      <c r="K447">
        <f t="shared" ca="1" si="99"/>
        <v>0</v>
      </c>
      <c r="L447">
        <f t="shared" ca="1" si="93"/>
        <v>0</v>
      </c>
      <c r="M447" t="str">
        <f t="shared" ca="1" si="100"/>
        <v>na</v>
      </c>
      <c r="N447" t="str">
        <f t="shared" ca="1" si="101"/>
        <v>na</v>
      </c>
    </row>
    <row r="448" spans="1:14" x14ac:dyDescent="0.2">
      <c r="A448" vm="847">
        <f ca="1"/>
        <v>44894</v>
      </c>
      <c r="B448" vm="848">
        <f ca="1"/>
        <v>37</v>
      </c>
      <c r="C448">
        <f t="shared" ca="1" si="90"/>
        <v>0.14000000000000057</v>
      </c>
      <c r="D448">
        <f t="shared" ca="1" si="91"/>
        <v>0.14000000000000057</v>
      </c>
      <c r="E448">
        <f t="shared" ca="1" si="92"/>
        <v>0</v>
      </c>
      <c r="F448">
        <f t="shared" ca="1" si="94"/>
        <v>0.20873279995342445</v>
      </c>
      <c r="G448">
        <f t="shared" ca="1" si="95"/>
        <v>0.16776811213636145</v>
      </c>
      <c r="H448">
        <f t="shared" ca="1" si="96"/>
        <v>1.2441744578002225</v>
      </c>
      <c r="I448">
        <f t="shared" ca="1" si="97"/>
        <v>55.440184406152781</v>
      </c>
      <c r="J448">
        <f t="shared" ca="1" si="98"/>
        <v>0</v>
      </c>
      <c r="K448">
        <f t="shared" ca="1" si="99"/>
        <v>0</v>
      </c>
      <c r="L448">
        <f t="shared" ca="1" si="93"/>
        <v>0</v>
      </c>
      <c r="M448" t="str">
        <f t="shared" ca="1" si="100"/>
        <v>na</v>
      </c>
      <c r="N448" t="str">
        <f t="shared" ca="1" si="101"/>
        <v>na</v>
      </c>
    </row>
    <row r="449" spans="1:14" x14ac:dyDescent="0.2">
      <c r="A449" vm="849">
        <f ca="1"/>
        <v>44895</v>
      </c>
      <c r="B449" vm="850">
        <f ca="1"/>
        <v>37.85</v>
      </c>
      <c r="C449">
        <f t="shared" ca="1" si="90"/>
        <v>0.85000000000000142</v>
      </c>
      <c r="D449">
        <f t="shared" ca="1" si="91"/>
        <v>0.85000000000000142</v>
      </c>
      <c r="E449">
        <f t="shared" ca="1" si="92"/>
        <v>0</v>
      </c>
      <c r="F449">
        <f t="shared" ca="1" si="94"/>
        <v>0.25453759995675135</v>
      </c>
      <c r="G449">
        <f t="shared" ca="1" si="95"/>
        <v>0.15578467555519276</v>
      </c>
      <c r="H449">
        <f t="shared" ca="1" si="96"/>
        <v>1.6339065383011406</v>
      </c>
      <c r="I449">
        <f t="shared" ca="1" si="97"/>
        <v>62.033580711447868</v>
      </c>
      <c r="J449">
        <f t="shared" ca="1" si="98"/>
        <v>0</v>
      </c>
      <c r="K449">
        <f t="shared" ca="1" si="99"/>
        <v>0</v>
      </c>
      <c r="L449">
        <f t="shared" ca="1" si="93"/>
        <v>0</v>
      </c>
      <c r="M449" t="str">
        <f t="shared" ca="1" si="100"/>
        <v>na</v>
      </c>
      <c r="N449" t="str">
        <f t="shared" ca="1" si="101"/>
        <v>na</v>
      </c>
    </row>
    <row r="450" spans="1:14" x14ac:dyDescent="0.2">
      <c r="A450" vm="851">
        <f ca="1"/>
        <v>44896</v>
      </c>
      <c r="B450" vm="852">
        <f ca="1"/>
        <v>36.549999999999997</v>
      </c>
      <c r="C450">
        <f t="shared" ca="1" si="90"/>
        <v>-1.3000000000000043</v>
      </c>
      <c r="D450">
        <f t="shared" ca="1" si="91"/>
        <v>0</v>
      </c>
      <c r="E450">
        <f t="shared" ca="1" si="92"/>
        <v>1.3000000000000043</v>
      </c>
      <c r="F450">
        <f t="shared" ca="1" si="94"/>
        <v>0.23635634281698339</v>
      </c>
      <c r="G450">
        <f t="shared" ca="1" si="95"/>
        <v>0.23751434158696499</v>
      </c>
      <c r="H450">
        <f t="shared" ca="1" si="96"/>
        <v>0.99512451011486558</v>
      </c>
      <c r="I450">
        <f t="shared" ca="1" si="97"/>
        <v>49.877814896754145</v>
      </c>
      <c r="J450">
        <f t="shared" ca="1" si="98"/>
        <v>0</v>
      </c>
      <c r="K450">
        <f t="shared" ca="1" si="99"/>
        <v>0</v>
      </c>
      <c r="L450">
        <f t="shared" ca="1" si="93"/>
        <v>0</v>
      </c>
      <c r="M450" t="str">
        <f t="shared" ca="1" si="100"/>
        <v>na</v>
      </c>
      <c r="N450" t="str">
        <f t="shared" ca="1" si="101"/>
        <v>na</v>
      </c>
    </row>
    <row r="451" spans="1:14" x14ac:dyDescent="0.2">
      <c r="A451" vm="853">
        <f ca="1"/>
        <v>44897</v>
      </c>
      <c r="B451" vm="854">
        <f ca="1"/>
        <v>36.08</v>
      </c>
      <c r="C451">
        <f t="shared" ca="1" si="90"/>
        <v>-0.46999999999999886</v>
      </c>
      <c r="D451">
        <f t="shared" ca="1" si="91"/>
        <v>0</v>
      </c>
      <c r="E451">
        <f t="shared" ca="1" si="92"/>
        <v>0.46999999999999886</v>
      </c>
      <c r="F451">
        <f t="shared" ca="1" si="94"/>
        <v>0.21947374690148461</v>
      </c>
      <c r="G451">
        <f t="shared" ca="1" si="95"/>
        <v>0.25412046004503885</v>
      </c>
      <c r="H451">
        <f t="shared" ca="1" si="96"/>
        <v>0.86366027695127867</v>
      </c>
      <c r="I451">
        <f t="shared" ca="1" si="97"/>
        <v>46.34215192718073</v>
      </c>
      <c r="J451">
        <f t="shared" ca="1" si="98"/>
        <v>0</v>
      </c>
      <c r="K451">
        <f t="shared" ca="1" si="99"/>
        <v>0</v>
      </c>
      <c r="L451">
        <f t="shared" ca="1" si="93"/>
        <v>0</v>
      </c>
      <c r="M451" t="str">
        <f t="shared" ca="1" si="100"/>
        <v>na</v>
      </c>
      <c r="N451" t="str">
        <f t="shared" ca="1" si="101"/>
        <v>na</v>
      </c>
    </row>
    <row r="452" spans="1:14" x14ac:dyDescent="0.2">
      <c r="A452" vm="855">
        <f ca="1"/>
        <v>44900</v>
      </c>
      <c r="B452" vm="44">
        <f ca="1"/>
        <v>34.47</v>
      </c>
      <c r="C452">
        <f t="shared" ca="1" si="90"/>
        <v>-1.6099999999999994</v>
      </c>
      <c r="D452">
        <f t="shared" ca="1" si="91"/>
        <v>0</v>
      </c>
      <c r="E452">
        <f t="shared" ca="1" si="92"/>
        <v>1.6099999999999994</v>
      </c>
      <c r="F452">
        <f t="shared" ca="1" si="94"/>
        <v>0.2037970506942357</v>
      </c>
      <c r="G452">
        <f t="shared" ca="1" si="95"/>
        <v>0.35096899861325032</v>
      </c>
      <c r="H452">
        <f t="shared" ca="1" si="96"/>
        <v>0.58066966455578461</v>
      </c>
      <c r="I452">
        <f t="shared" ca="1" si="97"/>
        <v>36.735674605292694</v>
      </c>
      <c r="J452">
        <f t="shared" ca="1" si="98"/>
        <v>1</v>
      </c>
      <c r="K452">
        <f t="shared" ca="1" si="99"/>
        <v>1</v>
      </c>
      <c r="L452">
        <f t="shared" ca="1" si="93"/>
        <v>0</v>
      </c>
      <c r="M452" vm="44">
        <f t="shared" ca="1" si="100"/>
        <v>34.47</v>
      </c>
      <c r="N452" t="str">
        <f t="shared" ca="1" si="101"/>
        <v>na</v>
      </c>
    </row>
    <row r="453" spans="1:14" x14ac:dyDescent="0.2">
      <c r="A453" vm="856">
        <f ca="1"/>
        <v>44901</v>
      </c>
      <c r="B453" vm="857">
        <f ca="1"/>
        <v>33</v>
      </c>
      <c r="C453">
        <f t="shared" ca="1" si="90"/>
        <v>-1.4699999999999989</v>
      </c>
      <c r="D453">
        <f t="shared" ca="1" si="91"/>
        <v>0</v>
      </c>
      <c r="E453">
        <f t="shared" ca="1" si="92"/>
        <v>1.4699999999999989</v>
      </c>
      <c r="F453">
        <f t="shared" ca="1" si="94"/>
        <v>0.18924011850179029</v>
      </c>
      <c r="G453">
        <f t="shared" ca="1" si="95"/>
        <v>0.43089978442658949</v>
      </c>
      <c r="H453">
        <f t="shared" ca="1" si="96"/>
        <v>0.43917431695543191</v>
      </c>
      <c r="I453">
        <f t="shared" ca="1" si="97"/>
        <v>30.515713891038828</v>
      </c>
      <c r="J453">
        <f t="shared" ca="1" si="98"/>
        <v>1</v>
      </c>
      <c r="K453">
        <f t="shared" ca="1" si="99"/>
        <v>1</v>
      </c>
      <c r="L453">
        <f t="shared" ca="1" si="93"/>
        <v>0</v>
      </c>
      <c r="M453" t="str">
        <f t="shared" ca="1" si="100"/>
        <v>na</v>
      </c>
      <c r="N453" t="str">
        <f t="shared" ca="1" si="101"/>
        <v>na</v>
      </c>
    </row>
    <row r="454" spans="1:14" x14ac:dyDescent="0.2">
      <c r="A454" vm="858">
        <f ca="1"/>
        <v>44902</v>
      </c>
      <c r="B454" vm="859">
        <f ca="1"/>
        <v>32.74</v>
      </c>
      <c r="C454">
        <f t="shared" ca="1" si="90"/>
        <v>-0.25999999999999801</v>
      </c>
      <c r="D454">
        <f t="shared" ca="1" si="91"/>
        <v>0</v>
      </c>
      <c r="E454">
        <f t="shared" ca="1" si="92"/>
        <v>0.25999999999999801</v>
      </c>
      <c r="F454">
        <f t="shared" ca="1" si="94"/>
        <v>0.17572296718023384</v>
      </c>
      <c r="G454">
        <f t="shared" ca="1" si="95"/>
        <v>0.41869265696754721</v>
      </c>
      <c r="H454">
        <f t="shared" ca="1" si="96"/>
        <v>0.41969440890828447</v>
      </c>
      <c r="I454">
        <f t="shared" ca="1" si="97"/>
        <v>29.562306245258839</v>
      </c>
      <c r="J454">
        <f t="shared" ca="1" si="98"/>
        <v>1</v>
      </c>
      <c r="K454">
        <f t="shared" ca="1" si="99"/>
        <v>1</v>
      </c>
      <c r="L454">
        <f t="shared" ca="1" si="93"/>
        <v>0</v>
      </c>
      <c r="M454" t="str">
        <f t="shared" ca="1" si="100"/>
        <v>na</v>
      </c>
      <c r="N454" t="str">
        <f t="shared" ca="1" si="101"/>
        <v>na</v>
      </c>
    </row>
    <row r="455" spans="1:14" x14ac:dyDescent="0.2">
      <c r="A455" vm="860">
        <f ca="1"/>
        <v>44903</v>
      </c>
      <c r="B455" vm="861">
        <f ca="1"/>
        <v>32.44</v>
      </c>
      <c r="C455">
        <f t="shared" ca="1" si="90"/>
        <v>-0.30000000000000426</v>
      </c>
      <c r="D455">
        <f t="shared" ca="1" si="91"/>
        <v>0</v>
      </c>
      <c r="E455">
        <f t="shared" ca="1" si="92"/>
        <v>0.30000000000000426</v>
      </c>
      <c r="F455">
        <f t="shared" ca="1" si="94"/>
        <v>0.16317132666736001</v>
      </c>
      <c r="G455">
        <f t="shared" ca="1" si="95"/>
        <v>0.41021461004129417</v>
      </c>
      <c r="H455">
        <f t="shared" ca="1" si="96"/>
        <v>0.39777063681601782</v>
      </c>
      <c r="I455">
        <f t="shared" ca="1" si="97"/>
        <v>28.457504138311251</v>
      </c>
      <c r="J455">
        <f t="shared" ca="1" si="98"/>
        <v>1</v>
      </c>
      <c r="K455">
        <f t="shared" ca="1" si="99"/>
        <v>1</v>
      </c>
      <c r="L455">
        <f t="shared" ca="1" si="93"/>
        <v>0</v>
      </c>
      <c r="M455" t="str">
        <f t="shared" ca="1" si="100"/>
        <v>na</v>
      </c>
      <c r="N455" t="str">
        <f t="shared" ca="1" si="101"/>
        <v>na</v>
      </c>
    </row>
    <row r="456" spans="1:14" x14ac:dyDescent="0.2">
      <c r="A456" vm="862">
        <f ca="1"/>
        <v>44904</v>
      </c>
      <c r="B456" vm="781">
        <f ca="1"/>
        <v>32.380000000000003</v>
      </c>
      <c r="C456">
        <f t="shared" ca="1" si="90"/>
        <v>-5.9999999999995168E-2</v>
      </c>
      <c r="D456">
        <f t="shared" ca="1" si="91"/>
        <v>0</v>
      </c>
      <c r="E456">
        <f t="shared" ca="1" si="92"/>
        <v>5.9999999999995168E-2</v>
      </c>
      <c r="F456">
        <f t="shared" ca="1" si="94"/>
        <v>0.15151623190540572</v>
      </c>
      <c r="G456">
        <f t="shared" ca="1" si="95"/>
        <v>0.38519928075262999</v>
      </c>
      <c r="H456">
        <f t="shared" ca="1" si="96"/>
        <v>0.39334505404413644</v>
      </c>
      <c r="I456">
        <f t="shared" ca="1" si="97"/>
        <v>28.230268798275475</v>
      </c>
      <c r="J456">
        <f t="shared" ca="1" si="98"/>
        <v>1</v>
      </c>
      <c r="K456">
        <f t="shared" ca="1" si="99"/>
        <v>1</v>
      </c>
      <c r="L456">
        <f t="shared" ca="1" si="93"/>
        <v>0</v>
      </c>
      <c r="M456" t="str">
        <f t="shared" ca="1" si="100"/>
        <v>na</v>
      </c>
      <c r="N456" t="str">
        <f t="shared" ca="1" si="101"/>
        <v>na</v>
      </c>
    </row>
    <row r="457" spans="1:14" x14ac:dyDescent="0.2">
      <c r="A457" vm="863">
        <f ca="1"/>
        <v>44907</v>
      </c>
      <c r="B457" vm="864">
        <f ca="1"/>
        <v>32.729999999999997</v>
      </c>
      <c r="C457">
        <f t="shared" ref="C457:C520" ca="1" si="102">B457-B456</f>
        <v>0.34999999999999432</v>
      </c>
      <c r="D457">
        <f t="shared" ref="D457:D520" ca="1" si="103">IF(C457&gt;0,C457,0)</f>
        <v>0.34999999999999432</v>
      </c>
      <c r="E457">
        <f t="shared" ref="E457:E520" ca="1" si="104">IF(C457&lt;0,ABS(C457),0)</f>
        <v>0</v>
      </c>
      <c r="F457">
        <f t="shared" ca="1" si="94"/>
        <v>0.16569364391216204</v>
      </c>
      <c r="G457">
        <f t="shared" ca="1" si="95"/>
        <v>0.3576850464131564</v>
      </c>
      <c r="H457">
        <f t="shared" ca="1" si="96"/>
        <v>0.46323894603290711</v>
      </c>
      <c r="I457">
        <f t="shared" ca="1" si="97"/>
        <v>31.658462022817787</v>
      </c>
      <c r="J457">
        <f t="shared" ca="1" si="98"/>
        <v>1</v>
      </c>
      <c r="K457">
        <f t="shared" ca="1" si="99"/>
        <v>1</v>
      </c>
      <c r="L457">
        <f t="shared" ca="1" si="93"/>
        <v>0</v>
      </c>
      <c r="M457" t="str">
        <f t="shared" ca="1" si="100"/>
        <v>na</v>
      </c>
      <c r="N457" t="str">
        <f t="shared" ca="1" si="101"/>
        <v>na</v>
      </c>
    </row>
    <row r="458" spans="1:14" x14ac:dyDescent="0.2">
      <c r="A458" vm="865">
        <f ca="1"/>
        <v>44908</v>
      </c>
      <c r="B458" vm="866">
        <f ca="1"/>
        <v>32.75</v>
      </c>
      <c r="C458">
        <f t="shared" ca="1" si="102"/>
        <v>2.0000000000003126E-2</v>
      </c>
      <c r="D458">
        <f t="shared" ca="1" si="103"/>
        <v>2.0000000000003126E-2</v>
      </c>
      <c r="E458">
        <f t="shared" ca="1" si="104"/>
        <v>0</v>
      </c>
      <c r="F458">
        <f t="shared" ca="1" si="94"/>
        <v>0.15528695506129356</v>
      </c>
      <c r="G458">
        <f t="shared" ca="1" si="95"/>
        <v>0.33213611452650238</v>
      </c>
      <c r="H458">
        <f t="shared" ca="1" si="96"/>
        <v>0.46754010861683226</v>
      </c>
      <c r="I458">
        <f t="shared" ca="1" si="97"/>
        <v>31.858761874487527</v>
      </c>
      <c r="J458">
        <f t="shared" ca="1" si="98"/>
        <v>1</v>
      </c>
      <c r="K458">
        <f t="shared" ca="1" si="99"/>
        <v>1</v>
      </c>
      <c r="L458">
        <f t="shared" ca="1" si="93"/>
        <v>0</v>
      </c>
      <c r="M458" t="str">
        <f t="shared" ca="1" si="100"/>
        <v>na</v>
      </c>
      <c r="N458" t="str">
        <f t="shared" ca="1" si="101"/>
        <v>na</v>
      </c>
    </row>
    <row r="459" spans="1:14" x14ac:dyDescent="0.2">
      <c r="A459" vm="867">
        <f ca="1"/>
        <v>44909</v>
      </c>
      <c r="B459" vm="868">
        <f ca="1"/>
        <v>32.28</v>
      </c>
      <c r="C459">
        <f t="shared" ca="1" si="102"/>
        <v>-0.46999999999999886</v>
      </c>
      <c r="D459">
        <f t="shared" ca="1" si="103"/>
        <v>0</v>
      </c>
      <c r="E459">
        <f t="shared" ca="1" si="104"/>
        <v>0.46999999999999886</v>
      </c>
      <c r="F459">
        <f t="shared" ca="1" si="94"/>
        <v>0.14419502969977258</v>
      </c>
      <c r="G459">
        <f t="shared" ca="1" si="95"/>
        <v>0.34198353491746641</v>
      </c>
      <c r="H459">
        <f t="shared" ca="1" si="96"/>
        <v>0.42164319324488037</v>
      </c>
      <c r="I459">
        <f t="shared" ca="1" si="97"/>
        <v>29.658862030105155</v>
      </c>
      <c r="J459">
        <f t="shared" ca="1" si="98"/>
        <v>1</v>
      </c>
      <c r="K459">
        <f t="shared" ca="1" si="99"/>
        <v>1</v>
      </c>
      <c r="L459">
        <f t="shared" ca="1" si="93"/>
        <v>0</v>
      </c>
      <c r="M459" t="str">
        <f t="shared" ca="1" si="100"/>
        <v>na</v>
      </c>
      <c r="N459" t="str">
        <f t="shared" ca="1" si="101"/>
        <v>na</v>
      </c>
    </row>
    <row r="460" spans="1:14" x14ac:dyDescent="0.2">
      <c r="A460" vm="869">
        <f ca="1"/>
        <v>44910</v>
      </c>
      <c r="B460" vm="870">
        <f ca="1"/>
        <v>31.77</v>
      </c>
      <c r="C460">
        <f t="shared" ca="1" si="102"/>
        <v>-0.51000000000000156</v>
      </c>
      <c r="D460">
        <f t="shared" ca="1" si="103"/>
        <v>0</v>
      </c>
      <c r="E460">
        <f t="shared" ca="1" si="104"/>
        <v>0.51000000000000156</v>
      </c>
      <c r="F460">
        <f t="shared" ca="1" si="94"/>
        <v>0.1338953847212174</v>
      </c>
      <c r="G460">
        <f t="shared" ca="1" si="95"/>
        <v>0.35398471099479034</v>
      </c>
      <c r="H460">
        <f t="shared" ca="1" si="96"/>
        <v>0.37825188648666797</v>
      </c>
      <c r="I460">
        <f t="shared" ca="1" si="97"/>
        <v>27.444322057187833</v>
      </c>
      <c r="J460">
        <f t="shared" ca="1" si="98"/>
        <v>1</v>
      </c>
      <c r="K460">
        <f t="shared" ca="1" si="99"/>
        <v>1</v>
      </c>
      <c r="L460">
        <f t="shared" ca="1" si="93"/>
        <v>0</v>
      </c>
      <c r="M460" t="str">
        <f t="shared" ca="1" si="100"/>
        <v>na</v>
      </c>
      <c r="N460" t="str">
        <f t="shared" ca="1" si="101"/>
        <v>na</v>
      </c>
    </row>
    <row r="461" spans="1:14" x14ac:dyDescent="0.2">
      <c r="A461" vm="871">
        <f ca="1"/>
        <v>44911</v>
      </c>
      <c r="B461" vm="794">
        <f ca="1"/>
        <v>31.7</v>
      </c>
      <c r="C461">
        <f t="shared" ca="1" si="102"/>
        <v>-7.0000000000000284E-2</v>
      </c>
      <c r="D461">
        <f t="shared" ca="1" si="103"/>
        <v>0</v>
      </c>
      <c r="E461">
        <f t="shared" ca="1" si="104"/>
        <v>7.0000000000000284E-2</v>
      </c>
      <c r="F461">
        <f t="shared" ca="1" si="94"/>
        <v>0.12433142866970186</v>
      </c>
      <c r="G461">
        <f t="shared" ca="1" si="95"/>
        <v>0.33370008878087676</v>
      </c>
      <c r="H461">
        <f t="shared" ca="1" si="96"/>
        <v>0.37258434399561624</v>
      </c>
      <c r="I461">
        <f t="shared" ca="1" si="97"/>
        <v>27.144732170776251</v>
      </c>
      <c r="J461">
        <f t="shared" ca="1" si="98"/>
        <v>1</v>
      </c>
      <c r="K461">
        <f t="shared" ca="1" si="99"/>
        <v>1</v>
      </c>
      <c r="L461">
        <f t="shared" ca="1" si="93"/>
        <v>0</v>
      </c>
      <c r="M461" t="str">
        <f t="shared" ca="1" si="100"/>
        <v>na</v>
      </c>
      <c r="N461" t="str">
        <f t="shared" ca="1" si="101"/>
        <v>na</v>
      </c>
    </row>
    <row r="462" spans="1:14" x14ac:dyDescent="0.2">
      <c r="A462" vm="872">
        <f ca="1"/>
        <v>44914</v>
      </c>
      <c r="B462" vm="873">
        <f ca="1"/>
        <v>32.06</v>
      </c>
      <c r="C462">
        <f t="shared" ca="1" si="102"/>
        <v>0.36000000000000298</v>
      </c>
      <c r="D462">
        <f t="shared" ca="1" si="103"/>
        <v>0.36000000000000298</v>
      </c>
      <c r="E462">
        <f t="shared" ca="1" si="104"/>
        <v>0</v>
      </c>
      <c r="F462">
        <f t="shared" ca="1" si="94"/>
        <v>0.14116489805043766</v>
      </c>
      <c r="G462">
        <f t="shared" ca="1" si="95"/>
        <v>0.30986436815367124</v>
      </c>
      <c r="H462">
        <f t="shared" ca="1" si="96"/>
        <v>0.45556996079145717</v>
      </c>
      <c r="I462">
        <f t="shared" ca="1" si="97"/>
        <v>31.298389844741223</v>
      </c>
      <c r="J462">
        <f t="shared" ca="1" si="98"/>
        <v>1</v>
      </c>
      <c r="K462">
        <f t="shared" ca="1" si="99"/>
        <v>1</v>
      </c>
      <c r="L462">
        <f t="shared" ca="1" si="93"/>
        <v>0</v>
      </c>
      <c r="M462" t="str">
        <f t="shared" ca="1" si="100"/>
        <v>na</v>
      </c>
      <c r="N462" t="str">
        <f t="shared" ca="1" si="101"/>
        <v>na</v>
      </c>
    </row>
    <row r="463" spans="1:14" x14ac:dyDescent="0.2">
      <c r="A463" vm="874">
        <f ca="1"/>
        <v>44915</v>
      </c>
      <c r="B463" vm="875">
        <f ca="1"/>
        <v>32.19</v>
      </c>
      <c r="C463">
        <f t="shared" ca="1" si="102"/>
        <v>0.12999999999999545</v>
      </c>
      <c r="D463">
        <f t="shared" ca="1" si="103"/>
        <v>0.12999999999999545</v>
      </c>
      <c r="E463">
        <f t="shared" ca="1" si="104"/>
        <v>0</v>
      </c>
      <c r="F463">
        <f t="shared" ca="1" si="94"/>
        <v>0.14036740533254893</v>
      </c>
      <c r="G463">
        <f t="shared" ca="1" si="95"/>
        <v>0.28773119899983757</v>
      </c>
      <c r="H463">
        <f t="shared" ca="1" si="96"/>
        <v>0.48784214510094948</v>
      </c>
      <c r="I463">
        <f t="shared" ca="1" si="97"/>
        <v>32.788568781122251</v>
      </c>
      <c r="J463">
        <f t="shared" ca="1" si="98"/>
        <v>1</v>
      </c>
      <c r="K463">
        <f t="shared" ca="1" si="99"/>
        <v>1</v>
      </c>
      <c r="L463">
        <f t="shared" ca="1" si="93"/>
        <v>0</v>
      </c>
      <c r="M463" t="str">
        <f t="shared" ca="1" si="100"/>
        <v>na</v>
      </c>
      <c r="N463" t="str">
        <f t="shared" ca="1" si="101"/>
        <v>na</v>
      </c>
    </row>
    <row r="464" spans="1:14" x14ac:dyDescent="0.2">
      <c r="A464" vm="876">
        <f ca="1"/>
        <v>44916</v>
      </c>
      <c r="B464" vm="877">
        <f ca="1"/>
        <v>32.68</v>
      </c>
      <c r="C464">
        <f t="shared" ca="1" si="102"/>
        <v>0.49000000000000199</v>
      </c>
      <c r="D464">
        <f t="shared" ca="1" si="103"/>
        <v>0.49000000000000199</v>
      </c>
      <c r="E464">
        <f t="shared" ca="1" si="104"/>
        <v>0</v>
      </c>
      <c r="F464">
        <f t="shared" ca="1" si="94"/>
        <v>0.16534116209450986</v>
      </c>
      <c r="G464">
        <f t="shared" ca="1" si="95"/>
        <v>0.26717897049984918</v>
      </c>
      <c r="H464">
        <f t="shared" ca="1" si="96"/>
        <v>0.61884047904362738</v>
      </c>
      <c r="I464">
        <f t="shared" ca="1" si="97"/>
        <v>38.227390966231816</v>
      </c>
      <c r="J464">
        <f t="shared" ca="1" si="98"/>
        <v>1</v>
      </c>
      <c r="K464">
        <f t="shared" ca="1" si="99"/>
        <v>1</v>
      </c>
      <c r="L464">
        <f t="shared" ca="1" si="93"/>
        <v>0</v>
      </c>
      <c r="M464" t="str">
        <f t="shared" ca="1" si="100"/>
        <v>na</v>
      </c>
      <c r="N464" t="str">
        <f t="shared" ca="1" si="101"/>
        <v>na</v>
      </c>
    </row>
    <row r="465" spans="1:14" x14ac:dyDescent="0.2">
      <c r="A465" vm="878">
        <f ca="1"/>
        <v>44917</v>
      </c>
      <c r="B465" vm="879">
        <f ca="1"/>
        <v>32.39</v>
      </c>
      <c r="C465">
        <f t="shared" ca="1" si="102"/>
        <v>-0.28999999999999915</v>
      </c>
      <c r="D465">
        <f t="shared" ca="1" si="103"/>
        <v>0</v>
      </c>
      <c r="E465">
        <f t="shared" ca="1" si="104"/>
        <v>0.28999999999999915</v>
      </c>
      <c r="F465">
        <f t="shared" ca="1" si="94"/>
        <v>0.15353107908775915</v>
      </c>
      <c r="G465">
        <f t="shared" ca="1" si="95"/>
        <v>0.26880904403557421</v>
      </c>
      <c r="H465">
        <f t="shared" ca="1" si="96"/>
        <v>0.57115295223266682</v>
      </c>
      <c r="I465">
        <f t="shared" ca="1" si="97"/>
        <v>36.352472967131384</v>
      </c>
      <c r="J465">
        <f t="shared" ca="1" si="98"/>
        <v>1</v>
      </c>
      <c r="K465">
        <f t="shared" ca="1" si="99"/>
        <v>1</v>
      </c>
      <c r="L465">
        <f t="shared" ca="1" si="93"/>
        <v>0</v>
      </c>
      <c r="M465" t="str">
        <f t="shared" ca="1" si="100"/>
        <v>na</v>
      </c>
      <c r="N465" t="str">
        <f t="shared" ca="1" si="101"/>
        <v>na</v>
      </c>
    </row>
    <row r="466" spans="1:14" x14ac:dyDescent="0.2">
      <c r="A466" vm="880">
        <f ca="1"/>
        <v>44918</v>
      </c>
      <c r="B466" vm="881">
        <f ca="1"/>
        <v>32.47</v>
      </c>
      <c r="C466">
        <f t="shared" ca="1" si="102"/>
        <v>7.9999999999998295E-2</v>
      </c>
      <c r="D466">
        <f t="shared" ca="1" si="103"/>
        <v>7.9999999999998295E-2</v>
      </c>
      <c r="E466">
        <f t="shared" ca="1" si="104"/>
        <v>0</v>
      </c>
      <c r="F466">
        <f t="shared" ca="1" si="94"/>
        <v>0.14827885915291908</v>
      </c>
      <c r="G466">
        <f t="shared" ca="1" si="95"/>
        <v>0.2496083980330332</v>
      </c>
      <c r="H466">
        <f t="shared" ca="1" si="96"/>
        <v>0.59404595486925826</v>
      </c>
      <c r="I466">
        <f t="shared" ca="1" si="97"/>
        <v>37.266551384836404</v>
      </c>
      <c r="J466">
        <f t="shared" ca="1" si="98"/>
        <v>1</v>
      </c>
      <c r="K466">
        <f t="shared" ca="1" si="99"/>
        <v>1</v>
      </c>
      <c r="L466">
        <f t="shared" ca="1" si="93"/>
        <v>0</v>
      </c>
      <c r="M466" t="str">
        <f t="shared" ca="1" si="100"/>
        <v>na</v>
      </c>
      <c r="N466" t="str">
        <f t="shared" ca="1" si="101"/>
        <v>na</v>
      </c>
    </row>
    <row r="467" spans="1:14" x14ac:dyDescent="0.2">
      <c r="A467" vm="882">
        <f ca="1"/>
        <v>44922</v>
      </c>
      <c r="B467" vm="883">
        <f ca="1"/>
        <v>32.53</v>
      </c>
      <c r="C467">
        <f t="shared" ca="1" si="102"/>
        <v>6.0000000000002274E-2</v>
      </c>
      <c r="D467">
        <f t="shared" ca="1" si="103"/>
        <v>6.0000000000002274E-2</v>
      </c>
      <c r="E467">
        <f t="shared" ca="1" si="104"/>
        <v>0</v>
      </c>
      <c r="F467">
        <f t="shared" ca="1" si="94"/>
        <v>0.14197322635628215</v>
      </c>
      <c r="G467">
        <f t="shared" ca="1" si="95"/>
        <v>0.2317792267449594</v>
      </c>
      <c r="H467">
        <f t="shared" ca="1" si="96"/>
        <v>0.61253645699881387</v>
      </c>
      <c r="I467">
        <f t="shared" ca="1" si="97"/>
        <v>37.985898200332251</v>
      </c>
      <c r="J467">
        <f t="shared" ca="1" si="98"/>
        <v>1</v>
      </c>
      <c r="K467">
        <f t="shared" ca="1" si="99"/>
        <v>1</v>
      </c>
      <c r="L467">
        <f t="shared" ca="1" si="93"/>
        <v>0</v>
      </c>
      <c r="M467" t="str">
        <f t="shared" ca="1" si="100"/>
        <v>na</v>
      </c>
      <c r="N467" t="str">
        <f t="shared" ca="1" si="101"/>
        <v>na</v>
      </c>
    </row>
    <row r="468" spans="1:14" x14ac:dyDescent="0.2">
      <c r="A468" vm="884">
        <f ca="1"/>
        <v>44923</v>
      </c>
      <c r="B468" vm="885">
        <f ca="1"/>
        <v>32.770000000000003</v>
      </c>
      <c r="C468">
        <f t="shared" ca="1" si="102"/>
        <v>0.24000000000000199</v>
      </c>
      <c r="D468">
        <f t="shared" ca="1" si="103"/>
        <v>0.24000000000000199</v>
      </c>
      <c r="E468">
        <f t="shared" ca="1" si="104"/>
        <v>0</v>
      </c>
      <c r="F468">
        <f t="shared" ca="1" si="94"/>
        <v>0.14897513875940499</v>
      </c>
      <c r="G468">
        <f t="shared" ca="1" si="95"/>
        <v>0.21522356769174802</v>
      </c>
      <c r="H468">
        <f t="shared" ca="1" si="96"/>
        <v>0.69218785078766687</v>
      </c>
      <c r="I468">
        <f t="shared" ca="1" si="97"/>
        <v>40.904906063796197</v>
      </c>
      <c r="J468">
        <f t="shared" ca="1" si="98"/>
        <v>1</v>
      </c>
      <c r="K468">
        <f t="shared" ca="1" si="99"/>
        <v>0</v>
      </c>
      <c r="L468">
        <f t="shared" ca="1" si="93"/>
        <v>0</v>
      </c>
      <c r="M468" t="str">
        <f t="shared" ca="1" si="100"/>
        <v>na</v>
      </c>
      <c r="N468" t="str">
        <f t="shared" ca="1" si="101"/>
        <v>na</v>
      </c>
    </row>
    <row r="469" spans="1:14" x14ac:dyDescent="0.2">
      <c r="A469" vm="886">
        <f ca="1"/>
        <v>44924</v>
      </c>
      <c r="B469" vm="887">
        <f ca="1"/>
        <v>33.14</v>
      </c>
      <c r="C469">
        <f t="shared" ca="1" si="102"/>
        <v>0.36999999999999744</v>
      </c>
      <c r="D469">
        <f t="shared" ca="1" si="103"/>
        <v>0.36999999999999744</v>
      </c>
      <c r="E469">
        <f t="shared" ca="1" si="104"/>
        <v>0</v>
      </c>
      <c r="F469">
        <f t="shared" ca="1" si="94"/>
        <v>0.16476262884801876</v>
      </c>
      <c r="G469">
        <f t="shared" ca="1" si="95"/>
        <v>0.199850455713766</v>
      </c>
      <c r="H469">
        <f t="shared" ca="1" si="96"/>
        <v>0.82442958791146581</v>
      </c>
      <c r="I469">
        <f t="shared" ca="1" si="97"/>
        <v>45.188347819728129</v>
      </c>
      <c r="J469">
        <f t="shared" ca="1" si="98"/>
        <v>1</v>
      </c>
      <c r="K469">
        <f t="shared" ca="1" si="99"/>
        <v>0</v>
      </c>
      <c r="L469">
        <f t="shared" ca="1" si="93"/>
        <v>0</v>
      </c>
      <c r="M469" t="str">
        <f t="shared" ca="1" si="100"/>
        <v>na</v>
      </c>
      <c r="N469" t="str">
        <f t="shared" ca="1" si="101"/>
        <v>na</v>
      </c>
    </row>
    <row r="470" spans="1:14" x14ac:dyDescent="0.2">
      <c r="A470" vm="888">
        <f ca="1"/>
        <v>44925</v>
      </c>
      <c r="B470" vm="889">
        <f ca="1"/>
        <v>33.119999999999997</v>
      </c>
      <c r="C470">
        <f t="shared" ca="1" si="102"/>
        <v>-2.0000000000003126E-2</v>
      </c>
      <c r="D470">
        <f t="shared" ca="1" si="103"/>
        <v>0</v>
      </c>
      <c r="E470">
        <f t="shared" ca="1" si="104"/>
        <v>2.0000000000003126E-2</v>
      </c>
      <c r="F470">
        <f t="shared" ca="1" si="94"/>
        <v>0.15299386964458886</v>
      </c>
      <c r="G470">
        <f t="shared" ca="1" si="95"/>
        <v>0.18700399459135436</v>
      </c>
      <c r="H470">
        <f t="shared" ca="1" si="96"/>
        <v>0.81813155905527446</v>
      </c>
      <c r="I470">
        <f t="shared" ca="1" si="97"/>
        <v>44.998479619394899</v>
      </c>
      <c r="J470">
        <f t="shared" ca="1" si="98"/>
        <v>1</v>
      </c>
      <c r="K470">
        <f t="shared" ca="1" si="99"/>
        <v>0</v>
      </c>
      <c r="L470">
        <f t="shared" ref="L470:L533" ca="1" si="105">IF(I470&gt;$C$3,1,0)</f>
        <v>0</v>
      </c>
      <c r="M470" t="str">
        <f t="shared" ca="1" si="100"/>
        <v>na</v>
      </c>
      <c r="N470" t="str">
        <f t="shared" ca="1" si="101"/>
        <v>na</v>
      </c>
    </row>
    <row r="471" spans="1:14" x14ac:dyDescent="0.2">
      <c r="A471" vm="890">
        <f ca="1"/>
        <v>44929</v>
      </c>
      <c r="B471" vm="891">
        <f ca="1"/>
        <v>33.51</v>
      </c>
      <c r="C471">
        <f t="shared" ca="1" si="102"/>
        <v>0.39000000000000057</v>
      </c>
      <c r="D471">
        <f t="shared" ca="1" si="103"/>
        <v>0.39000000000000057</v>
      </c>
      <c r="E471">
        <f t="shared" ca="1" si="104"/>
        <v>0</v>
      </c>
      <c r="F471">
        <f t="shared" ref="F471:F534" ca="1" si="106">((F470*13)+D471)/14</f>
        <v>0.16992287895568969</v>
      </c>
      <c r="G471">
        <f t="shared" ref="G471:G534" ca="1" si="107">((G470*13)+E471)/14</f>
        <v>0.17364656640625761</v>
      </c>
      <c r="H471">
        <f t="shared" ref="H471:H534" ca="1" si="108">AVERAGE(F471/G471)</f>
        <v>0.97855593964434573</v>
      </c>
      <c r="I471">
        <f t="shared" ref="I471:I534" ca="1" si="109">IF(G471=0,100,100-(100/(1+H471)))</f>
        <v>49.458088095312867</v>
      </c>
      <c r="J471">
        <f t="shared" ca="1" si="98"/>
        <v>1</v>
      </c>
      <c r="K471">
        <f t="shared" ca="1" si="99"/>
        <v>0</v>
      </c>
      <c r="L471">
        <f t="shared" ca="1" si="105"/>
        <v>0</v>
      </c>
      <c r="M471" t="str">
        <f t="shared" ca="1" si="100"/>
        <v>na</v>
      </c>
      <c r="N471" t="str">
        <f t="shared" ca="1" si="101"/>
        <v>na</v>
      </c>
    </row>
    <row r="472" spans="1:14" x14ac:dyDescent="0.2">
      <c r="A472" vm="892">
        <f ca="1"/>
        <v>44930</v>
      </c>
      <c r="B472" vm="893">
        <f ca="1"/>
        <v>34.14</v>
      </c>
      <c r="C472">
        <f t="shared" ca="1" si="102"/>
        <v>0.63000000000000256</v>
      </c>
      <c r="D472">
        <f t="shared" ca="1" si="103"/>
        <v>0.63000000000000256</v>
      </c>
      <c r="E472">
        <f t="shared" ca="1" si="104"/>
        <v>0</v>
      </c>
      <c r="F472">
        <f t="shared" ca="1" si="106"/>
        <v>0.20278553045885489</v>
      </c>
      <c r="G472">
        <f t="shared" ca="1" si="107"/>
        <v>0.16124324023438205</v>
      </c>
      <c r="H472">
        <f t="shared" ca="1" si="108"/>
        <v>1.2576374064679379</v>
      </c>
      <c r="I472">
        <f t="shared" ca="1" si="109"/>
        <v>55.705907550296359</v>
      </c>
      <c r="J472">
        <f t="shared" ref="J472:J535" ca="1" si="110">IF(K472=1,1,IF(L472=1,0,IF(J471=1,1,0)))</f>
        <v>1</v>
      </c>
      <c r="K472">
        <f t="shared" ref="K472:K535" ca="1" si="111">IF(I472&lt;$B$3,1,0)</f>
        <v>0</v>
      </c>
      <c r="L472">
        <f t="shared" ca="1" si="105"/>
        <v>0</v>
      </c>
      <c r="M472" t="str">
        <f t="shared" ref="M472:M535" ca="1" si="112">IF(AND(K472=1,J471=0),B472,"na")</f>
        <v>na</v>
      </c>
      <c r="N472" t="str">
        <f t="shared" ref="N472:N535" ca="1" si="113">IF(AND(L472=1,J471=1),B472,"na")</f>
        <v>na</v>
      </c>
    </row>
    <row r="473" spans="1:14" x14ac:dyDescent="0.2">
      <c r="A473" vm="894">
        <f ca="1"/>
        <v>44931</v>
      </c>
      <c r="B473" vm="895">
        <f ca="1"/>
        <v>34.07</v>
      </c>
      <c r="C473">
        <f t="shared" ca="1" si="102"/>
        <v>-7.0000000000000284E-2</v>
      </c>
      <c r="D473">
        <f t="shared" ca="1" si="103"/>
        <v>0</v>
      </c>
      <c r="E473">
        <f t="shared" ca="1" si="104"/>
        <v>7.0000000000000284E-2</v>
      </c>
      <c r="F473">
        <f t="shared" ca="1" si="106"/>
        <v>0.18830084971179381</v>
      </c>
      <c r="G473">
        <f t="shared" ca="1" si="107"/>
        <v>0.15472586593192619</v>
      </c>
      <c r="H473">
        <f t="shared" ca="1" si="108"/>
        <v>1.2169965802268601</v>
      </c>
      <c r="I473">
        <f t="shared" ca="1" si="109"/>
        <v>54.893931324978759</v>
      </c>
      <c r="J473">
        <f t="shared" ca="1" si="110"/>
        <v>1</v>
      </c>
      <c r="K473">
        <f t="shared" ca="1" si="111"/>
        <v>0</v>
      </c>
      <c r="L473">
        <f t="shared" ca="1" si="105"/>
        <v>0</v>
      </c>
      <c r="M473" t="str">
        <f t="shared" ca="1" si="112"/>
        <v>na</v>
      </c>
      <c r="N473" t="str">
        <f t="shared" ca="1" si="113"/>
        <v>na</v>
      </c>
    </row>
    <row r="474" spans="1:14" x14ac:dyDescent="0.2">
      <c r="A474" vm="896">
        <f ca="1"/>
        <v>44932</v>
      </c>
      <c r="B474" vm="726">
        <f ca="1"/>
        <v>34.409999999999997</v>
      </c>
      <c r="C474">
        <f t="shared" ca="1" si="102"/>
        <v>0.33999999999999631</v>
      </c>
      <c r="D474">
        <f t="shared" ca="1" si="103"/>
        <v>0.33999999999999631</v>
      </c>
      <c r="E474">
        <f t="shared" ca="1" si="104"/>
        <v>0</v>
      </c>
      <c r="F474">
        <f t="shared" ca="1" si="106"/>
        <v>0.19913650330380825</v>
      </c>
      <c r="G474">
        <f t="shared" ca="1" si="107"/>
        <v>0.14367401836536003</v>
      </c>
      <c r="H474">
        <f t="shared" ca="1" si="108"/>
        <v>1.3860300252576514</v>
      </c>
      <c r="I474">
        <f t="shared" ca="1" si="109"/>
        <v>58.089379034867058</v>
      </c>
      <c r="J474">
        <f t="shared" ca="1" si="110"/>
        <v>1</v>
      </c>
      <c r="K474">
        <f t="shared" ca="1" si="111"/>
        <v>0</v>
      </c>
      <c r="L474">
        <f t="shared" ca="1" si="105"/>
        <v>0</v>
      </c>
      <c r="M474" t="str">
        <f t="shared" ca="1" si="112"/>
        <v>na</v>
      </c>
      <c r="N474" t="str">
        <f t="shared" ca="1" si="113"/>
        <v>na</v>
      </c>
    </row>
    <row r="475" spans="1:14" x14ac:dyDescent="0.2">
      <c r="A475" vm="897">
        <f ca="1"/>
        <v>44935</v>
      </c>
      <c r="B475" vm="898">
        <f ca="1"/>
        <v>33.89</v>
      </c>
      <c r="C475">
        <f t="shared" ca="1" si="102"/>
        <v>-0.51999999999999602</v>
      </c>
      <c r="D475">
        <f t="shared" ca="1" si="103"/>
        <v>0</v>
      </c>
      <c r="E475">
        <f t="shared" ca="1" si="104"/>
        <v>0.51999999999999602</v>
      </c>
      <c r="F475">
        <f t="shared" ca="1" si="106"/>
        <v>0.18491246735353623</v>
      </c>
      <c r="G475">
        <f t="shared" ca="1" si="107"/>
        <v>0.17055444562497687</v>
      </c>
      <c r="H475">
        <f t="shared" ca="1" si="108"/>
        <v>1.0841843886035691</v>
      </c>
      <c r="I475">
        <f t="shared" ca="1" si="109"/>
        <v>52.019600306573018</v>
      </c>
      <c r="J475">
        <f t="shared" ca="1" si="110"/>
        <v>1</v>
      </c>
      <c r="K475">
        <f t="shared" ca="1" si="111"/>
        <v>0</v>
      </c>
      <c r="L475">
        <f t="shared" ca="1" si="105"/>
        <v>0</v>
      </c>
      <c r="M475" t="str">
        <f t="shared" ca="1" si="112"/>
        <v>na</v>
      </c>
      <c r="N475" t="str">
        <f t="shared" ca="1" si="113"/>
        <v>na</v>
      </c>
    </row>
    <row r="476" spans="1:14" x14ac:dyDescent="0.2">
      <c r="A476" vm="899">
        <f ca="1"/>
        <v>44936</v>
      </c>
      <c r="B476" vm="757">
        <f ca="1"/>
        <v>34.119999999999997</v>
      </c>
      <c r="C476">
        <f t="shared" ca="1" si="102"/>
        <v>0.22999999999999687</v>
      </c>
      <c r="D476">
        <f t="shared" ca="1" si="103"/>
        <v>0.22999999999999687</v>
      </c>
      <c r="E476">
        <f t="shared" ca="1" si="104"/>
        <v>0</v>
      </c>
      <c r="F476">
        <f t="shared" ca="1" si="106"/>
        <v>0.18813300539971198</v>
      </c>
      <c r="G476">
        <f t="shared" ca="1" si="107"/>
        <v>0.15837198522319282</v>
      </c>
      <c r="H476">
        <f t="shared" ca="1" si="108"/>
        <v>1.1879184638279119</v>
      </c>
      <c r="I476">
        <f t="shared" ca="1" si="109"/>
        <v>54.294457653123317</v>
      </c>
      <c r="J476">
        <f t="shared" ca="1" si="110"/>
        <v>1</v>
      </c>
      <c r="K476">
        <f t="shared" ca="1" si="111"/>
        <v>0</v>
      </c>
      <c r="L476">
        <f t="shared" ca="1" si="105"/>
        <v>0</v>
      </c>
      <c r="M476" t="str">
        <f t="shared" ca="1" si="112"/>
        <v>na</v>
      </c>
      <c r="N476" t="str">
        <f t="shared" ca="1" si="113"/>
        <v>na</v>
      </c>
    </row>
    <row r="477" spans="1:14" x14ac:dyDescent="0.2">
      <c r="A477" vm="900">
        <f ca="1"/>
        <v>44937</v>
      </c>
      <c r="B477" vm="901">
        <f ca="1"/>
        <v>34.380000000000003</v>
      </c>
      <c r="C477">
        <f t="shared" ca="1" si="102"/>
        <v>0.26000000000000512</v>
      </c>
      <c r="D477">
        <f t="shared" ca="1" si="103"/>
        <v>0.26000000000000512</v>
      </c>
      <c r="E477">
        <f t="shared" ca="1" si="104"/>
        <v>0</v>
      </c>
      <c r="F477">
        <f t="shared" ca="1" si="106"/>
        <v>0.19326636215687576</v>
      </c>
      <c r="G477">
        <f t="shared" ca="1" si="107"/>
        <v>0.14705970056439335</v>
      </c>
      <c r="H477">
        <f t="shared" ca="1" si="108"/>
        <v>1.3142034249705941</v>
      </c>
      <c r="I477">
        <f t="shared" ca="1" si="109"/>
        <v>56.788586983760652</v>
      </c>
      <c r="J477">
        <f t="shared" ca="1" si="110"/>
        <v>1</v>
      </c>
      <c r="K477">
        <f t="shared" ca="1" si="111"/>
        <v>0</v>
      </c>
      <c r="L477">
        <f t="shared" ca="1" si="105"/>
        <v>0</v>
      </c>
      <c r="M477" t="str">
        <f t="shared" ca="1" si="112"/>
        <v>na</v>
      </c>
      <c r="N477" t="str">
        <f t="shared" ca="1" si="113"/>
        <v>na</v>
      </c>
    </row>
    <row r="478" spans="1:14" x14ac:dyDescent="0.2">
      <c r="A478" vm="902">
        <f ca="1"/>
        <v>44938</v>
      </c>
      <c r="B478" vm="44">
        <f ca="1"/>
        <v>34.47</v>
      </c>
      <c r="C478">
        <f t="shared" ca="1" si="102"/>
        <v>8.9999999999996305E-2</v>
      </c>
      <c r="D478">
        <f t="shared" ca="1" si="103"/>
        <v>8.9999999999996305E-2</v>
      </c>
      <c r="E478">
        <f t="shared" ca="1" si="104"/>
        <v>0</v>
      </c>
      <c r="F478">
        <f t="shared" ca="1" si="106"/>
        <v>0.18589019343138435</v>
      </c>
      <c r="G478">
        <f t="shared" ca="1" si="107"/>
        <v>0.13655543623836525</v>
      </c>
      <c r="H478">
        <f t="shared" ca="1" si="108"/>
        <v>1.3612800672900527</v>
      </c>
      <c r="I478">
        <f t="shared" ca="1" si="109"/>
        <v>57.650089294673954</v>
      </c>
      <c r="J478">
        <f t="shared" ca="1" si="110"/>
        <v>1</v>
      </c>
      <c r="K478">
        <f t="shared" ca="1" si="111"/>
        <v>0</v>
      </c>
      <c r="L478">
        <f t="shared" ca="1" si="105"/>
        <v>0</v>
      </c>
      <c r="M478" t="str">
        <f t="shared" ca="1" si="112"/>
        <v>na</v>
      </c>
      <c r="N478" t="str">
        <f t="shared" ca="1" si="113"/>
        <v>na</v>
      </c>
    </row>
    <row r="479" spans="1:14" x14ac:dyDescent="0.2">
      <c r="A479" vm="903">
        <f ca="1"/>
        <v>44939</v>
      </c>
      <c r="B479" vm="904">
        <f ca="1"/>
        <v>35.229999999999997</v>
      </c>
      <c r="C479">
        <f t="shared" ca="1" si="102"/>
        <v>0.75999999999999801</v>
      </c>
      <c r="D479">
        <f t="shared" ca="1" si="103"/>
        <v>0.75999999999999801</v>
      </c>
      <c r="E479">
        <f t="shared" ca="1" si="104"/>
        <v>0</v>
      </c>
      <c r="F479">
        <f t="shared" ca="1" si="106"/>
        <v>0.22689803675771389</v>
      </c>
      <c r="G479">
        <f t="shared" ca="1" si="107"/>
        <v>0.12680147650705345</v>
      </c>
      <c r="H479">
        <f t="shared" ca="1" si="108"/>
        <v>1.7893958572721547</v>
      </c>
      <c r="I479">
        <f t="shared" ca="1" si="109"/>
        <v>64.149943171639535</v>
      </c>
      <c r="J479">
        <f t="shared" ca="1" si="110"/>
        <v>1</v>
      </c>
      <c r="K479">
        <f t="shared" ca="1" si="111"/>
        <v>0</v>
      </c>
      <c r="L479">
        <f t="shared" ca="1" si="105"/>
        <v>0</v>
      </c>
      <c r="M479" t="str">
        <f t="shared" ca="1" si="112"/>
        <v>na</v>
      </c>
      <c r="N479" t="str">
        <f t="shared" ca="1" si="113"/>
        <v>na</v>
      </c>
    </row>
    <row r="480" spans="1:14" x14ac:dyDescent="0.2">
      <c r="A480" vm="905">
        <f ca="1"/>
        <v>44943</v>
      </c>
      <c r="B480" vm="728">
        <f ca="1"/>
        <v>34.520000000000003</v>
      </c>
      <c r="C480">
        <f t="shared" ca="1" si="102"/>
        <v>-0.70999999999999375</v>
      </c>
      <c r="D480">
        <f t="shared" ca="1" si="103"/>
        <v>0</v>
      </c>
      <c r="E480">
        <f t="shared" ca="1" si="104"/>
        <v>0.70999999999999375</v>
      </c>
      <c r="F480">
        <f t="shared" ca="1" si="106"/>
        <v>0.21069103413216289</v>
      </c>
      <c r="G480">
        <f t="shared" ca="1" si="107"/>
        <v>0.16845851389940633</v>
      </c>
      <c r="H480">
        <f t="shared" ca="1" si="108"/>
        <v>1.2506998266527234</v>
      </c>
      <c r="I480">
        <f t="shared" ca="1" si="109"/>
        <v>55.569374993589612</v>
      </c>
      <c r="J480">
        <f t="shared" ca="1" si="110"/>
        <v>1</v>
      </c>
      <c r="K480">
        <f t="shared" ca="1" si="111"/>
        <v>0</v>
      </c>
      <c r="L480">
        <f t="shared" ca="1" si="105"/>
        <v>0</v>
      </c>
      <c r="M480" t="str">
        <f t="shared" ca="1" si="112"/>
        <v>na</v>
      </c>
      <c r="N480" t="str">
        <f t="shared" ca="1" si="113"/>
        <v>na</v>
      </c>
    </row>
    <row r="481" spans="1:14" x14ac:dyDescent="0.2">
      <c r="A481" vm="906">
        <f ca="1"/>
        <v>44944</v>
      </c>
      <c r="B481" vm="907">
        <f ca="1"/>
        <v>33.72</v>
      </c>
      <c r="C481">
        <f t="shared" ca="1" si="102"/>
        <v>-0.80000000000000426</v>
      </c>
      <c r="D481">
        <f t="shared" ca="1" si="103"/>
        <v>0</v>
      </c>
      <c r="E481">
        <f t="shared" ca="1" si="104"/>
        <v>0.80000000000000426</v>
      </c>
      <c r="F481">
        <f t="shared" ca="1" si="106"/>
        <v>0.19564167455129411</v>
      </c>
      <c r="G481">
        <f t="shared" ca="1" si="107"/>
        <v>0.21356862004944904</v>
      </c>
      <c r="H481">
        <f t="shared" ca="1" si="108"/>
        <v>0.91606002092440275</v>
      </c>
      <c r="I481">
        <f t="shared" ca="1" si="109"/>
        <v>47.809568120024224</v>
      </c>
      <c r="J481">
        <f t="shared" ca="1" si="110"/>
        <v>1</v>
      </c>
      <c r="K481">
        <f t="shared" ca="1" si="111"/>
        <v>0</v>
      </c>
      <c r="L481">
        <f t="shared" ca="1" si="105"/>
        <v>0</v>
      </c>
      <c r="M481" t="str">
        <f t="shared" ca="1" si="112"/>
        <v>na</v>
      </c>
      <c r="N481" t="str">
        <f t="shared" ca="1" si="113"/>
        <v>na</v>
      </c>
    </row>
    <row r="482" spans="1:14" x14ac:dyDescent="0.2">
      <c r="A482" vm="908">
        <f ca="1"/>
        <v>44945</v>
      </c>
      <c r="B482" vm="909">
        <f ca="1"/>
        <v>33.229999999999997</v>
      </c>
      <c r="C482">
        <f t="shared" ca="1" si="102"/>
        <v>-0.49000000000000199</v>
      </c>
      <c r="D482">
        <f t="shared" ca="1" si="103"/>
        <v>0</v>
      </c>
      <c r="E482">
        <f t="shared" ca="1" si="104"/>
        <v>0.49000000000000199</v>
      </c>
      <c r="F482">
        <f t="shared" ca="1" si="106"/>
        <v>0.18166726922620166</v>
      </c>
      <c r="G482">
        <f t="shared" ca="1" si="107"/>
        <v>0.23331371861734568</v>
      </c>
      <c r="H482">
        <f t="shared" ca="1" si="108"/>
        <v>0.77863946579219978</v>
      </c>
      <c r="I482">
        <f t="shared" ca="1" si="109"/>
        <v>43.777251138717787</v>
      </c>
      <c r="J482">
        <f t="shared" ca="1" si="110"/>
        <v>1</v>
      </c>
      <c r="K482">
        <f t="shared" ca="1" si="111"/>
        <v>0</v>
      </c>
      <c r="L482">
        <f t="shared" ca="1" si="105"/>
        <v>0</v>
      </c>
      <c r="M482" t="str">
        <f t="shared" ca="1" si="112"/>
        <v>na</v>
      </c>
      <c r="N482" t="str">
        <f t="shared" ca="1" si="113"/>
        <v>na</v>
      </c>
    </row>
    <row r="483" spans="1:14" x14ac:dyDescent="0.2">
      <c r="A483" vm="910">
        <f ca="1"/>
        <v>44946</v>
      </c>
      <c r="B483" vm="911">
        <f ca="1"/>
        <v>33.85</v>
      </c>
      <c r="C483">
        <f t="shared" ca="1" si="102"/>
        <v>0.62000000000000455</v>
      </c>
      <c r="D483">
        <f t="shared" ca="1" si="103"/>
        <v>0.62000000000000455</v>
      </c>
      <c r="E483">
        <f t="shared" ca="1" si="104"/>
        <v>0</v>
      </c>
      <c r="F483">
        <f t="shared" ca="1" si="106"/>
        <v>0.21297674999575902</v>
      </c>
      <c r="G483">
        <f t="shared" ca="1" si="107"/>
        <v>0.21664845300182098</v>
      </c>
      <c r="H483">
        <f t="shared" ca="1" si="108"/>
        <v>0.98305225375400629</v>
      </c>
      <c r="I483">
        <f t="shared" ca="1" si="109"/>
        <v>49.572685333583344</v>
      </c>
      <c r="J483">
        <f t="shared" ca="1" si="110"/>
        <v>1</v>
      </c>
      <c r="K483">
        <f t="shared" ca="1" si="111"/>
        <v>0</v>
      </c>
      <c r="L483">
        <f t="shared" ca="1" si="105"/>
        <v>0</v>
      </c>
      <c r="M483" t="str">
        <f t="shared" ca="1" si="112"/>
        <v>na</v>
      </c>
      <c r="N483" t="str">
        <f t="shared" ca="1" si="113"/>
        <v>na</v>
      </c>
    </row>
    <row r="484" spans="1:14" x14ac:dyDescent="0.2">
      <c r="A484" vm="912">
        <f ca="1"/>
        <v>44949</v>
      </c>
      <c r="B484" vm="913">
        <f ca="1"/>
        <v>34.32</v>
      </c>
      <c r="C484">
        <f t="shared" ca="1" si="102"/>
        <v>0.46999999999999886</v>
      </c>
      <c r="D484">
        <f t="shared" ca="1" si="103"/>
        <v>0.46999999999999886</v>
      </c>
      <c r="E484">
        <f t="shared" ca="1" si="104"/>
        <v>0</v>
      </c>
      <c r="F484">
        <f t="shared" ca="1" si="106"/>
        <v>0.23133555356749044</v>
      </c>
      <c r="G484">
        <f t="shared" ca="1" si="107"/>
        <v>0.20117356350169091</v>
      </c>
      <c r="H484">
        <f t="shared" ca="1" si="108"/>
        <v>1.1499301873506158</v>
      </c>
      <c r="I484">
        <f t="shared" ca="1" si="109"/>
        <v>53.486861764924946</v>
      </c>
      <c r="J484">
        <f t="shared" ca="1" si="110"/>
        <v>1</v>
      </c>
      <c r="K484">
        <f t="shared" ca="1" si="111"/>
        <v>0</v>
      </c>
      <c r="L484">
        <f t="shared" ca="1" si="105"/>
        <v>0</v>
      </c>
      <c r="M484" t="str">
        <f t="shared" ca="1" si="112"/>
        <v>na</v>
      </c>
      <c r="N484" t="str">
        <f t="shared" ca="1" si="113"/>
        <v>na</v>
      </c>
    </row>
    <row r="485" spans="1:14" x14ac:dyDescent="0.2">
      <c r="A485" vm="914">
        <f ca="1"/>
        <v>44950</v>
      </c>
      <c r="B485" vm="915">
        <f ca="1"/>
        <v>34.57</v>
      </c>
      <c r="C485">
        <f t="shared" ca="1" si="102"/>
        <v>0.25</v>
      </c>
      <c r="D485">
        <f t="shared" ca="1" si="103"/>
        <v>0.25</v>
      </c>
      <c r="E485">
        <f t="shared" ca="1" si="104"/>
        <v>0</v>
      </c>
      <c r="F485">
        <f t="shared" ca="1" si="106"/>
        <v>0.23266872831266969</v>
      </c>
      <c r="G485">
        <f t="shared" ca="1" si="107"/>
        <v>0.18680402325157014</v>
      </c>
      <c r="H485">
        <f t="shared" ca="1" si="108"/>
        <v>1.2455231116694594</v>
      </c>
      <c r="I485">
        <f t="shared" ca="1" si="109"/>
        <v>55.466946886307539</v>
      </c>
      <c r="J485">
        <f t="shared" ca="1" si="110"/>
        <v>1</v>
      </c>
      <c r="K485">
        <f t="shared" ca="1" si="111"/>
        <v>0</v>
      </c>
      <c r="L485">
        <f t="shared" ca="1" si="105"/>
        <v>0</v>
      </c>
      <c r="M485" t="str">
        <f t="shared" ca="1" si="112"/>
        <v>na</v>
      </c>
      <c r="N485" t="str">
        <f t="shared" ca="1" si="113"/>
        <v>na</v>
      </c>
    </row>
    <row r="486" spans="1:14" x14ac:dyDescent="0.2">
      <c r="A486" vm="916">
        <f ca="1"/>
        <v>44951</v>
      </c>
      <c r="B486" vm="917">
        <f ca="1"/>
        <v>34.869999999999997</v>
      </c>
      <c r="C486">
        <f t="shared" ca="1" si="102"/>
        <v>0.29999999999999716</v>
      </c>
      <c r="D486">
        <f t="shared" ca="1" si="103"/>
        <v>0.29999999999999716</v>
      </c>
      <c r="E486">
        <f t="shared" ca="1" si="104"/>
        <v>0</v>
      </c>
      <c r="F486">
        <f t="shared" ca="1" si="106"/>
        <v>0.23747810486176449</v>
      </c>
      <c r="G486">
        <f t="shared" ca="1" si="107"/>
        <v>0.17346087873360086</v>
      </c>
      <c r="H486">
        <f t="shared" ca="1" si="108"/>
        <v>1.3690585830968867</v>
      </c>
      <c r="I486">
        <f t="shared" ca="1" si="109"/>
        <v>57.789140077204102</v>
      </c>
      <c r="J486">
        <f t="shared" ca="1" si="110"/>
        <v>1</v>
      </c>
      <c r="K486">
        <f t="shared" ca="1" si="111"/>
        <v>0</v>
      </c>
      <c r="L486">
        <f t="shared" ca="1" si="105"/>
        <v>0</v>
      </c>
      <c r="M486" t="str">
        <f t="shared" ca="1" si="112"/>
        <v>na</v>
      </c>
      <c r="N486" t="str">
        <f t="shared" ca="1" si="113"/>
        <v>na</v>
      </c>
    </row>
    <row r="487" spans="1:14" x14ac:dyDescent="0.2">
      <c r="A487" vm="918">
        <f ca="1"/>
        <v>44952</v>
      </c>
      <c r="B487" vm="919">
        <f ca="1"/>
        <v>35.340000000000003</v>
      </c>
      <c r="C487">
        <f t="shared" ca="1" si="102"/>
        <v>0.47000000000000597</v>
      </c>
      <c r="D487">
        <f t="shared" ca="1" si="103"/>
        <v>0.47000000000000597</v>
      </c>
      <c r="E487">
        <f t="shared" ca="1" si="104"/>
        <v>0</v>
      </c>
      <c r="F487">
        <f t="shared" ca="1" si="106"/>
        <v>0.2540868116573532</v>
      </c>
      <c r="G487">
        <f t="shared" ca="1" si="107"/>
        <v>0.16107081596691511</v>
      </c>
      <c r="H487">
        <f t="shared" ca="1" si="108"/>
        <v>1.5774850964282947</v>
      </c>
      <c r="I487">
        <f t="shared" ca="1" si="109"/>
        <v>61.202491475673995</v>
      </c>
      <c r="J487">
        <f t="shared" ca="1" si="110"/>
        <v>1</v>
      </c>
      <c r="K487">
        <f t="shared" ca="1" si="111"/>
        <v>0</v>
      </c>
      <c r="L487">
        <f t="shared" ca="1" si="105"/>
        <v>0</v>
      </c>
      <c r="M487" t="str">
        <f t="shared" ca="1" si="112"/>
        <v>na</v>
      </c>
      <c r="N487" t="str">
        <f t="shared" ca="1" si="113"/>
        <v>na</v>
      </c>
    </row>
    <row r="488" spans="1:14" x14ac:dyDescent="0.2">
      <c r="A488" vm="920">
        <f ca="1"/>
        <v>44953</v>
      </c>
      <c r="B488" vm="921">
        <f ca="1"/>
        <v>35.450000000000003</v>
      </c>
      <c r="C488">
        <f t="shared" ca="1" si="102"/>
        <v>0.10999999999999943</v>
      </c>
      <c r="D488">
        <f t="shared" ca="1" si="103"/>
        <v>0.10999999999999943</v>
      </c>
      <c r="E488">
        <f t="shared" ca="1" si="104"/>
        <v>0</v>
      </c>
      <c r="F488">
        <f t="shared" ca="1" si="106"/>
        <v>0.24379489653897077</v>
      </c>
      <c r="G488">
        <f t="shared" ca="1" si="107"/>
        <v>0.14956575768356403</v>
      </c>
      <c r="H488">
        <f t="shared" ca="1" si="108"/>
        <v>1.6300181292483211</v>
      </c>
      <c r="I488">
        <f t="shared" ca="1" si="109"/>
        <v>61.977448410752686</v>
      </c>
      <c r="J488">
        <f t="shared" ca="1" si="110"/>
        <v>1</v>
      </c>
      <c r="K488">
        <f t="shared" ca="1" si="111"/>
        <v>0</v>
      </c>
      <c r="L488">
        <f t="shared" ca="1" si="105"/>
        <v>0</v>
      </c>
      <c r="M488" t="str">
        <f t="shared" ca="1" si="112"/>
        <v>na</v>
      </c>
      <c r="N488" t="str">
        <f t="shared" ca="1" si="113"/>
        <v>na</v>
      </c>
    </row>
    <row r="489" spans="1:14" x14ac:dyDescent="0.2">
      <c r="A489" vm="922">
        <f ca="1"/>
        <v>44956</v>
      </c>
      <c r="B489" vm="923">
        <f ca="1"/>
        <v>35.299999999999997</v>
      </c>
      <c r="C489">
        <f t="shared" ca="1" si="102"/>
        <v>-0.15000000000000568</v>
      </c>
      <c r="D489">
        <f t="shared" ca="1" si="103"/>
        <v>0</v>
      </c>
      <c r="E489">
        <f t="shared" ca="1" si="104"/>
        <v>0.15000000000000568</v>
      </c>
      <c r="F489">
        <f t="shared" ca="1" si="106"/>
        <v>0.22638097535761573</v>
      </c>
      <c r="G489">
        <f t="shared" ca="1" si="107"/>
        <v>0.14959677499188131</v>
      </c>
      <c r="H489">
        <f t="shared" ca="1" si="108"/>
        <v>1.513274436363361</v>
      </c>
      <c r="I489">
        <f t="shared" ca="1" si="109"/>
        <v>60.211269190046252</v>
      </c>
      <c r="J489">
        <f t="shared" ca="1" si="110"/>
        <v>1</v>
      </c>
      <c r="K489">
        <f t="shared" ca="1" si="111"/>
        <v>0</v>
      </c>
      <c r="L489">
        <f t="shared" ca="1" si="105"/>
        <v>0</v>
      </c>
      <c r="M489" t="str">
        <f t="shared" ca="1" si="112"/>
        <v>na</v>
      </c>
      <c r="N489" t="str">
        <f t="shared" ca="1" si="113"/>
        <v>na</v>
      </c>
    </row>
    <row r="490" spans="1:14" x14ac:dyDescent="0.2">
      <c r="A490" vm="924">
        <f ca="1"/>
        <v>44957</v>
      </c>
      <c r="B490" vm="722">
        <f ca="1"/>
        <v>35.479999999999997</v>
      </c>
      <c r="C490">
        <f t="shared" ca="1" si="102"/>
        <v>0.17999999999999972</v>
      </c>
      <c r="D490">
        <f t="shared" ca="1" si="103"/>
        <v>0.17999999999999972</v>
      </c>
      <c r="E490">
        <f t="shared" ca="1" si="104"/>
        <v>0</v>
      </c>
      <c r="F490">
        <f t="shared" ca="1" si="106"/>
        <v>0.22306804854635745</v>
      </c>
      <c r="G490">
        <f t="shared" ca="1" si="107"/>
        <v>0.1389112910638898</v>
      </c>
      <c r="H490">
        <f t="shared" ca="1" si="108"/>
        <v>1.6058309359730969</v>
      </c>
      <c r="I490">
        <f t="shared" ca="1" si="109"/>
        <v>61.624524976077566</v>
      </c>
      <c r="J490">
        <f t="shared" ca="1" si="110"/>
        <v>1</v>
      </c>
      <c r="K490">
        <f t="shared" ca="1" si="111"/>
        <v>0</v>
      </c>
      <c r="L490">
        <f t="shared" ca="1" si="105"/>
        <v>0</v>
      </c>
      <c r="M490" t="str">
        <f t="shared" ca="1" si="112"/>
        <v>na</v>
      </c>
      <c r="N490" t="str">
        <f t="shared" ca="1" si="113"/>
        <v>na</v>
      </c>
    </row>
    <row r="491" spans="1:14" x14ac:dyDescent="0.2">
      <c r="A491" vm="925">
        <f ca="1"/>
        <v>44958</v>
      </c>
      <c r="B491" vm="926">
        <f ca="1"/>
        <v>35.92</v>
      </c>
      <c r="C491">
        <f t="shared" ca="1" si="102"/>
        <v>0.44000000000000483</v>
      </c>
      <c r="D491">
        <f t="shared" ca="1" si="103"/>
        <v>0.44000000000000483</v>
      </c>
      <c r="E491">
        <f t="shared" ca="1" si="104"/>
        <v>0</v>
      </c>
      <c r="F491">
        <f t="shared" ca="1" si="106"/>
        <v>0.23856318793590367</v>
      </c>
      <c r="G491">
        <f t="shared" ca="1" si="107"/>
        <v>0.12898905598789767</v>
      </c>
      <c r="H491">
        <f t="shared" ca="1" si="108"/>
        <v>1.8494839434927466</v>
      </c>
      <c r="I491">
        <f t="shared" ca="1" si="109"/>
        <v>64.905926131513723</v>
      </c>
      <c r="J491">
        <f t="shared" ca="1" si="110"/>
        <v>1</v>
      </c>
      <c r="K491">
        <f t="shared" ca="1" si="111"/>
        <v>0</v>
      </c>
      <c r="L491">
        <f t="shared" ca="1" si="105"/>
        <v>0</v>
      </c>
      <c r="M491" t="str">
        <f t="shared" ca="1" si="112"/>
        <v>na</v>
      </c>
      <c r="N491" t="str">
        <f t="shared" ca="1" si="113"/>
        <v>na</v>
      </c>
    </row>
    <row r="492" spans="1:14" x14ac:dyDescent="0.2">
      <c r="A492" vm="927">
        <f ca="1"/>
        <v>44959</v>
      </c>
      <c r="B492" vm="928">
        <f ca="1"/>
        <v>36.130000000000003</v>
      </c>
      <c r="C492">
        <f t="shared" ca="1" si="102"/>
        <v>0.21000000000000085</v>
      </c>
      <c r="D492">
        <f t="shared" ca="1" si="103"/>
        <v>0.21000000000000085</v>
      </c>
      <c r="E492">
        <f t="shared" ca="1" si="104"/>
        <v>0</v>
      </c>
      <c r="F492">
        <f t="shared" ca="1" si="106"/>
        <v>0.23652296022619632</v>
      </c>
      <c r="G492">
        <f t="shared" ca="1" si="107"/>
        <v>0.11977555198876212</v>
      </c>
      <c r="H492">
        <f t="shared" ca="1" si="108"/>
        <v>1.9747181816234749</v>
      </c>
      <c r="I492">
        <f t="shared" ca="1" si="109"/>
        <v>66.383370156622959</v>
      </c>
      <c r="J492">
        <f t="shared" ca="1" si="110"/>
        <v>1</v>
      </c>
      <c r="K492">
        <f t="shared" ca="1" si="111"/>
        <v>0</v>
      </c>
      <c r="L492">
        <f t="shared" ca="1" si="105"/>
        <v>0</v>
      </c>
      <c r="M492" t="str">
        <f t="shared" ca="1" si="112"/>
        <v>na</v>
      </c>
      <c r="N492" t="str">
        <f t="shared" ca="1" si="113"/>
        <v>na</v>
      </c>
    </row>
    <row r="493" spans="1:14" x14ac:dyDescent="0.2">
      <c r="A493" vm="929">
        <f ca="1"/>
        <v>44960</v>
      </c>
      <c r="B493" vm="930">
        <f ca="1"/>
        <v>36.43</v>
      </c>
      <c r="C493">
        <f t="shared" ca="1" si="102"/>
        <v>0.29999999999999716</v>
      </c>
      <c r="D493">
        <f t="shared" ca="1" si="103"/>
        <v>0.29999999999999716</v>
      </c>
      <c r="E493">
        <f t="shared" ca="1" si="104"/>
        <v>0</v>
      </c>
      <c r="F493">
        <f t="shared" ca="1" si="106"/>
        <v>0.2410570344957535</v>
      </c>
      <c r="G493">
        <f t="shared" ca="1" si="107"/>
        <v>0.11122015541813625</v>
      </c>
      <c r="H493">
        <f t="shared" ca="1" si="108"/>
        <v>2.167386240286131</v>
      </c>
      <c r="I493">
        <f t="shared" ca="1" si="109"/>
        <v>68.428226804771896</v>
      </c>
      <c r="J493">
        <f t="shared" ca="1" si="110"/>
        <v>1</v>
      </c>
      <c r="K493">
        <f t="shared" ca="1" si="111"/>
        <v>0</v>
      </c>
      <c r="L493">
        <f t="shared" ca="1" si="105"/>
        <v>0</v>
      </c>
      <c r="M493" t="str">
        <f t="shared" ca="1" si="112"/>
        <v>na</v>
      </c>
      <c r="N493" t="str">
        <f t="shared" ca="1" si="113"/>
        <v>na</v>
      </c>
    </row>
    <row r="494" spans="1:14" x14ac:dyDescent="0.2">
      <c r="A494" vm="931">
        <f ca="1"/>
        <v>44963</v>
      </c>
      <c r="B494" vm="587">
        <f ca="1"/>
        <v>36.369999999999997</v>
      </c>
      <c r="C494">
        <f t="shared" ca="1" si="102"/>
        <v>-6.0000000000002274E-2</v>
      </c>
      <c r="D494">
        <f t="shared" ca="1" si="103"/>
        <v>0</v>
      </c>
      <c r="E494">
        <f t="shared" ca="1" si="104"/>
        <v>6.0000000000002274E-2</v>
      </c>
      <c r="F494">
        <f t="shared" ca="1" si="106"/>
        <v>0.22383867488891399</v>
      </c>
      <c r="G494">
        <f t="shared" ca="1" si="107"/>
        <v>0.10756157288826954</v>
      </c>
      <c r="H494">
        <f t="shared" ca="1" si="108"/>
        <v>2.081028278764836</v>
      </c>
      <c r="I494">
        <f t="shared" ca="1" si="109"/>
        <v>67.543303419438473</v>
      </c>
      <c r="J494">
        <f t="shared" ca="1" si="110"/>
        <v>1</v>
      </c>
      <c r="K494">
        <f t="shared" ca="1" si="111"/>
        <v>0</v>
      </c>
      <c r="L494">
        <f t="shared" ca="1" si="105"/>
        <v>0</v>
      </c>
      <c r="M494" t="str">
        <f t="shared" ca="1" si="112"/>
        <v>na</v>
      </c>
      <c r="N494" t="str">
        <f t="shared" ca="1" si="113"/>
        <v>na</v>
      </c>
    </row>
    <row r="495" spans="1:14" x14ac:dyDescent="0.2">
      <c r="A495" vm="932">
        <f ca="1"/>
        <v>44964</v>
      </c>
      <c r="B495" vm="45">
        <f ca="1"/>
        <v>36.770000000000003</v>
      </c>
      <c r="C495">
        <f t="shared" ca="1" si="102"/>
        <v>0.40000000000000568</v>
      </c>
      <c r="D495">
        <f t="shared" ca="1" si="103"/>
        <v>0.40000000000000568</v>
      </c>
      <c r="E495">
        <f t="shared" ca="1" si="104"/>
        <v>0</v>
      </c>
      <c r="F495">
        <f t="shared" ca="1" si="106"/>
        <v>0.23642162668256339</v>
      </c>
      <c r="G495">
        <f t="shared" ca="1" si="107"/>
        <v>9.9878603396250293E-2</v>
      </c>
      <c r="H495">
        <f t="shared" ca="1" si="108"/>
        <v>2.3670898334911969</v>
      </c>
      <c r="I495">
        <f t="shared" ca="1" si="109"/>
        <v>70.300762692656136</v>
      </c>
      <c r="J495">
        <f t="shared" ca="1" si="110"/>
        <v>0</v>
      </c>
      <c r="K495">
        <f t="shared" ca="1" si="111"/>
        <v>0</v>
      </c>
      <c r="L495">
        <f t="shared" ca="1" si="105"/>
        <v>1</v>
      </c>
      <c r="M495" t="str">
        <f t="shared" ca="1" si="112"/>
        <v>na</v>
      </c>
      <c r="N495" vm="45">
        <f t="shared" ca="1" si="113"/>
        <v>36.770000000000003</v>
      </c>
    </row>
    <row r="496" spans="1:14" x14ac:dyDescent="0.2">
      <c r="A496" vm="933">
        <f ca="1"/>
        <v>44965</v>
      </c>
      <c r="B496" vm="7">
        <f ca="1"/>
        <v>36.5</v>
      </c>
      <c r="C496">
        <f t="shared" ca="1" si="102"/>
        <v>-0.27000000000000313</v>
      </c>
      <c r="D496">
        <f t="shared" ca="1" si="103"/>
        <v>0</v>
      </c>
      <c r="E496">
        <f t="shared" ca="1" si="104"/>
        <v>0.27000000000000313</v>
      </c>
      <c r="F496">
        <f t="shared" ca="1" si="106"/>
        <v>0.21953436763380887</v>
      </c>
      <c r="G496">
        <f t="shared" ca="1" si="107"/>
        <v>0.11203013172508978</v>
      </c>
      <c r="H496">
        <f t="shared" ca="1" si="108"/>
        <v>1.9596010845771674</v>
      </c>
      <c r="I496">
        <f t="shared" ca="1" si="109"/>
        <v>66.211662605101793</v>
      </c>
      <c r="J496">
        <f t="shared" ca="1" si="110"/>
        <v>0</v>
      </c>
      <c r="K496">
        <f t="shared" ca="1" si="111"/>
        <v>0</v>
      </c>
      <c r="L496">
        <f t="shared" ca="1" si="105"/>
        <v>0</v>
      </c>
      <c r="M496" t="str">
        <f t="shared" ca="1" si="112"/>
        <v>na</v>
      </c>
      <c r="N496" t="str">
        <f t="shared" ca="1" si="113"/>
        <v>na</v>
      </c>
    </row>
    <row r="497" spans="1:14" x14ac:dyDescent="0.2">
      <c r="A497" vm="934">
        <f ca="1"/>
        <v>44966</v>
      </c>
      <c r="B497" vm="935">
        <f ca="1"/>
        <v>35.72</v>
      </c>
      <c r="C497">
        <f t="shared" ca="1" si="102"/>
        <v>-0.78000000000000114</v>
      </c>
      <c r="D497">
        <f t="shared" ca="1" si="103"/>
        <v>0</v>
      </c>
      <c r="E497">
        <f t="shared" ca="1" si="104"/>
        <v>0.78000000000000114</v>
      </c>
      <c r="F497">
        <f t="shared" ca="1" si="106"/>
        <v>0.2038533413742511</v>
      </c>
      <c r="G497">
        <f t="shared" ca="1" si="107"/>
        <v>0.15974226517329773</v>
      </c>
      <c r="H497">
        <f t="shared" ca="1" si="108"/>
        <v>1.2761390428081079</v>
      </c>
      <c r="I497">
        <f t="shared" ca="1" si="109"/>
        <v>56.065952861724803</v>
      </c>
      <c r="J497">
        <f t="shared" ca="1" si="110"/>
        <v>0</v>
      </c>
      <c r="K497">
        <f t="shared" ca="1" si="111"/>
        <v>0</v>
      </c>
      <c r="L497">
        <f t="shared" ca="1" si="105"/>
        <v>0</v>
      </c>
      <c r="M497" t="str">
        <f t="shared" ca="1" si="112"/>
        <v>na</v>
      </c>
      <c r="N497" t="str">
        <f t="shared" ca="1" si="113"/>
        <v>na</v>
      </c>
    </row>
    <row r="498" spans="1:14" x14ac:dyDescent="0.2">
      <c r="A498" vm="936">
        <f ca="1"/>
        <v>44967</v>
      </c>
      <c r="B498" vm="937">
        <f ca="1"/>
        <v>35.58</v>
      </c>
      <c r="C498">
        <f t="shared" ca="1" si="102"/>
        <v>-0.14000000000000057</v>
      </c>
      <c r="D498">
        <f t="shared" ca="1" si="103"/>
        <v>0</v>
      </c>
      <c r="E498">
        <f t="shared" ca="1" si="104"/>
        <v>0.14000000000000057</v>
      </c>
      <c r="F498">
        <f t="shared" ca="1" si="106"/>
        <v>0.18929238841894744</v>
      </c>
      <c r="G498">
        <f t="shared" ca="1" si="107"/>
        <v>0.15833210337520506</v>
      </c>
      <c r="H498">
        <f t="shared" ca="1" si="108"/>
        <v>1.1955401613681258</v>
      </c>
      <c r="I498">
        <f t="shared" ca="1" si="109"/>
        <v>54.453121942581028</v>
      </c>
      <c r="J498">
        <f t="shared" ca="1" si="110"/>
        <v>0</v>
      </c>
      <c r="K498">
        <f t="shared" ca="1" si="111"/>
        <v>0</v>
      </c>
      <c r="L498">
        <f t="shared" ca="1" si="105"/>
        <v>0</v>
      </c>
      <c r="M498" t="str">
        <f t="shared" ca="1" si="112"/>
        <v>na</v>
      </c>
      <c r="N498" t="str">
        <f t="shared" ca="1" si="113"/>
        <v>na</v>
      </c>
    </row>
    <row r="499" spans="1:14" x14ac:dyDescent="0.2">
      <c r="A499" vm="938">
        <f ca="1"/>
        <v>44970</v>
      </c>
      <c r="B499" vm="609">
        <f ca="1"/>
        <v>35.65</v>
      </c>
      <c r="C499">
        <f t="shared" ca="1" si="102"/>
        <v>7.0000000000000284E-2</v>
      </c>
      <c r="D499">
        <f t="shared" ca="1" si="103"/>
        <v>7.0000000000000284E-2</v>
      </c>
      <c r="E499">
        <f t="shared" ca="1" si="104"/>
        <v>0</v>
      </c>
      <c r="F499">
        <f t="shared" ca="1" si="106"/>
        <v>0.18077150353187979</v>
      </c>
      <c r="G499">
        <f t="shared" ca="1" si="107"/>
        <v>0.14702266741983325</v>
      </c>
      <c r="H499">
        <f t="shared" ca="1" si="108"/>
        <v>1.2295485227163947</v>
      </c>
      <c r="I499">
        <f t="shared" ca="1" si="109"/>
        <v>55.147870081713272</v>
      </c>
      <c r="J499">
        <f t="shared" ca="1" si="110"/>
        <v>0</v>
      </c>
      <c r="K499">
        <f t="shared" ca="1" si="111"/>
        <v>0</v>
      </c>
      <c r="L499">
        <f t="shared" ca="1" si="105"/>
        <v>0</v>
      </c>
      <c r="M499" t="str">
        <f t="shared" ca="1" si="112"/>
        <v>na</v>
      </c>
      <c r="N499" t="str">
        <f t="shared" ca="1" si="113"/>
        <v>na</v>
      </c>
    </row>
    <row r="500" spans="1:14" x14ac:dyDescent="0.2">
      <c r="A500" vm="939">
        <f ca="1"/>
        <v>44971</v>
      </c>
      <c r="B500" vm="940">
        <f ca="1"/>
        <v>35.619999999999997</v>
      </c>
      <c r="C500">
        <f t="shared" ca="1" si="102"/>
        <v>-3.0000000000001137E-2</v>
      </c>
      <c r="D500">
        <f t="shared" ca="1" si="103"/>
        <v>0</v>
      </c>
      <c r="E500">
        <f t="shared" ca="1" si="104"/>
        <v>3.0000000000001137E-2</v>
      </c>
      <c r="F500">
        <f t="shared" ca="1" si="106"/>
        <v>0.16785925327960266</v>
      </c>
      <c r="G500">
        <f t="shared" ca="1" si="107"/>
        <v>0.1386639054612738</v>
      </c>
      <c r="H500">
        <f t="shared" ca="1" si="108"/>
        <v>1.2105475662264724</v>
      </c>
      <c r="I500">
        <f t="shared" ca="1" si="109"/>
        <v>54.762339644785136</v>
      </c>
      <c r="J500">
        <f t="shared" ca="1" si="110"/>
        <v>0</v>
      </c>
      <c r="K500">
        <f t="shared" ca="1" si="111"/>
        <v>0</v>
      </c>
      <c r="L500">
        <f t="shared" ca="1" si="105"/>
        <v>0</v>
      </c>
      <c r="M500" t="str">
        <f t="shared" ca="1" si="112"/>
        <v>na</v>
      </c>
      <c r="N500" t="str">
        <f t="shared" ca="1" si="113"/>
        <v>na</v>
      </c>
    </row>
    <row r="501" spans="1:14" x14ac:dyDescent="0.2">
      <c r="A501" vm="941">
        <f ca="1"/>
        <v>44972</v>
      </c>
      <c r="B501" vm="942">
        <f ca="1"/>
        <v>35.56</v>
      </c>
      <c r="C501">
        <f t="shared" ca="1" si="102"/>
        <v>-5.9999999999995168E-2</v>
      </c>
      <c r="D501">
        <f t="shared" ca="1" si="103"/>
        <v>0</v>
      </c>
      <c r="E501">
        <f t="shared" ca="1" si="104"/>
        <v>5.9999999999995168E-2</v>
      </c>
      <c r="F501">
        <f t="shared" ca="1" si="106"/>
        <v>0.15586930661677392</v>
      </c>
      <c r="G501">
        <f t="shared" ca="1" si="107"/>
        <v>0.13304505507118247</v>
      </c>
      <c r="H501">
        <f t="shared" ca="1" si="108"/>
        <v>1.1715527986619263</v>
      </c>
      <c r="I501">
        <f t="shared" ca="1" si="109"/>
        <v>53.950002937244584</v>
      </c>
      <c r="J501">
        <f t="shared" ca="1" si="110"/>
        <v>0</v>
      </c>
      <c r="K501">
        <f t="shared" ca="1" si="111"/>
        <v>0</v>
      </c>
      <c r="L501">
        <f t="shared" ca="1" si="105"/>
        <v>0</v>
      </c>
      <c r="M501" t="str">
        <f t="shared" ca="1" si="112"/>
        <v>na</v>
      </c>
      <c r="N501" t="str">
        <f t="shared" ca="1" si="113"/>
        <v>na</v>
      </c>
    </row>
    <row r="502" spans="1:14" x14ac:dyDescent="0.2">
      <c r="A502" vm="943">
        <f ca="1"/>
        <v>44973</v>
      </c>
      <c r="B502" vm="944">
        <f ca="1"/>
        <v>35.28</v>
      </c>
      <c r="C502">
        <f t="shared" ca="1" si="102"/>
        <v>-0.28000000000000114</v>
      </c>
      <c r="D502">
        <f t="shared" ca="1" si="103"/>
        <v>0</v>
      </c>
      <c r="E502">
        <f t="shared" ca="1" si="104"/>
        <v>0.28000000000000114</v>
      </c>
      <c r="F502">
        <f t="shared" ca="1" si="106"/>
        <v>0.14473578471557577</v>
      </c>
      <c r="G502">
        <f t="shared" ca="1" si="107"/>
        <v>0.14354183685181238</v>
      </c>
      <c r="H502">
        <f t="shared" ca="1" si="108"/>
        <v>1.0083177691601926</v>
      </c>
      <c r="I502">
        <f t="shared" ca="1" si="109"/>
        <v>50.207082994731223</v>
      </c>
      <c r="J502">
        <f t="shared" ca="1" si="110"/>
        <v>0</v>
      </c>
      <c r="K502">
        <f t="shared" ca="1" si="111"/>
        <v>0</v>
      </c>
      <c r="L502">
        <f t="shared" ca="1" si="105"/>
        <v>0</v>
      </c>
      <c r="M502" t="str">
        <f t="shared" ca="1" si="112"/>
        <v>na</v>
      </c>
      <c r="N502" t="str">
        <f t="shared" ca="1" si="113"/>
        <v>na</v>
      </c>
    </row>
    <row r="503" spans="1:14" x14ac:dyDescent="0.2">
      <c r="A503" vm="945">
        <f ca="1"/>
        <v>44974</v>
      </c>
      <c r="B503" vm="946">
        <f ca="1"/>
        <v>35.35</v>
      </c>
      <c r="C503">
        <f t="shared" ca="1" si="102"/>
        <v>7.0000000000000284E-2</v>
      </c>
      <c r="D503">
        <f t="shared" ca="1" si="103"/>
        <v>7.0000000000000284E-2</v>
      </c>
      <c r="E503">
        <f t="shared" ca="1" si="104"/>
        <v>0</v>
      </c>
      <c r="F503">
        <f t="shared" ca="1" si="106"/>
        <v>0.13939751437874895</v>
      </c>
      <c r="G503">
        <f t="shared" ca="1" si="107"/>
        <v>0.13328884850525435</v>
      </c>
      <c r="H503">
        <f t="shared" ca="1" si="108"/>
        <v>1.0458302846937251</v>
      </c>
      <c r="I503">
        <f t="shared" ca="1" si="109"/>
        <v>51.120090093411299</v>
      </c>
      <c r="J503">
        <f t="shared" ca="1" si="110"/>
        <v>0</v>
      </c>
      <c r="K503">
        <f t="shared" ca="1" si="111"/>
        <v>0</v>
      </c>
      <c r="L503">
        <f t="shared" ca="1" si="105"/>
        <v>0</v>
      </c>
      <c r="M503" t="str">
        <f t="shared" ca="1" si="112"/>
        <v>na</v>
      </c>
      <c r="N503" t="str">
        <f t="shared" ca="1" si="113"/>
        <v>na</v>
      </c>
    </row>
    <row r="504" spans="1:14" x14ac:dyDescent="0.2">
      <c r="A504" vm="947">
        <f ca="1"/>
        <v>44978</v>
      </c>
      <c r="B504" vm="728">
        <f ca="1"/>
        <v>34.520000000000003</v>
      </c>
      <c r="C504">
        <f t="shared" ca="1" si="102"/>
        <v>-0.82999999999999829</v>
      </c>
      <c r="D504">
        <f t="shared" ca="1" si="103"/>
        <v>0</v>
      </c>
      <c r="E504">
        <f t="shared" ca="1" si="104"/>
        <v>0.82999999999999829</v>
      </c>
      <c r="F504">
        <f t="shared" ca="1" si="106"/>
        <v>0.12944054906598118</v>
      </c>
      <c r="G504">
        <f t="shared" ca="1" si="107"/>
        <v>0.18305393075487891</v>
      </c>
      <c r="H504">
        <f t="shared" ca="1" si="108"/>
        <v>0.70711701481740086</v>
      </c>
      <c r="I504">
        <f t="shared" ca="1" si="109"/>
        <v>41.421707397898352</v>
      </c>
      <c r="J504">
        <f t="shared" ca="1" si="110"/>
        <v>0</v>
      </c>
      <c r="K504">
        <f t="shared" ca="1" si="111"/>
        <v>0</v>
      </c>
      <c r="L504">
        <f t="shared" ca="1" si="105"/>
        <v>0</v>
      </c>
      <c r="M504" t="str">
        <f t="shared" ca="1" si="112"/>
        <v>na</v>
      </c>
      <c r="N504" t="str">
        <f t="shared" ca="1" si="113"/>
        <v>na</v>
      </c>
    </row>
    <row r="505" spans="1:14" x14ac:dyDescent="0.2">
      <c r="A505" vm="948">
        <f ca="1"/>
        <v>44979</v>
      </c>
      <c r="B505" vm="48">
        <f ca="1"/>
        <v>34.29</v>
      </c>
      <c r="C505">
        <f t="shared" ca="1" si="102"/>
        <v>-0.23000000000000398</v>
      </c>
      <c r="D505">
        <f t="shared" ca="1" si="103"/>
        <v>0</v>
      </c>
      <c r="E505">
        <f t="shared" ca="1" si="104"/>
        <v>0.23000000000000398</v>
      </c>
      <c r="F505">
        <f t="shared" ca="1" si="106"/>
        <v>0.12019479556126823</v>
      </c>
      <c r="G505">
        <f t="shared" ca="1" si="107"/>
        <v>0.18640722141524499</v>
      </c>
      <c r="H505">
        <f t="shared" ca="1" si="108"/>
        <v>0.64479688420181724</v>
      </c>
      <c r="I505">
        <f t="shared" ca="1" si="109"/>
        <v>39.202219459135378</v>
      </c>
      <c r="J505">
        <f t="shared" ca="1" si="110"/>
        <v>1</v>
      </c>
      <c r="K505">
        <f t="shared" ca="1" si="111"/>
        <v>1</v>
      </c>
      <c r="L505">
        <f t="shared" ca="1" si="105"/>
        <v>0</v>
      </c>
      <c r="M505" vm="48">
        <f t="shared" ca="1" si="112"/>
        <v>34.29</v>
      </c>
      <c r="N505" t="str">
        <f t="shared" ca="1" si="113"/>
        <v>na</v>
      </c>
    </row>
    <row r="506" spans="1:14" x14ac:dyDescent="0.2">
      <c r="A506" vm="949">
        <f ca="1"/>
        <v>44980</v>
      </c>
      <c r="B506" vm="950">
        <f ca="1"/>
        <v>34.26</v>
      </c>
      <c r="C506">
        <f t="shared" ca="1" si="102"/>
        <v>-3.0000000000001137E-2</v>
      </c>
      <c r="D506">
        <f t="shared" ca="1" si="103"/>
        <v>0</v>
      </c>
      <c r="E506">
        <f t="shared" ca="1" si="104"/>
        <v>3.0000000000001137E-2</v>
      </c>
      <c r="F506">
        <f t="shared" ca="1" si="106"/>
        <v>0.11160945302117764</v>
      </c>
      <c r="G506">
        <f t="shared" ca="1" si="107"/>
        <v>0.17523527702844185</v>
      </c>
      <c r="H506">
        <f t="shared" ca="1" si="108"/>
        <v>0.63691201288803667</v>
      </c>
      <c r="I506">
        <f t="shared" ca="1" si="109"/>
        <v>38.909361521779047</v>
      </c>
      <c r="J506">
        <f t="shared" ca="1" si="110"/>
        <v>1</v>
      </c>
      <c r="K506">
        <f t="shared" ca="1" si="111"/>
        <v>1</v>
      </c>
      <c r="L506">
        <f t="shared" ca="1" si="105"/>
        <v>0</v>
      </c>
      <c r="M506" t="str">
        <f t="shared" ca="1" si="112"/>
        <v>na</v>
      </c>
      <c r="N506" t="str">
        <f t="shared" ca="1" si="113"/>
        <v>na</v>
      </c>
    </row>
    <row r="507" spans="1:14" x14ac:dyDescent="0.2">
      <c r="A507" vm="951">
        <f ca="1"/>
        <v>44981</v>
      </c>
      <c r="B507" vm="952">
        <f ca="1"/>
        <v>34.21</v>
      </c>
      <c r="C507">
        <f t="shared" ca="1" si="102"/>
        <v>-4.9999999999997158E-2</v>
      </c>
      <c r="D507">
        <f t="shared" ca="1" si="103"/>
        <v>0</v>
      </c>
      <c r="E507">
        <f t="shared" ca="1" si="104"/>
        <v>4.9999999999997158E-2</v>
      </c>
      <c r="F507">
        <f t="shared" ca="1" si="106"/>
        <v>0.10363734923395065</v>
      </c>
      <c r="G507">
        <f t="shared" ca="1" si="107"/>
        <v>0.16628990009783864</v>
      </c>
      <c r="H507">
        <f t="shared" ca="1" si="108"/>
        <v>0.62323297550226675</v>
      </c>
      <c r="I507">
        <f t="shared" ca="1" si="109"/>
        <v>38.394548712850273</v>
      </c>
      <c r="J507">
        <f t="shared" ca="1" si="110"/>
        <v>1</v>
      </c>
      <c r="K507">
        <f t="shared" ca="1" si="111"/>
        <v>1</v>
      </c>
      <c r="L507">
        <f t="shared" ca="1" si="105"/>
        <v>0</v>
      </c>
      <c r="M507" t="str">
        <f t="shared" ca="1" si="112"/>
        <v>na</v>
      </c>
      <c r="N507" t="str">
        <f t="shared" ca="1" si="113"/>
        <v>na</v>
      </c>
    </row>
    <row r="508" spans="1:14" x14ac:dyDescent="0.2">
      <c r="A508" vm="953">
        <f ca="1"/>
        <v>44984</v>
      </c>
      <c r="B508" vm="952">
        <f ca="1"/>
        <v>34.21</v>
      </c>
      <c r="C508">
        <f t="shared" ca="1" si="102"/>
        <v>0</v>
      </c>
      <c r="D508">
        <f t="shared" ca="1" si="103"/>
        <v>0</v>
      </c>
      <c r="E508">
        <f t="shared" ca="1" si="104"/>
        <v>0</v>
      </c>
      <c r="F508">
        <f t="shared" ca="1" si="106"/>
        <v>9.6234681431525609E-2</v>
      </c>
      <c r="G508">
        <f t="shared" ca="1" si="107"/>
        <v>0.15441205009085016</v>
      </c>
      <c r="H508">
        <f t="shared" ca="1" si="108"/>
        <v>0.62323297550226675</v>
      </c>
      <c r="I508">
        <f t="shared" ca="1" si="109"/>
        <v>38.394548712850273</v>
      </c>
      <c r="J508">
        <f t="shared" ca="1" si="110"/>
        <v>1</v>
      </c>
      <c r="K508">
        <f t="shared" ca="1" si="111"/>
        <v>1</v>
      </c>
      <c r="L508">
        <f t="shared" ca="1" si="105"/>
        <v>0</v>
      </c>
      <c r="M508" t="str">
        <f t="shared" ca="1" si="112"/>
        <v>na</v>
      </c>
      <c r="N508" t="str">
        <f t="shared" ca="1" si="113"/>
        <v>na</v>
      </c>
    </row>
    <row r="509" spans="1:14" x14ac:dyDescent="0.2">
      <c r="A509" vm="954">
        <f ca="1"/>
        <v>44985</v>
      </c>
      <c r="B509" vm="955">
        <f ca="1"/>
        <v>34.299999999999997</v>
      </c>
      <c r="C509">
        <f t="shared" ca="1" si="102"/>
        <v>8.9999999999996305E-2</v>
      </c>
      <c r="D509">
        <f t="shared" ca="1" si="103"/>
        <v>8.9999999999996305E-2</v>
      </c>
      <c r="E509">
        <f t="shared" ca="1" si="104"/>
        <v>0</v>
      </c>
      <c r="F509">
        <f t="shared" ca="1" si="106"/>
        <v>9.5789347043559236E-2</v>
      </c>
      <c r="G509">
        <f t="shared" ca="1" si="107"/>
        <v>0.1433826179415037</v>
      </c>
      <c r="H509">
        <f t="shared" ca="1" si="108"/>
        <v>0.66806805747289921</v>
      </c>
      <c r="I509">
        <f t="shared" ca="1" si="109"/>
        <v>40.050407684504997</v>
      </c>
      <c r="J509">
        <f t="shared" ca="1" si="110"/>
        <v>1</v>
      </c>
      <c r="K509">
        <f t="shared" ca="1" si="111"/>
        <v>0</v>
      </c>
      <c r="L509">
        <f t="shared" ca="1" si="105"/>
        <v>0</v>
      </c>
      <c r="M509" t="str">
        <f t="shared" ca="1" si="112"/>
        <v>na</v>
      </c>
      <c r="N509" t="str">
        <f t="shared" ca="1" si="113"/>
        <v>na</v>
      </c>
    </row>
    <row r="510" spans="1:14" x14ac:dyDescent="0.2">
      <c r="A510" vm="956">
        <f ca="1"/>
        <v>44986</v>
      </c>
      <c r="B510" vm="893">
        <f ca="1"/>
        <v>34.14</v>
      </c>
      <c r="C510">
        <f t="shared" ca="1" si="102"/>
        <v>-0.15999999999999659</v>
      </c>
      <c r="D510">
        <f t="shared" ca="1" si="103"/>
        <v>0</v>
      </c>
      <c r="E510">
        <f t="shared" ca="1" si="104"/>
        <v>0.15999999999999659</v>
      </c>
      <c r="F510">
        <f t="shared" ca="1" si="106"/>
        <v>8.8947250826162144E-2</v>
      </c>
      <c r="G510">
        <f t="shared" ca="1" si="107"/>
        <v>0.14456957380282459</v>
      </c>
      <c r="H510">
        <f t="shared" ca="1" si="108"/>
        <v>0.61525567577224394</v>
      </c>
      <c r="I510">
        <f t="shared" ca="1" si="109"/>
        <v>38.090296477558816</v>
      </c>
      <c r="J510">
        <f t="shared" ca="1" si="110"/>
        <v>1</v>
      </c>
      <c r="K510">
        <f t="shared" ca="1" si="111"/>
        <v>1</v>
      </c>
      <c r="L510">
        <f t="shared" ca="1" si="105"/>
        <v>0</v>
      </c>
      <c r="M510" t="str">
        <f t="shared" ca="1" si="112"/>
        <v>na</v>
      </c>
      <c r="N510" t="str">
        <f t="shared" ca="1" si="113"/>
        <v>na</v>
      </c>
    </row>
    <row r="511" spans="1:14" x14ac:dyDescent="0.2">
      <c r="A511" vm="957">
        <f ca="1"/>
        <v>44987</v>
      </c>
      <c r="B511" vm="707">
        <f ca="1"/>
        <v>33.49</v>
      </c>
      <c r="C511">
        <f t="shared" ca="1" si="102"/>
        <v>-0.64999999999999858</v>
      </c>
      <c r="D511">
        <f t="shared" ca="1" si="103"/>
        <v>0</v>
      </c>
      <c r="E511">
        <f t="shared" ca="1" si="104"/>
        <v>0.64999999999999858</v>
      </c>
      <c r="F511">
        <f t="shared" ca="1" si="106"/>
        <v>8.2593875767150562E-2</v>
      </c>
      <c r="G511">
        <f t="shared" ca="1" si="107"/>
        <v>0.18067174710262274</v>
      </c>
      <c r="H511">
        <f t="shared" ca="1" si="108"/>
        <v>0.45714881873720242</v>
      </c>
      <c r="I511">
        <f t="shared" ca="1" si="109"/>
        <v>31.372829793279294</v>
      </c>
      <c r="J511">
        <f t="shared" ca="1" si="110"/>
        <v>1</v>
      </c>
      <c r="K511">
        <f t="shared" ca="1" si="111"/>
        <v>1</v>
      </c>
      <c r="L511">
        <f t="shared" ca="1" si="105"/>
        <v>0</v>
      </c>
      <c r="M511" t="str">
        <f t="shared" ca="1" si="112"/>
        <v>na</v>
      </c>
      <c r="N511" t="str">
        <f t="shared" ca="1" si="113"/>
        <v>na</v>
      </c>
    </row>
    <row r="512" spans="1:14" x14ac:dyDescent="0.2">
      <c r="A512" vm="958">
        <f ca="1"/>
        <v>44988</v>
      </c>
      <c r="B512" vm="959">
        <f ca="1"/>
        <v>34.159999999999997</v>
      </c>
      <c r="C512">
        <f t="shared" ca="1" si="102"/>
        <v>0.6699999999999946</v>
      </c>
      <c r="D512">
        <f t="shared" ca="1" si="103"/>
        <v>0.6699999999999946</v>
      </c>
      <c r="E512">
        <f t="shared" ca="1" si="104"/>
        <v>0</v>
      </c>
      <c r="F512">
        <f t="shared" ca="1" si="106"/>
        <v>0.12455145606949657</v>
      </c>
      <c r="G512">
        <f t="shared" ca="1" si="107"/>
        <v>0.16776662230957826</v>
      </c>
      <c r="H512">
        <f t="shared" ca="1" si="108"/>
        <v>0.74240903437671213</v>
      </c>
      <c r="I512">
        <f t="shared" ca="1" si="109"/>
        <v>42.608194730939502</v>
      </c>
      <c r="J512">
        <f t="shared" ca="1" si="110"/>
        <v>1</v>
      </c>
      <c r="K512">
        <f t="shared" ca="1" si="111"/>
        <v>0</v>
      </c>
      <c r="L512">
        <f t="shared" ca="1" si="105"/>
        <v>0</v>
      </c>
      <c r="M512" t="str">
        <f t="shared" ca="1" si="112"/>
        <v>na</v>
      </c>
      <c r="N512" t="str">
        <f t="shared" ca="1" si="113"/>
        <v>na</v>
      </c>
    </row>
    <row r="513" spans="1:14" x14ac:dyDescent="0.2">
      <c r="A513" vm="960">
        <f ca="1"/>
        <v>44991</v>
      </c>
      <c r="B513" vm="736">
        <f ca="1"/>
        <v>34.090000000000003</v>
      </c>
      <c r="C513">
        <f t="shared" ca="1" si="102"/>
        <v>-6.9999999999993179E-2</v>
      </c>
      <c r="D513">
        <f t="shared" ca="1" si="103"/>
        <v>0</v>
      </c>
      <c r="E513">
        <f t="shared" ca="1" si="104"/>
        <v>6.9999999999993179E-2</v>
      </c>
      <c r="F513">
        <f t="shared" ca="1" si="106"/>
        <v>0.11565492349310395</v>
      </c>
      <c r="G513">
        <f t="shared" ca="1" si="107"/>
        <v>0.1607832921446079</v>
      </c>
      <c r="H513">
        <f t="shared" ca="1" si="108"/>
        <v>0.71932177747103432</v>
      </c>
      <c r="I513">
        <f t="shared" ca="1" si="109"/>
        <v>41.837530757569482</v>
      </c>
      <c r="J513">
        <f t="shared" ca="1" si="110"/>
        <v>1</v>
      </c>
      <c r="K513">
        <f t="shared" ca="1" si="111"/>
        <v>0</v>
      </c>
      <c r="L513">
        <f t="shared" ca="1" si="105"/>
        <v>0</v>
      </c>
      <c r="M513" t="str">
        <f t="shared" ca="1" si="112"/>
        <v>na</v>
      </c>
      <c r="N513" t="str">
        <f t="shared" ca="1" si="113"/>
        <v>na</v>
      </c>
    </row>
    <row r="514" spans="1:14" x14ac:dyDescent="0.2">
      <c r="A514" vm="961">
        <f ca="1"/>
        <v>44992</v>
      </c>
      <c r="B514" vm="857">
        <f ca="1"/>
        <v>33</v>
      </c>
      <c r="C514">
        <f t="shared" ca="1" si="102"/>
        <v>-1.0900000000000034</v>
      </c>
      <c r="D514">
        <f t="shared" ca="1" si="103"/>
        <v>0</v>
      </c>
      <c r="E514">
        <f t="shared" ca="1" si="104"/>
        <v>1.0900000000000034</v>
      </c>
      <c r="F514">
        <f t="shared" ca="1" si="106"/>
        <v>0.10739385752931081</v>
      </c>
      <c r="G514">
        <f t="shared" ca="1" si="107"/>
        <v>0.22715591413427899</v>
      </c>
      <c r="H514">
        <f t="shared" ca="1" si="108"/>
        <v>0.47277596948599337</v>
      </c>
      <c r="I514">
        <f t="shared" ca="1" si="109"/>
        <v>32.101010559738739</v>
      </c>
      <c r="J514">
        <f t="shared" ca="1" si="110"/>
        <v>1</v>
      </c>
      <c r="K514">
        <f t="shared" ca="1" si="111"/>
        <v>1</v>
      </c>
      <c r="L514">
        <f t="shared" ca="1" si="105"/>
        <v>0</v>
      </c>
      <c r="M514" t="str">
        <f t="shared" ca="1" si="112"/>
        <v>na</v>
      </c>
      <c r="N514" t="str">
        <f t="shared" ca="1" si="113"/>
        <v>na</v>
      </c>
    </row>
    <row r="515" spans="1:14" x14ac:dyDescent="0.2">
      <c r="A515" vm="962">
        <f ca="1"/>
        <v>44993</v>
      </c>
      <c r="B515" vm="963">
        <f ca="1"/>
        <v>32.56</v>
      </c>
      <c r="C515">
        <f t="shared" ca="1" si="102"/>
        <v>-0.43999999999999773</v>
      </c>
      <c r="D515">
        <f t="shared" ca="1" si="103"/>
        <v>0</v>
      </c>
      <c r="E515">
        <f t="shared" ca="1" si="104"/>
        <v>0.43999999999999773</v>
      </c>
      <c r="F515">
        <f t="shared" ca="1" si="106"/>
        <v>9.9722867705788615E-2</v>
      </c>
      <c r="G515">
        <f t="shared" ca="1" si="107"/>
        <v>0.24235906312468747</v>
      </c>
      <c r="H515">
        <f t="shared" ca="1" si="108"/>
        <v>0.41146745832436138</v>
      </c>
      <c r="I515">
        <f t="shared" ca="1" si="109"/>
        <v>29.151749542482506</v>
      </c>
      <c r="J515">
        <f t="shared" ca="1" si="110"/>
        <v>1</v>
      </c>
      <c r="K515">
        <f t="shared" ca="1" si="111"/>
        <v>1</v>
      </c>
      <c r="L515">
        <f t="shared" ca="1" si="105"/>
        <v>0</v>
      </c>
      <c r="M515" t="str">
        <f t="shared" ca="1" si="112"/>
        <v>na</v>
      </c>
      <c r="N515" t="str">
        <f t="shared" ca="1" si="113"/>
        <v>na</v>
      </c>
    </row>
    <row r="516" spans="1:14" x14ac:dyDescent="0.2">
      <c r="A516" vm="964">
        <f ca="1"/>
        <v>44994</v>
      </c>
      <c r="B516" vm="965">
        <f ca="1"/>
        <v>30.54</v>
      </c>
      <c r="C516">
        <f t="shared" ca="1" si="102"/>
        <v>-2.0200000000000031</v>
      </c>
      <c r="D516">
        <f t="shared" ca="1" si="103"/>
        <v>0</v>
      </c>
      <c r="E516">
        <f t="shared" ca="1" si="104"/>
        <v>2.0200000000000031</v>
      </c>
      <c r="F516">
        <f t="shared" ca="1" si="106"/>
        <v>9.2599805726803708E-2</v>
      </c>
      <c r="G516">
        <f t="shared" ca="1" si="107"/>
        <v>0.36933341575863859</v>
      </c>
      <c r="H516">
        <f t="shared" ca="1" si="108"/>
        <v>0.25072143969588223</v>
      </c>
      <c r="I516">
        <f t="shared" ca="1" si="109"/>
        <v>20.046145507575702</v>
      </c>
      <c r="J516">
        <f t="shared" ca="1" si="110"/>
        <v>1</v>
      </c>
      <c r="K516">
        <f t="shared" ca="1" si="111"/>
        <v>1</v>
      </c>
      <c r="L516">
        <f t="shared" ca="1" si="105"/>
        <v>0</v>
      </c>
      <c r="M516" t="str">
        <f t="shared" ca="1" si="112"/>
        <v>na</v>
      </c>
      <c r="N516" t="str">
        <f t="shared" ca="1" si="113"/>
        <v>na</v>
      </c>
    </row>
    <row r="517" spans="1:14" x14ac:dyDescent="0.2">
      <c r="A517" vm="966">
        <f ca="1"/>
        <v>44995</v>
      </c>
      <c r="B517" vm="967">
        <f ca="1"/>
        <v>30.27</v>
      </c>
      <c r="C517">
        <f t="shared" ca="1" si="102"/>
        <v>-0.26999999999999957</v>
      </c>
      <c r="D517">
        <f t="shared" ca="1" si="103"/>
        <v>0</v>
      </c>
      <c r="E517">
        <f t="shared" ca="1" si="104"/>
        <v>0.26999999999999957</v>
      </c>
      <c r="F517">
        <f t="shared" ca="1" si="106"/>
        <v>8.5985533889174875E-2</v>
      </c>
      <c r="G517">
        <f t="shared" ca="1" si="107"/>
        <v>0.36223817177587864</v>
      </c>
      <c r="H517">
        <f t="shared" ca="1" si="108"/>
        <v>0.2373729236420043</v>
      </c>
      <c r="I517">
        <f t="shared" ca="1" si="109"/>
        <v>19.183620322265995</v>
      </c>
      <c r="J517">
        <f t="shared" ca="1" si="110"/>
        <v>1</v>
      </c>
      <c r="K517">
        <f t="shared" ca="1" si="111"/>
        <v>1</v>
      </c>
      <c r="L517">
        <f t="shared" ca="1" si="105"/>
        <v>0</v>
      </c>
      <c r="M517" t="str">
        <f t="shared" ca="1" si="112"/>
        <v>na</v>
      </c>
      <c r="N517" t="str">
        <f t="shared" ca="1" si="113"/>
        <v>na</v>
      </c>
    </row>
    <row r="518" spans="1:14" x14ac:dyDescent="0.2">
      <c r="A518" vm="968">
        <f ca="1"/>
        <v>44998</v>
      </c>
      <c r="B518" vm="969">
        <f ca="1"/>
        <v>28.51</v>
      </c>
      <c r="C518">
        <f t="shared" ca="1" si="102"/>
        <v>-1.759999999999998</v>
      </c>
      <c r="D518">
        <f t="shared" ca="1" si="103"/>
        <v>0</v>
      </c>
      <c r="E518">
        <f t="shared" ca="1" si="104"/>
        <v>1.759999999999998</v>
      </c>
      <c r="F518">
        <f t="shared" ca="1" si="106"/>
        <v>7.9843710039948099E-2</v>
      </c>
      <c r="G518">
        <f t="shared" ca="1" si="107"/>
        <v>0.46207830236331571</v>
      </c>
      <c r="H518">
        <f t="shared" ca="1" si="108"/>
        <v>0.17279259734028765</v>
      </c>
      <c r="I518">
        <f t="shared" ca="1" si="109"/>
        <v>14.733431787696702</v>
      </c>
      <c r="J518">
        <f t="shared" ca="1" si="110"/>
        <v>1</v>
      </c>
      <c r="K518">
        <f t="shared" ca="1" si="111"/>
        <v>1</v>
      </c>
      <c r="L518">
        <f t="shared" ca="1" si="105"/>
        <v>0</v>
      </c>
      <c r="M518" t="str">
        <f t="shared" ca="1" si="112"/>
        <v>na</v>
      </c>
      <c r="N518" t="str">
        <f t="shared" ca="1" si="113"/>
        <v>na</v>
      </c>
    </row>
    <row r="519" spans="1:14" x14ac:dyDescent="0.2">
      <c r="A519" vm="970">
        <f ca="1"/>
        <v>44999</v>
      </c>
      <c r="B519" vm="971">
        <f ca="1"/>
        <v>28.76</v>
      </c>
      <c r="C519">
        <f t="shared" ca="1" si="102"/>
        <v>0.25</v>
      </c>
      <c r="D519">
        <f t="shared" ca="1" si="103"/>
        <v>0.25</v>
      </c>
      <c r="E519">
        <f t="shared" ca="1" si="104"/>
        <v>0</v>
      </c>
      <c r="F519">
        <f t="shared" ca="1" si="106"/>
        <v>9.1997730751380374E-2</v>
      </c>
      <c r="G519">
        <f t="shared" ca="1" si="107"/>
        <v>0.42907270933736458</v>
      </c>
      <c r="H519">
        <f t="shared" ca="1" si="108"/>
        <v>0.21441058531421497</v>
      </c>
      <c r="I519">
        <f t="shared" ca="1" si="109"/>
        <v>17.655526714528648</v>
      </c>
      <c r="J519">
        <f t="shared" ca="1" si="110"/>
        <v>1</v>
      </c>
      <c r="K519">
        <f t="shared" ca="1" si="111"/>
        <v>1</v>
      </c>
      <c r="L519">
        <f t="shared" ca="1" si="105"/>
        <v>0</v>
      </c>
      <c r="M519" t="str">
        <f t="shared" ca="1" si="112"/>
        <v>na</v>
      </c>
      <c r="N519" t="str">
        <f t="shared" ca="1" si="113"/>
        <v>na</v>
      </c>
    </row>
    <row r="520" spans="1:14" x14ac:dyDescent="0.2">
      <c r="A520" vm="972">
        <f ca="1"/>
        <v>45000</v>
      </c>
      <c r="B520" vm="973">
        <f ca="1"/>
        <v>28.49</v>
      </c>
      <c r="C520">
        <f t="shared" ca="1" si="102"/>
        <v>-0.27000000000000313</v>
      </c>
      <c r="D520">
        <f t="shared" ca="1" si="103"/>
        <v>0</v>
      </c>
      <c r="E520">
        <f t="shared" ca="1" si="104"/>
        <v>0.27000000000000313</v>
      </c>
      <c r="F520">
        <f t="shared" ca="1" si="106"/>
        <v>8.5426464269138913E-2</v>
      </c>
      <c r="G520">
        <f t="shared" ca="1" si="107"/>
        <v>0.41771037295612451</v>
      </c>
      <c r="H520">
        <f t="shared" ca="1" si="108"/>
        <v>0.20451123505642974</v>
      </c>
      <c r="I520">
        <f t="shared" ca="1" si="109"/>
        <v>16.978773555968431</v>
      </c>
      <c r="J520">
        <f t="shared" ca="1" si="110"/>
        <v>1</v>
      </c>
      <c r="K520">
        <f t="shared" ca="1" si="111"/>
        <v>1</v>
      </c>
      <c r="L520">
        <f t="shared" ca="1" si="105"/>
        <v>0</v>
      </c>
      <c r="M520" t="str">
        <f t="shared" ca="1" si="112"/>
        <v>na</v>
      </c>
      <c r="N520" t="str">
        <f t="shared" ca="1" si="113"/>
        <v>na</v>
      </c>
    </row>
    <row r="521" spans="1:14" x14ac:dyDescent="0.2">
      <c r="A521" vm="974">
        <f ca="1"/>
        <v>45001</v>
      </c>
      <c r="B521" vm="975">
        <f ca="1"/>
        <v>28.97</v>
      </c>
      <c r="C521">
        <f t="shared" ref="C521:C584" ca="1" si="114">B521-B520</f>
        <v>0.48000000000000043</v>
      </c>
      <c r="D521">
        <f t="shared" ref="D521:D584" ca="1" si="115">IF(C521&gt;0,C521,0)</f>
        <v>0.48000000000000043</v>
      </c>
      <c r="E521">
        <f t="shared" ref="E521:E584" ca="1" si="116">IF(C521&lt;0,ABS(C521),0)</f>
        <v>0</v>
      </c>
      <c r="F521">
        <f t="shared" ca="1" si="106"/>
        <v>0.11361028824991473</v>
      </c>
      <c r="G521">
        <f t="shared" ca="1" si="107"/>
        <v>0.38787391774497276</v>
      </c>
      <c r="H521">
        <f t="shared" ca="1" si="108"/>
        <v>0.29290520205747256</v>
      </c>
      <c r="I521">
        <f t="shared" ca="1" si="109"/>
        <v>22.654808843784991</v>
      </c>
      <c r="J521">
        <f t="shared" ca="1" si="110"/>
        <v>1</v>
      </c>
      <c r="K521">
        <f t="shared" ca="1" si="111"/>
        <v>1</v>
      </c>
      <c r="L521">
        <f t="shared" ca="1" si="105"/>
        <v>0</v>
      </c>
      <c r="M521" t="str">
        <f t="shared" ca="1" si="112"/>
        <v>na</v>
      </c>
      <c r="N521" t="str">
        <f t="shared" ca="1" si="113"/>
        <v>na</v>
      </c>
    </row>
    <row r="522" spans="1:14" x14ac:dyDescent="0.2">
      <c r="A522" vm="976">
        <f ca="1"/>
        <v>45002</v>
      </c>
      <c r="B522" vm="977">
        <f ca="1"/>
        <v>27.82</v>
      </c>
      <c r="C522">
        <f t="shared" ca="1" si="114"/>
        <v>-1.1499999999999986</v>
      </c>
      <c r="D522">
        <f t="shared" ca="1" si="115"/>
        <v>0</v>
      </c>
      <c r="E522">
        <f t="shared" ca="1" si="116"/>
        <v>1.1499999999999986</v>
      </c>
      <c r="F522">
        <f t="shared" ca="1" si="106"/>
        <v>0.10549526766063511</v>
      </c>
      <c r="G522">
        <f t="shared" ca="1" si="107"/>
        <v>0.44231149504890321</v>
      </c>
      <c r="H522">
        <f t="shared" ca="1" si="108"/>
        <v>0.23850898934691095</v>
      </c>
      <c r="I522">
        <f t="shared" ca="1" si="109"/>
        <v>19.257751974225172</v>
      </c>
      <c r="J522">
        <f t="shared" ca="1" si="110"/>
        <v>1</v>
      </c>
      <c r="K522">
        <f t="shared" ca="1" si="111"/>
        <v>1</v>
      </c>
      <c r="L522">
        <f t="shared" ca="1" si="105"/>
        <v>0</v>
      </c>
      <c r="M522" t="str">
        <f t="shared" ca="1" si="112"/>
        <v>na</v>
      </c>
      <c r="N522" t="str">
        <f t="shared" ca="1" si="113"/>
        <v>na</v>
      </c>
    </row>
    <row r="523" spans="1:14" x14ac:dyDescent="0.2">
      <c r="A523" vm="978">
        <f ca="1"/>
        <v>45005</v>
      </c>
      <c r="B523" vm="979">
        <f ca="1"/>
        <v>27.75</v>
      </c>
      <c r="C523">
        <f t="shared" ca="1" si="114"/>
        <v>-7.0000000000000284E-2</v>
      </c>
      <c r="D523">
        <f t="shared" ca="1" si="115"/>
        <v>0</v>
      </c>
      <c r="E523">
        <f t="shared" ca="1" si="116"/>
        <v>7.0000000000000284E-2</v>
      </c>
      <c r="F523">
        <f t="shared" ca="1" si="106"/>
        <v>9.795989139916117E-2</v>
      </c>
      <c r="G523">
        <f t="shared" ca="1" si="107"/>
        <v>0.41571781683112441</v>
      </c>
      <c r="H523">
        <f t="shared" ca="1" si="108"/>
        <v>0.23564034889309321</v>
      </c>
      <c r="I523">
        <f t="shared" ca="1" si="109"/>
        <v>19.070302220559867</v>
      </c>
      <c r="J523">
        <f t="shared" ca="1" si="110"/>
        <v>1</v>
      </c>
      <c r="K523">
        <f t="shared" ca="1" si="111"/>
        <v>1</v>
      </c>
      <c r="L523">
        <f t="shared" ca="1" si="105"/>
        <v>0</v>
      </c>
      <c r="M523" t="str">
        <f t="shared" ca="1" si="112"/>
        <v>na</v>
      </c>
      <c r="N523" t="str">
        <f t="shared" ca="1" si="113"/>
        <v>na</v>
      </c>
    </row>
    <row r="524" spans="1:14" x14ac:dyDescent="0.2">
      <c r="A524" vm="980">
        <f ca="1"/>
        <v>45006</v>
      </c>
      <c r="B524" vm="981">
        <f ca="1"/>
        <v>28.59</v>
      </c>
      <c r="C524">
        <f t="shared" ca="1" si="114"/>
        <v>0.83999999999999986</v>
      </c>
      <c r="D524">
        <f t="shared" ca="1" si="115"/>
        <v>0.83999999999999986</v>
      </c>
      <c r="E524">
        <f t="shared" ca="1" si="116"/>
        <v>0</v>
      </c>
      <c r="F524">
        <f t="shared" ca="1" si="106"/>
        <v>0.15096275629922107</v>
      </c>
      <c r="G524">
        <f t="shared" ca="1" si="107"/>
        <v>0.38602368705747264</v>
      </c>
      <c r="H524">
        <f t="shared" ca="1" si="108"/>
        <v>0.39107122531769706</v>
      </c>
      <c r="I524">
        <f t="shared" ca="1" si="109"/>
        <v>28.112954836542116</v>
      </c>
      <c r="J524">
        <f t="shared" ca="1" si="110"/>
        <v>1</v>
      </c>
      <c r="K524">
        <f t="shared" ca="1" si="111"/>
        <v>1</v>
      </c>
      <c r="L524">
        <f t="shared" ca="1" si="105"/>
        <v>0</v>
      </c>
      <c r="M524" t="str">
        <f t="shared" ca="1" si="112"/>
        <v>na</v>
      </c>
      <c r="N524" t="str">
        <f t="shared" ca="1" si="113"/>
        <v>na</v>
      </c>
    </row>
    <row r="525" spans="1:14" x14ac:dyDescent="0.2">
      <c r="A525" vm="982">
        <f ca="1"/>
        <v>45007</v>
      </c>
      <c r="B525" vm="983">
        <f ca="1"/>
        <v>27.64</v>
      </c>
      <c r="C525">
        <f t="shared" ca="1" si="114"/>
        <v>-0.94999999999999929</v>
      </c>
      <c r="D525">
        <f t="shared" ca="1" si="115"/>
        <v>0</v>
      </c>
      <c r="E525">
        <f t="shared" ca="1" si="116"/>
        <v>0.94999999999999929</v>
      </c>
      <c r="F525">
        <f t="shared" ca="1" si="106"/>
        <v>0.14017970227784812</v>
      </c>
      <c r="G525">
        <f t="shared" ca="1" si="107"/>
        <v>0.42630770941051027</v>
      </c>
      <c r="H525">
        <f t="shared" ca="1" si="108"/>
        <v>0.32882281784602441</v>
      </c>
      <c r="I525">
        <f t="shared" ca="1" si="109"/>
        <v>24.745422296332535</v>
      </c>
      <c r="J525">
        <f t="shared" ca="1" si="110"/>
        <v>1</v>
      </c>
      <c r="K525">
        <f t="shared" ca="1" si="111"/>
        <v>1</v>
      </c>
      <c r="L525">
        <f t="shared" ca="1" si="105"/>
        <v>0</v>
      </c>
      <c r="M525" t="str">
        <f t="shared" ca="1" si="112"/>
        <v>na</v>
      </c>
      <c r="N525" t="str">
        <f t="shared" ca="1" si="113"/>
        <v>na</v>
      </c>
    </row>
    <row r="526" spans="1:14" x14ac:dyDescent="0.2">
      <c r="A526" vm="984">
        <f ca="1"/>
        <v>45008</v>
      </c>
      <c r="B526" vm="985">
        <f ca="1"/>
        <v>26.97</v>
      </c>
      <c r="C526">
        <f t="shared" ca="1" si="114"/>
        <v>-0.67000000000000171</v>
      </c>
      <c r="D526">
        <f t="shared" ca="1" si="115"/>
        <v>0</v>
      </c>
      <c r="E526">
        <f t="shared" ca="1" si="116"/>
        <v>0.67000000000000171</v>
      </c>
      <c r="F526">
        <f t="shared" ca="1" si="106"/>
        <v>0.13016686640085898</v>
      </c>
      <c r="G526">
        <f t="shared" ca="1" si="107"/>
        <v>0.44371430159547393</v>
      </c>
      <c r="H526">
        <f t="shared" ca="1" si="108"/>
        <v>0.29335738319187576</v>
      </c>
      <c r="I526">
        <f t="shared" ca="1" si="109"/>
        <v>22.681850121572694</v>
      </c>
      <c r="J526">
        <f t="shared" ca="1" si="110"/>
        <v>1</v>
      </c>
      <c r="K526">
        <f t="shared" ca="1" si="111"/>
        <v>1</v>
      </c>
      <c r="L526">
        <f t="shared" ca="1" si="105"/>
        <v>0</v>
      </c>
      <c r="M526" t="str">
        <f t="shared" ca="1" si="112"/>
        <v>na</v>
      </c>
      <c r="N526" t="str">
        <f t="shared" ca="1" si="113"/>
        <v>na</v>
      </c>
    </row>
    <row r="527" spans="1:14" x14ac:dyDescent="0.2">
      <c r="A527" vm="986">
        <f ca="1"/>
        <v>45009</v>
      </c>
      <c r="B527" vm="987">
        <f ca="1"/>
        <v>27.14</v>
      </c>
      <c r="C527">
        <f t="shared" ca="1" si="114"/>
        <v>0.17000000000000171</v>
      </c>
      <c r="D527">
        <f t="shared" ca="1" si="115"/>
        <v>0.17000000000000171</v>
      </c>
      <c r="E527">
        <f t="shared" ca="1" si="116"/>
        <v>0</v>
      </c>
      <c r="F527">
        <f t="shared" ca="1" si="106"/>
        <v>0.13301209022936916</v>
      </c>
      <c r="G527">
        <f t="shared" ca="1" si="107"/>
        <v>0.41202042291008295</v>
      </c>
      <c r="H527">
        <f t="shared" ca="1" si="108"/>
        <v>0.32282887651517456</v>
      </c>
      <c r="I527">
        <f t="shared" ca="1" si="109"/>
        <v>24.404432216933941</v>
      </c>
      <c r="J527">
        <f t="shared" ca="1" si="110"/>
        <v>1</v>
      </c>
      <c r="K527">
        <f t="shared" ca="1" si="111"/>
        <v>1</v>
      </c>
      <c r="L527">
        <f t="shared" ca="1" si="105"/>
        <v>0</v>
      </c>
      <c r="M527" t="str">
        <f t="shared" ca="1" si="112"/>
        <v>na</v>
      </c>
      <c r="N527" t="str">
        <f t="shared" ca="1" si="113"/>
        <v>na</v>
      </c>
    </row>
    <row r="528" spans="1:14" x14ac:dyDescent="0.2">
      <c r="A528" vm="988">
        <f ca="1"/>
        <v>45012</v>
      </c>
      <c r="B528" vm="973">
        <f ca="1"/>
        <v>28.49</v>
      </c>
      <c r="C528">
        <f t="shared" ca="1" si="114"/>
        <v>1.3499999999999979</v>
      </c>
      <c r="D528">
        <f t="shared" ca="1" si="115"/>
        <v>1.3499999999999979</v>
      </c>
      <c r="E528">
        <f t="shared" ca="1" si="116"/>
        <v>0</v>
      </c>
      <c r="F528">
        <f t="shared" ca="1" si="106"/>
        <v>0.21993979807012837</v>
      </c>
      <c r="G528">
        <f t="shared" ca="1" si="107"/>
        <v>0.38259039270221989</v>
      </c>
      <c r="H528">
        <f t="shared" ca="1" si="108"/>
        <v>0.57487015425741039</v>
      </c>
      <c r="I528">
        <f t="shared" ca="1" si="109"/>
        <v>36.502701680093473</v>
      </c>
      <c r="J528">
        <f t="shared" ca="1" si="110"/>
        <v>1</v>
      </c>
      <c r="K528">
        <f t="shared" ca="1" si="111"/>
        <v>1</v>
      </c>
      <c r="L528">
        <f t="shared" ca="1" si="105"/>
        <v>0</v>
      </c>
      <c r="M528" t="str">
        <f t="shared" ca="1" si="112"/>
        <v>na</v>
      </c>
      <c r="N528" t="str">
        <f t="shared" ca="1" si="113"/>
        <v>na</v>
      </c>
    </row>
    <row r="529" spans="1:14" x14ac:dyDescent="0.2">
      <c r="A529" vm="989">
        <f ca="1"/>
        <v>45013</v>
      </c>
      <c r="B529" vm="990">
        <f ca="1"/>
        <v>28.12</v>
      </c>
      <c r="C529">
        <f t="shared" ca="1" si="114"/>
        <v>-0.36999999999999744</v>
      </c>
      <c r="D529">
        <f t="shared" ca="1" si="115"/>
        <v>0</v>
      </c>
      <c r="E529">
        <f t="shared" ca="1" si="116"/>
        <v>0.36999999999999744</v>
      </c>
      <c r="F529">
        <f t="shared" ca="1" si="106"/>
        <v>0.20422981249369063</v>
      </c>
      <c r="G529">
        <f t="shared" ca="1" si="107"/>
        <v>0.38169107893777543</v>
      </c>
      <c r="H529">
        <f t="shared" ca="1" si="108"/>
        <v>0.53506572137355313</v>
      </c>
      <c r="I529">
        <f t="shared" ca="1" si="109"/>
        <v>34.856209341629011</v>
      </c>
      <c r="J529">
        <f t="shared" ca="1" si="110"/>
        <v>1</v>
      </c>
      <c r="K529">
        <f t="shared" ca="1" si="111"/>
        <v>1</v>
      </c>
      <c r="L529">
        <f t="shared" ca="1" si="105"/>
        <v>0</v>
      </c>
      <c r="M529" t="str">
        <f t="shared" ca="1" si="112"/>
        <v>na</v>
      </c>
      <c r="N529" t="str">
        <f t="shared" ca="1" si="113"/>
        <v>na</v>
      </c>
    </row>
    <row r="530" spans="1:14" x14ac:dyDescent="0.2">
      <c r="A530" vm="991">
        <f ca="1"/>
        <v>45014</v>
      </c>
      <c r="B530" vm="992">
        <f ca="1"/>
        <v>28.67</v>
      </c>
      <c r="C530">
        <f t="shared" ca="1" si="114"/>
        <v>0.55000000000000071</v>
      </c>
      <c r="D530">
        <f t="shared" ca="1" si="115"/>
        <v>0.55000000000000071</v>
      </c>
      <c r="E530">
        <f t="shared" ca="1" si="116"/>
        <v>0</v>
      </c>
      <c r="F530">
        <f t="shared" ca="1" si="106"/>
        <v>0.22892768302985564</v>
      </c>
      <c r="G530">
        <f t="shared" ca="1" si="107"/>
        <v>0.35442743044222003</v>
      </c>
      <c r="H530">
        <f t="shared" ca="1" si="108"/>
        <v>0.645908480458812</v>
      </c>
      <c r="I530">
        <f t="shared" ca="1" si="109"/>
        <v>39.243280420959927</v>
      </c>
      <c r="J530">
        <f t="shared" ca="1" si="110"/>
        <v>1</v>
      </c>
      <c r="K530">
        <f t="shared" ca="1" si="111"/>
        <v>1</v>
      </c>
      <c r="L530">
        <f t="shared" ca="1" si="105"/>
        <v>0</v>
      </c>
      <c r="M530" t="str">
        <f t="shared" ca="1" si="112"/>
        <v>na</v>
      </c>
      <c r="N530" t="str">
        <f t="shared" ca="1" si="113"/>
        <v>na</v>
      </c>
    </row>
    <row r="531" spans="1:14" x14ac:dyDescent="0.2">
      <c r="A531" vm="993">
        <f ca="1"/>
        <v>45015</v>
      </c>
      <c r="B531" vm="994">
        <f ca="1"/>
        <v>28.3</v>
      </c>
      <c r="C531">
        <f t="shared" ca="1" si="114"/>
        <v>-0.37000000000000099</v>
      </c>
      <c r="D531">
        <f t="shared" ca="1" si="115"/>
        <v>0</v>
      </c>
      <c r="E531">
        <f t="shared" ca="1" si="116"/>
        <v>0.37000000000000099</v>
      </c>
      <c r="F531">
        <f t="shared" ca="1" si="106"/>
        <v>0.21257570567058023</v>
      </c>
      <c r="G531">
        <f t="shared" ca="1" si="107"/>
        <v>0.35553975683920441</v>
      </c>
      <c r="H531">
        <f t="shared" ca="1" si="108"/>
        <v>0.59789573903184967</v>
      </c>
      <c r="I531">
        <f t="shared" ca="1" si="109"/>
        <v>37.417694060196276</v>
      </c>
      <c r="J531">
        <f t="shared" ca="1" si="110"/>
        <v>1</v>
      </c>
      <c r="K531">
        <f t="shared" ca="1" si="111"/>
        <v>1</v>
      </c>
      <c r="L531">
        <f t="shared" ca="1" si="105"/>
        <v>0</v>
      </c>
      <c r="M531" t="str">
        <f t="shared" ca="1" si="112"/>
        <v>na</v>
      </c>
      <c r="N531" t="str">
        <f t="shared" ca="1" si="113"/>
        <v>na</v>
      </c>
    </row>
    <row r="532" spans="1:14" x14ac:dyDescent="0.2">
      <c r="A532" vm="995">
        <f ca="1"/>
        <v>45016</v>
      </c>
      <c r="B532" vm="996">
        <f ca="1"/>
        <v>28.6</v>
      </c>
      <c r="C532">
        <f t="shared" ca="1" si="114"/>
        <v>0.30000000000000071</v>
      </c>
      <c r="D532">
        <f t="shared" ca="1" si="115"/>
        <v>0.30000000000000071</v>
      </c>
      <c r="E532">
        <f t="shared" ca="1" si="116"/>
        <v>0</v>
      </c>
      <c r="F532">
        <f t="shared" ca="1" si="106"/>
        <v>0.21882029812268169</v>
      </c>
      <c r="G532">
        <f t="shared" ca="1" si="107"/>
        <v>0.33014405992211843</v>
      </c>
      <c r="H532">
        <f t="shared" ca="1" si="108"/>
        <v>0.66280246924418929</v>
      </c>
      <c r="I532">
        <f t="shared" ca="1" si="109"/>
        <v>39.860565611588235</v>
      </c>
      <c r="J532">
        <f t="shared" ca="1" si="110"/>
        <v>1</v>
      </c>
      <c r="K532">
        <f t="shared" ca="1" si="111"/>
        <v>1</v>
      </c>
      <c r="L532">
        <f t="shared" ca="1" si="105"/>
        <v>0</v>
      </c>
      <c r="M532" t="str">
        <f t="shared" ca="1" si="112"/>
        <v>na</v>
      </c>
      <c r="N532" t="str">
        <f t="shared" ca="1" si="113"/>
        <v>na</v>
      </c>
    </row>
    <row r="533" spans="1:14" x14ac:dyDescent="0.2">
      <c r="A533" vm="997">
        <f ca="1"/>
        <v>45019</v>
      </c>
      <c r="B533" vm="981">
        <f ca="1"/>
        <v>28.59</v>
      </c>
      <c r="C533">
        <f t="shared" ca="1" si="114"/>
        <v>-1.0000000000001563E-2</v>
      </c>
      <c r="D533">
        <f t="shared" ca="1" si="115"/>
        <v>0</v>
      </c>
      <c r="E533">
        <f t="shared" ca="1" si="116"/>
        <v>1.0000000000001563E-2</v>
      </c>
      <c r="F533">
        <f t="shared" ca="1" si="106"/>
        <v>0.20319027682820442</v>
      </c>
      <c r="G533">
        <f t="shared" ca="1" si="107"/>
        <v>0.30727662707053865</v>
      </c>
      <c r="H533">
        <f t="shared" ca="1" si="108"/>
        <v>0.66126173918708075</v>
      </c>
      <c r="I533">
        <f t="shared" ca="1" si="109"/>
        <v>39.804789551745266</v>
      </c>
      <c r="J533">
        <f t="shared" ca="1" si="110"/>
        <v>1</v>
      </c>
      <c r="K533">
        <f t="shared" ca="1" si="111"/>
        <v>1</v>
      </c>
      <c r="L533">
        <f t="shared" ca="1" si="105"/>
        <v>0</v>
      </c>
      <c r="M533" t="str">
        <f t="shared" ca="1" si="112"/>
        <v>na</v>
      </c>
      <c r="N533" t="str">
        <f t="shared" ca="1" si="113"/>
        <v>na</v>
      </c>
    </row>
    <row r="534" spans="1:14" x14ac:dyDescent="0.2">
      <c r="A534" vm="998">
        <f ca="1"/>
        <v>45020</v>
      </c>
      <c r="B534" vm="999">
        <f ca="1"/>
        <v>27.98</v>
      </c>
      <c r="C534">
        <f t="shared" ca="1" si="114"/>
        <v>-0.60999999999999943</v>
      </c>
      <c r="D534">
        <f t="shared" ca="1" si="115"/>
        <v>0</v>
      </c>
      <c r="E534">
        <f t="shared" ca="1" si="116"/>
        <v>0.60999999999999943</v>
      </c>
      <c r="F534">
        <f t="shared" ca="1" si="106"/>
        <v>0.18867668562618983</v>
      </c>
      <c r="G534">
        <f t="shared" ca="1" si="107"/>
        <v>0.32889972513692872</v>
      </c>
      <c r="H534">
        <f t="shared" ca="1" si="108"/>
        <v>0.57366021071510254</v>
      </c>
      <c r="I534">
        <f t="shared" ca="1" si="109"/>
        <v>36.45388037449456</v>
      </c>
      <c r="J534">
        <f t="shared" ca="1" si="110"/>
        <v>1</v>
      </c>
      <c r="K534">
        <f t="shared" ca="1" si="111"/>
        <v>1</v>
      </c>
      <c r="L534">
        <f t="shared" ref="L534:L597" ca="1" si="117">IF(I534&gt;$C$3,1,0)</f>
        <v>0</v>
      </c>
      <c r="M534" t="str">
        <f t="shared" ca="1" si="112"/>
        <v>na</v>
      </c>
      <c r="N534" t="str">
        <f t="shared" ca="1" si="113"/>
        <v>na</v>
      </c>
    </row>
    <row r="535" spans="1:14" x14ac:dyDescent="0.2">
      <c r="A535" vm="1000">
        <f ca="1"/>
        <v>45021</v>
      </c>
      <c r="B535" vm="983">
        <f ca="1"/>
        <v>27.64</v>
      </c>
      <c r="C535">
        <f t="shared" ca="1" si="114"/>
        <v>-0.33999999999999986</v>
      </c>
      <c r="D535">
        <f t="shared" ca="1" si="115"/>
        <v>0</v>
      </c>
      <c r="E535">
        <f t="shared" ca="1" si="116"/>
        <v>0.33999999999999986</v>
      </c>
      <c r="F535">
        <f t="shared" ref="F535:F598" ca="1" si="118">((F534*13)+D535)/14</f>
        <v>0.17519977951003343</v>
      </c>
      <c r="G535">
        <f t="shared" ref="G535:G598" ca="1" si="119">((G534*13)+E535)/14</f>
        <v>0.32969260191286237</v>
      </c>
      <c r="H535">
        <f t="shared" ref="H535:H598" ca="1" si="120">AVERAGE(F535/G535)</f>
        <v>0.53140343002400359</v>
      </c>
      <c r="I535">
        <f t="shared" ref="I535:I598" ca="1" si="121">IF(G535=0,100,100-(100/(1+H535)))</f>
        <v>34.700420516602492</v>
      </c>
      <c r="J535">
        <f t="shared" ca="1" si="110"/>
        <v>1</v>
      </c>
      <c r="K535">
        <f t="shared" ca="1" si="111"/>
        <v>1</v>
      </c>
      <c r="L535">
        <f t="shared" ca="1" si="117"/>
        <v>0</v>
      </c>
      <c r="M535" t="str">
        <f t="shared" ca="1" si="112"/>
        <v>na</v>
      </c>
      <c r="N535" t="str">
        <f t="shared" ca="1" si="113"/>
        <v>na</v>
      </c>
    </row>
    <row r="536" spans="1:14" x14ac:dyDescent="0.2">
      <c r="A536" vm="1001">
        <f ca="1"/>
        <v>45022</v>
      </c>
      <c r="B536" vm="1002">
        <f ca="1"/>
        <v>27.84</v>
      </c>
      <c r="C536">
        <f t="shared" ca="1" si="114"/>
        <v>0.19999999999999929</v>
      </c>
      <c r="D536">
        <f t="shared" ca="1" si="115"/>
        <v>0.19999999999999929</v>
      </c>
      <c r="E536">
        <f t="shared" ca="1" si="116"/>
        <v>0</v>
      </c>
      <c r="F536">
        <f t="shared" ca="1" si="118"/>
        <v>0.17697122383074529</v>
      </c>
      <c r="G536">
        <f t="shared" ca="1" si="119"/>
        <v>0.30614313034765794</v>
      </c>
      <c r="H536">
        <f t="shared" ca="1" si="120"/>
        <v>0.57806694414398818</v>
      </c>
      <c r="I536">
        <f t="shared" ca="1" si="121"/>
        <v>36.631332168075836</v>
      </c>
      <c r="J536">
        <f t="shared" ref="J536:J599" ca="1" si="122">IF(K536=1,1,IF(L536=1,0,IF(J535=1,1,0)))</f>
        <v>1</v>
      </c>
      <c r="K536">
        <f t="shared" ref="K536:K599" ca="1" si="123">IF(I536&lt;$B$3,1,0)</f>
        <v>1</v>
      </c>
      <c r="L536">
        <f t="shared" ca="1" si="117"/>
        <v>0</v>
      </c>
      <c r="M536" t="str">
        <f t="shared" ref="M536:M599" ca="1" si="124">IF(AND(K536=1,J535=0),B536,"na")</f>
        <v>na</v>
      </c>
      <c r="N536" t="str">
        <f t="shared" ref="N536:N599" ca="1" si="125">IF(AND(L536=1,J535=1),B536,"na")</f>
        <v>na</v>
      </c>
    </row>
    <row r="537" spans="1:14" x14ac:dyDescent="0.2">
      <c r="A537" vm="1003">
        <f ca="1"/>
        <v>45026</v>
      </c>
      <c r="B537" vm="1004">
        <f ca="1"/>
        <v>27.94</v>
      </c>
      <c r="C537">
        <f t="shared" ca="1" si="114"/>
        <v>0.10000000000000142</v>
      </c>
      <c r="D537">
        <f t="shared" ca="1" si="115"/>
        <v>0.10000000000000142</v>
      </c>
      <c r="E537">
        <f t="shared" ca="1" si="116"/>
        <v>0</v>
      </c>
      <c r="F537">
        <f t="shared" ca="1" si="118"/>
        <v>0.17147327927140643</v>
      </c>
      <c r="G537">
        <f t="shared" ca="1" si="119"/>
        <v>0.2842757638942538</v>
      </c>
      <c r="H537">
        <f t="shared" ca="1" si="120"/>
        <v>0.6031934517470573</v>
      </c>
      <c r="I537">
        <f t="shared" ca="1" si="121"/>
        <v>37.624495726934001</v>
      </c>
      <c r="J537">
        <f t="shared" ca="1" si="122"/>
        <v>1</v>
      </c>
      <c r="K537">
        <f t="shared" ca="1" si="123"/>
        <v>1</v>
      </c>
      <c r="L537">
        <f t="shared" ca="1" si="117"/>
        <v>0</v>
      </c>
      <c r="M537" t="str">
        <f t="shared" ca="1" si="124"/>
        <v>na</v>
      </c>
      <c r="N537" t="str">
        <f t="shared" ca="1" si="125"/>
        <v>na</v>
      </c>
    </row>
    <row r="538" spans="1:14" x14ac:dyDescent="0.2">
      <c r="A538" vm="1005">
        <f ca="1"/>
        <v>45027</v>
      </c>
      <c r="B538" vm="1006">
        <f ca="1"/>
        <v>28.71</v>
      </c>
      <c r="C538">
        <f t="shared" ca="1" si="114"/>
        <v>0.76999999999999957</v>
      </c>
      <c r="D538">
        <f t="shared" ca="1" si="115"/>
        <v>0.76999999999999957</v>
      </c>
      <c r="E538">
        <f t="shared" ca="1" si="116"/>
        <v>0</v>
      </c>
      <c r="F538">
        <f t="shared" ca="1" si="118"/>
        <v>0.21422518789487738</v>
      </c>
      <c r="G538">
        <f t="shared" ca="1" si="119"/>
        <v>0.26397035218752135</v>
      </c>
      <c r="H538">
        <f t="shared" ca="1" si="120"/>
        <v>0.81155018402481194</v>
      </c>
      <c r="I538">
        <f t="shared" ca="1" si="121"/>
        <v>44.798658694718029</v>
      </c>
      <c r="J538">
        <f t="shared" ca="1" si="122"/>
        <v>1</v>
      </c>
      <c r="K538">
        <f t="shared" ca="1" si="123"/>
        <v>0</v>
      </c>
      <c r="L538">
        <f t="shared" ca="1" si="117"/>
        <v>0</v>
      </c>
      <c r="M538" t="str">
        <f t="shared" ca="1" si="124"/>
        <v>na</v>
      </c>
      <c r="N538" t="str">
        <f t="shared" ca="1" si="125"/>
        <v>na</v>
      </c>
    </row>
    <row r="539" spans="1:14" x14ac:dyDescent="0.2">
      <c r="A539" vm="1007">
        <f ca="1"/>
        <v>45028</v>
      </c>
      <c r="B539" vm="1008">
        <f ca="1"/>
        <v>28.48</v>
      </c>
      <c r="C539">
        <f t="shared" ca="1" si="114"/>
        <v>-0.23000000000000043</v>
      </c>
      <c r="D539">
        <f t="shared" ca="1" si="115"/>
        <v>0</v>
      </c>
      <c r="E539">
        <f t="shared" ca="1" si="116"/>
        <v>0.23000000000000043</v>
      </c>
      <c r="F539">
        <f t="shared" ca="1" si="118"/>
        <v>0.198923388759529</v>
      </c>
      <c r="G539">
        <f t="shared" ca="1" si="119"/>
        <v>0.26154389845984127</v>
      </c>
      <c r="H539">
        <f t="shared" ca="1" si="120"/>
        <v>0.76057361663159839</v>
      </c>
      <c r="I539">
        <f t="shared" ca="1" si="121"/>
        <v>43.200330247295142</v>
      </c>
      <c r="J539">
        <f t="shared" ca="1" si="122"/>
        <v>1</v>
      </c>
      <c r="K539">
        <f t="shared" ca="1" si="123"/>
        <v>0</v>
      </c>
      <c r="L539">
        <f t="shared" ca="1" si="117"/>
        <v>0</v>
      </c>
      <c r="M539" t="str">
        <f t="shared" ca="1" si="124"/>
        <v>na</v>
      </c>
      <c r="N539" t="str">
        <f t="shared" ca="1" si="125"/>
        <v>na</v>
      </c>
    </row>
    <row r="540" spans="1:14" x14ac:dyDescent="0.2">
      <c r="A540" vm="1009">
        <f ca="1"/>
        <v>45029</v>
      </c>
      <c r="B540" vm="1010">
        <f ca="1"/>
        <v>28.56</v>
      </c>
      <c r="C540">
        <f t="shared" ca="1" si="114"/>
        <v>7.9999999999998295E-2</v>
      </c>
      <c r="D540">
        <f t="shared" ca="1" si="115"/>
        <v>7.9999999999998295E-2</v>
      </c>
      <c r="E540">
        <f t="shared" ca="1" si="116"/>
        <v>0</v>
      </c>
      <c r="F540">
        <f t="shared" ca="1" si="118"/>
        <v>0.19042886099099107</v>
      </c>
      <c r="G540">
        <f t="shared" ca="1" si="119"/>
        <v>0.24286219142699547</v>
      </c>
      <c r="H540">
        <f t="shared" ca="1" si="120"/>
        <v>0.78410253927167628</v>
      </c>
      <c r="I540">
        <f t="shared" ca="1" si="121"/>
        <v>43.949409970111375</v>
      </c>
      <c r="J540">
        <f t="shared" ca="1" si="122"/>
        <v>1</v>
      </c>
      <c r="K540">
        <f t="shared" ca="1" si="123"/>
        <v>0</v>
      </c>
      <c r="L540">
        <f t="shared" ca="1" si="117"/>
        <v>0</v>
      </c>
      <c r="M540" t="str">
        <f t="shared" ca="1" si="124"/>
        <v>na</v>
      </c>
      <c r="N540" t="str">
        <f t="shared" ca="1" si="125"/>
        <v>na</v>
      </c>
    </row>
    <row r="541" spans="1:14" x14ac:dyDescent="0.2">
      <c r="A541" vm="1011">
        <f ca="1"/>
        <v>45030</v>
      </c>
      <c r="B541" vm="1012">
        <f ca="1"/>
        <v>29.52</v>
      </c>
      <c r="C541">
        <f t="shared" ca="1" si="114"/>
        <v>0.96000000000000085</v>
      </c>
      <c r="D541">
        <f t="shared" ca="1" si="115"/>
        <v>0.96000000000000085</v>
      </c>
      <c r="E541">
        <f t="shared" ca="1" si="116"/>
        <v>0</v>
      </c>
      <c r="F541">
        <f t="shared" ca="1" si="118"/>
        <v>0.24539822806306319</v>
      </c>
      <c r="G541">
        <f t="shared" ca="1" si="119"/>
        <v>0.22551489203935296</v>
      </c>
      <c r="H541">
        <f t="shared" ca="1" si="120"/>
        <v>1.0881686164665372</v>
      </c>
      <c r="I541">
        <f t="shared" ca="1" si="121"/>
        <v>52.111146958422594</v>
      </c>
      <c r="J541">
        <f t="shared" ca="1" si="122"/>
        <v>1</v>
      </c>
      <c r="K541">
        <f t="shared" ca="1" si="123"/>
        <v>0</v>
      </c>
      <c r="L541">
        <f t="shared" ca="1" si="117"/>
        <v>0</v>
      </c>
      <c r="M541" t="str">
        <f t="shared" ca="1" si="124"/>
        <v>na</v>
      </c>
      <c r="N541" t="str">
        <f t="shared" ca="1" si="125"/>
        <v>na</v>
      </c>
    </row>
    <row r="542" spans="1:14" x14ac:dyDescent="0.2">
      <c r="A542" vm="1013">
        <f ca="1"/>
        <v>45033</v>
      </c>
      <c r="B542" vm="1014">
        <f ca="1"/>
        <v>30.37</v>
      </c>
      <c r="C542">
        <f t="shared" ca="1" si="114"/>
        <v>0.85000000000000142</v>
      </c>
      <c r="D542">
        <f t="shared" ca="1" si="115"/>
        <v>0.85000000000000142</v>
      </c>
      <c r="E542">
        <f t="shared" ca="1" si="116"/>
        <v>0</v>
      </c>
      <c r="F542">
        <f t="shared" ca="1" si="118"/>
        <v>0.28858406891570165</v>
      </c>
      <c r="G542">
        <f t="shared" ca="1" si="119"/>
        <v>0.20940668546511348</v>
      </c>
      <c r="H542">
        <f t="shared" ca="1" si="120"/>
        <v>1.3781034176379192</v>
      </c>
      <c r="I542">
        <f t="shared" ca="1" si="121"/>
        <v>57.949684080885667</v>
      </c>
      <c r="J542">
        <f t="shared" ca="1" si="122"/>
        <v>1</v>
      </c>
      <c r="K542">
        <f t="shared" ca="1" si="123"/>
        <v>0</v>
      </c>
      <c r="L542">
        <f t="shared" ca="1" si="117"/>
        <v>0</v>
      </c>
      <c r="M542" t="str">
        <f t="shared" ca="1" si="124"/>
        <v>na</v>
      </c>
      <c r="N542" t="str">
        <f t="shared" ca="1" si="125"/>
        <v>na</v>
      </c>
    </row>
    <row r="543" spans="1:14" x14ac:dyDescent="0.2">
      <c r="A543" vm="1015">
        <f ca="1"/>
        <v>45034</v>
      </c>
      <c r="B543" vm="1016">
        <f ca="1"/>
        <v>30.56</v>
      </c>
      <c r="C543">
        <f t="shared" ca="1" si="114"/>
        <v>0.18999999999999773</v>
      </c>
      <c r="D543">
        <f t="shared" ca="1" si="115"/>
        <v>0.18999999999999773</v>
      </c>
      <c r="E543">
        <f t="shared" ca="1" si="116"/>
        <v>0</v>
      </c>
      <c r="F543">
        <f t="shared" ca="1" si="118"/>
        <v>0.28154234970743708</v>
      </c>
      <c r="G543">
        <f t="shared" ca="1" si="119"/>
        <v>0.19444906507474821</v>
      </c>
      <c r="H543">
        <f t="shared" ca="1" si="120"/>
        <v>1.4478976774674093</v>
      </c>
      <c r="I543">
        <f t="shared" ca="1" si="121"/>
        <v>59.148619274209281</v>
      </c>
      <c r="J543">
        <f t="shared" ca="1" si="122"/>
        <v>1</v>
      </c>
      <c r="K543">
        <f t="shared" ca="1" si="123"/>
        <v>0</v>
      </c>
      <c r="L543">
        <f t="shared" ca="1" si="117"/>
        <v>0</v>
      </c>
      <c r="M543" t="str">
        <f t="shared" ca="1" si="124"/>
        <v>na</v>
      </c>
      <c r="N543" t="str">
        <f t="shared" ca="1" si="125"/>
        <v>na</v>
      </c>
    </row>
    <row r="544" spans="1:14" x14ac:dyDescent="0.2">
      <c r="A544" vm="1017">
        <f ca="1"/>
        <v>45035</v>
      </c>
      <c r="B544" vm="1018">
        <f ca="1"/>
        <v>30.06</v>
      </c>
      <c r="C544">
        <f t="shared" ca="1" si="114"/>
        <v>-0.5</v>
      </c>
      <c r="D544">
        <f t="shared" ca="1" si="115"/>
        <v>0</v>
      </c>
      <c r="E544">
        <f t="shared" ca="1" si="116"/>
        <v>0.5</v>
      </c>
      <c r="F544">
        <f t="shared" ca="1" si="118"/>
        <v>0.2614321818711916</v>
      </c>
      <c r="G544">
        <f t="shared" ca="1" si="119"/>
        <v>0.21627413185512334</v>
      </c>
      <c r="H544">
        <f t="shared" ca="1" si="120"/>
        <v>1.2088000521778468</v>
      </c>
      <c r="I544">
        <f t="shared" ca="1" si="121"/>
        <v>54.726549421528063</v>
      </c>
      <c r="J544">
        <f t="shared" ca="1" si="122"/>
        <v>1</v>
      </c>
      <c r="K544">
        <f t="shared" ca="1" si="123"/>
        <v>0</v>
      </c>
      <c r="L544">
        <f t="shared" ca="1" si="117"/>
        <v>0</v>
      </c>
      <c r="M544" t="str">
        <f t="shared" ca="1" si="124"/>
        <v>na</v>
      </c>
      <c r="N544" t="str">
        <f t="shared" ca="1" si="125"/>
        <v>na</v>
      </c>
    </row>
    <row r="545" spans="1:14" x14ac:dyDescent="0.2">
      <c r="A545" vm="1019">
        <f ca="1"/>
        <v>45036</v>
      </c>
      <c r="B545" vm="1020">
        <f ca="1"/>
        <v>29.9</v>
      </c>
      <c r="C545">
        <f t="shared" ca="1" si="114"/>
        <v>-0.16000000000000014</v>
      </c>
      <c r="D545">
        <f t="shared" ca="1" si="115"/>
        <v>0</v>
      </c>
      <c r="E545">
        <f t="shared" ca="1" si="116"/>
        <v>0.16000000000000014</v>
      </c>
      <c r="F545">
        <f t="shared" ca="1" si="118"/>
        <v>0.24275845459467793</v>
      </c>
      <c r="G545">
        <f t="shared" ca="1" si="119"/>
        <v>0.21225455100832885</v>
      </c>
      <c r="H545">
        <f t="shared" ca="1" si="120"/>
        <v>1.1437137787691163</v>
      </c>
      <c r="I545">
        <f t="shared" ca="1" si="121"/>
        <v>53.351981505003764</v>
      </c>
      <c r="J545">
        <f t="shared" ca="1" si="122"/>
        <v>1</v>
      </c>
      <c r="K545">
        <f t="shared" ca="1" si="123"/>
        <v>0</v>
      </c>
      <c r="L545">
        <f t="shared" ca="1" si="117"/>
        <v>0</v>
      </c>
      <c r="M545" t="str">
        <f t="shared" ca="1" si="124"/>
        <v>na</v>
      </c>
      <c r="N545" t="str">
        <f t="shared" ca="1" si="125"/>
        <v>na</v>
      </c>
    </row>
    <row r="546" spans="1:14" x14ac:dyDescent="0.2">
      <c r="A546" vm="1021">
        <f ca="1"/>
        <v>45037</v>
      </c>
      <c r="B546" vm="1022">
        <f ca="1"/>
        <v>29.87</v>
      </c>
      <c r="C546">
        <f t="shared" ca="1" si="114"/>
        <v>-2.9999999999997584E-2</v>
      </c>
      <c r="D546">
        <f t="shared" ca="1" si="115"/>
        <v>0</v>
      </c>
      <c r="E546">
        <f t="shared" ca="1" si="116"/>
        <v>2.9999999999997584E-2</v>
      </c>
      <c r="F546">
        <f t="shared" ca="1" si="118"/>
        <v>0.22541856498077234</v>
      </c>
      <c r="G546">
        <f t="shared" ca="1" si="119"/>
        <v>0.19923636879344803</v>
      </c>
      <c r="H546">
        <f t="shared" ca="1" si="120"/>
        <v>1.1314127352645533</v>
      </c>
      <c r="I546">
        <f t="shared" ca="1" si="121"/>
        <v>53.082761332197876</v>
      </c>
      <c r="J546">
        <f t="shared" ca="1" si="122"/>
        <v>1</v>
      </c>
      <c r="K546">
        <f t="shared" ca="1" si="123"/>
        <v>0</v>
      </c>
      <c r="L546">
        <f t="shared" ca="1" si="117"/>
        <v>0</v>
      </c>
      <c r="M546" t="str">
        <f t="shared" ca="1" si="124"/>
        <v>na</v>
      </c>
      <c r="N546" t="str">
        <f t="shared" ca="1" si="125"/>
        <v>na</v>
      </c>
    </row>
    <row r="547" spans="1:14" x14ac:dyDescent="0.2">
      <c r="A547" vm="1023">
        <f ca="1"/>
        <v>45040</v>
      </c>
      <c r="B547" vm="1024">
        <f ca="1"/>
        <v>29.76</v>
      </c>
      <c r="C547">
        <f t="shared" ca="1" si="114"/>
        <v>-0.10999999999999943</v>
      </c>
      <c r="D547">
        <f t="shared" ca="1" si="115"/>
        <v>0</v>
      </c>
      <c r="E547">
        <f t="shared" ca="1" si="116"/>
        <v>0.10999999999999943</v>
      </c>
      <c r="F547">
        <f t="shared" ca="1" si="118"/>
        <v>0.20931723891071718</v>
      </c>
      <c r="G547">
        <f t="shared" ca="1" si="119"/>
        <v>0.19286234245105885</v>
      </c>
      <c r="H547">
        <f t="shared" ca="1" si="120"/>
        <v>1.0853193850626073</v>
      </c>
      <c r="I547">
        <f t="shared" ca="1" si="121"/>
        <v>52.045715051463105</v>
      </c>
      <c r="J547">
        <f t="shared" ca="1" si="122"/>
        <v>1</v>
      </c>
      <c r="K547">
        <f t="shared" ca="1" si="123"/>
        <v>0</v>
      </c>
      <c r="L547">
        <f t="shared" ca="1" si="117"/>
        <v>0</v>
      </c>
      <c r="M547" t="str">
        <f t="shared" ca="1" si="124"/>
        <v>na</v>
      </c>
      <c r="N547" t="str">
        <f t="shared" ca="1" si="125"/>
        <v>na</v>
      </c>
    </row>
    <row r="548" spans="1:14" x14ac:dyDescent="0.2">
      <c r="A548" vm="1025">
        <f ca="1"/>
        <v>45041</v>
      </c>
      <c r="B548" vm="1026">
        <f ca="1"/>
        <v>28.84</v>
      </c>
      <c r="C548">
        <f t="shared" ca="1" si="114"/>
        <v>-0.92000000000000171</v>
      </c>
      <c r="D548">
        <f t="shared" ca="1" si="115"/>
        <v>0</v>
      </c>
      <c r="E548">
        <f t="shared" ca="1" si="116"/>
        <v>0.92000000000000171</v>
      </c>
      <c r="F548">
        <f t="shared" ca="1" si="118"/>
        <v>0.19436600755995168</v>
      </c>
      <c r="G548">
        <f t="shared" ca="1" si="119"/>
        <v>0.24480074656169765</v>
      </c>
      <c r="H548">
        <f t="shared" ca="1" si="120"/>
        <v>0.79397636767813207</v>
      </c>
      <c r="I548">
        <f t="shared" ca="1" si="121"/>
        <v>44.257905621451535</v>
      </c>
      <c r="J548">
        <f t="shared" ca="1" si="122"/>
        <v>1</v>
      </c>
      <c r="K548">
        <f t="shared" ca="1" si="123"/>
        <v>0</v>
      </c>
      <c r="L548">
        <f t="shared" ca="1" si="117"/>
        <v>0</v>
      </c>
      <c r="M548" t="str">
        <f t="shared" ca="1" si="124"/>
        <v>na</v>
      </c>
      <c r="N548" t="str">
        <f t="shared" ca="1" si="125"/>
        <v>na</v>
      </c>
    </row>
    <row r="549" spans="1:14" x14ac:dyDescent="0.2">
      <c r="A549" vm="1027">
        <f ca="1"/>
        <v>45042</v>
      </c>
      <c r="B549" vm="1028">
        <f ca="1"/>
        <v>28.44</v>
      </c>
      <c r="C549">
        <f t="shared" ca="1" si="114"/>
        <v>-0.39999999999999858</v>
      </c>
      <c r="D549">
        <f t="shared" ca="1" si="115"/>
        <v>0</v>
      </c>
      <c r="E549">
        <f t="shared" ca="1" si="116"/>
        <v>0.39999999999999858</v>
      </c>
      <c r="F549">
        <f t="shared" ca="1" si="118"/>
        <v>0.18048272130566942</v>
      </c>
      <c r="G549">
        <f t="shared" ca="1" si="119"/>
        <v>0.25588640752157626</v>
      </c>
      <c r="H549">
        <f t="shared" ca="1" si="120"/>
        <v>0.70532359672309353</v>
      </c>
      <c r="I549">
        <f t="shared" ca="1" si="121"/>
        <v>41.360103037243221</v>
      </c>
      <c r="J549">
        <f t="shared" ca="1" si="122"/>
        <v>1</v>
      </c>
      <c r="K549">
        <f t="shared" ca="1" si="123"/>
        <v>0</v>
      </c>
      <c r="L549">
        <f t="shared" ca="1" si="117"/>
        <v>0</v>
      </c>
      <c r="M549" t="str">
        <f t="shared" ca="1" si="124"/>
        <v>na</v>
      </c>
      <c r="N549" t="str">
        <f t="shared" ca="1" si="125"/>
        <v>na</v>
      </c>
    </row>
    <row r="550" spans="1:14" x14ac:dyDescent="0.2">
      <c r="A550" vm="1029">
        <f ca="1"/>
        <v>45043</v>
      </c>
      <c r="B550" vm="1030">
        <f ca="1"/>
        <v>28.89</v>
      </c>
      <c r="C550">
        <f t="shared" ca="1" si="114"/>
        <v>0.44999999999999929</v>
      </c>
      <c r="D550">
        <f t="shared" ca="1" si="115"/>
        <v>0.44999999999999929</v>
      </c>
      <c r="E550">
        <f t="shared" ca="1" si="116"/>
        <v>0</v>
      </c>
      <c r="F550">
        <f t="shared" ca="1" si="118"/>
        <v>0.19973395549812153</v>
      </c>
      <c r="G550">
        <f t="shared" ca="1" si="119"/>
        <v>0.2376088069843208</v>
      </c>
      <c r="H550">
        <f t="shared" ca="1" si="120"/>
        <v>0.84059996779202495</v>
      </c>
      <c r="I550">
        <f t="shared" ca="1" si="121"/>
        <v>45.669889302475902</v>
      </c>
      <c r="J550">
        <f t="shared" ca="1" si="122"/>
        <v>1</v>
      </c>
      <c r="K550">
        <f t="shared" ca="1" si="123"/>
        <v>0</v>
      </c>
      <c r="L550">
        <f t="shared" ca="1" si="117"/>
        <v>0</v>
      </c>
      <c r="M550" t="str">
        <f t="shared" ca="1" si="124"/>
        <v>na</v>
      </c>
      <c r="N550" t="str">
        <f t="shared" ca="1" si="125"/>
        <v>na</v>
      </c>
    </row>
    <row r="551" spans="1:14" x14ac:dyDescent="0.2">
      <c r="A551" vm="1031">
        <f ca="1"/>
        <v>45044</v>
      </c>
      <c r="B551" vm="1032">
        <f ca="1"/>
        <v>29.28</v>
      </c>
      <c r="C551">
        <f t="shared" ca="1" si="114"/>
        <v>0.39000000000000057</v>
      </c>
      <c r="D551">
        <f t="shared" ca="1" si="115"/>
        <v>0.39000000000000057</v>
      </c>
      <c r="E551">
        <f t="shared" ca="1" si="116"/>
        <v>0</v>
      </c>
      <c r="F551">
        <f t="shared" ca="1" si="118"/>
        <v>0.21332438724825575</v>
      </c>
      <c r="G551">
        <f t="shared" ca="1" si="119"/>
        <v>0.22063674934258359</v>
      </c>
      <c r="H551">
        <f t="shared" ca="1" si="120"/>
        <v>0.96685791412302802</v>
      </c>
      <c r="I551">
        <f t="shared" ca="1" si="121"/>
        <v>49.157486526123847</v>
      </c>
      <c r="J551">
        <f t="shared" ca="1" si="122"/>
        <v>1</v>
      </c>
      <c r="K551">
        <f t="shared" ca="1" si="123"/>
        <v>0</v>
      </c>
      <c r="L551">
        <f t="shared" ca="1" si="117"/>
        <v>0</v>
      </c>
      <c r="M551" t="str">
        <f t="shared" ca="1" si="124"/>
        <v>na</v>
      </c>
      <c r="N551" t="str">
        <f t="shared" ca="1" si="125"/>
        <v>na</v>
      </c>
    </row>
    <row r="552" spans="1:14" x14ac:dyDescent="0.2">
      <c r="A552" vm="1033">
        <f ca="1"/>
        <v>45047</v>
      </c>
      <c r="B552" vm="1034">
        <f ca="1"/>
        <v>29.04</v>
      </c>
      <c r="C552">
        <f t="shared" ca="1" si="114"/>
        <v>-0.24000000000000199</v>
      </c>
      <c r="D552">
        <f t="shared" ca="1" si="115"/>
        <v>0</v>
      </c>
      <c r="E552">
        <f t="shared" ca="1" si="116"/>
        <v>0.24000000000000199</v>
      </c>
      <c r="F552">
        <f t="shared" ca="1" si="118"/>
        <v>0.19808693101623748</v>
      </c>
      <c r="G552">
        <f t="shared" ca="1" si="119"/>
        <v>0.22201983867525632</v>
      </c>
      <c r="H552">
        <f t="shared" ca="1" si="120"/>
        <v>0.89220374268434188</v>
      </c>
      <c r="I552">
        <f t="shared" ca="1" si="121"/>
        <v>47.151568436210397</v>
      </c>
      <c r="J552">
        <f t="shared" ca="1" si="122"/>
        <v>1</v>
      </c>
      <c r="K552">
        <f t="shared" ca="1" si="123"/>
        <v>0</v>
      </c>
      <c r="L552">
        <f t="shared" ca="1" si="117"/>
        <v>0</v>
      </c>
      <c r="M552" t="str">
        <f t="shared" ca="1" si="124"/>
        <v>na</v>
      </c>
      <c r="N552" t="str">
        <f t="shared" ca="1" si="125"/>
        <v>na</v>
      </c>
    </row>
    <row r="553" spans="1:14" x14ac:dyDescent="0.2">
      <c r="A553" vm="1035">
        <f ca="1"/>
        <v>45048</v>
      </c>
      <c r="B553" vm="1036">
        <f ca="1"/>
        <v>28.16</v>
      </c>
      <c r="C553">
        <f t="shared" ca="1" si="114"/>
        <v>-0.87999999999999901</v>
      </c>
      <c r="D553">
        <f t="shared" ca="1" si="115"/>
        <v>0</v>
      </c>
      <c r="E553">
        <f t="shared" ca="1" si="116"/>
        <v>0.87999999999999901</v>
      </c>
      <c r="F553">
        <f t="shared" ca="1" si="118"/>
        <v>0.18393786451507768</v>
      </c>
      <c r="G553">
        <f t="shared" ca="1" si="119"/>
        <v>0.26901842162702366</v>
      </c>
      <c r="H553">
        <f t="shared" ca="1" si="120"/>
        <v>0.68373705935311535</v>
      </c>
      <c r="I553">
        <f t="shared" ca="1" si="121"/>
        <v>40.608303746417761</v>
      </c>
      <c r="J553">
        <f t="shared" ca="1" si="122"/>
        <v>1</v>
      </c>
      <c r="K553">
        <f t="shared" ca="1" si="123"/>
        <v>0</v>
      </c>
      <c r="L553">
        <f t="shared" ca="1" si="117"/>
        <v>0</v>
      </c>
      <c r="M553" t="str">
        <f t="shared" ca="1" si="124"/>
        <v>na</v>
      </c>
      <c r="N553" t="str">
        <f t="shared" ca="1" si="125"/>
        <v>na</v>
      </c>
    </row>
    <row r="554" spans="1:14" x14ac:dyDescent="0.2">
      <c r="A554" vm="1037">
        <f ca="1"/>
        <v>45049</v>
      </c>
      <c r="B554" vm="1038">
        <f ca="1"/>
        <v>27.86</v>
      </c>
      <c r="C554">
        <f t="shared" ca="1" si="114"/>
        <v>-0.30000000000000071</v>
      </c>
      <c r="D554">
        <f t="shared" ca="1" si="115"/>
        <v>0</v>
      </c>
      <c r="E554">
        <f t="shared" ca="1" si="116"/>
        <v>0.30000000000000071</v>
      </c>
      <c r="F554">
        <f t="shared" ca="1" si="118"/>
        <v>0.17079944562114355</v>
      </c>
      <c r="G554">
        <f t="shared" ca="1" si="119"/>
        <v>0.27123139151080772</v>
      </c>
      <c r="H554">
        <f t="shared" ca="1" si="120"/>
        <v>0.62971857597219805</v>
      </c>
      <c r="I554">
        <f t="shared" ca="1" si="121"/>
        <v>38.639712724421969</v>
      </c>
      <c r="J554">
        <f t="shared" ca="1" si="122"/>
        <v>1</v>
      </c>
      <c r="K554">
        <f t="shared" ca="1" si="123"/>
        <v>1</v>
      </c>
      <c r="L554">
        <f t="shared" ca="1" si="117"/>
        <v>0</v>
      </c>
      <c r="M554" t="str">
        <f t="shared" ca="1" si="124"/>
        <v>na</v>
      </c>
      <c r="N554" t="str">
        <f t="shared" ca="1" si="125"/>
        <v>na</v>
      </c>
    </row>
    <row r="555" spans="1:14" x14ac:dyDescent="0.2">
      <c r="A555" vm="1039">
        <f ca="1"/>
        <v>45050</v>
      </c>
      <c r="B555" vm="1040">
        <f ca="1"/>
        <v>26.99</v>
      </c>
      <c r="C555">
        <f t="shared" ca="1" si="114"/>
        <v>-0.87000000000000099</v>
      </c>
      <c r="D555">
        <f t="shared" ca="1" si="115"/>
        <v>0</v>
      </c>
      <c r="E555">
        <f t="shared" ca="1" si="116"/>
        <v>0.87000000000000099</v>
      </c>
      <c r="F555">
        <f t="shared" ca="1" si="118"/>
        <v>0.1585994852196333</v>
      </c>
      <c r="G555">
        <f t="shared" ca="1" si="119"/>
        <v>0.3140005778314644</v>
      </c>
      <c r="H555">
        <f t="shared" ca="1" si="120"/>
        <v>0.50509297248732909</v>
      </c>
      <c r="I555">
        <f t="shared" ca="1" si="121"/>
        <v>33.558921722463978</v>
      </c>
      <c r="J555">
        <f t="shared" ca="1" si="122"/>
        <v>1</v>
      </c>
      <c r="K555">
        <f t="shared" ca="1" si="123"/>
        <v>1</v>
      </c>
      <c r="L555">
        <f t="shared" ca="1" si="117"/>
        <v>0</v>
      </c>
      <c r="M555" t="str">
        <f t="shared" ca="1" si="124"/>
        <v>na</v>
      </c>
      <c r="N555" t="str">
        <f t="shared" ca="1" si="125"/>
        <v>na</v>
      </c>
    </row>
    <row r="556" spans="1:14" x14ac:dyDescent="0.2">
      <c r="A556" vm="1041">
        <f ca="1"/>
        <v>45051</v>
      </c>
      <c r="B556" vm="1042">
        <f ca="1"/>
        <v>27.71</v>
      </c>
      <c r="C556">
        <f t="shared" ca="1" si="114"/>
        <v>0.72000000000000242</v>
      </c>
      <c r="D556">
        <f t="shared" ca="1" si="115"/>
        <v>0.72000000000000242</v>
      </c>
      <c r="E556">
        <f t="shared" ca="1" si="116"/>
        <v>0</v>
      </c>
      <c r="F556">
        <f t="shared" ca="1" si="118"/>
        <v>0.19869952198965965</v>
      </c>
      <c r="G556">
        <f t="shared" ca="1" si="119"/>
        <v>0.2915719651292169</v>
      </c>
      <c r="H556">
        <f t="shared" ca="1" si="120"/>
        <v>0.6814767733297038</v>
      </c>
      <c r="I556">
        <f t="shared" ca="1" si="121"/>
        <v>40.528467840815061</v>
      </c>
      <c r="J556">
        <f t="shared" ca="1" si="122"/>
        <v>1</v>
      </c>
      <c r="K556">
        <f t="shared" ca="1" si="123"/>
        <v>0</v>
      </c>
      <c r="L556">
        <f t="shared" ca="1" si="117"/>
        <v>0</v>
      </c>
      <c r="M556" t="str">
        <f t="shared" ca="1" si="124"/>
        <v>na</v>
      </c>
      <c r="N556" t="str">
        <f t="shared" ca="1" si="125"/>
        <v>na</v>
      </c>
    </row>
    <row r="557" spans="1:14" x14ac:dyDescent="0.2">
      <c r="A557" vm="1043">
        <f ca="1"/>
        <v>45054</v>
      </c>
      <c r="B557" vm="1044">
        <f ca="1"/>
        <v>27.69</v>
      </c>
      <c r="C557">
        <f t="shared" ca="1" si="114"/>
        <v>-1.9999999999999574E-2</v>
      </c>
      <c r="D557">
        <f t="shared" ca="1" si="115"/>
        <v>0</v>
      </c>
      <c r="E557">
        <f t="shared" ca="1" si="116"/>
        <v>1.9999999999999574E-2</v>
      </c>
      <c r="F557">
        <f t="shared" ca="1" si="118"/>
        <v>0.18450669899039826</v>
      </c>
      <c r="G557">
        <f t="shared" ca="1" si="119"/>
        <v>0.27217396761998708</v>
      </c>
      <c r="H557">
        <f t="shared" ca="1" si="120"/>
        <v>0.67789987633207072</v>
      </c>
      <c r="I557">
        <f t="shared" ca="1" si="121"/>
        <v>40.401688199296856</v>
      </c>
      <c r="J557">
        <f t="shared" ca="1" si="122"/>
        <v>1</v>
      </c>
      <c r="K557">
        <f t="shared" ca="1" si="123"/>
        <v>0</v>
      </c>
      <c r="L557">
        <f t="shared" ca="1" si="117"/>
        <v>0</v>
      </c>
      <c r="M557" t="str">
        <f t="shared" ca="1" si="124"/>
        <v>na</v>
      </c>
      <c r="N557" t="str">
        <f t="shared" ca="1" si="125"/>
        <v>na</v>
      </c>
    </row>
    <row r="558" spans="1:14" x14ac:dyDescent="0.2">
      <c r="A558" vm="1045">
        <f ca="1"/>
        <v>45055</v>
      </c>
      <c r="B558" vm="1046">
        <f ca="1"/>
        <v>27.66</v>
      </c>
      <c r="C558">
        <f t="shared" ca="1" si="114"/>
        <v>-3.0000000000001137E-2</v>
      </c>
      <c r="D558">
        <f t="shared" ca="1" si="115"/>
        <v>0</v>
      </c>
      <c r="E558">
        <f t="shared" ca="1" si="116"/>
        <v>3.0000000000001137E-2</v>
      </c>
      <c r="F558">
        <f t="shared" ca="1" si="118"/>
        <v>0.17132764906251266</v>
      </c>
      <c r="G558">
        <f t="shared" ca="1" si="119"/>
        <v>0.25487582707570239</v>
      </c>
      <c r="H558">
        <f t="shared" ca="1" si="120"/>
        <v>0.67220046337162243</v>
      </c>
      <c r="I558">
        <f t="shared" ca="1" si="121"/>
        <v>40.198557415555243</v>
      </c>
      <c r="J558">
        <f t="shared" ca="1" si="122"/>
        <v>1</v>
      </c>
      <c r="K558">
        <f t="shared" ca="1" si="123"/>
        <v>0</v>
      </c>
      <c r="L558">
        <f t="shared" ca="1" si="117"/>
        <v>0</v>
      </c>
      <c r="M558" t="str">
        <f t="shared" ca="1" si="124"/>
        <v>na</v>
      </c>
      <c r="N558" t="str">
        <f t="shared" ca="1" si="125"/>
        <v>na</v>
      </c>
    </row>
    <row r="559" spans="1:14" x14ac:dyDescent="0.2">
      <c r="A559" vm="1047">
        <f ca="1"/>
        <v>45056</v>
      </c>
      <c r="B559" vm="1048">
        <f ca="1"/>
        <v>27.32</v>
      </c>
      <c r="C559">
        <f t="shared" ca="1" si="114"/>
        <v>-0.33999999999999986</v>
      </c>
      <c r="D559">
        <f t="shared" ca="1" si="115"/>
        <v>0</v>
      </c>
      <c r="E559">
        <f t="shared" ca="1" si="116"/>
        <v>0.33999999999999986</v>
      </c>
      <c r="F559">
        <f t="shared" ca="1" si="118"/>
        <v>0.15908995984376176</v>
      </c>
      <c r="G559">
        <f t="shared" ca="1" si="119"/>
        <v>0.26095612514172367</v>
      </c>
      <c r="H559">
        <f t="shared" ca="1" si="120"/>
        <v>0.60964255871503681</v>
      </c>
      <c r="I559">
        <f t="shared" ca="1" si="121"/>
        <v>37.874406054578294</v>
      </c>
      <c r="J559">
        <f t="shared" ca="1" si="122"/>
        <v>1</v>
      </c>
      <c r="K559">
        <f t="shared" ca="1" si="123"/>
        <v>1</v>
      </c>
      <c r="L559">
        <f t="shared" ca="1" si="117"/>
        <v>0</v>
      </c>
      <c r="M559" t="str">
        <f t="shared" ca="1" si="124"/>
        <v>na</v>
      </c>
      <c r="N559" t="str">
        <f t="shared" ca="1" si="125"/>
        <v>na</v>
      </c>
    </row>
    <row r="560" spans="1:14" x14ac:dyDescent="0.2">
      <c r="A560" vm="1049">
        <f ca="1"/>
        <v>45057</v>
      </c>
      <c r="B560" vm="1050">
        <f ca="1"/>
        <v>27.39</v>
      </c>
      <c r="C560">
        <f t="shared" ca="1" si="114"/>
        <v>7.0000000000000284E-2</v>
      </c>
      <c r="D560">
        <f t="shared" ca="1" si="115"/>
        <v>7.0000000000000284E-2</v>
      </c>
      <c r="E560">
        <f t="shared" ca="1" si="116"/>
        <v>0</v>
      </c>
      <c r="F560">
        <f t="shared" ca="1" si="118"/>
        <v>0.15272639128349308</v>
      </c>
      <c r="G560">
        <f t="shared" ca="1" si="119"/>
        <v>0.24231640191731482</v>
      </c>
      <c r="H560">
        <f t="shared" ca="1" si="120"/>
        <v>0.63027673766634928</v>
      </c>
      <c r="I560">
        <f t="shared" ca="1" si="121"/>
        <v>38.660720790787664</v>
      </c>
      <c r="J560">
        <f t="shared" ca="1" si="122"/>
        <v>1</v>
      </c>
      <c r="K560">
        <f t="shared" ca="1" si="123"/>
        <v>1</v>
      </c>
      <c r="L560">
        <f t="shared" ca="1" si="117"/>
        <v>0</v>
      </c>
      <c r="M560" t="str">
        <f t="shared" ca="1" si="124"/>
        <v>na</v>
      </c>
      <c r="N560" t="str">
        <f t="shared" ca="1" si="125"/>
        <v>na</v>
      </c>
    </row>
    <row r="561" spans="1:14" x14ac:dyDescent="0.2">
      <c r="A561" vm="1051">
        <f ca="1"/>
        <v>45058</v>
      </c>
      <c r="B561" vm="1052">
        <f ca="1"/>
        <v>27.09</v>
      </c>
      <c r="C561">
        <f t="shared" ca="1" si="114"/>
        <v>-0.30000000000000071</v>
      </c>
      <c r="D561">
        <f t="shared" ca="1" si="115"/>
        <v>0</v>
      </c>
      <c r="E561">
        <f t="shared" ca="1" si="116"/>
        <v>0.30000000000000071</v>
      </c>
      <c r="F561">
        <f t="shared" ca="1" si="118"/>
        <v>0.14181736333467215</v>
      </c>
      <c r="G561">
        <f t="shared" ca="1" si="119"/>
        <v>0.24643665892322095</v>
      </c>
      <c r="H561">
        <f t="shared" ca="1" si="120"/>
        <v>0.57547186345703683</v>
      </c>
      <c r="I561">
        <f t="shared" ca="1" si="121"/>
        <v>36.526952769203163</v>
      </c>
      <c r="J561">
        <f t="shared" ca="1" si="122"/>
        <v>1</v>
      </c>
      <c r="K561">
        <f t="shared" ca="1" si="123"/>
        <v>1</v>
      </c>
      <c r="L561">
        <f t="shared" ca="1" si="117"/>
        <v>0</v>
      </c>
      <c r="M561" t="str">
        <f t="shared" ca="1" si="124"/>
        <v>na</v>
      </c>
      <c r="N561" t="str">
        <f t="shared" ca="1" si="125"/>
        <v>na</v>
      </c>
    </row>
    <row r="562" spans="1:14" x14ac:dyDescent="0.2">
      <c r="A562" vm="1053">
        <f ca="1"/>
        <v>45061</v>
      </c>
      <c r="B562" vm="1054">
        <f ca="1"/>
        <v>27.65</v>
      </c>
      <c r="C562">
        <f t="shared" ca="1" si="114"/>
        <v>0.55999999999999872</v>
      </c>
      <c r="D562">
        <f t="shared" ca="1" si="115"/>
        <v>0.55999999999999872</v>
      </c>
      <c r="E562">
        <f t="shared" ca="1" si="116"/>
        <v>0</v>
      </c>
      <c r="F562">
        <f t="shared" ca="1" si="118"/>
        <v>0.17168755166790975</v>
      </c>
      <c r="G562">
        <f t="shared" ca="1" si="119"/>
        <v>0.22883404042870517</v>
      </c>
      <c r="H562">
        <f t="shared" ca="1" si="120"/>
        <v>0.75027103199447376</v>
      </c>
      <c r="I562">
        <f t="shared" ca="1" si="121"/>
        <v>42.865991511013178</v>
      </c>
      <c r="J562">
        <f t="shared" ca="1" si="122"/>
        <v>1</v>
      </c>
      <c r="K562">
        <f t="shared" ca="1" si="123"/>
        <v>0</v>
      </c>
      <c r="L562">
        <f t="shared" ca="1" si="117"/>
        <v>0</v>
      </c>
      <c r="M562" t="str">
        <f t="shared" ca="1" si="124"/>
        <v>na</v>
      </c>
      <c r="N562" t="str">
        <f t="shared" ca="1" si="125"/>
        <v>na</v>
      </c>
    </row>
    <row r="563" spans="1:14" x14ac:dyDescent="0.2">
      <c r="A563" vm="1055">
        <f ca="1"/>
        <v>45062</v>
      </c>
      <c r="B563" vm="1056">
        <f ca="1"/>
        <v>27.36</v>
      </c>
      <c r="C563">
        <f t="shared" ca="1" si="114"/>
        <v>-0.28999999999999915</v>
      </c>
      <c r="D563">
        <f t="shared" ca="1" si="115"/>
        <v>0</v>
      </c>
      <c r="E563">
        <f t="shared" ca="1" si="116"/>
        <v>0.28999999999999915</v>
      </c>
      <c r="F563">
        <f t="shared" ca="1" si="118"/>
        <v>0.15942415512020189</v>
      </c>
      <c r="G563">
        <f t="shared" ca="1" si="119"/>
        <v>0.23320303754094046</v>
      </c>
      <c r="H563">
        <f t="shared" ca="1" si="120"/>
        <v>0.683628124235791</v>
      </c>
      <c r="I563">
        <f t="shared" ca="1" si="121"/>
        <v>40.604460949242814</v>
      </c>
      <c r="J563">
        <f t="shared" ca="1" si="122"/>
        <v>1</v>
      </c>
      <c r="K563">
        <f t="shared" ca="1" si="123"/>
        <v>0</v>
      </c>
      <c r="L563">
        <f t="shared" ca="1" si="117"/>
        <v>0</v>
      </c>
      <c r="M563" t="str">
        <f t="shared" ca="1" si="124"/>
        <v>na</v>
      </c>
      <c r="N563" t="str">
        <f t="shared" ca="1" si="125"/>
        <v>na</v>
      </c>
    </row>
    <row r="564" spans="1:14" x14ac:dyDescent="0.2">
      <c r="A564" vm="1057">
        <f ca="1"/>
        <v>45063</v>
      </c>
      <c r="B564" vm="1058">
        <f ca="1"/>
        <v>28.57</v>
      </c>
      <c r="C564">
        <f t="shared" ca="1" si="114"/>
        <v>1.2100000000000009</v>
      </c>
      <c r="D564">
        <f t="shared" ca="1" si="115"/>
        <v>1.2100000000000009</v>
      </c>
      <c r="E564">
        <f t="shared" ca="1" si="116"/>
        <v>0</v>
      </c>
      <c r="F564">
        <f t="shared" ca="1" si="118"/>
        <v>0.2344652868973304</v>
      </c>
      <c r="G564">
        <f t="shared" ca="1" si="119"/>
        <v>0.21654567771658756</v>
      </c>
      <c r="H564">
        <f t="shared" ca="1" si="120"/>
        <v>1.0827520981702337</v>
      </c>
      <c r="I564">
        <f t="shared" ca="1" si="121"/>
        <v>51.986604604622279</v>
      </c>
      <c r="J564">
        <f t="shared" ca="1" si="122"/>
        <v>1</v>
      </c>
      <c r="K564">
        <f t="shared" ca="1" si="123"/>
        <v>0</v>
      </c>
      <c r="L564">
        <f t="shared" ca="1" si="117"/>
        <v>0</v>
      </c>
      <c r="M564" t="str">
        <f t="shared" ca="1" si="124"/>
        <v>na</v>
      </c>
      <c r="N564" t="str">
        <f t="shared" ca="1" si="125"/>
        <v>na</v>
      </c>
    </row>
    <row r="565" spans="1:14" x14ac:dyDescent="0.2">
      <c r="A565" vm="1059">
        <f ca="1"/>
        <v>45064</v>
      </c>
      <c r="B565" vm="1060">
        <f ca="1"/>
        <v>28.47</v>
      </c>
      <c r="C565">
        <f t="shared" ca="1" si="114"/>
        <v>-0.10000000000000142</v>
      </c>
      <c r="D565">
        <f t="shared" ca="1" si="115"/>
        <v>0</v>
      </c>
      <c r="E565">
        <f t="shared" ca="1" si="116"/>
        <v>0.10000000000000142</v>
      </c>
      <c r="F565">
        <f t="shared" ca="1" si="118"/>
        <v>0.21771776640466395</v>
      </c>
      <c r="G565">
        <f t="shared" ca="1" si="119"/>
        <v>0.20822098645111711</v>
      </c>
      <c r="H565">
        <f t="shared" ca="1" si="120"/>
        <v>1.0456091391910505</v>
      </c>
      <c r="I565">
        <f t="shared" ca="1" si="121"/>
        <v>51.11480581302758</v>
      </c>
      <c r="J565">
        <f t="shared" ca="1" si="122"/>
        <v>1</v>
      </c>
      <c r="K565">
        <f t="shared" ca="1" si="123"/>
        <v>0</v>
      </c>
      <c r="L565">
        <f t="shared" ca="1" si="117"/>
        <v>0</v>
      </c>
      <c r="M565" t="str">
        <f t="shared" ca="1" si="124"/>
        <v>na</v>
      </c>
      <c r="N565" t="str">
        <f t="shared" ca="1" si="125"/>
        <v>na</v>
      </c>
    </row>
    <row r="566" spans="1:14" x14ac:dyDescent="0.2">
      <c r="A566" vm="1061">
        <f ca="1"/>
        <v>45065</v>
      </c>
      <c r="B566" vm="1062">
        <f ca="1"/>
        <v>28.11</v>
      </c>
      <c r="C566">
        <f t="shared" ca="1" si="114"/>
        <v>-0.35999999999999943</v>
      </c>
      <c r="D566">
        <f t="shared" ca="1" si="115"/>
        <v>0</v>
      </c>
      <c r="E566">
        <f t="shared" ca="1" si="116"/>
        <v>0.35999999999999943</v>
      </c>
      <c r="F566">
        <f t="shared" ca="1" si="118"/>
        <v>0.20216649737575937</v>
      </c>
      <c r="G566">
        <f t="shared" ca="1" si="119"/>
        <v>0.21906234456175158</v>
      </c>
      <c r="H566">
        <f t="shared" ca="1" si="120"/>
        <v>0.92287196953089567</v>
      </c>
      <c r="I566">
        <f t="shared" ca="1" si="121"/>
        <v>47.994457465415124</v>
      </c>
      <c r="J566">
        <f t="shared" ca="1" si="122"/>
        <v>1</v>
      </c>
      <c r="K566">
        <f t="shared" ca="1" si="123"/>
        <v>0</v>
      </c>
      <c r="L566">
        <f t="shared" ca="1" si="117"/>
        <v>0</v>
      </c>
      <c r="M566" t="str">
        <f t="shared" ca="1" si="124"/>
        <v>na</v>
      </c>
      <c r="N566" t="str">
        <f t="shared" ca="1" si="125"/>
        <v>na</v>
      </c>
    </row>
    <row r="567" spans="1:14" x14ac:dyDescent="0.2">
      <c r="A567" vm="1063">
        <f ca="1"/>
        <v>45068</v>
      </c>
      <c r="B567" vm="1064">
        <f ca="1"/>
        <v>28.34</v>
      </c>
      <c r="C567">
        <f t="shared" ca="1" si="114"/>
        <v>0.23000000000000043</v>
      </c>
      <c r="D567">
        <f t="shared" ca="1" si="115"/>
        <v>0.23000000000000043</v>
      </c>
      <c r="E567">
        <f t="shared" ca="1" si="116"/>
        <v>0</v>
      </c>
      <c r="F567">
        <f t="shared" ca="1" si="118"/>
        <v>0.20415460470606231</v>
      </c>
      <c r="G567">
        <f t="shared" ca="1" si="119"/>
        <v>0.2034150342359122</v>
      </c>
      <c r="H567">
        <f t="shared" ca="1" si="120"/>
        <v>1.0036357709395873</v>
      </c>
      <c r="I567">
        <f t="shared" ca="1" si="121"/>
        <v>50.090729337944552</v>
      </c>
      <c r="J567">
        <f t="shared" ca="1" si="122"/>
        <v>1</v>
      </c>
      <c r="K567">
        <f t="shared" ca="1" si="123"/>
        <v>0</v>
      </c>
      <c r="L567">
        <f t="shared" ca="1" si="117"/>
        <v>0</v>
      </c>
      <c r="M567" t="str">
        <f t="shared" ca="1" si="124"/>
        <v>na</v>
      </c>
      <c r="N567" t="str">
        <f t="shared" ca="1" si="125"/>
        <v>na</v>
      </c>
    </row>
    <row r="568" spans="1:14" x14ac:dyDescent="0.2">
      <c r="A568" vm="1065">
        <f ca="1"/>
        <v>45069</v>
      </c>
      <c r="B568" vm="1066">
        <f ca="1"/>
        <v>28.58</v>
      </c>
      <c r="C568">
        <f t="shared" ca="1" si="114"/>
        <v>0.23999999999999844</v>
      </c>
      <c r="D568">
        <f t="shared" ca="1" si="115"/>
        <v>0.23999999999999844</v>
      </c>
      <c r="E568">
        <f t="shared" ca="1" si="116"/>
        <v>0</v>
      </c>
      <c r="F568">
        <f t="shared" ca="1" si="118"/>
        <v>0.20671499008420061</v>
      </c>
      <c r="G568">
        <f t="shared" ca="1" si="119"/>
        <v>0.18888538893334705</v>
      </c>
      <c r="H568">
        <f t="shared" ca="1" si="120"/>
        <v>1.0943937551312939</v>
      </c>
      <c r="I568">
        <f t="shared" ca="1" si="121"/>
        <v>52.253486358523261</v>
      </c>
      <c r="J568">
        <f t="shared" ca="1" si="122"/>
        <v>1</v>
      </c>
      <c r="K568">
        <f t="shared" ca="1" si="123"/>
        <v>0</v>
      </c>
      <c r="L568">
        <f t="shared" ca="1" si="117"/>
        <v>0</v>
      </c>
      <c r="M568" t="str">
        <f t="shared" ca="1" si="124"/>
        <v>na</v>
      </c>
      <c r="N568" t="str">
        <f t="shared" ca="1" si="125"/>
        <v>na</v>
      </c>
    </row>
    <row r="569" spans="1:14" x14ac:dyDescent="0.2">
      <c r="A569" vm="1067">
        <f ca="1"/>
        <v>45070</v>
      </c>
      <c r="B569" vm="1068">
        <f ca="1"/>
        <v>28.1</v>
      </c>
      <c r="C569">
        <f t="shared" ca="1" si="114"/>
        <v>-0.47999999999999687</v>
      </c>
      <c r="D569">
        <f t="shared" ca="1" si="115"/>
        <v>0</v>
      </c>
      <c r="E569">
        <f t="shared" ca="1" si="116"/>
        <v>0.47999999999999687</v>
      </c>
      <c r="F569">
        <f t="shared" ca="1" si="118"/>
        <v>0.19194963364961487</v>
      </c>
      <c r="G569">
        <f t="shared" ca="1" si="119"/>
        <v>0.20967928972382202</v>
      </c>
      <c r="H569">
        <f t="shared" ca="1" si="120"/>
        <v>0.91544393298184257</v>
      </c>
      <c r="I569">
        <f t="shared" ca="1" si="121"/>
        <v>47.792781465377438</v>
      </c>
      <c r="J569">
        <f t="shared" ca="1" si="122"/>
        <v>1</v>
      </c>
      <c r="K569">
        <f t="shared" ca="1" si="123"/>
        <v>0</v>
      </c>
      <c r="L569">
        <f t="shared" ca="1" si="117"/>
        <v>0</v>
      </c>
      <c r="M569" t="str">
        <f t="shared" ca="1" si="124"/>
        <v>na</v>
      </c>
      <c r="N569" t="str">
        <f t="shared" ca="1" si="125"/>
        <v>na</v>
      </c>
    </row>
    <row r="570" spans="1:14" x14ac:dyDescent="0.2">
      <c r="A570" vm="1069">
        <f ca="1"/>
        <v>45071</v>
      </c>
      <c r="B570" vm="1070">
        <f ca="1"/>
        <v>28.17</v>
      </c>
      <c r="C570">
        <f t="shared" ca="1" si="114"/>
        <v>7.0000000000000284E-2</v>
      </c>
      <c r="D570">
        <f t="shared" ca="1" si="115"/>
        <v>7.0000000000000284E-2</v>
      </c>
      <c r="E570">
        <f t="shared" ca="1" si="116"/>
        <v>0</v>
      </c>
      <c r="F570">
        <f t="shared" ca="1" si="118"/>
        <v>0.18323894553178527</v>
      </c>
      <c r="G570">
        <f t="shared" ca="1" si="119"/>
        <v>0.19470219760069188</v>
      </c>
      <c r="H570">
        <f t="shared" ca="1" si="120"/>
        <v>0.94112417728116149</v>
      </c>
      <c r="I570">
        <f t="shared" ca="1" si="121"/>
        <v>48.483460682013067</v>
      </c>
      <c r="J570">
        <f t="shared" ca="1" si="122"/>
        <v>1</v>
      </c>
      <c r="K570">
        <f t="shared" ca="1" si="123"/>
        <v>0</v>
      </c>
      <c r="L570">
        <f t="shared" ca="1" si="117"/>
        <v>0</v>
      </c>
      <c r="M570" t="str">
        <f t="shared" ca="1" si="124"/>
        <v>na</v>
      </c>
      <c r="N570" t="str">
        <f t="shared" ca="1" si="125"/>
        <v>na</v>
      </c>
    </row>
    <row r="571" spans="1:14" x14ac:dyDescent="0.2">
      <c r="A571" vm="1071">
        <f ca="1"/>
        <v>45072</v>
      </c>
      <c r="B571" vm="1072">
        <f ca="1"/>
        <v>28.31</v>
      </c>
      <c r="C571">
        <f t="shared" ca="1" si="114"/>
        <v>0.13999999999999702</v>
      </c>
      <c r="D571">
        <f t="shared" ca="1" si="115"/>
        <v>0.13999999999999702</v>
      </c>
      <c r="E571">
        <f t="shared" ca="1" si="116"/>
        <v>0</v>
      </c>
      <c r="F571">
        <f t="shared" ca="1" si="118"/>
        <v>0.18015044942237182</v>
      </c>
      <c r="G571">
        <f t="shared" ca="1" si="119"/>
        <v>0.18079489777207103</v>
      </c>
      <c r="H571">
        <f t="shared" ca="1" si="120"/>
        <v>0.9964354726950776</v>
      </c>
      <c r="I571">
        <f t="shared" ca="1" si="121"/>
        <v>49.910727710620407</v>
      </c>
      <c r="J571">
        <f t="shared" ca="1" si="122"/>
        <v>1</v>
      </c>
      <c r="K571">
        <f t="shared" ca="1" si="123"/>
        <v>0</v>
      </c>
      <c r="L571">
        <f t="shared" ca="1" si="117"/>
        <v>0</v>
      </c>
      <c r="M571" t="str">
        <f t="shared" ca="1" si="124"/>
        <v>na</v>
      </c>
      <c r="N571" t="str">
        <f t="shared" ca="1" si="125"/>
        <v>na</v>
      </c>
    </row>
    <row r="572" spans="1:14" x14ac:dyDescent="0.2">
      <c r="A572" vm="1073">
        <f ca="1"/>
        <v>45076</v>
      </c>
      <c r="B572" vm="1074">
        <f ca="1"/>
        <v>28.26</v>
      </c>
      <c r="C572">
        <f t="shared" ca="1" si="114"/>
        <v>-4.9999999999997158E-2</v>
      </c>
      <c r="D572">
        <f t="shared" ca="1" si="115"/>
        <v>0</v>
      </c>
      <c r="E572">
        <f t="shared" ca="1" si="116"/>
        <v>4.9999999999997158E-2</v>
      </c>
      <c r="F572">
        <f t="shared" ca="1" si="118"/>
        <v>0.16728256017791668</v>
      </c>
      <c r="G572">
        <f t="shared" ca="1" si="119"/>
        <v>0.17145240507406576</v>
      </c>
      <c r="H572">
        <f t="shared" ca="1" si="120"/>
        <v>0.97567928607156174</v>
      </c>
      <c r="I572">
        <f t="shared" ca="1" si="121"/>
        <v>49.384497420712513</v>
      </c>
      <c r="J572">
        <f t="shared" ca="1" si="122"/>
        <v>1</v>
      </c>
      <c r="K572">
        <f t="shared" ca="1" si="123"/>
        <v>0</v>
      </c>
      <c r="L572">
        <f t="shared" ca="1" si="117"/>
        <v>0</v>
      </c>
      <c r="M572" t="str">
        <f t="shared" ca="1" si="124"/>
        <v>na</v>
      </c>
      <c r="N572" t="str">
        <f t="shared" ca="1" si="125"/>
        <v>na</v>
      </c>
    </row>
    <row r="573" spans="1:14" x14ac:dyDescent="0.2">
      <c r="A573" vm="1075">
        <f ca="1"/>
        <v>45077</v>
      </c>
      <c r="B573" vm="1076">
        <f ca="1"/>
        <v>27.79</v>
      </c>
      <c r="C573">
        <f t="shared" ca="1" si="114"/>
        <v>-0.47000000000000242</v>
      </c>
      <c r="D573">
        <f t="shared" ca="1" si="115"/>
        <v>0</v>
      </c>
      <c r="E573">
        <f t="shared" ca="1" si="116"/>
        <v>0.47000000000000242</v>
      </c>
      <c r="F573">
        <f t="shared" ca="1" si="118"/>
        <v>0.15533380587949405</v>
      </c>
      <c r="G573">
        <f t="shared" ca="1" si="119"/>
        <v>0.19277723328306123</v>
      </c>
      <c r="H573">
        <f t="shared" ca="1" si="120"/>
        <v>0.80576841587622672</v>
      </c>
      <c r="I573">
        <f t="shared" ca="1" si="121"/>
        <v>44.621913241584615</v>
      </c>
      <c r="J573">
        <f t="shared" ca="1" si="122"/>
        <v>1</v>
      </c>
      <c r="K573">
        <f t="shared" ca="1" si="123"/>
        <v>0</v>
      </c>
      <c r="L573">
        <f t="shared" ca="1" si="117"/>
        <v>0</v>
      </c>
      <c r="M573" t="str">
        <f t="shared" ca="1" si="124"/>
        <v>na</v>
      </c>
      <c r="N573" t="str">
        <f t="shared" ca="1" si="125"/>
        <v>na</v>
      </c>
    </row>
    <row r="574" spans="1:14" x14ac:dyDescent="0.2">
      <c r="A574" vm="1077">
        <f ca="1"/>
        <v>45078</v>
      </c>
      <c r="B574" vm="1078">
        <f ca="1"/>
        <v>27.78</v>
      </c>
      <c r="C574">
        <f t="shared" ca="1" si="114"/>
        <v>-9.9999999999980105E-3</v>
      </c>
      <c r="D574">
        <f t="shared" ca="1" si="115"/>
        <v>0</v>
      </c>
      <c r="E574">
        <f t="shared" ca="1" si="116"/>
        <v>9.9999999999980105E-3</v>
      </c>
      <c r="F574">
        <f t="shared" ca="1" si="118"/>
        <v>0.14423853403095874</v>
      </c>
      <c r="G574">
        <f t="shared" ca="1" si="119"/>
        <v>0.17972171661998529</v>
      </c>
      <c r="H574">
        <f t="shared" ca="1" si="120"/>
        <v>0.80256597112270867</v>
      </c>
      <c r="I574">
        <f t="shared" ca="1" si="121"/>
        <v>44.523528346806586</v>
      </c>
      <c r="J574">
        <f t="shared" ca="1" si="122"/>
        <v>1</v>
      </c>
      <c r="K574">
        <f t="shared" ca="1" si="123"/>
        <v>0</v>
      </c>
      <c r="L574">
        <f t="shared" ca="1" si="117"/>
        <v>0</v>
      </c>
      <c r="M574" t="str">
        <f t="shared" ca="1" si="124"/>
        <v>na</v>
      </c>
      <c r="N574" t="str">
        <f t="shared" ca="1" si="125"/>
        <v>na</v>
      </c>
    </row>
    <row r="575" spans="1:14" x14ac:dyDescent="0.2">
      <c r="A575" vm="1079">
        <f ca="1"/>
        <v>45079</v>
      </c>
      <c r="B575" vm="1006">
        <f ca="1"/>
        <v>28.71</v>
      </c>
      <c r="C575">
        <f t="shared" ca="1" si="114"/>
        <v>0.92999999999999972</v>
      </c>
      <c r="D575">
        <f t="shared" ca="1" si="115"/>
        <v>0.92999999999999972</v>
      </c>
      <c r="E575">
        <f t="shared" ca="1" si="116"/>
        <v>0</v>
      </c>
      <c r="F575">
        <f t="shared" ca="1" si="118"/>
        <v>0.20036435302874736</v>
      </c>
      <c r="G575">
        <f t="shared" ca="1" si="119"/>
        <v>0.16688445114712921</v>
      </c>
      <c r="H575">
        <f t="shared" ca="1" si="120"/>
        <v>1.2006172633309109</v>
      </c>
      <c r="I575">
        <f t="shared" ca="1" si="121"/>
        <v>54.558204342795435</v>
      </c>
      <c r="J575">
        <f t="shared" ca="1" si="122"/>
        <v>1</v>
      </c>
      <c r="K575">
        <f t="shared" ca="1" si="123"/>
        <v>0</v>
      </c>
      <c r="L575">
        <f t="shared" ca="1" si="117"/>
        <v>0</v>
      </c>
      <c r="M575" t="str">
        <f t="shared" ca="1" si="124"/>
        <v>na</v>
      </c>
      <c r="N575" t="str">
        <f t="shared" ca="1" si="125"/>
        <v>na</v>
      </c>
    </row>
    <row r="576" spans="1:14" x14ac:dyDescent="0.2">
      <c r="A576" vm="1080">
        <f ca="1"/>
        <v>45082</v>
      </c>
      <c r="B576" vm="1081">
        <f ca="1"/>
        <v>28.54</v>
      </c>
      <c r="C576">
        <f t="shared" ca="1" si="114"/>
        <v>-0.17000000000000171</v>
      </c>
      <c r="D576">
        <f t="shared" ca="1" si="115"/>
        <v>0</v>
      </c>
      <c r="E576">
        <f t="shared" ca="1" si="116"/>
        <v>0.17000000000000171</v>
      </c>
      <c r="F576">
        <f t="shared" ca="1" si="118"/>
        <v>0.18605261352669397</v>
      </c>
      <c r="G576">
        <f t="shared" ca="1" si="119"/>
        <v>0.16710699035090584</v>
      </c>
      <c r="H576">
        <f t="shared" ca="1" si="120"/>
        <v>1.1133742109531413</v>
      </c>
      <c r="I576">
        <f t="shared" ca="1" si="121"/>
        <v>52.682303265686421</v>
      </c>
      <c r="J576">
        <f t="shared" ca="1" si="122"/>
        <v>1</v>
      </c>
      <c r="K576">
        <f t="shared" ca="1" si="123"/>
        <v>0</v>
      </c>
      <c r="L576">
        <f t="shared" ca="1" si="117"/>
        <v>0</v>
      </c>
      <c r="M576" t="str">
        <f t="shared" ca="1" si="124"/>
        <v>na</v>
      </c>
      <c r="N576" t="str">
        <f t="shared" ca="1" si="125"/>
        <v>na</v>
      </c>
    </row>
    <row r="577" spans="1:14" x14ac:dyDescent="0.2">
      <c r="A577" vm="1082">
        <f ca="1"/>
        <v>45083</v>
      </c>
      <c r="B577" vm="1083">
        <f ca="1"/>
        <v>29.23</v>
      </c>
      <c r="C577">
        <f t="shared" ca="1" si="114"/>
        <v>0.69000000000000128</v>
      </c>
      <c r="D577">
        <f t="shared" ca="1" si="115"/>
        <v>0.69000000000000128</v>
      </c>
      <c r="E577">
        <f t="shared" ca="1" si="116"/>
        <v>0</v>
      </c>
      <c r="F577">
        <f t="shared" ca="1" si="118"/>
        <v>0.22204885541764449</v>
      </c>
      <c r="G577">
        <f t="shared" ca="1" si="119"/>
        <v>0.15517077675441257</v>
      </c>
      <c r="H577">
        <f t="shared" ca="1" si="120"/>
        <v>1.4309966094265241</v>
      </c>
      <c r="I577">
        <f t="shared" ca="1" si="121"/>
        <v>58.864607374507955</v>
      </c>
      <c r="J577">
        <f t="shared" ca="1" si="122"/>
        <v>1</v>
      </c>
      <c r="K577">
        <f t="shared" ca="1" si="123"/>
        <v>0</v>
      </c>
      <c r="L577">
        <f t="shared" ca="1" si="117"/>
        <v>0</v>
      </c>
      <c r="M577" t="str">
        <f t="shared" ca="1" si="124"/>
        <v>na</v>
      </c>
      <c r="N577" t="str">
        <f t="shared" ca="1" si="125"/>
        <v>na</v>
      </c>
    </row>
    <row r="578" spans="1:14" x14ac:dyDescent="0.2">
      <c r="A578" vm="1084">
        <f ca="1"/>
        <v>45084</v>
      </c>
      <c r="B578" vm="1085">
        <f ca="1"/>
        <v>29.48</v>
      </c>
      <c r="C578">
        <f t="shared" ca="1" si="114"/>
        <v>0.25</v>
      </c>
      <c r="D578">
        <f t="shared" ca="1" si="115"/>
        <v>0.25</v>
      </c>
      <c r="E578">
        <f t="shared" ca="1" si="116"/>
        <v>0</v>
      </c>
      <c r="F578">
        <f t="shared" ca="1" si="118"/>
        <v>0.22404536574495562</v>
      </c>
      <c r="G578">
        <f t="shared" ca="1" si="119"/>
        <v>0.14408714984338311</v>
      </c>
      <c r="H578">
        <f t="shared" ca="1" si="120"/>
        <v>1.5549295408263946</v>
      </c>
      <c r="I578">
        <f t="shared" ca="1" si="121"/>
        <v>60.859977388004644</v>
      </c>
      <c r="J578">
        <f t="shared" ca="1" si="122"/>
        <v>1</v>
      </c>
      <c r="K578">
        <f t="shared" ca="1" si="123"/>
        <v>0</v>
      </c>
      <c r="L578">
        <f t="shared" ca="1" si="117"/>
        <v>0</v>
      </c>
      <c r="M578" t="str">
        <f t="shared" ca="1" si="124"/>
        <v>na</v>
      </c>
      <c r="N578" t="str">
        <f t="shared" ca="1" si="125"/>
        <v>na</v>
      </c>
    </row>
    <row r="579" spans="1:14" x14ac:dyDescent="0.2">
      <c r="A579" vm="1086">
        <f ca="1"/>
        <v>45085</v>
      </c>
      <c r="B579" vm="1083">
        <f ca="1"/>
        <v>29.23</v>
      </c>
      <c r="C579">
        <f t="shared" ca="1" si="114"/>
        <v>-0.25</v>
      </c>
      <c r="D579">
        <f t="shared" ca="1" si="115"/>
        <v>0</v>
      </c>
      <c r="E579">
        <f t="shared" ca="1" si="116"/>
        <v>0.25</v>
      </c>
      <c r="F579">
        <f t="shared" ca="1" si="118"/>
        <v>0.20804212533460165</v>
      </c>
      <c r="G579">
        <f t="shared" ca="1" si="119"/>
        <v>0.15165235342599859</v>
      </c>
      <c r="H579">
        <f t="shared" ca="1" si="120"/>
        <v>1.371835785167155</v>
      </c>
      <c r="I579">
        <f t="shared" ca="1" si="121"/>
        <v>57.838565121002887</v>
      </c>
      <c r="J579">
        <f t="shared" ca="1" si="122"/>
        <v>1</v>
      </c>
      <c r="K579">
        <f t="shared" ca="1" si="123"/>
        <v>0</v>
      </c>
      <c r="L579">
        <f t="shared" ca="1" si="117"/>
        <v>0</v>
      </c>
      <c r="M579" t="str">
        <f t="shared" ca="1" si="124"/>
        <v>na</v>
      </c>
      <c r="N579" t="str">
        <f t="shared" ca="1" si="125"/>
        <v>na</v>
      </c>
    </row>
    <row r="580" spans="1:14" x14ac:dyDescent="0.2">
      <c r="A580" vm="1087">
        <f ca="1"/>
        <v>45086</v>
      </c>
      <c r="B580" vm="1088">
        <f ca="1"/>
        <v>29.27</v>
      </c>
      <c r="C580">
        <f t="shared" ca="1" si="114"/>
        <v>3.9999999999999147E-2</v>
      </c>
      <c r="D580">
        <f t="shared" ca="1" si="115"/>
        <v>3.9999999999999147E-2</v>
      </c>
      <c r="E580">
        <f t="shared" ca="1" si="116"/>
        <v>0</v>
      </c>
      <c r="F580">
        <f t="shared" ca="1" si="118"/>
        <v>0.19603911638213004</v>
      </c>
      <c r="G580">
        <f t="shared" ca="1" si="119"/>
        <v>0.1408200424669987</v>
      </c>
      <c r="H580">
        <f t="shared" ca="1" si="120"/>
        <v>1.3921251048342211</v>
      </c>
      <c r="I580">
        <f t="shared" ca="1" si="121"/>
        <v>58.196166330134233</v>
      </c>
      <c r="J580">
        <f t="shared" ca="1" si="122"/>
        <v>1</v>
      </c>
      <c r="K580">
        <f t="shared" ca="1" si="123"/>
        <v>0</v>
      </c>
      <c r="L580">
        <f t="shared" ca="1" si="117"/>
        <v>0</v>
      </c>
      <c r="M580" t="str">
        <f t="shared" ca="1" si="124"/>
        <v>na</v>
      </c>
      <c r="N580" t="str">
        <f t="shared" ca="1" si="125"/>
        <v>na</v>
      </c>
    </row>
    <row r="581" spans="1:14" x14ac:dyDescent="0.2">
      <c r="A581" vm="1089">
        <f ca="1"/>
        <v>45089</v>
      </c>
      <c r="B581" vm="1090">
        <f ca="1"/>
        <v>29.13</v>
      </c>
      <c r="C581">
        <f t="shared" ca="1" si="114"/>
        <v>-0.14000000000000057</v>
      </c>
      <c r="D581">
        <f t="shared" ca="1" si="115"/>
        <v>0</v>
      </c>
      <c r="E581">
        <f t="shared" ca="1" si="116"/>
        <v>0.14000000000000057</v>
      </c>
      <c r="F581">
        <f t="shared" ca="1" si="118"/>
        <v>0.18203632235483505</v>
      </c>
      <c r="G581">
        <f t="shared" ca="1" si="119"/>
        <v>0.14076146800507025</v>
      </c>
      <c r="H581">
        <f t="shared" ca="1" si="120"/>
        <v>1.293225517854631</v>
      </c>
      <c r="I581">
        <f t="shared" ca="1" si="121"/>
        <v>56.393298774403803</v>
      </c>
      <c r="J581">
        <f t="shared" ca="1" si="122"/>
        <v>1</v>
      </c>
      <c r="K581">
        <f t="shared" ca="1" si="123"/>
        <v>0</v>
      </c>
      <c r="L581">
        <f t="shared" ca="1" si="117"/>
        <v>0</v>
      </c>
      <c r="M581" t="str">
        <f t="shared" ca="1" si="124"/>
        <v>na</v>
      </c>
      <c r="N581" t="str">
        <f t="shared" ca="1" si="125"/>
        <v>na</v>
      </c>
    </row>
    <row r="582" spans="1:14" x14ac:dyDescent="0.2">
      <c r="A582" vm="1091">
        <f ca="1"/>
        <v>45090</v>
      </c>
      <c r="B582" vm="1092">
        <f ca="1"/>
        <v>29.4</v>
      </c>
      <c r="C582">
        <f t="shared" ca="1" si="114"/>
        <v>0.26999999999999957</v>
      </c>
      <c r="D582">
        <f t="shared" ca="1" si="115"/>
        <v>0.26999999999999957</v>
      </c>
      <c r="E582">
        <f t="shared" ca="1" si="116"/>
        <v>0</v>
      </c>
      <c r="F582">
        <f t="shared" ca="1" si="118"/>
        <v>0.18831944218663252</v>
      </c>
      <c r="G582">
        <f t="shared" ca="1" si="119"/>
        <v>0.13070707743327953</v>
      </c>
      <c r="H582">
        <f t="shared" ca="1" si="120"/>
        <v>1.4407746381045179</v>
      </c>
      <c r="I582">
        <f t="shared" ca="1" si="121"/>
        <v>59.029400568641179</v>
      </c>
      <c r="J582">
        <f t="shared" ca="1" si="122"/>
        <v>1</v>
      </c>
      <c r="K582">
        <f t="shared" ca="1" si="123"/>
        <v>0</v>
      </c>
      <c r="L582">
        <f t="shared" ca="1" si="117"/>
        <v>0</v>
      </c>
      <c r="M582" t="str">
        <f t="shared" ca="1" si="124"/>
        <v>na</v>
      </c>
      <c r="N582" t="str">
        <f t="shared" ca="1" si="125"/>
        <v>na</v>
      </c>
    </row>
    <row r="583" spans="1:14" x14ac:dyDescent="0.2">
      <c r="A583" vm="1093">
        <f ca="1"/>
        <v>45091</v>
      </c>
      <c r="B583" vm="1094">
        <f ca="1"/>
        <v>29.12</v>
      </c>
      <c r="C583">
        <f t="shared" ca="1" si="114"/>
        <v>-0.27999999999999758</v>
      </c>
      <c r="D583">
        <f t="shared" ca="1" si="115"/>
        <v>0</v>
      </c>
      <c r="E583">
        <f t="shared" ca="1" si="116"/>
        <v>0.27999999999999758</v>
      </c>
      <c r="F583">
        <f t="shared" ca="1" si="118"/>
        <v>0.1748680534590159</v>
      </c>
      <c r="G583">
        <f t="shared" ca="1" si="119"/>
        <v>0.14137085761661652</v>
      </c>
      <c r="H583">
        <f t="shared" ca="1" si="120"/>
        <v>1.2369455516301697</v>
      </c>
      <c r="I583">
        <f t="shared" ca="1" si="121"/>
        <v>55.296185047005189</v>
      </c>
      <c r="J583">
        <f t="shared" ca="1" si="122"/>
        <v>1</v>
      </c>
      <c r="K583">
        <f t="shared" ca="1" si="123"/>
        <v>0</v>
      </c>
      <c r="L583">
        <f t="shared" ca="1" si="117"/>
        <v>0</v>
      </c>
      <c r="M583" t="str">
        <f t="shared" ca="1" si="124"/>
        <v>na</v>
      </c>
      <c r="N583" t="str">
        <f t="shared" ca="1" si="125"/>
        <v>na</v>
      </c>
    </row>
    <row r="584" spans="1:14" x14ac:dyDescent="0.2">
      <c r="A584" vm="1095">
        <f ca="1"/>
        <v>45092</v>
      </c>
      <c r="B584" vm="1096">
        <f ca="1"/>
        <v>29.37</v>
      </c>
      <c r="C584">
        <f t="shared" ca="1" si="114"/>
        <v>0.25</v>
      </c>
      <c r="D584">
        <f t="shared" ca="1" si="115"/>
        <v>0.25</v>
      </c>
      <c r="E584">
        <f t="shared" ca="1" si="116"/>
        <v>0</v>
      </c>
      <c r="F584">
        <f t="shared" ca="1" si="118"/>
        <v>0.18023462106908619</v>
      </c>
      <c r="G584">
        <f t="shared" ca="1" si="119"/>
        <v>0.13127293921542962</v>
      </c>
      <c r="H584">
        <f t="shared" ca="1" si="120"/>
        <v>1.3729761986459863</v>
      </c>
      <c r="I584">
        <f t="shared" ca="1" si="121"/>
        <v>57.858827215772443</v>
      </c>
      <c r="J584">
        <f t="shared" ca="1" si="122"/>
        <v>1</v>
      </c>
      <c r="K584">
        <f t="shared" ca="1" si="123"/>
        <v>0</v>
      </c>
      <c r="L584">
        <f t="shared" ca="1" si="117"/>
        <v>0</v>
      </c>
      <c r="M584" t="str">
        <f t="shared" ca="1" si="124"/>
        <v>na</v>
      </c>
      <c r="N584" t="str">
        <f t="shared" ca="1" si="125"/>
        <v>na</v>
      </c>
    </row>
    <row r="585" spans="1:14" x14ac:dyDescent="0.2">
      <c r="A585" vm="1097">
        <f ca="1"/>
        <v>45093</v>
      </c>
      <c r="B585" vm="1098">
        <f ca="1"/>
        <v>29.19</v>
      </c>
      <c r="C585">
        <f t="shared" ref="C585:C648" ca="1" si="126">B585-B584</f>
        <v>-0.17999999999999972</v>
      </c>
      <c r="D585">
        <f t="shared" ref="D585:D648" ca="1" si="127">IF(C585&gt;0,C585,0)</f>
        <v>0</v>
      </c>
      <c r="E585">
        <f t="shared" ref="E585:E648" ca="1" si="128">IF(C585&lt;0,ABS(C585),0)</f>
        <v>0.17999999999999972</v>
      </c>
      <c r="F585">
        <f t="shared" ca="1" si="118"/>
        <v>0.16736071956415147</v>
      </c>
      <c r="G585">
        <f t="shared" ca="1" si="119"/>
        <v>0.13475344355718463</v>
      </c>
      <c r="H585">
        <f t="shared" ca="1" si="120"/>
        <v>1.2419773116456905</v>
      </c>
      <c r="I585">
        <f t="shared" ca="1" si="121"/>
        <v>55.396515620135126</v>
      </c>
      <c r="J585">
        <f t="shared" ca="1" si="122"/>
        <v>1</v>
      </c>
      <c r="K585">
        <f t="shared" ca="1" si="123"/>
        <v>0</v>
      </c>
      <c r="L585">
        <f t="shared" ca="1" si="117"/>
        <v>0</v>
      </c>
      <c r="M585" t="str">
        <f t="shared" ca="1" si="124"/>
        <v>na</v>
      </c>
      <c r="N585" t="str">
        <f t="shared" ca="1" si="125"/>
        <v>na</v>
      </c>
    </row>
    <row r="586" spans="1:14" x14ac:dyDescent="0.2">
      <c r="A586" vm="1099">
        <f ca="1"/>
        <v>45097</v>
      </c>
      <c r="B586" vm="1100">
        <f ca="1"/>
        <v>28.87</v>
      </c>
      <c r="C586">
        <f t="shared" ca="1" si="126"/>
        <v>-0.32000000000000028</v>
      </c>
      <c r="D586">
        <f t="shared" ca="1" si="127"/>
        <v>0</v>
      </c>
      <c r="E586">
        <f t="shared" ca="1" si="128"/>
        <v>0.32000000000000028</v>
      </c>
      <c r="F586">
        <f t="shared" ca="1" si="118"/>
        <v>0.15540638245242636</v>
      </c>
      <c r="G586">
        <f t="shared" ca="1" si="119"/>
        <v>0.14798534044595718</v>
      </c>
      <c r="H586">
        <f t="shared" ca="1" si="120"/>
        <v>1.0501471428460798</v>
      </c>
      <c r="I586">
        <f t="shared" ca="1" si="121"/>
        <v>51.223013260805857</v>
      </c>
      <c r="J586">
        <f t="shared" ca="1" si="122"/>
        <v>1</v>
      </c>
      <c r="K586">
        <f t="shared" ca="1" si="123"/>
        <v>0</v>
      </c>
      <c r="L586">
        <f t="shared" ca="1" si="117"/>
        <v>0</v>
      </c>
      <c r="M586" t="str">
        <f t="shared" ca="1" si="124"/>
        <v>na</v>
      </c>
      <c r="N586" t="str">
        <f t="shared" ca="1" si="125"/>
        <v>na</v>
      </c>
    </row>
    <row r="587" spans="1:14" x14ac:dyDescent="0.2">
      <c r="A587" vm="1101">
        <f ca="1"/>
        <v>45098</v>
      </c>
      <c r="B587" vm="1058">
        <f ca="1"/>
        <v>28.57</v>
      </c>
      <c r="C587">
        <f t="shared" ca="1" si="126"/>
        <v>-0.30000000000000071</v>
      </c>
      <c r="D587">
        <f t="shared" ca="1" si="127"/>
        <v>0</v>
      </c>
      <c r="E587">
        <f t="shared" ca="1" si="128"/>
        <v>0.30000000000000071</v>
      </c>
      <c r="F587">
        <f t="shared" ca="1" si="118"/>
        <v>0.14430592656296734</v>
      </c>
      <c r="G587">
        <f t="shared" ca="1" si="119"/>
        <v>0.15884353041410315</v>
      </c>
      <c r="H587">
        <f t="shared" ca="1" si="120"/>
        <v>0.90847846422679945</v>
      </c>
      <c r="I587">
        <f t="shared" ca="1" si="121"/>
        <v>47.602238183749179</v>
      </c>
      <c r="J587">
        <f t="shared" ca="1" si="122"/>
        <v>1</v>
      </c>
      <c r="K587">
        <f t="shared" ca="1" si="123"/>
        <v>0</v>
      </c>
      <c r="L587">
        <f t="shared" ca="1" si="117"/>
        <v>0</v>
      </c>
      <c r="M587" t="str">
        <f t="shared" ca="1" si="124"/>
        <v>na</v>
      </c>
      <c r="N587" t="str">
        <f t="shared" ca="1" si="125"/>
        <v>na</v>
      </c>
    </row>
    <row r="588" spans="1:14" x14ac:dyDescent="0.2">
      <c r="A588" vm="1102">
        <f ca="1"/>
        <v>45099</v>
      </c>
      <c r="B588" vm="1103">
        <f ca="1"/>
        <v>27.96</v>
      </c>
      <c r="C588">
        <f t="shared" ca="1" si="126"/>
        <v>-0.60999999999999943</v>
      </c>
      <c r="D588">
        <f t="shared" ca="1" si="127"/>
        <v>0</v>
      </c>
      <c r="E588">
        <f t="shared" ca="1" si="128"/>
        <v>0.60999999999999943</v>
      </c>
      <c r="F588">
        <f t="shared" ca="1" si="118"/>
        <v>0.13399836037989823</v>
      </c>
      <c r="G588">
        <f t="shared" ca="1" si="119"/>
        <v>0.19106899252738144</v>
      </c>
      <c r="H588">
        <f t="shared" ca="1" si="120"/>
        <v>0.70130877128425428</v>
      </c>
      <c r="I588">
        <f t="shared" ca="1" si="121"/>
        <v>41.221721954378836</v>
      </c>
      <c r="J588">
        <f t="shared" ca="1" si="122"/>
        <v>1</v>
      </c>
      <c r="K588">
        <f t="shared" ca="1" si="123"/>
        <v>0</v>
      </c>
      <c r="L588">
        <f t="shared" ca="1" si="117"/>
        <v>0</v>
      </c>
      <c r="M588" t="str">
        <f t="shared" ca="1" si="124"/>
        <v>na</v>
      </c>
      <c r="N588" t="str">
        <f t="shared" ca="1" si="125"/>
        <v>na</v>
      </c>
    </row>
    <row r="589" spans="1:14" x14ac:dyDescent="0.2">
      <c r="A589" vm="1104">
        <f ca="1"/>
        <v>45100</v>
      </c>
      <c r="B589" vm="979">
        <f ca="1"/>
        <v>27.75</v>
      </c>
      <c r="C589">
        <f t="shared" ca="1" si="126"/>
        <v>-0.21000000000000085</v>
      </c>
      <c r="D589">
        <f t="shared" ca="1" si="127"/>
        <v>0</v>
      </c>
      <c r="E589">
        <f t="shared" ca="1" si="128"/>
        <v>0.21000000000000085</v>
      </c>
      <c r="F589">
        <f t="shared" ca="1" si="118"/>
        <v>0.12442704892419122</v>
      </c>
      <c r="G589">
        <f t="shared" ca="1" si="119"/>
        <v>0.19242120734685425</v>
      </c>
      <c r="H589">
        <f t="shared" ca="1" si="120"/>
        <v>0.64663895752354239</v>
      </c>
      <c r="I589">
        <f t="shared" ca="1" si="121"/>
        <v>39.270233135747809</v>
      </c>
      <c r="J589">
        <f t="shared" ca="1" si="122"/>
        <v>1</v>
      </c>
      <c r="K589">
        <f t="shared" ca="1" si="123"/>
        <v>1</v>
      </c>
      <c r="L589">
        <f t="shared" ca="1" si="117"/>
        <v>0</v>
      </c>
      <c r="M589" t="str">
        <f t="shared" ca="1" si="124"/>
        <v>na</v>
      </c>
      <c r="N589" t="str">
        <f t="shared" ca="1" si="125"/>
        <v>na</v>
      </c>
    </row>
    <row r="590" spans="1:14" x14ac:dyDescent="0.2">
      <c r="A590" vm="1105">
        <f ca="1"/>
        <v>45103</v>
      </c>
      <c r="B590" vm="1106">
        <f ca="1"/>
        <v>28.09</v>
      </c>
      <c r="C590">
        <f t="shared" ca="1" si="126"/>
        <v>0.33999999999999986</v>
      </c>
      <c r="D590">
        <f t="shared" ca="1" si="127"/>
        <v>0.33999999999999986</v>
      </c>
      <c r="E590">
        <f t="shared" ca="1" si="128"/>
        <v>0</v>
      </c>
      <c r="F590">
        <f t="shared" ca="1" si="118"/>
        <v>0.13982511685817756</v>
      </c>
      <c r="G590">
        <f t="shared" ca="1" si="119"/>
        <v>0.17867683539350751</v>
      </c>
      <c r="H590">
        <f t="shared" ca="1" si="120"/>
        <v>0.78255872704614915</v>
      </c>
      <c r="I590">
        <f t="shared" ca="1" si="121"/>
        <v>43.900866500085257</v>
      </c>
      <c r="J590">
        <f t="shared" ca="1" si="122"/>
        <v>1</v>
      </c>
      <c r="K590">
        <f t="shared" ca="1" si="123"/>
        <v>0</v>
      </c>
      <c r="L590">
        <f t="shared" ca="1" si="117"/>
        <v>0</v>
      </c>
      <c r="M590" t="str">
        <f t="shared" ca="1" si="124"/>
        <v>na</v>
      </c>
      <c r="N590" t="str">
        <f t="shared" ca="1" si="125"/>
        <v>na</v>
      </c>
    </row>
    <row r="591" spans="1:14" x14ac:dyDescent="0.2">
      <c r="A591" vm="1107">
        <f ca="1"/>
        <v>45104</v>
      </c>
      <c r="B591" vm="1108">
        <f ca="1"/>
        <v>28.24</v>
      </c>
      <c r="C591">
        <f t="shared" ca="1" si="126"/>
        <v>0.14999999999999858</v>
      </c>
      <c r="D591">
        <f t="shared" ca="1" si="127"/>
        <v>0.14999999999999858</v>
      </c>
      <c r="E591">
        <f t="shared" ca="1" si="128"/>
        <v>0</v>
      </c>
      <c r="F591">
        <f t="shared" ca="1" si="118"/>
        <v>0.14055189422545047</v>
      </c>
      <c r="G591">
        <f t="shared" ca="1" si="119"/>
        <v>0.16591420429397125</v>
      </c>
      <c r="H591">
        <f t="shared" ca="1" si="120"/>
        <v>0.8471359931089254</v>
      </c>
      <c r="I591">
        <f t="shared" ca="1" si="121"/>
        <v>45.862134475713717</v>
      </c>
      <c r="J591">
        <f t="shared" ca="1" si="122"/>
        <v>1</v>
      </c>
      <c r="K591">
        <f t="shared" ca="1" si="123"/>
        <v>0</v>
      </c>
      <c r="L591">
        <f t="shared" ca="1" si="117"/>
        <v>0</v>
      </c>
      <c r="M591" t="str">
        <f t="shared" ca="1" si="124"/>
        <v>na</v>
      </c>
      <c r="N591" t="str">
        <f t="shared" ca="1" si="125"/>
        <v>na</v>
      </c>
    </row>
    <row r="592" spans="1:14" x14ac:dyDescent="0.2">
      <c r="A592" vm="1109">
        <f ca="1"/>
        <v>45105</v>
      </c>
      <c r="B592" vm="1110">
        <f ca="1"/>
        <v>28.07</v>
      </c>
      <c r="C592">
        <f t="shared" ca="1" si="126"/>
        <v>-0.16999999999999815</v>
      </c>
      <c r="D592">
        <f t="shared" ca="1" si="127"/>
        <v>0</v>
      </c>
      <c r="E592">
        <f t="shared" ca="1" si="128"/>
        <v>0.16999999999999815</v>
      </c>
      <c r="F592">
        <f t="shared" ca="1" si="118"/>
        <v>0.13051247320934686</v>
      </c>
      <c r="G592">
        <f t="shared" ca="1" si="119"/>
        <v>0.16620604684440174</v>
      </c>
      <c r="H592">
        <f t="shared" ca="1" si="120"/>
        <v>0.78524503582910932</v>
      </c>
      <c r="I592">
        <f t="shared" ca="1" si="121"/>
        <v>43.985280455599934</v>
      </c>
      <c r="J592">
        <f t="shared" ca="1" si="122"/>
        <v>1</v>
      </c>
      <c r="K592">
        <f t="shared" ca="1" si="123"/>
        <v>0</v>
      </c>
      <c r="L592">
        <f t="shared" ca="1" si="117"/>
        <v>0</v>
      </c>
      <c r="M592" t="str">
        <f t="shared" ca="1" si="124"/>
        <v>na</v>
      </c>
      <c r="N592" t="str">
        <f t="shared" ca="1" si="125"/>
        <v>na</v>
      </c>
    </row>
    <row r="593" spans="1:14" x14ac:dyDescent="0.2">
      <c r="A593" vm="1111">
        <f ca="1"/>
        <v>45106</v>
      </c>
      <c r="B593" vm="1112">
        <f ca="1"/>
        <v>28.66</v>
      </c>
      <c r="C593">
        <f t="shared" ca="1" si="126"/>
        <v>0.58999999999999986</v>
      </c>
      <c r="D593">
        <f t="shared" ca="1" si="127"/>
        <v>0.58999999999999986</v>
      </c>
      <c r="E593">
        <f t="shared" ca="1" si="128"/>
        <v>0</v>
      </c>
      <c r="F593">
        <f t="shared" ca="1" si="118"/>
        <v>0.16333301083725063</v>
      </c>
      <c r="G593">
        <f t="shared" ca="1" si="119"/>
        <v>0.15433418635551591</v>
      </c>
      <c r="H593">
        <f t="shared" ca="1" si="120"/>
        <v>1.0583073957509681</v>
      </c>
      <c r="I593">
        <f t="shared" ca="1" si="121"/>
        <v>51.416391834167577</v>
      </c>
      <c r="J593">
        <f t="shared" ca="1" si="122"/>
        <v>1</v>
      </c>
      <c r="K593">
        <f t="shared" ca="1" si="123"/>
        <v>0</v>
      </c>
      <c r="L593">
        <f t="shared" ca="1" si="117"/>
        <v>0</v>
      </c>
      <c r="M593" t="str">
        <f t="shared" ca="1" si="124"/>
        <v>na</v>
      </c>
      <c r="N593" t="str">
        <f t="shared" ca="1" si="125"/>
        <v>na</v>
      </c>
    </row>
    <row r="594" spans="1:14" x14ac:dyDescent="0.2">
      <c r="A594" vm="1113">
        <f ca="1"/>
        <v>45107</v>
      </c>
      <c r="B594" vm="1114">
        <f ca="1"/>
        <v>28.69</v>
      </c>
      <c r="C594">
        <f t="shared" ca="1" si="126"/>
        <v>3.0000000000001137E-2</v>
      </c>
      <c r="D594">
        <f t="shared" ca="1" si="127"/>
        <v>3.0000000000001137E-2</v>
      </c>
      <c r="E594">
        <f t="shared" ca="1" si="128"/>
        <v>0</v>
      </c>
      <c r="F594">
        <f t="shared" ca="1" si="118"/>
        <v>0.15380922434887564</v>
      </c>
      <c r="G594">
        <f t="shared" ca="1" si="119"/>
        <v>0.14331031590155049</v>
      </c>
      <c r="H594">
        <f t="shared" ca="1" si="120"/>
        <v>1.073259963047863</v>
      </c>
      <c r="I594">
        <f t="shared" ca="1" si="121"/>
        <v>51.766781888272341</v>
      </c>
      <c r="J594">
        <f t="shared" ca="1" si="122"/>
        <v>1</v>
      </c>
      <c r="K594">
        <f t="shared" ca="1" si="123"/>
        <v>0</v>
      </c>
      <c r="L594">
        <f t="shared" ca="1" si="117"/>
        <v>0</v>
      </c>
      <c r="M594" t="str">
        <f t="shared" ca="1" si="124"/>
        <v>na</v>
      </c>
      <c r="N594" t="str">
        <f t="shared" ca="1" si="125"/>
        <v>na</v>
      </c>
    </row>
    <row r="595" spans="1:14" x14ac:dyDescent="0.2">
      <c r="A595" vm="1115">
        <f ca="1"/>
        <v>45110</v>
      </c>
      <c r="B595" vm="1116">
        <f ca="1"/>
        <v>29.2</v>
      </c>
      <c r="C595">
        <f t="shared" ca="1" si="126"/>
        <v>0.50999999999999801</v>
      </c>
      <c r="D595">
        <f t="shared" ca="1" si="127"/>
        <v>0.50999999999999801</v>
      </c>
      <c r="E595">
        <f t="shared" ca="1" si="128"/>
        <v>0</v>
      </c>
      <c r="F595">
        <f t="shared" ca="1" si="118"/>
        <v>0.17925142260967011</v>
      </c>
      <c r="G595">
        <f t="shared" ca="1" si="119"/>
        <v>0.13307386476572544</v>
      </c>
      <c r="H595">
        <f t="shared" ca="1" si="120"/>
        <v>1.3470069643294691</v>
      </c>
      <c r="I595">
        <f t="shared" ca="1" si="121"/>
        <v>57.392542280516999</v>
      </c>
      <c r="J595">
        <f t="shared" ca="1" si="122"/>
        <v>1</v>
      </c>
      <c r="K595">
        <f t="shared" ca="1" si="123"/>
        <v>0</v>
      </c>
      <c r="L595">
        <f t="shared" ca="1" si="117"/>
        <v>0</v>
      </c>
      <c r="M595" t="str">
        <f t="shared" ca="1" si="124"/>
        <v>na</v>
      </c>
      <c r="N595" t="str">
        <f t="shared" ca="1" si="125"/>
        <v>na</v>
      </c>
    </row>
    <row r="596" spans="1:14" x14ac:dyDescent="0.2">
      <c r="A596" vm="1117">
        <f ca="1"/>
        <v>45112</v>
      </c>
      <c r="B596" vm="1118">
        <f ca="1"/>
        <v>29.08</v>
      </c>
      <c r="C596">
        <f t="shared" ca="1" si="126"/>
        <v>-0.12000000000000099</v>
      </c>
      <c r="D596">
        <f t="shared" ca="1" si="127"/>
        <v>0</v>
      </c>
      <c r="E596">
        <f t="shared" ca="1" si="128"/>
        <v>0.12000000000000099</v>
      </c>
      <c r="F596">
        <f t="shared" ca="1" si="118"/>
        <v>0.16644774956612227</v>
      </c>
      <c r="G596">
        <f t="shared" ca="1" si="119"/>
        <v>0.13214001728245942</v>
      </c>
      <c r="H596">
        <f t="shared" ca="1" si="120"/>
        <v>1.2596316618479582</v>
      </c>
      <c r="I596">
        <f t="shared" ca="1" si="121"/>
        <v>55.744999643783267</v>
      </c>
      <c r="J596">
        <f t="shared" ca="1" si="122"/>
        <v>1</v>
      </c>
      <c r="K596">
        <f t="shared" ca="1" si="123"/>
        <v>0</v>
      </c>
      <c r="L596">
        <f t="shared" ca="1" si="117"/>
        <v>0</v>
      </c>
      <c r="M596" t="str">
        <f t="shared" ca="1" si="124"/>
        <v>na</v>
      </c>
      <c r="N596" t="str">
        <f t="shared" ca="1" si="125"/>
        <v>na</v>
      </c>
    </row>
    <row r="597" spans="1:14" x14ac:dyDescent="0.2">
      <c r="A597" vm="1119">
        <f ca="1"/>
        <v>45113</v>
      </c>
      <c r="B597" vm="1120">
        <f ca="1"/>
        <v>28.28</v>
      </c>
      <c r="C597">
        <f t="shared" ca="1" si="126"/>
        <v>-0.79999999999999716</v>
      </c>
      <c r="D597">
        <f t="shared" ca="1" si="127"/>
        <v>0</v>
      </c>
      <c r="E597">
        <f t="shared" ca="1" si="128"/>
        <v>0.79999999999999716</v>
      </c>
      <c r="F597">
        <f t="shared" ca="1" si="118"/>
        <v>0.15455862459711353</v>
      </c>
      <c r="G597">
        <f t="shared" ca="1" si="119"/>
        <v>0.17984430176228353</v>
      </c>
      <c r="H597">
        <f t="shared" ca="1" si="120"/>
        <v>0.85940240020174585</v>
      </c>
      <c r="I597">
        <f t="shared" ca="1" si="121"/>
        <v>46.219279920715401</v>
      </c>
      <c r="J597">
        <f t="shared" ca="1" si="122"/>
        <v>1</v>
      </c>
      <c r="K597">
        <f t="shared" ca="1" si="123"/>
        <v>0</v>
      </c>
      <c r="L597">
        <f t="shared" ca="1" si="117"/>
        <v>0</v>
      </c>
      <c r="M597" t="str">
        <f t="shared" ca="1" si="124"/>
        <v>na</v>
      </c>
      <c r="N597" t="str">
        <f t="shared" ca="1" si="125"/>
        <v>na</v>
      </c>
    </row>
    <row r="598" spans="1:14" x14ac:dyDescent="0.2">
      <c r="A598" vm="1121">
        <f ca="1"/>
        <v>45114</v>
      </c>
      <c r="B598" vm="1122">
        <f ca="1"/>
        <v>28.53</v>
      </c>
      <c r="C598">
        <f t="shared" ca="1" si="126"/>
        <v>0.25</v>
      </c>
      <c r="D598">
        <f t="shared" ca="1" si="127"/>
        <v>0.25</v>
      </c>
      <c r="E598">
        <f t="shared" ca="1" si="128"/>
        <v>0</v>
      </c>
      <c r="F598">
        <f t="shared" ca="1" si="118"/>
        <v>0.16137586569731971</v>
      </c>
      <c r="G598">
        <f t="shared" ca="1" si="119"/>
        <v>0.16699828020783469</v>
      </c>
      <c r="H598">
        <f t="shared" ca="1" si="120"/>
        <v>0.96633250052924069</v>
      </c>
      <c r="I598">
        <f t="shared" ca="1" si="121"/>
        <v>49.143901159603026</v>
      </c>
      <c r="J598">
        <f t="shared" ca="1" si="122"/>
        <v>1</v>
      </c>
      <c r="K598">
        <f t="shared" ca="1" si="123"/>
        <v>0</v>
      </c>
      <c r="L598">
        <f t="shared" ref="L598:L661" ca="1" si="129">IF(I598&gt;$C$3,1,0)</f>
        <v>0</v>
      </c>
      <c r="M598" t="str">
        <f t="shared" ca="1" si="124"/>
        <v>na</v>
      </c>
      <c r="N598" t="str">
        <f t="shared" ca="1" si="125"/>
        <v>na</v>
      </c>
    </row>
    <row r="599" spans="1:14" x14ac:dyDescent="0.2">
      <c r="A599" vm="1123">
        <f ca="1"/>
        <v>45117</v>
      </c>
      <c r="B599" vm="1112">
        <f ca="1"/>
        <v>28.66</v>
      </c>
      <c r="C599">
        <f t="shared" ca="1" si="126"/>
        <v>0.12999999999999901</v>
      </c>
      <c r="D599">
        <f t="shared" ca="1" si="127"/>
        <v>0.12999999999999901</v>
      </c>
      <c r="E599">
        <f t="shared" ca="1" si="128"/>
        <v>0</v>
      </c>
      <c r="F599">
        <f t="shared" ref="F599:F662" ca="1" si="130">((F598*13)+D599)/14</f>
        <v>0.15913473243322537</v>
      </c>
      <c r="G599">
        <f t="shared" ref="G599:G662" ca="1" si="131">((G598*13)+E599)/14</f>
        <v>0.15506983162156079</v>
      </c>
      <c r="H599">
        <f t="shared" ref="H599:H662" ca="1" si="132">AVERAGE(F599/G599)</f>
        <v>1.0262133567126372</v>
      </c>
      <c r="I599">
        <f t="shared" ref="I599:I662" ca="1" si="133">IF(G599=0,100,100-(100/(1+H599)))</f>
        <v>50.646855787071864</v>
      </c>
      <c r="J599">
        <f t="shared" ca="1" si="122"/>
        <v>1</v>
      </c>
      <c r="K599">
        <f t="shared" ca="1" si="123"/>
        <v>0</v>
      </c>
      <c r="L599">
        <f t="shared" ca="1" si="129"/>
        <v>0</v>
      </c>
      <c r="M599" t="str">
        <f t="shared" ca="1" si="124"/>
        <v>na</v>
      </c>
      <c r="N599" t="str">
        <f t="shared" ca="1" si="125"/>
        <v>na</v>
      </c>
    </row>
    <row r="600" spans="1:14" x14ac:dyDescent="0.2">
      <c r="A600" vm="1124">
        <f ca="1"/>
        <v>45118</v>
      </c>
      <c r="B600" vm="1125">
        <f ca="1"/>
        <v>29.02</v>
      </c>
      <c r="C600">
        <f t="shared" ca="1" si="126"/>
        <v>0.35999999999999943</v>
      </c>
      <c r="D600">
        <f t="shared" ca="1" si="127"/>
        <v>0.35999999999999943</v>
      </c>
      <c r="E600">
        <f t="shared" ca="1" si="128"/>
        <v>0</v>
      </c>
      <c r="F600">
        <f t="shared" ca="1" si="130"/>
        <v>0.1734822515451378</v>
      </c>
      <c r="G600">
        <f t="shared" ca="1" si="131"/>
        <v>0.14399341507716359</v>
      </c>
      <c r="H600">
        <f t="shared" ca="1" si="132"/>
        <v>1.2047929514844249</v>
      </c>
      <c r="I600">
        <f t="shared" ca="1" si="133"/>
        <v>54.644267194036146</v>
      </c>
      <c r="J600">
        <f t="shared" ref="J600:J663" ca="1" si="134">IF(K600=1,1,IF(L600=1,0,IF(J599=1,1,0)))</f>
        <v>1</v>
      </c>
      <c r="K600">
        <f t="shared" ref="K600:K663" ca="1" si="135">IF(I600&lt;$B$3,1,0)</f>
        <v>0</v>
      </c>
      <c r="L600">
        <f t="shared" ca="1" si="129"/>
        <v>0</v>
      </c>
      <c r="M600" t="str">
        <f t="shared" ref="M600:M663" ca="1" si="136">IF(AND(K600=1,J599=0),B600,"na")</f>
        <v>na</v>
      </c>
      <c r="N600" t="str">
        <f t="shared" ref="N600:N663" ca="1" si="137">IF(AND(L600=1,J599=1),B600,"na")</f>
        <v>na</v>
      </c>
    </row>
    <row r="601" spans="1:14" x14ac:dyDescent="0.2">
      <c r="A601" vm="1126">
        <f ca="1"/>
        <v>45119</v>
      </c>
      <c r="B601" vm="1127">
        <f ca="1"/>
        <v>29.36</v>
      </c>
      <c r="C601">
        <f t="shared" ca="1" si="126"/>
        <v>0.33999999999999986</v>
      </c>
      <c r="D601">
        <f t="shared" ca="1" si="127"/>
        <v>0.33999999999999986</v>
      </c>
      <c r="E601">
        <f t="shared" ca="1" si="128"/>
        <v>0</v>
      </c>
      <c r="F601">
        <f t="shared" ca="1" si="130"/>
        <v>0.18537637643477081</v>
      </c>
      <c r="G601">
        <f t="shared" ca="1" si="131"/>
        <v>0.13370817114308048</v>
      </c>
      <c r="H601">
        <f t="shared" ca="1" si="132"/>
        <v>1.3864251889018842</v>
      </c>
      <c r="I601">
        <f t="shared" ca="1" si="133"/>
        <v>58.096318935514134</v>
      </c>
      <c r="J601">
        <f t="shared" ca="1" si="134"/>
        <v>1</v>
      </c>
      <c r="K601">
        <f t="shared" ca="1" si="135"/>
        <v>0</v>
      </c>
      <c r="L601">
        <f t="shared" ca="1" si="129"/>
        <v>0</v>
      </c>
      <c r="M601" t="str">
        <f t="shared" ca="1" si="136"/>
        <v>na</v>
      </c>
      <c r="N601" t="str">
        <f t="shared" ca="1" si="137"/>
        <v>na</v>
      </c>
    </row>
    <row r="602" spans="1:14" x14ac:dyDescent="0.2">
      <c r="A602" vm="1128">
        <f ca="1"/>
        <v>45120</v>
      </c>
      <c r="B602" vm="1129">
        <f ca="1"/>
        <v>29.67</v>
      </c>
      <c r="C602">
        <f t="shared" ca="1" si="126"/>
        <v>0.31000000000000227</v>
      </c>
      <c r="D602">
        <f t="shared" ca="1" si="127"/>
        <v>0.31000000000000227</v>
      </c>
      <c r="E602">
        <f t="shared" ca="1" si="128"/>
        <v>0</v>
      </c>
      <c r="F602">
        <f t="shared" ca="1" si="130"/>
        <v>0.19427806383228735</v>
      </c>
      <c r="G602">
        <f t="shared" ca="1" si="131"/>
        <v>0.1241575874900033</v>
      </c>
      <c r="H602">
        <f t="shared" ca="1" si="132"/>
        <v>1.5647699650086218</v>
      </c>
      <c r="I602">
        <f t="shared" ca="1" si="133"/>
        <v>61.010148526258241</v>
      </c>
      <c r="J602">
        <f t="shared" ca="1" si="134"/>
        <v>1</v>
      </c>
      <c r="K602">
        <f t="shared" ca="1" si="135"/>
        <v>0</v>
      </c>
      <c r="L602">
        <f t="shared" ca="1" si="129"/>
        <v>0</v>
      </c>
      <c r="M602" t="str">
        <f t="shared" ca="1" si="136"/>
        <v>na</v>
      </c>
      <c r="N602" t="str">
        <f t="shared" ca="1" si="137"/>
        <v>na</v>
      </c>
    </row>
    <row r="603" spans="1:14" x14ac:dyDescent="0.2">
      <c r="A603" vm="1130">
        <f ca="1"/>
        <v>45121</v>
      </c>
      <c r="B603" vm="1131">
        <f ca="1"/>
        <v>29.11</v>
      </c>
      <c r="C603">
        <f t="shared" ca="1" si="126"/>
        <v>-0.56000000000000227</v>
      </c>
      <c r="D603">
        <f t="shared" ca="1" si="127"/>
        <v>0</v>
      </c>
      <c r="E603">
        <f t="shared" ca="1" si="128"/>
        <v>0.56000000000000227</v>
      </c>
      <c r="F603">
        <f t="shared" ca="1" si="130"/>
        <v>0.18040105927283825</v>
      </c>
      <c r="G603">
        <f t="shared" ca="1" si="131"/>
        <v>0.15528918838357467</v>
      </c>
      <c r="H603">
        <f t="shared" ca="1" si="132"/>
        <v>1.1617103621356792</v>
      </c>
      <c r="I603">
        <f t="shared" ca="1" si="133"/>
        <v>53.740333695211511</v>
      </c>
      <c r="J603">
        <f t="shared" ca="1" si="134"/>
        <v>1</v>
      </c>
      <c r="K603">
        <f t="shared" ca="1" si="135"/>
        <v>0</v>
      </c>
      <c r="L603">
        <f t="shared" ca="1" si="129"/>
        <v>0</v>
      </c>
      <c r="M603" t="str">
        <f t="shared" ca="1" si="136"/>
        <v>na</v>
      </c>
      <c r="N603" t="str">
        <f t="shared" ca="1" si="137"/>
        <v>na</v>
      </c>
    </row>
    <row r="604" spans="1:14" x14ac:dyDescent="0.2">
      <c r="A604" vm="1132">
        <f ca="1"/>
        <v>45124</v>
      </c>
      <c r="B604" vm="1092">
        <f ca="1"/>
        <v>29.4</v>
      </c>
      <c r="C604">
        <f t="shared" ca="1" si="126"/>
        <v>0.28999999999999915</v>
      </c>
      <c r="D604">
        <f t="shared" ca="1" si="127"/>
        <v>0.28999999999999915</v>
      </c>
      <c r="E604">
        <f t="shared" ca="1" si="128"/>
        <v>0</v>
      </c>
      <c r="F604">
        <f t="shared" ca="1" si="130"/>
        <v>0.18822955503906402</v>
      </c>
      <c r="G604">
        <f t="shared" ca="1" si="131"/>
        <v>0.14419710349903364</v>
      </c>
      <c r="H604">
        <f t="shared" ca="1" si="132"/>
        <v>1.3053629405276193</v>
      </c>
      <c r="I604">
        <f t="shared" ca="1" si="133"/>
        <v>56.622882131907005</v>
      </c>
      <c r="J604">
        <f t="shared" ca="1" si="134"/>
        <v>1</v>
      </c>
      <c r="K604">
        <f t="shared" ca="1" si="135"/>
        <v>0</v>
      </c>
      <c r="L604">
        <f t="shared" ca="1" si="129"/>
        <v>0</v>
      </c>
      <c r="M604" t="str">
        <f t="shared" ca="1" si="136"/>
        <v>na</v>
      </c>
      <c r="N604" t="str">
        <f t="shared" ca="1" si="137"/>
        <v>na</v>
      </c>
    </row>
    <row r="605" spans="1:14" x14ac:dyDescent="0.2">
      <c r="A605" vm="1133">
        <f ca="1"/>
        <v>45125</v>
      </c>
      <c r="B605" vm="1134">
        <f ca="1"/>
        <v>30.7</v>
      </c>
      <c r="C605">
        <f t="shared" ca="1" si="126"/>
        <v>1.3000000000000007</v>
      </c>
      <c r="D605">
        <f t="shared" ca="1" si="127"/>
        <v>1.3000000000000007</v>
      </c>
      <c r="E605">
        <f t="shared" ca="1" si="128"/>
        <v>0</v>
      </c>
      <c r="F605">
        <f t="shared" ca="1" si="130"/>
        <v>0.26764172967913097</v>
      </c>
      <c r="G605">
        <f t="shared" ca="1" si="131"/>
        <v>0.13389731039195982</v>
      </c>
      <c r="H605">
        <f t="shared" ca="1" si="132"/>
        <v>1.9988581465576785</v>
      </c>
      <c r="I605">
        <f t="shared" ca="1" si="133"/>
        <v>66.653974575360365</v>
      </c>
      <c r="J605">
        <f t="shared" ca="1" si="134"/>
        <v>1</v>
      </c>
      <c r="K605">
        <f t="shared" ca="1" si="135"/>
        <v>0</v>
      </c>
      <c r="L605">
        <f t="shared" ca="1" si="129"/>
        <v>0</v>
      </c>
      <c r="M605" t="str">
        <f t="shared" ca="1" si="136"/>
        <v>na</v>
      </c>
      <c r="N605" t="str">
        <f t="shared" ca="1" si="137"/>
        <v>na</v>
      </c>
    </row>
    <row r="606" spans="1:14" x14ac:dyDescent="0.2">
      <c r="A606" vm="1135">
        <f ca="1"/>
        <v>45126</v>
      </c>
      <c r="B606" vm="49">
        <f ca="1"/>
        <v>31.53</v>
      </c>
      <c r="C606">
        <f t="shared" ca="1" si="126"/>
        <v>0.83000000000000185</v>
      </c>
      <c r="D606">
        <f t="shared" ca="1" si="127"/>
        <v>0.83000000000000185</v>
      </c>
      <c r="E606">
        <f t="shared" ca="1" si="128"/>
        <v>0</v>
      </c>
      <c r="F606">
        <f t="shared" ca="1" si="130"/>
        <v>0.30781017755919315</v>
      </c>
      <c r="G606">
        <f t="shared" ca="1" si="131"/>
        <v>0.1243332167925341</v>
      </c>
      <c r="H606">
        <f t="shared" ca="1" si="132"/>
        <v>2.4756873947274594</v>
      </c>
      <c r="I606">
        <f t="shared" ca="1" si="133"/>
        <v>71.228712872251464</v>
      </c>
      <c r="J606">
        <f t="shared" ca="1" si="134"/>
        <v>0</v>
      </c>
      <c r="K606">
        <f t="shared" ca="1" si="135"/>
        <v>0</v>
      </c>
      <c r="L606">
        <f t="shared" ca="1" si="129"/>
        <v>1</v>
      </c>
      <c r="M606" t="str">
        <f t="shared" ca="1" si="136"/>
        <v>na</v>
      </c>
      <c r="N606" vm="49">
        <f t="shared" ca="1" si="137"/>
        <v>31.53</v>
      </c>
    </row>
    <row r="607" spans="1:14" x14ac:dyDescent="0.2">
      <c r="A607" vm="1136">
        <f ca="1"/>
        <v>45127</v>
      </c>
      <c r="B607" vm="792">
        <f ca="1"/>
        <v>31.69</v>
      </c>
      <c r="C607">
        <f t="shared" ca="1" si="126"/>
        <v>0.16000000000000014</v>
      </c>
      <c r="D607">
        <f t="shared" ca="1" si="127"/>
        <v>0.16000000000000014</v>
      </c>
      <c r="E607">
        <f t="shared" ca="1" si="128"/>
        <v>0</v>
      </c>
      <c r="F607">
        <f t="shared" ca="1" si="130"/>
        <v>0.29725230773353656</v>
      </c>
      <c r="G607">
        <f t="shared" ca="1" si="131"/>
        <v>0.11545227273592452</v>
      </c>
      <c r="H607">
        <f t="shared" ca="1" si="132"/>
        <v>2.5746769698804077</v>
      </c>
      <c r="I607">
        <f t="shared" ca="1" si="133"/>
        <v>72.025444300958597</v>
      </c>
      <c r="J607">
        <f t="shared" ca="1" si="134"/>
        <v>0</v>
      </c>
      <c r="K607">
        <f t="shared" ca="1" si="135"/>
        <v>0</v>
      </c>
      <c r="L607">
        <f t="shared" ca="1" si="129"/>
        <v>1</v>
      </c>
      <c r="M607" t="str">
        <f t="shared" ca="1" si="136"/>
        <v>na</v>
      </c>
      <c r="N607" t="str">
        <f t="shared" ca="1" si="137"/>
        <v>na</v>
      </c>
    </row>
    <row r="608" spans="1:14" x14ac:dyDescent="0.2">
      <c r="A608" vm="1137">
        <f ca="1"/>
        <v>45128</v>
      </c>
      <c r="B608" vm="1138">
        <f ca="1"/>
        <v>31.98</v>
      </c>
      <c r="C608">
        <f t="shared" ca="1" si="126"/>
        <v>0.28999999999999915</v>
      </c>
      <c r="D608">
        <f t="shared" ca="1" si="127"/>
        <v>0.28999999999999915</v>
      </c>
      <c r="E608">
        <f t="shared" ca="1" si="128"/>
        <v>0</v>
      </c>
      <c r="F608">
        <f t="shared" ca="1" si="130"/>
        <v>0.2967342857525696</v>
      </c>
      <c r="G608">
        <f t="shared" ca="1" si="131"/>
        <v>0.10720568182621562</v>
      </c>
      <c r="H608">
        <f t="shared" ca="1" si="132"/>
        <v>2.7678970059962573</v>
      </c>
      <c r="I608">
        <f t="shared" ca="1" si="133"/>
        <v>73.459996427487454</v>
      </c>
      <c r="J608">
        <f t="shared" ca="1" si="134"/>
        <v>0</v>
      </c>
      <c r="K608">
        <f t="shared" ca="1" si="135"/>
        <v>0</v>
      </c>
      <c r="L608">
        <f t="shared" ca="1" si="129"/>
        <v>1</v>
      </c>
      <c r="M608" t="str">
        <f t="shared" ca="1" si="136"/>
        <v>na</v>
      </c>
      <c r="N608" t="str">
        <f t="shared" ca="1" si="137"/>
        <v>na</v>
      </c>
    </row>
    <row r="609" spans="1:14" x14ac:dyDescent="0.2">
      <c r="A609" vm="1139">
        <f ca="1"/>
        <v>45131</v>
      </c>
      <c r="B609" vm="1140">
        <f ca="1"/>
        <v>32.65</v>
      </c>
      <c r="C609">
        <f t="shared" ca="1" si="126"/>
        <v>0.66999999999999815</v>
      </c>
      <c r="D609">
        <f t="shared" ca="1" si="127"/>
        <v>0.66999999999999815</v>
      </c>
      <c r="E609">
        <f t="shared" ca="1" si="128"/>
        <v>0</v>
      </c>
      <c r="F609">
        <f t="shared" ca="1" si="130"/>
        <v>0.32339612248452881</v>
      </c>
      <c r="G609">
        <f t="shared" ca="1" si="131"/>
        <v>9.9548133124343074E-2</v>
      </c>
      <c r="H609">
        <f t="shared" ca="1" si="132"/>
        <v>3.2486407563322444</v>
      </c>
      <c r="I609">
        <f t="shared" ca="1" si="133"/>
        <v>76.463060603333346</v>
      </c>
      <c r="J609">
        <f t="shared" ca="1" si="134"/>
        <v>0</v>
      </c>
      <c r="K609">
        <f t="shared" ca="1" si="135"/>
        <v>0</v>
      </c>
      <c r="L609">
        <f t="shared" ca="1" si="129"/>
        <v>1</v>
      </c>
      <c r="M609" t="str">
        <f t="shared" ca="1" si="136"/>
        <v>na</v>
      </c>
      <c r="N609" t="str">
        <f t="shared" ca="1" si="137"/>
        <v>na</v>
      </c>
    </row>
    <row r="610" spans="1:14" x14ac:dyDescent="0.2">
      <c r="A610" vm="1141">
        <f ca="1"/>
        <v>45132</v>
      </c>
      <c r="B610" vm="1142">
        <f ca="1"/>
        <v>32.15</v>
      </c>
      <c r="C610">
        <f t="shared" ca="1" si="126"/>
        <v>-0.5</v>
      </c>
      <c r="D610">
        <f t="shared" ca="1" si="127"/>
        <v>0</v>
      </c>
      <c r="E610">
        <f t="shared" ca="1" si="128"/>
        <v>0.5</v>
      </c>
      <c r="F610">
        <f t="shared" ca="1" si="130"/>
        <v>0.30029639944991965</v>
      </c>
      <c r="G610">
        <f t="shared" ca="1" si="131"/>
        <v>0.12815183790117571</v>
      </c>
      <c r="H610">
        <f t="shared" ca="1" si="132"/>
        <v>2.3432859361837108</v>
      </c>
      <c r="I610">
        <f t="shared" ca="1" si="133"/>
        <v>70.089306775193791</v>
      </c>
      <c r="J610">
        <f t="shared" ca="1" si="134"/>
        <v>0</v>
      </c>
      <c r="K610">
        <f t="shared" ca="1" si="135"/>
        <v>0</v>
      </c>
      <c r="L610">
        <f t="shared" ca="1" si="129"/>
        <v>1</v>
      </c>
      <c r="M610" t="str">
        <f t="shared" ca="1" si="136"/>
        <v>na</v>
      </c>
      <c r="N610" t="str">
        <f t="shared" ca="1" si="137"/>
        <v>na</v>
      </c>
    </row>
    <row r="611" spans="1:14" x14ac:dyDescent="0.2">
      <c r="A611" vm="1143">
        <f ca="1"/>
        <v>45133</v>
      </c>
      <c r="B611" vm="1144">
        <f ca="1"/>
        <v>32.409999999999997</v>
      </c>
      <c r="C611">
        <f t="shared" ca="1" si="126"/>
        <v>0.25999999999999801</v>
      </c>
      <c r="D611">
        <f t="shared" ca="1" si="127"/>
        <v>0.25999999999999801</v>
      </c>
      <c r="E611">
        <f t="shared" ca="1" si="128"/>
        <v>0</v>
      </c>
      <c r="F611">
        <f t="shared" ca="1" si="130"/>
        <v>0.29741808520349666</v>
      </c>
      <c r="G611">
        <f t="shared" ca="1" si="131"/>
        <v>0.11899813519394888</v>
      </c>
      <c r="H611">
        <f t="shared" ca="1" si="132"/>
        <v>2.4993508067899586</v>
      </c>
      <c r="I611">
        <f t="shared" ca="1" si="133"/>
        <v>71.423270909002554</v>
      </c>
      <c r="J611">
        <f t="shared" ca="1" si="134"/>
        <v>0</v>
      </c>
      <c r="K611">
        <f t="shared" ca="1" si="135"/>
        <v>0</v>
      </c>
      <c r="L611">
        <f t="shared" ca="1" si="129"/>
        <v>1</v>
      </c>
      <c r="M611" t="str">
        <f t="shared" ca="1" si="136"/>
        <v>na</v>
      </c>
      <c r="N611" t="str">
        <f t="shared" ca="1" si="137"/>
        <v>na</v>
      </c>
    </row>
    <row r="612" spans="1:14" x14ac:dyDescent="0.2">
      <c r="A612" vm="1145">
        <f ca="1"/>
        <v>45134</v>
      </c>
      <c r="B612" vm="1146">
        <f ca="1"/>
        <v>31.95</v>
      </c>
      <c r="C612">
        <f t="shared" ca="1" si="126"/>
        <v>-0.4599999999999973</v>
      </c>
      <c r="D612">
        <f t="shared" ca="1" si="127"/>
        <v>0</v>
      </c>
      <c r="E612">
        <f t="shared" ca="1" si="128"/>
        <v>0.4599999999999973</v>
      </c>
      <c r="F612">
        <f t="shared" ca="1" si="130"/>
        <v>0.27617393626038977</v>
      </c>
      <c r="G612">
        <f t="shared" ca="1" si="131"/>
        <v>0.14335541125152376</v>
      </c>
      <c r="H612">
        <f t="shared" ca="1" si="132"/>
        <v>1.9264981618017174</v>
      </c>
      <c r="I612">
        <f t="shared" ca="1" si="133"/>
        <v>65.829467687608471</v>
      </c>
      <c r="J612">
        <f t="shared" ca="1" si="134"/>
        <v>0</v>
      </c>
      <c r="K612">
        <f t="shared" ca="1" si="135"/>
        <v>0</v>
      </c>
      <c r="L612">
        <f t="shared" ca="1" si="129"/>
        <v>0</v>
      </c>
      <c r="M612" t="str">
        <f t="shared" ca="1" si="136"/>
        <v>na</v>
      </c>
      <c r="N612" t="str">
        <f t="shared" ca="1" si="137"/>
        <v>na</v>
      </c>
    </row>
    <row r="613" spans="1:14" x14ac:dyDescent="0.2">
      <c r="A613" vm="1147">
        <f ca="1"/>
        <v>45135</v>
      </c>
      <c r="B613" vm="1148">
        <f ca="1"/>
        <v>31.9</v>
      </c>
      <c r="C613">
        <f t="shared" ca="1" si="126"/>
        <v>-5.0000000000000711E-2</v>
      </c>
      <c r="D613">
        <f t="shared" ca="1" si="127"/>
        <v>0</v>
      </c>
      <c r="E613">
        <f t="shared" ca="1" si="128"/>
        <v>5.0000000000000711E-2</v>
      </c>
      <c r="F613">
        <f t="shared" ca="1" si="130"/>
        <v>0.25644722652750479</v>
      </c>
      <c r="G613">
        <f t="shared" ca="1" si="131"/>
        <v>0.13668716759070068</v>
      </c>
      <c r="H613">
        <f t="shared" ca="1" si="132"/>
        <v>1.8761616839952122</v>
      </c>
      <c r="I613">
        <f t="shared" ca="1" si="133"/>
        <v>65.231440027706569</v>
      </c>
      <c r="J613">
        <f t="shared" ca="1" si="134"/>
        <v>0</v>
      </c>
      <c r="K613">
        <f t="shared" ca="1" si="135"/>
        <v>0</v>
      </c>
      <c r="L613">
        <f t="shared" ca="1" si="129"/>
        <v>0</v>
      </c>
      <c r="M613" t="str">
        <f t="shared" ca="1" si="136"/>
        <v>na</v>
      </c>
      <c r="N613" t="str">
        <f t="shared" ca="1" si="137"/>
        <v>na</v>
      </c>
    </row>
    <row r="614" spans="1:14" x14ac:dyDescent="0.2">
      <c r="A614" vm="1149">
        <f ca="1"/>
        <v>45138</v>
      </c>
      <c r="B614" vm="1150">
        <f ca="1"/>
        <v>32</v>
      </c>
      <c r="C614">
        <f t="shared" ca="1" si="126"/>
        <v>0.10000000000000142</v>
      </c>
      <c r="D614">
        <f t="shared" ca="1" si="127"/>
        <v>0.10000000000000142</v>
      </c>
      <c r="E614">
        <f t="shared" ca="1" si="128"/>
        <v>0</v>
      </c>
      <c r="F614">
        <f t="shared" ca="1" si="130"/>
        <v>0.24527242463268312</v>
      </c>
      <c r="G614">
        <f t="shared" ca="1" si="131"/>
        <v>0.12692379847707921</v>
      </c>
      <c r="H614">
        <f t="shared" ca="1" si="132"/>
        <v>1.9324384203406593</v>
      </c>
      <c r="I614">
        <f t="shared" ca="1" si="133"/>
        <v>65.898687145020062</v>
      </c>
      <c r="J614">
        <f t="shared" ca="1" si="134"/>
        <v>0</v>
      </c>
      <c r="K614">
        <f t="shared" ca="1" si="135"/>
        <v>0</v>
      </c>
      <c r="L614">
        <f t="shared" ca="1" si="129"/>
        <v>0</v>
      </c>
      <c r="M614" t="str">
        <f t="shared" ca="1" si="136"/>
        <v>na</v>
      </c>
      <c r="N614" t="str">
        <f t="shared" ca="1" si="137"/>
        <v>na</v>
      </c>
    </row>
    <row r="615" spans="1:14" x14ac:dyDescent="0.2">
      <c r="A615" vm="1151">
        <f ca="1"/>
        <v>45139</v>
      </c>
      <c r="B615" vm="1152">
        <f ca="1"/>
        <v>31.62</v>
      </c>
      <c r="C615">
        <f t="shared" ca="1" si="126"/>
        <v>-0.37999999999999901</v>
      </c>
      <c r="D615">
        <f t="shared" ca="1" si="127"/>
        <v>0</v>
      </c>
      <c r="E615">
        <f t="shared" ca="1" si="128"/>
        <v>0.37999999999999901</v>
      </c>
      <c r="F615">
        <f t="shared" ca="1" si="130"/>
        <v>0.22775296573034859</v>
      </c>
      <c r="G615">
        <f t="shared" ca="1" si="131"/>
        <v>0.14500067001443062</v>
      </c>
      <c r="H615">
        <f t="shared" ca="1" si="132"/>
        <v>1.5707028505984308</v>
      </c>
      <c r="I615">
        <f t="shared" ca="1" si="133"/>
        <v>61.100132605088476</v>
      </c>
      <c r="J615">
        <f t="shared" ca="1" si="134"/>
        <v>0</v>
      </c>
      <c r="K615">
        <f t="shared" ca="1" si="135"/>
        <v>0</v>
      </c>
      <c r="L615">
        <f t="shared" ca="1" si="129"/>
        <v>0</v>
      </c>
      <c r="M615" t="str">
        <f t="shared" ca="1" si="136"/>
        <v>na</v>
      </c>
      <c r="N615" t="str">
        <f t="shared" ca="1" si="137"/>
        <v>na</v>
      </c>
    </row>
    <row r="616" spans="1:14" x14ac:dyDescent="0.2">
      <c r="A616" vm="1153">
        <f ca="1"/>
        <v>45140</v>
      </c>
      <c r="B616" vm="1154">
        <f ca="1"/>
        <v>31.19</v>
      </c>
      <c r="C616">
        <f t="shared" ca="1" si="126"/>
        <v>-0.42999999999999972</v>
      </c>
      <c r="D616">
        <f t="shared" ca="1" si="127"/>
        <v>0</v>
      </c>
      <c r="E616">
        <f t="shared" ca="1" si="128"/>
        <v>0.42999999999999972</v>
      </c>
      <c r="F616">
        <f t="shared" ca="1" si="130"/>
        <v>0.21148489674960941</v>
      </c>
      <c r="G616">
        <f t="shared" ca="1" si="131"/>
        <v>0.16535776501339985</v>
      </c>
      <c r="H616">
        <f t="shared" ca="1" si="132"/>
        <v>1.2789535268118291</v>
      </c>
      <c r="I616">
        <f t="shared" ca="1" si="133"/>
        <v>56.120210954939367</v>
      </c>
      <c r="J616">
        <f t="shared" ca="1" si="134"/>
        <v>0</v>
      </c>
      <c r="K616">
        <f t="shared" ca="1" si="135"/>
        <v>0</v>
      </c>
      <c r="L616">
        <f t="shared" ca="1" si="129"/>
        <v>0</v>
      </c>
      <c r="M616" t="str">
        <f t="shared" ca="1" si="136"/>
        <v>na</v>
      </c>
      <c r="N616" t="str">
        <f t="shared" ca="1" si="137"/>
        <v>na</v>
      </c>
    </row>
    <row r="617" spans="1:14" x14ac:dyDescent="0.2">
      <c r="A617" vm="1155">
        <f ca="1"/>
        <v>45141</v>
      </c>
      <c r="B617" vm="1156">
        <f ca="1"/>
        <v>31.41</v>
      </c>
      <c r="C617">
        <f t="shared" ca="1" si="126"/>
        <v>0.21999999999999886</v>
      </c>
      <c r="D617">
        <f t="shared" ca="1" si="127"/>
        <v>0.21999999999999886</v>
      </c>
      <c r="E617">
        <f t="shared" ca="1" si="128"/>
        <v>0</v>
      </c>
      <c r="F617">
        <f t="shared" ca="1" si="130"/>
        <v>0.21209311841035153</v>
      </c>
      <c r="G617">
        <f t="shared" ca="1" si="131"/>
        <v>0.1535464960838713</v>
      </c>
      <c r="H617">
        <f t="shared" ca="1" si="132"/>
        <v>1.3812957235735321</v>
      </c>
      <c r="I617">
        <f t="shared" ca="1" si="133"/>
        <v>58.006055690582905</v>
      </c>
      <c r="J617">
        <f t="shared" ca="1" si="134"/>
        <v>0</v>
      </c>
      <c r="K617">
        <f t="shared" ca="1" si="135"/>
        <v>0</v>
      </c>
      <c r="L617">
        <f t="shared" ca="1" si="129"/>
        <v>0</v>
      </c>
      <c r="M617" t="str">
        <f t="shared" ca="1" si="136"/>
        <v>na</v>
      </c>
      <c r="N617" t="str">
        <f t="shared" ca="1" si="137"/>
        <v>na</v>
      </c>
    </row>
    <row r="618" spans="1:14" x14ac:dyDescent="0.2">
      <c r="A618" vm="1157">
        <f ca="1"/>
        <v>45142</v>
      </c>
      <c r="B618" vm="1158">
        <f ca="1"/>
        <v>31.3</v>
      </c>
      <c r="C618">
        <f t="shared" ca="1" si="126"/>
        <v>-0.10999999999999943</v>
      </c>
      <c r="D618">
        <f t="shared" ca="1" si="127"/>
        <v>0</v>
      </c>
      <c r="E618">
        <f t="shared" ca="1" si="128"/>
        <v>0.10999999999999943</v>
      </c>
      <c r="F618">
        <f t="shared" ca="1" si="130"/>
        <v>0.19694360995246929</v>
      </c>
      <c r="G618">
        <f t="shared" ca="1" si="131"/>
        <v>0.15043603207788045</v>
      </c>
      <c r="H618">
        <f t="shared" ca="1" si="132"/>
        <v>1.3091518516688339</v>
      </c>
      <c r="I618">
        <f t="shared" ca="1" si="133"/>
        <v>56.694056335996457</v>
      </c>
      <c r="J618">
        <f t="shared" ca="1" si="134"/>
        <v>0</v>
      </c>
      <c r="K618">
        <f t="shared" ca="1" si="135"/>
        <v>0</v>
      </c>
      <c r="L618">
        <f t="shared" ca="1" si="129"/>
        <v>0</v>
      </c>
      <c r="M618" t="str">
        <f t="shared" ca="1" si="136"/>
        <v>na</v>
      </c>
      <c r="N618" t="str">
        <f t="shared" ca="1" si="137"/>
        <v>na</v>
      </c>
    </row>
    <row r="619" spans="1:14" x14ac:dyDescent="0.2">
      <c r="A619" vm="1159">
        <f ca="1"/>
        <v>45145</v>
      </c>
      <c r="B619" vm="1160">
        <f ca="1"/>
        <v>31.88</v>
      </c>
      <c r="C619">
        <f t="shared" ca="1" si="126"/>
        <v>0.57999999999999829</v>
      </c>
      <c r="D619">
        <f t="shared" ca="1" si="127"/>
        <v>0.57999999999999829</v>
      </c>
      <c r="E619">
        <f t="shared" ca="1" si="128"/>
        <v>0</v>
      </c>
      <c r="F619">
        <f t="shared" ca="1" si="130"/>
        <v>0.22430478067014992</v>
      </c>
      <c r="G619">
        <f t="shared" ca="1" si="131"/>
        <v>0.13969060121517471</v>
      </c>
      <c r="H619">
        <f t="shared" ca="1" si="132"/>
        <v>1.6057256445237742</v>
      </c>
      <c r="I619">
        <f t="shared" ca="1" si="133"/>
        <v>61.622974310376364</v>
      </c>
      <c r="J619">
        <f t="shared" ca="1" si="134"/>
        <v>0</v>
      </c>
      <c r="K619">
        <f t="shared" ca="1" si="135"/>
        <v>0</v>
      </c>
      <c r="L619">
        <f t="shared" ca="1" si="129"/>
        <v>0</v>
      </c>
      <c r="M619" t="str">
        <f t="shared" ca="1" si="136"/>
        <v>na</v>
      </c>
      <c r="N619" t="str">
        <f t="shared" ca="1" si="137"/>
        <v>na</v>
      </c>
    </row>
    <row r="620" spans="1:14" x14ac:dyDescent="0.2">
      <c r="A620" vm="1161">
        <f ca="1"/>
        <v>45146</v>
      </c>
      <c r="B620" vm="1162">
        <f ca="1"/>
        <v>31.27</v>
      </c>
      <c r="C620">
        <f t="shared" ca="1" si="126"/>
        <v>-0.60999999999999943</v>
      </c>
      <c r="D620">
        <f t="shared" ca="1" si="127"/>
        <v>0</v>
      </c>
      <c r="E620">
        <f t="shared" ca="1" si="128"/>
        <v>0.60999999999999943</v>
      </c>
      <c r="F620">
        <f t="shared" ca="1" si="130"/>
        <v>0.20828301062228208</v>
      </c>
      <c r="G620">
        <f t="shared" ca="1" si="131"/>
        <v>0.17328412969980506</v>
      </c>
      <c r="H620">
        <f t="shared" ca="1" si="132"/>
        <v>1.2019739544706638</v>
      </c>
      <c r="I620">
        <f t="shared" ca="1" si="133"/>
        <v>54.586202167845734</v>
      </c>
      <c r="J620">
        <f t="shared" ca="1" si="134"/>
        <v>0</v>
      </c>
      <c r="K620">
        <f t="shared" ca="1" si="135"/>
        <v>0</v>
      </c>
      <c r="L620">
        <f t="shared" ca="1" si="129"/>
        <v>0</v>
      </c>
      <c r="M620" t="str">
        <f t="shared" ca="1" si="136"/>
        <v>na</v>
      </c>
      <c r="N620" t="str">
        <f t="shared" ca="1" si="137"/>
        <v>na</v>
      </c>
    </row>
    <row r="621" spans="1:14" x14ac:dyDescent="0.2">
      <c r="A621" vm="1163">
        <f ca="1"/>
        <v>45147</v>
      </c>
      <c r="B621" vm="1164">
        <f ca="1"/>
        <v>30.86</v>
      </c>
      <c r="C621">
        <f t="shared" ca="1" si="126"/>
        <v>-0.41000000000000014</v>
      </c>
      <c r="D621">
        <f t="shared" ca="1" si="127"/>
        <v>0</v>
      </c>
      <c r="E621">
        <f t="shared" ca="1" si="128"/>
        <v>0.41000000000000014</v>
      </c>
      <c r="F621">
        <f t="shared" ca="1" si="130"/>
        <v>0.19340565272069049</v>
      </c>
      <c r="G621">
        <f t="shared" ca="1" si="131"/>
        <v>0.190192406149819</v>
      </c>
      <c r="H621">
        <f t="shared" ca="1" si="132"/>
        <v>1.0168947153880599</v>
      </c>
      <c r="I621">
        <f t="shared" ca="1" si="133"/>
        <v>50.418829878901462</v>
      </c>
      <c r="J621">
        <f t="shared" ca="1" si="134"/>
        <v>0</v>
      </c>
      <c r="K621">
        <f t="shared" ca="1" si="135"/>
        <v>0</v>
      </c>
      <c r="L621">
        <f t="shared" ca="1" si="129"/>
        <v>0</v>
      </c>
      <c r="M621" t="str">
        <f t="shared" ca="1" si="136"/>
        <v>na</v>
      </c>
      <c r="N621" t="str">
        <f t="shared" ca="1" si="137"/>
        <v>na</v>
      </c>
    </row>
    <row r="622" spans="1:14" x14ac:dyDescent="0.2">
      <c r="A622" vm="1165">
        <f ca="1"/>
        <v>45148</v>
      </c>
      <c r="B622" vm="1166">
        <f ca="1"/>
        <v>30.94</v>
      </c>
      <c r="C622">
        <f t="shared" ca="1" si="126"/>
        <v>8.0000000000001847E-2</v>
      </c>
      <c r="D622">
        <f t="shared" ca="1" si="127"/>
        <v>8.0000000000001847E-2</v>
      </c>
      <c r="E622">
        <f t="shared" ca="1" si="128"/>
        <v>0</v>
      </c>
      <c r="F622">
        <f t="shared" ca="1" si="130"/>
        <v>0.185305248954927</v>
      </c>
      <c r="G622">
        <f t="shared" ca="1" si="131"/>
        <v>0.17660723428197481</v>
      </c>
      <c r="H622">
        <f t="shared" ca="1" si="132"/>
        <v>1.0492506137039934</v>
      </c>
      <c r="I622">
        <f t="shared" ca="1" si="133"/>
        <v>51.20167375758335</v>
      </c>
      <c r="J622">
        <f t="shared" ca="1" si="134"/>
        <v>0</v>
      </c>
      <c r="K622">
        <f t="shared" ca="1" si="135"/>
        <v>0</v>
      </c>
      <c r="L622">
        <f t="shared" ca="1" si="129"/>
        <v>0</v>
      </c>
      <c r="M622" t="str">
        <f t="shared" ca="1" si="136"/>
        <v>na</v>
      </c>
      <c r="N622" t="str">
        <f t="shared" ca="1" si="137"/>
        <v>na</v>
      </c>
    </row>
    <row r="623" spans="1:14" x14ac:dyDescent="0.2">
      <c r="A623" vm="1167">
        <f ca="1"/>
        <v>45149</v>
      </c>
      <c r="B623" vm="1168">
        <f ca="1"/>
        <v>31.29</v>
      </c>
      <c r="C623">
        <f t="shared" ca="1" si="126"/>
        <v>0.34999999999999787</v>
      </c>
      <c r="D623">
        <f t="shared" ca="1" si="127"/>
        <v>0.34999999999999787</v>
      </c>
      <c r="E623">
        <f t="shared" ca="1" si="128"/>
        <v>0</v>
      </c>
      <c r="F623">
        <f t="shared" ca="1" si="130"/>
        <v>0.19706915974386066</v>
      </c>
      <c r="G623">
        <f t="shared" ca="1" si="131"/>
        <v>0.16399243183326234</v>
      </c>
      <c r="H623">
        <f t="shared" ca="1" si="132"/>
        <v>1.2016966730771379</v>
      </c>
      <c r="I623">
        <f t="shared" ca="1" si="133"/>
        <v>54.580482760035302</v>
      </c>
      <c r="J623">
        <f t="shared" ca="1" si="134"/>
        <v>0</v>
      </c>
      <c r="K623">
        <f t="shared" ca="1" si="135"/>
        <v>0</v>
      </c>
      <c r="L623">
        <f t="shared" ca="1" si="129"/>
        <v>0</v>
      </c>
      <c r="M623" t="str">
        <f t="shared" ca="1" si="136"/>
        <v>na</v>
      </c>
      <c r="N623" t="str">
        <f t="shared" ca="1" si="137"/>
        <v>na</v>
      </c>
    </row>
    <row r="624" spans="1:14" x14ac:dyDescent="0.2">
      <c r="A624" vm="1169">
        <f ca="1"/>
        <v>45152</v>
      </c>
      <c r="B624" vm="1170">
        <f ca="1"/>
        <v>30.93</v>
      </c>
      <c r="C624">
        <f t="shared" ca="1" si="126"/>
        <v>-0.35999999999999943</v>
      </c>
      <c r="D624">
        <f t="shared" ca="1" si="127"/>
        <v>0</v>
      </c>
      <c r="E624">
        <f t="shared" ca="1" si="128"/>
        <v>0.35999999999999943</v>
      </c>
      <c r="F624">
        <f t="shared" ca="1" si="130"/>
        <v>0.18299279119072778</v>
      </c>
      <c r="G624">
        <f t="shared" ca="1" si="131"/>
        <v>0.1779929724166007</v>
      </c>
      <c r="H624">
        <f t="shared" ca="1" si="132"/>
        <v>1.0280899785325501</v>
      </c>
      <c r="I624">
        <f t="shared" ca="1" si="133"/>
        <v>50.692522985416922</v>
      </c>
      <c r="J624">
        <f t="shared" ca="1" si="134"/>
        <v>0</v>
      </c>
      <c r="K624">
        <f t="shared" ca="1" si="135"/>
        <v>0</v>
      </c>
      <c r="L624">
        <f t="shared" ca="1" si="129"/>
        <v>0</v>
      </c>
      <c r="M624" t="str">
        <f t="shared" ca="1" si="136"/>
        <v>na</v>
      </c>
      <c r="N624" t="str">
        <f t="shared" ca="1" si="137"/>
        <v>na</v>
      </c>
    </row>
    <row r="625" spans="1:14" x14ac:dyDescent="0.2">
      <c r="A625" vm="1171">
        <f ca="1"/>
        <v>45153</v>
      </c>
      <c r="B625" vm="1172">
        <f ca="1"/>
        <v>29.94</v>
      </c>
      <c r="C625">
        <f t="shared" ca="1" si="126"/>
        <v>-0.98999999999999844</v>
      </c>
      <c r="D625">
        <f t="shared" ca="1" si="127"/>
        <v>0</v>
      </c>
      <c r="E625">
        <f t="shared" ca="1" si="128"/>
        <v>0.98999999999999844</v>
      </c>
      <c r="F625">
        <f t="shared" ca="1" si="130"/>
        <v>0.16992187753424723</v>
      </c>
      <c r="G625">
        <f t="shared" ca="1" si="131"/>
        <v>0.2359934743868434</v>
      </c>
      <c r="H625">
        <f t="shared" ca="1" si="132"/>
        <v>0.72002786507439265</v>
      </c>
      <c r="I625">
        <f t="shared" ca="1" si="133"/>
        <v>41.861406997801794</v>
      </c>
      <c r="J625">
        <f t="shared" ca="1" si="134"/>
        <v>0</v>
      </c>
      <c r="K625">
        <f t="shared" ca="1" si="135"/>
        <v>0</v>
      </c>
      <c r="L625">
        <f t="shared" ca="1" si="129"/>
        <v>0</v>
      </c>
      <c r="M625" t="str">
        <f t="shared" ca="1" si="136"/>
        <v>na</v>
      </c>
      <c r="N625" t="str">
        <f t="shared" ca="1" si="137"/>
        <v>na</v>
      </c>
    </row>
    <row r="626" spans="1:14" x14ac:dyDescent="0.2">
      <c r="A626" vm="1173">
        <f ca="1"/>
        <v>45154</v>
      </c>
      <c r="B626" vm="52">
        <f ca="1"/>
        <v>29.29</v>
      </c>
      <c r="C626">
        <f t="shared" ca="1" si="126"/>
        <v>-0.65000000000000213</v>
      </c>
      <c r="D626">
        <f t="shared" ca="1" si="127"/>
        <v>0</v>
      </c>
      <c r="E626">
        <f t="shared" ca="1" si="128"/>
        <v>0.65000000000000213</v>
      </c>
      <c r="F626">
        <f t="shared" ca="1" si="130"/>
        <v>0.15778460056751528</v>
      </c>
      <c r="G626">
        <f t="shared" ca="1" si="131"/>
        <v>0.26556536907349759</v>
      </c>
      <c r="H626">
        <f t="shared" ca="1" si="132"/>
        <v>0.59414599545864344</v>
      </c>
      <c r="I626">
        <f t="shared" ca="1" si="133"/>
        <v>37.270488220729419</v>
      </c>
      <c r="J626">
        <f t="shared" ca="1" si="134"/>
        <v>1</v>
      </c>
      <c r="K626">
        <f t="shared" ca="1" si="135"/>
        <v>1</v>
      </c>
      <c r="L626">
        <f t="shared" ca="1" si="129"/>
        <v>0</v>
      </c>
      <c r="M626" vm="52">
        <f t="shared" ca="1" si="136"/>
        <v>29.29</v>
      </c>
      <c r="N626" t="str">
        <f t="shared" ca="1" si="137"/>
        <v>na</v>
      </c>
    </row>
    <row r="627" spans="1:14" x14ac:dyDescent="0.2">
      <c r="A627" vm="1174">
        <f ca="1"/>
        <v>45155</v>
      </c>
      <c r="B627" vm="1032">
        <f ca="1"/>
        <v>29.28</v>
      </c>
      <c r="C627">
        <f t="shared" ca="1" si="126"/>
        <v>-9.9999999999980105E-3</v>
      </c>
      <c r="D627">
        <f t="shared" ca="1" si="127"/>
        <v>0</v>
      </c>
      <c r="E627">
        <f t="shared" ca="1" si="128"/>
        <v>9.9999999999980105E-3</v>
      </c>
      <c r="F627">
        <f t="shared" ca="1" si="130"/>
        <v>0.14651427195554989</v>
      </c>
      <c r="G627">
        <f t="shared" ca="1" si="131"/>
        <v>0.2473106998539619</v>
      </c>
      <c r="H627">
        <f t="shared" ca="1" si="132"/>
        <v>0.59242997590507507</v>
      </c>
      <c r="I627">
        <f t="shared" ca="1" si="133"/>
        <v>37.202890228712313</v>
      </c>
      <c r="J627">
        <f t="shared" ca="1" si="134"/>
        <v>1</v>
      </c>
      <c r="K627">
        <f t="shared" ca="1" si="135"/>
        <v>1</v>
      </c>
      <c r="L627">
        <f t="shared" ca="1" si="129"/>
        <v>0</v>
      </c>
      <c r="M627" t="str">
        <f t="shared" ca="1" si="136"/>
        <v>na</v>
      </c>
      <c r="N627" t="str">
        <f t="shared" ca="1" si="137"/>
        <v>na</v>
      </c>
    </row>
    <row r="628" spans="1:14" x14ac:dyDescent="0.2">
      <c r="A628" vm="1175">
        <f ca="1"/>
        <v>45156</v>
      </c>
      <c r="B628" vm="1131">
        <f ca="1"/>
        <v>29.11</v>
      </c>
      <c r="C628">
        <f t="shared" ca="1" si="126"/>
        <v>-0.17000000000000171</v>
      </c>
      <c r="D628">
        <f t="shared" ca="1" si="127"/>
        <v>0</v>
      </c>
      <c r="E628">
        <f t="shared" ca="1" si="128"/>
        <v>0.17000000000000171</v>
      </c>
      <c r="F628">
        <f t="shared" ca="1" si="130"/>
        <v>0.13604896681586776</v>
      </c>
      <c r="G628">
        <f t="shared" ca="1" si="131"/>
        <v>0.24178850700725046</v>
      </c>
      <c r="H628">
        <f t="shared" ca="1" si="132"/>
        <v>0.5626775585813435</v>
      </c>
      <c r="I628">
        <f t="shared" ca="1" si="133"/>
        <v>36.007271973123039</v>
      </c>
      <c r="J628">
        <f t="shared" ca="1" si="134"/>
        <v>1</v>
      </c>
      <c r="K628">
        <f t="shared" ca="1" si="135"/>
        <v>1</v>
      </c>
      <c r="L628">
        <f t="shared" ca="1" si="129"/>
        <v>0</v>
      </c>
      <c r="M628" t="str">
        <f t="shared" ca="1" si="136"/>
        <v>na</v>
      </c>
      <c r="N628" t="str">
        <f t="shared" ca="1" si="137"/>
        <v>na</v>
      </c>
    </row>
    <row r="629" spans="1:14" x14ac:dyDescent="0.2">
      <c r="A629" vm="1176">
        <f ca="1"/>
        <v>45159</v>
      </c>
      <c r="B629" vm="1177">
        <f ca="1"/>
        <v>29.15</v>
      </c>
      <c r="C629">
        <f t="shared" ca="1" si="126"/>
        <v>3.9999999999999147E-2</v>
      </c>
      <c r="D629">
        <f t="shared" ca="1" si="127"/>
        <v>3.9999999999999147E-2</v>
      </c>
      <c r="E629">
        <f t="shared" ca="1" si="128"/>
        <v>0</v>
      </c>
      <c r="F629">
        <f t="shared" ca="1" si="130"/>
        <v>0.12918832632902</v>
      </c>
      <c r="G629">
        <f t="shared" ca="1" si="131"/>
        <v>0.22451789936387542</v>
      </c>
      <c r="H629">
        <f t="shared" ca="1" si="132"/>
        <v>0.57540323820527517</v>
      </c>
      <c r="I629">
        <f t="shared" ca="1" si="133"/>
        <v>36.524187855598406</v>
      </c>
      <c r="J629">
        <f t="shared" ca="1" si="134"/>
        <v>1</v>
      </c>
      <c r="K629">
        <f t="shared" ca="1" si="135"/>
        <v>1</v>
      </c>
      <c r="L629">
        <f t="shared" ca="1" si="129"/>
        <v>0</v>
      </c>
      <c r="M629" t="str">
        <f t="shared" ca="1" si="136"/>
        <v>na</v>
      </c>
      <c r="N629" t="str">
        <f t="shared" ca="1" si="137"/>
        <v>na</v>
      </c>
    </row>
    <row r="630" spans="1:14" x14ac:dyDescent="0.2">
      <c r="A630" vm="1178">
        <f ca="1"/>
        <v>45160</v>
      </c>
      <c r="B630" vm="1028">
        <f ca="1"/>
        <v>28.44</v>
      </c>
      <c r="C630">
        <f t="shared" ca="1" si="126"/>
        <v>-0.7099999999999973</v>
      </c>
      <c r="D630">
        <f t="shared" ca="1" si="127"/>
        <v>0</v>
      </c>
      <c r="E630">
        <f t="shared" ca="1" si="128"/>
        <v>0.7099999999999973</v>
      </c>
      <c r="F630">
        <f t="shared" ca="1" si="130"/>
        <v>0.11996058873408999</v>
      </c>
      <c r="G630">
        <f t="shared" ca="1" si="131"/>
        <v>0.25919519226645554</v>
      </c>
      <c r="H630">
        <f t="shared" ca="1" si="132"/>
        <v>0.46281949786618409</v>
      </c>
      <c r="I630">
        <f t="shared" ca="1" si="133"/>
        <v>31.638865802739119</v>
      </c>
      <c r="J630">
        <f t="shared" ca="1" si="134"/>
        <v>1</v>
      </c>
      <c r="K630">
        <f t="shared" ca="1" si="135"/>
        <v>1</v>
      </c>
      <c r="L630">
        <f t="shared" ca="1" si="129"/>
        <v>0</v>
      </c>
      <c r="M630" t="str">
        <f t="shared" ca="1" si="136"/>
        <v>na</v>
      </c>
      <c r="N630" t="str">
        <f t="shared" ca="1" si="137"/>
        <v>na</v>
      </c>
    </row>
    <row r="631" spans="1:14" x14ac:dyDescent="0.2">
      <c r="A631" vm="1179">
        <f ca="1"/>
        <v>45161</v>
      </c>
      <c r="B631" vm="1180">
        <f ca="1"/>
        <v>28.45</v>
      </c>
      <c r="C631">
        <f t="shared" ca="1" si="126"/>
        <v>9.9999999999980105E-3</v>
      </c>
      <c r="D631">
        <f t="shared" ca="1" si="127"/>
        <v>9.9999999999980105E-3</v>
      </c>
      <c r="E631">
        <f t="shared" ca="1" si="128"/>
        <v>0</v>
      </c>
      <c r="F631">
        <f t="shared" ca="1" si="130"/>
        <v>0.11210626096736913</v>
      </c>
      <c r="G631">
        <f t="shared" ca="1" si="131"/>
        <v>0.24068124996170873</v>
      </c>
      <c r="H631">
        <f t="shared" ca="1" si="132"/>
        <v>0.46578726421441102</v>
      </c>
      <c r="I631">
        <f t="shared" ca="1" si="133"/>
        <v>31.777275978997523</v>
      </c>
      <c r="J631">
        <f t="shared" ca="1" si="134"/>
        <v>1</v>
      </c>
      <c r="K631">
        <f t="shared" ca="1" si="135"/>
        <v>1</v>
      </c>
      <c r="L631">
        <f t="shared" ca="1" si="129"/>
        <v>0</v>
      </c>
      <c r="M631" t="str">
        <f t="shared" ca="1" si="136"/>
        <v>na</v>
      </c>
      <c r="N631" t="str">
        <f t="shared" ca="1" si="137"/>
        <v>na</v>
      </c>
    </row>
    <row r="632" spans="1:14" x14ac:dyDescent="0.2">
      <c r="A632" vm="1181">
        <f ca="1"/>
        <v>45162</v>
      </c>
      <c r="B632" vm="1182">
        <f ca="1"/>
        <v>28.62</v>
      </c>
      <c r="C632">
        <f t="shared" ca="1" si="126"/>
        <v>0.17000000000000171</v>
      </c>
      <c r="D632">
        <f t="shared" ca="1" si="127"/>
        <v>0.17000000000000171</v>
      </c>
      <c r="E632">
        <f t="shared" ca="1" si="128"/>
        <v>0</v>
      </c>
      <c r="F632">
        <f t="shared" ca="1" si="130"/>
        <v>0.1162415280411286</v>
      </c>
      <c r="G632">
        <f t="shared" ca="1" si="131"/>
        <v>0.22348973210730097</v>
      </c>
      <c r="H632">
        <f t="shared" ca="1" si="132"/>
        <v>0.52012021735888603</v>
      </c>
      <c r="I632">
        <f t="shared" ca="1" si="133"/>
        <v>34.215729217953722</v>
      </c>
      <c r="J632">
        <f t="shared" ca="1" si="134"/>
        <v>1</v>
      </c>
      <c r="K632">
        <f t="shared" ca="1" si="135"/>
        <v>1</v>
      </c>
      <c r="L632">
        <f t="shared" ca="1" si="129"/>
        <v>0</v>
      </c>
      <c r="M632" t="str">
        <f t="shared" ca="1" si="136"/>
        <v>na</v>
      </c>
      <c r="N632" t="str">
        <f t="shared" ca="1" si="137"/>
        <v>na</v>
      </c>
    </row>
    <row r="633" spans="1:14" x14ac:dyDescent="0.2">
      <c r="A633" vm="1183">
        <f ca="1"/>
        <v>45163</v>
      </c>
      <c r="B633" vm="1184">
        <f ca="1"/>
        <v>28.5</v>
      </c>
      <c r="C633">
        <f t="shared" ca="1" si="126"/>
        <v>-0.12000000000000099</v>
      </c>
      <c r="D633">
        <f t="shared" ca="1" si="127"/>
        <v>0</v>
      </c>
      <c r="E633">
        <f t="shared" ca="1" si="128"/>
        <v>0.12000000000000099</v>
      </c>
      <c r="F633">
        <f t="shared" ca="1" si="130"/>
        <v>0.10793856175247656</v>
      </c>
      <c r="G633">
        <f t="shared" ca="1" si="131"/>
        <v>0.21609760838535097</v>
      </c>
      <c r="H633">
        <f t="shared" ca="1" si="132"/>
        <v>0.49948984886495207</v>
      </c>
      <c r="I633">
        <f t="shared" ca="1" si="133"/>
        <v>33.31065223569496</v>
      </c>
      <c r="J633">
        <f t="shared" ca="1" si="134"/>
        <v>1</v>
      </c>
      <c r="K633">
        <f t="shared" ca="1" si="135"/>
        <v>1</v>
      </c>
      <c r="L633">
        <f t="shared" ca="1" si="129"/>
        <v>0</v>
      </c>
      <c r="M633" t="str">
        <f t="shared" ca="1" si="136"/>
        <v>na</v>
      </c>
      <c r="N633" t="str">
        <f t="shared" ca="1" si="137"/>
        <v>na</v>
      </c>
    </row>
    <row r="634" spans="1:14" x14ac:dyDescent="0.2">
      <c r="A634" vm="1185">
        <f ca="1"/>
        <v>45166</v>
      </c>
      <c r="B634" vm="971">
        <f ca="1"/>
        <v>28.76</v>
      </c>
      <c r="C634">
        <f t="shared" ca="1" si="126"/>
        <v>0.26000000000000156</v>
      </c>
      <c r="D634">
        <f t="shared" ca="1" si="127"/>
        <v>0.26000000000000156</v>
      </c>
      <c r="E634">
        <f t="shared" ca="1" si="128"/>
        <v>0</v>
      </c>
      <c r="F634">
        <f t="shared" ca="1" si="130"/>
        <v>0.11880009305587121</v>
      </c>
      <c r="G634">
        <f t="shared" ca="1" si="131"/>
        <v>0.20066206492925448</v>
      </c>
      <c r="H634">
        <f t="shared" ca="1" si="132"/>
        <v>0.59204061862791768</v>
      </c>
      <c r="I634">
        <f t="shared" ca="1" si="133"/>
        <v>37.187532258954626</v>
      </c>
      <c r="J634">
        <f t="shared" ca="1" si="134"/>
        <v>1</v>
      </c>
      <c r="K634">
        <f t="shared" ca="1" si="135"/>
        <v>1</v>
      </c>
      <c r="L634">
        <f t="shared" ca="1" si="129"/>
        <v>0</v>
      </c>
      <c r="M634" t="str">
        <f t="shared" ca="1" si="136"/>
        <v>na</v>
      </c>
      <c r="N634" t="str">
        <f t="shared" ca="1" si="137"/>
        <v>na</v>
      </c>
    </row>
    <row r="635" spans="1:14" x14ac:dyDescent="0.2">
      <c r="A635" vm="1186">
        <f ca="1"/>
        <v>45167</v>
      </c>
      <c r="B635" vm="1187">
        <f ca="1"/>
        <v>29.17</v>
      </c>
      <c r="C635">
        <f t="shared" ca="1" si="126"/>
        <v>0.41000000000000014</v>
      </c>
      <c r="D635">
        <f t="shared" ca="1" si="127"/>
        <v>0.41000000000000014</v>
      </c>
      <c r="E635">
        <f t="shared" ca="1" si="128"/>
        <v>0</v>
      </c>
      <c r="F635">
        <f t="shared" ca="1" si="130"/>
        <v>0.13960008640902327</v>
      </c>
      <c r="G635">
        <f t="shared" ca="1" si="131"/>
        <v>0.1863290602914506</v>
      </c>
      <c r="H635">
        <f t="shared" ca="1" si="132"/>
        <v>0.74921263591768672</v>
      </c>
      <c r="I635">
        <f t="shared" ca="1" si="133"/>
        <v>42.831421436915726</v>
      </c>
      <c r="J635">
        <f t="shared" ca="1" si="134"/>
        <v>1</v>
      </c>
      <c r="K635">
        <f t="shared" ca="1" si="135"/>
        <v>0</v>
      </c>
      <c r="L635">
        <f t="shared" ca="1" si="129"/>
        <v>0</v>
      </c>
      <c r="M635" t="str">
        <f t="shared" ca="1" si="136"/>
        <v>na</v>
      </c>
      <c r="N635" t="str">
        <f t="shared" ca="1" si="137"/>
        <v>na</v>
      </c>
    </row>
    <row r="636" spans="1:14" x14ac:dyDescent="0.2">
      <c r="A636" vm="1188">
        <f ca="1"/>
        <v>45168</v>
      </c>
      <c r="B636" vm="1034">
        <f ca="1"/>
        <v>29.04</v>
      </c>
      <c r="C636">
        <f t="shared" ca="1" si="126"/>
        <v>-0.13000000000000256</v>
      </c>
      <c r="D636">
        <f t="shared" ca="1" si="127"/>
        <v>0</v>
      </c>
      <c r="E636">
        <f t="shared" ca="1" si="128"/>
        <v>0.13000000000000256</v>
      </c>
      <c r="F636">
        <f t="shared" ca="1" si="130"/>
        <v>0.12962865166552159</v>
      </c>
      <c r="G636">
        <f t="shared" ca="1" si="131"/>
        <v>0.18230555598491863</v>
      </c>
      <c r="H636">
        <f t="shared" ca="1" si="132"/>
        <v>0.7110515692469912</v>
      </c>
      <c r="I636">
        <f t="shared" ca="1" si="133"/>
        <v>41.556407885468616</v>
      </c>
      <c r="J636">
        <f t="shared" ca="1" si="134"/>
        <v>1</v>
      </c>
      <c r="K636">
        <f t="shared" ca="1" si="135"/>
        <v>0</v>
      </c>
      <c r="L636">
        <f t="shared" ca="1" si="129"/>
        <v>0</v>
      </c>
      <c r="M636" t="str">
        <f t="shared" ca="1" si="136"/>
        <v>na</v>
      </c>
      <c r="N636" t="str">
        <f t="shared" ca="1" si="137"/>
        <v>na</v>
      </c>
    </row>
    <row r="637" spans="1:14" x14ac:dyDescent="0.2">
      <c r="A637" vm="1189">
        <f ca="1"/>
        <v>45169</v>
      </c>
      <c r="B637" vm="992">
        <f ca="1"/>
        <v>28.67</v>
      </c>
      <c r="C637">
        <f t="shared" ca="1" si="126"/>
        <v>-0.36999999999999744</v>
      </c>
      <c r="D637">
        <f t="shared" ca="1" si="127"/>
        <v>0</v>
      </c>
      <c r="E637">
        <f t="shared" ca="1" si="128"/>
        <v>0.36999999999999744</v>
      </c>
      <c r="F637">
        <f t="shared" ca="1" si="130"/>
        <v>0.12036946226084147</v>
      </c>
      <c r="G637">
        <f t="shared" ca="1" si="131"/>
        <v>0.19571230198599568</v>
      </c>
      <c r="H637">
        <f t="shared" ca="1" si="132"/>
        <v>0.61503268337957917</v>
      </c>
      <c r="I637">
        <f t="shared" ca="1" si="133"/>
        <v>38.081748419640419</v>
      </c>
      <c r="J637">
        <f t="shared" ca="1" si="134"/>
        <v>1</v>
      </c>
      <c r="K637">
        <f t="shared" ca="1" si="135"/>
        <v>1</v>
      </c>
      <c r="L637">
        <f t="shared" ca="1" si="129"/>
        <v>0</v>
      </c>
      <c r="M637" t="str">
        <f t="shared" ca="1" si="136"/>
        <v>na</v>
      </c>
      <c r="N637" t="str">
        <f t="shared" ca="1" si="137"/>
        <v>na</v>
      </c>
    </row>
    <row r="638" spans="1:14" x14ac:dyDescent="0.2">
      <c r="A638" vm="1190">
        <f ca="1"/>
        <v>45170</v>
      </c>
      <c r="B638" vm="1191">
        <f ca="1"/>
        <v>28.98</v>
      </c>
      <c r="C638">
        <f t="shared" ca="1" si="126"/>
        <v>0.30999999999999872</v>
      </c>
      <c r="D638">
        <f t="shared" ca="1" si="127"/>
        <v>0.30999999999999872</v>
      </c>
      <c r="E638">
        <f t="shared" ca="1" si="128"/>
        <v>0</v>
      </c>
      <c r="F638">
        <f t="shared" ca="1" si="130"/>
        <v>0.13391450067078128</v>
      </c>
      <c r="G638">
        <f t="shared" ca="1" si="131"/>
        <v>0.18173285184413884</v>
      </c>
      <c r="H638">
        <f t="shared" ca="1" si="132"/>
        <v>0.73687558034708867</v>
      </c>
      <c r="I638">
        <f t="shared" ca="1" si="133"/>
        <v>42.425352091128772</v>
      </c>
      <c r="J638">
        <f t="shared" ca="1" si="134"/>
        <v>1</v>
      </c>
      <c r="K638">
        <f t="shared" ca="1" si="135"/>
        <v>0</v>
      </c>
      <c r="L638">
        <f t="shared" ca="1" si="129"/>
        <v>0</v>
      </c>
      <c r="M638" t="str">
        <f t="shared" ca="1" si="136"/>
        <v>na</v>
      </c>
      <c r="N638" t="str">
        <f t="shared" ca="1" si="137"/>
        <v>na</v>
      </c>
    </row>
    <row r="639" spans="1:14" x14ac:dyDescent="0.2">
      <c r="A639" vm="1192">
        <f ca="1"/>
        <v>45174</v>
      </c>
      <c r="B639" vm="1193">
        <f ca="1"/>
        <v>28.65</v>
      </c>
      <c r="C639">
        <f t="shared" ca="1" si="126"/>
        <v>-0.33000000000000185</v>
      </c>
      <c r="D639">
        <f t="shared" ca="1" si="127"/>
        <v>0</v>
      </c>
      <c r="E639">
        <f t="shared" ca="1" si="128"/>
        <v>0.33000000000000185</v>
      </c>
      <c r="F639">
        <f t="shared" ca="1" si="130"/>
        <v>0.1243491791942969</v>
      </c>
      <c r="G639">
        <f t="shared" ca="1" si="131"/>
        <v>0.19232336242670048</v>
      </c>
      <c r="H639">
        <f t="shared" ca="1" si="132"/>
        <v>0.64656304686691235</v>
      </c>
      <c r="I639">
        <f t="shared" ca="1" si="133"/>
        <v>39.267433342269854</v>
      </c>
      <c r="J639">
        <f t="shared" ca="1" si="134"/>
        <v>1</v>
      </c>
      <c r="K639">
        <f t="shared" ca="1" si="135"/>
        <v>1</v>
      </c>
      <c r="L639">
        <f t="shared" ca="1" si="129"/>
        <v>0</v>
      </c>
      <c r="M639" t="str">
        <f t="shared" ca="1" si="136"/>
        <v>na</v>
      </c>
      <c r="N639" t="str">
        <f t="shared" ca="1" si="137"/>
        <v>na</v>
      </c>
    </row>
    <row r="640" spans="1:14" x14ac:dyDescent="0.2">
      <c r="A640" vm="1194">
        <f ca="1"/>
        <v>45175</v>
      </c>
      <c r="B640" vm="1195">
        <f ca="1"/>
        <v>28.39</v>
      </c>
      <c r="C640">
        <f t="shared" ca="1" si="126"/>
        <v>-0.25999999999999801</v>
      </c>
      <c r="D640">
        <f t="shared" ca="1" si="127"/>
        <v>0</v>
      </c>
      <c r="E640">
        <f t="shared" ca="1" si="128"/>
        <v>0.25999999999999801</v>
      </c>
      <c r="F640">
        <f t="shared" ca="1" si="130"/>
        <v>0.11546709496613283</v>
      </c>
      <c r="G640">
        <f t="shared" ca="1" si="131"/>
        <v>0.1971574079676503</v>
      </c>
      <c r="H640">
        <f t="shared" ca="1" si="132"/>
        <v>0.58565942896286571</v>
      </c>
      <c r="I640">
        <f t="shared" ca="1" si="133"/>
        <v>36.934755235929117</v>
      </c>
      <c r="J640">
        <f t="shared" ca="1" si="134"/>
        <v>1</v>
      </c>
      <c r="K640">
        <f t="shared" ca="1" si="135"/>
        <v>1</v>
      </c>
      <c r="L640">
        <f t="shared" ca="1" si="129"/>
        <v>0</v>
      </c>
      <c r="M640" t="str">
        <f t="shared" ca="1" si="136"/>
        <v>na</v>
      </c>
      <c r="N640" t="str">
        <f t="shared" ca="1" si="137"/>
        <v>na</v>
      </c>
    </row>
    <row r="641" spans="1:14" x14ac:dyDescent="0.2">
      <c r="A641" vm="1196">
        <f ca="1"/>
        <v>45176</v>
      </c>
      <c r="B641" vm="1197">
        <f ca="1"/>
        <v>28.13</v>
      </c>
      <c r="C641">
        <f t="shared" ca="1" si="126"/>
        <v>-0.26000000000000156</v>
      </c>
      <c r="D641">
        <f t="shared" ca="1" si="127"/>
        <v>0</v>
      </c>
      <c r="E641">
        <f t="shared" ca="1" si="128"/>
        <v>0.26000000000000156</v>
      </c>
      <c r="F641">
        <f t="shared" ca="1" si="130"/>
        <v>0.10721944532569479</v>
      </c>
      <c r="G641">
        <f t="shared" ca="1" si="131"/>
        <v>0.20164616454138967</v>
      </c>
      <c r="H641">
        <f t="shared" ca="1" si="132"/>
        <v>0.5317207275900705</v>
      </c>
      <c r="I641">
        <f t="shared" ca="1" si="133"/>
        <v>34.71394739344241</v>
      </c>
      <c r="J641">
        <f t="shared" ca="1" si="134"/>
        <v>1</v>
      </c>
      <c r="K641">
        <f t="shared" ca="1" si="135"/>
        <v>1</v>
      </c>
      <c r="L641">
        <f t="shared" ca="1" si="129"/>
        <v>0</v>
      </c>
      <c r="M641" t="str">
        <f t="shared" ca="1" si="136"/>
        <v>na</v>
      </c>
      <c r="N641" t="str">
        <f t="shared" ca="1" si="137"/>
        <v>na</v>
      </c>
    </row>
    <row r="642" spans="1:14" x14ac:dyDescent="0.2">
      <c r="A642" vm="1198">
        <f ca="1"/>
        <v>45177</v>
      </c>
      <c r="B642" vm="1199">
        <f ca="1"/>
        <v>28.36</v>
      </c>
      <c r="C642">
        <f t="shared" ca="1" si="126"/>
        <v>0.23000000000000043</v>
      </c>
      <c r="D642">
        <f t="shared" ca="1" si="127"/>
        <v>0.23000000000000043</v>
      </c>
      <c r="E642">
        <f t="shared" ca="1" si="128"/>
        <v>0</v>
      </c>
      <c r="F642">
        <f t="shared" ca="1" si="130"/>
        <v>0.11598948494528805</v>
      </c>
      <c r="G642">
        <f t="shared" ca="1" si="131"/>
        <v>0.18724286707414756</v>
      </c>
      <c r="H642">
        <f t="shared" ca="1" si="132"/>
        <v>0.61946009884241193</v>
      </c>
      <c r="I642">
        <f t="shared" ca="1" si="133"/>
        <v>38.251025714384767</v>
      </c>
      <c r="J642">
        <f t="shared" ca="1" si="134"/>
        <v>1</v>
      </c>
      <c r="K642">
        <f t="shared" ca="1" si="135"/>
        <v>1</v>
      </c>
      <c r="L642">
        <f t="shared" ca="1" si="129"/>
        <v>0</v>
      </c>
      <c r="M642" t="str">
        <f t="shared" ca="1" si="136"/>
        <v>na</v>
      </c>
      <c r="N642" t="str">
        <f t="shared" ca="1" si="137"/>
        <v>na</v>
      </c>
    </row>
    <row r="643" spans="1:14" x14ac:dyDescent="0.2">
      <c r="A643" vm="1200">
        <f ca="1"/>
        <v>45180</v>
      </c>
      <c r="B643" vm="1008">
        <f ca="1"/>
        <v>28.48</v>
      </c>
      <c r="C643">
        <f t="shared" ca="1" si="126"/>
        <v>0.12000000000000099</v>
      </c>
      <c r="D643">
        <f t="shared" ca="1" si="127"/>
        <v>0.12000000000000099</v>
      </c>
      <c r="E643">
        <f t="shared" ca="1" si="128"/>
        <v>0</v>
      </c>
      <c r="F643">
        <f t="shared" ca="1" si="130"/>
        <v>0.11627595030633897</v>
      </c>
      <c r="G643">
        <f t="shared" ca="1" si="131"/>
        <v>0.17386837656885132</v>
      </c>
      <c r="H643">
        <f t="shared" ca="1" si="132"/>
        <v>0.66875847466312577</v>
      </c>
      <c r="I643">
        <f t="shared" ca="1" si="133"/>
        <v>40.075210692076261</v>
      </c>
      <c r="J643">
        <f t="shared" ca="1" si="134"/>
        <v>1</v>
      </c>
      <c r="K643">
        <f t="shared" ca="1" si="135"/>
        <v>0</v>
      </c>
      <c r="L643">
        <f t="shared" ca="1" si="129"/>
        <v>0</v>
      </c>
      <c r="M643" t="str">
        <f t="shared" ca="1" si="136"/>
        <v>na</v>
      </c>
      <c r="N643" t="str">
        <f t="shared" ca="1" si="137"/>
        <v>na</v>
      </c>
    </row>
    <row r="644" spans="1:14" x14ac:dyDescent="0.2">
      <c r="A644" vm="1201">
        <f ca="1"/>
        <v>45181</v>
      </c>
      <c r="B644" vm="975">
        <f ca="1"/>
        <v>28.97</v>
      </c>
      <c r="C644">
        <f t="shared" ca="1" si="126"/>
        <v>0.48999999999999844</v>
      </c>
      <c r="D644">
        <f t="shared" ca="1" si="127"/>
        <v>0.48999999999999844</v>
      </c>
      <c r="E644">
        <f t="shared" ca="1" si="128"/>
        <v>0</v>
      </c>
      <c r="F644">
        <f t="shared" ca="1" si="130"/>
        <v>0.1429705252844575</v>
      </c>
      <c r="G644">
        <f t="shared" ca="1" si="131"/>
        <v>0.16144920681393335</v>
      </c>
      <c r="H644">
        <f t="shared" ca="1" si="132"/>
        <v>0.88554492218241665</v>
      </c>
      <c r="I644">
        <f t="shared" ca="1" si="133"/>
        <v>46.964933678559412</v>
      </c>
      <c r="J644">
        <f t="shared" ca="1" si="134"/>
        <v>1</v>
      </c>
      <c r="K644">
        <f t="shared" ca="1" si="135"/>
        <v>0</v>
      </c>
      <c r="L644">
        <f t="shared" ca="1" si="129"/>
        <v>0</v>
      </c>
      <c r="M644" t="str">
        <f t="shared" ca="1" si="136"/>
        <v>na</v>
      </c>
      <c r="N644" t="str">
        <f t="shared" ca="1" si="137"/>
        <v>na</v>
      </c>
    </row>
    <row r="645" spans="1:14" x14ac:dyDescent="0.2">
      <c r="A645" vm="1202">
        <f ca="1"/>
        <v>45182</v>
      </c>
      <c r="B645" vm="1203">
        <f ca="1"/>
        <v>28.88</v>
      </c>
      <c r="C645">
        <f t="shared" ca="1" si="126"/>
        <v>-8.9999999999999858E-2</v>
      </c>
      <c r="D645">
        <f t="shared" ca="1" si="127"/>
        <v>0</v>
      </c>
      <c r="E645">
        <f t="shared" ca="1" si="128"/>
        <v>8.9999999999999858E-2</v>
      </c>
      <c r="F645">
        <f t="shared" ca="1" si="130"/>
        <v>0.13275834490699626</v>
      </c>
      <c r="G645">
        <f t="shared" ca="1" si="131"/>
        <v>0.15634569204150953</v>
      </c>
      <c r="H645">
        <f t="shared" ca="1" si="132"/>
        <v>0.84913337344625484</v>
      </c>
      <c r="I645">
        <f t="shared" ca="1" si="133"/>
        <v>45.920612630754349</v>
      </c>
      <c r="J645">
        <f t="shared" ca="1" si="134"/>
        <v>1</v>
      </c>
      <c r="K645">
        <f t="shared" ca="1" si="135"/>
        <v>0</v>
      </c>
      <c r="L645">
        <f t="shared" ca="1" si="129"/>
        <v>0</v>
      </c>
      <c r="M645" t="str">
        <f t="shared" ca="1" si="136"/>
        <v>na</v>
      </c>
      <c r="N645" t="str">
        <f t="shared" ca="1" si="137"/>
        <v>na</v>
      </c>
    </row>
    <row r="646" spans="1:14" x14ac:dyDescent="0.2">
      <c r="A646" vm="1204">
        <f ca="1"/>
        <v>45183</v>
      </c>
      <c r="B646" vm="1116">
        <f ca="1"/>
        <v>29.2</v>
      </c>
      <c r="C646">
        <f t="shared" ca="1" si="126"/>
        <v>0.32000000000000028</v>
      </c>
      <c r="D646">
        <f t="shared" ca="1" si="127"/>
        <v>0.32000000000000028</v>
      </c>
      <c r="E646">
        <f t="shared" ca="1" si="128"/>
        <v>0</v>
      </c>
      <c r="F646">
        <f t="shared" ca="1" si="130"/>
        <v>0.14613274884221084</v>
      </c>
      <c r="G646">
        <f t="shared" ca="1" si="131"/>
        <v>0.14517814260997314</v>
      </c>
      <c r="H646">
        <f t="shared" ca="1" si="132"/>
        <v>1.0065754129035958</v>
      </c>
      <c r="I646">
        <f t="shared" ca="1" si="133"/>
        <v>50.163846642924838</v>
      </c>
      <c r="J646">
        <f t="shared" ca="1" si="134"/>
        <v>1</v>
      </c>
      <c r="K646">
        <f t="shared" ca="1" si="135"/>
        <v>0</v>
      </c>
      <c r="L646">
        <f t="shared" ca="1" si="129"/>
        <v>0</v>
      </c>
      <c r="M646" t="str">
        <f t="shared" ca="1" si="136"/>
        <v>na</v>
      </c>
      <c r="N646" t="str">
        <f t="shared" ca="1" si="137"/>
        <v>na</v>
      </c>
    </row>
    <row r="647" spans="1:14" x14ac:dyDescent="0.2">
      <c r="A647" vm="1205">
        <f ca="1"/>
        <v>45184</v>
      </c>
      <c r="B647" vm="1026">
        <f ca="1"/>
        <v>28.84</v>
      </c>
      <c r="C647">
        <f t="shared" ca="1" si="126"/>
        <v>-0.35999999999999943</v>
      </c>
      <c r="D647">
        <f t="shared" ca="1" si="127"/>
        <v>0</v>
      </c>
      <c r="E647">
        <f t="shared" ca="1" si="128"/>
        <v>0.35999999999999943</v>
      </c>
      <c r="F647">
        <f t="shared" ca="1" si="130"/>
        <v>0.1356946953534815</v>
      </c>
      <c r="G647">
        <f t="shared" ca="1" si="131"/>
        <v>0.160522560994975</v>
      </c>
      <c r="H647">
        <f t="shared" ca="1" si="132"/>
        <v>0.84533098969016129</v>
      </c>
      <c r="I647">
        <f t="shared" ca="1" si="133"/>
        <v>45.80917973052064</v>
      </c>
      <c r="J647">
        <f t="shared" ca="1" si="134"/>
        <v>1</v>
      </c>
      <c r="K647">
        <f t="shared" ca="1" si="135"/>
        <v>0</v>
      </c>
      <c r="L647">
        <f t="shared" ca="1" si="129"/>
        <v>0</v>
      </c>
      <c r="M647" t="str">
        <f t="shared" ca="1" si="136"/>
        <v>na</v>
      </c>
      <c r="N647" t="str">
        <f t="shared" ca="1" si="137"/>
        <v>na</v>
      </c>
    </row>
    <row r="648" spans="1:14" x14ac:dyDescent="0.2">
      <c r="A648" vm="1206">
        <f ca="1"/>
        <v>45187</v>
      </c>
      <c r="B648" vm="971">
        <f ca="1"/>
        <v>28.76</v>
      </c>
      <c r="C648">
        <f t="shared" ca="1" si="126"/>
        <v>-7.9999999999998295E-2</v>
      </c>
      <c r="D648">
        <f t="shared" ca="1" si="127"/>
        <v>0</v>
      </c>
      <c r="E648">
        <f t="shared" ca="1" si="128"/>
        <v>7.9999999999998295E-2</v>
      </c>
      <c r="F648">
        <f t="shared" ca="1" si="130"/>
        <v>0.1260022171139471</v>
      </c>
      <c r="G648">
        <f t="shared" ca="1" si="131"/>
        <v>0.15477094949533379</v>
      </c>
      <c r="H648">
        <f t="shared" ca="1" si="132"/>
        <v>0.81412059255826918</v>
      </c>
      <c r="I648">
        <f t="shared" ca="1" si="133"/>
        <v>44.876872899072154</v>
      </c>
      <c r="J648">
        <f t="shared" ca="1" si="134"/>
        <v>1</v>
      </c>
      <c r="K648">
        <f t="shared" ca="1" si="135"/>
        <v>0</v>
      </c>
      <c r="L648">
        <f t="shared" ca="1" si="129"/>
        <v>0</v>
      </c>
      <c r="M648" t="str">
        <f t="shared" ca="1" si="136"/>
        <v>na</v>
      </c>
      <c r="N648" t="str">
        <f t="shared" ca="1" si="137"/>
        <v>na</v>
      </c>
    </row>
    <row r="649" spans="1:14" x14ac:dyDescent="0.2">
      <c r="A649" vm="1207">
        <f ca="1"/>
        <v>45188</v>
      </c>
      <c r="B649" vm="1193">
        <f ca="1"/>
        <v>28.65</v>
      </c>
      <c r="C649">
        <f t="shared" ref="C649:C712" ca="1" si="138">B649-B648</f>
        <v>-0.11000000000000298</v>
      </c>
      <c r="D649">
        <f t="shared" ref="D649:D712" ca="1" si="139">IF(C649&gt;0,C649,0)</f>
        <v>0</v>
      </c>
      <c r="E649">
        <f t="shared" ref="E649:E712" ca="1" si="140">IF(C649&lt;0,ABS(C649),0)</f>
        <v>0.11000000000000298</v>
      </c>
      <c r="F649">
        <f t="shared" ca="1" si="130"/>
        <v>0.11700205874866516</v>
      </c>
      <c r="G649">
        <f t="shared" ca="1" si="131"/>
        <v>0.15157302453138158</v>
      </c>
      <c r="H649">
        <f t="shared" ca="1" si="132"/>
        <v>0.77191874418552053</v>
      </c>
      <c r="I649">
        <f t="shared" ca="1" si="133"/>
        <v>43.564003525474327</v>
      </c>
      <c r="J649">
        <f t="shared" ca="1" si="134"/>
        <v>1</v>
      </c>
      <c r="K649">
        <f t="shared" ca="1" si="135"/>
        <v>0</v>
      </c>
      <c r="L649">
        <f t="shared" ca="1" si="129"/>
        <v>0</v>
      </c>
      <c r="M649" t="str">
        <f t="shared" ca="1" si="136"/>
        <v>na</v>
      </c>
      <c r="N649" t="str">
        <f t="shared" ca="1" si="137"/>
        <v>na</v>
      </c>
    </row>
    <row r="650" spans="1:14" x14ac:dyDescent="0.2">
      <c r="A650" vm="1208">
        <f ca="1"/>
        <v>45189</v>
      </c>
      <c r="B650" vm="1209">
        <f ca="1"/>
        <v>28.55</v>
      </c>
      <c r="C650">
        <f t="shared" ca="1" si="138"/>
        <v>-9.9999999999997868E-2</v>
      </c>
      <c r="D650">
        <f t="shared" ca="1" si="139"/>
        <v>0</v>
      </c>
      <c r="E650">
        <f t="shared" ca="1" si="140"/>
        <v>9.9999999999997868E-2</v>
      </c>
      <c r="F650">
        <f t="shared" ca="1" si="130"/>
        <v>0.10864476883804622</v>
      </c>
      <c r="G650">
        <f t="shared" ca="1" si="131"/>
        <v>0.14788923706485418</v>
      </c>
      <c r="H650">
        <f t="shared" ca="1" si="132"/>
        <v>0.73463607625754401</v>
      </c>
      <c r="I650">
        <f t="shared" ca="1" si="133"/>
        <v>42.351020269479939</v>
      </c>
      <c r="J650">
        <f t="shared" ca="1" si="134"/>
        <v>1</v>
      </c>
      <c r="K650">
        <f t="shared" ca="1" si="135"/>
        <v>0</v>
      </c>
      <c r="L650">
        <f t="shared" ca="1" si="129"/>
        <v>0</v>
      </c>
      <c r="M650" t="str">
        <f t="shared" ca="1" si="136"/>
        <v>na</v>
      </c>
      <c r="N650" t="str">
        <f t="shared" ca="1" si="137"/>
        <v>na</v>
      </c>
    </row>
    <row r="651" spans="1:14" x14ac:dyDescent="0.2">
      <c r="A651" vm="1210">
        <f ca="1"/>
        <v>45190</v>
      </c>
      <c r="B651" vm="1211">
        <f ca="1"/>
        <v>28.05</v>
      </c>
      <c r="C651">
        <f t="shared" ca="1" si="138"/>
        <v>-0.5</v>
      </c>
      <c r="D651">
        <f t="shared" ca="1" si="139"/>
        <v>0</v>
      </c>
      <c r="E651">
        <f t="shared" ca="1" si="140"/>
        <v>0.5</v>
      </c>
      <c r="F651">
        <f t="shared" ca="1" si="130"/>
        <v>0.10088442820675721</v>
      </c>
      <c r="G651">
        <f t="shared" ca="1" si="131"/>
        <v>0.17304000584593604</v>
      </c>
      <c r="H651">
        <f t="shared" ca="1" si="132"/>
        <v>0.58301216365294373</v>
      </c>
      <c r="I651">
        <f t="shared" ca="1" si="133"/>
        <v>36.829291463407991</v>
      </c>
      <c r="J651">
        <f t="shared" ca="1" si="134"/>
        <v>1</v>
      </c>
      <c r="K651">
        <f t="shared" ca="1" si="135"/>
        <v>1</v>
      </c>
      <c r="L651">
        <f t="shared" ca="1" si="129"/>
        <v>0</v>
      </c>
      <c r="M651" t="str">
        <f t="shared" ca="1" si="136"/>
        <v>na</v>
      </c>
      <c r="N651" t="str">
        <f t="shared" ca="1" si="137"/>
        <v>na</v>
      </c>
    </row>
    <row r="652" spans="1:14" x14ac:dyDescent="0.2">
      <c r="A652" vm="1212">
        <f ca="1"/>
        <v>45191</v>
      </c>
      <c r="B652" vm="983">
        <f ca="1"/>
        <v>27.64</v>
      </c>
      <c r="C652">
        <f t="shared" ca="1" si="138"/>
        <v>-0.41000000000000014</v>
      </c>
      <c r="D652">
        <f t="shared" ca="1" si="139"/>
        <v>0</v>
      </c>
      <c r="E652">
        <f t="shared" ca="1" si="140"/>
        <v>0.41000000000000014</v>
      </c>
      <c r="F652">
        <f t="shared" ca="1" si="130"/>
        <v>9.3678397620560266E-2</v>
      </c>
      <c r="G652">
        <f t="shared" ca="1" si="131"/>
        <v>0.18996571971408346</v>
      </c>
      <c r="H652">
        <f t="shared" ca="1" si="132"/>
        <v>0.49313317035070958</v>
      </c>
      <c r="I652">
        <f t="shared" ca="1" si="133"/>
        <v>33.02673734285078</v>
      </c>
      <c r="J652">
        <f t="shared" ca="1" si="134"/>
        <v>1</v>
      </c>
      <c r="K652">
        <f t="shared" ca="1" si="135"/>
        <v>1</v>
      </c>
      <c r="L652">
        <f t="shared" ca="1" si="129"/>
        <v>0</v>
      </c>
      <c r="M652" t="str">
        <f t="shared" ca="1" si="136"/>
        <v>na</v>
      </c>
      <c r="N652" t="str">
        <f t="shared" ca="1" si="137"/>
        <v>na</v>
      </c>
    </row>
    <row r="653" spans="1:14" x14ac:dyDescent="0.2">
      <c r="A653" vm="1213">
        <f ca="1"/>
        <v>45194</v>
      </c>
      <c r="B653" vm="1214">
        <f ca="1"/>
        <v>27.6</v>
      </c>
      <c r="C653">
        <f t="shared" ca="1" si="138"/>
        <v>-3.9999999999999147E-2</v>
      </c>
      <c r="D653">
        <f t="shared" ca="1" si="139"/>
        <v>0</v>
      </c>
      <c r="E653">
        <f t="shared" ca="1" si="140"/>
        <v>3.9999999999999147E-2</v>
      </c>
      <c r="F653">
        <f t="shared" ca="1" si="130"/>
        <v>8.6987083504805968E-2</v>
      </c>
      <c r="G653">
        <f t="shared" ca="1" si="131"/>
        <v>0.17925388259164884</v>
      </c>
      <c r="H653">
        <f t="shared" ca="1" si="132"/>
        <v>0.4852730788708649</v>
      </c>
      <c r="I653">
        <f t="shared" ca="1" si="133"/>
        <v>32.672313648866464</v>
      </c>
      <c r="J653">
        <f t="shared" ca="1" si="134"/>
        <v>1</v>
      </c>
      <c r="K653">
        <f t="shared" ca="1" si="135"/>
        <v>1</v>
      </c>
      <c r="L653">
        <f t="shared" ca="1" si="129"/>
        <v>0</v>
      </c>
      <c r="M653" t="str">
        <f t="shared" ca="1" si="136"/>
        <v>na</v>
      </c>
      <c r="N653" t="str">
        <f t="shared" ca="1" si="137"/>
        <v>na</v>
      </c>
    </row>
    <row r="654" spans="1:14" x14ac:dyDescent="0.2">
      <c r="A654" vm="1215">
        <f ca="1"/>
        <v>45195</v>
      </c>
      <c r="B654" vm="1216">
        <f ca="1"/>
        <v>27.17</v>
      </c>
      <c r="C654">
        <f t="shared" ca="1" si="138"/>
        <v>-0.42999999999999972</v>
      </c>
      <c r="D654">
        <f t="shared" ca="1" si="139"/>
        <v>0</v>
      </c>
      <c r="E654">
        <f t="shared" ca="1" si="140"/>
        <v>0.42999999999999972</v>
      </c>
      <c r="F654">
        <f t="shared" ca="1" si="130"/>
        <v>8.0773720397319823E-2</v>
      </c>
      <c r="G654">
        <f t="shared" ca="1" si="131"/>
        <v>0.19716431954938818</v>
      </c>
      <c r="H654">
        <f t="shared" ca="1" si="132"/>
        <v>0.4096771696923926</v>
      </c>
      <c r="I654">
        <f t="shared" ca="1" si="133"/>
        <v>29.061772333433538</v>
      </c>
      <c r="J654">
        <f t="shared" ca="1" si="134"/>
        <v>1</v>
      </c>
      <c r="K654">
        <f t="shared" ca="1" si="135"/>
        <v>1</v>
      </c>
      <c r="L654">
        <f t="shared" ca="1" si="129"/>
        <v>0</v>
      </c>
      <c r="M654" t="str">
        <f t="shared" ca="1" si="136"/>
        <v>na</v>
      </c>
      <c r="N654" t="str">
        <f t="shared" ca="1" si="137"/>
        <v>na</v>
      </c>
    </row>
    <row r="655" spans="1:14" x14ac:dyDescent="0.2">
      <c r="A655" vm="1217">
        <f ca="1"/>
        <v>45196</v>
      </c>
      <c r="B655" vm="1218">
        <f ca="1"/>
        <v>27.27</v>
      </c>
      <c r="C655">
        <f t="shared" ca="1" si="138"/>
        <v>9.9999999999997868E-2</v>
      </c>
      <c r="D655">
        <f t="shared" ca="1" si="139"/>
        <v>9.9999999999997868E-2</v>
      </c>
      <c r="E655">
        <f t="shared" ca="1" si="140"/>
        <v>0</v>
      </c>
      <c r="F655">
        <f t="shared" ca="1" si="130"/>
        <v>8.2147026083225397E-2</v>
      </c>
      <c r="G655">
        <f t="shared" ca="1" si="131"/>
        <v>0.18308115386728901</v>
      </c>
      <c r="H655">
        <f t="shared" ca="1" si="132"/>
        <v>0.44869187433006752</v>
      </c>
      <c r="I655">
        <f t="shared" ca="1" si="133"/>
        <v>30.972208947990438</v>
      </c>
      <c r="J655">
        <f t="shared" ca="1" si="134"/>
        <v>1</v>
      </c>
      <c r="K655">
        <f t="shared" ca="1" si="135"/>
        <v>1</v>
      </c>
      <c r="L655">
        <f t="shared" ca="1" si="129"/>
        <v>0</v>
      </c>
      <c r="M655" t="str">
        <f t="shared" ca="1" si="136"/>
        <v>na</v>
      </c>
      <c r="N655" t="str">
        <f t="shared" ca="1" si="137"/>
        <v>na</v>
      </c>
    </row>
    <row r="656" spans="1:14" x14ac:dyDescent="0.2">
      <c r="A656" vm="1219">
        <f ca="1"/>
        <v>45197</v>
      </c>
      <c r="B656" vm="1220">
        <f ca="1"/>
        <v>27.56</v>
      </c>
      <c r="C656">
        <f t="shared" ca="1" si="138"/>
        <v>0.28999999999999915</v>
      </c>
      <c r="D656">
        <f t="shared" ca="1" si="139"/>
        <v>0.28999999999999915</v>
      </c>
      <c r="E656">
        <f t="shared" ca="1" si="140"/>
        <v>0</v>
      </c>
      <c r="F656">
        <f t="shared" ca="1" si="130"/>
        <v>9.699366707728066E-2</v>
      </c>
      <c r="G656">
        <f t="shared" ca="1" si="131"/>
        <v>0.17000392859105409</v>
      </c>
      <c r="H656">
        <f t="shared" ca="1" si="132"/>
        <v>0.57053779804465432</v>
      </c>
      <c r="I656">
        <f t="shared" ca="1" si="133"/>
        <v>36.327543262886337</v>
      </c>
      <c r="J656">
        <f t="shared" ca="1" si="134"/>
        <v>1</v>
      </c>
      <c r="K656">
        <f t="shared" ca="1" si="135"/>
        <v>1</v>
      </c>
      <c r="L656">
        <f t="shared" ca="1" si="129"/>
        <v>0</v>
      </c>
      <c r="M656" t="str">
        <f t="shared" ca="1" si="136"/>
        <v>na</v>
      </c>
      <c r="N656" t="str">
        <f t="shared" ca="1" si="137"/>
        <v>na</v>
      </c>
    </row>
    <row r="657" spans="1:14" x14ac:dyDescent="0.2">
      <c r="A657" vm="1221">
        <f ca="1"/>
        <v>45198</v>
      </c>
      <c r="B657" vm="1222">
        <f ca="1"/>
        <v>27.38</v>
      </c>
      <c r="C657">
        <f t="shared" ca="1" si="138"/>
        <v>-0.17999999999999972</v>
      </c>
      <c r="D657">
        <f t="shared" ca="1" si="139"/>
        <v>0</v>
      </c>
      <c r="E657">
        <f t="shared" ca="1" si="140"/>
        <v>0.17999999999999972</v>
      </c>
      <c r="F657">
        <f t="shared" ca="1" si="130"/>
        <v>9.0065548000332049E-2</v>
      </c>
      <c r="G657">
        <f t="shared" ca="1" si="131"/>
        <v>0.17071793369169308</v>
      </c>
      <c r="H657">
        <f t="shared" ca="1" si="132"/>
        <v>0.52756934232220343</v>
      </c>
      <c r="I657">
        <f t="shared" ca="1" si="133"/>
        <v>34.53652333190945</v>
      </c>
      <c r="J657">
        <f t="shared" ca="1" si="134"/>
        <v>1</v>
      </c>
      <c r="K657">
        <f t="shared" ca="1" si="135"/>
        <v>1</v>
      </c>
      <c r="L657">
        <f t="shared" ca="1" si="129"/>
        <v>0</v>
      </c>
      <c r="M657" t="str">
        <f t="shared" ca="1" si="136"/>
        <v>na</v>
      </c>
      <c r="N657" t="str">
        <f t="shared" ca="1" si="137"/>
        <v>na</v>
      </c>
    </row>
    <row r="658" spans="1:14" x14ac:dyDescent="0.2">
      <c r="A658" vm="1223">
        <f ca="1"/>
        <v>45201</v>
      </c>
      <c r="B658" vm="1224">
        <f ca="1"/>
        <v>26.7</v>
      </c>
      <c r="C658">
        <f t="shared" ca="1" si="138"/>
        <v>-0.67999999999999972</v>
      </c>
      <c r="D658">
        <f t="shared" ca="1" si="139"/>
        <v>0</v>
      </c>
      <c r="E658">
        <f t="shared" ca="1" si="140"/>
        <v>0.67999999999999972</v>
      </c>
      <c r="F658">
        <f t="shared" ca="1" si="130"/>
        <v>8.3632294571736904E-2</v>
      </c>
      <c r="G658">
        <f t="shared" ca="1" si="131"/>
        <v>0.2070952241422864</v>
      </c>
      <c r="H658">
        <f t="shared" ca="1" si="132"/>
        <v>0.40383497455391187</v>
      </c>
      <c r="I658">
        <f t="shared" ca="1" si="133"/>
        <v>28.766556032145871</v>
      </c>
      <c r="J658">
        <f t="shared" ca="1" si="134"/>
        <v>1</v>
      </c>
      <c r="K658">
        <f t="shared" ca="1" si="135"/>
        <v>1</v>
      </c>
      <c r="L658">
        <f t="shared" ca="1" si="129"/>
        <v>0</v>
      </c>
      <c r="M658" t="str">
        <f t="shared" ca="1" si="136"/>
        <v>na</v>
      </c>
      <c r="N658" t="str">
        <f t="shared" ca="1" si="137"/>
        <v>na</v>
      </c>
    </row>
    <row r="659" spans="1:14" x14ac:dyDescent="0.2">
      <c r="A659" vm="1225">
        <f ca="1"/>
        <v>45202</v>
      </c>
      <c r="B659" vm="1226">
        <f ca="1"/>
        <v>25.91</v>
      </c>
      <c r="C659">
        <f t="shared" ca="1" si="138"/>
        <v>-0.78999999999999915</v>
      </c>
      <c r="D659">
        <f t="shared" ca="1" si="139"/>
        <v>0</v>
      </c>
      <c r="E659">
        <f t="shared" ca="1" si="140"/>
        <v>0.78999999999999915</v>
      </c>
      <c r="F659">
        <f t="shared" ca="1" si="130"/>
        <v>7.7658559245184264E-2</v>
      </c>
      <c r="G659">
        <f t="shared" ca="1" si="131"/>
        <v>0.24873127956069443</v>
      </c>
      <c r="H659">
        <f t="shared" ca="1" si="132"/>
        <v>0.31221871001646306</v>
      </c>
      <c r="I659">
        <f t="shared" ca="1" si="133"/>
        <v>23.793191457584541</v>
      </c>
      <c r="J659">
        <f t="shared" ca="1" si="134"/>
        <v>1</v>
      </c>
      <c r="K659">
        <f t="shared" ca="1" si="135"/>
        <v>1</v>
      </c>
      <c r="L659">
        <f t="shared" ca="1" si="129"/>
        <v>0</v>
      </c>
      <c r="M659" t="str">
        <f t="shared" ca="1" si="136"/>
        <v>na</v>
      </c>
      <c r="N659" t="str">
        <f t="shared" ca="1" si="137"/>
        <v>na</v>
      </c>
    </row>
    <row r="660" spans="1:14" x14ac:dyDescent="0.2">
      <c r="A660" vm="1227">
        <f ca="1"/>
        <v>45203</v>
      </c>
      <c r="B660" vm="1228">
        <f ca="1"/>
        <v>25.94</v>
      </c>
      <c r="C660">
        <f t="shared" ca="1" si="138"/>
        <v>3.0000000000001137E-2</v>
      </c>
      <c r="D660">
        <f t="shared" ca="1" si="139"/>
        <v>3.0000000000001137E-2</v>
      </c>
      <c r="E660">
        <f t="shared" ca="1" si="140"/>
        <v>0</v>
      </c>
      <c r="F660">
        <f t="shared" ca="1" si="130"/>
        <v>7.4254376441956899E-2</v>
      </c>
      <c r="G660">
        <f t="shared" ca="1" si="131"/>
        <v>0.23096475959207341</v>
      </c>
      <c r="H660">
        <f t="shared" ca="1" si="132"/>
        <v>0.32149656325538101</v>
      </c>
      <c r="I660">
        <f t="shared" ca="1" si="133"/>
        <v>24.328217885289448</v>
      </c>
      <c r="J660">
        <f t="shared" ca="1" si="134"/>
        <v>1</v>
      </c>
      <c r="K660">
        <f t="shared" ca="1" si="135"/>
        <v>1</v>
      </c>
      <c r="L660">
        <f t="shared" ca="1" si="129"/>
        <v>0</v>
      </c>
      <c r="M660" t="str">
        <f t="shared" ca="1" si="136"/>
        <v>na</v>
      </c>
      <c r="N660" t="str">
        <f t="shared" ca="1" si="137"/>
        <v>na</v>
      </c>
    </row>
    <row r="661" spans="1:14" x14ac:dyDescent="0.2">
      <c r="A661" vm="1229">
        <f ca="1"/>
        <v>45204</v>
      </c>
      <c r="B661" vm="1230">
        <f ca="1"/>
        <v>26.06</v>
      </c>
      <c r="C661">
        <f t="shared" ca="1" si="138"/>
        <v>0.11999999999999744</v>
      </c>
      <c r="D661">
        <f t="shared" ca="1" si="139"/>
        <v>0.11999999999999744</v>
      </c>
      <c r="E661">
        <f t="shared" ca="1" si="140"/>
        <v>0</v>
      </c>
      <c r="F661">
        <f t="shared" ca="1" si="130"/>
        <v>7.7521920981816941E-2</v>
      </c>
      <c r="G661">
        <f t="shared" ca="1" si="131"/>
        <v>0.21446727676406815</v>
      </c>
      <c r="H661">
        <f t="shared" ca="1" si="132"/>
        <v>0.36146270028456373</v>
      </c>
      <c r="I661">
        <f t="shared" ca="1" si="133"/>
        <v>26.549585251877502</v>
      </c>
      <c r="J661">
        <f t="shared" ca="1" si="134"/>
        <v>1</v>
      </c>
      <c r="K661">
        <f t="shared" ca="1" si="135"/>
        <v>1</v>
      </c>
      <c r="L661">
        <f t="shared" ca="1" si="129"/>
        <v>0</v>
      </c>
      <c r="M661" t="str">
        <f t="shared" ca="1" si="136"/>
        <v>na</v>
      </c>
      <c r="N661" t="str">
        <f t="shared" ca="1" si="137"/>
        <v>na</v>
      </c>
    </row>
    <row r="662" spans="1:14" x14ac:dyDescent="0.2">
      <c r="A662" vm="1231">
        <f ca="1"/>
        <v>45205</v>
      </c>
      <c r="B662" vm="1232">
        <f ca="1"/>
        <v>26.07</v>
      </c>
      <c r="C662">
        <f t="shared" ca="1" si="138"/>
        <v>1.0000000000001563E-2</v>
      </c>
      <c r="D662">
        <f t="shared" ca="1" si="139"/>
        <v>1.0000000000001563E-2</v>
      </c>
      <c r="E662">
        <f t="shared" ca="1" si="140"/>
        <v>0</v>
      </c>
      <c r="F662">
        <f t="shared" ca="1" si="130"/>
        <v>7.2698926625972993E-2</v>
      </c>
      <c r="G662">
        <f t="shared" ca="1" si="131"/>
        <v>0.19914818556663469</v>
      </c>
      <c r="H662">
        <f t="shared" ca="1" si="132"/>
        <v>0.36504940488974746</v>
      </c>
      <c r="I662">
        <f t="shared" ca="1" si="133"/>
        <v>26.74257822333044</v>
      </c>
      <c r="J662">
        <f t="shared" ca="1" si="134"/>
        <v>1</v>
      </c>
      <c r="K662">
        <f t="shared" ca="1" si="135"/>
        <v>1</v>
      </c>
      <c r="L662">
        <f t="shared" ref="L662:L725" ca="1" si="141">IF(I662&gt;$C$3,1,0)</f>
        <v>0</v>
      </c>
      <c r="M662" t="str">
        <f t="shared" ca="1" si="136"/>
        <v>na</v>
      </c>
      <c r="N662" t="str">
        <f t="shared" ca="1" si="137"/>
        <v>na</v>
      </c>
    </row>
    <row r="663" spans="1:14" x14ac:dyDescent="0.2">
      <c r="A663" vm="1233">
        <f ca="1"/>
        <v>45208</v>
      </c>
      <c r="B663" vm="1234">
        <f ca="1"/>
        <v>26.31</v>
      </c>
      <c r="C663">
        <f t="shared" ca="1" si="138"/>
        <v>0.23999999999999844</v>
      </c>
      <c r="D663">
        <f t="shared" ca="1" si="139"/>
        <v>0.23999999999999844</v>
      </c>
      <c r="E663">
        <f t="shared" ca="1" si="140"/>
        <v>0</v>
      </c>
      <c r="F663">
        <f t="shared" ref="F663:F726" ca="1" si="142">((F662*13)+D663)/14</f>
        <v>8.4649003295546241E-2</v>
      </c>
      <c r="G663">
        <f t="shared" ref="G663:G726" ca="1" si="143">((G662*13)+E663)/14</f>
        <v>0.18492331516901792</v>
      </c>
      <c r="H663">
        <f t="shared" ref="H663:H726" ca="1" si="144">AVERAGE(F663/G663)</f>
        <v>0.45775192391601871</v>
      </c>
      <c r="I663">
        <f t="shared" ref="I663:I726" ca="1" si="145">IF(G663=0,100,100-(100/(1+H663)))</f>
        <v>31.401222416935042</v>
      </c>
      <c r="J663">
        <f t="shared" ca="1" si="134"/>
        <v>1</v>
      </c>
      <c r="K663">
        <f t="shared" ca="1" si="135"/>
        <v>1</v>
      </c>
      <c r="L663">
        <f t="shared" ca="1" si="141"/>
        <v>0</v>
      </c>
      <c r="M663" t="str">
        <f t="shared" ca="1" si="136"/>
        <v>na</v>
      </c>
      <c r="N663" t="str">
        <f t="shared" ca="1" si="137"/>
        <v>na</v>
      </c>
    </row>
    <row r="664" spans="1:14" x14ac:dyDescent="0.2">
      <c r="A664" vm="1235">
        <f ca="1"/>
        <v>45209</v>
      </c>
      <c r="B664" vm="1236">
        <f ca="1"/>
        <v>27.01</v>
      </c>
      <c r="C664">
        <f t="shared" ca="1" si="138"/>
        <v>0.70000000000000284</v>
      </c>
      <c r="D664">
        <f t="shared" ca="1" si="139"/>
        <v>0.70000000000000284</v>
      </c>
      <c r="E664">
        <f t="shared" ca="1" si="140"/>
        <v>0</v>
      </c>
      <c r="F664">
        <f t="shared" ca="1" si="142"/>
        <v>0.12860264591729315</v>
      </c>
      <c r="G664">
        <f t="shared" ca="1" si="143"/>
        <v>0.17171450694265949</v>
      </c>
      <c r="H664">
        <f t="shared" ca="1" si="144"/>
        <v>0.74893291316520705</v>
      </c>
      <c r="I664">
        <f t="shared" ca="1" si="145"/>
        <v>42.822277946030141</v>
      </c>
      <c r="J664">
        <f t="shared" ref="J664:J727" ca="1" si="146">IF(K664=1,1,IF(L664=1,0,IF(J663=1,1,0)))</f>
        <v>1</v>
      </c>
      <c r="K664">
        <f t="shared" ref="K664:K727" ca="1" si="147">IF(I664&lt;$B$3,1,0)</f>
        <v>0</v>
      </c>
      <c r="L664">
        <f t="shared" ca="1" si="141"/>
        <v>0</v>
      </c>
      <c r="M664" t="str">
        <f t="shared" ref="M664:M727" ca="1" si="148">IF(AND(K664=1,J663=0),B664,"na")</f>
        <v>na</v>
      </c>
      <c r="N664" t="str">
        <f t="shared" ref="N664:N727" ca="1" si="149">IF(AND(L664=1,J663=1),B664,"na")</f>
        <v>na</v>
      </c>
    </row>
    <row r="665" spans="1:14" x14ac:dyDescent="0.2">
      <c r="A665" vm="1237">
        <f ca="1"/>
        <v>45210</v>
      </c>
      <c r="B665" vm="1238">
        <f ca="1"/>
        <v>27.02</v>
      </c>
      <c r="C665">
        <f t="shared" ca="1" si="138"/>
        <v>9.9999999999980105E-3</v>
      </c>
      <c r="D665">
        <f t="shared" ca="1" si="139"/>
        <v>9.9999999999980105E-3</v>
      </c>
      <c r="E665">
        <f t="shared" ca="1" si="140"/>
        <v>0</v>
      </c>
      <c r="F665">
        <f t="shared" ca="1" si="142"/>
        <v>0.12013102835177206</v>
      </c>
      <c r="G665">
        <f t="shared" ca="1" si="143"/>
        <v>0.15944918501818381</v>
      </c>
      <c r="H665">
        <f t="shared" ca="1" si="144"/>
        <v>0.75341262069211667</v>
      </c>
      <c r="I665">
        <f t="shared" ca="1" si="145"/>
        <v>42.968358491381544</v>
      </c>
      <c r="J665">
        <f t="shared" ca="1" si="146"/>
        <v>1</v>
      </c>
      <c r="K665">
        <f t="shared" ca="1" si="147"/>
        <v>0</v>
      </c>
      <c r="L665">
        <f t="shared" ca="1" si="141"/>
        <v>0</v>
      </c>
      <c r="M665" t="str">
        <f t="shared" ca="1" si="148"/>
        <v>na</v>
      </c>
      <c r="N665" t="str">
        <f t="shared" ca="1" si="149"/>
        <v>na</v>
      </c>
    </row>
    <row r="666" spans="1:14" x14ac:dyDescent="0.2">
      <c r="A666" vm="1239">
        <f ca="1"/>
        <v>45211</v>
      </c>
      <c r="B666" vm="1240">
        <f ca="1"/>
        <v>26.9</v>
      </c>
      <c r="C666">
        <f t="shared" ca="1" si="138"/>
        <v>-0.12000000000000099</v>
      </c>
      <c r="D666">
        <f t="shared" ca="1" si="139"/>
        <v>0</v>
      </c>
      <c r="E666">
        <f t="shared" ca="1" si="140"/>
        <v>0.12000000000000099</v>
      </c>
      <c r="F666">
        <f t="shared" ca="1" si="142"/>
        <v>0.11155024061235977</v>
      </c>
      <c r="G666">
        <f t="shared" ca="1" si="143"/>
        <v>0.15663138608831359</v>
      </c>
      <c r="H666">
        <f t="shared" ca="1" si="144"/>
        <v>0.71218319264227359</v>
      </c>
      <c r="I666">
        <f t="shared" ca="1" si="145"/>
        <v>41.595034672850574</v>
      </c>
      <c r="J666">
        <f t="shared" ca="1" si="146"/>
        <v>1</v>
      </c>
      <c r="K666">
        <f t="shared" ca="1" si="147"/>
        <v>0</v>
      </c>
      <c r="L666">
        <f t="shared" ca="1" si="141"/>
        <v>0</v>
      </c>
      <c r="M666" t="str">
        <f t="shared" ca="1" si="148"/>
        <v>na</v>
      </c>
      <c r="N666" t="str">
        <f t="shared" ca="1" si="149"/>
        <v>na</v>
      </c>
    </row>
    <row r="667" spans="1:14" x14ac:dyDescent="0.2">
      <c r="A667" vm="1241">
        <f ca="1"/>
        <v>45212</v>
      </c>
      <c r="B667" vm="1242">
        <f ca="1"/>
        <v>26.76</v>
      </c>
      <c r="C667">
        <f t="shared" ca="1" si="138"/>
        <v>-0.13999999999999702</v>
      </c>
      <c r="D667">
        <f t="shared" ca="1" si="139"/>
        <v>0</v>
      </c>
      <c r="E667">
        <f t="shared" ca="1" si="140"/>
        <v>0.13999999999999702</v>
      </c>
      <c r="F667">
        <f t="shared" ca="1" si="142"/>
        <v>0.1035823662829055</v>
      </c>
      <c r="G667">
        <f t="shared" ca="1" si="143"/>
        <v>0.15544342993914811</v>
      </c>
      <c r="H667">
        <f t="shared" ca="1" si="144"/>
        <v>0.66636696271727391</v>
      </c>
      <c r="I667">
        <f t="shared" ca="1" si="145"/>
        <v>39.989208717307832</v>
      </c>
      <c r="J667">
        <f t="shared" ca="1" si="146"/>
        <v>1</v>
      </c>
      <c r="K667">
        <f t="shared" ca="1" si="147"/>
        <v>1</v>
      </c>
      <c r="L667">
        <f t="shared" ca="1" si="141"/>
        <v>0</v>
      </c>
      <c r="M667" t="str">
        <f t="shared" ca="1" si="148"/>
        <v>na</v>
      </c>
      <c r="N667" t="str">
        <f t="shared" ca="1" si="149"/>
        <v>na</v>
      </c>
    </row>
    <row r="668" spans="1:14" x14ac:dyDescent="0.2">
      <c r="A668" vm="1243">
        <f ca="1"/>
        <v>45215</v>
      </c>
      <c r="B668" vm="1040">
        <f ca="1"/>
        <v>26.99</v>
      </c>
      <c r="C668">
        <f t="shared" ca="1" si="138"/>
        <v>0.22999999999999687</v>
      </c>
      <c r="D668">
        <f t="shared" ca="1" si="139"/>
        <v>0.22999999999999687</v>
      </c>
      <c r="E668">
        <f t="shared" ca="1" si="140"/>
        <v>0</v>
      </c>
      <c r="F668">
        <f t="shared" ca="1" si="142"/>
        <v>0.11261219726269775</v>
      </c>
      <c r="G668">
        <f t="shared" ca="1" si="143"/>
        <v>0.14434032780063752</v>
      </c>
      <c r="H668">
        <f t="shared" ca="1" si="144"/>
        <v>0.78018526754516881</v>
      </c>
      <c r="I668">
        <f t="shared" ca="1" si="145"/>
        <v>43.826071463956382</v>
      </c>
      <c r="J668">
        <f t="shared" ca="1" si="146"/>
        <v>1</v>
      </c>
      <c r="K668">
        <f t="shared" ca="1" si="147"/>
        <v>0</v>
      </c>
      <c r="L668">
        <f t="shared" ca="1" si="141"/>
        <v>0</v>
      </c>
      <c r="M668" t="str">
        <f t="shared" ca="1" si="148"/>
        <v>na</v>
      </c>
      <c r="N668" t="str">
        <f t="shared" ca="1" si="149"/>
        <v>na</v>
      </c>
    </row>
    <row r="669" spans="1:14" x14ac:dyDescent="0.2">
      <c r="A669" vm="1244">
        <f ca="1"/>
        <v>45216</v>
      </c>
      <c r="B669" vm="1245">
        <f ca="1"/>
        <v>27.62</v>
      </c>
      <c r="C669">
        <f t="shared" ca="1" si="138"/>
        <v>0.63000000000000256</v>
      </c>
      <c r="D669">
        <f t="shared" ca="1" si="139"/>
        <v>0.63000000000000256</v>
      </c>
      <c r="E669">
        <f t="shared" ca="1" si="140"/>
        <v>0</v>
      </c>
      <c r="F669">
        <f t="shared" ca="1" si="142"/>
        <v>0.14956846888679096</v>
      </c>
      <c r="G669">
        <f t="shared" ca="1" si="143"/>
        <v>0.13403030438630628</v>
      </c>
      <c r="H669">
        <f t="shared" ca="1" si="144"/>
        <v>1.1159302336261216</v>
      </c>
      <c r="I669">
        <f t="shared" ca="1" si="145"/>
        <v>52.739462572625783</v>
      </c>
      <c r="J669">
        <f t="shared" ca="1" si="146"/>
        <v>1</v>
      </c>
      <c r="K669">
        <f t="shared" ca="1" si="147"/>
        <v>0</v>
      </c>
      <c r="L669">
        <f t="shared" ca="1" si="141"/>
        <v>0</v>
      </c>
      <c r="M669" t="str">
        <f t="shared" ca="1" si="148"/>
        <v>na</v>
      </c>
      <c r="N669" t="str">
        <f t="shared" ca="1" si="149"/>
        <v>na</v>
      </c>
    </row>
    <row r="670" spans="1:14" x14ac:dyDescent="0.2">
      <c r="A670" vm="1246">
        <f ca="1"/>
        <v>45217</v>
      </c>
      <c r="B670" vm="1247">
        <f ca="1"/>
        <v>27.31</v>
      </c>
      <c r="C670">
        <f t="shared" ca="1" si="138"/>
        <v>-0.31000000000000227</v>
      </c>
      <c r="D670">
        <f t="shared" ca="1" si="139"/>
        <v>0</v>
      </c>
      <c r="E670">
        <f t="shared" ca="1" si="140"/>
        <v>0.31000000000000227</v>
      </c>
      <c r="F670">
        <f t="shared" ca="1" si="142"/>
        <v>0.13888500682344876</v>
      </c>
      <c r="G670">
        <f t="shared" ca="1" si="143"/>
        <v>0.14659956835871313</v>
      </c>
      <c r="H670">
        <f t="shared" ca="1" si="144"/>
        <v>0.94737664222593287</v>
      </c>
      <c r="I670">
        <f t="shared" ca="1" si="145"/>
        <v>48.648865436890617</v>
      </c>
      <c r="J670">
        <f t="shared" ca="1" si="146"/>
        <v>1</v>
      </c>
      <c r="K670">
        <f t="shared" ca="1" si="147"/>
        <v>0</v>
      </c>
      <c r="L670">
        <f t="shared" ca="1" si="141"/>
        <v>0</v>
      </c>
      <c r="M670" t="str">
        <f t="shared" ca="1" si="148"/>
        <v>na</v>
      </c>
      <c r="N670" t="str">
        <f t="shared" ca="1" si="149"/>
        <v>na</v>
      </c>
    </row>
    <row r="671" spans="1:14" x14ac:dyDescent="0.2">
      <c r="A671" vm="1248">
        <f ca="1"/>
        <v>45218</v>
      </c>
      <c r="B671" vm="1249">
        <f ca="1"/>
        <v>26.96</v>
      </c>
      <c r="C671">
        <f t="shared" ca="1" si="138"/>
        <v>-0.34999999999999787</v>
      </c>
      <c r="D671">
        <f t="shared" ca="1" si="139"/>
        <v>0</v>
      </c>
      <c r="E671">
        <f t="shared" ca="1" si="140"/>
        <v>0.34999999999999787</v>
      </c>
      <c r="F671">
        <f t="shared" ca="1" si="142"/>
        <v>0.12896464919320241</v>
      </c>
      <c r="G671">
        <f t="shared" ca="1" si="143"/>
        <v>0.16112817061880488</v>
      </c>
      <c r="H671">
        <f t="shared" ca="1" si="144"/>
        <v>0.8003854862741876</v>
      </c>
      <c r="I671">
        <f t="shared" ca="1" si="145"/>
        <v>44.456339621496689</v>
      </c>
      <c r="J671">
        <f t="shared" ca="1" si="146"/>
        <v>1</v>
      </c>
      <c r="K671">
        <f t="shared" ca="1" si="147"/>
        <v>0</v>
      </c>
      <c r="L671">
        <f t="shared" ca="1" si="141"/>
        <v>0</v>
      </c>
      <c r="M671" t="str">
        <f t="shared" ca="1" si="148"/>
        <v>na</v>
      </c>
      <c r="N671" t="str">
        <f t="shared" ca="1" si="149"/>
        <v>na</v>
      </c>
    </row>
    <row r="672" spans="1:14" x14ac:dyDescent="0.2">
      <c r="A672" vm="1250">
        <f ca="1"/>
        <v>45219</v>
      </c>
      <c r="B672" vm="1234">
        <f ca="1"/>
        <v>26.31</v>
      </c>
      <c r="C672">
        <f t="shared" ca="1" si="138"/>
        <v>-0.65000000000000213</v>
      </c>
      <c r="D672">
        <f t="shared" ca="1" si="139"/>
        <v>0</v>
      </c>
      <c r="E672">
        <f t="shared" ca="1" si="140"/>
        <v>0.65000000000000213</v>
      </c>
      <c r="F672">
        <f t="shared" ca="1" si="142"/>
        <v>0.1197528885365451</v>
      </c>
      <c r="G672">
        <f t="shared" ca="1" si="143"/>
        <v>0.19604758700317612</v>
      </c>
      <c r="H672">
        <f t="shared" ca="1" si="144"/>
        <v>0.61083581984921353</v>
      </c>
      <c r="I672">
        <f t="shared" ca="1" si="145"/>
        <v>37.920426918889383</v>
      </c>
      <c r="J672">
        <f t="shared" ca="1" si="146"/>
        <v>1</v>
      </c>
      <c r="K672">
        <f t="shared" ca="1" si="147"/>
        <v>1</v>
      </c>
      <c r="L672">
        <f t="shared" ca="1" si="141"/>
        <v>0</v>
      </c>
      <c r="M672" t="str">
        <f t="shared" ca="1" si="148"/>
        <v>na</v>
      </c>
      <c r="N672" t="str">
        <f t="shared" ca="1" si="149"/>
        <v>na</v>
      </c>
    </row>
    <row r="673" spans="1:14" x14ac:dyDescent="0.2">
      <c r="A673" vm="1251">
        <f ca="1"/>
        <v>45222</v>
      </c>
      <c r="B673" vm="1252">
        <f ca="1"/>
        <v>25.57</v>
      </c>
      <c r="C673">
        <f t="shared" ca="1" si="138"/>
        <v>-0.73999999999999844</v>
      </c>
      <c r="D673">
        <f t="shared" ca="1" si="139"/>
        <v>0</v>
      </c>
      <c r="E673">
        <f t="shared" ca="1" si="140"/>
        <v>0.73999999999999844</v>
      </c>
      <c r="F673">
        <f t="shared" ca="1" si="142"/>
        <v>0.11119911078393474</v>
      </c>
      <c r="G673">
        <f t="shared" ca="1" si="143"/>
        <v>0.23490133078866343</v>
      </c>
      <c r="H673">
        <f t="shared" ca="1" si="144"/>
        <v>0.47338646575816384</v>
      </c>
      <c r="I673">
        <f t="shared" ca="1" si="145"/>
        <v>32.129144441039259</v>
      </c>
      <c r="J673">
        <f t="shared" ca="1" si="146"/>
        <v>1</v>
      </c>
      <c r="K673">
        <f t="shared" ca="1" si="147"/>
        <v>1</v>
      </c>
      <c r="L673">
        <f t="shared" ca="1" si="141"/>
        <v>0</v>
      </c>
      <c r="M673" t="str">
        <f t="shared" ca="1" si="148"/>
        <v>na</v>
      </c>
      <c r="N673" t="str">
        <f t="shared" ca="1" si="149"/>
        <v>na</v>
      </c>
    </row>
    <row r="674" spans="1:14" x14ac:dyDescent="0.2">
      <c r="A674" vm="1253">
        <f ca="1"/>
        <v>45223</v>
      </c>
      <c r="B674" vm="1254">
        <f ca="1"/>
        <v>25.47</v>
      </c>
      <c r="C674">
        <f t="shared" ca="1" si="138"/>
        <v>-0.10000000000000142</v>
      </c>
      <c r="D674">
        <f t="shared" ca="1" si="139"/>
        <v>0</v>
      </c>
      <c r="E674">
        <f t="shared" ca="1" si="140"/>
        <v>0.10000000000000142</v>
      </c>
      <c r="F674">
        <f t="shared" ca="1" si="142"/>
        <v>0.10325631715651083</v>
      </c>
      <c r="G674">
        <f t="shared" ca="1" si="143"/>
        <v>0.22526552144661616</v>
      </c>
      <c r="H674">
        <f t="shared" ca="1" si="144"/>
        <v>0.458376037723912</v>
      </c>
      <c r="I674">
        <f t="shared" ca="1" si="145"/>
        <v>31.430579347648873</v>
      </c>
      <c r="J674">
        <f t="shared" ca="1" si="146"/>
        <v>1</v>
      </c>
      <c r="K674">
        <f t="shared" ca="1" si="147"/>
        <v>1</v>
      </c>
      <c r="L674">
        <f t="shared" ca="1" si="141"/>
        <v>0</v>
      </c>
      <c r="M674" t="str">
        <f t="shared" ca="1" si="148"/>
        <v>na</v>
      </c>
      <c r="N674" t="str">
        <f t="shared" ca="1" si="149"/>
        <v>na</v>
      </c>
    </row>
    <row r="675" spans="1:14" x14ac:dyDescent="0.2">
      <c r="A675" vm="1255">
        <f ca="1"/>
        <v>45224</v>
      </c>
      <c r="B675" vm="1256">
        <f ca="1"/>
        <v>25.55</v>
      </c>
      <c r="C675">
        <f t="shared" ca="1" si="138"/>
        <v>8.0000000000001847E-2</v>
      </c>
      <c r="D675">
        <f t="shared" ca="1" si="139"/>
        <v>8.0000000000001847E-2</v>
      </c>
      <c r="E675">
        <f t="shared" ca="1" si="140"/>
        <v>0</v>
      </c>
      <c r="F675">
        <f t="shared" ca="1" si="142"/>
        <v>0.10159515164533162</v>
      </c>
      <c r="G675">
        <f t="shared" ca="1" si="143"/>
        <v>0.20917512705757213</v>
      </c>
      <c r="H675">
        <f t="shared" ca="1" si="144"/>
        <v>0.48569422700706266</v>
      </c>
      <c r="I675">
        <f t="shared" ca="1" si="145"/>
        <v>32.691398955321759</v>
      </c>
      <c r="J675">
        <f t="shared" ca="1" si="146"/>
        <v>1</v>
      </c>
      <c r="K675">
        <f t="shared" ca="1" si="147"/>
        <v>1</v>
      </c>
      <c r="L675">
        <f t="shared" ca="1" si="141"/>
        <v>0</v>
      </c>
      <c r="M675" t="str">
        <f t="shared" ca="1" si="148"/>
        <v>na</v>
      </c>
      <c r="N675" t="str">
        <f t="shared" ca="1" si="149"/>
        <v>na</v>
      </c>
    </row>
    <row r="676" spans="1:14" x14ac:dyDescent="0.2">
      <c r="A676" vm="1257">
        <f ca="1"/>
        <v>45225</v>
      </c>
      <c r="B676" vm="1258">
        <f ca="1"/>
        <v>26.12</v>
      </c>
      <c r="C676">
        <f t="shared" ca="1" si="138"/>
        <v>0.57000000000000028</v>
      </c>
      <c r="D676">
        <f t="shared" ca="1" si="139"/>
        <v>0.57000000000000028</v>
      </c>
      <c r="E676">
        <f t="shared" ca="1" si="140"/>
        <v>0</v>
      </c>
      <c r="F676">
        <f t="shared" ca="1" si="142"/>
        <v>0.13505264081352222</v>
      </c>
      <c r="G676">
        <f t="shared" ca="1" si="143"/>
        <v>0.19423404655345983</v>
      </c>
      <c r="H676">
        <f t="shared" ca="1" si="144"/>
        <v>0.69530879477584862</v>
      </c>
      <c r="I676">
        <f t="shared" ca="1" si="145"/>
        <v>41.013695966095739</v>
      </c>
      <c r="J676">
        <f t="shared" ca="1" si="146"/>
        <v>1</v>
      </c>
      <c r="K676">
        <f t="shared" ca="1" si="147"/>
        <v>0</v>
      </c>
      <c r="L676">
        <f t="shared" ca="1" si="141"/>
        <v>0</v>
      </c>
      <c r="M676" t="str">
        <f t="shared" ca="1" si="148"/>
        <v>na</v>
      </c>
      <c r="N676" t="str">
        <f t="shared" ca="1" si="149"/>
        <v>na</v>
      </c>
    </row>
    <row r="677" spans="1:14" x14ac:dyDescent="0.2">
      <c r="A677" vm="1259">
        <f ca="1"/>
        <v>45226</v>
      </c>
      <c r="B677" vm="1260">
        <f ca="1"/>
        <v>25.17</v>
      </c>
      <c r="C677">
        <f t="shared" ca="1" si="138"/>
        <v>-0.94999999999999929</v>
      </c>
      <c r="D677">
        <f t="shared" ca="1" si="139"/>
        <v>0</v>
      </c>
      <c r="E677">
        <f t="shared" ca="1" si="140"/>
        <v>0.94999999999999929</v>
      </c>
      <c r="F677">
        <f t="shared" ca="1" si="142"/>
        <v>0.12540602361255634</v>
      </c>
      <c r="G677">
        <f t="shared" ca="1" si="143"/>
        <v>0.24821732894249834</v>
      </c>
      <c r="H677">
        <f t="shared" ca="1" si="144"/>
        <v>0.50522670655926571</v>
      </c>
      <c r="I677">
        <f t="shared" ca="1" si="145"/>
        <v>33.564824777401284</v>
      </c>
      <c r="J677">
        <f t="shared" ca="1" si="146"/>
        <v>1</v>
      </c>
      <c r="K677">
        <f t="shared" ca="1" si="147"/>
        <v>1</v>
      </c>
      <c r="L677">
        <f t="shared" ca="1" si="141"/>
        <v>0</v>
      </c>
      <c r="M677" t="str">
        <f t="shared" ca="1" si="148"/>
        <v>na</v>
      </c>
      <c r="N677" t="str">
        <f t="shared" ca="1" si="149"/>
        <v>na</v>
      </c>
    </row>
    <row r="678" spans="1:14" x14ac:dyDescent="0.2">
      <c r="A678" vm="1261">
        <f ca="1"/>
        <v>45229</v>
      </c>
      <c r="B678" vm="1262">
        <f ca="1"/>
        <v>25.69</v>
      </c>
      <c r="C678">
        <f t="shared" ca="1" si="138"/>
        <v>0.51999999999999957</v>
      </c>
      <c r="D678">
        <f t="shared" ca="1" si="139"/>
        <v>0.51999999999999957</v>
      </c>
      <c r="E678">
        <f t="shared" ca="1" si="140"/>
        <v>0</v>
      </c>
      <c r="F678">
        <f t="shared" ca="1" si="142"/>
        <v>0.15359130764023085</v>
      </c>
      <c r="G678">
        <f t="shared" ca="1" si="143"/>
        <v>0.2304875197323199</v>
      </c>
      <c r="H678">
        <f t="shared" ca="1" si="144"/>
        <v>0.66637580992934631</v>
      </c>
      <c r="I678">
        <f t="shared" ca="1" si="145"/>
        <v>39.989527329828455</v>
      </c>
      <c r="J678">
        <f t="shared" ca="1" si="146"/>
        <v>1</v>
      </c>
      <c r="K678">
        <f t="shared" ca="1" si="147"/>
        <v>1</v>
      </c>
      <c r="L678">
        <f t="shared" ca="1" si="141"/>
        <v>0</v>
      </c>
      <c r="M678" t="str">
        <f t="shared" ca="1" si="148"/>
        <v>na</v>
      </c>
      <c r="N678" t="str">
        <f t="shared" ca="1" si="149"/>
        <v>na</v>
      </c>
    </row>
    <row r="679" spans="1:14" x14ac:dyDescent="0.2">
      <c r="A679" vm="1263">
        <f ca="1"/>
        <v>45230</v>
      </c>
      <c r="B679" vm="1264">
        <f ca="1"/>
        <v>26.34</v>
      </c>
      <c r="C679">
        <f t="shared" ca="1" si="138"/>
        <v>0.64999999999999858</v>
      </c>
      <c r="D679">
        <f t="shared" ca="1" si="139"/>
        <v>0.64999999999999858</v>
      </c>
      <c r="E679">
        <f t="shared" ca="1" si="140"/>
        <v>0</v>
      </c>
      <c r="F679">
        <f t="shared" ca="1" si="142"/>
        <v>0.18904907138021423</v>
      </c>
      <c r="G679">
        <f t="shared" ca="1" si="143"/>
        <v>0.21402412546572561</v>
      </c>
      <c r="H679">
        <f t="shared" ca="1" si="144"/>
        <v>0.88330729523522367</v>
      </c>
      <c r="I679">
        <f t="shared" ca="1" si="145"/>
        <v>46.901920757700843</v>
      </c>
      <c r="J679">
        <f t="shared" ca="1" si="146"/>
        <v>1</v>
      </c>
      <c r="K679">
        <f t="shared" ca="1" si="147"/>
        <v>0</v>
      </c>
      <c r="L679">
        <f t="shared" ca="1" si="141"/>
        <v>0</v>
      </c>
      <c r="M679" t="str">
        <f t="shared" ca="1" si="148"/>
        <v>na</v>
      </c>
      <c r="N679" t="str">
        <f t="shared" ca="1" si="149"/>
        <v>na</v>
      </c>
    </row>
    <row r="680" spans="1:14" x14ac:dyDescent="0.2">
      <c r="A680" vm="1265">
        <f ca="1"/>
        <v>45231</v>
      </c>
      <c r="B680" vm="1266">
        <f ca="1"/>
        <v>26.4</v>
      </c>
      <c r="C680">
        <f t="shared" ca="1" si="138"/>
        <v>5.9999999999998721E-2</v>
      </c>
      <c r="D680">
        <f t="shared" ca="1" si="139"/>
        <v>5.9999999999998721E-2</v>
      </c>
      <c r="E680">
        <f t="shared" ca="1" si="140"/>
        <v>0</v>
      </c>
      <c r="F680">
        <f t="shared" ca="1" si="142"/>
        <v>0.17983128056734168</v>
      </c>
      <c r="G680">
        <f t="shared" ca="1" si="143"/>
        <v>0.19873668793245949</v>
      </c>
      <c r="H680">
        <f t="shared" ca="1" si="144"/>
        <v>0.90487208194018609</v>
      </c>
      <c r="I680">
        <f t="shared" ca="1" si="145"/>
        <v>47.503036582831264</v>
      </c>
      <c r="J680">
        <f t="shared" ca="1" si="146"/>
        <v>1</v>
      </c>
      <c r="K680">
        <f t="shared" ca="1" si="147"/>
        <v>0</v>
      </c>
      <c r="L680">
        <f t="shared" ca="1" si="141"/>
        <v>0</v>
      </c>
      <c r="M680" t="str">
        <f t="shared" ca="1" si="148"/>
        <v>na</v>
      </c>
      <c r="N680" t="str">
        <f t="shared" ca="1" si="149"/>
        <v>na</v>
      </c>
    </row>
    <row r="681" spans="1:14" x14ac:dyDescent="0.2">
      <c r="A681" vm="1267">
        <f ca="1"/>
        <v>45232</v>
      </c>
      <c r="B681" vm="1245">
        <f ca="1"/>
        <v>27.62</v>
      </c>
      <c r="C681">
        <f t="shared" ca="1" si="138"/>
        <v>1.2200000000000024</v>
      </c>
      <c r="D681">
        <f t="shared" ca="1" si="139"/>
        <v>1.2200000000000024</v>
      </c>
      <c r="E681">
        <f t="shared" ca="1" si="140"/>
        <v>0</v>
      </c>
      <c r="F681">
        <f t="shared" ca="1" si="142"/>
        <v>0.25412904624110316</v>
      </c>
      <c r="G681">
        <f t="shared" ca="1" si="143"/>
        <v>0.1845412102229981</v>
      </c>
      <c r="H681">
        <f t="shared" ca="1" si="144"/>
        <v>1.3770856164539924</v>
      </c>
      <c r="I681">
        <f t="shared" ca="1" si="145"/>
        <v>57.931679318654673</v>
      </c>
      <c r="J681">
        <f t="shared" ca="1" si="146"/>
        <v>1</v>
      </c>
      <c r="K681">
        <f t="shared" ca="1" si="147"/>
        <v>0</v>
      </c>
      <c r="L681">
        <f t="shared" ca="1" si="141"/>
        <v>0</v>
      </c>
      <c r="M681" t="str">
        <f t="shared" ca="1" si="148"/>
        <v>na</v>
      </c>
      <c r="N681" t="str">
        <f t="shared" ca="1" si="149"/>
        <v>na</v>
      </c>
    </row>
    <row r="682" spans="1:14" x14ac:dyDescent="0.2">
      <c r="A682" vm="1268">
        <f ca="1"/>
        <v>45233</v>
      </c>
      <c r="B682" vm="1269">
        <f ca="1"/>
        <v>28.42</v>
      </c>
      <c r="C682">
        <f t="shared" ca="1" si="138"/>
        <v>0.80000000000000071</v>
      </c>
      <c r="D682">
        <f t="shared" ca="1" si="139"/>
        <v>0.80000000000000071</v>
      </c>
      <c r="E682">
        <f t="shared" ca="1" si="140"/>
        <v>0</v>
      </c>
      <c r="F682">
        <f t="shared" ca="1" si="142"/>
        <v>0.29311982865245295</v>
      </c>
      <c r="G682">
        <f t="shared" ca="1" si="143"/>
        <v>0.17135969520706967</v>
      </c>
      <c r="H682">
        <f t="shared" ca="1" si="144"/>
        <v>1.7105529296037165</v>
      </c>
      <c r="I682">
        <f t="shared" ca="1" si="145"/>
        <v>63.107158355834052</v>
      </c>
      <c r="J682">
        <f t="shared" ca="1" si="146"/>
        <v>1</v>
      </c>
      <c r="K682">
        <f t="shared" ca="1" si="147"/>
        <v>0</v>
      </c>
      <c r="L682">
        <f t="shared" ca="1" si="141"/>
        <v>0</v>
      </c>
      <c r="M682" t="str">
        <f t="shared" ca="1" si="148"/>
        <v>na</v>
      </c>
      <c r="N682" t="str">
        <f t="shared" ca="1" si="149"/>
        <v>na</v>
      </c>
    </row>
    <row r="683" spans="1:14" x14ac:dyDescent="0.2">
      <c r="A683" vm="1270">
        <f ca="1"/>
        <v>45236</v>
      </c>
      <c r="B683" vm="1271">
        <f ca="1"/>
        <v>28.33</v>
      </c>
      <c r="C683">
        <f t="shared" ca="1" si="138"/>
        <v>-9.0000000000003411E-2</v>
      </c>
      <c r="D683">
        <f t="shared" ca="1" si="139"/>
        <v>0</v>
      </c>
      <c r="E683">
        <f t="shared" ca="1" si="140"/>
        <v>9.0000000000003411E-2</v>
      </c>
      <c r="F683">
        <f t="shared" ca="1" si="142"/>
        <v>0.27218269803442058</v>
      </c>
      <c r="G683">
        <f t="shared" ca="1" si="143"/>
        <v>0.16554828840656494</v>
      </c>
      <c r="H683">
        <f t="shared" ca="1" si="144"/>
        <v>1.6441287352121423</v>
      </c>
      <c r="I683">
        <f t="shared" ca="1" si="145"/>
        <v>62.180358819792161</v>
      </c>
      <c r="J683">
        <f t="shared" ca="1" si="146"/>
        <v>1</v>
      </c>
      <c r="K683">
        <f t="shared" ca="1" si="147"/>
        <v>0</v>
      </c>
      <c r="L683">
        <f t="shared" ca="1" si="141"/>
        <v>0</v>
      </c>
      <c r="M683" t="str">
        <f t="shared" ca="1" si="148"/>
        <v>na</v>
      </c>
      <c r="N683" t="str">
        <f t="shared" ca="1" si="149"/>
        <v>na</v>
      </c>
    </row>
    <row r="684" spans="1:14" x14ac:dyDescent="0.2">
      <c r="A684" vm="1272">
        <f ca="1"/>
        <v>45237</v>
      </c>
      <c r="B684" vm="1036">
        <f ca="1"/>
        <v>28.16</v>
      </c>
      <c r="C684">
        <f t="shared" ca="1" si="138"/>
        <v>-0.16999999999999815</v>
      </c>
      <c r="D684">
        <f t="shared" ca="1" si="139"/>
        <v>0</v>
      </c>
      <c r="E684">
        <f t="shared" ca="1" si="140"/>
        <v>0.16999999999999815</v>
      </c>
      <c r="F684">
        <f t="shared" ca="1" si="142"/>
        <v>0.25274107674624768</v>
      </c>
      <c r="G684">
        <f t="shared" ca="1" si="143"/>
        <v>0.16586626780609587</v>
      </c>
      <c r="H684">
        <f t="shared" ca="1" si="144"/>
        <v>1.5237641751348252</v>
      </c>
      <c r="I684">
        <f t="shared" ca="1" si="145"/>
        <v>60.376646524567704</v>
      </c>
      <c r="J684">
        <f t="shared" ca="1" si="146"/>
        <v>1</v>
      </c>
      <c r="K684">
        <f t="shared" ca="1" si="147"/>
        <v>0</v>
      </c>
      <c r="L684">
        <f t="shared" ca="1" si="141"/>
        <v>0</v>
      </c>
      <c r="M684" t="str">
        <f t="shared" ca="1" si="148"/>
        <v>na</v>
      </c>
      <c r="N684" t="str">
        <f t="shared" ca="1" si="149"/>
        <v>na</v>
      </c>
    </row>
    <row r="685" spans="1:14" x14ac:dyDescent="0.2">
      <c r="A685" vm="1273">
        <f ca="1"/>
        <v>45238</v>
      </c>
      <c r="B685" vm="1274">
        <f ca="1"/>
        <v>27.89</v>
      </c>
      <c r="C685">
        <f t="shared" ca="1" si="138"/>
        <v>-0.26999999999999957</v>
      </c>
      <c r="D685">
        <f t="shared" ca="1" si="139"/>
        <v>0</v>
      </c>
      <c r="E685">
        <f t="shared" ca="1" si="140"/>
        <v>0.26999999999999957</v>
      </c>
      <c r="F685">
        <f t="shared" ca="1" si="142"/>
        <v>0.2346881426929443</v>
      </c>
      <c r="G685">
        <f t="shared" ca="1" si="143"/>
        <v>0.17330439153423186</v>
      </c>
      <c r="H685">
        <f t="shared" ca="1" si="144"/>
        <v>1.354196166728918</v>
      </c>
      <c r="I685">
        <f t="shared" ca="1" si="145"/>
        <v>57.522656177396257</v>
      </c>
      <c r="J685">
        <f t="shared" ca="1" si="146"/>
        <v>1</v>
      </c>
      <c r="K685">
        <f t="shared" ca="1" si="147"/>
        <v>0</v>
      </c>
      <c r="L685">
        <f t="shared" ca="1" si="141"/>
        <v>0</v>
      </c>
      <c r="M685" t="str">
        <f t="shared" ca="1" si="148"/>
        <v>na</v>
      </c>
      <c r="N685" t="str">
        <f t="shared" ca="1" si="149"/>
        <v>na</v>
      </c>
    </row>
    <row r="686" spans="1:14" x14ac:dyDescent="0.2">
      <c r="A686" vm="1275">
        <f ca="1"/>
        <v>45239</v>
      </c>
      <c r="B686" vm="1276">
        <f ca="1"/>
        <v>27.53</v>
      </c>
      <c r="C686">
        <f t="shared" ca="1" si="138"/>
        <v>-0.35999999999999943</v>
      </c>
      <c r="D686">
        <f t="shared" ca="1" si="139"/>
        <v>0</v>
      </c>
      <c r="E686">
        <f t="shared" ca="1" si="140"/>
        <v>0.35999999999999943</v>
      </c>
      <c r="F686">
        <f t="shared" ca="1" si="142"/>
        <v>0.21792470392916255</v>
      </c>
      <c r="G686">
        <f t="shared" ca="1" si="143"/>
        <v>0.18663979213892953</v>
      </c>
      <c r="H686">
        <f t="shared" ca="1" si="144"/>
        <v>1.1676218743693487</v>
      </c>
      <c r="I686">
        <f t="shared" ca="1" si="145"/>
        <v>53.866492499253752</v>
      </c>
      <c r="J686">
        <f t="shared" ca="1" si="146"/>
        <v>1</v>
      </c>
      <c r="K686">
        <f t="shared" ca="1" si="147"/>
        <v>0</v>
      </c>
      <c r="L686">
        <f t="shared" ca="1" si="141"/>
        <v>0</v>
      </c>
      <c r="M686" t="str">
        <f t="shared" ca="1" si="148"/>
        <v>na</v>
      </c>
      <c r="N686" t="str">
        <f t="shared" ca="1" si="149"/>
        <v>na</v>
      </c>
    </row>
    <row r="687" spans="1:14" x14ac:dyDescent="0.2">
      <c r="A687" vm="1277">
        <f ca="1"/>
        <v>45240</v>
      </c>
      <c r="B687" vm="1278">
        <f ca="1"/>
        <v>27.68</v>
      </c>
      <c r="C687">
        <f t="shared" ca="1" si="138"/>
        <v>0.14999999999999858</v>
      </c>
      <c r="D687">
        <f t="shared" ca="1" si="139"/>
        <v>0.14999999999999858</v>
      </c>
      <c r="E687">
        <f t="shared" ca="1" si="140"/>
        <v>0</v>
      </c>
      <c r="F687">
        <f t="shared" ca="1" si="142"/>
        <v>0.2130729393627937</v>
      </c>
      <c r="G687">
        <f t="shared" ca="1" si="143"/>
        <v>0.17330837841472027</v>
      </c>
      <c r="H687">
        <f t="shared" ca="1" si="144"/>
        <v>1.2294439617507606</v>
      </c>
      <c r="I687">
        <f t="shared" ca="1" si="145"/>
        <v>55.145766515938362</v>
      </c>
      <c r="J687">
        <f t="shared" ca="1" si="146"/>
        <v>1</v>
      </c>
      <c r="K687">
        <f t="shared" ca="1" si="147"/>
        <v>0</v>
      </c>
      <c r="L687">
        <f t="shared" ca="1" si="141"/>
        <v>0</v>
      </c>
      <c r="M687" t="str">
        <f t="shared" ca="1" si="148"/>
        <v>na</v>
      </c>
      <c r="N687" t="str">
        <f t="shared" ca="1" si="149"/>
        <v>na</v>
      </c>
    </row>
    <row r="688" spans="1:14" x14ac:dyDescent="0.2">
      <c r="A688" vm="1279">
        <f ca="1"/>
        <v>45243</v>
      </c>
      <c r="B688" vm="1280">
        <f ca="1"/>
        <v>27.7</v>
      </c>
      <c r="C688">
        <f t="shared" ca="1" si="138"/>
        <v>1.9999999999999574E-2</v>
      </c>
      <c r="D688">
        <f t="shared" ca="1" si="139"/>
        <v>1.9999999999999574E-2</v>
      </c>
      <c r="E688">
        <f t="shared" ca="1" si="140"/>
        <v>0</v>
      </c>
      <c r="F688">
        <f t="shared" ca="1" si="142"/>
        <v>0.19928201512259411</v>
      </c>
      <c r="G688">
        <f t="shared" ca="1" si="143"/>
        <v>0.16092920852795453</v>
      </c>
      <c r="H688">
        <f t="shared" ca="1" si="144"/>
        <v>1.2383209794260401</v>
      </c>
      <c r="I688">
        <f t="shared" ca="1" si="145"/>
        <v>55.32365513294593</v>
      </c>
      <c r="J688">
        <f t="shared" ca="1" si="146"/>
        <v>1</v>
      </c>
      <c r="K688">
        <f t="shared" ca="1" si="147"/>
        <v>0</v>
      </c>
      <c r="L688">
        <f t="shared" ca="1" si="141"/>
        <v>0</v>
      </c>
      <c r="M688" t="str">
        <f t="shared" ca="1" si="148"/>
        <v>na</v>
      </c>
      <c r="N688" t="str">
        <f t="shared" ca="1" si="149"/>
        <v>na</v>
      </c>
    </row>
    <row r="689" spans="1:14" x14ac:dyDescent="0.2">
      <c r="A689" vm="1281">
        <f ca="1"/>
        <v>45244</v>
      </c>
      <c r="B689" vm="1282">
        <f ca="1"/>
        <v>29.22</v>
      </c>
      <c r="C689">
        <f t="shared" ca="1" si="138"/>
        <v>1.5199999999999996</v>
      </c>
      <c r="D689">
        <f t="shared" ca="1" si="139"/>
        <v>1.5199999999999996</v>
      </c>
      <c r="E689">
        <f t="shared" ca="1" si="140"/>
        <v>0</v>
      </c>
      <c r="F689">
        <f t="shared" ca="1" si="142"/>
        <v>0.29361901404240875</v>
      </c>
      <c r="G689">
        <f t="shared" ca="1" si="143"/>
        <v>0.14943426506167207</v>
      </c>
      <c r="H689">
        <f t="shared" ca="1" si="144"/>
        <v>1.9648707337720108</v>
      </c>
      <c r="I689">
        <f t="shared" ca="1" si="145"/>
        <v>66.271716719070383</v>
      </c>
      <c r="J689">
        <f t="shared" ca="1" si="146"/>
        <v>1</v>
      </c>
      <c r="K689">
        <f t="shared" ca="1" si="147"/>
        <v>0</v>
      </c>
      <c r="L689">
        <f t="shared" ca="1" si="141"/>
        <v>0</v>
      </c>
      <c r="M689" t="str">
        <f t="shared" ca="1" si="148"/>
        <v>na</v>
      </c>
      <c r="N689" t="str">
        <f t="shared" ca="1" si="149"/>
        <v>na</v>
      </c>
    </row>
    <row r="690" spans="1:14" x14ac:dyDescent="0.2">
      <c r="A690" vm="1283">
        <f ca="1"/>
        <v>45245</v>
      </c>
      <c r="B690" vm="1284">
        <f ca="1"/>
        <v>29.62</v>
      </c>
      <c r="C690">
        <f t="shared" ca="1" si="138"/>
        <v>0.40000000000000213</v>
      </c>
      <c r="D690">
        <f t="shared" ca="1" si="139"/>
        <v>0.40000000000000213</v>
      </c>
      <c r="E690">
        <f t="shared" ca="1" si="140"/>
        <v>0</v>
      </c>
      <c r="F690">
        <f t="shared" ca="1" si="142"/>
        <v>0.30121765589652255</v>
      </c>
      <c r="G690">
        <f t="shared" ca="1" si="143"/>
        <v>0.13876038898583834</v>
      </c>
      <c r="H690">
        <f t="shared" ca="1" si="144"/>
        <v>2.1707755224530563</v>
      </c>
      <c r="I690">
        <f t="shared" ca="1" si="145"/>
        <v>68.461974273525527</v>
      </c>
      <c r="J690">
        <f t="shared" ca="1" si="146"/>
        <v>1</v>
      </c>
      <c r="K690">
        <f t="shared" ca="1" si="147"/>
        <v>0</v>
      </c>
      <c r="L690">
        <f t="shared" ca="1" si="141"/>
        <v>0</v>
      </c>
      <c r="M690" t="str">
        <f t="shared" ca="1" si="148"/>
        <v>na</v>
      </c>
      <c r="N690" t="str">
        <f t="shared" ca="1" si="149"/>
        <v>na</v>
      </c>
    </row>
    <row r="691" spans="1:14" x14ac:dyDescent="0.2">
      <c r="A691" vm="1285">
        <f ca="1"/>
        <v>45246</v>
      </c>
      <c r="B691" vm="1286">
        <f ca="1"/>
        <v>29.54</v>
      </c>
      <c r="C691">
        <f t="shared" ca="1" si="138"/>
        <v>-8.0000000000001847E-2</v>
      </c>
      <c r="D691">
        <f t="shared" ca="1" si="139"/>
        <v>0</v>
      </c>
      <c r="E691">
        <f t="shared" ca="1" si="140"/>
        <v>8.0000000000001847E-2</v>
      </c>
      <c r="F691">
        <f t="shared" ca="1" si="142"/>
        <v>0.27970210904677095</v>
      </c>
      <c r="G691">
        <f t="shared" ca="1" si="143"/>
        <v>0.13456321834399287</v>
      </c>
      <c r="H691">
        <f t="shared" ca="1" si="144"/>
        <v>2.0785925937929779</v>
      </c>
      <c r="I691">
        <f t="shared" ca="1" si="145"/>
        <v>67.517624708894971</v>
      </c>
      <c r="J691">
        <f t="shared" ca="1" si="146"/>
        <v>1</v>
      </c>
      <c r="K691">
        <f t="shared" ca="1" si="147"/>
        <v>0</v>
      </c>
      <c r="L691">
        <f t="shared" ca="1" si="141"/>
        <v>0</v>
      </c>
      <c r="M691" t="str">
        <f t="shared" ca="1" si="148"/>
        <v>na</v>
      </c>
      <c r="N691" t="str">
        <f t="shared" ca="1" si="149"/>
        <v>na</v>
      </c>
    </row>
    <row r="692" spans="1:14" x14ac:dyDescent="0.2">
      <c r="A692" vm="1287">
        <f ca="1"/>
        <v>45247</v>
      </c>
      <c r="B692" vm="1288">
        <f ca="1"/>
        <v>29.98</v>
      </c>
      <c r="C692">
        <f t="shared" ca="1" si="138"/>
        <v>0.44000000000000128</v>
      </c>
      <c r="D692">
        <f t="shared" ca="1" si="139"/>
        <v>0.44000000000000128</v>
      </c>
      <c r="E692">
        <f t="shared" ca="1" si="140"/>
        <v>0</v>
      </c>
      <c r="F692">
        <f t="shared" ca="1" si="142"/>
        <v>0.29115195840057317</v>
      </c>
      <c r="G692">
        <f t="shared" ca="1" si="143"/>
        <v>0.12495155989085052</v>
      </c>
      <c r="H692">
        <f t="shared" ca="1" si="144"/>
        <v>2.3301186368133733</v>
      </c>
      <c r="I692">
        <f t="shared" ca="1" si="145"/>
        <v>69.97103980184589</v>
      </c>
      <c r="J692">
        <f t="shared" ca="1" si="146"/>
        <v>1</v>
      </c>
      <c r="K692">
        <f t="shared" ca="1" si="147"/>
        <v>0</v>
      </c>
      <c r="L692">
        <f t="shared" ca="1" si="141"/>
        <v>0</v>
      </c>
      <c r="M692" t="str">
        <f t="shared" ca="1" si="148"/>
        <v>na</v>
      </c>
      <c r="N692" t="str">
        <f t="shared" ca="1" si="149"/>
        <v>na</v>
      </c>
    </row>
    <row r="693" spans="1:14" x14ac:dyDescent="0.2">
      <c r="A693" vm="1289">
        <f ca="1"/>
        <v>45250</v>
      </c>
      <c r="B693" vm="53">
        <f ca="1"/>
        <v>30.01</v>
      </c>
      <c r="C693">
        <f t="shared" ca="1" si="138"/>
        <v>3.0000000000001137E-2</v>
      </c>
      <c r="D693">
        <f t="shared" ca="1" si="139"/>
        <v>3.0000000000001137E-2</v>
      </c>
      <c r="E693">
        <f t="shared" ca="1" si="140"/>
        <v>0</v>
      </c>
      <c r="F693">
        <f t="shared" ca="1" si="142"/>
        <v>0.27249824708624659</v>
      </c>
      <c r="G693">
        <f t="shared" ca="1" si="143"/>
        <v>0.11602644847007548</v>
      </c>
      <c r="H693">
        <f t="shared" ca="1" si="144"/>
        <v>2.3485873322799065</v>
      </c>
      <c r="I693">
        <f t="shared" ca="1" si="145"/>
        <v>70.136660604304922</v>
      </c>
      <c r="J693">
        <f t="shared" ca="1" si="146"/>
        <v>0</v>
      </c>
      <c r="K693">
        <f t="shared" ca="1" si="147"/>
        <v>0</v>
      </c>
      <c r="L693">
        <f t="shared" ca="1" si="141"/>
        <v>1</v>
      </c>
      <c r="M693" t="str">
        <f t="shared" ca="1" si="148"/>
        <v>na</v>
      </c>
      <c r="N693" vm="53">
        <f t="shared" ca="1" si="149"/>
        <v>30.01</v>
      </c>
    </row>
    <row r="694" spans="1:14" x14ac:dyDescent="0.2">
      <c r="A694" vm="1290">
        <f ca="1"/>
        <v>45251</v>
      </c>
      <c r="B694" vm="1291">
        <f ca="1"/>
        <v>29.66</v>
      </c>
      <c r="C694">
        <f t="shared" ca="1" si="138"/>
        <v>-0.35000000000000142</v>
      </c>
      <c r="D694">
        <f t="shared" ca="1" si="139"/>
        <v>0</v>
      </c>
      <c r="E694">
        <f t="shared" ca="1" si="140"/>
        <v>0.35000000000000142</v>
      </c>
      <c r="F694">
        <f t="shared" ca="1" si="142"/>
        <v>0.25303408658008614</v>
      </c>
      <c r="G694">
        <f t="shared" ca="1" si="143"/>
        <v>0.13273884500792735</v>
      </c>
      <c r="H694">
        <f t="shared" ca="1" si="144"/>
        <v>1.9062549969074583</v>
      </c>
      <c r="I694">
        <f t="shared" ca="1" si="145"/>
        <v>65.591457010341543</v>
      </c>
      <c r="J694">
        <f t="shared" ca="1" si="146"/>
        <v>0</v>
      </c>
      <c r="K694">
        <f t="shared" ca="1" si="147"/>
        <v>0</v>
      </c>
      <c r="L694">
        <f t="shared" ca="1" si="141"/>
        <v>0</v>
      </c>
      <c r="M694" t="str">
        <f t="shared" ca="1" si="148"/>
        <v>na</v>
      </c>
      <c r="N694" t="str">
        <f t="shared" ca="1" si="149"/>
        <v>na</v>
      </c>
    </row>
    <row r="695" spans="1:14" x14ac:dyDescent="0.2">
      <c r="A695" vm="1292">
        <f ca="1"/>
        <v>45252</v>
      </c>
      <c r="B695" vm="1293">
        <f ca="1"/>
        <v>29.63</v>
      </c>
      <c r="C695">
        <f t="shared" ca="1" si="138"/>
        <v>-3.0000000000001137E-2</v>
      </c>
      <c r="D695">
        <f t="shared" ca="1" si="139"/>
        <v>0</v>
      </c>
      <c r="E695">
        <f t="shared" ca="1" si="140"/>
        <v>3.0000000000001137E-2</v>
      </c>
      <c r="F695">
        <f t="shared" ca="1" si="142"/>
        <v>0.23496022325293711</v>
      </c>
      <c r="G695">
        <f t="shared" ca="1" si="143"/>
        <v>0.12540035607878977</v>
      </c>
      <c r="H695">
        <f t="shared" ca="1" si="144"/>
        <v>1.8736806704544782</v>
      </c>
      <c r="I695">
        <f t="shared" ca="1" si="145"/>
        <v>65.201422333336424</v>
      </c>
      <c r="J695">
        <f t="shared" ca="1" si="146"/>
        <v>0</v>
      </c>
      <c r="K695">
        <f t="shared" ca="1" si="147"/>
        <v>0</v>
      </c>
      <c r="L695">
        <f t="shared" ca="1" si="141"/>
        <v>0</v>
      </c>
      <c r="M695" t="str">
        <f t="shared" ca="1" si="148"/>
        <v>na</v>
      </c>
      <c r="N695" t="str">
        <f t="shared" ca="1" si="149"/>
        <v>na</v>
      </c>
    </row>
    <row r="696" spans="1:14" x14ac:dyDescent="0.2">
      <c r="A696" vm="1294">
        <f ca="1"/>
        <v>45254</v>
      </c>
      <c r="B696" vm="1295">
        <f ca="1"/>
        <v>29.73</v>
      </c>
      <c r="C696">
        <f t="shared" ca="1" si="138"/>
        <v>0.10000000000000142</v>
      </c>
      <c r="D696">
        <f t="shared" ca="1" si="139"/>
        <v>0.10000000000000142</v>
      </c>
      <c r="E696">
        <f t="shared" ca="1" si="140"/>
        <v>0</v>
      </c>
      <c r="F696">
        <f t="shared" ca="1" si="142"/>
        <v>0.22532020730629884</v>
      </c>
      <c r="G696">
        <f t="shared" ca="1" si="143"/>
        <v>0.11644318778744765</v>
      </c>
      <c r="H696">
        <f t="shared" ca="1" si="144"/>
        <v>1.9350226628765304</v>
      </c>
      <c r="I696">
        <f t="shared" ca="1" si="145"/>
        <v>65.928712829088369</v>
      </c>
      <c r="J696">
        <f t="shared" ca="1" si="146"/>
        <v>0</v>
      </c>
      <c r="K696">
        <f t="shared" ca="1" si="147"/>
        <v>0</v>
      </c>
      <c r="L696">
        <f t="shared" ca="1" si="141"/>
        <v>0</v>
      </c>
      <c r="M696" t="str">
        <f t="shared" ca="1" si="148"/>
        <v>na</v>
      </c>
      <c r="N696" t="str">
        <f t="shared" ca="1" si="149"/>
        <v>na</v>
      </c>
    </row>
    <row r="697" spans="1:14" x14ac:dyDescent="0.2">
      <c r="A697" vm="1296">
        <f ca="1"/>
        <v>45257</v>
      </c>
      <c r="B697" vm="1297">
        <f ca="1"/>
        <v>29.56</v>
      </c>
      <c r="C697">
        <f t="shared" ca="1" si="138"/>
        <v>-0.17000000000000171</v>
      </c>
      <c r="D697">
        <f t="shared" ca="1" si="139"/>
        <v>0</v>
      </c>
      <c r="E697">
        <f t="shared" ca="1" si="140"/>
        <v>0.17000000000000171</v>
      </c>
      <c r="F697">
        <f t="shared" ca="1" si="142"/>
        <v>0.20922590678442035</v>
      </c>
      <c r="G697">
        <f t="shared" ca="1" si="143"/>
        <v>0.12026867437405865</v>
      </c>
      <c r="H697">
        <f t="shared" ca="1" si="144"/>
        <v>1.7396542189671738</v>
      </c>
      <c r="I697">
        <f t="shared" ca="1" si="145"/>
        <v>63.49904330711518</v>
      </c>
      <c r="J697">
        <f t="shared" ca="1" si="146"/>
        <v>0</v>
      </c>
      <c r="K697">
        <f t="shared" ca="1" si="147"/>
        <v>0</v>
      </c>
      <c r="L697">
        <f t="shared" ca="1" si="141"/>
        <v>0</v>
      </c>
      <c r="M697" t="str">
        <f t="shared" ca="1" si="148"/>
        <v>na</v>
      </c>
      <c r="N697" t="str">
        <f t="shared" ca="1" si="149"/>
        <v>na</v>
      </c>
    </row>
    <row r="698" spans="1:14" x14ac:dyDescent="0.2">
      <c r="A698" vm="1298">
        <f ca="1"/>
        <v>45258</v>
      </c>
      <c r="B698" vm="1299">
        <f ca="1"/>
        <v>29.53</v>
      </c>
      <c r="C698">
        <f t="shared" ca="1" si="138"/>
        <v>-2.9999999999997584E-2</v>
      </c>
      <c r="D698">
        <f t="shared" ca="1" si="139"/>
        <v>0</v>
      </c>
      <c r="E698">
        <f t="shared" ca="1" si="140"/>
        <v>2.9999999999997584E-2</v>
      </c>
      <c r="F698">
        <f t="shared" ca="1" si="142"/>
        <v>0.19428119915696176</v>
      </c>
      <c r="G698">
        <f t="shared" ca="1" si="143"/>
        <v>0.11382091191876857</v>
      </c>
      <c r="H698">
        <f t="shared" ca="1" si="144"/>
        <v>1.7069025004439948</v>
      </c>
      <c r="I698">
        <f t="shared" ca="1" si="145"/>
        <v>63.057406026409275</v>
      </c>
      <c r="J698">
        <f t="shared" ca="1" si="146"/>
        <v>0</v>
      </c>
      <c r="K698">
        <f t="shared" ca="1" si="147"/>
        <v>0</v>
      </c>
      <c r="L698">
        <f t="shared" ca="1" si="141"/>
        <v>0</v>
      </c>
      <c r="M698" t="str">
        <f t="shared" ca="1" si="148"/>
        <v>na</v>
      </c>
      <c r="N698" t="str">
        <f t="shared" ca="1" si="149"/>
        <v>na</v>
      </c>
    </row>
    <row r="699" spans="1:14" x14ac:dyDescent="0.2">
      <c r="A699" vm="1300">
        <f ca="1"/>
        <v>45259</v>
      </c>
      <c r="B699" vm="1301">
        <f ca="1"/>
        <v>30.31</v>
      </c>
      <c r="C699">
        <f t="shared" ca="1" si="138"/>
        <v>0.77999999999999758</v>
      </c>
      <c r="D699">
        <f t="shared" ca="1" si="139"/>
        <v>0.77999999999999758</v>
      </c>
      <c r="E699">
        <f t="shared" ca="1" si="140"/>
        <v>0</v>
      </c>
      <c r="F699">
        <f t="shared" ca="1" si="142"/>
        <v>0.23611825636003575</v>
      </c>
      <c r="G699">
        <f t="shared" ca="1" si="143"/>
        <v>0.10569084678171367</v>
      </c>
      <c r="H699">
        <f t="shared" ca="1" si="144"/>
        <v>2.2340464056239187</v>
      </c>
      <c r="I699">
        <f t="shared" ca="1" si="145"/>
        <v>69.078984201926502</v>
      </c>
      <c r="J699">
        <f t="shared" ca="1" si="146"/>
        <v>0</v>
      </c>
      <c r="K699">
        <f t="shared" ca="1" si="147"/>
        <v>0</v>
      </c>
      <c r="L699">
        <f t="shared" ca="1" si="141"/>
        <v>0</v>
      </c>
      <c r="M699" t="str">
        <f t="shared" ca="1" si="148"/>
        <v>na</v>
      </c>
      <c r="N699" t="str">
        <f t="shared" ca="1" si="149"/>
        <v>na</v>
      </c>
    </row>
    <row r="700" spans="1:14" x14ac:dyDescent="0.2">
      <c r="A700" vm="1302">
        <f ca="1"/>
        <v>45260</v>
      </c>
      <c r="B700" vm="1303">
        <f ca="1"/>
        <v>30.49</v>
      </c>
      <c r="C700">
        <f t="shared" ca="1" si="138"/>
        <v>0.17999999999999972</v>
      </c>
      <c r="D700">
        <f t="shared" ca="1" si="139"/>
        <v>0.17999999999999972</v>
      </c>
      <c r="E700">
        <f t="shared" ca="1" si="140"/>
        <v>0</v>
      </c>
      <c r="F700">
        <f t="shared" ca="1" si="142"/>
        <v>0.23210980947717605</v>
      </c>
      <c r="G700">
        <f t="shared" ca="1" si="143"/>
        <v>9.8141500583019833E-2</v>
      </c>
      <c r="H700">
        <f t="shared" ca="1" si="144"/>
        <v>2.3650525832425986</v>
      </c>
      <c r="I700">
        <f t="shared" ca="1" si="145"/>
        <v>70.282782355918201</v>
      </c>
      <c r="J700">
        <f t="shared" ca="1" si="146"/>
        <v>0</v>
      </c>
      <c r="K700">
        <f t="shared" ca="1" si="147"/>
        <v>0</v>
      </c>
      <c r="L700">
        <f t="shared" ca="1" si="141"/>
        <v>1</v>
      </c>
      <c r="M700" t="str">
        <f t="shared" ca="1" si="148"/>
        <v>na</v>
      </c>
      <c r="N700" t="str">
        <f t="shared" ca="1" si="149"/>
        <v>na</v>
      </c>
    </row>
    <row r="701" spans="1:14" x14ac:dyDescent="0.2">
      <c r="A701" vm="1304">
        <f ca="1"/>
        <v>45261</v>
      </c>
      <c r="B701" vm="1305">
        <f ca="1"/>
        <v>30.96</v>
      </c>
      <c r="C701">
        <f t="shared" ca="1" si="138"/>
        <v>0.47000000000000242</v>
      </c>
      <c r="D701">
        <f t="shared" ca="1" si="139"/>
        <v>0.47000000000000242</v>
      </c>
      <c r="E701">
        <f t="shared" ca="1" si="140"/>
        <v>0</v>
      </c>
      <c r="F701">
        <f t="shared" ca="1" si="142"/>
        <v>0.24910196594309222</v>
      </c>
      <c r="G701">
        <f t="shared" ca="1" si="143"/>
        <v>9.1131393398518418E-2</v>
      </c>
      <c r="H701">
        <f t="shared" ca="1" si="144"/>
        <v>2.7334374758626487</v>
      </c>
      <c r="I701">
        <f t="shared" ca="1" si="145"/>
        <v>73.215032889523883</v>
      </c>
      <c r="J701">
        <f t="shared" ca="1" si="146"/>
        <v>0</v>
      </c>
      <c r="K701">
        <f t="shared" ca="1" si="147"/>
        <v>0</v>
      </c>
      <c r="L701">
        <f t="shared" ca="1" si="141"/>
        <v>1</v>
      </c>
      <c r="M701" t="str">
        <f t="shared" ca="1" si="148"/>
        <v>na</v>
      </c>
      <c r="N701" t="str">
        <f t="shared" ca="1" si="149"/>
        <v>na</v>
      </c>
    </row>
    <row r="702" spans="1:14" x14ac:dyDescent="0.2">
      <c r="A702" vm="1306">
        <f ca="1"/>
        <v>45264</v>
      </c>
      <c r="B702" vm="1307">
        <f ca="1"/>
        <v>30.82</v>
      </c>
      <c r="C702">
        <f t="shared" ca="1" si="138"/>
        <v>-0.14000000000000057</v>
      </c>
      <c r="D702">
        <f t="shared" ca="1" si="139"/>
        <v>0</v>
      </c>
      <c r="E702">
        <f t="shared" ca="1" si="140"/>
        <v>0.14000000000000057</v>
      </c>
      <c r="F702">
        <f t="shared" ca="1" si="142"/>
        <v>0.23130896837572851</v>
      </c>
      <c r="G702">
        <f t="shared" ca="1" si="143"/>
        <v>9.4622008155767143E-2</v>
      </c>
      <c r="H702">
        <f t="shared" ca="1" si="144"/>
        <v>2.4445578030318984</v>
      </c>
      <c r="I702">
        <f t="shared" ca="1" si="145"/>
        <v>70.968697371842609</v>
      </c>
      <c r="J702">
        <f t="shared" ca="1" si="146"/>
        <v>0</v>
      </c>
      <c r="K702">
        <f t="shared" ca="1" si="147"/>
        <v>0</v>
      </c>
      <c r="L702">
        <f t="shared" ca="1" si="141"/>
        <v>1</v>
      </c>
      <c r="M702" t="str">
        <f t="shared" ca="1" si="148"/>
        <v>na</v>
      </c>
      <c r="N702" t="str">
        <f t="shared" ca="1" si="149"/>
        <v>na</v>
      </c>
    </row>
    <row r="703" spans="1:14" x14ac:dyDescent="0.2">
      <c r="A703" vm="1308">
        <f ca="1"/>
        <v>45265</v>
      </c>
      <c r="B703" vm="1309">
        <f ca="1"/>
        <v>30.58</v>
      </c>
      <c r="C703">
        <f t="shared" ca="1" si="138"/>
        <v>-0.24000000000000199</v>
      </c>
      <c r="D703">
        <f t="shared" ca="1" si="139"/>
        <v>0</v>
      </c>
      <c r="E703">
        <f t="shared" ca="1" si="140"/>
        <v>0.24000000000000199</v>
      </c>
      <c r="F703">
        <f t="shared" ca="1" si="142"/>
        <v>0.21478689920603361</v>
      </c>
      <c r="G703">
        <f t="shared" ca="1" si="143"/>
        <v>0.10500615043035534</v>
      </c>
      <c r="H703">
        <f t="shared" ca="1" si="144"/>
        <v>2.0454697017817987</v>
      </c>
      <c r="I703">
        <f t="shared" ca="1" si="145"/>
        <v>67.164342517841021</v>
      </c>
      <c r="J703">
        <f t="shared" ca="1" si="146"/>
        <v>0</v>
      </c>
      <c r="K703">
        <f t="shared" ca="1" si="147"/>
        <v>0</v>
      </c>
      <c r="L703">
        <f t="shared" ca="1" si="141"/>
        <v>0</v>
      </c>
      <c r="M703" t="str">
        <f t="shared" ca="1" si="148"/>
        <v>na</v>
      </c>
      <c r="N703" t="str">
        <f t="shared" ca="1" si="149"/>
        <v>na</v>
      </c>
    </row>
    <row r="704" spans="1:14" x14ac:dyDescent="0.2">
      <c r="A704" vm="1310">
        <f ca="1"/>
        <v>45266</v>
      </c>
      <c r="B704" vm="1311">
        <f ca="1"/>
        <v>30.53</v>
      </c>
      <c r="C704">
        <f t="shared" ca="1" si="138"/>
        <v>-4.9999999999997158E-2</v>
      </c>
      <c r="D704">
        <f t="shared" ca="1" si="139"/>
        <v>0</v>
      </c>
      <c r="E704">
        <f t="shared" ca="1" si="140"/>
        <v>4.9999999999997158E-2</v>
      </c>
      <c r="F704">
        <f t="shared" ca="1" si="142"/>
        <v>0.19944497783417406</v>
      </c>
      <c r="G704">
        <f t="shared" ca="1" si="143"/>
        <v>0.10107713968532975</v>
      </c>
      <c r="H704">
        <f t="shared" ca="1" si="144"/>
        <v>1.9731957043410613</v>
      </c>
      <c r="I704">
        <f t="shared" ca="1" si="145"/>
        <v>66.366156168598849</v>
      </c>
      <c r="J704">
        <f t="shared" ca="1" si="146"/>
        <v>0</v>
      </c>
      <c r="K704">
        <f t="shared" ca="1" si="147"/>
        <v>0</v>
      </c>
      <c r="L704">
        <f t="shared" ca="1" si="141"/>
        <v>0</v>
      </c>
      <c r="M704" t="str">
        <f t="shared" ca="1" si="148"/>
        <v>na</v>
      </c>
      <c r="N704" t="str">
        <f t="shared" ca="1" si="149"/>
        <v>na</v>
      </c>
    </row>
    <row r="705" spans="1:14" x14ac:dyDescent="0.2">
      <c r="A705" vm="1312">
        <f ca="1"/>
        <v>45267</v>
      </c>
      <c r="B705" vm="775">
        <f ca="1"/>
        <v>30.66</v>
      </c>
      <c r="C705">
        <f t="shared" ca="1" si="138"/>
        <v>0.12999999999999901</v>
      </c>
      <c r="D705">
        <f t="shared" ca="1" si="139"/>
        <v>0.12999999999999901</v>
      </c>
      <c r="E705">
        <f t="shared" ca="1" si="140"/>
        <v>0</v>
      </c>
      <c r="F705">
        <f t="shared" ca="1" si="142"/>
        <v>0.19448462227459012</v>
      </c>
      <c r="G705">
        <f t="shared" ca="1" si="143"/>
        <v>9.3857343993520484E-2</v>
      </c>
      <c r="H705">
        <f t="shared" ca="1" si="144"/>
        <v>2.0721300433135688</v>
      </c>
      <c r="I705">
        <f t="shared" ca="1" si="145"/>
        <v>67.449294596871624</v>
      </c>
      <c r="J705">
        <f t="shared" ca="1" si="146"/>
        <v>0</v>
      </c>
      <c r="K705">
        <f t="shared" ca="1" si="147"/>
        <v>0</v>
      </c>
      <c r="L705">
        <f t="shared" ca="1" si="141"/>
        <v>0</v>
      </c>
      <c r="M705" t="str">
        <f t="shared" ca="1" si="148"/>
        <v>na</v>
      </c>
      <c r="N705" t="str">
        <f t="shared" ca="1" si="149"/>
        <v>na</v>
      </c>
    </row>
    <row r="706" spans="1:14" x14ac:dyDescent="0.2">
      <c r="A706" vm="1313">
        <f ca="1"/>
        <v>45268</v>
      </c>
      <c r="B706" vm="1305">
        <f ca="1"/>
        <v>30.96</v>
      </c>
      <c r="C706">
        <f t="shared" ca="1" si="138"/>
        <v>0.30000000000000071</v>
      </c>
      <c r="D706">
        <f t="shared" ca="1" si="139"/>
        <v>0.30000000000000071</v>
      </c>
      <c r="E706">
        <f t="shared" ca="1" si="140"/>
        <v>0</v>
      </c>
      <c r="F706">
        <f t="shared" ca="1" si="142"/>
        <v>0.20202143496926231</v>
      </c>
      <c r="G706">
        <f t="shared" ca="1" si="143"/>
        <v>8.7153247993983302E-2</v>
      </c>
      <c r="H706">
        <f t="shared" ca="1" si="144"/>
        <v>2.3180023650203951</v>
      </c>
      <c r="I706">
        <f t="shared" ca="1" si="145"/>
        <v>69.861383748777001</v>
      </c>
      <c r="J706">
        <f t="shared" ca="1" si="146"/>
        <v>0</v>
      </c>
      <c r="K706">
        <f t="shared" ca="1" si="147"/>
        <v>0</v>
      </c>
      <c r="L706">
        <f t="shared" ca="1" si="141"/>
        <v>0</v>
      </c>
      <c r="M706" t="str">
        <f t="shared" ca="1" si="148"/>
        <v>na</v>
      </c>
      <c r="N706" t="str">
        <f t="shared" ca="1" si="149"/>
        <v>na</v>
      </c>
    </row>
    <row r="707" spans="1:14" x14ac:dyDescent="0.2">
      <c r="A707" vm="1314">
        <f ca="1"/>
        <v>45271</v>
      </c>
      <c r="B707" vm="1315">
        <f ca="1"/>
        <v>30.85</v>
      </c>
      <c r="C707">
        <f t="shared" ca="1" si="138"/>
        <v>-0.10999999999999943</v>
      </c>
      <c r="D707">
        <f t="shared" ca="1" si="139"/>
        <v>0</v>
      </c>
      <c r="E707">
        <f t="shared" ca="1" si="140"/>
        <v>0.10999999999999943</v>
      </c>
      <c r="F707">
        <f t="shared" ca="1" si="142"/>
        <v>0.18759133247145784</v>
      </c>
      <c r="G707">
        <f t="shared" ca="1" si="143"/>
        <v>8.8785158851555884E-2</v>
      </c>
      <c r="H707">
        <f t="shared" ca="1" si="144"/>
        <v>2.1128681290653621</v>
      </c>
      <c r="I707">
        <f t="shared" ca="1" si="145"/>
        <v>67.875285475062839</v>
      </c>
      <c r="J707">
        <f t="shared" ca="1" si="146"/>
        <v>0</v>
      </c>
      <c r="K707">
        <f t="shared" ca="1" si="147"/>
        <v>0</v>
      </c>
      <c r="L707">
        <f t="shared" ca="1" si="141"/>
        <v>0</v>
      </c>
      <c r="M707" t="str">
        <f t="shared" ca="1" si="148"/>
        <v>na</v>
      </c>
      <c r="N707" t="str">
        <f t="shared" ca="1" si="149"/>
        <v>na</v>
      </c>
    </row>
    <row r="708" spans="1:14" x14ac:dyDescent="0.2">
      <c r="A708" vm="1316">
        <f ca="1"/>
        <v>45272</v>
      </c>
      <c r="B708" vm="1317">
        <f ca="1"/>
        <v>30.74</v>
      </c>
      <c r="C708">
        <f t="shared" ca="1" si="138"/>
        <v>-0.11000000000000298</v>
      </c>
      <c r="D708">
        <f t="shared" ca="1" si="139"/>
        <v>0</v>
      </c>
      <c r="E708">
        <f t="shared" ca="1" si="140"/>
        <v>0.11000000000000298</v>
      </c>
      <c r="F708">
        <f t="shared" ca="1" si="142"/>
        <v>0.17419195158063941</v>
      </c>
      <c r="G708">
        <f t="shared" ca="1" si="143"/>
        <v>9.0300504647873536E-2</v>
      </c>
      <c r="H708">
        <f t="shared" ca="1" si="144"/>
        <v>1.9290252281523812</v>
      </c>
      <c r="I708">
        <f t="shared" ca="1" si="145"/>
        <v>65.858948895745897</v>
      </c>
      <c r="J708">
        <f t="shared" ca="1" si="146"/>
        <v>0</v>
      </c>
      <c r="K708">
        <f t="shared" ca="1" si="147"/>
        <v>0</v>
      </c>
      <c r="L708">
        <f t="shared" ca="1" si="141"/>
        <v>0</v>
      </c>
      <c r="M708" t="str">
        <f t="shared" ca="1" si="148"/>
        <v>na</v>
      </c>
      <c r="N708" t="str">
        <f t="shared" ca="1" si="149"/>
        <v>na</v>
      </c>
    </row>
    <row r="709" spans="1:14" x14ac:dyDescent="0.2">
      <c r="A709" vm="1318">
        <f ca="1"/>
        <v>45273</v>
      </c>
      <c r="B709" vm="1319">
        <f ca="1"/>
        <v>32.04</v>
      </c>
      <c r="C709">
        <f t="shared" ca="1" si="138"/>
        <v>1.3000000000000007</v>
      </c>
      <c r="D709">
        <f t="shared" ca="1" si="139"/>
        <v>1.3000000000000007</v>
      </c>
      <c r="E709">
        <f t="shared" ca="1" si="140"/>
        <v>0</v>
      </c>
      <c r="F709">
        <f t="shared" ca="1" si="142"/>
        <v>0.25460681218202236</v>
      </c>
      <c r="G709">
        <f t="shared" ca="1" si="143"/>
        <v>8.3850468601596853E-2</v>
      </c>
      <c r="H709">
        <f t="shared" ca="1" si="144"/>
        <v>3.0364387513652322</v>
      </c>
      <c r="I709">
        <f t="shared" ca="1" si="145"/>
        <v>75.225686264612008</v>
      </c>
      <c r="J709">
        <f t="shared" ca="1" si="146"/>
        <v>0</v>
      </c>
      <c r="K709">
        <f t="shared" ca="1" si="147"/>
        <v>0</v>
      </c>
      <c r="L709">
        <f t="shared" ca="1" si="141"/>
        <v>1</v>
      </c>
      <c r="M709" t="str">
        <f t="shared" ca="1" si="148"/>
        <v>na</v>
      </c>
      <c r="N709" t="str">
        <f t="shared" ca="1" si="149"/>
        <v>na</v>
      </c>
    </row>
    <row r="710" spans="1:14" x14ac:dyDescent="0.2">
      <c r="A710" vm="1320">
        <f ca="1"/>
        <v>45274</v>
      </c>
      <c r="B710" vm="1321">
        <f ca="1"/>
        <v>33.94</v>
      </c>
      <c r="C710">
        <f t="shared" ca="1" si="138"/>
        <v>1.8999999999999986</v>
      </c>
      <c r="D710">
        <f t="shared" ca="1" si="139"/>
        <v>1.8999999999999986</v>
      </c>
      <c r="E710">
        <f t="shared" ca="1" si="140"/>
        <v>0</v>
      </c>
      <c r="F710">
        <f t="shared" ca="1" si="142"/>
        <v>0.37213489702616354</v>
      </c>
      <c r="G710">
        <f t="shared" ca="1" si="143"/>
        <v>7.7861149415768507E-2</v>
      </c>
      <c r="H710">
        <f t="shared" ca="1" si="144"/>
        <v>4.7794683204458117</v>
      </c>
      <c r="I710">
        <f t="shared" ca="1" si="145"/>
        <v>82.69737033660455</v>
      </c>
      <c r="J710">
        <f t="shared" ca="1" si="146"/>
        <v>0</v>
      </c>
      <c r="K710">
        <f t="shared" ca="1" si="147"/>
        <v>0</v>
      </c>
      <c r="L710">
        <f t="shared" ca="1" si="141"/>
        <v>1</v>
      </c>
      <c r="M710" t="str">
        <f t="shared" ca="1" si="148"/>
        <v>na</v>
      </c>
      <c r="N710" t="str">
        <f t="shared" ca="1" si="149"/>
        <v>na</v>
      </c>
    </row>
    <row r="711" spans="1:14" x14ac:dyDescent="0.2">
      <c r="A711" vm="1322">
        <f ca="1"/>
        <v>45275</v>
      </c>
      <c r="B711" vm="1323">
        <f ca="1"/>
        <v>33.6</v>
      </c>
      <c r="C711">
        <f t="shared" ca="1" si="138"/>
        <v>-0.33999999999999631</v>
      </c>
      <c r="D711">
        <f t="shared" ca="1" si="139"/>
        <v>0</v>
      </c>
      <c r="E711">
        <f t="shared" ca="1" si="140"/>
        <v>0.33999999999999631</v>
      </c>
      <c r="F711">
        <f t="shared" ca="1" si="142"/>
        <v>0.34555383295286612</v>
      </c>
      <c r="G711">
        <f t="shared" ca="1" si="143"/>
        <v>9.6585353028927637E-2</v>
      </c>
      <c r="H711">
        <f t="shared" ca="1" si="144"/>
        <v>3.5777043010793945</v>
      </c>
      <c r="I711">
        <f t="shared" ca="1" si="145"/>
        <v>78.154989177343623</v>
      </c>
      <c r="J711">
        <f t="shared" ca="1" si="146"/>
        <v>0</v>
      </c>
      <c r="K711">
        <f t="shared" ca="1" si="147"/>
        <v>0</v>
      </c>
      <c r="L711">
        <f t="shared" ca="1" si="141"/>
        <v>1</v>
      </c>
      <c r="M711" t="str">
        <f t="shared" ca="1" si="148"/>
        <v>na</v>
      </c>
      <c r="N711" t="str">
        <f t="shared" ca="1" si="149"/>
        <v>na</v>
      </c>
    </row>
    <row r="712" spans="1:14" x14ac:dyDescent="0.2">
      <c r="A712" vm="1324">
        <f ca="1"/>
        <v>45278</v>
      </c>
      <c r="B712" vm="685">
        <f ca="1"/>
        <v>33.43</v>
      </c>
      <c r="C712">
        <f t="shared" ca="1" si="138"/>
        <v>-0.17000000000000171</v>
      </c>
      <c r="D712">
        <f t="shared" ca="1" si="139"/>
        <v>0</v>
      </c>
      <c r="E712">
        <f t="shared" ca="1" si="140"/>
        <v>0.17000000000000171</v>
      </c>
      <c r="F712">
        <f t="shared" ca="1" si="142"/>
        <v>0.32087141631337568</v>
      </c>
      <c r="G712">
        <f t="shared" ca="1" si="143"/>
        <v>0.10182925638400435</v>
      </c>
      <c r="H712">
        <f t="shared" ca="1" si="144"/>
        <v>3.1510729598510467</v>
      </c>
      <c r="I712">
        <f t="shared" ca="1" si="145"/>
        <v>75.909842836492004</v>
      </c>
      <c r="J712">
        <f t="shared" ca="1" si="146"/>
        <v>0</v>
      </c>
      <c r="K712">
        <f t="shared" ca="1" si="147"/>
        <v>0</v>
      </c>
      <c r="L712">
        <f t="shared" ca="1" si="141"/>
        <v>1</v>
      </c>
      <c r="M712" t="str">
        <f t="shared" ca="1" si="148"/>
        <v>na</v>
      </c>
      <c r="N712" t="str">
        <f t="shared" ca="1" si="149"/>
        <v>na</v>
      </c>
    </row>
    <row r="713" spans="1:14" x14ac:dyDescent="0.2">
      <c r="A713" vm="1325">
        <f ca="1"/>
        <v>45279</v>
      </c>
      <c r="B713" vm="891">
        <f ca="1"/>
        <v>33.51</v>
      </c>
      <c r="C713">
        <f t="shared" ref="C713:C776" ca="1" si="150">B713-B712</f>
        <v>7.9999999999998295E-2</v>
      </c>
      <c r="D713">
        <f t="shared" ref="D713:D776" ca="1" si="151">IF(C713&gt;0,C713,0)</f>
        <v>7.9999999999998295E-2</v>
      </c>
      <c r="E713">
        <f t="shared" ref="E713:E776" ca="1" si="152">IF(C713&lt;0,ABS(C713),0)</f>
        <v>0</v>
      </c>
      <c r="F713">
        <f t="shared" ca="1" si="142"/>
        <v>0.30366631514813441</v>
      </c>
      <c r="G713">
        <f t="shared" ca="1" si="143"/>
        <v>9.4555738070861178E-2</v>
      </c>
      <c r="H713">
        <f t="shared" ca="1" si="144"/>
        <v>3.2115059471119913</v>
      </c>
      <c r="I713">
        <f t="shared" ca="1" si="145"/>
        <v>76.255524447597125</v>
      </c>
      <c r="J713">
        <f t="shared" ca="1" si="146"/>
        <v>0</v>
      </c>
      <c r="K713">
        <f t="shared" ca="1" si="147"/>
        <v>0</v>
      </c>
      <c r="L713">
        <f t="shared" ca="1" si="141"/>
        <v>1</v>
      </c>
      <c r="M713" t="str">
        <f t="shared" ca="1" si="148"/>
        <v>na</v>
      </c>
      <c r="N713" t="str">
        <f t="shared" ca="1" si="149"/>
        <v>na</v>
      </c>
    </row>
    <row r="714" spans="1:14" x14ac:dyDescent="0.2">
      <c r="A714" vm="1326">
        <f ca="1"/>
        <v>45280</v>
      </c>
      <c r="B714" vm="1327">
        <f ca="1"/>
        <v>32.979999999999997</v>
      </c>
      <c r="C714">
        <f t="shared" ca="1" si="150"/>
        <v>-0.53000000000000114</v>
      </c>
      <c r="D714">
        <f t="shared" ca="1" si="151"/>
        <v>0</v>
      </c>
      <c r="E714">
        <f t="shared" ca="1" si="152"/>
        <v>0.53000000000000114</v>
      </c>
      <c r="F714">
        <f t="shared" ca="1" si="142"/>
        <v>0.28197586406612479</v>
      </c>
      <c r="G714">
        <f t="shared" ca="1" si="143"/>
        <v>0.12565889963722832</v>
      </c>
      <c r="H714">
        <f t="shared" ca="1" si="144"/>
        <v>2.2439784597841985</v>
      </c>
      <c r="I714">
        <f t="shared" ca="1" si="145"/>
        <v>69.173654745336265</v>
      </c>
      <c r="J714">
        <f t="shared" ca="1" si="146"/>
        <v>0</v>
      </c>
      <c r="K714">
        <f t="shared" ca="1" si="147"/>
        <v>0</v>
      </c>
      <c r="L714">
        <f t="shared" ca="1" si="141"/>
        <v>0</v>
      </c>
      <c r="M714" t="str">
        <f t="shared" ca="1" si="148"/>
        <v>na</v>
      </c>
      <c r="N714" t="str">
        <f t="shared" ca="1" si="149"/>
        <v>na</v>
      </c>
    </row>
    <row r="715" spans="1:14" x14ac:dyDescent="0.2">
      <c r="A715" vm="1328">
        <f ca="1"/>
        <v>45281</v>
      </c>
      <c r="B715" vm="1329">
        <f ca="1"/>
        <v>33.200000000000003</v>
      </c>
      <c r="C715">
        <f t="shared" ca="1" si="150"/>
        <v>0.22000000000000597</v>
      </c>
      <c r="D715">
        <f t="shared" ca="1" si="151"/>
        <v>0.22000000000000597</v>
      </c>
      <c r="E715">
        <f t="shared" ca="1" si="152"/>
        <v>0</v>
      </c>
      <c r="F715">
        <f t="shared" ca="1" si="142"/>
        <v>0.2775490166328306</v>
      </c>
      <c r="G715">
        <f t="shared" ca="1" si="143"/>
        <v>0.11668326394885487</v>
      </c>
      <c r="H715">
        <f t="shared" ca="1" si="144"/>
        <v>2.3786531781840381</v>
      </c>
      <c r="I715">
        <f t="shared" ca="1" si="145"/>
        <v>70.402407490150239</v>
      </c>
      <c r="J715">
        <f t="shared" ca="1" si="146"/>
        <v>0</v>
      </c>
      <c r="K715">
        <f t="shared" ca="1" si="147"/>
        <v>0</v>
      </c>
      <c r="L715">
        <f t="shared" ca="1" si="141"/>
        <v>1</v>
      </c>
      <c r="M715" t="str">
        <f t="shared" ca="1" si="148"/>
        <v>na</v>
      </c>
      <c r="N715" t="str">
        <f t="shared" ca="1" si="149"/>
        <v>na</v>
      </c>
    </row>
    <row r="716" spans="1:14" x14ac:dyDescent="0.2">
      <c r="A716" vm="1330">
        <f ca="1"/>
        <v>45282</v>
      </c>
      <c r="B716" vm="685">
        <f ca="1"/>
        <v>33.43</v>
      </c>
      <c r="C716">
        <f t="shared" ca="1" si="150"/>
        <v>0.22999999999999687</v>
      </c>
      <c r="D716">
        <f t="shared" ca="1" si="151"/>
        <v>0.22999999999999687</v>
      </c>
      <c r="E716">
        <f t="shared" ca="1" si="152"/>
        <v>0</v>
      </c>
      <c r="F716">
        <f t="shared" ca="1" si="142"/>
        <v>0.27415265830191393</v>
      </c>
      <c r="G716">
        <f t="shared" ca="1" si="143"/>
        <v>0.10834874509536523</v>
      </c>
      <c r="H716">
        <f t="shared" ca="1" si="144"/>
        <v>2.5302799590397953</v>
      </c>
      <c r="I716">
        <f t="shared" ca="1" si="145"/>
        <v>71.673634623810656</v>
      </c>
      <c r="J716">
        <f t="shared" ca="1" si="146"/>
        <v>0</v>
      </c>
      <c r="K716">
        <f t="shared" ca="1" si="147"/>
        <v>0</v>
      </c>
      <c r="L716">
        <f t="shared" ca="1" si="141"/>
        <v>1</v>
      </c>
      <c r="M716" t="str">
        <f t="shared" ca="1" si="148"/>
        <v>na</v>
      </c>
      <c r="N716" t="str">
        <f t="shared" ca="1" si="149"/>
        <v>na</v>
      </c>
    </row>
    <row r="717" spans="1:14" x14ac:dyDescent="0.2">
      <c r="A717" vm="1331">
        <f ca="1"/>
        <v>45286</v>
      </c>
      <c r="B717" vm="605">
        <f ca="1"/>
        <v>33.86</v>
      </c>
      <c r="C717">
        <f t="shared" ca="1" si="150"/>
        <v>0.42999999999999972</v>
      </c>
      <c r="D717">
        <f t="shared" ca="1" si="151"/>
        <v>0.42999999999999972</v>
      </c>
      <c r="E717">
        <f t="shared" ca="1" si="152"/>
        <v>0</v>
      </c>
      <c r="F717">
        <f t="shared" ca="1" si="142"/>
        <v>0.2852846112803486</v>
      </c>
      <c r="G717">
        <f t="shared" ca="1" si="143"/>
        <v>0.10060954901712485</v>
      </c>
      <c r="H717">
        <f t="shared" ca="1" si="144"/>
        <v>2.8355619726691152</v>
      </c>
      <c r="I717">
        <f t="shared" ca="1" si="145"/>
        <v>73.928201209479781</v>
      </c>
      <c r="J717">
        <f t="shared" ca="1" si="146"/>
        <v>0</v>
      </c>
      <c r="K717">
        <f t="shared" ca="1" si="147"/>
        <v>0</v>
      </c>
      <c r="L717">
        <f t="shared" ca="1" si="141"/>
        <v>1</v>
      </c>
      <c r="M717" t="str">
        <f t="shared" ca="1" si="148"/>
        <v>na</v>
      </c>
      <c r="N717" t="str">
        <f t="shared" ca="1" si="149"/>
        <v>na</v>
      </c>
    </row>
    <row r="718" spans="1:14" x14ac:dyDescent="0.2">
      <c r="A718" vm="1332">
        <f ca="1"/>
        <v>45287</v>
      </c>
      <c r="B718" vm="1333">
        <f ca="1"/>
        <v>33.840000000000003</v>
      </c>
      <c r="C718">
        <f t="shared" ca="1" si="150"/>
        <v>-1.9999999999996021E-2</v>
      </c>
      <c r="D718">
        <f t="shared" ca="1" si="151"/>
        <v>0</v>
      </c>
      <c r="E718">
        <f t="shared" ca="1" si="152"/>
        <v>1.9999999999996021E-2</v>
      </c>
      <c r="F718">
        <f t="shared" ca="1" si="142"/>
        <v>0.26490713904603796</v>
      </c>
      <c r="G718">
        <f t="shared" ca="1" si="143"/>
        <v>9.4851724087329933E-2</v>
      </c>
      <c r="H718">
        <f t="shared" ca="1" si="144"/>
        <v>2.7928552864483316</v>
      </c>
      <c r="I718">
        <f t="shared" ca="1" si="145"/>
        <v>73.634638696262783</v>
      </c>
      <c r="J718">
        <f t="shared" ca="1" si="146"/>
        <v>0</v>
      </c>
      <c r="K718">
        <f t="shared" ca="1" si="147"/>
        <v>0</v>
      </c>
      <c r="L718">
        <f t="shared" ca="1" si="141"/>
        <v>1</v>
      </c>
      <c r="M718" t="str">
        <f t="shared" ca="1" si="148"/>
        <v>na</v>
      </c>
      <c r="N718" t="str">
        <f t="shared" ca="1" si="149"/>
        <v>na</v>
      </c>
    </row>
    <row r="719" spans="1:14" x14ac:dyDescent="0.2">
      <c r="A719" vm="1334">
        <f ca="1"/>
        <v>45288</v>
      </c>
      <c r="B719" vm="1335">
        <f ca="1"/>
        <v>33.880000000000003</v>
      </c>
      <c r="C719">
        <f t="shared" ca="1" si="150"/>
        <v>3.9999999999999147E-2</v>
      </c>
      <c r="D719">
        <f t="shared" ca="1" si="151"/>
        <v>3.9999999999999147E-2</v>
      </c>
      <c r="E719">
        <f t="shared" ca="1" si="152"/>
        <v>0</v>
      </c>
      <c r="F719">
        <f t="shared" ca="1" si="142"/>
        <v>0.24884234339989234</v>
      </c>
      <c r="G719">
        <f t="shared" ca="1" si="143"/>
        <v>8.8076600938234925E-2</v>
      </c>
      <c r="H719">
        <f t="shared" ca="1" si="144"/>
        <v>2.8252945816380546</v>
      </c>
      <c r="I719">
        <f t="shared" ca="1" si="145"/>
        <v>73.858222454287869</v>
      </c>
      <c r="J719">
        <f t="shared" ca="1" si="146"/>
        <v>0</v>
      </c>
      <c r="K719">
        <f t="shared" ca="1" si="147"/>
        <v>0</v>
      </c>
      <c r="L719">
        <f t="shared" ca="1" si="141"/>
        <v>1</v>
      </c>
      <c r="M719" t="str">
        <f t="shared" ca="1" si="148"/>
        <v>na</v>
      </c>
      <c r="N719" t="str">
        <f t="shared" ca="1" si="149"/>
        <v>na</v>
      </c>
    </row>
    <row r="720" spans="1:14" x14ac:dyDescent="0.2">
      <c r="A720" vm="1336">
        <f ca="1"/>
        <v>45289</v>
      </c>
      <c r="B720" vm="1337">
        <f ca="1"/>
        <v>33.67</v>
      </c>
      <c r="C720">
        <f t="shared" ca="1" si="150"/>
        <v>-0.21000000000000085</v>
      </c>
      <c r="D720">
        <f t="shared" ca="1" si="151"/>
        <v>0</v>
      </c>
      <c r="E720">
        <f t="shared" ca="1" si="152"/>
        <v>0.21000000000000085</v>
      </c>
      <c r="F720">
        <f t="shared" ca="1" si="142"/>
        <v>0.23106789029990002</v>
      </c>
      <c r="G720">
        <f t="shared" ca="1" si="143"/>
        <v>9.6785415156932494E-2</v>
      </c>
      <c r="H720">
        <f t="shared" ca="1" si="144"/>
        <v>2.387424695396879</v>
      </c>
      <c r="I720">
        <f t="shared" ca="1" si="145"/>
        <v>70.479048542130386</v>
      </c>
      <c r="J720">
        <f t="shared" ca="1" si="146"/>
        <v>0</v>
      </c>
      <c r="K720">
        <f t="shared" ca="1" si="147"/>
        <v>0</v>
      </c>
      <c r="L720">
        <f t="shared" ca="1" si="141"/>
        <v>1</v>
      </c>
      <c r="M720" t="str">
        <f t="shared" ca="1" si="148"/>
        <v>na</v>
      </c>
      <c r="N720" t="str">
        <f t="shared" ca="1" si="149"/>
        <v>na</v>
      </c>
    </row>
    <row r="721" spans="1:14" x14ac:dyDescent="0.2">
      <c r="A721" vm="1338">
        <f ca="1"/>
        <v>45293</v>
      </c>
      <c r="B721" vm="734">
        <f ca="1"/>
        <v>33.9</v>
      </c>
      <c r="C721">
        <f t="shared" ca="1" si="150"/>
        <v>0.22999999999999687</v>
      </c>
      <c r="D721">
        <f t="shared" ca="1" si="151"/>
        <v>0.22999999999999687</v>
      </c>
      <c r="E721">
        <f t="shared" ca="1" si="152"/>
        <v>0</v>
      </c>
      <c r="F721">
        <f t="shared" ca="1" si="142"/>
        <v>0.23099161242133551</v>
      </c>
      <c r="G721">
        <f t="shared" ca="1" si="143"/>
        <v>8.9872171217151603E-2</v>
      </c>
      <c r="H721">
        <f t="shared" ca="1" si="144"/>
        <v>2.5702240114262649</v>
      </c>
      <c r="I721">
        <f t="shared" ca="1" si="145"/>
        <v>71.990553063349353</v>
      </c>
      <c r="J721">
        <f t="shared" ca="1" si="146"/>
        <v>0</v>
      </c>
      <c r="K721">
        <f t="shared" ca="1" si="147"/>
        <v>0</v>
      </c>
      <c r="L721">
        <f t="shared" ca="1" si="141"/>
        <v>1</v>
      </c>
      <c r="M721" t="str">
        <f t="shared" ca="1" si="148"/>
        <v>na</v>
      </c>
      <c r="N721" t="str">
        <f t="shared" ca="1" si="149"/>
        <v>na</v>
      </c>
    </row>
    <row r="722" spans="1:14" x14ac:dyDescent="0.2">
      <c r="A722" vm="1339">
        <f ca="1"/>
        <v>45294</v>
      </c>
      <c r="B722" vm="1340">
        <f ca="1"/>
        <v>33.53</v>
      </c>
      <c r="C722">
        <f t="shared" ca="1" si="150"/>
        <v>-0.36999999999999744</v>
      </c>
      <c r="D722">
        <f t="shared" ca="1" si="151"/>
        <v>0</v>
      </c>
      <c r="E722">
        <f t="shared" ca="1" si="152"/>
        <v>0.36999999999999744</v>
      </c>
      <c r="F722">
        <f t="shared" ca="1" si="142"/>
        <v>0.21449221153409725</v>
      </c>
      <c r="G722">
        <f t="shared" ca="1" si="143"/>
        <v>0.10988130184449774</v>
      </c>
      <c r="H722">
        <f t="shared" ca="1" si="144"/>
        <v>1.9520355868885064</v>
      </c>
      <c r="I722">
        <f t="shared" ca="1" si="145"/>
        <v>66.125069614962996</v>
      </c>
      <c r="J722">
        <f t="shared" ca="1" si="146"/>
        <v>0</v>
      </c>
      <c r="K722">
        <f t="shared" ca="1" si="147"/>
        <v>0</v>
      </c>
      <c r="L722">
        <f t="shared" ca="1" si="141"/>
        <v>0</v>
      </c>
      <c r="M722" t="str">
        <f t="shared" ca="1" si="148"/>
        <v>na</v>
      </c>
      <c r="N722" t="str">
        <f t="shared" ca="1" si="149"/>
        <v>na</v>
      </c>
    </row>
    <row r="723" spans="1:14" x14ac:dyDescent="0.2">
      <c r="A723" vm="1341">
        <f ca="1"/>
        <v>45295</v>
      </c>
      <c r="B723" vm="1342">
        <f ca="1"/>
        <v>33.799999999999997</v>
      </c>
      <c r="C723">
        <f t="shared" ca="1" si="150"/>
        <v>0.26999999999999602</v>
      </c>
      <c r="D723">
        <f t="shared" ca="1" si="151"/>
        <v>0.26999999999999602</v>
      </c>
      <c r="E723">
        <f t="shared" ca="1" si="152"/>
        <v>0</v>
      </c>
      <c r="F723">
        <f t="shared" ca="1" si="142"/>
        <v>0.21845705356737574</v>
      </c>
      <c r="G723">
        <f t="shared" ca="1" si="143"/>
        <v>0.10203263742703361</v>
      </c>
      <c r="H723">
        <f t="shared" ca="1" si="144"/>
        <v>2.1410507370604868</v>
      </c>
      <c r="I723">
        <f t="shared" ca="1" si="145"/>
        <v>68.163519671896879</v>
      </c>
      <c r="J723">
        <f t="shared" ca="1" si="146"/>
        <v>0</v>
      </c>
      <c r="K723">
        <f t="shared" ca="1" si="147"/>
        <v>0</v>
      </c>
      <c r="L723">
        <f t="shared" ca="1" si="141"/>
        <v>0</v>
      </c>
      <c r="M723" t="str">
        <f t="shared" ca="1" si="148"/>
        <v>na</v>
      </c>
      <c r="N723" t="str">
        <f t="shared" ca="1" si="149"/>
        <v>na</v>
      </c>
    </row>
    <row r="724" spans="1:14" x14ac:dyDescent="0.2">
      <c r="A724" vm="1343">
        <f ca="1"/>
        <v>45296</v>
      </c>
      <c r="B724" vm="1344">
        <f ca="1"/>
        <v>34.43</v>
      </c>
      <c r="C724">
        <f t="shared" ca="1" si="150"/>
        <v>0.63000000000000256</v>
      </c>
      <c r="D724">
        <f t="shared" ca="1" si="151"/>
        <v>0.63000000000000256</v>
      </c>
      <c r="E724">
        <f t="shared" ca="1" si="152"/>
        <v>0</v>
      </c>
      <c r="F724">
        <f t="shared" ca="1" si="142"/>
        <v>0.24785297831256337</v>
      </c>
      <c r="G724">
        <f t="shared" ca="1" si="143"/>
        <v>9.4744591896531213E-2</v>
      </c>
      <c r="H724">
        <f t="shared" ca="1" si="144"/>
        <v>2.6160118836464981</v>
      </c>
      <c r="I724">
        <f t="shared" ca="1" si="145"/>
        <v>72.345223628204195</v>
      </c>
      <c r="J724">
        <f t="shared" ca="1" si="146"/>
        <v>0</v>
      </c>
      <c r="K724">
        <f t="shared" ca="1" si="147"/>
        <v>0</v>
      </c>
      <c r="L724">
        <f t="shared" ca="1" si="141"/>
        <v>1</v>
      </c>
      <c r="M724" t="str">
        <f t="shared" ca="1" si="148"/>
        <v>na</v>
      </c>
      <c r="N724" t="str">
        <f t="shared" ca="1" si="149"/>
        <v>na</v>
      </c>
    </row>
    <row r="725" spans="1:14" x14ac:dyDescent="0.2">
      <c r="A725" vm="1345">
        <f ca="1"/>
        <v>45299</v>
      </c>
      <c r="B725" vm="959">
        <f ca="1"/>
        <v>34.159999999999997</v>
      </c>
      <c r="C725">
        <f t="shared" ca="1" si="150"/>
        <v>-0.27000000000000313</v>
      </c>
      <c r="D725">
        <f t="shared" ca="1" si="151"/>
        <v>0</v>
      </c>
      <c r="E725">
        <f t="shared" ca="1" si="152"/>
        <v>0.27000000000000313</v>
      </c>
      <c r="F725">
        <f t="shared" ca="1" si="142"/>
        <v>0.23014919414738028</v>
      </c>
      <c r="G725">
        <f t="shared" ca="1" si="143"/>
        <v>0.10726283533249349</v>
      </c>
      <c r="H725">
        <f t="shared" ca="1" si="144"/>
        <v>2.1456564469320942</v>
      </c>
      <c r="I725">
        <f t="shared" ca="1" si="145"/>
        <v>68.210133024053434</v>
      </c>
      <c r="J725">
        <f t="shared" ca="1" si="146"/>
        <v>0</v>
      </c>
      <c r="K725">
        <f t="shared" ca="1" si="147"/>
        <v>0</v>
      </c>
      <c r="L725">
        <f t="shared" ca="1" si="141"/>
        <v>0</v>
      </c>
      <c r="M725" t="str">
        <f t="shared" ca="1" si="148"/>
        <v>na</v>
      </c>
      <c r="N725" t="str">
        <f t="shared" ca="1" si="149"/>
        <v>na</v>
      </c>
    </row>
    <row r="726" spans="1:14" x14ac:dyDescent="0.2">
      <c r="A726" vm="1346">
        <f ca="1"/>
        <v>45300</v>
      </c>
      <c r="B726" vm="1347">
        <f ca="1"/>
        <v>33.630000000000003</v>
      </c>
      <c r="C726">
        <f t="shared" ca="1" si="150"/>
        <v>-0.52999999999999403</v>
      </c>
      <c r="D726">
        <f t="shared" ca="1" si="151"/>
        <v>0</v>
      </c>
      <c r="E726">
        <f t="shared" ca="1" si="152"/>
        <v>0.52999999999999403</v>
      </c>
      <c r="F726">
        <f t="shared" ca="1" si="142"/>
        <v>0.21370996599399597</v>
      </c>
      <c r="G726">
        <f t="shared" ca="1" si="143"/>
        <v>0.13745834709445781</v>
      </c>
      <c r="H726">
        <f t="shared" ca="1" si="144"/>
        <v>1.5547252714099642</v>
      </c>
      <c r="I726">
        <f t="shared" ca="1" si="145"/>
        <v>60.856847850097964</v>
      </c>
      <c r="J726">
        <f t="shared" ca="1" si="146"/>
        <v>0</v>
      </c>
      <c r="K726">
        <f t="shared" ca="1" si="147"/>
        <v>0</v>
      </c>
      <c r="L726">
        <f t="shared" ref="L726:L789" ca="1" si="153">IF(I726&gt;$C$3,1,0)</f>
        <v>0</v>
      </c>
      <c r="M726" t="str">
        <f t="shared" ca="1" si="148"/>
        <v>na</v>
      </c>
      <c r="N726" t="str">
        <f t="shared" ca="1" si="149"/>
        <v>na</v>
      </c>
    </row>
    <row r="727" spans="1:14" x14ac:dyDescent="0.2">
      <c r="A727" vm="1348">
        <f ca="1"/>
        <v>45301</v>
      </c>
      <c r="B727" vm="1323">
        <f ca="1"/>
        <v>33.6</v>
      </c>
      <c r="C727">
        <f t="shared" ca="1" si="150"/>
        <v>-3.0000000000001137E-2</v>
      </c>
      <c r="D727">
        <f t="shared" ca="1" si="151"/>
        <v>0</v>
      </c>
      <c r="E727">
        <f t="shared" ca="1" si="152"/>
        <v>3.0000000000001137E-2</v>
      </c>
      <c r="F727">
        <f t="shared" ref="F727:F790" ca="1" si="154">((F726*13)+D727)/14</f>
        <v>0.19844496842299628</v>
      </c>
      <c r="G727">
        <f t="shared" ref="G727:G790" ca="1" si="155">((G726*13)+E727)/14</f>
        <v>0.1297827508734252</v>
      </c>
      <c r="H727">
        <f t="shared" ref="H727:H790" ca="1" si="156">AVERAGE(F727/G727)</f>
        <v>1.5290550330262003</v>
      </c>
      <c r="I727">
        <f t="shared" ref="I727:I790" ca="1" si="157">IF(G727=0,100,100-(100/(1+H727)))</f>
        <v>60.459539751358179</v>
      </c>
      <c r="J727">
        <f t="shared" ca="1" si="146"/>
        <v>0</v>
      </c>
      <c r="K727">
        <f t="shared" ca="1" si="147"/>
        <v>0</v>
      </c>
      <c r="L727">
        <f t="shared" ca="1" si="153"/>
        <v>0</v>
      </c>
      <c r="M727" t="str">
        <f t="shared" ca="1" si="148"/>
        <v>na</v>
      </c>
      <c r="N727" t="str">
        <f t="shared" ca="1" si="149"/>
        <v>na</v>
      </c>
    </row>
    <row r="728" spans="1:14" x14ac:dyDescent="0.2">
      <c r="A728" vm="1349">
        <f ca="1"/>
        <v>45302</v>
      </c>
      <c r="B728" vm="763">
        <f ca="1"/>
        <v>33.15</v>
      </c>
      <c r="C728">
        <f t="shared" ca="1" si="150"/>
        <v>-0.45000000000000284</v>
      </c>
      <c r="D728">
        <f t="shared" ca="1" si="151"/>
        <v>0</v>
      </c>
      <c r="E728">
        <f t="shared" ca="1" si="152"/>
        <v>0.45000000000000284</v>
      </c>
      <c r="F728">
        <f t="shared" ca="1" si="154"/>
        <v>0.18427032782135369</v>
      </c>
      <c r="G728">
        <f t="shared" ca="1" si="155"/>
        <v>0.15265541152532361</v>
      </c>
      <c r="H728">
        <f t="shared" ca="1" si="156"/>
        <v>1.2070998727142115</v>
      </c>
      <c r="I728">
        <f t="shared" ca="1" si="157"/>
        <v>54.691674248060366</v>
      </c>
      <c r="J728">
        <f t="shared" ref="J728:J791" ca="1" si="158">IF(K728=1,1,IF(L728=1,0,IF(J727=1,1,0)))</f>
        <v>0</v>
      </c>
      <c r="K728">
        <f t="shared" ref="K728:K791" ca="1" si="159">IF(I728&lt;$B$3,1,0)</f>
        <v>0</v>
      </c>
      <c r="L728">
        <f t="shared" ca="1" si="153"/>
        <v>0</v>
      </c>
      <c r="M728" t="str">
        <f t="shared" ref="M728:M791" ca="1" si="160">IF(AND(K728=1,J727=0),B728,"na")</f>
        <v>na</v>
      </c>
      <c r="N728" t="str">
        <f t="shared" ref="N728:N791" ca="1" si="161">IF(AND(L728=1,J727=1),B728,"na")</f>
        <v>na</v>
      </c>
    </row>
    <row r="729" spans="1:14" x14ac:dyDescent="0.2">
      <c r="A729" vm="1350">
        <f ca="1"/>
        <v>45303</v>
      </c>
      <c r="B729" vm="1351">
        <f ca="1"/>
        <v>32.799999999999997</v>
      </c>
      <c r="C729">
        <f t="shared" ca="1" si="150"/>
        <v>-0.35000000000000142</v>
      </c>
      <c r="D729">
        <f t="shared" ca="1" si="151"/>
        <v>0</v>
      </c>
      <c r="E729">
        <f t="shared" ca="1" si="152"/>
        <v>0.35000000000000142</v>
      </c>
      <c r="F729">
        <f t="shared" ca="1" si="154"/>
        <v>0.17110816154839986</v>
      </c>
      <c r="G729">
        <f t="shared" ca="1" si="155"/>
        <v>0.16675145355922918</v>
      </c>
      <c r="H729">
        <f t="shared" ca="1" si="156"/>
        <v>1.0261269565942537</v>
      </c>
      <c r="I729">
        <f t="shared" ca="1" si="157"/>
        <v>50.644751221270234</v>
      </c>
      <c r="J729">
        <f t="shared" ca="1" si="158"/>
        <v>0</v>
      </c>
      <c r="K729">
        <f t="shared" ca="1" si="159"/>
        <v>0</v>
      </c>
      <c r="L729">
        <f t="shared" ca="1" si="153"/>
        <v>0</v>
      </c>
      <c r="M729" t="str">
        <f t="shared" ca="1" si="160"/>
        <v>na</v>
      </c>
      <c r="N729" t="str">
        <f t="shared" ca="1" si="161"/>
        <v>na</v>
      </c>
    </row>
    <row r="730" spans="1:14" x14ac:dyDescent="0.2">
      <c r="A730" vm="1352">
        <f ca="1"/>
        <v>45307</v>
      </c>
      <c r="B730" vm="1353">
        <f ca="1"/>
        <v>32.119999999999997</v>
      </c>
      <c r="C730">
        <f t="shared" ca="1" si="150"/>
        <v>-0.67999999999999972</v>
      </c>
      <c r="D730">
        <f t="shared" ca="1" si="151"/>
        <v>0</v>
      </c>
      <c r="E730">
        <f t="shared" ca="1" si="152"/>
        <v>0.67999999999999972</v>
      </c>
      <c r="F730">
        <f t="shared" ca="1" si="154"/>
        <v>0.15888615000922846</v>
      </c>
      <c r="G730">
        <f t="shared" ca="1" si="155"/>
        <v>0.20341206401928422</v>
      </c>
      <c r="H730">
        <f t="shared" ca="1" si="156"/>
        <v>0.78110485125486684</v>
      </c>
      <c r="I730">
        <f t="shared" ca="1" si="157"/>
        <v>43.855074040393752</v>
      </c>
      <c r="J730">
        <f t="shared" ca="1" si="158"/>
        <v>0</v>
      </c>
      <c r="K730">
        <f t="shared" ca="1" si="159"/>
        <v>0</v>
      </c>
      <c r="L730">
        <f t="shared" ca="1" si="153"/>
        <v>0</v>
      </c>
      <c r="M730" t="str">
        <f t="shared" ca="1" si="160"/>
        <v>na</v>
      </c>
      <c r="N730" t="str">
        <f t="shared" ca="1" si="161"/>
        <v>na</v>
      </c>
    </row>
    <row r="731" spans="1:14" x14ac:dyDescent="0.2">
      <c r="A731" vm="1354">
        <f ca="1"/>
        <v>45308</v>
      </c>
      <c r="B731" vm="1355">
        <f ca="1"/>
        <v>31.8</v>
      </c>
      <c r="C731">
        <f t="shared" ca="1" si="150"/>
        <v>-0.31999999999999673</v>
      </c>
      <c r="D731">
        <f t="shared" ca="1" si="151"/>
        <v>0</v>
      </c>
      <c r="E731">
        <f t="shared" ca="1" si="152"/>
        <v>0.31999999999999673</v>
      </c>
      <c r="F731">
        <f t="shared" ca="1" si="154"/>
        <v>0.14753713929428355</v>
      </c>
      <c r="G731">
        <f t="shared" ca="1" si="155"/>
        <v>0.21173977373219224</v>
      </c>
      <c r="H731">
        <f t="shared" ca="1" si="156"/>
        <v>0.69678519389034599</v>
      </c>
      <c r="I731">
        <f t="shared" ca="1" si="157"/>
        <v>41.065020864118608</v>
      </c>
      <c r="J731">
        <f t="shared" ca="1" si="158"/>
        <v>0</v>
      </c>
      <c r="K731">
        <f t="shared" ca="1" si="159"/>
        <v>0</v>
      </c>
      <c r="L731">
        <f t="shared" ca="1" si="153"/>
        <v>0</v>
      </c>
      <c r="M731" t="str">
        <f t="shared" ca="1" si="160"/>
        <v>na</v>
      </c>
      <c r="N731" t="str">
        <f t="shared" ca="1" si="161"/>
        <v>na</v>
      </c>
    </row>
    <row r="732" spans="1:14" x14ac:dyDescent="0.2">
      <c r="A732" vm="1356">
        <f ca="1"/>
        <v>45309</v>
      </c>
      <c r="B732" vm="767">
        <f ca="1"/>
        <v>31.73</v>
      </c>
      <c r="C732">
        <f t="shared" ca="1" si="150"/>
        <v>-7.0000000000000284E-2</v>
      </c>
      <c r="D732">
        <f t="shared" ca="1" si="151"/>
        <v>0</v>
      </c>
      <c r="E732">
        <f t="shared" ca="1" si="152"/>
        <v>7.0000000000000284E-2</v>
      </c>
      <c r="F732">
        <f t="shared" ca="1" si="154"/>
        <v>0.13699877220183473</v>
      </c>
      <c r="G732">
        <f t="shared" ca="1" si="155"/>
        <v>0.20161550417989282</v>
      </c>
      <c r="H732">
        <f t="shared" ca="1" si="156"/>
        <v>0.67950514400716244</v>
      </c>
      <c r="I732">
        <f t="shared" ca="1" si="157"/>
        <v>40.45865214713892</v>
      </c>
      <c r="J732">
        <f t="shared" ca="1" si="158"/>
        <v>0</v>
      </c>
      <c r="K732">
        <f t="shared" ca="1" si="159"/>
        <v>0</v>
      </c>
      <c r="L732">
        <f t="shared" ca="1" si="153"/>
        <v>0</v>
      </c>
      <c r="M732" t="str">
        <f t="shared" ca="1" si="160"/>
        <v>na</v>
      </c>
      <c r="N732" t="str">
        <f t="shared" ca="1" si="161"/>
        <v>na</v>
      </c>
    </row>
    <row r="733" spans="1:14" x14ac:dyDescent="0.2">
      <c r="A733" vm="1357">
        <f ca="1"/>
        <v>45310</v>
      </c>
      <c r="B733" vm="1358">
        <f ca="1"/>
        <v>32.22</v>
      </c>
      <c r="C733">
        <f t="shared" ca="1" si="150"/>
        <v>0.48999999999999844</v>
      </c>
      <c r="D733">
        <f t="shared" ca="1" si="151"/>
        <v>0.48999999999999844</v>
      </c>
      <c r="E733">
        <f t="shared" ca="1" si="152"/>
        <v>0</v>
      </c>
      <c r="F733">
        <f t="shared" ca="1" si="154"/>
        <v>0.16221314561598929</v>
      </c>
      <c r="G733">
        <f t="shared" ca="1" si="155"/>
        <v>0.1872143967384719</v>
      </c>
      <c r="H733">
        <f t="shared" ca="1" si="156"/>
        <v>0.86645657835060641</v>
      </c>
      <c r="I733">
        <f t="shared" ca="1" si="157"/>
        <v>46.42254142961616</v>
      </c>
      <c r="J733">
        <f t="shared" ca="1" si="158"/>
        <v>0</v>
      </c>
      <c r="K733">
        <f t="shared" ca="1" si="159"/>
        <v>0</v>
      </c>
      <c r="L733">
        <f t="shared" ca="1" si="153"/>
        <v>0</v>
      </c>
      <c r="M733" t="str">
        <f t="shared" ca="1" si="160"/>
        <v>na</v>
      </c>
      <c r="N733" t="str">
        <f t="shared" ca="1" si="161"/>
        <v>na</v>
      </c>
    </row>
    <row r="734" spans="1:14" x14ac:dyDescent="0.2">
      <c r="A734" vm="1359">
        <f ca="1"/>
        <v>45313</v>
      </c>
      <c r="B734" vm="1360">
        <f ca="1"/>
        <v>32.549999999999997</v>
      </c>
      <c r="C734">
        <f t="shared" ca="1" si="150"/>
        <v>0.32999999999999829</v>
      </c>
      <c r="D734">
        <f t="shared" ca="1" si="151"/>
        <v>0.32999999999999829</v>
      </c>
      <c r="E734">
        <f t="shared" ca="1" si="152"/>
        <v>0</v>
      </c>
      <c r="F734">
        <f t="shared" ca="1" si="154"/>
        <v>0.1741979209291328</v>
      </c>
      <c r="G734">
        <f t="shared" ca="1" si="155"/>
        <v>0.17384193982858107</v>
      </c>
      <c r="H734">
        <f t="shared" ca="1" si="156"/>
        <v>1.0020477285337632</v>
      </c>
      <c r="I734">
        <f t="shared" ca="1" si="157"/>
        <v>50.051140852053088</v>
      </c>
      <c r="J734">
        <f t="shared" ca="1" si="158"/>
        <v>0</v>
      </c>
      <c r="K734">
        <f t="shared" ca="1" si="159"/>
        <v>0</v>
      </c>
      <c r="L734">
        <f t="shared" ca="1" si="153"/>
        <v>0</v>
      </c>
      <c r="M734" t="str">
        <f t="shared" ca="1" si="160"/>
        <v>na</v>
      </c>
      <c r="N734" t="str">
        <f t="shared" ca="1" si="161"/>
        <v>na</v>
      </c>
    </row>
    <row r="735" spans="1:14" x14ac:dyDescent="0.2">
      <c r="A735" vm="1361">
        <f ca="1"/>
        <v>45314</v>
      </c>
      <c r="B735" vm="885">
        <f ca="1"/>
        <v>32.770000000000003</v>
      </c>
      <c r="C735">
        <f t="shared" ca="1" si="150"/>
        <v>0.22000000000000597</v>
      </c>
      <c r="D735">
        <f t="shared" ca="1" si="151"/>
        <v>0.22000000000000597</v>
      </c>
      <c r="E735">
        <f t="shared" ca="1" si="152"/>
        <v>0</v>
      </c>
      <c r="F735">
        <f t="shared" ca="1" si="154"/>
        <v>0.17746949800562375</v>
      </c>
      <c r="G735">
        <f t="shared" ca="1" si="155"/>
        <v>0.16142465841225384</v>
      </c>
      <c r="H735">
        <f t="shared" ca="1" si="156"/>
        <v>1.0993952209729561</v>
      </c>
      <c r="I735">
        <f t="shared" ca="1" si="157"/>
        <v>52.367234620237241</v>
      </c>
      <c r="J735">
        <f t="shared" ca="1" si="158"/>
        <v>0</v>
      </c>
      <c r="K735">
        <f t="shared" ca="1" si="159"/>
        <v>0</v>
      </c>
      <c r="L735">
        <f t="shared" ca="1" si="153"/>
        <v>0</v>
      </c>
      <c r="M735" t="str">
        <f t="shared" ca="1" si="160"/>
        <v>na</v>
      </c>
      <c r="N735" t="str">
        <f t="shared" ca="1" si="161"/>
        <v>na</v>
      </c>
    </row>
    <row r="736" spans="1:14" x14ac:dyDescent="0.2">
      <c r="A736" vm="1362">
        <f ca="1"/>
        <v>45315</v>
      </c>
      <c r="B736" vm="1327">
        <f ca="1"/>
        <v>32.979999999999997</v>
      </c>
      <c r="C736">
        <f t="shared" ca="1" si="150"/>
        <v>0.20999999999999375</v>
      </c>
      <c r="D736">
        <f t="shared" ca="1" si="151"/>
        <v>0.20999999999999375</v>
      </c>
      <c r="E736">
        <f t="shared" ca="1" si="152"/>
        <v>0</v>
      </c>
      <c r="F736">
        <f t="shared" ca="1" si="154"/>
        <v>0.1797931052909359</v>
      </c>
      <c r="G736">
        <f t="shared" ca="1" si="155"/>
        <v>0.14989432566852143</v>
      </c>
      <c r="H736">
        <f t="shared" ca="1" si="156"/>
        <v>1.1994657201936589</v>
      </c>
      <c r="I736">
        <f t="shared" ca="1" si="157"/>
        <v>54.534413024998095</v>
      </c>
      <c r="J736">
        <f t="shared" ca="1" si="158"/>
        <v>0</v>
      </c>
      <c r="K736">
        <f t="shared" ca="1" si="159"/>
        <v>0</v>
      </c>
      <c r="L736">
        <f t="shared" ca="1" si="153"/>
        <v>0</v>
      </c>
      <c r="M736" t="str">
        <f t="shared" ca="1" si="160"/>
        <v>na</v>
      </c>
      <c r="N736" t="str">
        <f t="shared" ca="1" si="161"/>
        <v>na</v>
      </c>
    </row>
    <row r="737" spans="1:14" x14ac:dyDescent="0.2">
      <c r="A737" vm="1363">
        <f ca="1"/>
        <v>45316</v>
      </c>
      <c r="B737" vm="1364">
        <f ca="1"/>
        <v>33.39</v>
      </c>
      <c r="C737">
        <f t="shared" ca="1" si="150"/>
        <v>0.41000000000000369</v>
      </c>
      <c r="D737">
        <f t="shared" ca="1" si="151"/>
        <v>0.41000000000000369</v>
      </c>
      <c r="E737">
        <f t="shared" ca="1" si="152"/>
        <v>0</v>
      </c>
      <c r="F737">
        <f t="shared" ca="1" si="154"/>
        <v>0.19623645491301217</v>
      </c>
      <c r="G737">
        <f t="shared" ca="1" si="155"/>
        <v>0.1391875881207699</v>
      </c>
      <c r="H737">
        <f t="shared" ca="1" si="156"/>
        <v>1.4098703595807858</v>
      </c>
      <c r="I737">
        <f t="shared" ca="1" si="157"/>
        <v>58.503991883863947</v>
      </c>
      <c r="J737">
        <f t="shared" ca="1" si="158"/>
        <v>0</v>
      </c>
      <c r="K737">
        <f t="shared" ca="1" si="159"/>
        <v>0</v>
      </c>
      <c r="L737">
        <f t="shared" ca="1" si="153"/>
        <v>0</v>
      </c>
      <c r="M737" t="str">
        <f t="shared" ca="1" si="160"/>
        <v>na</v>
      </c>
      <c r="N737" t="str">
        <f t="shared" ca="1" si="161"/>
        <v>na</v>
      </c>
    </row>
    <row r="738" spans="1:14" x14ac:dyDescent="0.2">
      <c r="A738" vm="1365">
        <f ca="1"/>
        <v>45317</v>
      </c>
      <c r="B738" vm="685">
        <f ca="1"/>
        <v>33.43</v>
      </c>
      <c r="C738">
        <f t="shared" ca="1" si="150"/>
        <v>3.9999999999999147E-2</v>
      </c>
      <c r="D738">
        <f t="shared" ca="1" si="151"/>
        <v>3.9999999999999147E-2</v>
      </c>
      <c r="E738">
        <f t="shared" ca="1" si="152"/>
        <v>0</v>
      </c>
      <c r="F738">
        <f t="shared" ca="1" si="154"/>
        <v>0.18507670813351124</v>
      </c>
      <c r="G738">
        <f t="shared" ca="1" si="155"/>
        <v>0.1292456175407149</v>
      </c>
      <c r="H738">
        <f t="shared" ca="1" si="156"/>
        <v>1.4319766631561681</v>
      </c>
      <c r="I738">
        <f t="shared" ca="1" si="157"/>
        <v>58.881184381834437</v>
      </c>
      <c r="J738">
        <f t="shared" ca="1" si="158"/>
        <v>0</v>
      </c>
      <c r="K738">
        <f t="shared" ca="1" si="159"/>
        <v>0</v>
      </c>
      <c r="L738">
        <f t="shared" ca="1" si="153"/>
        <v>0</v>
      </c>
      <c r="M738" t="str">
        <f t="shared" ca="1" si="160"/>
        <v>na</v>
      </c>
      <c r="N738" t="str">
        <f t="shared" ca="1" si="161"/>
        <v>na</v>
      </c>
    </row>
    <row r="739" spans="1:14" x14ac:dyDescent="0.2">
      <c r="A739" vm="1366">
        <f ca="1"/>
        <v>45320</v>
      </c>
      <c r="B739" vm="738">
        <f ca="1"/>
        <v>33.61</v>
      </c>
      <c r="C739">
        <f t="shared" ca="1" si="150"/>
        <v>0.17999999999999972</v>
      </c>
      <c r="D739">
        <f t="shared" ca="1" si="151"/>
        <v>0.17999999999999972</v>
      </c>
      <c r="E739">
        <f t="shared" ca="1" si="152"/>
        <v>0</v>
      </c>
      <c r="F739">
        <f t="shared" ca="1" si="154"/>
        <v>0.18471408612397469</v>
      </c>
      <c r="G739">
        <f t="shared" ca="1" si="155"/>
        <v>0.12001378771637812</v>
      </c>
      <c r="H739">
        <f t="shared" ca="1" si="156"/>
        <v>1.5391072112522535</v>
      </c>
      <c r="I739">
        <f t="shared" ca="1" si="157"/>
        <v>60.616078140835434</v>
      </c>
      <c r="J739">
        <f t="shared" ca="1" si="158"/>
        <v>0</v>
      </c>
      <c r="K739">
        <f t="shared" ca="1" si="159"/>
        <v>0</v>
      </c>
      <c r="L739">
        <f t="shared" ca="1" si="153"/>
        <v>0</v>
      </c>
      <c r="M739" t="str">
        <f t="shared" ca="1" si="160"/>
        <v>na</v>
      </c>
      <c r="N739" t="str">
        <f t="shared" ca="1" si="161"/>
        <v>na</v>
      </c>
    </row>
    <row r="740" spans="1:14" x14ac:dyDescent="0.2">
      <c r="A740" vm="1367">
        <f ca="1"/>
        <v>45321</v>
      </c>
      <c r="B740" vm="1368">
        <f ca="1"/>
        <v>34.79</v>
      </c>
      <c r="C740">
        <f t="shared" ca="1" si="150"/>
        <v>1.1799999999999997</v>
      </c>
      <c r="D740">
        <f t="shared" ca="1" si="151"/>
        <v>1.1799999999999997</v>
      </c>
      <c r="E740">
        <f t="shared" ca="1" si="152"/>
        <v>0</v>
      </c>
      <c r="F740">
        <f t="shared" ca="1" si="154"/>
        <v>0.25580593711511934</v>
      </c>
      <c r="G740">
        <f t="shared" ca="1" si="155"/>
        <v>0.1114413743080654</v>
      </c>
      <c r="H740">
        <f t="shared" ca="1" si="156"/>
        <v>2.2954305678964135</v>
      </c>
      <c r="I740">
        <f t="shared" ca="1" si="157"/>
        <v>69.654951624778604</v>
      </c>
      <c r="J740">
        <f t="shared" ca="1" si="158"/>
        <v>0</v>
      </c>
      <c r="K740">
        <f t="shared" ca="1" si="159"/>
        <v>0</v>
      </c>
      <c r="L740">
        <f t="shared" ca="1" si="153"/>
        <v>0</v>
      </c>
      <c r="M740" t="str">
        <f t="shared" ca="1" si="160"/>
        <v>na</v>
      </c>
      <c r="N740" t="str">
        <f t="shared" ca="1" si="161"/>
        <v>na</v>
      </c>
    </row>
    <row r="741" spans="1:14" x14ac:dyDescent="0.2">
      <c r="A741" vm="1369">
        <f ca="1"/>
        <v>45322</v>
      </c>
      <c r="B741" vm="1370">
        <f ca="1"/>
        <v>34.01</v>
      </c>
      <c r="C741">
        <f t="shared" ca="1" si="150"/>
        <v>-0.78000000000000114</v>
      </c>
      <c r="D741">
        <f t="shared" ca="1" si="151"/>
        <v>0</v>
      </c>
      <c r="E741">
        <f t="shared" ca="1" si="152"/>
        <v>0.78000000000000114</v>
      </c>
      <c r="F741">
        <f t="shared" ca="1" si="154"/>
        <v>0.2375340844640394</v>
      </c>
      <c r="G741">
        <f t="shared" ca="1" si="155"/>
        <v>0.1591955618574894</v>
      </c>
      <c r="H741">
        <f t="shared" ca="1" si="156"/>
        <v>1.4920898653988734</v>
      </c>
      <c r="I741">
        <f t="shared" ca="1" si="157"/>
        <v>59.873036125848365</v>
      </c>
      <c r="J741">
        <f t="shared" ca="1" si="158"/>
        <v>0</v>
      </c>
      <c r="K741">
        <f t="shared" ca="1" si="159"/>
        <v>0</v>
      </c>
      <c r="L741">
        <f t="shared" ca="1" si="153"/>
        <v>0</v>
      </c>
      <c r="M741" t="str">
        <f t="shared" ca="1" si="160"/>
        <v>na</v>
      </c>
      <c r="N741" t="str">
        <f t="shared" ca="1" si="161"/>
        <v>na</v>
      </c>
    </row>
    <row r="742" spans="1:14" x14ac:dyDescent="0.2">
      <c r="A742" vm="1371">
        <f ca="1"/>
        <v>45323</v>
      </c>
      <c r="B742" vm="1372">
        <f ca="1"/>
        <v>33.549999999999997</v>
      </c>
      <c r="C742">
        <f t="shared" ca="1" si="150"/>
        <v>-0.46000000000000085</v>
      </c>
      <c r="D742">
        <f t="shared" ca="1" si="151"/>
        <v>0</v>
      </c>
      <c r="E742">
        <f t="shared" ca="1" si="152"/>
        <v>0.46000000000000085</v>
      </c>
      <c r="F742">
        <f t="shared" ca="1" si="154"/>
        <v>0.22056736414517944</v>
      </c>
      <c r="G742">
        <f t="shared" ca="1" si="155"/>
        <v>0.18068159315338309</v>
      </c>
      <c r="H742">
        <f t="shared" ca="1" si="156"/>
        <v>1.2207517118688276</v>
      </c>
      <c r="I742">
        <f t="shared" ca="1" si="157"/>
        <v>54.970202447419453</v>
      </c>
      <c r="J742">
        <f t="shared" ca="1" si="158"/>
        <v>0</v>
      </c>
      <c r="K742">
        <f t="shared" ca="1" si="159"/>
        <v>0</v>
      </c>
      <c r="L742">
        <f t="shared" ca="1" si="153"/>
        <v>0</v>
      </c>
      <c r="M742" t="str">
        <f t="shared" ca="1" si="160"/>
        <v>na</v>
      </c>
      <c r="N742" t="str">
        <f t="shared" ca="1" si="161"/>
        <v>na</v>
      </c>
    </row>
    <row r="743" spans="1:14" x14ac:dyDescent="0.2">
      <c r="A743" vm="1373">
        <f ca="1"/>
        <v>45324</v>
      </c>
      <c r="B743" vm="740">
        <f ca="1"/>
        <v>33.47</v>
      </c>
      <c r="C743">
        <f t="shared" ca="1" si="150"/>
        <v>-7.9999999999998295E-2</v>
      </c>
      <c r="D743">
        <f t="shared" ca="1" si="151"/>
        <v>0</v>
      </c>
      <c r="E743">
        <f t="shared" ca="1" si="152"/>
        <v>7.9999999999998295E-2</v>
      </c>
      <c r="F743">
        <f t="shared" ca="1" si="154"/>
        <v>0.20481255242052376</v>
      </c>
      <c r="G743">
        <f t="shared" ca="1" si="155"/>
        <v>0.17349005078528418</v>
      </c>
      <c r="H743">
        <f t="shared" ca="1" si="156"/>
        <v>1.1805435037540286</v>
      </c>
      <c r="I743">
        <f t="shared" ca="1" si="157"/>
        <v>54.139873922331859</v>
      </c>
      <c r="J743">
        <f t="shared" ca="1" si="158"/>
        <v>0</v>
      </c>
      <c r="K743">
        <f t="shared" ca="1" si="159"/>
        <v>0</v>
      </c>
      <c r="L743">
        <f t="shared" ca="1" si="153"/>
        <v>0</v>
      </c>
      <c r="M743" t="str">
        <f t="shared" ca="1" si="160"/>
        <v>na</v>
      </c>
      <c r="N743" t="str">
        <f t="shared" ca="1" si="161"/>
        <v>na</v>
      </c>
    </row>
    <row r="744" spans="1:14" x14ac:dyDescent="0.2">
      <c r="A744" vm="1374">
        <f ca="1"/>
        <v>45327</v>
      </c>
      <c r="B744" vm="1375">
        <f ca="1"/>
        <v>32.99</v>
      </c>
      <c r="C744">
        <f t="shared" ca="1" si="150"/>
        <v>-0.47999999999999687</v>
      </c>
      <c r="D744">
        <f t="shared" ca="1" si="151"/>
        <v>0</v>
      </c>
      <c r="E744">
        <f t="shared" ca="1" si="152"/>
        <v>0.47999999999999687</v>
      </c>
      <c r="F744">
        <f t="shared" ca="1" si="154"/>
        <v>0.19018308439048637</v>
      </c>
      <c r="G744">
        <f t="shared" ca="1" si="155"/>
        <v>0.1953836185863351</v>
      </c>
      <c r="H744">
        <f t="shared" ca="1" si="156"/>
        <v>0.97338295690561827</v>
      </c>
      <c r="I744">
        <f t="shared" ca="1" si="157"/>
        <v>49.325598637577201</v>
      </c>
      <c r="J744">
        <f t="shared" ca="1" si="158"/>
        <v>0</v>
      </c>
      <c r="K744">
        <f t="shared" ca="1" si="159"/>
        <v>0</v>
      </c>
      <c r="L744">
        <f t="shared" ca="1" si="153"/>
        <v>0</v>
      </c>
      <c r="M744" t="str">
        <f t="shared" ca="1" si="160"/>
        <v>na</v>
      </c>
      <c r="N744" t="str">
        <f t="shared" ca="1" si="161"/>
        <v>na</v>
      </c>
    </row>
    <row r="745" spans="1:14" x14ac:dyDescent="0.2">
      <c r="A745" vm="1376">
        <f ca="1"/>
        <v>45328</v>
      </c>
      <c r="B745" vm="699">
        <f ca="1"/>
        <v>33.04</v>
      </c>
      <c r="C745">
        <f t="shared" ca="1" si="150"/>
        <v>4.9999999999997158E-2</v>
      </c>
      <c r="D745">
        <f t="shared" ca="1" si="151"/>
        <v>4.9999999999997158E-2</v>
      </c>
      <c r="E745">
        <f t="shared" ca="1" si="152"/>
        <v>0</v>
      </c>
      <c r="F745">
        <f t="shared" ca="1" si="154"/>
        <v>0.18017000693402285</v>
      </c>
      <c r="G745">
        <f t="shared" ca="1" si="155"/>
        <v>0.18142764583016829</v>
      </c>
      <c r="H745">
        <f t="shared" ca="1" si="156"/>
        <v>0.99306809670383589</v>
      </c>
      <c r="I745">
        <f t="shared" ca="1" si="157"/>
        <v>49.826099687521257</v>
      </c>
      <c r="J745">
        <f t="shared" ca="1" si="158"/>
        <v>0</v>
      </c>
      <c r="K745">
        <f t="shared" ca="1" si="159"/>
        <v>0</v>
      </c>
      <c r="L745">
        <f t="shared" ca="1" si="153"/>
        <v>0</v>
      </c>
      <c r="M745" t="str">
        <f t="shared" ca="1" si="160"/>
        <v>na</v>
      </c>
      <c r="N745" t="str">
        <f t="shared" ca="1" si="161"/>
        <v>na</v>
      </c>
    </row>
    <row r="746" spans="1:14" x14ac:dyDescent="0.2">
      <c r="A746" vm="1377">
        <f ca="1"/>
        <v>45329</v>
      </c>
      <c r="B746" vm="1378">
        <f ca="1"/>
        <v>33.18</v>
      </c>
      <c r="C746">
        <f t="shared" ca="1" si="150"/>
        <v>0.14000000000000057</v>
      </c>
      <c r="D746">
        <f t="shared" ca="1" si="151"/>
        <v>0.14000000000000057</v>
      </c>
      <c r="E746">
        <f t="shared" ca="1" si="152"/>
        <v>0</v>
      </c>
      <c r="F746">
        <f t="shared" ca="1" si="154"/>
        <v>0.17730072072444983</v>
      </c>
      <c r="G746">
        <f t="shared" ca="1" si="155"/>
        <v>0.16846852827087058</v>
      </c>
      <c r="H746">
        <f t="shared" ca="1" si="156"/>
        <v>1.05242636440308</v>
      </c>
      <c r="I746">
        <f t="shared" ca="1" si="157"/>
        <v>51.277180153996106</v>
      </c>
      <c r="J746">
        <f t="shared" ca="1" si="158"/>
        <v>0</v>
      </c>
      <c r="K746">
        <f t="shared" ca="1" si="159"/>
        <v>0</v>
      </c>
      <c r="L746">
        <f t="shared" ca="1" si="153"/>
        <v>0</v>
      </c>
      <c r="M746" t="str">
        <f t="shared" ca="1" si="160"/>
        <v>na</v>
      </c>
      <c r="N746" t="str">
        <f t="shared" ca="1" si="161"/>
        <v>na</v>
      </c>
    </row>
    <row r="747" spans="1:14" x14ac:dyDescent="0.2">
      <c r="A747" vm="1379">
        <f ca="1"/>
        <v>45330</v>
      </c>
      <c r="B747" vm="889">
        <f ca="1"/>
        <v>33.119999999999997</v>
      </c>
      <c r="C747">
        <f t="shared" ca="1" si="150"/>
        <v>-6.0000000000002274E-2</v>
      </c>
      <c r="D747">
        <f t="shared" ca="1" si="151"/>
        <v>0</v>
      </c>
      <c r="E747">
        <f t="shared" ca="1" si="152"/>
        <v>6.0000000000002274E-2</v>
      </c>
      <c r="F747">
        <f t="shared" ca="1" si="154"/>
        <v>0.16463638352984628</v>
      </c>
      <c r="G747">
        <f t="shared" ca="1" si="155"/>
        <v>0.16072077625152284</v>
      </c>
      <c r="H747">
        <f t="shared" ca="1" si="156"/>
        <v>1.0243627947154488</v>
      </c>
      <c r="I747">
        <f t="shared" ca="1" si="157"/>
        <v>50.601739835839886</v>
      </c>
      <c r="J747">
        <f t="shared" ca="1" si="158"/>
        <v>0</v>
      </c>
      <c r="K747">
        <f t="shared" ca="1" si="159"/>
        <v>0</v>
      </c>
      <c r="L747">
        <f t="shared" ca="1" si="153"/>
        <v>0</v>
      </c>
      <c r="M747" t="str">
        <f t="shared" ca="1" si="160"/>
        <v>na</v>
      </c>
      <c r="N747" t="str">
        <f t="shared" ca="1" si="161"/>
        <v>na</v>
      </c>
    </row>
    <row r="748" spans="1:14" x14ac:dyDescent="0.2">
      <c r="A748" vm="1380">
        <f ca="1"/>
        <v>45331</v>
      </c>
      <c r="B748" vm="1381">
        <f ca="1"/>
        <v>33.07</v>
      </c>
      <c r="C748">
        <f t="shared" ca="1" si="150"/>
        <v>-4.9999999999997158E-2</v>
      </c>
      <c r="D748">
        <f t="shared" ca="1" si="151"/>
        <v>0</v>
      </c>
      <c r="E748">
        <f t="shared" ca="1" si="152"/>
        <v>4.9999999999997158E-2</v>
      </c>
      <c r="F748">
        <f t="shared" ca="1" si="154"/>
        <v>0.15287664184914296</v>
      </c>
      <c r="G748">
        <f t="shared" ca="1" si="155"/>
        <v>0.15281214937641385</v>
      </c>
      <c r="H748">
        <f t="shared" ca="1" si="156"/>
        <v>1.0004220375997084</v>
      </c>
      <c r="I748">
        <f t="shared" ca="1" si="157"/>
        <v>50.010548714015741</v>
      </c>
      <c r="J748">
        <f t="shared" ca="1" si="158"/>
        <v>0</v>
      </c>
      <c r="K748">
        <f t="shared" ca="1" si="159"/>
        <v>0</v>
      </c>
      <c r="L748">
        <f t="shared" ca="1" si="153"/>
        <v>0</v>
      </c>
      <c r="M748" t="str">
        <f t="shared" ca="1" si="160"/>
        <v>na</v>
      </c>
      <c r="N748" t="str">
        <f t="shared" ca="1" si="161"/>
        <v>na</v>
      </c>
    </row>
    <row r="749" spans="1:14" x14ac:dyDescent="0.2">
      <c r="A749" vm="1382">
        <f ca="1"/>
        <v>45334</v>
      </c>
      <c r="B749" vm="796">
        <f ca="1"/>
        <v>33.619999999999997</v>
      </c>
      <c r="C749">
        <f t="shared" ca="1" si="150"/>
        <v>0.54999999999999716</v>
      </c>
      <c r="D749">
        <f t="shared" ca="1" si="151"/>
        <v>0.54999999999999716</v>
      </c>
      <c r="E749">
        <f t="shared" ca="1" si="152"/>
        <v>0</v>
      </c>
      <c r="F749">
        <f t="shared" ca="1" si="154"/>
        <v>0.1812425960027754</v>
      </c>
      <c r="G749">
        <f t="shared" ca="1" si="155"/>
        <v>0.14189699584952714</v>
      </c>
      <c r="H749">
        <f t="shared" ca="1" si="156"/>
        <v>1.2772828270090495</v>
      </c>
      <c r="I749">
        <f t="shared" ca="1" si="157"/>
        <v>56.088019101545427</v>
      </c>
      <c r="J749">
        <f t="shared" ca="1" si="158"/>
        <v>0</v>
      </c>
      <c r="K749">
        <f t="shared" ca="1" si="159"/>
        <v>0</v>
      </c>
      <c r="L749">
        <f t="shared" ca="1" si="153"/>
        <v>0</v>
      </c>
      <c r="M749" t="str">
        <f t="shared" ca="1" si="160"/>
        <v>na</v>
      </c>
      <c r="N749" t="str">
        <f t="shared" ca="1" si="161"/>
        <v>na</v>
      </c>
    </row>
    <row r="750" spans="1:14" x14ac:dyDescent="0.2">
      <c r="A750" vm="1383">
        <f ca="1"/>
        <v>45335</v>
      </c>
      <c r="B750" vm="866">
        <f ca="1"/>
        <v>32.75</v>
      </c>
      <c r="C750">
        <f t="shared" ca="1" si="150"/>
        <v>-0.86999999999999744</v>
      </c>
      <c r="D750">
        <f t="shared" ca="1" si="151"/>
        <v>0</v>
      </c>
      <c r="E750">
        <f t="shared" ca="1" si="152"/>
        <v>0.86999999999999744</v>
      </c>
      <c r="F750">
        <f t="shared" ca="1" si="154"/>
        <v>0.16829669628829144</v>
      </c>
      <c r="G750">
        <f t="shared" ca="1" si="155"/>
        <v>0.19390435328884645</v>
      </c>
      <c r="H750">
        <f t="shared" ca="1" si="156"/>
        <v>0.86793665760350935</v>
      </c>
      <c r="I750">
        <f t="shared" ca="1" si="157"/>
        <v>46.464994092307101</v>
      </c>
      <c r="J750">
        <f t="shared" ca="1" si="158"/>
        <v>0</v>
      </c>
      <c r="K750">
        <f t="shared" ca="1" si="159"/>
        <v>0</v>
      </c>
      <c r="L750">
        <f t="shared" ca="1" si="153"/>
        <v>0</v>
      </c>
      <c r="M750" t="str">
        <f t="shared" ca="1" si="160"/>
        <v>na</v>
      </c>
      <c r="N750" t="str">
        <f t="shared" ca="1" si="161"/>
        <v>na</v>
      </c>
    </row>
    <row r="751" spans="1:14" x14ac:dyDescent="0.2">
      <c r="A751" vm="1384">
        <f ca="1"/>
        <v>45336</v>
      </c>
      <c r="B751" vm="1385">
        <f ca="1"/>
        <v>33.130000000000003</v>
      </c>
      <c r="C751">
        <f t="shared" ca="1" si="150"/>
        <v>0.38000000000000256</v>
      </c>
      <c r="D751">
        <f t="shared" ca="1" si="151"/>
        <v>0.38000000000000256</v>
      </c>
      <c r="E751">
        <f t="shared" ca="1" si="152"/>
        <v>0</v>
      </c>
      <c r="F751">
        <f t="shared" ca="1" si="154"/>
        <v>0.18341836083912796</v>
      </c>
      <c r="G751">
        <f t="shared" ca="1" si="155"/>
        <v>0.18005404233964312</v>
      </c>
      <c r="H751">
        <f t="shared" ca="1" si="156"/>
        <v>1.0186850484208436</v>
      </c>
      <c r="I751">
        <f t="shared" ca="1" si="157"/>
        <v>50.462802467266023</v>
      </c>
      <c r="J751">
        <f t="shared" ca="1" si="158"/>
        <v>0</v>
      </c>
      <c r="K751">
        <f t="shared" ca="1" si="159"/>
        <v>0</v>
      </c>
      <c r="L751">
        <f t="shared" ca="1" si="153"/>
        <v>0</v>
      </c>
      <c r="M751" t="str">
        <f t="shared" ca="1" si="160"/>
        <v>na</v>
      </c>
      <c r="N751" t="str">
        <f t="shared" ca="1" si="161"/>
        <v>na</v>
      </c>
    </row>
    <row r="752" spans="1:14" x14ac:dyDescent="0.2">
      <c r="A752" vm="1386">
        <f ca="1"/>
        <v>45337</v>
      </c>
      <c r="B752" vm="895">
        <f ca="1"/>
        <v>34.07</v>
      </c>
      <c r="C752">
        <f t="shared" ca="1" si="150"/>
        <v>0.93999999999999773</v>
      </c>
      <c r="D752">
        <f t="shared" ca="1" si="151"/>
        <v>0.93999999999999773</v>
      </c>
      <c r="E752">
        <f t="shared" ca="1" si="152"/>
        <v>0</v>
      </c>
      <c r="F752">
        <f t="shared" ca="1" si="154"/>
        <v>0.23745990649347579</v>
      </c>
      <c r="G752">
        <f t="shared" ca="1" si="155"/>
        <v>0.1671930393153829</v>
      </c>
      <c r="H752">
        <f t="shared" ca="1" si="156"/>
        <v>1.4202738790192437</v>
      </c>
      <c r="I752">
        <f t="shared" ca="1" si="157"/>
        <v>58.682361997592388</v>
      </c>
      <c r="J752">
        <f t="shared" ca="1" si="158"/>
        <v>0</v>
      </c>
      <c r="K752">
        <f t="shared" ca="1" si="159"/>
        <v>0</v>
      </c>
      <c r="L752">
        <f t="shared" ca="1" si="153"/>
        <v>0</v>
      </c>
      <c r="M752" t="str">
        <f t="shared" ca="1" si="160"/>
        <v>na</v>
      </c>
      <c r="N752" t="str">
        <f t="shared" ca="1" si="161"/>
        <v>na</v>
      </c>
    </row>
    <row r="753" spans="1:14" x14ac:dyDescent="0.2">
      <c r="A753" vm="1387">
        <f ca="1"/>
        <v>45338</v>
      </c>
      <c r="B753" vm="736">
        <f ca="1"/>
        <v>34.090000000000003</v>
      </c>
      <c r="C753">
        <f t="shared" ca="1" si="150"/>
        <v>2.0000000000003126E-2</v>
      </c>
      <c r="D753">
        <f t="shared" ca="1" si="151"/>
        <v>2.0000000000003126E-2</v>
      </c>
      <c r="E753">
        <f t="shared" ca="1" si="152"/>
        <v>0</v>
      </c>
      <c r="F753">
        <f t="shared" ca="1" si="154"/>
        <v>0.22192705602965629</v>
      </c>
      <c r="G753">
        <f t="shared" ca="1" si="155"/>
        <v>0.15525067936428411</v>
      </c>
      <c r="H753">
        <f t="shared" ca="1" si="156"/>
        <v>1.4294755870853295</v>
      </c>
      <c r="I753">
        <f t="shared" ca="1" si="157"/>
        <v>58.83885372975854</v>
      </c>
      <c r="J753">
        <f t="shared" ca="1" si="158"/>
        <v>0</v>
      </c>
      <c r="K753">
        <f t="shared" ca="1" si="159"/>
        <v>0</v>
      </c>
      <c r="L753">
        <f t="shared" ca="1" si="153"/>
        <v>0</v>
      </c>
      <c r="M753" t="str">
        <f t="shared" ca="1" si="160"/>
        <v>na</v>
      </c>
      <c r="N753" t="str">
        <f t="shared" ca="1" si="161"/>
        <v>na</v>
      </c>
    </row>
    <row r="754" spans="1:14" x14ac:dyDescent="0.2">
      <c r="A754" vm="1388">
        <f ca="1"/>
        <v>45342</v>
      </c>
      <c r="B754" vm="705">
        <f ca="1"/>
        <v>33.96</v>
      </c>
      <c r="C754">
        <f t="shared" ca="1" si="150"/>
        <v>-0.13000000000000256</v>
      </c>
      <c r="D754">
        <f t="shared" ca="1" si="151"/>
        <v>0</v>
      </c>
      <c r="E754">
        <f t="shared" ca="1" si="152"/>
        <v>0.13000000000000256</v>
      </c>
      <c r="F754">
        <f t="shared" ca="1" si="154"/>
        <v>0.2060751234561094</v>
      </c>
      <c r="G754">
        <f t="shared" ca="1" si="155"/>
        <v>0.15344705940969258</v>
      </c>
      <c r="H754">
        <f t="shared" ca="1" si="156"/>
        <v>1.3429721250369724</v>
      </c>
      <c r="I754">
        <f t="shared" ca="1" si="157"/>
        <v>57.319167850355029</v>
      </c>
      <c r="J754">
        <f t="shared" ca="1" si="158"/>
        <v>0</v>
      </c>
      <c r="K754">
        <f t="shared" ca="1" si="159"/>
        <v>0</v>
      </c>
      <c r="L754">
        <f t="shared" ca="1" si="153"/>
        <v>0</v>
      </c>
      <c r="M754" t="str">
        <f t="shared" ca="1" si="160"/>
        <v>na</v>
      </c>
      <c r="N754" t="str">
        <f t="shared" ca="1" si="161"/>
        <v>na</v>
      </c>
    </row>
    <row r="755" spans="1:14" x14ac:dyDescent="0.2">
      <c r="A755" vm="1389">
        <f ca="1"/>
        <v>45343</v>
      </c>
      <c r="B755" vm="800">
        <f ca="1"/>
        <v>33.700000000000003</v>
      </c>
      <c r="C755">
        <f t="shared" ca="1" si="150"/>
        <v>-0.25999999999999801</v>
      </c>
      <c r="D755">
        <f t="shared" ca="1" si="151"/>
        <v>0</v>
      </c>
      <c r="E755">
        <f t="shared" ca="1" si="152"/>
        <v>0.25999999999999801</v>
      </c>
      <c r="F755">
        <f t="shared" ca="1" si="154"/>
        <v>0.191355471780673</v>
      </c>
      <c r="G755">
        <f t="shared" ca="1" si="155"/>
        <v>0.16105798373757155</v>
      </c>
      <c r="H755">
        <f t="shared" ca="1" si="156"/>
        <v>1.1881154062655366</v>
      </c>
      <c r="I755">
        <f t="shared" ca="1" si="157"/>
        <v>54.29857140365813</v>
      </c>
      <c r="J755">
        <f t="shared" ca="1" si="158"/>
        <v>0</v>
      </c>
      <c r="K755">
        <f t="shared" ca="1" si="159"/>
        <v>0</v>
      </c>
      <c r="L755">
        <f t="shared" ca="1" si="153"/>
        <v>0</v>
      </c>
      <c r="M755" t="str">
        <f t="shared" ca="1" si="160"/>
        <v>na</v>
      </c>
      <c r="N755" t="str">
        <f t="shared" ca="1" si="161"/>
        <v>na</v>
      </c>
    </row>
    <row r="756" spans="1:14" x14ac:dyDescent="0.2">
      <c r="A756" vm="1390">
        <f ca="1"/>
        <v>45344</v>
      </c>
      <c r="B756" vm="738">
        <f ca="1"/>
        <v>33.61</v>
      </c>
      <c r="C756">
        <f t="shared" ca="1" si="150"/>
        <v>-9.0000000000003411E-2</v>
      </c>
      <c r="D756">
        <f t="shared" ca="1" si="151"/>
        <v>0</v>
      </c>
      <c r="E756">
        <f t="shared" ca="1" si="152"/>
        <v>9.0000000000003411E-2</v>
      </c>
      <c r="F756">
        <f t="shared" ca="1" si="154"/>
        <v>0.17768722379633919</v>
      </c>
      <c r="G756">
        <f t="shared" ca="1" si="155"/>
        <v>0.1559824134706024</v>
      </c>
      <c r="H756">
        <f t="shared" ca="1" si="156"/>
        <v>1.1391490863797118</v>
      </c>
      <c r="I756">
        <f t="shared" ca="1" si="157"/>
        <v>53.252440123638308</v>
      </c>
      <c r="J756">
        <f t="shared" ca="1" si="158"/>
        <v>0</v>
      </c>
      <c r="K756">
        <f t="shared" ca="1" si="159"/>
        <v>0</v>
      </c>
      <c r="L756">
        <f t="shared" ca="1" si="153"/>
        <v>0</v>
      </c>
      <c r="M756" t="str">
        <f t="shared" ca="1" si="160"/>
        <v>na</v>
      </c>
      <c r="N756" t="str">
        <f t="shared" ca="1" si="161"/>
        <v>na</v>
      </c>
    </row>
    <row r="757" spans="1:14" x14ac:dyDescent="0.2">
      <c r="A757" vm="1391">
        <f ca="1"/>
        <v>45345</v>
      </c>
      <c r="B757" vm="709">
        <f ca="1"/>
        <v>33.92</v>
      </c>
      <c r="C757">
        <f t="shared" ca="1" si="150"/>
        <v>0.31000000000000227</v>
      </c>
      <c r="D757">
        <f t="shared" ca="1" si="151"/>
        <v>0.31000000000000227</v>
      </c>
      <c r="E757">
        <f t="shared" ca="1" si="152"/>
        <v>0</v>
      </c>
      <c r="F757">
        <f t="shared" ca="1" si="154"/>
        <v>0.18713813638231511</v>
      </c>
      <c r="G757">
        <f t="shared" ca="1" si="155"/>
        <v>0.14484081250841654</v>
      </c>
      <c r="H757">
        <f t="shared" ca="1" si="156"/>
        <v>1.2920262814145751</v>
      </c>
      <c r="I757">
        <f t="shared" ca="1" si="157"/>
        <v>56.37048282959357</v>
      </c>
      <c r="J757">
        <f t="shared" ca="1" si="158"/>
        <v>0</v>
      </c>
      <c r="K757">
        <f t="shared" ca="1" si="159"/>
        <v>0</v>
      </c>
      <c r="L757">
        <f t="shared" ca="1" si="153"/>
        <v>0</v>
      </c>
      <c r="M757" t="str">
        <f t="shared" ca="1" si="160"/>
        <v>na</v>
      </c>
      <c r="N757" t="str">
        <f t="shared" ca="1" si="161"/>
        <v>na</v>
      </c>
    </row>
    <row r="758" spans="1:14" x14ac:dyDescent="0.2">
      <c r="A758" vm="1392">
        <f ca="1"/>
        <v>45348</v>
      </c>
      <c r="B758" vm="738">
        <f ca="1"/>
        <v>33.61</v>
      </c>
      <c r="C758">
        <f t="shared" ca="1" si="150"/>
        <v>-0.31000000000000227</v>
      </c>
      <c r="D758">
        <f t="shared" ca="1" si="151"/>
        <v>0</v>
      </c>
      <c r="E758">
        <f t="shared" ca="1" si="152"/>
        <v>0.31000000000000227</v>
      </c>
      <c r="F758">
        <f t="shared" ca="1" si="154"/>
        <v>0.17377112664072117</v>
      </c>
      <c r="G758">
        <f t="shared" ca="1" si="155"/>
        <v>0.1566378973292441</v>
      </c>
      <c r="H758">
        <f t="shared" ca="1" si="156"/>
        <v>1.109381124259246</v>
      </c>
      <c r="I758">
        <f t="shared" ca="1" si="157"/>
        <v>52.592730232609277</v>
      </c>
      <c r="J758">
        <f t="shared" ca="1" si="158"/>
        <v>0</v>
      </c>
      <c r="K758">
        <f t="shared" ca="1" si="159"/>
        <v>0</v>
      </c>
      <c r="L758">
        <f t="shared" ca="1" si="153"/>
        <v>0</v>
      </c>
      <c r="M758" t="str">
        <f t="shared" ca="1" si="160"/>
        <v>na</v>
      </c>
      <c r="N758" t="str">
        <f t="shared" ca="1" si="161"/>
        <v>na</v>
      </c>
    </row>
    <row r="759" spans="1:14" x14ac:dyDescent="0.2">
      <c r="A759" vm="1393">
        <f ca="1"/>
        <v>45349</v>
      </c>
      <c r="B759" vm="1394">
        <f ca="1"/>
        <v>34.28</v>
      </c>
      <c r="C759">
        <f t="shared" ca="1" si="150"/>
        <v>0.67000000000000171</v>
      </c>
      <c r="D759">
        <f t="shared" ca="1" si="151"/>
        <v>0.67000000000000171</v>
      </c>
      <c r="E759">
        <f t="shared" ca="1" si="152"/>
        <v>0</v>
      </c>
      <c r="F759">
        <f t="shared" ca="1" si="154"/>
        <v>0.20921604616638406</v>
      </c>
      <c r="G759">
        <f t="shared" ca="1" si="155"/>
        <v>0.14544947609144093</v>
      </c>
      <c r="H759">
        <f t="shared" ca="1" si="156"/>
        <v>1.4384104486897875</v>
      </c>
      <c r="I759">
        <f t="shared" ca="1" si="157"/>
        <v>58.989677044021761</v>
      </c>
      <c r="J759">
        <f t="shared" ca="1" si="158"/>
        <v>0</v>
      </c>
      <c r="K759">
        <f t="shared" ca="1" si="159"/>
        <v>0</v>
      </c>
      <c r="L759">
        <f t="shared" ca="1" si="153"/>
        <v>0</v>
      </c>
      <c r="M759" t="str">
        <f t="shared" ca="1" si="160"/>
        <v>na</v>
      </c>
      <c r="N759" t="str">
        <f t="shared" ca="1" si="161"/>
        <v>na</v>
      </c>
    </row>
    <row r="760" spans="1:14" x14ac:dyDescent="0.2">
      <c r="A760" vm="1395">
        <f ca="1"/>
        <v>45350</v>
      </c>
      <c r="B760" vm="1396">
        <f ca="1"/>
        <v>34.31</v>
      </c>
      <c r="C760">
        <f t="shared" ca="1" si="150"/>
        <v>3.0000000000001137E-2</v>
      </c>
      <c r="D760">
        <f t="shared" ca="1" si="151"/>
        <v>3.0000000000001137E-2</v>
      </c>
      <c r="E760">
        <f t="shared" ca="1" si="152"/>
        <v>0</v>
      </c>
      <c r="F760">
        <f t="shared" ca="1" si="154"/>
        <v>0.19641490001164241</v>
      </c>
      <c r="G760">
        <f t="shared" ca="1" si="155"/>
        <v>0.13506022779919516</v>
      </c>
      <c r="H760">
        <f t="shared" ca="1" si="156"/>
        <v>1.4542763862627874</v>
      </c>
      <c r="I760">
        <f t="shared" ca="1" si="157"/>
        <v>59.254792752875929</v>
      </c>
      <c r="J760">
        <f t="shared" ca="1" si="158"/>
        <v>0</v>
      </c>
      <c r="K760">
        <f t="shared" ca="1" si="159"/>
        <v>0</v>
      </c>
      <c r="L760">
        <f t="shared" ca="1" si="153"/>
        <v>0</v>
      </c>
      <c r="M760" t="str">
        <f t="shared" ca="1" si="160"/>
        <v>na</v>
      </c>
      <c r="N760" t="str">
        <f t="shared" ca="1" si="161"/>
        <v>na</v>
      </c>
    </row>
    <row r="761" spans="1:14" x14ac:dyDescent="0.2">
      <c r="A761" vm="1397">
        <f ca="1"/>
        <v>45351</v>
      </c>
      <c r="B761" vm="728">
        <f ca="1"/>
        <v>34.520000000000003</v>
      </c>
      <c r="C761">
        <f t="shared" ca="1" si="150"/>
        <v>0.21000000000000085</v>
      </c>
      <c r="D761">
        <f t="shared" ca="1" si="151"/>
        <v>0.21000000000000085</v>
      </c>
      <c r="E761">
        <f t="shared" ca="1" si="152"/>
        <v>0</v>
      </c>
      <c r="F761">
        <f t="shared" ca="1" si="154"/>
        <v>0.19738526429652517</v>
      </c>
      <c r="G761">
        <f t="shared" ca="1" si="155"/>
        <v>0.12541306867068122</v>
      </c>
      <c r="H761">
        <f t="shared" ca="1" si="156"/>
        <v>1.5738811464284779</v>
      </c>
      <c r="I761">
        <f t="shared" ca="1" si="157"/>
        <v>61.148167179840385</v>
      </c>
      <c r="J761">
        <f t="shared" ca="1" si="158"/>
        <v>0</v>
      </c>
      <c r="K761">
        <f t="shared" ca="1" si="159"/>
        <v>0</v>
      </c>
      <c r="L761">
        <f t="shared" ca="1" si="153"/>
        <v>0</v>
      </c>
      <c r="M761" t="str">
        <f t="shared" ca="1" si="160"/>
        <v>na</v>
      </c>
      <c r="N761" t="str">
        <f t="shared" ca="1" si="161"/>
        <v>na</v>
      </c>
    </row>
    <row r="762" spans="1:14" x14ac:dyDescent="0.2">
      <c r="A762" vm="1398">
        <f ca="1"/>
        <v>45352</v>
      </c>
      <c r="B762" vm="1399">
        <f ca="1"/>
        <v>34.35</v>
      </c>
      <c r="C762">
        <f t="shared" ca="1" si="150"/>
        <v>-0.17000000000000171</v>
      </c>
      <c r="D762">
        <f t="shared" ca="1" si="151"/>
        <v>0</v>
      </c>
      <c r="E762">
        <f t="shared" ca="1" si="152"/>
        <v>0.17000000000000171</v>
      </c>
      <c r="F762">
        <f t="shared" ca="1" si="154"/>
        <v>0.18328631684677338</v>
      </c>
      <c r="G762">
        <f t="shared" ca="1" si="155"/>
        <v>0.1285978494799184</v>
      </c>
      <c r="H762">
        <f t="shared" ca="1" si="156"/>
        <v>1.4252673554653419</v>
      </c>
      <c r="I762">
        <f t="shared" ca="1" si="157"/>
        <v>58.767432475166117</v>
      </c>
      <c r="J762">
        <f t="shared" ca="1" si="158"/>
        <v>0</v>
      </c>
      <c r="K762">
        <f t="shared" ca="1" si="159"/>
        <v>0</v>
      </c>
      <c r="L762">
        <f t="shared" ca="1" si="153"/>
        <v>0</v>
      </c>
      <c r="M762" t="str">
        <f t="shared" ca="1" si="160"/>
        <v>na</v>
      </c>
      <c r="N762" t="str">
        <f t="shared" ca="1" si="161"/>
        <v>na</v>
      </c>
    </row>
    <row r="763" spans="1:14" x14ac:dyDescent="0.2">
      <c r="A763" vm="1400">
        <f ca="1"/>
        <v>45355</v>
      </c>
      <c r="B763" vm="1401">
        <f ca="1"/>
        <v>35.15</v>
      </c>
      <c r="C763">
        <f t="shared" ca="1" si="150"/>
        <v>0.79999999999999716</v>
      </c>
      <c r="D763">
        <f t="shared" ca="1" si="151"/>
        <v>0.79999999999999716</v>
      </c>
      <c r="E763">
        <f t="shared" ca="1" si="152"/>
        <v>0</v>
      </c>
      <c r="F763">
        <f t="shared" ca="1" si="154"/>
        <v>0.22733729421486079</v>
      </c>
      <c r="G763">
        <f t="shared" ca="1" si="155"/>
        <v>0.11941228880278136</v>
      </c>
      <c r="H763">
        <f t="shared" ca="1" si="156"/>
        <v>1.9038014972673871</v>
      </c>
      <c r="I763">
        <f t="shared" ca="1" si="157"/>
        <v>65.562384311012764</v>
      </c>
      <c r="J763">
        <f t="shared" ca="1" si="158"/>
        <v>0</v>
      </c>
      <c r="K763">
        <f t="shared" ca="1" si="159"/>
        <v>0</v>
      </c>
      <c r="L763">
        <f t="shared" ca="1" si="153"/>
        <v>0</v>
      </c>
      <c r="M763" t="str">
        <f t="shared" ca="1" si="160"/>
        <v>na</v>
      </c>
      <c r="N763" t="str">
        <f t="shared" ca="1" si="161"/>
        <v>na</v>
      </c>
    </row>
    <row r="764" spans="1:14" x14ac:dyDescent="0.2">
      <c r="A764" vm="1402">
        <f ca="1"/>
        <v>45356</v>
      </c>
      <c r="B764" vm="805">
        <f ca="1"/>
        <v>35.39</v>
      </c>
      <c r="C764">
        <f t="shared" ca="1" si="150"/>
        <v>0.24000000000000199</v>
      </c>
      <c r="D764">
        <f t="shared" ca="1" si="151"/>
        <v>0.24000000000000199</v>
      </c>
      <c r="E764">
        <f t="shared" ca="1" si="152"/>
        <v>0</v>
      </c>
      <c r="F764">
        <f t="shared" ca="1" si="154"/>
        <v>0.22824177319951372</v>
      </c>
      <c r="G764">
        <f t="shared" ca="1" si="155"/>
        <v>0.11088283960258269</v>
      </c>
      <c r="H764">
        <f t="shared" ca="1" si="156"/>
        <v>2.0584048353880497</v>
      </c>
      <c r="I764">
        <f t="shared" ca="1" si="157"/>
        <v>67.303216747853455</v>
      </c>
      <c r="J764">
        <f t="shared" ca="1" si="158"/>
        <v>0</v>
      </c>
      <c r="K764">
        <f t="shared" ca="1" si="159"/>
        <v>0</v>
      </c>
      <c r="L764">
        <f t="shared" ca="1" si="153"/>
        <v>0</v>
      </c>
      <c r="M764" t="str">
        <f t="shared" ca="1" si="160"/>
        <v>na</v>
      </c>
      <c r="N764" t="str">
        <f t="shared" ca="1" si="161"/>
        <v>na</v>
      </c>
    </row>
    <row r="765" spans="1:14" x14ac:dyDescent="0.2">
      <c r="A765" vm="1403">
        <f ca="1"/>
        <v>45357</v>
      </c>
      <c r="B765" vm="1404">
        <f ca="1"/>
        <v>35.42</v>
      </c>
      <c r="C765">
        <f t="shared" ca="1" si="150"/>
        <v>3.0000000000001137E-2</v>
      </c>
      <c r="D765">
        <f t="shared" ca="1" si="151"/>
        <v>3.0000000000001137E-2</v>
      </c>
      <c r="E765">
        <f t="shared" ca="1" si="152"/>
        <v>0</v>
      </c>
      <c r="F765">
        <f t="shared" ca="1" si="154"/>
        <v>0.21408164654240566</v>
      </c>
      <c r="G765">
        <f t="shared" ca="1" si="155"/>
        <v>0.10296263677382678</v>
      </c>
      <c r="H765">
        <f t="shared" ca="1" si="156"/>
        <v>2.0792168232119854</v>
      </c>
      <c r="I765">
        <f t="shared" ca="1" si="157"/>
        <v>67.524209647670006</v>
      </c>
      <c r="J765">
        <f t="shared" ca="1" si="158"/>
        <v>0</v>
      </c>
      <c r="K765">
        <f t="shared" ca="1" si="159"/>
        <v>0</v>
      </c>
      <c r="L765">
        <f t="shared" ca="1" si="153"/>
        <v>0</v>
      </c>
      <c r="M765" t="str">
        <f t="shared" ca="1" si="160"/>
        <v>na</v>
      </c>
      <c r="N765" t="str">
        <f t="shared" ca="1" si="161"/>
        <v>na</v>
      </c>
    </row>
    <row r="766" spans="1:14" x14ac:dyDescent="0.2">
      <c r="A766" vm="1405">
        <f ca="1"/>
        <v>45358</v>
      </c>
      <c r="B766" vm="1406">
        <f ca="1"/>
        <v>35.630000000000003</v>
      </c>
      <c r="C766">
        <f t="shared" ca="1" si="150"/>
        <v>0.21000000000000085</v>
      </c>
      <c r="D766">
        <f t="shared" ca="1" si="151"/>
        <v>0.21000000000000085</v>
      </c>
      <c r="E766">
        <f t="shared" ca="1" si="152"/>
        <v>0</v>
      </c>
      <c r="F766">
        <f t="shared" ca="1" si="154"/>
        <v>0.21379010036080531</v>
      </c>
      <c r="G766">
        <f t="shared" ca="1" si="155"/>
        <v>9.5608162718553436E-2</v>
      </c>
      <c r="H766">
        <f t="shared" ca="1" si="156"/>
        <v>2.2361071929616512</v>
      </c>
      <c r="I766">
        <f t="shared" ca="1" si="157"/>
        <v>69.098675032306005</v>
      </c>
      <c r="J766">
        <f t="shared" ca="1" si="158"/>
        <v>0</v>
      </c>
      <c r="K766">
        <f t="shared" ca="1" si="159"/>
        <v>0</v>
      </c>
      <c r="L766">
        <f t="shared" ca="1" si="153"/>
        <v>0</v>
      </c>
      <c r="M766" t="str">
        <f t="shared" ca="1" si="160"/>
        <v>na</v>
      </c>
      <c r="N766" t="str">
        <f t="shared" ca="1" si="161"/>
        <v>na</v>
      </c>
    </row>
    <row r="767" spans="1:14" x14ac:dyDescent="0.2">
      <c r="A767" vm="1407">
        <f ca="1"/>
        <v>45359</v>
      </c>
      <c r="B767" vm="1408">
        <f ca="1"/>
        <v>35.6</v>
      </c>
      <c r="C767">
        <f t="shared" ca="1" si="150"/>
        <v>-3.0000000000001137E-2</v>
      </c>
      <c r="D767">
        <f t="shared" ca="1" si="151"/>
        <v>0</v>
      </c>
      <c r="E767">
        <f t="shared" ca="1" si="152"/>
        <v>3.0000000000001137E-2</v>
      </c>
      <c r="F767">
        <f t="shared" ca="1" si="154"/>
        <v>0.19851937890646207</v>
      </c>
      <c r="G767">
        <f t="shared" ca="1" si="155"/>
        <v>9.0921865381513992E-2</v>
      </c>
      <c r="H767">
        <f t="shared" ca="1" si="156"/>
        <v>2.1834063574637628</v>
      </c>
      <c r="I767">
        <f t="shared" ca="1" si="157"/>
        <v>68.587108031137262</v>
      </c>
      <c r="J767">
        <f t="shared" ca="1" si="158"/>
        <v>0</v>
      </c>
      <c r="K767">
        <f t="shared" ca="1" si="159"/>
        <v>0</v>
      </c>
      <c r="L767">
        <f t="shared" ca="1" si="153"/>
        <v>0</v>
      </c>
      <c r="M767" t="str">
        <f t="shared" ca="1" si="160"/>
        <v>na</v>
      </c>
      <c r="N767" t="str">
        <f t="shared" ca="1" si="161"/>
        <v>na</v>
      </c>
    </row>
    <row r="768" spans="1:14" x14ac:dyDescent="0.2">
      <c r="A768" vm="1409">
        <f ca="1"/>
        <v>45362</v>
      </c>
      <c r="B768" vm="628">
        <f ca="1"/>
        <v>35.89</v>
      </c>
      <c r="C768">
        <f t="shared" ca="1" si="150"/>
        <v>0.28999999999999915</v>
      </c>
      <c r="D768">
        <f t="shared" ca="1" si="151"/>
        <v>0.28999999999999915</v>
      </c>
      <c r="E768">
        <f t="shared" ca="1" si="152"/>
        <v>0</v>
      </c>
      <c r="F768">
        <f t="shared" ca="1" si="154"/>
        <v>0.20505370898457187</v>
      </c>
      <c r="G768">
        <f t="shared" ca="1" si="155"/>
        <v>8.4427446425691569E-2</v>
      </c>
      <c r="H768">
        <f t="shared" ca="1" si="156"/>
        <v>2.428756496443949</v>
      </c>
      <c r="I768">
        <f t="shared" ca="1" si="157"/>
        <v>70.834907610466786</v>
      </c>
      <c r="J768">
        <f t="shared" ca="1" si="158"/>
        <v>0</v>
      </c>
      <c r="K768">
        <f t="shared" ca="1" si="159"/>
        <v>0</v>
      </c>
      <c r="L768">
        <f t="shared" ca="1" si="153"/>
        <v>1</v>
      </c>
      <c r="M768" t="str">
        <f t="shared" ca="1" si="160"/>
        <v>na</v>
      </c>
      <c r="N768" t="str">
        <f t="shared" ca="1" si="161"/>
        <v>na</v>
      </c>
    </row>
    <row r="769" spans="1:14" x14ac:dyDescent="0.2">
      <c r="A769" vm="1410">
        <f ca="1"/>
        <v>45363</v>
      </c>
      <c r="B769" vm="1411">
        <f ca="1"/>
        <v>35.96</v>
      </c>
      <c r="C769">
        <f t="shared" ca="1" si="150"/>
        <v>7.0000000000000284E-2</v>
      </c>
      <c r="D769">
        <f t="shared" ca="1" si="151"/>
        <v>7.0000000000000284E-2</v>
      </c>
      <c r="E769">
        <f t="shared" ca="1" si="152"/>
        <v>0</v>
      </c>
      <c r="F769">
        <f t="shared" ca="1" si="154"/>
        <v>0.19540701548567391</v>
      </c>
      <c r="G769">
        <f t="shared" ca="1" si="155"/>
        <v>7.8396914538142168E-2</v>
      </c>
      <c r="H769">
        <f t="shared" ca="1" si="156"/>
        <v>2.4925345166563058</v>
      </c>
      <c r="I769">
        <f t="shared" ca="1" si="157"/>
        <v>71.367498439002304</v>
      </c>
      <c r="J769">
        <f t="shared" ca="1" si="158"/>
        <v>0</v>
      </c>
      <c r="K769">
        <f t="shared" ca="1" si="159"/>
        <v>0</v>
      </c>
      <c r="L769">
        <f t="shared" ca="1" si="153"/>
        <v>1</v>
      </c>
      <c r="M769" t="str">
        <f t="shared" ca="1" si="160"/>
        <v>na</v>
      </c>
      <c r="N769" t="str">
        <f t="shared" ca="1" si="161"/>
        <v>na</v>
      </c>
    </row>
    <row r="770" spans="1:14" x14ac:dyDescent="0.2">
      <c r="A770" vm="1412">
        <f ca="1"/>
        <v>45364</v>
      </c>
      <c r="B770" vm="854">
        <f ca="1"/>
        <v>36.08</v>
      </c>
      <c r="C770">
        <f t="shared" ca="1" si="150"/>
        <v>0.11999999999999744</v>
      </c>
      <c r="D770">
        <f t="shared" ca="1" si="151"/>
        <v>0.11999999999999744</v>
      </c>
      <c r="E770">
        <f t="shared" ca="1" si="152"/>
        <v>0</v>
      </c>
      <c r="F770">
        <f t="shared" ca="1" si="154"/>
        <v>0.19002080009383987</v>
      </c>
      <c r="G770">
        <f t="shared" ca="1" si="155"/>
        <v>7.2797134928274873E-2</v>
      </c>
      <c r="H770">
        <f t="shared" ca="1" si="156"/>
        <v>2.6102785539714226</v>
      </c>
      <c r="I770">
        <f t="shared" ca="1" si="157"/>
        <v>72.301306255165059</v>
      </c>
      <c r="J770">
        <f t="shared" ca="1" si="158"/>
        <v>0</v>
      </c>
      <c r="K770">
        <f t="shared" ca="1" si="159"/>
        <v>0</v>
      </c>
      <c r="L770">
        <f t="shared" ca="1" si="153"/>
        <v>1</v>
      </c>
      <c r="M770" t="str">
        <f t="shared" ca="1" si="160"/>
        <v>na</v>
      </c>
      <c r="N770" t="str">
        <f t="shared" ca="1" si="161"/>
        <v>na</v>
      </c>
    </row>
    <row r="771" spans="1:14" x14ac:dyDescent="0.2">
      <c r="A771" vm="1413">
        <f ca="1"/>
        <v>45365</v>
      </c>
      <c r="B771" vm="1414">
        <f ca="1"/>
        <v>35.69</v>
      </c>
      <c r="C771">
        <f t="shared" ca="1" si="150"/>
        <v>-0.39000000000000057</v>
      </c>
      <c r="D771">
        <f t="shared" ca="1" si="151"/>
        <v>0</v>
      </c>
      <c r="E771">
        <f t="shared" ca="1" si="152"/>
        <v>0.39000000000000057</v>
      </c>
      <c r="F771">
        <f t="shared" ca="1" si="154"/>
        <v>0.17644788580142273</v>
      </c>
      <c r="G771">
        <f t="shared" ca="1" si="155"/>
        <v>9.5454482433398144E-2</v>
      </c>
      <c r="H771">
        <f t="shared" ca="1" si="156"/>
        <v>1.8485028811982345</v>
      </c>
      <c r="I771">
        <f t="shared" ca="1" si="157"/>
        <v>64.893839265511076</v>
      </c>
      <c r="J771">
        <f t="shared" ca="1" si="158"/>
        <v>0</v>
      </c>
      <c r="K771">
        <f t="shared" ca="1" si="159"/>
        <v>0</v>
      </c>
      <c r="L771">
        <f t="shared" ca="1" si="153"/>
        <v>0</v>
      </c>
      <c r="M771" t="str">
        <f t="shared" ca="1" si="160"/>
        <v>na</v>
      </c>
      <c r="N771" t="str">
        <f t="shared" ca="1" si="161"/>
        <v>na</v>
      </c>
    </row>
    <row r="772" spans="1:14" x14ac:dyDescent="0.2">
      <c r="A772" vm="1415">
        <f ca="1"/>
        <v>45366</v>
      </c>
      <c r="B772" vm="1416">
        <f ca="1"/>
        <v>35.409999999999997</v>
      </c>
      <c r="C772">
        <f t="shared" ca="1" si="150"/>
        <v>-0.28000000000000114</v>
      </c>
      <c r="D772">
        <f t="shared" ca="1" si="151"/>
        <v>0</v>
      </c>
      <c r="E772">
        <f t="shared" ca="1" si="152"/>
        <v>0.28000000000000114</v>
      </c>
      <c r="F772">
        <f t="shared" ca="1" si="154"/>
        <v>0.1638444653870354</v>
      </c>
      <c r="G772">
        <f t="shared" ca="1" si="155"/>
        <v>0.10863630511672694</v>
      </c>
      <c r="H772">
        <f t="shared" ca="1" si="156"/>
        <v>1.5081925440209762</v>
      </c>
      <c r="I772">
        <f t="shared" ca="1" si="157"/>
        <v>60.130652553616834</v>
      </c>
      <c r="J772">
        <f t="shared" ca="1" si="158"/>
        <v>0</v>
      </c>
      <c r="K772">
        <f t="shared" ca="1" si="159"/>
        <v>0</v>
      </c>
      <c r="L772">
        <f t="shared" ca="1" si="153"/>
        <v>0</v>
      </c>
      <c r="M772" t="str">
        <f t="shared" ca="1" si="160"/>
        <v>na</v>
      </c>
      <c r="N772" t="str">
        <f t="shared" ca="1" si="161"/>
        <v>na</v>
      </c>
    </row>
    <row r="773" spans="1:14" x14ac:dyDescent="0.2">
      <c r="A773" vm="1417">
        <f ca="1"/>
        <v>45369</v>
      </c>
      <c r="B773" vm="1418">
        <f ca="1"/>
        <v>36.01</v>
      </c>
      <c r="C773">
        <f t="shared" ca="1" si="150"/>
        <v>0.60000000000000142</v>
      </c>
      <c r="D773">
        <f t="shared" ca="1" si="151"/>
        <v>0.60000000000000142</v>
      </c>
      <c r="E773">
        <f t="shared" ca="1" si="152"/>
        <v>0</v>
      </c>
      <c r="F773">
        <f t="shared" ca="1" si="154"/>
        <v>0.1949984321451044</v>
      </c>
      <c r="G773">
        <f t="shared" ca="1" si="155"/>
        <v>0.10087656903696073</v>
      </c>
      <c r="H773">
        <f t="shared" ca="1" si="156"/>
        <v>1.9330398922831906</v>
      </c>
      <c r="I773">
        <f t="shared" ca="1" si="157"/>
        <v>65.905680225114097</v>
      </c>
      <c r="J773">
        <f t="shared" ca="1" si="158"/>
        <v>0</v>
      </c>
      <c r="K773">
        <f t="shared" ca="1" si="159"/>
        <v>0</v>
      </c>
      <c r="L773">
        <f t="shared" ca="1" si="153"/>
        <v>0</v>
      </c>
      <c r="M773" t="str">
        <f t="shared" ca="1" si="160"/>
        <v>na</v>
      </c>
      <c r="N773" t="str">
        <f t="shared" ca="1" si="161"/>
        <v>na</v>
      </c>
    </row>
    <row r="774" spans="1:14" x14ac:dyDescent="0.2">
      <c r="A774" vm="1419">
        <f ca="1"/>
        <v>45370</v>
      </c>
      <c r="B774" vm="1420">
        <f ca="1"/>
        <v>36.03</v>
      </c>
      <c r="C774">
        <f t="shared" ca="1" si="150"/>
        <v>2.0000000000003126E-2</v>
      </c>
      <c r="D774">
        <f t="shared" ca="1" si="151"/>
        <v>2.0000000000003126E-2</v>
      </c>
      <c r="E774">
        <f t="shared" ca="1" si="152"/>
        <v>0</v>
      </c>
      <c r="F774">
        <f t="shared" ca="1" si="154"/>
        <v>0.18249854413474001</v>
      </c>
      <c r="G774">
        <f t="shared" ca="1" si="155"/>
        <v>9.3671099820034964E-2</v>
      </c>
      <c r="H774">
        <f t="shared" ca="1" si="156"/>
        <v>1.9482908227336311</v>
      </c>
      <c r="I774">
        <f t="shared" ca="1" si="157"/>
        <v>66.082043457544387</v>
      </c>
      <c r="J774">
        <f t="shared" ca="1" si="158"/>
        <v>0</v>
      </c>
      <c r="K774">
        <f t="shared" ca="1" si="159"/>
        <v>0</v>
      </c>
      <c r="L774">
        <f t="shared" ca="1" si="153"/>
        <v>0</v>
      </c>
      <c r="M774" t="str">
        <f t="shared" ca="1" si="160"/>
        <v>na</v>
      </c>
      <c r="N774" t="str">
        <f t="shared" ca="1" si="161"/>
        <v>na</v>
      </c>
    </row>
    <row r="775" spans="1:14" x14ac:dyDescent="0.2">
      <c r="A775" vm="1421">
        <f ca="1"/>
        <v>45371</v>
      </c>
      <c r="B775" vm="1422">
        <f ca="1"/>
        <v>36.75</v>
      </c>
      <c r="C775">
        <f t="shared" ca="1" si="150"/>
        <v>0.71999999999999886</v>
      </c>
      <c r="D775">
        <f t="shared" ca="1" si="151"/>
        <v>0.71999999999999886</v>
      </c>
      <c r="E775">
        <f t="shared" ca="1" si="152"/>
        <v>0</v>
      </c>
      <c r="F775">
        <f t="shared" ca="1" si="154"/>
        <v>0.22089150526797277</v>
      </c>
      <c r="G775">
        <f t="shared" ca="1" si="155"/>
        <v>8.6980306975746755E-2</v>
      </c>
      <c r="H775">
        <f t="shared" ca="1" si="156"/>
        <v>2.539557664812166</v>
      </c>
      <c r="I775">
        <f t="shared" ca="1" si="157"/>
        <v>71.747882229994204</v>
      </c>
      <c r="J775">
        <f t="shared" ca="1" si="158"/>
        <v>0</v>
      </c>
      <c r="K775">
        <f t="shared" ca="1" si="159"/>
        <v>0</v>
      </c>
      <c r="L775">
        <f t="shared" ca="1" si="153"/>
        <v>1</v>
      </c>
      <c r="M775" t="str">
        <f t="shared" ca="1" si="160"/>
        <v>na</v>
      </c>
      <c r="N775" t="str">
        <f t="shared" ca="1" si="161"/>
        <v>na</v>
      </c>
    </row>
    <row r="776" spans="1:14" x14ac:dyDescent="0.2">
      <c r="A776" vm="1423">
        <f ca="1"/>
        <v>45372</v>
      </c>
      <c r="B776" vm="1424">
        <f ca="1"/>
        <v>37.51</v>
      </c>
      <c r="C776">
        <f t="shared" ca="1" si="150"/>
        <v>0.75999999999999801</v>
      </c>
      <c r="D776">
        <f t="shared" ca="1" si="151"/>
        <v>0.75999999999999801</v>
      </c>
      <c r="E776">
        <f t="shared" ca="1" si="152"/>
        <v>0</v>
      </c>
      <c r="F776">
        <f t="shared" ca="1" si="154"/>
        <v>0.25939925489168886</v>
      </c>
      <c r="G776">
        <f t="shared" ca="1" si="155"/>
        <v>8.0767427906050557E-2</v>
      </c>
      <c r="H776">
        <f t="shared" ca="1" si="156"/>
        <v>3.211681510935628</v>
      </c>
      <c r="I776">
        <f t="shared" ca="1" si="157"/>
        <v>76.256514235383165</v>
      </c>
      <c r="J776">
        <f t="shared" ca="1" si="158"/>
        <v>0</v>
      </c>
      <c r="K776">
        <f t="shared" ca="1" si="159"/>
        <v>0</v>
      </c>
      <c r="L776">
        <f t="shared" ca="1" si="153"/>
        <v>1</v>
      </c>
      <c r="M776" t="str">
        <f t="shared" ca="1" si="160"/>
        <v>na</v>
      </c>
      <c r="N776" t="str">
        <f t="shared" ca="1" si="161"/>
        <v>na</v>
      </c>
    </row>
    <row r="777" spans="1:14" x14ac:dyDescent="0.2">
      <c r="A777" vm="1425">
        <f ca="1"/>
        <v>45373</v>
      </c>
      <c r="B777" vm="1426">
        <f ca="1"/>
        <v>37.049999999999997</v>
      </c>
      <c r="C777">
        <f t="shared" ref="C777:C840" ca="1" si="162">B777-B776</f>
        <v>-0.46000000000000085</v>
      </c>
      <c r="D777">
        <f t="shared" ref="D777:D840" ca="1" si="163">IF(C777&gt;0,C777,0)</f>
        <v>0</v>
      </c>
      <c r="E777">
        <f t="shared" ref="E777:E840" ca="1" si="164">IF(C777&lt;0,ABS(C777),0)</f>
        <v>0.46000000000000085</v>
      </c>
      <c r="F777">
        <f t="shared" ca="1" si="154"/>
        <v>0.24087073668513967</v>
      </c>
      <c r="G777">
        <f t="shared" ca="1" si="155"/>
        <v>0.10785546876990415</v>
      </c>
      <c r="H777">
        <f t="shared" ca="1" si="156"/>
        <v>2.233273281663692</v>
      </c>
      <c r="I777">
        <f t="shared" ca="1" si="157"/>
        <v>69.071590524960314</v>
      </c>
      <c r="J777">
        <f t="shared" ca="1" si="158"/>
        <v>0</v>
      </c>
      <c r="K777">
        <f t="shared" ca="1" si="159"/>
        <v>0</v>
      </c>
      <c r="L777">
        <f t="shared" ca="1" si="153"/>
        <v>0</v>
      </c>
      <c r="M777" t="str">
        <f t="shared" ca="1" si="160"/>
        <v>na</v>
      </c>
      <c r="N777" t="str">
        <f t="shared" ca="1" si="161"/>
        <v>na</v>
      </c>
    </row>
    <row r="778" spans="1:14" x14ac:dyDescent="0.2">
      <c r="A778" vm="1427">
        <f ca="1"/>
        <v>45376</v>
      </c>
      <c r="B778" vm="846">
        <f ca="1"/>
        <v>36.86</v>
      </c>
      <c r="C778">
        <f t="shared" ca="1" si="162"/>
        <v>-0.18999999999999773</v>
      </c>
      <c r="D778">
        <f t="shared" ca="1" si="163"/>
        <v>0</v>
      </c>
      <c r="E778">
        <f t="shared" ca="1" si="164"/>
        <v>0.18999999999999773</v>
      </c>
      <c r="F778">
        <f t="shared" ca="1" si="154"/>
        <v>0.22366568406477255</v>
      </c>
      <c r="G778">
        <f t="shared" ca="1" si="155"/>
        <v>0.11372293528633939</v>
      </c>
      <c r="H778">
        <f t="shared" ca="1" si="156"/>
        <v>1.9667596822189981</v>
      </c>
      <c r="I778">
        <f t="shared" ca="1" si="157"/>
        <v>66.293191659796094</v>
      </c>
      <c r="J778">
        <f t="shared" ca="1" si="158"/>
        <v>0</v>
      </c>
      <c r="K778">
        <f t="shared" ca="1" si="159"/>
        <v>0</v>
      </c>
      <c r="L778">
        <f t="shared" ca="1" si="153"/>
        <v>0</v>
      </c>
      <c r="M778" t="str">
        <f t="shared" ca="1" si="160"/>
        <v>na</v>
      </c>
      <c r="N778" t="str">
        <f t="shared" ca="1" si="161"/>
        <v>na</v>
      </c>
    </row>
    <row r="779" spans="1:14" x14ac:dyDescent="0.2">
      <c r="A779" vm="1428">
        <f ca="1"/>
        <v>45377</v>
      </c>
      <c r="B779" vm="1429">
        <f ca="1"/>
        <v>37.090000000000003</v>
      </c>
      <c r="C779">
        <f t="shared" ca="1" si="162"/>
        <v>0.23000000000000398</v>
      </c>
      <c r="D779">
        <f t="shared" ca="1" si="163"/>
        <v>0.23000000000000398</v>
      </c>
      <c r="E779">
        <f t="shared" ca="1" si="164"/>
        <v>0</v>
      </c>
      <c r="F779">
        <f t="shared" ca="1" si="154"/>
        <v>0.22411813520300336</v>
      </c>
      <c r="G779">
        <f t="shared" ca="1" si="155"/>
        <v>0.1055998684801723</v>
      </c>
      <c r="H779">
        <f t="shared" ca="1" si="156"/>
        <v>2.1223334690524198</v>
      </c>
      <c r="I779">
        <f t="shared" ca="1" si="157"/>
        <v>67.972671403881634</v>
      </c>
      <c r="J779">
        <f t="shared" ca="1" si="158"/>
        <v>0</v>
      </c>
      <c r="K779">
        <f t="shared" ca="1" si="159"/>
        <v>0</v>
      </c>
      <c r="L779">
        <f t="shared" ca="1" si="153"/>
        <v>0</v>
      </c>
      <c r="M779" t="str">
        <f t="shared" ca="1" si="160"/>
        <v>na</v>
      </c>
      <c r="N779" t="str">
        <f t="shared" ca="1" si="161"/>
        <v>na</v>
      </c>
    </row>
    <row r="780" spans="1:14" x14ac:dyDescent="0.2">
      <c r="A780" vm="1430">
        <f ca="1"/>
        <v>45378</v>
      </c>
      <c r="B780" vm="1431">
        <f ca="1"/>
        <v>37.81</v>
      </c>
      <c r="C780">
        <f t="shared" ca="1" si="162"/>
        <v>0.71999999999999886</v>
      </c>
      <c r="D780">
        <f t="shared" ca="1" si="163"/>
        <v>0.71999999999999886</v>
      </c>
      <c r="E780">
        <f t="shared" ca="1" si="164"/>
        <v>0</v>
      </c>
      <c r="F780">
        <f t="shared" ca="1" si="154"/>
        <v>0.25953826840278876</v>
      </c>
      <c r="G780">
        <f t="shared" ca="1" si="155"/>
        <v>9.8057020731588576E-2</v>
      </c>
      <c r="H780">
        <f t="shared" ca="1" si="156"/>
        <v>2.6468096467383271</v>
      </c>
      <c r="I780">
        <f t="shared" ca="1" si="157"/>
        <v>72.578771669796623</v>
      </c>
      <c r="J780">
        <f t="shared" ca="1" si="158"/>
        <v>0</v>
      </c>
      <c r="K780">
        <f t="shared" ca="1" si="159"/>
        <v>0</v>
      </c>
      <c r="L780">
        <f t="shared" ca="1" si="153"/>
        <v>1</v>
      </c>
      <c r="M780" t="str">
        <f t="shared" ca="1" si="160"/>
        <v>na</v>
      </c>
      <c r="N780" t="str">
        <f t="shared" ca="1" si="161"/>
        <v>na</v>
      </c>
    </row>
    <row r="781" spans="1:14" x14ac:dyDescent="0.2">
      <c r="A781" vm="1432">
        <f ca="1"/>
        <v>45379</v>
      </c>
      <c r="B781" vm="205">
        <f ca="1"/>
        <v>37.92</v>
      </c>
      <c r="C781">
        <f t="shared" ca="1" si="162"/>
        <v>0.10999999999999943</v>
      </c>
      <c r="D781">
        <f t="shared" ca="1" si="163"/>
        <v>0.10999999999999943</v>
      </c>
      <c r="E781">
        <f t="shared" ca="1" si="164"/>
        <v>0</v>
      </c>
      <c r="F781">
        <f t="shared" ca="1" si="154"/>
        <v>0.24885696351687522</v>
      </c>
      <c r="G781">
        <f t="shared" ca="1" si="155"/>
        <v>9.1052947822189395E-2</v>
      </c>
      <c r="H781">
        <f t="shared" ca="1" si="156"/>
        <v>2.7331016674259652</v>
      </c>
      <c r="I781">
        <f t="shared" ca="1" si="157"/>
        <v>73.212623467350767</v>
      </c>
      <c r="J781">
        <f t="shared" ca="1" si="158"/>
        <v>0</v>
      </c>
      <c r="K781">
        <f t="shared" ca="1" si="159"/>
        <v>0</v>
      </c>
      <c r="L781">
        <f t="shared" ca="1" si="153"/>
        <v>1</v>
      </c>
      <c r="M781" t="str">
        <f t="shared" ca="1" si="160"/>
        <v>na</v>
      </c>
      <c r="N781" t="str">
        <f t="shared" ca="1" si="161"/>
        <v>na</v>
      </c>
    </row>
    <row r="782" spans="1:14" x14ac:dyDescent="0.2">
      <c r="A782" vm="1433">
        <f ca="1"/>
        <v>45383</v>
      </c>
      <c r="B782" vm="1434">
        <f ca="1"/>
        <v>37.520000000000003</v>
      </c>
      <c r="C782">
        <f t="shared" ca="1" si="162"/>
        <v>-0.39999999999999858</v>
      </c>
      <c r="D782">
        <f t="shared" ca="1" si="163"/>
        <v>0</v>
      </c>
      <c r="E782">
        <f t="shared" ca="1" si="164"/>
        <v>0.39999999999999858</v>
      </c>
      <c r="F782">
        <f t="shared" ca="1" si="154"/>
        <v>0.23108146612281269</v>
      </c>
      <c r="G782">
        <f t="shared" ca="1" si="155"/>
        <v>0.11312059440631862</v>
      </c>
      <c r="H782">
        <f t="shared" ca="1" si="156"/>
        <v>2.0427886481288247</v>
      </c>
      <c r="I782">
        <f t="shared" ca="1" si="157"/>
        <v>67.135410452679508</v>
      </c>
      <c r="J782">
        <f t="shared" ca="1" si="158"/>
        <v>0</v>
      </c>
      <c r="K782">
        <f t="shared" ca="1" si="159"/>
        <v>0</v>
      </c>
      <c r="L782">
        <f t="shared" ca="1" si="153"/>
        <v>0</v>
      </c>
      <c r="M782" t="str">
        <f t="shared" ca="1" si="160"/>
        <v>na</v>
      </c>
      <c r="N782" t="str">
        <f t="shared" ca="1" si="161"/>
        <v>na</v>
      </c>
    </row>
    <row r="783" spans="1:14" x14ac:dyDescent="0.2">
      <c r="A783" vm="1435">
        <f ca="1"/>
        <v>45384</v>
      </c>
      <c r="B783" vm="1436">
        <f ca="1"/>
        <v>37.299999999999997</v>
      </c>
      <c r="C783">
        <f t="shared" ca="1" si="162"/>
        <v>-0.22000000000000597</v>
      </c>
      <c r="D783">
        <f t="shared" ca="1" si="163"/>
        <v>0</v>
      </c>
      <c r="E783">
        <f t="shared" ca="1" si="164"/>
        <v>0.22000000000000597</v>
      </c>
      <c r="F783">
        <f t="shared" ca="1" si="154"/>
        <v>0.21457564711404034</v>
      </c>
      <c r="G783">
        <f t="shared" ca="1" si="155"/>
        <v>0.12075483766301057</v>
      </c>
      <c r="H783">
        <f t="shared" ca="1" si="156"/>
        <v>1.7769528017821916</v>
      </c>
      <c r="I783">
        <f t="shared" ca="1" si="157"/>
        <v>63.989305134814664</v>
      </c>
      <c r="J783">
        <f t="shared" ca="1" si="158"/>
        <v>0</v>
      </c>
      <c r="K783">
        <f t="shared" ca="1" si="159"/>
        <v>0</v>
      </c>
      <c r="L783">
        <f t="shared" ca="1" si="153"/>
        <v>0</v>
      </c>
      <c r="M783" t="str">
        <f t="shared" ca="1" si="160"/>
        <v>na</v>
      </c>
      <c r="N783" t="str">
        <f t="shared" ca="1" si="161"/>
        <v>na</v>
      </c>
    </row>
    <row r="784" spans="1:14" x14ac:dyDescent="0.2">
      <c r="A784" vm="1437">
        <f ca="1"/>
        <v>45385</v>
      </c>
      <c r="B784" vm="1438">
        <f ca="1"/>
        <v>37.44</v>
      </c>
      <c r="C784">
        <f t="shared" ca="1" si="162"/>
        <v>0.14000000000000057</v>
      </c>
      <c r="D784">
        <f t="shared" ca="1" si="163"/>
        <v>0.14000000000000057</v>
      </c>
      <c r="E784">
        <f t="shared" ca="1" si="164"/>
        <v>0</v>
      </c>
      <c r="F784">
        <f t="shared" ca="1" si="154"/>
        <v>0.20924881517732322</v>
      </c>
      <c r="G784">
        <f t="shared" ca="1" si="155"/>
        <v>0.11212949211565268</v>
      </c>
      <c r="H784">
        <f t="shared" ca="1" si="156"/>
        <v>1.8661354049610754</v>
      </c>
      <c r="I784">
        <f t="shared" ca="1" si="157"/>
        <v>65.109813085973826</v>
      </c>
      <c r="J784">
        <f t="shared" ca="1" si="158"/>
        <v>0</v>
      </c>
      <c r="K784">
        <f t="shared" ca="1" si="159"/>
        <v>0</v>
      </c>
      <c r="L784">
        <f t="shared" ca="1" si="153"/>
        <v>0</v>
      </c>
      <c r="M784" t="str">
        <f t="shared" ca="1" si="160"/>
        <v>na</v>
      </c>
      <c r="N784" t="str">
        <f t="shared" ca="1" si="161"/>
        <v>na</v>
      </c>
    </row>
    <row r="785" spans="1:14" x14ac:dyDescent="0.2">
      <c r="A785" vm="1439">
        <f ca="1"/>
        <v>45386</v>
      </c>
      <c r="B785" vm="1440">
        <f ca="1"/>
        <v>36.92</v>
      </c>
      <c r="C785">
        <f t="shared" ca="1" si="162"/>
        <v>-0.51999999999999602</v>
      </c>
      <c r="D785">
        <f t="shared" ca="1" si="163"/>
        <v>0</v>
      </c>
      <c r="E785">
        <f t="shared" ca="1" si="164"/>
        <v>0.51999999999999602</v>
      </c>
      <c r="F785">
        <f t="shared" ca="1" si="154"/>
        <v>0.19430247123608585</v>
      </c>
      <c r="G785">
        <f t="shared" ca="1" si="155"/>
        <v>0.1412630998216772</v>
      </c>
      <c r="H785">
        <f t="shared" ca="1" si="156"/>
        <v>1.3754651531883602</v>
      </c>
      <c r="I785">
        <f t="shared" ca="1" si="157"/>
        <v>57.902981710432776</v>
      </c>
      <c r="J785">
        <f t="shared" ca="1" si="158"/>
        <v>0</v>
      </c>
      <c r="K785">
        <f t="shared" ca="1" si="159"/>
        <v>0</v>
      </c>
      <c r="L785">
        <f t="shared" ca="1" si="153"/>
        <v>0</v>
      </c>
      <c r="M785" t="str">
        <f t="shared" ca="1" si="160"/>
        <v>na</v>
      </c>
      <c r="N785" t="str">
        <f t="shared" ca="1" si="161"/>
        <v>na</v>
      </c>
    </row>
    <row r="786" spans="1:14" x14ac:dyDescent="0.2">
      <c r="A786" vm="1441">
        <f ca="1"/>
        <v>45387</v>
      </c>
      <c r="B786" vm="823">
        <f ca="1"/>
        <v>37.11</v>
      </c>
      <c r="C786">
        <f t="shared" ca="1" si="162"/>
        <v>0.18999999999999773</v>
      </c>
      <c r="D786">
        <f t="shared" ca="1" si="163"/>
        <v>0.18999999999999773</v>
      </c>
      <c r="E786">
        <f t="shared" ca="1" si="164"/>
        <v>0</v>
      </c>
      <c r="F786">
        <f t="shared" ca="1" si="154"/>
        <v>0.19399515186207955</v>
      </c>
      <c r="G786">
        <f t="shared" ca="1" si="155"/>
        <v>0.1311728784058431</v>
      </c>
      <c r="H786">
        <f t="shared" ca="1" si="156"/>
        <v>1.4789273073803191</v>
      </c>
      <c r="I786">
        <f t="shared" ca="1" si="157"/>
        <v>59.659970785638727</v>
      </c>
      <c r="J786">
        <f t="shared" ca="1" si="158"/>
        <v>0</v>
      </c>
      <c r="K786">
        <f t="shared" ca="1" si="159"/>
        <v>0</v>
      </c>
      <c r="L786">
        <f t="shared" ca="1" si="153"/>
        <v>0</v>
      </c>
      <c r="M786" t="str">
        <f t="shared" ca="1" si="160"/>
        <v>na</v>
      </c>
      <c r="N786" t="str">
        <f t="shared" ca="1" si="161"/>
        <v>na</v>
      </c>
    </row>
    <row r="787" spans="1:14" x14ac:dyDescent="0.2">
      <c r="A787" vm="1442">
        <f ca="1"/>
        <v>45390</v>
      </c>
      <c r="B787" vm="1443">
        <f ca="1"/>
        <v>37.5</v>
      </c>
      <c r="C787">
        <f t="shared" ca="1" si="162"/>
        <v>0.39000000000000057</v>
      </c>
      <c r="D787">
        <f t="shared" ca="1" si="163"/>
        <v>0.39000000000000057</v>
      </c>
      <c r="E787">
        <f t="shared" ca="1" si="164"/>
        <v>0</v>
      </c>
      <c r="F787">
        <f t="shared" ca="1" si="154"/>
        <v>0.20799549815764534</v>
      </c>
      <c r="G787">
        <f t="shared" ca="1" si="155"/>
        <v>0.12180338709114003</v>
      </c>
      <c r="H787">
        <f t="shared" ca="1" si="156"/>
        <v>1.7076331219099155</v>
      </c>
      <c r="I787">
        <f t="shared" ca="1" si="157"/>
        <v>63.067374530615211</v>
      </c>
      <c r="J787">
        <f t="shared" ca="1" si="158"/>
        <v>0</v>
      </c>
      <c r="K787">
        <f t="shared" ca="1" si="159"/>
        <v>0</v>
      </c>
      <c r="L787">
        <f t="shared" ca="1" si="153"/>
        <v>0</v>
      </c>
      <c r="M787" t="str">
        <f t="shared" ca="1" si="160"/>
        <v>na</v>
      </c>
      <c r="N787" t="str">
        <f t="shared" ca="1" si="161"/>
        <v>na</v>
      </c>
    </row>
    <row r="788" spans="1:14" x14ac:dyDescent="0.2">
      <c r="A788" vm="1444">
        <f ca="1"/>
        <v>45391</v>
      </c>
      <c r="B788" vm="1445">
        <f ca="1"/>
        <v>37.729999999999997</v>
      </c>
      <c r="C788">
        <f t="shared" ca="1" si="162"/>
        <v>0.22999999999999687</v>
      </c>
      <c r="D788">
        <f t="shared" ca="1" si="163"/>
        <v>0.22999999999999687</v>
      </c>
      <c r="E788">
        <f t="shared" ca="1" si="164"/>
        <v>0</v>
      </c>
      <c r="F788">
        <f t="shared" ca="1" si="154"/>
        <v>0.20956724828924189</v>
      </c>
      <c r="G788">
        <f t="shared" ca="1" si="155"/>
        <v>0.11310314515605858</v>
      </c>
      <c r="H788">
        <f t="shared" ca="1" si="156"/>
        <v>1.852886124431669</v>
      </c>
      <c r="I788">
        <f t="shared" ca="1" si="157"/>
        <v>64.947777219842152</v>
      </c>
      <c r="J788">
        <f t="shared" ca="1" si="158"/>
        <v>0</v>
      </c>
      <c r="K788">
        <f t="shared" ca="1" si="159"/>
        <v>0</v>
      </c>
      <c r="L788">
        <f t="shared" ca="1" si="153"/>
        <v>0</v>
      </c>
      <c r="M788" t="str">
        <f t="shared" ca="1" si="160"/>
        <v>na</v>
      </c>
      <c r="N788" t="str">
        <f t="shared" ca="1" si="161"/>
        <v>na</v>
      </c>
    </row>
    <row r="789" spans="1:14" x14ac:dyDescent="0.2">
      <c r="A789" vm="1446">
        <f ca="1"/>
        <v>45392</v>
      </c>
      <c r="B789" vm="1447">
        <f ca="1"/>
        <v>36.65</v>
      </c>
      <c r="C789">
        <f t="shared" ca="1" si="162"/>
        <v>-1.0799999999999983</v>
      </c>
      <c r="D789">
        <f t="shared" ca="1" si="163"/>
        <v>0</v>
      </c>
      <c r="E789">
        <f t="shared" ca="1" si="164"/>
        <v>1.0799999999999983</v>
      </c>
      <c r="F789">
        <f t="shared" ca="1" si="154"/>
        <v>0.19459815912572462</v>
      </c>
      <c r="G789">
        <f t="shared" ca="1" si="155"/>
        <v>0.18216720621634</v>
      </c>
      <c r="H789">
        <f t="shared" ca="1" si="156"/>
        <v>1.0682392466107304</v>
      </c>
      <c r="I789">
        <f t="shared" ca="1" si="157"/>
        <v>51.649694219915695</v>
      </c>
      <c r="J789">
        <f t="shared" ca="1" si="158"/>
        <v>0</v>
      </c>
      <c r="K789">
        <f t="shared" ca="1" si="159"/>
        <v>0</v>
      </c>
      <c r="L789">
        <f t="shared" ca="1" si="153"/>
        <v>0</v>
      </c>
      <c r="M789" t="str">
        <f t="shared" ca="1" si="160"/>
        <v>na</v>
      </c>
      <c r="N789" t="str">
        <f t="shared" ca="1" si="161"/>
        <v>na</v>
      </c>
    </row>
    <row r="790" spans="1:14" x14ac:dyDescent="0.2">
      <c r="A790" vm="1448">
        <f ca="1"/>
        <v>45393</v>
      </c>
      <c r="B790" vm="626">
        <f ca="1"/>
        <v>36.35</v>
      </c>
      <c r="C790">
        <f t="shared" ca="1" si="162"/>
        <v>-0.29999999999999716</v>
      </c>
      <c r="D790">
        <f t="shared" ca="1" si="163"/>
        <v>0</v>
      </c>
      <c r="E790">
        <f t="shared" ca="1" si="164"/>
        <v>0.29999999999999716</v>
      </c>
      <c r="F790">
        <f t="shared" ca="1" si="154"/>
        <v>0.18069829061674428</v>
      </c>
      <c r="G790">
        <f t="shared" ca="1" si="155"/>
        <v>0.19058383434374407</v>
      </c>
      <c r="H790">
        <f t="shared" ca="1" si="156"/>
        <v>0.94813020862425379</v>
      </c>
      <c r="I790">
        <f t="shared" ca="1" si="157"/>
        <v>48.66872883685798</v>
      </c>
      <c r="J790">
        <f t="shared" ca="1" si="158"/>
        <v>0</v>
      </c>
      <c r="K790">
        <f t="shared" ca="1" si="159"/>
        <v>0</v>
      </c>
      <c r="L790">
        <f t="shared" ref="L790:L853" ca="1" si="165">IF(I790&gt;$C$3,1,0)</f>
        <v>0</v>
      </c>
      <c r="M790" t="str">
        <f t="shared" ca="1" si="160"/>
        <v>na</v>
      </c>
      <c r="N790" t="str">
        <f t="shared" ca="1" si="161"/>
        <v>na</v>
      </c>
    </row>
    <row r="791" spans="1:14" x14ac:dyDescent="0.2">
      <c r="A791" vm="1449">
        <f ca="1"/>
        <v>45394</v>
      </c>
      <c r="B791" vm="1450">
        <f ca="1"/>
        <v>35.79</v>
      </c>
      <c r="C791">
        <f t="shared" ca="1" si="162"/>
        <v>-0.56000000000000227</v>
      </c>
      <c r="D791">
        <f t="shared" ca="1" si="163"/>
        <v>0</v>
      </c>
      <c r="E791">
        <f t="shared" ca="1" si="164"/>
        <v>0.56000000000000227</v>
      </c>
      <c r="F791">
        <f t="shared" ref="F791:F854" ca="1" si="166">((F790*13)+D791)/14</f>
        <v>0.1677912698584054</v>
      </c>
      <c r="G791">
        <f t="shared" ref="G791:G854" ca="1" si="167">((G790*13)+E791)/14</f>
        <v>0.21697070331919108</v>
      </c>
      <c r="H791">
        <f t="shared" ref="H791:H854" ca="1" si="168">AVERAGE(F791/G791)</f>
        <v>0.77333606469239957</v>
      </c>
      <c r="I791">
        <f t="shared" ref="I791:I854" ca="1" si="169">IF(G791=0,100,100-(100/(1+H791)))</f>
        <v>43.609109411900519</v>
      </c>
      <c r="J791">
        <f t="shared" ca="1" si="158"/>
        <v>0</v>
      </c>
      <c r="K791">
        <f t="shared" ca="1" si="159"/>
        <v>0</v>
      </c>
      <c r="L791">
        <f t="shared" ca="1" si="165"/>
        <v>0</v>
      </c>
      <c r="M791" t="str">
        <f t="shared" ca="1" si="160"/>
        <v>na</v>
      </c>
      <c r="N791" t="str">
        <f t="shared" ca="1" si="161"/>
        <v>na</v>
      </c>
    </row>
    <row r="792" spans="1:14" x14ac:dyDescent="0.2">
      <c r="A792" vm="1451">
        <f ca="1"/>
        <v>45397</v>
      </c>
      <c r="B792" vm="1452">
        <f ca="1"/>
        <v>35.950000000000003</v>
      </c>
      <c r="C792">
        <f t="shared" ca="1" si="162"/>
        <v>0.16000000000000369</v>
      </c>
      <c r="D792">
        <f t="shared" ca="1" si="163"/>
        <v>0.16000000000000369</v>
      </c>
      <c r="E792">
        <f t="shared" ca="1" si="164"/>
        <v>0</v>
      </c>
      <c r="F792">
        <f t="shared" ca="1" si="166"/>
        <v>0.16723475058280529</v>
      </c>
      <c r="G792">
        <f t="shared" ca="1" si="167"/>
        <v>0.20147279593924886</v>
      </c>
      <c r="H792">
        <f t="shared" ca="1" si="168"/>
        <v>0.83006119909723419</v>
      </c>
      <c r="I792">
        <f t="shared" ca="1" si="169"/>
        <v>45.35701863449713</v>
      </c>
      <c r="J792">
        <f t="shared" ref="J792:J855" ca="1" si="170">IF(K792=1,1,IF(L792=1,0,IF(J791=1,1,0)))</f>
        <v>0</v>
      </c>
      <c r="K792">
        <f t="shared" ref="K792:K855" ca="1" si="171">IF(I792&lt;$B$3,1,0)</f>
        <v>0</v>
      </c>
      <c r="L792">
        <f t="shared" ca="1" si="165"/>
        <v>0</v>
      </c>
      <c r="M792" t="str">
        <f t="shared" ref="M792:M855" ca="1" si="172">IF(AND(K792=1,J791=0),B792,"na")</f>
        <v>na</v>
      </c>
      <c r="N792" t="str">
        <f t="shared" ref="N792:N855" ca="1" si="173">IF(AND(L792=1,J791=1),B792,"na")</f>
        <v>na</v>
      </c>
    </row>
    <row r="793" spans="1:14" x14ac:dyDescent="0.2">
      <c r="A793" vm="1453">
        <f ca="1"/>
        <v>45398</v>
      </c>
      <c r="B793" vm="56">
        <f ca="1"/>
        <v>34.68</v>
      </c>
      <c r="C793">
        <f t="shared" ca="1" si="162"/>
        <v>-1.2700000000000031</v>
      </c>
      <c r="D793">
        <f t="shared" ca="1" si="163"/>
        <v>0</v>
      </c>
      <c r="E793">
        <f t="shared" ca="1" si="164"/>
        <v>1.2700000000000031</v>
      </c>
      <c r="F793">
        <f t="shared" ca="1" si="166"/>
        <v>0.15528941125546206</v>
      </c>
      <c r="G793">
        <f t="shared" ca="1" si="167"/>
        <v>0.27779616765787413</v>
      </c>
      <c r="H793">
        <f t="shared" ca="1" si="168"/>
        <v>0.55900487240238705</v>
      </c>
      <c r="I793">
        <f t="shared" ca="1" si="169"/>
        <v>35.856518622740069</v>
      </c>
      <c r="J793">
        <f t="shared" ca="1" si="170"/>
        <v>1</v>
      </c>
      <c r="K793">
        <f t="shared" ca="1" si="171"/>
        <v>1</v>
      </c>
      <c r="L793">
        <f t="shared" ca="1" si="165"/>
        <v>0</v>
      </c>
      <c r="M793" vm="56">
        <f t="shared" ca="1" si="172"/>
        <v>34.68</v>
      </c>
      <c r="N793" t="str">
        <f t="shared" ca="1" si="173"/>
        <v>na</v>
      </c>
    </row>
    <row r="794" spans="1:14" x14ac:dyDescent="0.2">
      <c r="A794" vm="1454">
        <f ca="1"/>
        <v>45399</v>
      </c>
      <c r="B794" vm="904">
        <f ca="1"/>
        <v>35.229999999999997</v>
      </c>
      <c r="C794">
        <f t="shared" ca="1" si="162"/>
        <v>0.54999999999999716</v>
      </c>
      <c r="D794">
        <f t="shared" ca="1" si="163"/>
        <v>0.54999999999999716</v>
      </c>
      <c r="E794">
        <f t="shared" ca="1" si="164"/>
        <v>0</v>
      </c>
      <c r="F794">
        <f t="shared" ca="1" si="166"/>
        <v>0.18348302473721456</v>
      </c>
      <c r="G794">
        <f t="shared" ca="1" si="167"/>
        <v>0.25795358425374026</v>
      </c>
      <c r="H794">
        <f t="shared" ca="1" si="168"/>
        <v>0.71130248206486824</v>
      </c>
      <c r="I794">
        <f t="shared" ca="1" si="169"/>
        <v>41.564976941224693</v>
      </c>
      <c r="J794">
        <f t="shared" ca="1" si="170"/>
        <v>1</v>
      </c>
      <c r="K794">
        <f t="shared" ca="1" si="171"/>
        <v>0</v>
      </c>
      <c r="L794">
        <f t="shared" ca="1" si="165"/>
        <v>0</v>
      </c>
      <c r="M794" t="str">
        <f t="shared" ca="1" si="172"/>
        <v>na</v>
      </c>
      <c r="N794" t="str">
        <f t="shared" ca="1" si="173"/>
        <v>na</v>
      </c>
    </row>
    <row r="795" spans="1:14" x14ac:dyDescent="0.2">
      <c r="A795" vm="1455">
        <f ca="1"/>
        <v>45400</v>
      </c>
      <c r="B795" vm="1456">
        <f ca="1"/>
        <v>35.770000000000003</v>
      </c>
      <c r="C795">
        <f t="shared" ca="1" si="162"/>
        <v>0.54000000000000625</v>
      </c>
      <c r="D795">
        <f t="shared" ca="1" si="163"/>
        <v>0.54000000000000625</v>
      </c>
      <c r="E795">
        <f t="shared" ca="1" si="164"/>
        <v>0</v>
      </c>
      <c r="F795">
        <f t="shared" ca="1" si="166"/>
        <v>0.20894852297027114</v>
      </c>
      <c r="G795">
        <f t="shared" ca="1" si="167"/>
        <v>0.23952832823561596</v>
      </c>
      <c r="H795">
        <f t="shared" ca="1" si="168"/>
        <v>0.8723332413723337</v>
      </c>
      <c r="I795">
        <f t="shared" ca="1" si="169"/>
        <v>46.59070415974422</v>
      </c>
      <c r="J795">
        <f t="shared" ca="1" si="170"/>
        <v>1</v>
      </c>
      <c r="K795">
        <f t="shared" ca="1" si="171"/>
        <v>0</v>
      </c>
      <c r="L795">
        <f t="shared" ca="1" si="165"/>
        <v>0</v>
      </c>
      <c r="M795" t="str">
        <f t="shared" ca="1" si="172"/>
        <v>na</v>
      </c>
      <c r="N795" t="str">
        <f t="shared" ca="1" si="173"/>
        <v>na</v>
      </c>
    </row>
    <row r="796" spans="1:14" x14ac:dyDescent="0.2">
      <c r="A796" vm="1457">
        <f ca="1"/>
        <v>45401</v>
      </c>
      <c r="B796" vm="1458">
        <f ca="1"/>
        <v>36.97</v>
      </c>
      <c r="C796">
        <f t="shared" ca="1" si="162"/>
        <v>1.1999999999999957</v>
      </c>
      <c r="D796">
        <f t="shared" ca="1" si="163"/>
        <v>1.1999999999999957</v>
      </c>
      <c r="E796">
        <f t="shared" ca="1" si="164"/>
        <v>0</v>
      </c>
      <c r="F796">
        <f t="shared" ca="1" si="166"/>
        <v>0.27973791418668004</v>
      </c>
      <c r="G796">
        <f t="shared" ca="1" si="167"/>
        <v>0.22241916193307196</v>
      </c>
      <c r="H796">
        <f t="shared" ca="1" si="168"/>
        <v>1.2577059986893389</v>
      </c>
      <c r="I796">
        <f t="shared" ca="1" si="169"/>
        <v>55.707253265902303</v>
      </c>
      <c r="J796">
        <f t="shared" ca="1" si="170"/>
        <v>1</v>
      </c>
      <c r="K796">
        <f t="shared" ca="1" si="171"/>
        <v>0</v>
      </c>
      <c r="L796">
        <f t="shared" ca="1" si="165"/>
        <v>0</v>
      </c>
      <c r="M796" t="str">
        <f t="shared" ca="1" si="172"/>
        <v>na</v>
      </c>
      <c r="N796" t="str">
        <f t="shared" ca="1" si="173"/>
        <v>na</v>
      </c>
    </row>
    <row r="797" spans="1:14" x14ac:dyDescent="0.2">
      <c r="A797" vm="1459">
        <f ca="1"/>
        <v>45404</v>
      </c>
      <c r="B797" vm="1445">
        <f ca="1"/>
        <v>37.729999999999997</v>
      </c>
      <c r="C797">
        <f t="shared" ca="1" si="162"/>
        <v>0.75999999999999801</v>
      </c>
      <c r="D797">
        <f t="shared" ca="1" si="163"/>
        <v>0.75999999999999801</v>
      </c>
      <c r="E797">
        <f t="shared" ca="1" si="164"/>
        <v>0</v>
      </c>
      <c r="F797">
        <f t="shared" ca="1" si="166"/>
        <v>0.31404234888763133</v>
      </c>
      <c r="G797">
        <f t="shared" ca="1" si="167"/>
        <v>0.20653207893785255</v>
      </c>
      <c r="H797">
        <f t="shared" ca="1" si="168"/>
        <v>1.5205499818850399</v>
      </c>
      <c r="I797">
        <f t="shared" ca="1" si="169"/>
        <v>60.326119014226748</v>
      </c>
      <c r="J797">
        <f t="shared" ca="1" si="170"/>
        <v>1</v>
      </c>
      <c r="K797">
        <f t="shared" ca="1" si="171"/>
        <v>0</v>
      </c>
      <c r="L797">
        <f t="shared" ca="1" si="165"/>
        <v>0</v>
      </c>
      <c r="M797" t="str">
        <f t="shared" ca="1" si="172"/>
        <v>na</v>
      </c>
      <c r="N797" t="str">
        <f t="shared" ca="1" si="173"/>
        <v>na</v>
      </c>
    </row>
    <row r="798" spans="1:14" x14ac:dyDescent="0.2">
      <c r="A798" vm="1460">
        <f ca="1"/>
        <v>45405</v>
      </c>
      <c r="B798" vm="1461">
        <f ca="1"/>
        <v>38.369999999999997</v>
      </c>
      <c r="C798">
        <f t="shared" ca="1" si="162"/>
        <v>0.64000000000000057</v>
      </c>
      <c r="D798">
        <f t="shared" ca="1" si="163"/>
        <v>0.64000000000000057</v>
      </c>
      <c r="E798">
        <f t="shared" ca="1" si="164"/>
        <v>0</v>
      </c>
      <c r="F798">
        <f t="shared" ca="1" si="166"/>
        <v>0.33732503825280052</v>
      </c>
      <c r="G798">
        <f t="shared" ca="1" si="167"/>
        <v>0.1917797875851488</v>
      </c>
      <c r="H798">
        <f t="shared" ca="1" si="168"/>
        <v>1.7589186144187938</v>
      </c>
      <c r="I798">
        <f t="shared" ca="1" si="169"/>
        <v>63.753914494840416</v>
      </c>
      <c r="J798">
        <f t="shared" ca="1" si="170"/>
        <v>1</v>
      </c>
      <c r="K798">
        <f t="shared" ca="1" si="171"/>
        <v>0</v>
      </c>
      <c r="L798">
        <f t="shared" ca="1" si="165"/>
        <v>0</v>
      </c>
      <c r="M798" t="str">
        <f t="shared" ca="1" si="172"/>
        <v>na</v>
      </c>
      <c r="N798" t="str">
        <f t="shared" ca="1" si="173"/>
        <v>na</v>
      </c>
    </row>
    <row r="799" spans="1:14" x14ac:dyDescent="0.2">
      <c r="A799" vm="1462">
        <f ca="1"/>
        <v>45406</v>
      </c>
      <c r="B799" vm="1463">
        <f ca="1"/>
        <v>38.32</v>
      </c>
      <c r="C799">
        <f t="shared" ca="1" si="162"/>
        <v>-4.9999999999997158E-2</v>
      </c>
      <c r="D799">
        <f t="shared" ca="1" si="163"/>
        <v>0</v>
      </c>
      <c r="E799">
        <f t="shared" ca="1" si="164"/>
        <v>4.9999999999997158E-2</v>
      </c>
      <c r="F799">
        <f t="shared" ca="1" si="166"/>
        <v>0.31323039266331476</v>
      </c>
      <c r="G799">
        <f t="shared" ca="1" si="167"/>
        <v>0.18165265990049509</v>
      </c>
      <c r="H799">
        <f t="shared" ca="1" si="168"/>
        <v>1.7243369452167381</v>
      </c>
      <c r="I799">
        <f t="shared" ca="1" si="169"/>
        <v>63.293820841223301</v>
      </c>
      <c r="J799">
        <f t="shared" ca="1" si="170"/>
        <v>1</v>
      </c>
      <c r="K799">
        <f t="shared" ca="1" si="171"/>
        <v>0</v>
      </c>
      <c r="L799">
        <f t="shared" ca="1" si="165"/>
        <v>0</v>
      </c>
      <c r="M799" t="str">
        <f t="shared" ca="1" si="172"/>
        <v>na</v>
      </c>
      <c r="N799" t="str">
        <f t="shared" ca="1" si="173"/>
        <v>na</v>
      </c>
    </row>
    <row r="800" spans="1:14" x14ac:dyDescent="0.2">
      <c r="A800" vm="1464">
        <f ca="1"/>
        <v>45407</v>
      </c>
      <c r="B800" vm="1465">
        <f ca="1"/>
        <v>37.909999999999997</v>
      </c>
      <c r="C800">
        <f t="shared" ca="1" si="162"/>
        <v>-0.41000000000000369</v>
      </c>
      <c r="D800">
        <f t="shared" ca="1" si="163"/>
        <v>0</v>
      </c>
      <c r="E800">
        <f t="shared" ca="1" si="164"/>
        <v>0.41000000000000369</v>
      </c>
      <c r="F800">
        <f t="shared" ca="1" si="166"/>
        <v>0.29085679318736368</v>
      </c>
      <c r="G800">
        <f t="shared" ca="1" si="167"/>
        <v>0.19796318419331713</v>
      </c>
      <c r="H800">
        <f t="shared" ca="1" si="168"/>
        <v>1.4692468924087072</v>
      </c>
      <c r="I800">
        <f t="shared" ca="1" si="169"/>
        <v>59.501822070756255</v>
      </c>
      <c r="J800">
        <f t="shared" ca="1" si="170"/>
        <v>1</v>
      </c>
      <c r="K800">
        <f t="shared" ca="1" si="171"/>
        <v>0</v>
      </c>
      <c r="L800">
        <f t="shared" ca="1" si="165"/>
        <v>0</v>
      </c>
      <c r="M800" t="str">
        <f t="shared" ca="1" si="172"/>
        <v>na</v>
      </c>
      <c r="N800" t="str">
        <f t="shared" ca="1" si="173"/>
        <v>na</v>
      </c>
    </row>
    <row r="801" spans="1:14" x14ac:dyDescent="0.2">
      <c r="A801" vm="1466">
        <f ca="1"/>
        <v>45408</v>
      </c>
      <c r="B801" vm="1467">
        <f ca="1"/>
        <v>37.83</v>
      </c>
      <c r="C801">
        <f t="shared" ca="1" si="162"/>
        <v>-7.9999999999998295E-2</v>
      </c>
      <c r="D801">
        <f t="shared" ca="1" si="163"/>
        <v>0</v>
      </c>
      <c r="E801">
        <f t="shared" ca="1" si="164"/>
        <v>7.9999999999998295E-2</v>
      </c>
      <c r="F801">
        <f t="shared" ca="1" si="166"/>
        <v>0.27008130795969482</v>
      </c>
      <c r="G801">
        <f t="shared" ca="1" si="167"/>
        <v>0.18953724246522291</v>
      </c>
      <c r="H801">
        <f t="shared" ca="1" si="168"/>
        <v>1.4249511306953326</v>
      </c>
      <c r="I801">
        <f t="shared" ca="1" si="169"/>
        <v>58.762055558898666</v>
      </c>
      <c r="J801">
        <f t="shared" ca="1" si="170"/>
        <v>1</v>
      </c>
      <c r="K801">
        <f t="shared" ca="1" si="171"/>
        <v>0</v>
      </c>
      <c r="L801">
        <f t="shared" ca="1" si="165"/>
        <v>0</v>
      </c>
      <c r="M801" t="str">
        <f t="shared" ca="1" si="172"/>
        <v>na</v>
      </c>
      <c r="N801" t="str">
        <f t="shared" ca="1" si="173"/>
        <v>na</v>
      </c>
    </row>
    <row r="802" spans="1:14" x14ac:dyDescent="0.2">
      <c r="A802" vm="1468">
        <f ca="1"/>
        <v>45411</v>
      </c>
      <c r="B802" vm="1469">
        <f ca="1"/>
        <v>37.549999999999997</v>
      </c>
      <c r="C802">
        <f t="shared" ca="1" si="162"/>
        <v>-0.28000000000000114</v>
      </c>
      <c r="D802">
        <f t="shared" ca="1" si="163"/>
        <v>0</v>
      </c>
      <c r="E802">
        <f t="shared" ca="1" si="164"/>
        <v>0.28000000000000114</v>
      </c>
      <c r="F802">
        <f t="shared" ca="1" si="166"/>
        <v>0.25078978596257373</v>
      </c>
      <c r="G802">
        <f t="shared" ca="1" si="167"/>
        <v>0.19599886800342134</v>
      </c>
      <c r="H802">
        <f t="shared" ca="1" si="168"/>
        <v>1.2795471143139254</v>
      </c>
      <c r="I802">
        <f t="shared" ca="1" si="169"/>
        <v>56.131637125606431</v>
      </c>
      <c r="J802">
        <f t="shared" ca="1" si="170"/>
        <v>1</v>
      </c>
      <c r="K802">
        <f t="shared" ca="1" si="171"/>
        <v>0</v>
      </c>
      <c r="L802">
        <f t="shared" ca="1" si="165"/>
        <v>0</v>
      </c>
      <c r="M802" t="str">
        <f t="shared" ca="1" si="172"/>
        <v>na</v>
      </c>
      <c r="N802" t="str">
        <f t="shared" ca="1" si="173"/>
        <v>na</v>
      </c>
    </row>
    <row r="803" spans="1:14" x14ac:dyDescent="0.2">
      <c r="A803" vm="1470">
        <f ca="1"/>
        <v>45412</v>
      </c>
      <c r="B803" vm="821">
        <f ca="1"/>
        <v>37.01</v>
      </c>
      <c r="C803">
        <f t="shared" ca="1" si="162"/>
        <v>-0.53999999999999915</v>
      </c>
      <c r="D803">
        <f t="shared" ca="1" si="163"/>
        <v>0</v>
      </c>
      <c r="E803">
        <f t="shared" ca="1" si="164"/>
        <v>0.53999999999999915</v>
      </c>
      <c r="F803">
        <f t="shared" ca="1" si="166"/>
        <v>0.2328762298223899</v>
      </c>
      <c r="G803">
        <f t="shared" ca="1" si="167"/>
        <v>0.22057037743174832</v>
      </c>
      <c r="H803">
        <f t="shared" ca="1" si="168"/>
        <v>1.0557910474376797</v>
      </c>
      <c r="I803">
        <f t="shared" ca="1" si="169"/>
        <v>51.356924078135691</v>
      </c>
      <c r="J803">
        <f t="shared" ca="1" si="170"/>
        <v>1</v>
      </c>
      <c r="K803">
        <f t="shared" ca="1" si="171"/>
        <v>0</v>
      </c>
      <c r="L803">
        <f t="shared" ca="1" si="165"/>
        <v>0</v>
      </c>
      <c r="M803" t="str">
        <f t="shared" ca="1" si="172"/>
        <v>na</v>
      </c>
      <c r="N803" t="str">
        <f t="shared" ca="1" si="173"/>
        <v>na</v>
      </c>
    </row>
    <row r="804" spans="1:14" x14ac:dyDescent="0.2">
      <c r="A804" vm="1471">
        <f ca="1"/>
        <v>45413</v>
      </c>
      <c r="B804" vm="1472">
        <f ca="1"/>
        <v>36.950000000000003</v>
      </c>
      <c r="C804">
        <f t="shared" ca="1" si="162"/>
        <v>-5.9999999999995168E-2</v>
      </c>
      <c r="D804">
        <f t="shared" ca="1" si="163"/>
        <v>0</v>
      </c>
      <c r="E804">
        <f t="shared" ca="1" si="164"/>
        <v>5.9999999999995168E-2</v>
      </c>
      <c r="F804">
        <f t="shared" ca="1" si="166"/>
        <v>0.2162422134065049</v>
      </c>
      <c r="G804">
        <f t="shared" ca="1" si="167"/>
        <v>0.20910106475805165</v>
      </c>
      <c r="H804">
        <f t="shared" ca="1" si="168"/>
        <v>1.0341516608569936</v>
      </c>
      <c r="I804">
        <f t="shared" ca="1" si="169"/>
        <v>50.839457094428383</v>
      </c>
      <c r="J804">
        <f t="shared" ca="1" si="170"/>
        <v>1</v>
      </c>
      <c r="K804">
        <f t="shared" ca="1" si="171"/>
        <v>0</v>
      </c>
      <c r="L804">
        <f t="shared" ca="1" si="165"/>
        <v>0</v>
      </c>
      <c r="M804" t="str">
        <f t="shared" ca="1" si="172"/>
        <v>na</v>
      </c>
      <c r="N804" t="str">
        <f t="shared" ca="1" si="173"/>
        <v>na</v>
      </c>
    </row>
    <row r="805" spans="1:14" x14ac:dyDescent="0.2">
      <c r="A805" vm="1473">
        <f ca="1"/>
        <v>45414</v>
      </c>
      <c r="B805" vm="1474">
        <f ca="1"/>
        <v>36.880000000000003</v>
      </c>
      <c r="C805">
        <f t="shared" ca="1" si="162"/>
        <v>-7.0000000000000284E-2</v>
      </c>
      <c r="D805">
        <f t="shared" ca="1" si="163"/>
        <v>0</v>
      </c>
      <c r="E805">
        <f t="shared" ca="1" si="164"/>
        <v>7.0000000000000284E-2</v>
      </c>
      <c r="F805">
        <f t="shared" ca="1" si="166"/>
        <v>0.20079634102032598</v>
      </c>
      <c r="G805">
        <f t="shared" ca="1" si="167"/>
        <v>0.19916527441819085</v>
      </c>
      <c r="H805">
        <f t="shared" ca="1" si="168"/>
        <v>1.0081895129906551</v>
      </c>
      <c r="I805">
        <f t="shared" ca="1" si="169"/>
        <v>50.203902892074638</v>
      </c>
      <c r="J805">
        <f t="shared" ca="1" si="170"/>
        <v>1</v>
      </c>
      <c r="K805">
        <f t="shared" ca="1" si="171"/>
        <v>0</v>
      </c>
      <c r="L805">
        <f t="shared" ca="1" si="165"/>
        <v>0</v>
      </c>
      <c r="M805" t="str">
        <f t="shared" ca="1" si="172"/>
        <v>na</v>
      </c>
      <c r="N805" t="str">
        <f t="shared" ca="1" si="173"/>
        <v>na</v>
      </c>
    </row>
    <row r="806" spans="1:14" x14ac:dyDescent="0.2">
      <c r="A806" vm="1475">
        <f ca="1"/>
        <v>45415</v>
      </c>
      <c r="B806" vm="1476">
        <f ca="1"/>
        <v>37.25</v>
      </c>
      <c r="C806">
        <f t="shared" ca="1" si="162"/>
        <v>0.36999999999999744</v>
      </c>
      <c r="D806">
        <f t="shared" ca="1" si="163"/>
        <v>0.36999999999999744</v>
      </c>
      <c r="E806">
        <f t="shared" ca="1" si="164"/>
        <v>0</v>
      </c>
      <c r="F806">
        <f t="shared" ca="1" si="166"/>
        <v>0.21288231666173107</v>
      </c>
      <c r="G806">
        <f t="shared" ca="1" si="167"/>
        <v>0.18493918338832008</v>
      </c>
      <c r="H806">
        <f t="shared" ca="1" si="168"/>
        <v>1.1510936339257987</v>
      </c>
      <c r="I806">
        <f t="shared" ca="1" si="169"/>
        <v>53.51201899217304</v>
      </c>
      <c r="J806">
        <f t="shared" ca="1" si="170"/>
        <v>1</v>
      </c>
      <c r="K806">
        <f t="shared" ca="1" si="171"/>
        <v>0</v>
      </c>
      <c r="L806">
        <f t="shared" ca="1" si="165"/>
        <v>0</v>
      </c>
      <c r="M806" t="str">
        <f t="shared" ca="1" si="172"/>
        <v>na</v>
      </c>
      <c r="N806" t="str">
        <f t="shared" ca="1" si="173"/>
        <v>na</v>
      </c>
    </row>
    <row r="807" spans="1:14" x14ac:dyDescent="0.2">
      <c r="A807" vm="1477">
        <f ca="1"/>
        <v>45418</v>
      </c>
      <c r="B807" vm="208">
        <f ca="1"/>
        <v>37.69</v>
      </c>
      <c r="C807">
        <f t="shared" ca="1" si="162"/>
        <v>0.43999999999999773</v>
      </c>
      <c r="D807">
        <f t="shared" ca="1" si="163"/>
        <v>0.43999999999999773</v>
      </c>
      <c r="E807">
        <f t="shared" ca="1" si="164"/>
        <v>0</v>
      </c>
      <c r="F807">
        <f t="shared" ca="1" si="166"/>
        <v>0.22910500832875011</v>
      </c>
      <c r="G807">
        <f t="shared" ca="1" si="167"/>
        <v>0.1717292417177258</v>
      </c>
      <c r="H807">
        <f t="shared" ca="1" si="168"/>
        <v>1.3341059800714301</v>
      </c>
      <c r="I807">
        <f t="shared" ca="1" si="169"/>
        <v>57.157043915829512</v>
      </c>
      <c r="J807">
        <f t="shared" ca="1" si="170"/>
        <v>1</v>
      </c>
      <c r="K807">
        <f t="shared" ca="1" si="171"/>
        <v>0</v>
      </c>
      <c r="L807">
        <f t="shared" ca="1" si="165"/>
        <v>0</v>
      </c>
      <c r="M807" t="str">
        <f t="shared" ca="1" si="172"/>
        <v>na</v>
      </c>
      <c r="N807" t="str">
        <f t="shared" ca="1" si="173"/>
        <v>na</v>
      </c>
    </row>
    <row r="808" spans="1:14" x14ac:dyDescent="0.2">
      <c r="A808" vm="1478">
        <f ca="1"/>
        <v>45419</v>
      </c>
      <c r="B808" vm="1479">
        <f ca="1"/>
        <v>37.840000000000003</v>
      </c>
      <c r="C808">
        <f t="shared" ca="1" si="162"/>
        <v>0.15000000000000568</v>
      </c>
      <c r="D808">
        <f t="shared" ca="1" si="163"/>
        <v>0.15000000000000568</v>
      </c>
      <c r="E808">
        <f t="shared" ca="1" si="164"/>
        <v>0</v>
      </c>
      <c r="F808">
        <f t="shared" ca="1" si="166"/>
        <v>0.22345465059098266</v>
      </c>
      <c r="G808">
        <f t="shared" ca="1" si="167"/>
        <v>0.1594628673093168</v>
      </c>
      <c r="H808">
        <f t="shared" ca="1" si="168"/>
        <v>1.4012958274325917</v>
      </c>
      <c r="I808">
        <f t="shared" ca="1" si="169"/>
        <v>58.355818197161653</v>
      </c>
      <c r="J808">
        <f t="shared" ca="1" si="170"/>
        <v>1</v>
      </c>
      <c r="K808">
        <f t="shared" ca="1" si="171"/>
        <v>0</v>
      </c>
      <c r="L808">
        <f t="shared" ca="1" si="165"/>
        <v>0</v>
      </c>
      <c r="M808" t="str">
        <f t="shared" ca="1" si="172"/>
        <v>na</v>
      </c>
      <c r="N808" t="str">
        <f t="shared" ca="1" si="173"/>
        <v>na</v>
      </c>
    </row>
    <row r="809" spans="1:14" x14ac:dyDescent="0.2">
      <c r="A809" vm="1480">
        <f ca="1"/>
        <v>45420</v>
      </c>
      <c r="B809" vm="1481">
        <f ca="1"/>
        <v>37.71</v>
      </c>
      <c r="C809">
        <f t="shared" ca="1" si="162"/>
        <v>-0.13000000000000256</v>
      </c>
      <c r="D809">
        <f t="shared" ca="1" si="163"/>
        <v>0</v>
      </c>
      <c r="E809">
        <f t="shared" ca="1" si="164"/>
        <v>0.13000000000000256</v>
      </c>
      <c r="F809">
        <f t="shared" ca="1" si="166"/>
        <v>0.20749360412019818</v>
      </c>
      <c r="G809">
        <f t="shared" ca="1" si="167"/>
        <v>0.15735837678722292</v>
      </c>
      <c r="H809">
        <f t="shared" ca="1" si="168"/>
        <v>1.3186053920775198</v>
      </c>
      <c r="I809">
        <f t="shared" ca="1" si="169"/>
        <v>56.870625617583904</v>
      </c>
      <c r="J809">
        <f t="shared" ca="1" si="170"/>
        <v>1</v>
      </c>
      <c r="K809">
        <f t="shared" ca="1" si="171"/>
        <v>0</v>
      </c>
      <c r="L809">
        <f t="shared" ca="1" si="165"/>
        <v>0</v>
      </c>
      <c r="M809" t="str">
        <f t="shared" ca="1" si="172"/>
        <v>na</v>
      </c>
      <c r="N809" t="str">
        <f t="shared" ca="1" si="173"/>
        <v>na</v>
      </c>
    </row>
    <row r="810" spans="1:14" x14ac:dyDescent="0.2">
      <c r="A810" vm="1482">
        <f ca="1"/>
        <v>45421</v>
      </c>
      <c r="B810" vm="1483">
        <f ca="1"/>
        <v>38.28</v>
      </c>
      <c r="C810">
        <f t="shared" ca="1" si="162"/>
        <v>0.57000000000000028</v>
      </c>
      <c r="D810">
        <f t="shared" ca="1" si="163"/>
        <v>0.57000000000000028</v>
      </c>
      <c r="E810">
        <f t="shared" ca="1" si="164"/>
        <v>0</v>
      </c>
      <c r="F810">
        <f t="shared" ca="1" si="166"/>
        <v>0.23338691811161261</v>
      </c>
      <c r="G810">
        <f t="shared" ca="1" si="167"/>
        <v>0.1461184927309927</v>
      </c>
      <c r="H810">
        <f t="shared" ca="1" si="168"/>
        <v>1.5972442211081588</v>
      </c>
      <c r="I810">
        <f t="shared" ca="1" si="169"/>
        <v>61.497652324226451</v>
      </c>
      <c r="J810">
        <f t="shared" ca="1" si="170"/>
        <v>1</v>
      </c>
      <c r="K810">
        <f t="shared" ca="1" si="171"/>
        <v>0</v>
      </c>
      <c r="L810">
        <f t="shared" ca="1" si="165"/>
        <v>0</v>
      </c>
      <c r="M810" t="str">
        <f t="shared" ca="1" si="172"/>
        <v>na</v>
      </c>
      <c r="N810" t="str">
        <f t="shared" ca="1" si="173"/>
        <v>na</v>
      </c>
    </row>
    <row r="811" spans="1:14" x14ac:dyDescent="0.2">
      <c r="A811" vm="1484">
        <f ca="1"/>
        <v>45422</v>
      </c>
      <c r="B811" vm="1485">
        <f ca="1"/>
        <v>38.450000000000003</v>
      </c>
      <c r="C811">
        <f t="shared" ca="1" si="162"/>
        <v>0.17000000000000171</v>
      </c>
      <c r="D811">
        <f t="shared" ca="1" si="163"/>
        <v>0.17000000000000171</v>
      </c>
      <c r="E811">
        <f t="shared" ca="1" si="164"/>
        <v>0</v>
      </c>
      <c r="F811">
        <f t="shared" ca="1" si="166"/>
        <v>0.22885928110364043</v>
      </c>
      <c r="G811">
        <f t="shared" ca="1" si="167"/>
        <v>0.13568145753592178</v>
      </c>
      <c r="H811">
        <f t="shared" ca="1" si="168"/>
        <v>1.6867395535093639</v>
      </c>
      <c r="I811">
        <f t="shared" ca="1" si="169"/>
        <v>62.780166068057447</v>
      </c>
      <c r="J811">
        <f t="shared" ca="1" si="170"/>
        <v>1</v>
      </c>
      <c r="K811">
        <f t="shared" ca="1" si="171"/>
        <v>0</v>
      </c>
      <c r="L811">
        <f t="shared" ca="1" si="165"/>
        <v>0</v>
      </c>
      <c r="M811" t="str">
        <f t="shared" ca="1" si="172"/>
        <v>na</v>
      </c>
      <c r="N811" t="str">
        <f t="shared" ca="1" si="173"/>
        <v>na</v>
      </c>
    </row>
    <row r="812" spans="1:14" x14ac:dyDescent="0.2">
      <c r="A812" vm="1486">
        <f ca="1"/>
        <v>45425</v>
      </c>
      <c r="B812" vm="1487">
        <f ca="1"/>
        <v>38.21</v>
      </c>
      <c r="C812">
        <f t="shared" ca="1" si="162"/>
        <v>-0.24000000000000199</v>
      </c>
      <c r="D812">
        <f t="shared" ca="1" si="163"/>
        <v>0</v>
      </c>
      <c r="E812">
        <f t="shared" ca="1" si="164"/>
        <v>0.24000000000000199</v>
      </c>
      <c r="F812">
        <f t="shared" ca="1" si="166"/>
        <v>0.21251218959623755</v>
      </c>
      <c r="G812">
        <f t="shared" ca="1" si="167"/>
        <v>0.14313278199764179</v>
      </c>
      <c r="H812">
        <f t="shared" ca="1" si="168"/>
        <v>1.4847205974082083</v>
      </c>
      <c r="I812">
        <f t="shared" ca="1" si="169"/>
        <v>59.75402622560091</v>
      </c>
      <c r="J812">
        <f t="shared" ca="1" si="170"/>
        <v>1</v>
      </c>
      <c r="K812">
        <f t="shared" ca="1" si="171"/>
        <v>0</v>
      </c>
      <c r="L812">
        <f t="shared" ca="1" si="165"/>
        <v>0</v>
      </c>
      <c r="M812" t="str">
        <f t="shared" ca="1" si="172"/>
        <v>na</v>
      </c>
      <c r="N812" t="str">
        <f t="shared" ca="1" si="173"/>
        <v>na</v>
      </c>
    </row>
    <row r="813" spans="1:14" x14ac:dyDescent="0.2">
      <c r="A813" vm="1488">
        <f ca="1"/>
        <v>45426</v>
      </c>
      <c r="B813" vm="1489">
        <f ca="1"/>
        <v>38.49</v>
      </c>
      <c r="C813">
        <f t="shared" ca="1" si="162"/>
        <v>0.28000000000000114</v>
      </c>
      <c r="D813">
        <f t="shared" ca="1" si="163"/>
        <v>0.28000000000000114</v>
      </c>
      <c r="E813">
        <f t="shared" ca="1" si="164"/>
        <v>0</v>
      </c>
      <c r="F813">
        <f t="shared" ca="1" si="166"/>
        <v>0.21733274748222067</v>
      </c>
      <c r="G813">
        <f t="shared" ca="1" si="167"/>
        <v>0.1329090118549531</v>
      </c>
      <c r="H813">
        <f t="shared" ca="1" si="168"/>
        <v>1.6351994830824661</v>
      </c>
      <c r="I813">
        <f t="shared" ca="1" si="169"/>
        <v>62.052208706785557</v>
      </c>
      <c r="J813">
        <f t="shared" ca="1" si="170"/>
        <v>1</v>
      </c>
      <c r="K813">
        <f t="shared" ca="1" si="171"/>
        <v>0</v>
      </c>
      <c r="L813">
        <f t="shared" ca="1" si="165"/>
        <v>0</v>
      </c>
      <c r="M813" t="str">
        <f t="shared" ca="1" si="172"/>
        <v>na</v>
      </c>
      <c r="N813" t="str">
        <f t="shared" ca="1" si="173"/>
        <v>na</v>
      </c>
    </row>
    <row r="814" spans="1:14" x14ac:dyDescent="0.2">
      <c r="A814" vm="1490">
        <f ca="1"/>
        <v>45427</v>
      </c>
      <c r="B814" vm="564">
        <f ca="1"/>
        <v>38.909999999999997</v>
      </c>
      <c r="C814">
        <f t="shared" ca="1" si="162"/>
        <v>0.4199999999999946</v>
      </c>
      <c r="D814">
        <f t="shared" ca="1" si="163"/>
        <v>0.4199999999999946</v>
      </c>
      <c r="E814">
        <f t="shared" ca="1" si="164"/>
        <v>0</v>
      </c>
      <c r="F814">
        <f t="shared" ca="1" si="166"/>
        <v>0.2318089798049188</v>
      </c>
      <c r="G814">
        <f t="shared" ca="1" si="167"/>
        <v>0.12341551100817073</v>
      </c>
      <c r="H814">
        <f t="shared" ca="1" si="168"/>
        <v>1.8782807599408786</v>
      </c>
      <c r="I814">
        <f t="shared" ca="1" si="169"/>
        <v>65.257037676180673</v>
      </c>
      <c r="J814">
        <f t="shared" ca="1" si="170"/>
        <v>1</v>
      </c>
      <c r="K814">
        <f t="shared" ca="1" si="171"/>
        <v>0</v>
      </c>
      <c r="L814">
        <f t="shared" ca="1" si="165"/>
        <v>0</v>
      </c>
      <c r="M814" t="str">
        <f t="shared" ca="1" si="172"/>
        <v>na</v>
      </c>
      <c r="N814" t="str">
        <f t="shared" ca="1" si="173"/>
        <v>na</v>
      </c>
    </row>
    <row r="815" spans="1:14" x14ac:dyDescent="0.2">
      <c r="A815" vm="1491">
        <f ca="1"/>
        <v>45428</v>
      </c>
      <c r="B815" vm="1492">
        <f ca="1"/>
        <v>39.22</v>
      </c>
      <c r="C815">
        <f t="shared" ca="1" si="162"/>
        <v>0.31000000000000227</v>
      </c>
      <c r="D815">
        <f t="shared" ca="1" si="163"/>
        <v>0.31000000000000227</v>
      </c>
      <c r="E815">
        <f t="shared" ca="1" si="164"/>
        <v>0</v>
      </c>
      <c r="F815">
        <f t="shared" ca="1" si="166"/>
        <v>0.23739405267599617</v>
      </c>
      <c r="G815">
        <f t="shared" ca="1" si="167"/>
        <v>0.11460011736472997</v>
      </c>
      <c r="H815">
        <f t="shared" ca="1" si="168"/>
        <v>2.0714992107770565</v>
      </c>
      <c r="I815">
        <f t="shared" ca="1" si="169"/>
        <v>67.44260924791152</v>
      </c>
      <c r="J815">
        <f t="shared" ca="1" si="170"/>
        <v>1</v>
      </c>
      <c r="K815">
        <f t="shared" ca="1" si="171"/>
        <v>0</v>
      </c>
      <c r="L815">
        <f t="shared" ca="1" si="165"/>
        <v>0</v>
      </c>
      <c r="M815" t="str">
        <f t="shared" ca="1" si="172"/>
        <v>na</v>
      </c>
      <c r="N815" t="str">
        <f t="shared" ca="1" si="173"/>
        <v>na</v>
      </c>
    </row>
    <row r="816" spans="1:14" x14ac:dyDescent="0.2">
      <c r="A816" vm="1493">
        <f ca="1"/>
        <v>45429</v>
      </c>
      <c r="B816" vm="1494">
        <f ca="1"/>
        <v>39.29</v>
      </c>
      <c r="C816">
        <f t="shared" ca="1" si="162"/>
        <v>7.0000000000000284E-2</v>
      </c>
      <c r="D816">
        <f t="shared" ca="1" si="163"/>
        <v>7.0000000000000284E-2</v>
      </c>
      <c r="E816">
        <f t="shared" ca="1" si="164"/>
        <v>0</v>
      </c>
      <c r="F816">
        <f t="shared" ca="1" si="166"/>
        <v>0.22543733462771076</v>
      </c>
      <c r="G816">
        <f t="shared" ca="1" si="167"/>
        <v>0.10641439469582069</v>
      </c>
      <c r="H816">
        <f t="shared" ca="1" si="168"/>
        <v>2.1184853352980126</v>
      </c>
      <c r="I816">
        <f t="shared" ca="1" si="169"/>
        <v>67.933150472729835</v>
      </c>
      <c r="J816">
        <f t="shared" ca="1" si="170"/>
        <v>1</v>
      </c>
      <c r="K816">
        <f t="shared" ca="1" si="171"/>
        <v>0</v>
      </c>
      <c r="L816">
        <f t="shared" ca="1" si="165"/>
        <v>0</v>
      </c>
      <c r="M816" t="str">
        <f t="shared" ca="1" si="172"/>
        <v>na</v>
      </c>
      <c r="N816" t="str">
        <f t="shared" ca="1" si="173"/>
        <v>na</v>
      </c>
    </row>
    <row r="817" spans="1:14" x14ac:dyDescent="0.2">
      <c r="A817" vm="1495">
        <f ca="1"/>
        <v>45432</v>
      </c>
      <c r="B817" vm="554">
        <f ca="1"/>
        <v>38.82</v>
      </c>
      <c r="C817">
        <f t="shared" ca="1" si="162"/>
        <v>-0.46999999999999886</v>
      </c>
      <c r="D817">
        <f t="shared" ca="1" si="163"/>
        <v>0</v>
      </c>
      <c r="E817">
        <f t="shared" ca="1" si="164"/>
        <v>0.46999999999999886</v>
      </c>
      <c r="F817">
        <f t="shared" ca="1" si="166"/>
        <v>0.20933466786858856</v>
      </c>
      <c r="G817">
        <f t="shared" ca="1" si="167"/>
        <v>0.13238479507469056</v>
      </c>
      <c r="H817">
        <f t="shared" ca="1" si="168"/>
        <v>1.5812591449832545</v>
      </c>
      <c r="I817">
        <f t="shared" ca="1" si="169"/>
        <v>61.259217155955596</v>
      </c>
      <c r="J817">
        <f t="shared" ca="1" si="170"/>
        <v>1</v>
      </c>
      <c r="K817">
        <f t="shared" ca="1" si="171"/>
        <v>0</v>
      </c>
      <c r="L817">
        <f t="shared" ca="1" si="165"/>
        <v>0</v>
      </c>
      <c r="M817" t="str">
        <f t="shared" ca="1" si="172"/>
        <v>na</v>
      </c>
      <c r="N817" t="str">
        <f t="shared" ca="1" si="173"/>
        <v>na</v>
      </c>
    </row>
    <row r="818" spans="1:14" x14ac:dyDescent="0.2">
      <c r="A818" vm="1496">
        <f ca="1"/>
        <v>45433</v>
      </c>
      <c r="B818" vm="1497">
        <f ca="1"/>
        <v>39.65</v>
      </c>
      <c r="C818">
        <f t="shared" ca="1" si="162"/>
        <v>0.82999999999999829</v>
      </c>
      <c r="D818">
        <f t="shared" ca="1" si="163"/>
        <v>0.82999999999999829</v>
      </c>
      <c r="E818">
        <f t="shared" ca="1" si="164"/>
        <v>0</v>
      </c>
      <c r="F818">
        <f t="shared" ca="1" si="166"/>
        <v>0.253667905877975</v>
      </c>
      <c r="G818">
        <f t="shared" ca="1" si="167"/>
        <v>0.12292873828364123</v>
      </c>
      <c r="H818">
        <f t="shared" ca="1" si="168"/>
        <v>2.0635362358691998</v>
      </c>
      <c r="I818">
        <f t="shared" ca="1" si="169"/>
        <v>67.357983617377528</v>
      </c>
      <c r="J818">
        <f t="shared" ca="1" si="170"/>
        <v>1</v>
      </c>
      <c r="K818">
        <f t="shared" ca="1" si="171"/>
        <v>0</v>
      </c>
      <c r="L818">
        <f t="shared" ca="1" si="165"/>
        <v>0</v>
      </c>
      <c r="M818" t="str">
        <f t="shared" ca="1" si="172"/>
        <v>na</v>
      </c>
      <c r="N818" t="str">
        <f t="shared" ca="1" si="173"/>
        <v>na</v>
      </c>
    </row>
    <row r="819" spans="1:14" x14ac:dyDescent="0.2">
      <c r="A819" vm="1498">
        <f ca="1"/>
        <v>45434</v>
      </c>
      <c r="B819" vm="1499">
        <f ca="1"/>
        <v>39.76</v>
      </c>
      <c r="C819">
        <f t="shared" ca="1" si="162"/>
        <v>0.10999999999999943</v>
      </c>
      <c r="D819">
        <f t="shared" ca="1" si="163"/>
        <v>0.10999999999999943</v>
      </c>
      <c r="E819">
        <f t="shared" ca="1" si="164"/>
        <v>0</v>
      </c>
      <c r="F819">
        <f t="shared" ca="1" si="166"/>
        <v>0.24340591260097674</v>
      </c>
      <c r="G819">
        <f t="shared" ca="1" si="167"/>
        <v>0.11414811412052399</v>
      </c>
      <c r="H819">
        <f t="shared" ca="1" si="168"/>
        <v>2.132369110750048</v>
      </c>
      <c r="I819">
        <f t="shared" ca="1" si="169"/>
        <v>68.075282170032978</v>
      </c>
      <c r="J819">
        <f t="shared" ca="1" si="170"/>
        <v>1</v>
      </c>
      <c r="K819">
        <f t="shared" ca="1" si="171"/>
        <v>0</v>
      </c>
      <c r="L819">
        <f t="shared" ca="1" si="165"/>
        <v>0</v>
      </c>
      <c r="M819" t="str">
        <f t="shared" ca="1" si="172"/>
        <v>na</v>
      </c>
      <c r="N819" t="str">
        <f t="shared" ca="1" si="173"/>
        <v>na</v>
      </c>
    </row>
    <row r="820" spans="1:14" x14ac:dyDescent="0.2">
      <c r="A820" vm="1500">
        <f ca="1"/>
        <v>45435</v>
      </c>
      <c r="B820" vm="88">
        <f ca="1"/>
        <v>39.17</v>
      </c>
      <c r="C820">
        <f t="shared" ca="1" si="162"/>
        <v>-0.58999999999999631</v>
      </c>
      <c r="D820">
        <f t="shared" ca="1" si="163"/>
        <v>0</v>
      </c>
      <c r="E820">
        <f t="shared" ca="1" si="164"/>
        <v>0.58999999999999631</v>
      </c>
      <c r="F820">
        <f t="shared" ca="1" si="166"/>
        <v>0.22601977598662124</v>
      </c>
      <c r="G820">
        <f t="shared" ca="1" si="167"/>
        <v>0.14813753454048628</v>
      </c>
      <c r="H820">
        <f t="shared" ca="1" si="168"/>
        <v>1.5257427949487683</v>
      </c>
      <c r="I820">
        <f t="shared" ca="1" si="169"/>
        <v>60.407686720916338</v>
      </c>
      <c r="J820">
        <f t="shared" ca="1" si="170"/>
        <v>1</v>
      </c>
      <c r="K820">
        <f t="shared" ca="1" si="171"/>
        <v>0</v>
      </c>
      <c r="L820">
        <f t="shared" ca="1" si="165"/>
        <v>0</v>
      </c>
      <c r="M820" t="str">
        <f t="shared" ca="1" si="172"/>
        <v>na</v>
      </c>
      <c r="N820" t="str">
        <f t="shared" ca="1" si="173"/>
        <v>na</v>
      </c>
    </row>
    <row r="821" spans="1:14" x14ac:dyDescent="0.2">
      <c r="A821" vm="1501">
        <f ca="1"/>
        <v>45436</v>
      </c>
      <c r="B821" vm="74">
        <f ca="1"/>
        <v>39.700000000000003</v>
      </c>
      <c r="C821">
        <f t="shared" ca="1" si="162"/>
        <v>0.53000000000000114</v>
      </c>
      <c r="D821">
        <f t="shared" ca="1" si="163"/>
        <v>0.53000000000000114</v>
      </c>
      <c r="E821">
        <f t="shared" ca="1" si="164"/>
        <v>0</v>
      </c>
      <c r="F821">
        <f t="shared" ca="1" si="166"/>
        <v>0.24773264913043408</v>
      </c>
      <c r="G821">
        <f t="shared" ca="1" si="167"/>
        <v>0.13755628207330869</v>
      </c>
      <c r="H821">
        <f t="shared" ca="1" si="168"/>
        <v>1.8009548193401188</v>
      </c>
      <c r="I821">
        <f t="shared" ca="1" si="169"/>
        <v>64.297888952182689</v>
      </c>
      <c r="J821">
        <f t="shared" ca="1" si="170"/>
        <v>1</v>
      </c>
      <c r="K821">
        <f t="shared" ca="1" si="171"/>
        <v>0</v>
      </c>
      <c r="L821">
        <f t="shared" ca="1" si="165"/>
        <v>0</v>
      </c>
      <c r="M821" t="str">
        <f t="shared" ca="1" si="172"/>
        <v>na</v>
      </c>
      <c r="N821" t="str">
        <f t="shared" ca="1" si="173"/>
        <v>na</v>
      </c>
    </row>
    <row r="822" spans="1:14" x14ac:dyDescent="0.2">
      <c r="A822" vm="1502">
        <f ca="1"/>
        <v>45440</v>
      </c>
      <c r="B822" vm="80">
        <f ca="1"/>
        <v>39.32</v>
      </c>
      <c r="C822">
        <f t="shared" ca="1" si="162"/>
        <v>-0.38000000000000256</v>
      </c>
      <c r="D822">
        <f t="shared" ca="1" si="163"/>
        <v>0</v>
      </c>
      <c r="E822">
        <f t="shared" ca="1" si="164"/>
        <v>0.38000000000000256</v>
      </c>
      <c r="F822">
        <f t="shared" ca="1" si="166"/>
        <v>0.23003745990683164</v>
      </c>
      <c r="G822">
        <f t="shared" ca="1" si="167"/>
        <v>0.15487369049664396</v>
      </c>
      <c r="H822">
        <f t="shared" ca="1" si="168"/>
        <v>1.4853230343330421</v>
      </c>
      <c r="I822">
        <f t="shared" ca="1" si="169"/>
        <v>59.763781762544262</v>
      </c>
      <c r="J822">
        <f t="shared" ca="1" si="170"/>
        <v>1</v>
      </c>
      <c r="K822">
        <f t="shared" ca="1" si="171"/>
        <v>0</v>
      </c>
      <c r="L822">
        <f t="shared" ca="1" si="165"/>
        <v>0</v>
      </c>
      <c r="M822" t="str">
        <f t="shared" ca="1" si="172"/>
        <v>na</v>
      </c>
      <c r="N822" t="str">
        <f t="shared" ca="1" si="173"/>
        <v>na</v>
      </c>
    </row>
    <row r="823" spans="1:14" x14ac:dyDescent="0.2">
      <c r="A823" vm="1503">
        <f ca="1"/>
        <v>45441</v>
      </c>
      <c r="B823" vm="92">
        <f ca="1"/>
        <v>38.72</v>
      </c>
      <c r="C823">
        <f t="shared" ca="1" si="162"/>
        <v>-0.60000000000000142</v>
      </c>
      <c r="D823">
        <f t="shared" ca="1" si="163"/>
        <v>0</v>
      </c>
      <c r="E823">
        <f t="shared" ca="1" si="164"/>
        <v>0.60000000000000142</v>
      </c>
      <c r="F823">
        <f t="shared" ca="1" si="166"/>
        <v>0.21360621277062936</v>
      </c>
      <c r="G823">
        <f t="shared" ca="1" si="167"/>
        <v>0.18666842688974092</v>
      </c>
      <c r="H823">
        <f t="shared" ca="1" si="168"/>
        <v>1.144308206426359</v>
      </c>
      <c r="I823">
        <f t="shared" ca="1" si="169"/>
        <v>53.364912888778683</v>
      </c>
      <c r="J823">
        <f t="shared" ca="1" si="170"/>
        <v>1</v>
      </c>
      <c r="K823">
        <f t="shared" ca="1" si="171"/>
        <v>0</v>
      </c>
      <c r="L823">
        <f t="shared" ca="1" si="165"/>
        <v>0</v>
      </c>
      <c r="M823" t="str">
        <f t="shared" ca="1" si="172"/>
        <v>na</v>
      </c>
      <c r="N823" t="str">
        <f t="shared" ca="1" si="173"/>
        <v>na</v>
      </c>
    </row>
    <row r="824" spans="1:14" x14ac:dyDescent="0.2">
      <c r="A824" vm="1504">
        <f ca="1"/>
        <v>45442</v>
      </c>
      <c r="B824" vm="1505">
        <f ca="1"/>
        <v>38.630000000000003</v>
      </c>
      <c r="C824">
        <f t="shared" ca="1" si="162"/>
        <v>-8.9999999999996305E-2</v>
      </c>
      <c r="D824">
        <f t="shared" ca="1" si="163"/>
        <v>0</v>
      </c>
      <c r="E824">
        <f t="shared" ca="1" si="164"/>
        <v>8.9999999999996305E-2</v>
      </c>
      <c r="F824">
        <f t="shared" ca="1" si="166"/>
        <v>0.19834862614415583</v>
      </c>
      <c r="G824">
        <f t="shared" ca="1" si="167"/>
        <v>0.17976353925475916</v>
      </c>
      <c r="H824">
        <f t="shared" ca="1" si="168"/>
        <v>1.1033862982807545</v>
      </c>
      <c r="I824">
        <f t="shared" ca="1" si="169"/>
        <v>52.457615568886688</v>
      </c>
      <c r="J824">
        <f t="shared" ca="1" si="170"/>
        <v>1</v>
      </c>
      <c r="K824">
        <f t="shared" ca="1" si="171"/>
        <v>0</v>
      </c>
      <c r="L824">
        <f t="shared" ca="1" si="165"/>
        <v>0</v>
      </c>
      <c r="M824" t="str">
        <f t="shared" ca="1" si="172"/>
        <v>na</v>
      </c>
      <c r="N824" t="str">
        <f t="shared" ca="1" si="173"/>
        <v>na</v>
      </c>
    </row>
    <row r="825" spans="1:14" x14ac:dyDescent="0.2">
      <c r="A825" vm="1506">
        <f ca="1"/>
        <v>45443</v>
      </c>
      <c r="B825" vm="76">
        <f ca="1"/>
        <v>39.99</v>
      </c>
      <c r="C825">
        <f t="shared" ca="1" si="162"/>
        <v>1.3599999999999994</v>
      </c>
      <c r="D825">
        <f t="shared" ca="1" si="163"/>
        <v>1.3599999999999994</v>
      </c>
      <c r="E825">
        <f t="shared" ca="1" si="164"/>
        <v>0</v>
      </c>
      <c r="F825">
        <f t="shared" ca="1" si="166"/>
        <v>0.28132372427671609</v>
      </c>
      <c r="G825">
        <f t="shared" ca="1" si="167"/>
        <v>0.16692328645084781</v>
      </c>
      <c r="H825">
        <f t="shared" ca="1" si="168"/>
        <v>1.685347384767401</v>
      </c>
      <c r="I825">
        <f t="shared" ca="1" si="169"/>
        <v>62.760870132762442</v>
      </c>
      <c r="J825">
        <f t="shared" ca="1" si="170"/>
        <v>1</v>
      </c>
      <c r="K825">
        <f t="shared" ca="1" si="171"/>
        <v>0</v>
      </c>
      <c r="L825">
        <f t="shared" ca="1" si="165"/>
        <v>0</v>
      </c>
      <c r="M825" t="str">
        <f t="shared" ca="1" si="172"/>
        <v>na</v>
      </c>
      <c r="N825" t="str">
        <f t="shared" ca="1" si="173"/>
        <v>na</v>
      </c>
    </row>
    <row r="826" spans="1:14" x14ac:dyDescent="0.2">
      <c r="A826" vm="1507">
        <f ca="1"/>
        <v>45446</v>
      </c>
      <c r="B826" vm="82">
        <f ca="1"/>
        <v>39.880000000000003</v>
      </c>
      <c r="C826">
        <f t="shared" ca="1" si="162"/>
        <v>-0.10999999999999943</v>
      </c>
      <c r="D826">
        <f t="shared" ca="1" si="163"/>
        <v>0</v>
      </c>
      <c r="E826">
        <f t="shared" ca="1" si="164"/>
        <v>0.10999999999999943</v>
      </c>
      <c r="F826">
        <f t="shared" ca="1" si="166"/>
        <v>0.26122917254266492</v>
      </c>
      <c r="G826">
        <f t="shared" ca="1" si="167"/>
        <v>0.16285733741864436</v>
      </c>
      <c r="H826">
        <f t="shared" ca="1" si="168"/>
        <v>1.6040368624665891</v>
      </c>
      <c r="I826">
        <f t="shared" ca="1" si="169"/>
        <v>61.598085863777577</v>
      </c>
      <c r="J826">
        <f t="shared" ca="1" si="170"/>
        <v>1</v>
      </c>
      <c r="K826">
        <f t="shared" ca="1" si="171"/>
        <v>0</v>
      </c>
      <c r="L826">
        <f t="shared" ca="1" si="165"/>
        <v>0</v>
      </c>
      <c r="M826" t="str">
        <f t="shared" ca="1" si="172"/>
        <v>na</v>
      </c>
      <c r="N826" t="str">
        <f t="shared" ca="1" si="173"/>
        <v>na</v>
      </c>
    </row>
    <row r="827" spans="1:14" x14ac:dyDescent="0.2">
      <c r="A827" vm="1508">
        <f ca="1"/>
        <v>45447</v>
      </c>
      <c r="B827" vm="1509">
        <f ca="1"/>
        <v>39.68</v>
      </c>
      <c r="C827">
        <f t="shared" ca="1" si="162"/>
        <v>-0.20000000000000284</v>
      </c>
      <c r="D827">
        <f t="shared" ca="1" si="163"/>
        <v>0</v>
      </c>
      <c r="E827">
        <f t="shared" ca="1" si="164"/>
        <v>0.20000000000000284</v>
      </c>
      <c r="F827">
        <f t="shared" ca="1" si="166"/>
        <v>0.24256994593247458</v>
      </c>
      <c r="G827">
        <f t="shared" ca="1" si="167"/>
        <v>0.16551038474588425</v>
      </c>
      <c r="H827">
        <f t="shared" ca="1" si="168"/>
        <v>1.4655874693597228</v>
      </c>
      <c r="I827">
        <f t="shared" ca="1" si="169"/>
        <v>59.441714705839033</v>
      </c>
      <c r="J827">
        <f t="shared" ca="1" si="170"/>
        <v>1</v>
      </c>
      <c r="K827">
        <f t="shared" ca="1" si="171"/>
        <v>0</v>
      </c>
      <c r="L827">
        <f t="shared" ca="1" si="165"/>
        <v>0</v>
      </c>
      <c r="M827" t="str">
        <f t="shared" ca="1" si="172"/>
        <v>na</v>
      </c>
      <c r="N827" t="str">
        <f t="shared" ca="1" si="173"/>
        <v>na</v>
      </c>
    </row>
    <row r="828" spans="1:14" x14ac:dyDescent="0.2">
      <c r="A828" vm="1510">
        <f ca="1"/>
        <v>45448</v>
      </c>
      <c r="B828" vm="1511">
        <f ca="1"/>
        <v>39.96</v>
      </c>
      <c r="C828">
        <f t="shared" ca="1" si="162"/>
        <v>0.28000000000000114</v>
      </c>
      <c r="D828">
        <f t="shared" ca="1" si="163"/>
        <v>0.28000000000000114</v>
      </c>
      <c r="E828">
        <f t="shared" ca="1" si="164"/>
        <v>0</v>
      </c>
      <c r="F828">
        <f t="shared" ca="1" si="166"/>
        <v>0.24524352122301218</v>
      </c>
      <c r="G828">
        <f t="shared" ca="1" si="167"/>
        <v>0.15368821440689251</v>
      </c>
      <c r="H828">
        <f t="shared" ca="1" si="168"/>
        <v>1.595721065336378</v>
      </c>
      <c r="I828">
        <f t="shared" ca="1" si="169"/>
        <v>61.475059344621435</v>
      </c>
      <c r="J828">
        <f t="shared" ca="1" si="170"/>
        <v>1</v>
      </c>
      <c r="K828">
        <f t="shared" ca="1" si="171"/>
        <v>0</v>
      </c>
      <c r="L828">
        <f t="shared" ca="1" si="165"/>
        <v>0</v>
      </c>
      <c r="M828" t="str">
        <f t="shared" ca="1" si="172"/>
        <v>na</v>
      </c>
      <c r="N828" t="str">
        <f t="shared" ca="1" si="173"/>
        <v>na</v>
      </c>
    </row>
    <row r="829" spans="1:14" x14ac:dyDescent="0.2">
      <c r="A829" vm="1512">
        <f ca="1"/>
        <v>45449</v>
      </c>
      <c r="B829" vm="74">
        <f ca="1"/>
        <v>39.700000000000003</v>
      </c>
      <c r="C829">
        <f t="shared" ca="1" si="162"/>
        <v>-0.25999999999999801</v>
      </c>
      <c r="D829">
        <f t="shared" ca="1" si="163"/>
        <v>0</v>
      </c>
      <c r="E829">
        <f t="shared" ca="1" si="164"/>
        <v>0.25999999999999801</v>
      </c>
      <c r="F829">
        <f t="shared" ca="1" si="166"/>
        <v>0.2277261268499399</v>
      </c>
      <c r="G829">
        <f t="shared" ca="1" si="167"/>
        <v>0.16128191337782863</v>
      </c>
      <c r="H829">
        <f t="shared" ca="1" si="168"/>
        <v>1.4119756027227621</v>
      </c>
      <c r="I829">
        <f t="shared" ca="1" si="169"/>
        <v>58.540210818420036</v>
      </c>
      <c r="J829">
        <f t="shared" ca="1" si="170"/>
        <v>1</v>
      </c>
      <c r="K829">
        <f t="shared" ca="1" si="171"/>
        <v>0</v>
      </c>
      <c r="L829">
        <f t="shared" ca="1" si="165"/>
        <v>0</v>
      </c>
      <c r="M829" t="str">
        <f t="shared" ca="1" si="172"/>
        <v>na</v>
      </c>
      <c r="N829" t="str">
        <f t="shared" ca="1" si="173"/>
        <v>na</v>
      </c>
    </row>
    <row r="830" spans="1:14" x14ac:dyDescent="0.2">
      <c r="A830" vm="1513">
        <f ca="1"/>
        <v>45450</v>
      </c>
      <c r="B830" vm="1514">
        <f ca="1"/>
        <v>39.78</v>
      </c>
      <c r="C830">
        <f t="shared" ca="1" si="162"/>
        <v>7.9999999999998295E-2</v>
      </c>
      <c r="D830">
        <f t="shared" ca="1" si="163"/>
        <v>7.9999999999998295E-2</v>
      </c>
      <c r="E830">
        <f t="shared" ca="1" si="164"/>
        <v>0</v>
      </c>
      <c r="F830">
        <f t="shared" ca="1" si="166"/>
        <v>0.21717426064637266</v>
      </c>
      <c r="G830">
        <f t="shared" ca="1" si="167"/>
        <v>0.14976177670798374</v>
      </c>
      <c r="H830">
        <f t="shared" ca="1" si="168"/>
        <v>1.4501314382095949</v>
      </c>
      <c r="I830">
        <f t="shared" ca="1" si="169"/>
        <v>59.185863076360569</v>
      </c>
      <c r="J830">
        <f t="shared" ca="1" si="170"/>
        <v>1</v>
      </c>
      <c r="K830">
        <f t="shared" ca="1" si="171"/>
        <v>0</v>
      </c>
      <c r="L830">
        <f t="shared" ca="1" si="165"/>
        <v>0</v>
      </c>
      <c r="M830" t="str">
        <f t="shared" ca="1" si="172"/>
        <v>na</v>
      </c>
      <c r="N830" t="str">
        <f t="shared" ca="1" si="173"/>
        <v>na</v>
      </c>
    </row>
    <row r="831" spans="1:14" x14ac:dyDescent="0.2">
      <c r="A831" vm="1515">
        <f ca="1"/>
        <v>45453</v>
      </c>
      <c r="B831" vm="549">
        <f ca="1"/>
        <v>39.67</v>
      </c>
      <c r="C831">
        <f t="shared" ca="1" si="162"/>
        <v>-0.10999999999999943</v>
      </c>
      <c r="D831">
        <f t="shared" ca="1" si="163"/>
        <v>0</v>
      </c>
      <c r="E831">
        <f t="shared" ca="1" si="164"/>
        <v>0.10999999999999943</v>
      </c>
      <c r="F831">
        <f t="shared" ca="1" si="166"/>
        <v>0.20166181345734605</v>
      </c>
      <c r="G831">
        <f t="shared" ca="1" si="167"/>
        <v>0.14692164980027059</v>
      </c>
      <c r="H831">
        <f t="shared" ca="1" si="168"/>
        <v>1.3725806491520534</v>
      </c>
      <c r="I831">
        <f t="shared" ca="1" si="169"/>
        <v>57.85180156647597</v>
      </c>
      <c r="J831">
        <f t="shared" ca="1" si="170"/>
        <v>1</v>
      </c>
      <c r="K831">
        <f t="shared" ca="1" si="171"/>
        <v>0</v>
      </c>
      <c r="L831">
        <f t="shared" ca="1" si="165"/>
        <v>0</v>
      </c>
      <c r="M831" t="str">
        <f t="shared" ca="1" si="172"/>
        <v>na</v>
      </c>
      <c r="N831" t="str">
        <f t="shared" ca="1" si="173"/>
        <v>na</v>
      </c>
    </row>
    <row r="832" spans="1:14" x14ac:dyDescent="0.2">
      <c r="A832" vm="1516">
        <f ca="1"/>
        <v>45454</v>
      </c>
      <c r="B832" vm="201">
        <f ca="1"/>
        <v>38.86</v>
      </c>
      <c r="C832">
        <f t="shared" ca="1" si="162"/>
        <v>-0.81000000000000227</v>
      </c>
      <c r="D832">
        <f t="shared" ca="1" si="163"/>
        <v>0</v>
      </c>
      <c r="E832">
        <f t="shared" ca="1" si="164"/>
        <v>0.81000000000000227</v>
      </c>
      <c r="F832">
        <f t="shared" ca="1" si="166"/>
        <v>0.18725739821039275</v>
      </c>
      <c r="G832">
        <f t="shared" ca="1" si="167"/>
        <v>0.19428438910025145</v>
      </c>
      <c r="H832">
        <f t="shared" ca="1" si="168"/>
        <v>0.96383141783855442</v>
      </c>
      <c r="I832">
        <f t="shared" ca="1" si="169"/>
        <v>49.079132204706916</v>
      </c>
      <c r="J832">
        <f t="shared" ca="1" si="170"/>
        <v>1</v>
      </c>
      <c r="K832">
        <f t="shared" ca="1" si="171"/>
        <v>0</v>
      </c>
      <c r="L832">
        <f t="shared" ca="1" si="165"/>
        <v>0</v>
      </c>
      <c r="M832" t="str">
        <f t="shared" ca="1" si="172"/>
        <v>na</v>
      </c>
      <c r="N832" t="str">
        <f t="shared" ca="1" si="173"/>
        <v>na</v>
      </c>
    </row>
    <row r="833" spans="1:14" x14ac:dyDescent="0.2">
      <c r="A833" vm="1517">
        <f ca="1"/>
        <v>45455</v>
      </c>
      <c r="B833" vm="98">
        <f ca="1"/>
        <v>39.409999999999997</v>
      </c>
      <c r="C833">
        <f t="shared" ca="1" si="162"/>
        <v>0.54999999999999716</v>
      </c>
      <c r="D833">
        <f t="shared" ca="1" si="163"/>
        <v>0.54999999999999716</v>
      </c>
      <c r="E833">
        <f t="shared" ca="1" si="164"/>
        <v>0</v>
      </c>
      <c r="F833">
        <f t="shared" ca="1" si="166"/>
        <v>0.21316758405250735</v>
      </c>
      <c r="G833">
        <f t="shared" ca="1" si="167"/>
        <v>0.18040693273594779</v>
      </c>
      <c r="H833">
        <f t="shared" ca="1" si="168"/>
        <v>1.1815930841444415</v>
      </c>
      <c r="I833">
        <f t="shared" ca="1" si="169"/>
        <v>54.161937564439455</v>
      </c>
      <c r="J833">
        <f t="shared" ca="1" si="170"/>
        <v>1</v>
      </c>
      <c r="K833">
        <f t="shared" ca="1" si="171"/>
        <v>0</v>
      </c>
      <c r="L833">
        <f t="shared" ca="1" si="165"/>
        <v>0</v>
      </c>
      <c r="M833" t="str">
        <f t="shared" ca="1" si="172"/>
        <v>na</v>
      </c>
      <c r="N833" t="str">
        <f t="shared" ca="1" si="173"/>
        <v>na</v>
      </c>
    </row>
    <row r="834" spans="1:14" x14ac:dyDescent="0.2">
      <c r="A834" vm="1518">
        <f ca="1"/>
        <v>45456</v>
      </c>
      <c r="B834" vm="1519">
        <f ca="1"/>
        <v>39.26</v>
      </c>
      <c r="C834">
        <f t="shared" ca="1" si="162"/>
        <v>-0.14999999999999858</v>
      </c>
      <c r="D834">
        <f t="shared" ca="1" si="163"/>
        <v>0</v>
      </c>
      <c r="E834">
        <f t="shared" ca="1" si="164"/>
        <v>0.14999999999999858</v>
      </c>
      <c r="F834">
        <f t="shared" ca="1" si="166"/>
        <v>0.1979413280487568</v>
      </c>
      <c r="G834">
        <f t="shared" ca="1" si="167"/>
        <v>0.17823500896909428</v>
      </c>
      <c r="H834">
        <f t="shared" ca="1" si="168"/>
        <v>1.1105636832721206</v>
      </c>
      <c r="I834">
        <f t="shared" ca="1" si="169"/>
        <v>52.619292754547637</v>
      </c>
      <c r="J834">
        <f t="shared" ca="1" si="170"/>
        <v>1</v>
      </c>
      <c r="K834">
        <f t="shared" ca="1" si="171"/>
        <v>0</v>
      </c>
      <c r="L834">
        <f t="shared" ca="1" si="165"/>
        <v>0</v>
      </c>
      <c r="M834" t="str">
        <f t="shared" ca="1" si="172"/>
        <v>na</v>
      </c>
      <c r="N834" t="str">
        <f t="shared" ca="1" si="173"/>
        <v>na</v>
      </c>
    </row>
    <row r="835" spans="1:14" x14ac:dyDescent="0.2">
      <c r="A835" vm="1520">
        <f ca="1"/>
        <v>45457</v>
      </c>
      <c r="B835" vm="1521">
        <f ca="1"/>
        <v>39.24</v>
      </c>
      <c r="C835">
        <f t="shared" ca="1" si="162"/>
        <v>-1.9999999999996021E-2</v>
      </c>
      <c r="D835">
        <f t="shared" ca="1" si="163"/>
        <v>0</v>
      </c>
      <c r="E835">
        <f t="shared" ca="1" si="164"/>
        <v>1.9999999999996021E-2</v>
      </c>
      <c r="F835">
        <f t="shared" ca="1" si="166"/>
        <v>0.18380266175955989</v>
      </c>
      <c r="G835">
        <f t="shared" ca="1" si="167"/>
        <v>0.16693250832844439</v>
      </c>
      <c r="H835">
        <f t="shared" ca="1" si="168"/>
        <v>1.1010597252748577</v>
      </c>
      <c r="I835">
        <f t="shared" ca="1" si="169"/>
        <v>52.404970312341725</v>
      </c>
      <c r="J835">
        <f t="shared" ca="1" si="170"/>
        <v>1</v>
      </c>
      <c r="K835">
        <f t="shared" ca="1" si="171"/>
        <v>0</v>
      </c>
      <c r="L835">
        <f t="shared" ca="1" si="165"/>
        <v>0</v>
      </c>
      <c r="M835" t="str">
        <f t="shared" ca="1" si="172"/>
        <v>na</v>
      </c>
      <c r="N835" t="str">
        <f t="shared" ca="1" si="173"/>
        <v>na</v>
      </c>
    </row>
    <row r="836" spans="1:14" x14ac:dyDescent="0.2">
      <c r="A836" vm="1522">
        <f ca="1"/>
        <v>45460</v>
      </c>
      <c r="B836" vm="1523">
        <f ca="1"/>
        <v>39.51</v>
      </c>
      <c r="C836">
        <f t="shared" ca="1" si="162"/>
        <v>0.26999999999999602</v>
      </c>
      <c r="D836">
        <f t="shared" ca="1" si="163"/>
        <v>0.26999999999999602</v>
      </c>
      <c r="E836">
        <f t="shared" ca="1" si="164"/>
        <v>0</v>
      </c>
      <c r="F836">
        <f t="shared" ca="1" si="166"/>
        <v>0.18995961449101961</v>
      </c>
      <c r="G836">
        <f t="shared" ca="1" si="167"/>
        <v>0.15500875773355549</v>
      </c>
      <c r="H836">
        <f t="shared" ca="1" si="168"/>
        <v>1.2254766586642876</v>
      </c>
      <c r="I836">
        <f t="shared" ca="1" si="169"/>
        <v>55.065805965352538</v>
      </c>
      <c r="J836">
        <f t="shared" ca="1" si="170"/>
        <v>1</v>
      </c>
      <c r="K836">
        <f t="shared" ca="1" si="171"/>
        <v>0</v>
      </c>
      <c r="L836">
        <f t="shared" ca="1" si="165"/>
        <v>0</v>
      </c>
      <c r="M836" t="str">
        <f t="shared" ca="1" si="172"/>
        <v>na</v>
      </c>
      <c r="N836" t="str">
        <f t="shared" ca="1" si="173"/>
        <v>na</v>
      </c>
    </row>
    <row r="837" spans="1:14" x14ac:dyDescent="0.2">
      <c r="A837" vm="1524">
        <f ca="1"/>
        <v>45461</v>
      </c>
      <c r="B837" vm="76">
        <f ca="1"/>
        <v>39.99</v>
      </c>
      <c r="C837">
        <f t="shared" ca="1" si="162"/>
        <v>0.48000000000000398</v>
      </c>
      <c r="D837">
        <f t="shared" ca="1" si="163"/>
        <v>0.48000000000000398</v>
      </c>
      <c r="E837">
        <f t="shared" ca="1" si="164"/>
        <v>0</v>
      </c>
      <c r="F837">
        <f t="shared" ca="1" si="166"/>
        <v>0.21067678488451852</v>
      </c>
      <c r="G837">
        <f t="shared" ca="1" si="167"/>
        <v>0.1439367036097301</v>
      </c>
      <c r="H837">
        <f t="shared" ca="1" si="168"/>
        <v>1.4636765995124319</v>
      </c>
      <c r="I837">
        <f t="shared" ca="1" si="169"/>
        <v>59.410257003784402</v>
      </c>
      <c r="J837">
        <f t="shared" ca="1" si="170"/>
        <v>1</v>
      </c>
      <c r="K837">
        <f t="shared" ca="1" si="171"/>
        <v>0</v>
      </c>
      <c r="L837">
        <f t="shared" ca="1" si="165"/>
        <v>0</v>
      </c>
      <c r="M837" t="str">
        <f t="shared" ca="1" si="172"/>
        <v>na</v>
      </c>
      <c r="N837" t="str">
        <f t="shared" ca="1" si="173"/>
        <v>na</v>
      </c>
    </row>
    <row r="838" spans="1:14" x14ac:dyDescent="0.2">
      <c r="A838" vm="1525">
        <f ca="1"/>
        <v>45463</v>
      </c>
      <c r="B838" vm="76">
        <f ca="1"/>
        <v>39.99</v>
      </c>
      <c r="C838">
        <f t="shared" ca="1" si="162"/>
        <v>0</v>
      </c>
      <c r="D838">
        <f t="shared" ca="1" si="163"/>
        <v>0</v>
      </c>
      <c r="E838">
        <f t="shared" ca="1" si="164"/>
        <v>0</v>
      </c>
      <c r="F838">
        <f t="shared" ca="1" si="166"/>
        <v>0.19562844310705291</v>
      </c>
      <c r="G838">
        <f t="shared" ca="1" si="167"/>
        <v>0.13365551049474939</v>
      </c>
      <c r="H838">
        <f t="shared" ca="1" si="168"/>
        <v>1.4636765995124317</v>
      </c>
      <c r="I838">
        <f t="shared" ca="1" si="169"/>
        <v>59.410257003784395</v>
      </c>
      <c r="J838">
        <f t="shared" ca="1" si="170"/>
        <v>1</v>
      </c>
      <c r="K838">
        <f t="shared" ca="1" si="171"/>
        <v>0</v>
      </c>
      <c r="L838">
        <f t="shared" ca="1" si="165"/>
        <v>0</v>
      </c>
      <c r="M838" t="str">
        <f t="shared" ca="1" si="172"/>
        <v>na</v>
      </c>
      <c r="N838" t="str">
        <f t="shared" ca="1" si="173"/>
        <v>na</v>
      </c>
    </row>
    <row r="839" spans="1:14" x14ac:dyDescent="0.2">
      <c r="A839" vm="1526">
        <f ca="1"/>
        <v>45464</v>
      </c>
      <c r="B839" vm="59">
        <f ca="1"/>
        <v>39.49</v>
      </c>
      <c r="C839">
        <f t="shared" ca="1" si="162"/>
        <v>-0.5</v>
      </c>
      <c r="D839">
        <f t="shared" ca="1" si="163"/>
        <v>0</v>
      </c>
      <c r="E839">
        <f t="shared" ca="1" si="164"/>
        <v>0.5</v>
      </c>
      <c r="F839">
        <f t="shared" ca="1" si="166"/>
        <v>0.18165498288512055</v>
      </c>
      <c r="G839">
        <f t="shared" ca="1" si="167"/>
        <v>0.15982297403083873</v>
      </c>
      <c r="H839">
        <f t="shared" ca="1" si="168"/>
        <v>1.136601192579918</v>
      </c>
      <c r="I839">
        <f t="shared" ca="1" si="169"/>
        <v>53.196693726801065</v>
      </c>
      <c r="J839">
        <f t="shared" ca="1" si="170"/>
        <v>1</v>
      </c>
      <c r="K839">
        <f t="shared" ca="1" si="171"/>
        <v>0</v>
      </c>
      <c r="L839">
        <f t="shared" ca="1" si="165"/>
        <v>0</v>
      </c>
      <c r="M839" t="str">
        <f t="shared" ca="1" si="172"/>
        <v>na</v>
      </c>
      <c r="N839" t="str">
        <f t="shared" ca="1" si="173"/>
        <v>na</v>
      </c>
    </row>
    <row r="840" spans="1:14" x14ac:dyDescent="0.2">
      <c r="A840" vm="1527">
        <f ca="1"/>
        <v>45467</v>
      </c>
      <c r="B840" vm="1528">
        <f ca="1"/>
        <v>40.020000000000003</v>
      </c>
      <c r="C840">
        <f t="shared" ca="1" si="162"/>
        <v>0.53000000000000114</v>
      </c>
      <c r="D840">
        <f t="shared" ca="1" si="163"/>
        <v>0.53000000000000114</v>
      </c>
      <c r="E840">
        <f t="shared" ca="1" si="164"/>
        <v>0</v>
      </c>
      <c r="F840">
        <f t="shared" ca="1" si="166"/>
        <v>0.20653676982189775</v>
      </c>
      <c r="G840">
        <f t="shared" ca="1" si="167"/>
        <v>0.14840704731435023</v>
      </c>
      <c r="H840">
        <f t="shared" ca="1" si="168"/>
        <v>1.3916911195222377</v>
      </c>
      <c r="I840">
        <f t="shared" ca="1" si="169"/>
        <v>58.188580798018798</v>
      </c>
      <c r="J840">
        <f t="shared" ca="1" si="170"/>
        <v>1</v>
      </c>
      <c r="K840">
        <f t="shared" ca="1" si="171"/>
        <v>0</v>
      </c>
      <c r="L840">
        <f t="shared" ca="1" si="165"/>
        <v>0</v>
      </c>
      <c r="M840" t="str">
        <f t="shared" ca="1" si="172"/>
        <v>na</v>
      </c>
      <c r="N840" t="str">
        <f t="shared" ca="1" si="173"/>
        <v>na</v>
      </c>
    </row>
    <row r="841" spans="1:14" x14ac:dyDescent="0.2">
      <c r="A841" vm="1529">
        <f ca="1"/>
        <v>45468</v>
      </c>
      <c r="B841" vm="1530">
        <f ca="1"/>
        <v>39.380000000000003</v>
      </c>
      <c r="C841">
        <f t="shared" ref="C841:C904" ca="1" si="174">B841-B840</f>
        <v>-0.64000000000000057</v>
      </c>
      <c r="D841">
        <f t="shared" ref="D841:D904" ca="1" si="175">IF(C841&gt;0,C841,0)</f>
        <v>0</v>
      </c>
      <c r="E841">
        <f t="shared" ref="E841:E904" ca="1" si="176">IF(C841&lt;0,ABS(C841),0)</f>
        <v>0.64000000000000057</v>
      </c>
      <c r="F841">
        <f t="shared" ca="1" si="166"/>
        <v>0.19178414340604791</v>
      </c>
      <c r="G841">
        <f t="shared" ca="1" si="167"/>
        <v>0.18352082964903954</v>
      </c>
      <c r="H841">
        <f t="shared" ca="1" si="168"/>
        <v>1.0450265714949682</v>
      </c>
      <c r="I841">
        <f t="shared" ca="1" si="169"/>
        <v>51.100879864413024</v>
      </c>
      <c r="J841">
        <f t="shared" ca="1" si="170"/>
        <v>1</v>
      </c>
      <c r="K841">
        <f t="shared" ca="1" si="171"/>
        <v>0</v>
      </c>
      <c r="L841">
        <f t="shared" ca="1" si="165"/>
        <v>0</v>
      </c>
      <c r="M841" t="str">
        <f t="shared" ca="1" si="172"/>
        <v>na</v>
      </c>
      <c r="N841" t="str">
        <f t="shared" ca="1" si="173"/>
        <v>na</v>
      </c>
    </row>
    <row r="842" spans="1:14" x14ac:dyDescent="0.2">
      <c r="A842" vm="1531">
        <f ca="1"/>
        <v>45469</v>
      </c>
      <c r="B842" vm="1532">
        <f ca="1"/>
        <v>39</v>
      </c>
      <c r="C842">
        <f t="shared" ca="1" si="174"/>
        <v>-0.38000000000000256</v>
      </c>
      <c r="D842">
        <f t="shared" ca="1" si="175"/>
        <v>0</v>
      </c>
      <c r="E842">
        <f t="shared" ca="1" si="176"/>
        <v>0.38000000000000256</v>
      </c>
      <c r="F842">
        <f t="shared" ca="1" si="166"/>
        <v>0.17808527601990162</v>
      </c>
      <c r="G842">
        <f t="shared" ca="1" si="167"/>
        <v>0.19755505610267976</v>
      </c>
      <c r="H842">
        <f t="shared" ca="1" si="168"/>
        <v>0.90144630835133543</v>
      </c>
      <c r="I842">
        <f t="shared" ca="1" si="169"/>
        <v>47.408454521807762</v>
      </c>
      <c r="J842">
        <f t="shared" ca="1" si="170"/>
        <v>1</v>
      </c>
      <c r="K842">
        <f t="shared" ca="1" si="171"/>
        <v>0</v>
      </c>
      <c r="L842">
        <f t="shared" ca="1" si="165"/>
        <v>0</v>
      </c>
      <c r="M842" t="str">
        <f t="shared" ca="1" si="172"/>
        <v>na</v>
      </c>
      <c r="N842" t="str">
        <f t="shared" ca="1" si="173"/>
        <v>na</v>
      </c>
    </row>
    <row r="843" spans="1:14" x14ac:dyDescent="0.2">
      <c r="A843" vm="1533">
        <f ca="1"/>
        <v>45470</v>
      </c>
      <c r="B843" vm="1534">
        <f ca="1"/>
        <v>39.25</v>
      </c>
      <c r="C843">
        <f t="shared" ca="1" si="174"/>
        <v>0.25</v>
      </c>
      <c r="D843">
        <f t="shared" ca="1" si="175"/>
        <v>0.25</v>
      </c>
      <c r="E843">
        <f t="shared" ca="1" si="176"/>
        <v>0</v>
      </c>
      <c r="F843">
        <f t="shared" ca="1" si="166"/>
        <v>0.18322204201848008</v>
      </c>
      <c r="G843">
        <f t="shared" ca="1" si="167"/>
        <v>0.18344398066677406</v>
      </c>
      <c r="H843">
        <f t="shared" ca="1" si="168"/>
        <v>0.99879015573317109</v>
      </c>
      <c r="I843">
        <f t="shared" ca="1" si="169"/>
        <v>49.96973558571522</v>
      </c>
      <c r="J843">
        <f t="shared" ca="1" si="170"/>
        <v>1</v>
      </c>
      <c r="K843">
        <f t="shared" ca="1" si="171"/>
        <v>0</v>
      </c>
      <c r="L843">
        <f t="shared" ca="1" si="165"/>
        <v>0</v>
      </c>
      <c r="M843" t="str">
        <f t="shared" ca="1" si="172"/>
        <v>na</v>
      </c>
      <c r="N843" t="str">
        <f t="shared" ca="1" si="173"/>
        <v>na</v>
      </c>
    </row>
    <row r="844" spans="1:14" x14ac:dyDescent="0.2">
      <c r="A844" vm="1535">
        <f ca="1"/>
        <v>45471</v>
      </c>
      <c r="B844" vm="1536">
        <f ca="1"/>
        <v>39.770000000000003</v>
      </c>
      <c r="C844">
        <f t="shared" ca="1" si="174"/>
        <v>0.52000000000000313</v>
      </c>
      <c r="D844">
        <f t="shared" ca="1" si="175"/>
        <v>0.52000000000000313</v>
      </c>
      <c r="E844">
        <f t="shared" ca="1" si="176"/>
        <v>0</v>
      </c>
      <c r="F844">
        <f t="shared" ca="1" si="166"/>
        <v>0.20727761044573173</v>
      </c>
      <c r="G844">
        <f t="shared" ca="1" si="167"/>
        <v>0.17034083919057591</v>
      </c>
      <c r="H844">
        <f t="shared" ca="1" si="168"/>
        <v>1.2168403738684841</v>
      </c>
      <c r="I844">
        <f t="shared" ca="1" si="169"/>
        <v>54.890752992965574</v>
      </c>
      <c r="J844">
        <f t="shared" ca="1" si="170"/>
        <v>1</v>
      </c>
      <c r="K844">
        <f t="shared" ca="1" si="171"/>
        <v>0</v>
      </c>
      <c r="L844">
        <f t="shared" ca="1" si="165"/>
        <v>0</v>
      </c>
      <c r="M844" t="str">
        <f t="shared" ca="1" si="172"/>
        <v>na</v>
      </c>
      <c r="N844" t="str">
        <f t="shared" ca="1" si="173"/>
        <v>na</v>
      </c>
    </row>
    <row r="845" spans="1:14" x14ac:dyDescent="0.2">
      <c r="A845" vm="1537">
        <f ca="1"/>
        <v>45474</v>
      </c>
      <c r="B845" vm="1538">
        <f ca="1"/>
        <v>40.01</v>
      </c>
      <c r="C845">
        <f t="shared" ca="1" si="174"/>
        <v>0.23999999999999488</v>
      </c>
      <c r="D845">
        <f t="shared" ca="1" si="175"/>
        <v>0.23999999999999488</v>
      </c>
      <c r="E845">
        <f t="shared" ca="1" si="176"/>
        <v>0</v>
      </c>
      <c r="F845">
        <f t="shared" ca="1" si="166"/>
        <v>0.20961492398532197</v>
      </c>
      <c r="G845">
        <f t="shared" ca="1" si="167"/>
        <v>0.15817363639124907</v>
      </c>
      <c r="H845">
        <f t="shared" ca="1" si="168"/>
        <v>1.3252203639475717</v>
      </c>
      <c r="I845">
        <f t="shared" ca="1" si="169"/>
        <v>56.993323492906249</v>
      </c>
      <c r="J845">
        <f t="shared" ca="1" si="170"/>
        <v>1</v>
      </c>
      <c r="K845">
        <f t="shared" ca="1" si="171"/>
        <v>0</v>
      </c>
      <c r="L845">
        <f t="shared" ca="1" si="165"/>
        <v>0</v>
      </c>
      <c r="M845" t="str">
        <f t="shared" ca="1" si="172"/>
        <v>na</v>
      </c>
      <c r="N845" t="str">
        <f t="shared" ca="1" si="173"/>
        <v>na</v>
      </c>
    </row>
    <row r="846" spans="1:14" x14ac:dyDescent="0.2">
      <c r="A846" vm="1539">
        <f ca="1"/>
        <v>45475</v>
      </c>
      <c r="B846" vm="273">
        <f ca="1"/>
        <v>40.93</v>
      </c>
      <c r="C846">
        <f t="shared" ca="1" si="174"/>
        <v>0.92000000000000171</v>
      </c>
      <c r="D846">
        <f t="shared" ca="1" si="175"/>
        <v>0.92000000000000171</v>
      </c>
      <c r="E846">
        <f t="shared" ca="1" si="176"/>
        <v>0</v>
      </c>
      <c r="F846">
        <f t="shared" ca="1" si="166"/>
        <v>0.2603567151292277</v>
      </c>
      <c r="G846">
        <f t="shared" ca="1" si="167"/>
        <v>0.14687551950615987</v>
      </c>
      <c r="H846">
        <f t="shared" ca="1" si="168"/>
        <v>1.7726351947868924</v>
      </c>
      <c r="I846">
        <f t="shared" ca="1" si="169"/>
        <v>63.933228508380779</v>
      </c>
      <c r="J846">
        <f t="shared" ca="1" si="170"/>
        <v>1</v>
      </c>
      <c r="K846">
        <f t="shared" ca="1" si="171"/>
        <v>0</v>
      </c>
      <c r="L846">
        <f t="shared" ca="1" si="165"/>
        <v>0</v>
      </c>
      <c r="M846" t="str">
        <f t="shared" ca="1" si="172"/>
        <v>na</v>
      </c>
      <c r="N846" t="str">
        <f t="shared" ca="1" si="173"/>
        <v>na</v>
      </c>
    </row>
    <row r="847" spans="1:14" x14ac:dyDescent="0.2">
      <c r="A847" vm="1540">
        <f ca="1"/>
        <v>45476</v>
      </c>
      <c r="B847" vm="542">
        <f ca="1"/>
        <v>40.9</v>
      </c>
      <c r="C847">
        <f t="shared" ca="1" si="174"/>
        <v>-3.0000000000001137E-2</v>
      </c>
      <c r="D847">
        <f t="shared" ca="1" si="175"/>
        <v>0</v>
      </c>
      <c r="E847">
        <f t="shared" ca="1" si="176"/>
        <v>3.0000000000001137E-2</v>
      </c>
      <c r="F847">
        <f t="shared" ca="1" si="166"/>
        <v>0.24175980690571144</v>
      </c>
      <c r="G847">
        <f t="shared" ca="1" si="167"/>
        <v>0.13852726811286281</v>
      </c>
      <c r="H847">
        <f t="shared" ca="1" si="168"/>
        <v>1.7452145718252496</v>
      </c>
      <c r="I847">
        <f t="shared" ca="1" si="169"/>
        <v>63.572974941076616</v>
      </c>
      <c r="J847">
        <f t="shared" ca="1" si="170"/>
        <v>1</v>
      </c>
      <c r="K847">
        <f t="shared" ca="1" si="171"/>
        <v>0</v>
      </c>
      <c r="L847">
        <f t="shared" ca="1" si="165"/>
        <v>0</v>
      </c>
      <c r="M847" t="str">
        <f t="shared" ca="1" si="172"/>
        <v>na</v>
      </c>
      <c r="N847" t="str">
        <f t="shared" ca="1" si="173"/>
        <v>na</v>
      </c>
    </row>
    <row r="848" spans="1:14" x14ac:dyDescent="0.2">
      <c r="A848" vm="1541">
        <f ca="1"/>
        <v>45478</v>
      </c>
      <c r="B848" vm="1542">
        <f ca="1"/>
        <v>40.409999999999997</v>
      </c>
      <c r="C848">
        <f t="shared" ca="1" si="174"/>
        <v>-0.49000000000000199</v>
      </c>
      <c r="D848">
        <f t="shared" ca="1" si="175"/>
        <v>0</v>
      </c>
      <c r="E848">
        <f t="shared" ca="1" si="176"/>
        <v>0.49000000000000199</v>
      </c>
      <c r="F848">
        <f t="shared" ca="1" si="166"/>
        <v>0.22449124926958919</v>
      </c>
      <c r="G848">
        <f t="shared" ca="1" si="167"/>
        <v>0.16363246324765848</v>
      </c>
      <c r="H848">
        <f t="shared" ca="1" si="168"/>
        <v>1.3719236685315961</v>
      </c>
      <c r="I848">
        <f t="shared" ca="1" si="169"/>
        <v>57.840127266022975</v>
      </c>
      <c r="J848">
        <f t="shared" ca="1" si="170"/>
        <v>1</v>
      </c>
      <c r="K848">
        <f t="shared" ca="1" si="171"/>
        <v>0</v>
      </c>
      <c r="L848">
        <f t="shared" ca="1" si="165"/>
        <v>0</v>
      </c>
      <c r="M848" t="str">
        <f t="shared" ca="1" si="172"/>
        <v>na</v>
      </c>
      <c r="N848" t="str">
        <f t="shared" ca="1" si="173"/>
        <v>na</v>
      </c>
    </row>
    <row r="849" spans="1:14" x14ac:dyDescent="0.2">
      <c r="A849" vm="1543">
        <f ca="1"/>
        <v>45481</v>
      </c>
      <c r="B849" vm="1544">
        <f ca="1"/>
        <v>40.619999999999997</v>
      </c>
      <c r="C849">
        <f t="shared" ca="1" si="174"/>
        <v>0.21000000000000085</v>
      </c>
      <c r="D849">
        <f t="shared" ca="1" si="175"/>
        <v>0.21000000000000085</v>
      </c>
      <c r="E849">
        <f t="shared" ca="1" si="176"/>
        <v>0</v>
      </c>
      <c r="F849">
        <f t="shared" ca="1" si="166"/>
        <v>0.22345616003604718</v>
      </c>
      <c r="G849">
        <f t="shared" ca="1" si="167"/>
        <v>0.15194443015854001</v>
      </c>
      <c r="H849">
        <f t="shared" ca="1" si="168"/>
        <v>1.4706439703179068</v>
      </c>
      <c r="I849">
        <f t="shared" ca="1" si="169"/>
        <v>59.524722622364472</v>
      </c>
      <c r="J849">
        <f t="shared" ca="1" si="170"/>
        <v>1</v>
      </c>
      <c r="K849">
        <f t="shared" ca="1" si="171"/>
        <v>0</v>
      </c>
      <c r="L849">
        <f t="shared" ca="1" si="165"/>
        <v>0</v>
      </c>
      <c r="M849" t="str">
        <f t="shared" ca="1" si="172"/>
        <v>na</v>
      </c>
      <c r="N849" t="str">
        <f t="shared" ca="1" si="173"/>
        <v>na</v>
      </c>
    </row>
    <row r="850" spans="1:14" x14ac:dyDescent="0.2">
      <c r="A850" vm="1545">
        <f ca="1"/>
        <v>45482</v>
      </c>
      <c r="B850" vm="1546">
        <f ca="1"/>
        <v>41.42</v>
      </c>
      <c r="C850">
        <f t="shared" ca="1" si="174"/>
        <v>0.80000000000000426</v>
      </c>
      <c r="D850">
        <f t="shared" ca="1" si="175"/>
        <v>0.80000000000000426</v>
      </c>
      <c r="E850">
        <f t="shared" ca="1" si="176"/>
        <v>0</v>
      </c>
      <c r="F850">
        <f t="shared" ca="1" si="166"/>
        <v>0.26463786289061553</v>
      </c>
      <c r="G850">
        <f t="shared" ca="1" si="167"/>
        <v>0.14109125657578717</v>
      </c>
      <c r="H850">
        <f t="shared" ca="1" si="168"/>
        <v>1.8756503366207198</v>
      </c>
      <c r="I850">
        <f t="shared" ca="1" si="169"/>
        <v>65.225257491662362</v>
      </c>
      <c r="J850">
        <f t="shared" ca="1" si="170"/>
        <v>1</v>
      </c>
      <c r="K850">
        <f t="shared" ca="1" si="171"/>
        <v>0</v>
      </c>
      <c r="L850">
        <f t="shared" ca="1" si="165"/>
        <v>0</v>
      </c>
      <c r="M850" t="str">
        <f t="shared" ca="1" si="172"/>
        <v>na</v>
      </c>
      <c r="N850" t="str">
        <f t="shared" ca="1" si="173"/>
        <v>na</v>
      </c>
    </row>
    <row r="851" spans="1:14" x14ac:dyDescent="0.2">
      <c r="A851" vm="1547">
        <f ca="1"/>
        <v>45483</v>
      </c>
      <c r="B851" vm="1548">
        <f ca="1"/>
        <v>41.74</v>
      </c>
      <c r="C851">
        <f t="shared" ca="1" si="174"/>
        <v>0.32000000000000028</v>
      </c>
      <c r="D851">
        <f t="shared" ca="1" si="175"/>
        <v>0.32000000000000028</v>
      </c>
      <c r="E851">
        <f t="shared" ca="1" si="176"/>
        <v>0</v>
      </c>
      <c r="F851">
        <f t="shared" ca="1" si="166"/>
        <v>0.2685923012555716</v>
      </c>
      <c r="G851">
        <f t="shared" ca="1" si="167"/>
        <v>0.13101330967751665</v>
      </c>
      <c r="H851">
        <f t="shared" ca="1" si="168"/>
        <v>2.0501146174896232</v>
      </c>
      <c r="I851">
        <f t="shared" ca="1" si="169"/>
        <v>67.214346822709132</v>
      </c>
      <c r="J851">
        <f t="shared" ca="1" si="170"/>
        <v>1</v>
      </c>
      <c r="K851">
        <f t="shared" ca="1" si="171"/>
        <v>0</v>
      </c>
      <c r="L851">
        <f t="shared" ca="1" si="165"/>
        <v>0</v>
      </c>
      <c r="M851" t="str">
        <f t="shared" ca="1" si="172"/>
        <v>na</v>
      </c>
      <c r="N851" t="str">
        <f t="shared" ca="1" si="173"/>
        <v>na</v>
      </c>
    </row>
    <row r="852" spans="1:14" x14ac:dyDescent="0.2">
      <c r="A852" vm="1549">
        <f ca="1"/>
        <v>45484</v>
      </c>
      <c r="B852" vm="1550">
        <f ca="1"/>
        <v>41.81</v>
      </c>
      <c r="C852">
        <f t="shared" ca="1" si="174"/>
        <v>7.0000000000000284E-2</v>
      </c>
      <c r="D852">
        <f t="shared" ca="1" si="175"/>
        <v>7.0000000000000284E-2</v>
      </c>
      <c r="E852">
        <f t="shared" ca="1" si="176"/>
        <v>0</v>
      </c>
      <c r="F852">
        <f t="shared" ca="1" si="166"/>
        <v>0.25440713688017363</v>
      </c>
      <c r="G852">
        <f t="shared" ca="1" si="167"/>
        <v>0.1216552161291226</v>
      </c>
      <c r="H852">
        <f t="shared" ca="1" si="168"/>
        <v>2.0912143759635478</v>
      </c>
      <c r="I852">
        <f t="shared" ca="1" si="169"/>
        <v>67.650253965699335</v>
      </c>
      <c r="J852">
        <f t="shared" ca="1" si="170"/>
        <v>1</v>
      </c>
      <c r="K852">
        <f t="shared" ca="1" si="171"/>
        <v>0</v>
      </c>
      <c r="L852">
        <f t="shared" ca="1" si="165"/>
        <v>0</v>
      </c>
      <c r="M852" t="str">
        <f t="shared" ca="1" si="172"/>
        <v>na</v>
      </c>
      <c r="N852" t="str">
        <f t="shared" ca="1" si="173"/>
        <v>na</v>
      </c>
    </row>
    <row r="853" spans="1:14" x14ac:dyDescent="0.2">
      <c r="A853" vm="1551">
        <f ca="1"/>
        <v>45485</v>
      </c>
      <c r="B853" vm="1552">
        <f ca="1"/>
        <v>41.59</v>
      </c>
      <c r="C853">
        <f t="shared" ca="1" si="174"/>
        <v>-0.21999999999999886</v>
      </c>
      <c r="D853">
        <f t="shared" ca="1" si="175"/>
        <v>0</v>
      </c>
      <c r="E853">
        <f t="shared" ca="1" si="176"/>
        <v>0.21999999999999886</v>
      </c>
      <c r="F853">
        <f t="shared" ca="1" si="166"/>
        <v>0.23623519853158981</v>
      </c>
      <c r="G853">
        <f t="shared" ca="1" si="167"/>
        <v>0.1286798435484709</v>
      </c>
      <c r="H853">
        <f t="shared" ca="1" si="168"/>
        <v>1.8358368491690398</v>
      </c>
      <c r="I853">
        <f t="shared" ca="1" si="169"/>
        <v>64.737040486196463</v>
      </c>
      <c r="J853">
        <f t="shared" ca="1" si="170"/>
        <v>1</v>
      </c>
      <c r="K853">
        <f t="shared" ca="1" si="171"/>
        <v>0</v>
      </c>
      <c r="L853">
        <f t="shared" ca="1" si="165"/>
        <v>0</v>
      </c>
      <c r="M853" t="str">
        <f t="shared" ca="1" si="172"/>
        <v>na</v>
      </c>
      <c r="N853" t="str">
        <f t="shared" ca="1" si="173"/>
        <v>na</v>
      </c>
    </row>
    <row r="854" spans="1:14" x14ac:dyDescent="0.2">
      <c r="A854" vm="1553">
        <f ca="1"/>
        <v>45488</v>
      </c>
      <c r="B854" vm="1554">
        <f ca="1"/>
        <v>41.89</v>
      </c>
      <c r="C854">
        <f t="shared" ca="1" si="174"/>
        <v>0.29999999999999716</v>
      </c>
      <c r="D854">
        <f t="shared" ca="1" si="175"/>
        <v>0.29999999999999716</v>
      </c>
      <c r="E854">
        <f t="shared" ca="1" si="176"/>
        <v>0</v>
      </c>
      <c r="F854">
        <f t="shared" ca="1" si="166"/>
        <v>0.24078982720790462</v>
      </c>
      <c r="G854">
        <f t="shared" ca="1" si="167"/>
        <v>0.11948842615215154</v>
      </c>
      <c r="H854">
        <f t="shared" ca="1" si="168"/>
        <v>2.0151728076265143</v>
      </c>
      <c r="I854">
        <f t="shared" ca="1" si="169"/>
        <v>66.834405063927974</v>
      </c>
      <c r="J854">
        <f t="shared" ca="1" si="170"/>
        <v>1</v>
      </c>
      <c r="K854">
        <f t="shared" ca="1" si="171"/>
        <v>0</v>
      </c>
      <c r="L854">
        <f t="shared" ref="L854:L917" ca="1" si="177">IF(I854&gt;$C$3,1,0)</f>
        <v>0</v>
      </c>
      <c r="M854" t="str">
        <f t="shared" ca="1" si="172"/>
        <v>na</v>
      </c>
      <c r="N854" t="str">
        <f t="shared" ca="1" si="173"/>
        <v>na</v>
      </c>
    </row>
    <row r="855" spans="1:14" x14ac:dyDescent="0.2">
      <c r="A855" vm="1555">
        <f ca="1"/>
        <v>45489</v>
      </c>
      <c r="B855" vm="57">
        <f ca="1"/>
        <v>44.13</v>
      </c>
      <c r="C855">
        <f t="shared" ca="1" si="174"/>
        <v>2.240000000000002</v>
      </c>
      <c r="D855">
        <f t="shared" ca="1" si="175"/>
        <v>2.240000000000002</v>
      </c>
      <c r="E855">
        <f t="shared" ca="1" si="176"/>
        <v>0</v>
      </c>
      <c r="F855">
        <f t="shared" ref="F855:F918" ca="1" si="178">((F854*13)+D855)/14</f>
        <v>0.38359055383591162</v>
      </c>
      <c r="G855">
        <f t="shared" ref="G855:G918" ca="1" si="179">((G854*13)+E855)/14</f>
        <v>0.110953538569855</v>
      </c>
      <c r="H855">
        <f t="shared" ref="H855:H918" ca="1" si="180">AVERAGE(F855/G855)</f>
        <v>3.457217847940989</v>
      </c>
      <c r="I855">
        <f t="shared" ref="I855:I918" ca="1" si="181">IF(G855=0,100,100-(100/(1+H855)))</f>
        <v>77.564480038552517</v>
      </c>
      <c r="J855">
        <f t="shared" ca="1" si="170"/>
        <v>0</v>
      </c>
      <c r="K855">
        <f t="shared" ca="1" si="171"/>
        <v>0</v>
      </c>
      <c r="L855">
        <f t="shared" ca="1" si="177"/>
        <v>1</v>
      </c>
      <c r="M855" t="str">
        <f t="shared" ca="1" si="172"/>
        <v>na</v>
      </c>
      <c r="N855" vm="57">
        <f t="shared" ca="1" si="173"/>
        <v>44.13</v>
      </c>
    </row>
    <row r="856" spans="1:14" x14ac:dyDescent="0.2">
      <c r="A856" vm="1556">
        <f ca="1"/>
        <v>45490</v>
      </c>
      <c r="B856" vm="1557">
        <f ca="1"/>
        <v>43.98</v>
      </c>
      <c r="C856">
        <f t="shared" ca="1" si="174"/>
        <v>-0.15000000000000568</v>
      </c>
      <c r="D856">
        <f t="shared" ca="1" si="175"/>
        <v>0</v>
      </c>
      <c r="E856">
        <f t="shared" ca="1" si="176"/>
        <v>0.15000000000000568</v>
      </c>
      <c r="F856">
        <f t="shared" ca="1" si="178"/>
        <v>0.35619122856191793</v>
      </c>
      <c r="G856">
        <f t="shared" ca="1" si="179"/>
        <v>0.11374257152915147</v>
      </c>
      <c r="H856">
        <f t="shared" ca="1" si="180"/>
        <v>3.1315559668934374</v>
      </c>
      <c r="I856">
        <f t="shared" ca="1" si="181"/>
        <v>75.796043717836625</v>
      </c>
      <c r="J856">
        <f t="shared" ref="J856:J919" ca="1" si="182">IF(K856=1,1,IF(L856=1,0,IF(J855=1,1,0)))</f>
        <v>0</v>
      </c>
      <c r="K856">
        <f t="shared" ref="K856:K919" ca="1" si="183">IF(I856&lt;$B$3,1,0)</f>
        <v>0</v>
      </c>
      <c r="L856">
        <f t="shared" ca="1" si="177"/>
        <v>1</v>
      </c>
      <c r="M856" t="str">
        <f t="shared" ref="M856:M919" ca="1" si="184">IF(AND(K856=1,J855=0),B856,"na")</f>
        <v>na</v>
      </c>
      <c r="N856" t="str">
        <f t="shared" ref="N856:N919" ca="1" si="185">IF(AND(L856=1,J855=1),B856,"na")</f>
        <v>na</v>
      </c>
    </row>
    <row r="857" spans="1:14" x14ac:dyDescent="0.2">
      <c r="A857" vm="1558">
        <f ca="1"/>
        <v>45491</v>
      </c>
      <c r="B857" vm="1559">
        <f ca="1"/>
        <v>43.01</v>
      </c>
      <c r="C857">
        <f t="shared" ca="1" si="174"/>
        <v>-0.96999999999999886</v>
      </c>
      <c r="D857">
        <f t="shared" ca="1" si="175"/>
        <v>0</v>
      </c>
      <c r="E857">
        <f t="shared" ca="1" si="176"/>
        <v>0.96999999999999886</v>
      </c>
      <c r="F857">
        <f t="shared" ca="1" si="178"/>
        <v>0.33074899795035234</v>
      </c>
      <c r="G857">
        <f t="shared" ca="1" si="179"/>
        <v>0.17490381641992631</v>
      </c>
      <c r="H857">
        <f t="shared" ca="1" si="180"/>
        <v>1.8910336247681272</v>
      </c>
      <c r="I857">
        <f t="shared" ca="1" si="181"/>
        <v>65.410295078107083</v>
      </c>
      <c r="J857">
        <f t="shared" ca="1" si="182"/>
        <v>0</v>
      </c>
      <c r="K857">
        <f t="shared" ca="1" si="183"/>
        <v>0</v>
      </c>
      <c r="L857">
        <f t="shared" ca="1" si="177"/>
        <v>0</v>
      </c>
      <c r="M857" t="str">
        <f t="shared" ca="1" si="184"/>
        <v>na</v>
      </c>
      <c r="N857" t="str">
        <f t="shared" ca="1" si="185"/>
        <v>na</v>
      </c>
    </row>
    <row r="858" spans="1:14" x14ac:dyDescent="0.2">
      <c r="A858" vm="1560">
        <f ca="1"/>
        <v>45492</v>
      </c>
      <c r="B858" vm="523">
        <f ca="1"/>
        <v>42.9</v>
      </c>
      <c r="C858">
        <f t="shared" ca="1" si="174"/>
        <v>-0.10999999999999943</v>
      </c>
      <c r="D858">
        <f t="shared" ca="1" si="175"/>
        <v>0</v>
      </c>
      <c r="E858">
        <f t="shared" ca="1" si="176"/>
        <v>0.10999999999999943</v>
      </c>
      <c r="F858">
        <f t="shared" ca="1" si="178"/>
        <v>0.30712406952532717</v>
      </c>
      <c r="G858">
        <f t="shared" ca="1" si="179"/>
        <v>0.17026782953278866</v>
      </c>
      <c r="H858">
        <f t="shared" ca="1" si="180"/>
        <v>1.8037703914360637</v>
      </c>
      <c r="I858">
        <f t="shared" ca="1" si="181"/>
        <v>64.333741341500868</v>
      </c>
      <c r="J858">
        <f t="shared" ca="1" si="182"/>
        <v>0</v>
      </c>
      <c r="K858">
        <f t="shared" ca="1" si="183"/>
        <v>0</v>
      </c>
      <c r="L858">
        <f t="shared" ca="1" si="177"/>
        <v>0</v>
      </c>
      <c r="M858" t="str">
        <f t="shared" ca="1" si="184"/>
        <v>na</v>
      </c>
      <c r="N858" t="str">
        <f t="shared" ca="1" si="185"/>
        <v>na</v>
      </c>
    </row>
    <row r="859" spans="1:14" x14ac:dyDescent="0.2">
      <c r="A859" vm="1561">
        <f ca="1"/>
        <v>45495</v>
      </c>
      <c r="B859" vm="1562">
        <f ca="1"/>
        <v>42.3</v>
      </c>
      <c r="C859">
        <f t="shared" ca="1" si="174"/>
        <v>-0.60000000000000142</v>
      </c>
      <c r="D859">
        <f t="shared" ca="1" si="175"/>
        <v>0</v>
      </c>
      <c r="E859">
        <f t="shared" ca="1" si="176"/>
        <v>0.60000000000000142</v>
      </c>
      <c r="F859">
        <f t="shared" ca="1" si="178"/>
        <v>0.2851866359878038</v>
      </c>
      <c r="G859">
        <f t="shared" ca="1" si="179"/>
        <v>0.20096298456616099</v>
      </c>
      <c r="H859">
        <f t="shared" ca="1" si="180"/>
        <v>1.4191003214022964</v>
      </c>
      <c r="I859">
        <f t="shared" ca="1" si="181"/>
        <v>58.662317922378541</v>
      </c>
      <c r="J859">
        <f t="shared" ca="1" si="182"/>
        <v>0</v>
      </c>
      <c r="K859">
        <f t="shared" ca="1" si="183"/>
        <v>0</v>
      </c>
      <c r="L859">
        <f t="shared" ca="1" si="177"/>
        <v>0</v>
      </c>
      <c r="M859" t="str">
        <f t="shared" ca="1" si="184"/>
        <v>na</v>
      </c>
      <c r="N859" t="str">
        <f t="shared" ca="1" si="185"/>
        <v>na</v>
      </c>
    </row>
    <row r="860" spans="1:14" x14ac:dyDescent="0.2">
      <c r="A860" vm="1563">
        <f ca="1"/>
        <v>45496</v>
      </c>
      <c r="B860" vm="1564">
        <f ca="1"/>
        <v>42.41</v>
      </c>
      <c r="C860">
        <f t="shared" ca="1" si="174"/>
        <v>0.10999999999999943</v>
      </c>
      <c r="D860">
        <f t="shared" ca="1" si="175"/>
        <v>0.10999999999999943</v>
      </c>
      <c r="E860">
        <f t="shared" ca="1" si="176"/>
        <v>0</v>
      </c>
      <c r="F860">
        <f t="shared" ca="1" si="178"/>
        <v>0.27267330484581775</v>
      </c>
      <c r="G860">
        <f t="shared" ca="1" si="179"/>
        <v>0.18660848566857807</v>
      </c>
      <c r="H860">
        <f t="shared" ca="1" si="180"/>
        <v>1.461205281575958</v>
      </c>
      <c r="I860">
        <f t="shared" ca="1" si="181"/>
        <v>59.369500484751093</v>
      </c>
      <c r="J860">
        <f t="shared" ca="1" si="182"/>
        <v>0</v>
      </c>
      <c r="K860">
        <f t="shared" ca="1" si="183"/>
        <v>0</v>
      </c>
      <c r="L860">
        <f t="shared" ca="1" si="177"/>
        <v>0</v>
      </c>
      <c r="M860" t="str">
        <f t="shared" ca="1" si="184"/>
        <v>na</v>
      </c>
      <c r="N860" t="str">
        <f t="shared" ca="1" si="185"/>
        <v>na</v>
      </c>
    </row>
    <row r="861" spans="1:14" x14ac:dyDescent="0.2">
      <c r="A861" vm="1565">
        <f ca="1"/>
        <v>45497</v>
      </c>
      <c r="B861" vm="1566">
        <f ca="1"/>
        <v>42.19</v>
      </c>
      <c r="C861">
        <f t="shared" ca="1" si="174"/>
        <v>-0.21999999999999886</v>
      </c>
      <c r="D861">
        <f t="shared" ca="1" si="175"/>
        <v>0</v>
      </c>
      <c r="E861">
        <f t="shared" ca="1" si="176"/>
        <v>0.21999999999999886</v>
      </c>
      <c r="F861">
        <f t="shared" ca="1" si="178"/>
        <v>0.25319664021397364</v>
      </c>
      <c r="G861">
        <f t="shared" ca="1" si="179"/>
        <v>0.18899359383510814</v>
      </c>
      <c r="H861">
        <f t="shared" ca="1" si="180"/>
        <v>1.3397101725833149</v>
      </c>
      <c r="I861">
        <f t="shared" ca="1" si="181"/>
        <v>57.259663537903819</v>
      </c>
      <c r="J861">
        <f t="shared" ca="1" si="182"/>
        <v>0</v>
      </c>
      <c r="K861">
        <f t="shared" ca="1" si="183"/>
        <v>0</v>
      </c>
      <c r="L861">
        <f t="shared" ca="1" si="177"/>
        <v>0</v>
      </c>
      <c r="M861" t="str">
        <f t="shared" ca="1" si="184"/>
        <v>na</v>
      </c>
      <c r="N861" t="str">
        <f t="shared" ca="1" si="185"/>
        <v>na</v>
      </c>
    </row>
    <row r="862" spans="1:14" x14ac:dyDescent="0.2">
      <c r="A862" vm="1567">
        <f ca="1"/>
        <v>45498</v>
      </c>
      <c r="B862" vm="1568">
        <f ca="1"/>
        <v>41.68</v>
      </c>
      <c r="C862">
        <f t="shared" ca="1" si="174"/>
        <v>-0.50999999999999801</v>
      </c>
      <c r="D862">
        <f t="shared" ca="1" si="175"/>
        <v>0</v>
      </c>
      <c r="E862">
        <f t="shared" ca="1" si="176"/>
        <v>0.50999999999999801</v>
      </c>
      <c r="F862">
        <f t="shared" ca="1" si="178"/>
        <v>0.23511116591297551</v>
      </c>
      <c r="G862">
        <f t="shared" ca="1" si="179"/>
        <v>0.21192262284688598</v>
      </c>
      <c r="H862">
        <f t="shared" ca="1" si="180"/>
        <v>1.1094198569014655</v>
      </c>
      <c r="I862">
        <f t="shared" ca="1" si="181"/>
        <v>52.593600713093515</v>
      </c>
      <c r="J862">
        <f t="shared" ca="1" si="182"/>
        <v>0</v>
      </c>
      <c r="K862">
        <f t="shared" ca="1" si="183"/>
        <v>0</v>
      </c>
      <c r="L862">
        <f t="shared" ca="1" si="177"/>
        <v>0</v>
      </c>
      <c r="M862" t="str">
        <f t="shared" ca="1" si="184"/>
        <v>na</v>
      </c>
      <c r="N862" t="str">
        <f t="shared" ca="1" si="185"/>
        <v>na</v>
      </c>
    </row>
    <row r="863" spans="1:14" x14ac:dyDescent="0.2">
      <c r="A863" vm="1569">
        <f ca="1"/>
        <v>45499</v>
      </c>
      <c r="B863" vm="1570">
        <f ca="1"/>
        <v>41.67</v>
      </c>
      <c r="C863">
        <f t="shared" ca="1" si="174"/>
        <v>-9.9999999999980105E-3</v>
      </c>
      <c r="D863">
        <f t="shared" ca="1" si="175"/>
        <v>0</v>
      </c>
      <c r="E863">
        <f t="shared" ca="1" si="176"/>
        <v>9.9999999999980105E-3</v>
      </c>
      <c r="F863">
        <f t="shared" ca="1" si="178"/>
        <v>0.21831751120490583</v>
      </c>
      <c r="G863">
        <f t="shared" ca="1" si="179"/>
        <v>0.19749957835782256</v>
      </c>
      <c r="H863">
        <f t="shared" ca="1" si="180"/>
        <v>1.105407479956064</v>
      </c>
      <c r="I863">
        <f t="shared" ca="1" si="181"/>
        <v>52.50325604329722</v>
      </c>
      <c r="J863">
        <f t="shared" ca="1" si="182"/>
        <v>0</v>
      </c>
      <c r="K863">
        <f t="shared" ca="1" si="183"/>
        <v>0</v>
      </c>
      <c r="L863">
        <f t="shared" ca="1" si="177"/>
        <v>0</v>
      </c>
      <c r="M863" t="str">
        <f t="shared" ca="1" si="184"/>
        <v>na</v>
      </c>
      <c r="N863" t="str">
        <f t="shared" ca="1" si="185"/>
        <v>na</v>
      </c>
    </row>
    <row r="864" spans="1:14" x14ac:dyDescent="0.2">
      <c r="A864" vm="1571">
        <f ca="1"/>
        <v>45502</v>
      </c>
      <c r="B864" vm="243">
        <f ca="1"/>
        <v>41.09</v>
      </c>
      <c r="C864">
        <f t="shared" ca="1" si="174"/>
        <v>-0.57999999999999829</v>
      </c>
      <c r="D864">
        <f t="shared" ca="1" si="175"/>
        <v>0</v>
      </c>
      <c r="E864">
        <f t="shared" ca="1" si="176"/>
        <v>0.57999999999999829</v>
      </c>
      <c r="F864">
        <f t="shared" ca="1" si="178"/>
        <v>0.20272340326169827</v>
      </c>
      <c r="G864">
        <f t="shared" ca="1" si="179"/>
        <v>0.22482103704654938</v>
      </c>
      <c r="H864">
        <f t="shared" ca="1" si="180"/>
        <v>0.90171011540936996</v>
      </c>
      <c r="I864">
        <f t="shared" ca="1" si="181"/>
        <v>47.415750071627727</v>
      </c>
      <c r="J864">
        <f t="shared" ca="1" si="182"/>
        <v>0</v>
      </c>
      <c r="K864">
        <f t="shared" ca="1" si="183"/>
        <v>0</v>
      </c>
      <c r="L864">
        <f t="shared" ca="1" si="177"/>
        <v>0</v>
      </c>
      <c r="M864" t="str">
        <f t="shared" ca="1" si="184"/>
        <v>na</v>
      </c>
      <c r="N864" t="str">
        <f t="shared" ca="1" si="185"/>
        <v>na</v>
      </c>
    </row>
    <row r="865" spans="1:14" x14ac:dyDescent="0.2">
      <c r="A865" vm="1572">
        <f ca="1"/>
        <v>45503</v>
      </c>
      <c r="B865" vm="1573">
        <f ca="1"/>
        <v>41.28</v>
      </c>
      <c r="C865">
        <f t="shared" ca="1" si="174"/>
        <v>0.18999999999999773</v>
      </c>
      <c r="D865">
        <f t="shared" ca="1" si="175"/>
        <v>0.18999999999999773</v>
      </c>
      <c r="E865">
        <f t="shared" ca="1" si="176"/>
        <v>0</v>
      </c>
      <c r="F865">
        <f t="shared" ca="1" si="178"/>
        <v>0.20181458874300537</v>
      </c>
      <c r="G865">
        <f t="shared" ca="1" si="179"/>
        <v>0.20876239154322443</v>
      </c>
      <c r="H865">
        <f t="shared" ca="1" si="180"/>
        <v>0.96671908791205574</v>
      </c>
      <c r="I865">
        <f t="shared" ca="1" si="181"/>
        <v>49.153897669156287</v>
      </c>
      <c r="J865">
        <f t="shared" ca="1" si="182"/>
        <v>0</v>
      </c>
      <c r="K865">
        <f t="shared" ca="1" si="183"/>
        <v>0</v>
      </c>
      <c r="L865">
        <f t="shared" ca="1" si="177"/>
        <v>0</v>
      </c>
      <c r="M865" t="str">
        <f t="shared" ca="1" si="184"/>
        <v>na</v>
      </c>
      <c r="N865" t="str">
        <f t="shared" ca="1" si="185"/>
        <v>na</v>
      </c>
    </row>
    <row r="866" spans="1:14" x14ac:dyDescent="0.2">
      <c r="A866" vm="1574">
        <f ca="1"/>
        <v>45504</v>
      </c>
      <c r="B866" vm="1575">
        <f ca="1"/>
        <v>40.31</v>
      </c>
      <c r="C866">
        <f t="shared" ca="1" si="174"/>
        <v>-0.96999999999999886</v>
      </c>
      <c r="D866">
        <f t="shared" ca="1" si="175"/>
        <v>0</v>
      </c>
      <c r="E866">
        <f t="shared" ca="1" si="176"/>
        <v>0.96999999999999886</v>
      </c>
      <c r="F866">
        <f t="shared" ca="1" si="178"/>
        <v>0.18739926097564785</v>
      </c>
      <c r="G866">
        <f t="shared" ca="1" si="179"/>
        <v>0.26313650643299402</v>
      </c>
      <c r="H866">
        <f t="shared" ca="1" si="180"/>
        <v>0.71217507413160031</v>
      </c>
      <c r="I866">
        <f t="shared" ca="1" si="181"/>
        <v>41.594757737774508</v>
      </c>
      <c r="J866">
        <f t="shared" ca="1" si="182"/>
        <v>0</v>
      </c>
      <c r="K866">
        <f t="shared" ca="1" si="183"/>
        <v>0</v>
      </c>
      <c r="L866">
        <f t="shared" ca="1" si="177"/>
        <v>0</v>
      </c>
      <c r="M866" t="str">
        <f t="shared" ca="1" si="184"/>
        <v>na</v>
      </c>
      <c r="N866" t="str">
        <f t="shared" ca="1" si="185"/>
        <v>na</v>
      </c>
    </row>
    <row r="867" spans="1:14" x14ac:dyDescent="0.2">
      <c r="A867" vm="1576">
        <f ca="1"/>
        <v>45505</v>
      </c>
      <c r="B867" vm="60">
        <f ca="1"/>
        <v>39.5</v>
      </c>
      <c r="C867">
        <f t="shared" ca="1" si="174"/>
        <v>-0.81000000000000227</v>
      </c>
      <c r="D867">
        <f t="shared" ca="1" si="175"/>
        <v>0</v>
      </c>
      <c r="E867">
        <f t="shared" ca="1" si="176"/>
        <v>0.81000000000000227</v>
      </c>
      <c r="F867">
        <f t="shared" ca="1" si="178"/>
        <v>0.17401359947738729</v>
      </c>
      <c r="G867">
        <f t="shared" ca="1" si="179"/>
        <v>0.3021981845449232</v>
      </c>
      <c r="H867">
        <f t="shared" ca="1" si="180"/>
        <v>0.57582609154132536</v>
      </c>
      <c r="I867">
        <f t="shared" ca="1" si="181"/>
        <v>36.541220800456877</v>
      </c>
      <c r="J867">
        <f t="shared" ca="1" si="182"/>
        <v>1</v>
      </c>
      <c r="K867">
        <f t="shared" ca="1" si="183"/>
        <v>1</v>
      </c>
      <c r="L867">
        <f t="shared" ca="1" si="177"/>
        <v>0</v>
      </c>
      <c r="M867" vm="60">
        <f t="shared" ca="1" si="184"/>
        <v>39.5</v>
      </c>
      <c r="N867" t="str">
        <f t="shared" ca="1" si="185"/>
        <v>na</v>
      </c>
    </row>
    <row r="868" spans="1:14" x14ac:dyDescent="0.2">
      <c r="A868" vm="1577">
        <f ca="1"/>
        <v>45506</v>
      </c>
      <c r="B868" vm="1578">
        <f ca="1"/>
        <v>37.58</v>
      </c>
      <c r="C868">
        <f t="shared" ca="1" si="174"/>
        <v>-1.9200000000000017</v>
      </c>
      <c r="D868">
        <f t="shared" ca="1" si="175"/>
        <v>0</v>
      </c>
      <c r="E868">
        <f t="shared" ca="1" si="176"/>
        <v>1.9200000000000017</v>
      </c>
      <c r="F868">
        <f t="shared" ca="1" si="178"/>
        <v>0.16158405665757392</v>
      </c>
      <c r="G868">
        <f t="shared" ca="1" si="179"/>
        <v>0.41775545707742878</v>
      </c>
      <c r="H868">
        <f t="shared" ca="1" si="180"/>
        <v>0.38679101354653317</v>
      </c>
      <c r="I868">
        <f t="shared" ca="1" si="181"/>
        <v>27.891081624286471</v>
      </c>
      <c r="J868">
        <f t="shared" ca="1" si="182"/>
        <v>1</v>
      </c>
      <c r="K868">
        <f t="shared" ca="1" si="183"/>
        <v>1</v>
      </c>
      <c r="L868">
        <f t="shared" ca="1" si="177"/>
        <v>0</v>
      </c>
      <c r="M868" t="str">
        <f t="shared" ca="1" si="184"/>
        <v>na</v>
      </c>
      <c r="N868" t="str">
        <f t="shared" ca="1" si="185"/>
        <v>na</v>
      </c>
    </row>
    <row r="869" spans="1:14" x14ac:dyDescent="0.2">
      <c r="A869" vm="1579">
        <f ca="1"/>
        <v>45509</v>
      </c>
      <c r="B869" vm="1447">
        <f ca="1"/>
        <v>36.65</v>
      </c>
      <c r="C869">
        <f t="shared" ca="1" si="174"/>
        <v>-0.92999999999999972</v>
      </c>
      <c r="D869">
        <f t="shared" ca="1" si="175"/>
        <v>0</v>
      </c>
      <c r="E869">
        <f t="shared" ca="1" si="176"/>
        <v>0.92999999999999972</v>
      </c>
      <c r="F869">
        <f t="shared" ca="1" si="178"/>
        <v>0.15004233832489008</v>
      </c>
      <c r="G869">
        <f t="shared" ca="1" si="179"/>
        <v>0.45434435300046955</v>
      </c>
      <c r="H869">
        <f t="shared" ca="1" si="180"/>
        <v>0.33023924988616515</v>
      </c>
      <c r="I869">
        <f t="shared" ca="1" si="181"/>
        <v>24.825552990894337</v>
      </c>
      <c r="J869">
        <f t="shared" ca="1" si="182"/>
        <v>1</v>
      </c>
      <c r="K869">
        <f t="shared" ca="1" si="183"/>
        <v>1</v>
      </c>
      <c r="L869">
        <f t="shared" ca="1" si="177"/>
        <v>0</v>
      </c>
      <c r="M869" t="str">
        <f t="shared" ca="1" si="184"/>
        <v>na</v>
      </c>
      <c r="N869" t="str">
        <f t="shared" ca="1" si="185"/>
        <v>na</v>
      </c>
    </row>
    <row r="870" spans="1:14" x14ac:dyDescent="0.2">
      <c r="A870" vm="1580">
        <f ca="1"/>
        <v>45510</v>
      </c>
      <c r="B870" vm="1440">
        <f ca="1"/>
        <v>36.92</v>
      </c>
      <c r="C870">
        <f t="shared" ca="1" si="174"/>
        <v>0.27000000000000313</v>
      </c>
      <c r="D870">
        <f t="shared" ca="1" si="175"/>
        <v>0.27000000000000313</v>
      </c>
      <c r="E870">
        <f t="shared" ca="1" si="176"/>
        <v>0</v>
      </c>
      <c r="F870">
        <f t="shared" ca="1" si="178"/>
        <v>0.1586107427302553</v>
      </c>
      <c r="G870">
        <f t="shared" ca="1" si="179"/>
        <v>0.4218911849290074</v>
      </c>
      <c r="H870">
        <f t="shared" ca="1" si="180"/>
        <v>0.37595178187225003</v>
      </c>
      <c r="I870">
        <f t="shared" ca="1" si="181"/>
        <v>27.32303463139489</v>
      </c>
      <c r="J870">
        <f t="shared" ca="1" si="182"/>
        <v>1</v>
      </c>
      <c r="K870">
        <f t="shared" ca="1" si="183"/>
        <v>1</v>
      </c>
      <c r="L870">
        <f t="shared" ca="1" si="177"/>
        <v>0</v>
      </c>
      <c r="M870" t="str">
        <f t="shared" ca="1" si="184"/>
        <v>na</v>
      </c>
      <c r="N870" t="str">
        <f t="shared" ca="1" si="185"/>
        <v>na</v>
      </c>
    </row>
    <row r="871" spans="1:14" x14ac:dyDescent="0.2">
      <c r="A871" vm="1581">
        <f ca="1"/>
        <v>45511</v>
      </c>
      <c r="B871" vm="1436">
        <f ca="1"/>
        <v>37.299999999999997</v>
      </c>
      <c r="C871">
        <f t="shared" ca="1" si="174"/>
        <v>0.37999999999999545</v>
      </c>
      <c r="D871">
        <f t="shared" ca="1" si="175"/>
        <v>0.37999999999999545</v>
      </c>
      <c r="E871">
        <f t="shared" ca="1" si="176"/>
        <v>0</v>
      </c>
      <c r="F871">
        <f t="shared" ca="1" si="178"/>
        <v>0.17442426110666531</v>
      </c>
      <c r="G871">
        <f t="shared" ca="1" si="179"/>
        <v>0.39175610029122115</v>
      </c>
      <c r="H871">
        <f t="shared" ca="1" si="180"/>
        <v>0.445236873087625</v>
      </c>
      <c r="I871">
        <f t="shared" ca="1" si="181"/>
        <v>30.807190252239721</v>
      </c>
      <c r="J871">
        <f t="shared" ca="1" si="182"/>
        <v>1</v>
      </c>
      <c r="K871">
        <f t="shared" ca="1" si="183"/>
        <v>1</v>
      </c>
      <c r="L871">
        <f t="shared" ca="1" si="177"/>
        <v>0</v>
      </c>
      <c r="M871" t="str">
        <f t="shared" ca="1" si="184"/>
        <v>na</v>
      </c>
      <c r="N871" t="str">
        <f t="shared" ca="1" si="185"/>
        <v>na</v>
      </c>
    </row>
    <row r="872" spans="1:14" x14ac:dyDescent="0.2">
      <c r="A872" vm="1582">
        <f ca="1"/>
        <v>45512</v>
      </c>
      <c r="B872" vm="1487">
        <f ca="1"/>
        <v>38.21</v>
      </c>
      <c r="C872">
        <f t="shared" ca="1" si="174"/>
        <v>0.91000000000000369</v>
      </c>
      <c r="D872">
        <f t="shared" ca="1" si="175"/>
        <v>0.91000000000000369</v>
      </c>
      <c r="E872">
        <f t="shared" ca="1" si="176"/>
        <v>0</v>
      </c>
      <c r="F872">
        <f t="shared" ca="1" si="178"/>
        <v>0.22696538531333235</v>
      </c>
      <c r="G872">
        <f t="shared" ca="1" si="179"/>
        <v>0.36377352169899108</v>
      </c>
      <c r="H872">
        <f t="shared" ca="1" si="180"/>
        <v>0.62391947674833159</v>
      </c>
      <c r="I872">
        <f t="shared" ca="1" si="181"/>
        <v>38.420592010980855</v>
      </c>
      <c r="J872">
        <f t="shared" ca="1" si="182"/>
        <v>1</v>
      </c>
      <c r="K872">
        <f t="shared" ca="1" si="183"/>
        <v>1</v>
      </c>
      <c r="L872">
        <f t="shared" ca="1" si="177"/>
        <v>0</v>
      </c>
      <c r="M872" t="str">
        <f t="shared" ca="1" si="184"/>
        <v>na</v>
      </c>
      <c r="N872" t="str">
        <f t="shared" ca="1" si="185"/>
        <v>na</v>
      </c>
    </row>
    <row r="873" spans="1:14" x14ac:dyDescent="0.2">
      <c r="A873" vm="1583">
        <f ca="1"/>
        <v>45513</v>
      </c>
      <c r="B873" vm="1483">
        <f ca="1"/>
        <v>38.28</v>
      </c>
      <c r="C873">
        <f t="shared" ca="1" si="174"/>
        <v>7.0000000000000284E-2</v>
      </c>
      <c r="D873">
        <f t="shared" ca="1" si="175"/>
        <v>7.0000000000000284E-2</v>
      </c>
      <c r="E873">
        <f t="shared" ca="1" si="176"/>
        <v>0</v>
      </c>
      <c r="F873">
        <f t="shared" ca="1" si="178"/>
        <v>0.21575357207666576</v>
      </c>
      <c r="G873">
        <f t="shared" ca="1" si="179"/>
        <v>0.33778969872049169</v>
      </c>
      <c r="H873">
        <f t="shared" ca="1" si="180"/>
        <v>0.63872158592732498</v>
      </c>
      <c r="I873">
        <f t="shared" ca="1" si="181"/>
        <v>38.9768214083714</v>
      </c>
      <c r="J873">
        <f t="shared" ca="1" si="182"/>
        <v>1</v>
      </c>
      <c r="K873">
        <f t="shared" ca="1" si="183"/>
        <v>1</v>
      </c>
      <c r="L873">
        <f t="shared" ca="1" si="177"/>
        <v>0</v>
      </c>
      <c r="M873" t="str">
        <f t="shared" ca="1" si="184"/>
        <v>na</v>
      </c>
      <c r="N873" t="str">
        <f t="shared" ca="1" si="185"/>
        <v>na</v>
      </c>
    </row>
    <row r="874" spans="1:14" x14ac:dyDescent="0.2">
      <c r="A874" vm="1584">
        <f ca="1"/>
        <v>45516</v>
      </c>
      <c r="B874" vm="1585">
        <f ca="1"/>
        <v>38.17</v>
      </c>
      <c r="C874">
        <f t="shared" ca="1" si="174"/>
        <v>-0.10999999999999943</v>
      </c>
      <c r="D874">
        <f t="shared" ca="1" si="175"/>
        <v>0</v>
      </c>
      <c r="E874">
        <f t="shared" ca="1" si="176"/>
        <v>0.10999999999999943</v>
      </c>
      <c r="F874">
        <f t="shared" ca="1" si="178"/>
        <v>0.20034260264261822</v>
      </c>
      <c r="G874">
        <f t="shared" ca="1" si="179"/>
        <v>0.32151900595474225</v>
      </c>
      <c r="H874">
        <f t="shared" ca="1" si="180"/>
        <v>0.6231127831703327</v>
      </c>
      <c r="I874">
        <f t="shared" ca="1" si="181"/>
        <v>38.389986797666786</v>
      </c>
      <c r="J874">
        <f t="shared" ca="1" si="182"/>
        <v>1</v>
      </c>
      <c r="K874">
        <f t="shared" ca="1" si="183"/>
        <v>1</v>
      </c>
      <c r="L874">
        <f t="shared" ca="1" si="177"/>
        <v>0</v>
      </c>
      <c r="M874" t="str">
        <f t="shared" ca="1" si="184"/>
        <v>na</v>
      </c>
      <c r="N874" t="str">
        <f t="shared" ca="1" si="185"/>
        <v>na</v>
      </c>
    </row>
    <row r="875" spans="1:14" x14ac:dyDescent="0.2">
      <c r="A875" vm="1586">
        <f ca="1"/>
        <v>45517</v>
      </c>
      <c r="B875" vm="210">
        <f ca="1"/>
        <v>38.46</v>
      </c>
      <c r="C875">
        <f t="shared" ca="1" si="174"/>
        <v>0.28999999999999915</v>
      </c>
      <c r="D875">
        <f t="shared" ca="1" si="175"/>
        <v>0.28999999999999915</v>
      </c>
      <c r="E875">
        <f t="shared" ca="1" si="176"/>
        <v>0</v>
      </c>
      <c r="F875">
        <f t="shared" ca="1" si="178"/>
        <v>0.2067467024538597</v>
      </c>
      <c r="G875">
        <f t="shared" ca="1" si="179"/>
        <v>0.29855336267226068</v>
      </c>
      <c r="H875">
        <f t="shared" ca="1" si="180"/>
        <v>0.69249497176428565</v>
      </c>
      <c r="I875">
        <f t="shared" ca="1" si="181"/>
        <v>40.915629488837837</v>
      </c>
      <c r="J875">
        <f t="shared" ca="1" si="182"/>
        <v>1</v>
      </c>
      <c r="K875">
        <f t="shared" ca="1" si="183"/>
        <v>0</v>
      </c>
      <c r="L875">
        <f t="shared" ca="1" si="177"/>
        <v>0</v>
      </c>
      <c r="M875" t="str">
        <f t="shared" ca="1" si="184"/>
        <v>na</v>
      </c>
      <c r="N875" t="str">
        <f t="shared" ca="1" si="185"/>
        <v>na</v>
      </c>
    </row>
    <row r="876" spans="1:14" x14ac:dyDescent="0.2">
      <c r="A876" vm="1587">
        <f ca="1"/>
        <v>45518</v>
      </c>
      <c r="B876" vm="1588">
        <f ca="1"/>
        <v>38.81</v>
      </c>
      <c r="C876">
        <f t="shared" ca="1" si="174"/>
        <v>0.35000000000000142</v>
      </c>
      <c r="D876">
        <f t="shared" ca="1" si="175"/>
        <v>0.35000000000000142</v>
      </c>
      <c r="E876">
        <f t="shared" ca="1" si="176"/>
        <v>0</v>
      </c>
      <c r="F876">
        <f t="shared" ca="1" si="178"/>
        <v>0.21697908085001269</v>
      </c>
      <c r="G876">
        <f t="shared" ca="1" si="179"/>
        <v>0.2772281224813849</v>
      </c>
      <c r="H876">
        <f t="shared" ca="1" si="180"/>
        <v>0.78267341317287253</v>
      </c>
      <c r="I876">
        <f t="shared" ca="1" si="181"/>
        <v>43.904475569635579</v>
      </c>
      <c r="J876">
        <f t="shared" ca="1" si="182"/>
        <v>1</v>
      </c>
      <c r="K876">
        <f t="shared" ca="1" si="183"/>
        <v>0</v>
      </c>
      <c r="L876">
        <f t="shared" ca="1" si="177"/>
        <v>0</v>
      </c>
      <c r="M876" t="str">
        <f t="shared" ca="1" si="184"/>
        <v>na</v>
      </c>
      <c r="N876" t="str">
        <f t="shared" ca="1" si="185"/>
        <v>na</v>
      </c>
    </row>
    <row r="877" spans="1:14" x14ac:dyDescent="0.2">
      <c r="A877" vm="1589">
        <f ca="1"/>
        <v>45519</v>
      </c>
      <c r="B877" vm="1590">
        <f ca="1"/>
        <v>39.03</v>
      </c>
      <c r="C877">
        <f t="shared" ca="1" si="174"/>
        <v>0.21999999999999886</v>
      </c>
      <c r="D877">
        <f t="shared" ca="1" si="175"/>
        <v>0.21999999999999886</v>
      </c>
      <c r="E877">
        <f t="shared" ca="1" si="176"/>
        <v>0</v>
      </c>
      <c r="F877">
        <f t="shared" ca="1" si="178"/>
        <v>0.21719486078929742</v>
      </c>
      <c r="G877">
        <f t="shared" ca="1" si="179"/>
        <v>0.25742611373271457</v>
      </c>
      <c r="H877">
        <f t="shared" ca="1" si="180"/>
        <v>0.84371728120330003</v>
      </c>
      <c r="I877">
        <f t="shared" ca="1" si="181"/>
        <v>45.761749363907292</v>
      </c>
      <c r="J877">
        <f t="shared" ca="1" si="182"/>
        <v>1</v>
      </c>
      <c r="K877">
        <f t="shared" ca="1" si="183"/>
        <v>0</v>
      </c>
      <c r="L877">
        <f t="shared" ca="1" si="177"/>
        <v>0</v>
      </c>
      <c r="M877" t="str">
        <f t="shared" ca="1" si="184"/>
        <v>na</v>
      </c>
      <c r="N877" t="str">
        <f t="shared" ca="1" si="185"/>
        <v>na</v>
      </c>
    </row>
    <row r="878" spans="1:14" x14ac:dyDescent="0.2">
      <c r="A878" vm="1591">
        <f ca="1"/>
        <v>45520</v>
      </c>
      <c r="B878" vm="1592">
        <f ca="1"/>
        <v>39.340000000000003</v>
      </c>
      <c r="C878">
        <f t="shared" ca="1" si="174"/>
        <v>0.31000000000000227</v>
      </c>
      <c r="D878">
        <f t="shared" ca="1" si="175"/>
        <v>0.31000000000000227</v>
      </c>
      <c r="E878">
        <f t="shared" ca="1" si="176"/>
        <v>0</v>
      </c>
      <c r="F878">
        <f t="shared" ca="1" si="178"/>
        <v>0.22382379930434776</v>
      </c>
      <c r="G878">
        <f t="shared" ca="1" si="179"/>
        <v>0.23903853418037782</v>
      </c>
      <c r="H878">
        <f t="shared" ca="1" si="180"/>
        <v>0.93635028373898466</v>
      </c>
      <c r="I878">
        <f t="shared" ca="1" si="181"/>
        <v>48.356451392200817</v>
      </c>
      <c r="J878">
        <f t="shared" ca="1" si="182"/>
        <v>1</v>
      </c>
      <c r="K878">
        <f t="shared" ca="1" si="183"/>
        <v>0</v>
      </c>
      <c r="L878">
        <f t="shared" ca="1" si="177"/>
        <v>0</v>
      </c>
      <c r="M878" t="str">
        <f t="shared" ca="1" si="184"/>
        <v>na</v>
      </c>
      <c r="N878" t="str">
        <f t="shared" ca="1" si="185"/>
        <v>na</v>
      </c>
    </row>
    <row r="879" spans="1:14" x14ac:dyDescent="0.2">
      <c r="A879" vm="1593">
        <f ca="1"/>
        <v>45523</v>
      </c>
      <c r="B879" vm="549">
        <f ca="1"/>
        <v>39.67</v>
      </c>
      <c r="C879">
        <f t="shared" ca="1" si="174"/>
        <v>0.32999999999999829</v>
      </c>
      <c r="D879">
        <f t="shared" ca="1" si="175"/>
        <v>0.32999999999999829</v>
      </c>
      <c r="E879">
        <f t="shared" ca="1" si="176"/>
        <v>0</v>
      </c>
      <c r="F879">
        <f t="shared" ca="1" si="178"/>
        <v>0.23140781363975135</v>
      </c>
      <c r="G879">
        <f t="shared" ca="1" si="179"/>
        <v>0.22196435316749369</v>
      </c>
      <c r="H879">
        <f t="shared" ca="1" si="180"/>
        <v>1.0425449417327459</v>
      </c>
      <c r="I879">
        <f t="shared" ca="1" si="181"/>
        <v>51.041468925933493</v>
      </c>
      <c r="J879">
        <f t="shared" ca="1" si="182"/>
        <v>1</v>
      </c>
      <c r="K879">
        <f t="shared" ca="1" si="183"/>
        <v>0</v>
      </c>
      <c r="L879">
        <f t="shared" ca="1" si="177"/>
        <v>0</v>
      </c>
      <c r="M879" t="str">
        <f t="shared" ca="1" si="184"/>
        <v>na</v>
      </c>
      <c r="N879" t="str">
        <f t="shared" ca="1" si="185"/>
        <v>na</v>
      </c>
    </row>
    <row r="880" spans="1:14" x14ac:dyDescent="0.2">
      <c r="A880" vm="1594">
        <f ca="1"/>
        <v>45524</v>
      </c>
      <c r="B880" vm="55">
        <f ca="1"/>
        <v>38.69</v>
      </c>
      <c r="C880">
        <f t="shared" ca="1" si="174"/>
        <v>-0.98000000000000398</v>
      </c>
      <c r="D880">
        <f t="shared" ca="1" si="175"/>
        <v>0</v>
      </c>
      <c r="E880">
        <f t="shared" ca="1" si="176"/>
        <v>0.98000000000000398</v>
      </c>
      <c r="F880">
        <f t="shared" ca="1" si="178"/>
        <v>0.21487868409405483</v>
      </c>
      <c r="G880">
        <f t="shared" ca="1" si="179"/>
        <v>0.276109756512673</v>
      </c>
      <c r="H880">
        <f t="shared" ca="1" si="180"/>
        <v>0.77823647671136253</v>
      </c>
      <c r="I880">
        <f t="shared" ca="1" si="181"/>
        <v>43.764509777159596</v>
      </c>
      <c r="J880">
        <f t="shared" ca="1" si="182"/>
        <v>1</v>
      </c>
      <c r="K880">
        <f t="shared" ca="1" si="183"/>
        <v>0</v>
      </c>
      <c r="L880">
        <f t="shared" ca="1" si="177"/>
        <v>0</v>
      </c>
      <c r="M880" t="str">
        <f t="shared" ca="1" si="184"/>
        <v>na</v>
      </c>
      <c r="N880" t="str">
        <f t="shared" ca="1" si="185"/>
        <v>na</v>
      </c>
    </row>
    <row r="881" spans="1:14" x14ac:dyDescent="0.2">
      <c r="A881" vm="1595">
        <f ca="1"/>
        <v>45525</v>
      </c>
      <c r="B881" vm="1596">
        <f ca="1"/>
        <v>38.75</v>
      </c>
      <c r="C881">
        <f t="shared" ca="1" si="174"/>
        <v>6.0000000000002274E-2</v>
      </c>
      <c r="D881">
        <f t="shared" ca="1" si="175"/>
        <v>6.0000000000002274E-2</v>
      </c>
      <c r="E881">
        <f t="shared" ca="1" si="176"/>
        <v>0</v>
      </c>
      <c r="F881">
        <f t="shared" ca="1" si="178"/>
        <v>0.20381592094447964</v>
      </c>
      <c r="G881">
        <f t="shared" ca="1" si="179"/>
        <v>0.25638763104748208</v>
      </c>
      <c r="H881">
        <f t="shared" ca="1" si="180"/>
        <v>0.794952237406233</v>
      </c>
      <c r="I881">
        <f t="shared" ca="1" si="181"/>
        <v>44.288211175745047</v>
      </c>
      <c r="J881">
        <f t="shared" ca="1" si="182"/>
        <v>1</v>
      </c>
      <c r="K881">
        <f t="shared" ca="1" si="183"/>
        <v>0</v>
      </c>
      <c r="L881">
        <f t="shared" ca="1" si="177"/>
        <v>0</v>
      </c>
      <c r="M881" t="str">
        <f t="shared" ca="1" si="184"/>
        <v>na</v>
      </c>
      <c r="N881" t="str">
        <f t="shared" ca="1" si="185"/>
        <v>na</v>
      </c>
    </row>
    <row r="882" spans="1:14" x14ac:dyDescent="0.2">
      <c r="A882" vm="1597">
        <f ca="1"/>
        <v>45526</v>
      </c>
      <c r="B882" vm="1521">
        <f ca="1"/>
        <v>39.24</v>
      </c>
      <c r="C882">
        <f t="shared" ca="1" si="174"/>
        <v>0.49000000000000199</v>
      </c>
      <c r="D882">
        <f t="shared" ca="1" si="175"/>
        <v>0.49000000000000199</v>
      </c>
      <c r="E882">
        <f t="shared" ca="1" si="176"/>
        <v>0</v>
      </c>
      <c r="F882">
        <f t="shared" ca="1" si="178"/>
        <v>0.22425764087701694</v>
      </c>
      <c r="G882">
        <f t="shared" ca="1" si="179"/>
        <v>0.23807422882980478</v>
      </c>
      <c r="H882">
        <f t="shared" ca="1" si="180"/>
        <v>0.94196520967137065</v>
      </c>
      <c r="I882">
        <f t="shared" ca="1" si="181"/>
        <v>48.505771626607817</v>
      </c>
      <c r="J882">
        <f t="shared" ca="1" si="182"/>
        <v>1</v>
      </c>
      <c r="K882">
        <f t="shared" ca="1" si="183"/>
        <v>0</v>
      </c>
      <c r="L882">
        <f t="shared" ca="1" si="177"/>
        <v>0</v>
      </c>
      <c r="M882" t="str">
        <f t="shared" ca="1" si="184"/>
        <v>na</v>
      </c>
      <c r="N882" t="str">
        <f t="shared" ca="1" si="185"/>
        <v>na</v>
      </c>
    </row>
    <row r="883" spans="1:14" x14ac:dyDescent="0.2">
      <c r="A883" vm="1598">
        <f ca="1"/>
        <v>45527</v>
      </c>
      <c r="B883" vm="1536">
        <f ca="1"/>
        <v>39.770000000000003</v>
      </c>
      <c r="C883">
        <f t="shared" ca="1" si="174"/>
        <v>0.53000000000000114</v>
      </c>
      <c r="D883">
        <f t="shared" ca="1" si="175"/>
        <v>0.53000000000000114</v>
      </c>
      <c r="E883">
        <f t="shared" ca="1" si="176"/>
        <v>0</v>
      </c>
      <c r="F883">
        <f t="shared" ca="1" si="178"/>
        <v>0.24609638081437296</v>
      </c>
      <c r="G883">
        <f t="shared" ca="1" si="179"/>
        <v>0.22106892677053303</v>
      </c>
      <c r="H883">
        <f t="shared" ca="1" si="180"/>
        <v>1.1132110894527396</v>
      </c>
      <c r="I883">
        <f t="shared" ca="1" si="181"/>
        <v>52.678650751403588</v>
      </c>
      <c r="J883">
        <f t="shared" ca="1" si="182"/>
        <v>1</v>
      </c>
      <c r="K883">
        <f t="shared" ca="1" si="183"/>
        <v>0</v>
      </c>
      <c r="L883">
        <f t="shared" ca="1" si="177"/>
        <v>0</v>
      </c>
      <c r="M883" t="str">
        <f t="shared" ca="1" si="184"/>
        <v>na</v>
      </c>
      <c r="N883" t="str">
        <f t="shared" ca="1" si="185"/>
        <v>na</v>
      </c>
    </row>
    <row r="884" spans="1:14" x14ac:dyDescent="0.2">
      <c r="A884" vm="1599">
        <f ca="1"/>
        <v>45530</v>
      </c>
      <c r="B884" vm="1600">
        <f ca="1"/>
        <v>39.92</v>
      </c>
      <c r="C884">
        <f t="shared" ca="1" si="174"/>
        <v>0.14999999999999858</v>
      </c>
      <c r="D884">
        <f t="shared" ca="1" si="175"/>
        <v>0.14999999999999858</v>
      </c>
      <c r="E884">
        <f t="shared" ca="1" si="176"/>
        <v>0</v>
      </c>
      <c r="F884">
        <f t="shared" ca="1" si="178"/>
        <v>0.23923235361334622</v>
      </c>
      <c r="G884">
        <f t="shared" ca="1" si="179"/>
        <v>0.20527828914406637</v>
      </c>
      <c r="H884">
        <f t="shared" ca="1" si="180"/>
        <v>1.1654050441030837</v>
      </c>
      <c r="I884">
        <f t="shared" ca="1" si="181"/>
        <v>53.819263388009581</v>
      </c>
      <c r="J884">
        <f t="shared" ca="1" si="182"/>
        <v>1</v>
      </c>
      <c r="K884">
        <f t="shared" ca="1" si="183"/>
        <v>0</v>
      </c>
      <c r="L884">
        <f t="shared" ca="1" si="177"/>
        <v>0</v>
      </c>
      <c r="M884" t="str">
        <f t="shared" ca="1" si="184"/>
        <v>na</v>
      </c>
      <c r="N884" t="str">
        <f t="shared" ca="1" si="185"/>
        <v>na</v>
      </c>
    </row>
    <row r="885" spans="1:14" x14ac:dyDescent="0.2">
      <c r="A885" vm="1601">
        <f ca="1"/>
        <v>45531</v>
      </c>
      <c r="B885" vm="549">
        <f ca="1"/>
        <v>39.67</v>
      </c>
      <c r="C885">
        <f t="shared" ca="1" si="174"/>
        <v>-0.25</v>
      </c>
      <c r="D885">
        <f t="shared" ca="1" si="175"/>
        <v>0</v>
      </c>
      <c r="E885">
        <f t="shared" ca="1" si="176"/>
        <v>0.25</v>
      </c>
      <c r="F885">
        <f t="shared" ca="1" si="178"/>
        <v>0.22214432835525005</v>
      </c>
      <c r="G885">
        <f t="shared" ca="1" si="179"/>
        <v>0.20847269706234736</v>
      </c>
      <c r="H885">
        <f t="shared" ca="1" si="180"/>
        <v>1.0655799607601084</v>
      </c>
      <c r="I885">
        <f t="shared" ca="1" si="181"/>
        <v>51.587446673717146</v>
      </c>
      <c r="J885">
        <f t="shared" ca="1" si="182"/>
        <v>1</v>
      </c>
      <c r="K885">
        <f t="shared" ca="1" si="183"/>
        <v>0</v>
      </c>
      <c r="L885">
        <f t="shared" ca="1" si="177"/>
        <v>0</v>
      </c>
      <c r="M885" t="str">
        <f t="shared" ca="1" si="184"/>
        <v>na</v>
      </c>
      <c r="N885" t="str">
        <f t="shared" ca="1" si="185"/>
        <v>na</v>
      </c>
    </row>
    <row r="886" spans="1:14" x14ac:dyDescent="0.2">
      <c r="A886" vm="1602">
        <f ca="1"/>
        <v>45532</v>
      </c>
      <c r="B886" vm="1603">
        <f ca="1"/>
        <v>39.950000000000003</v>
      </c>
      <c r="C886">
        <f t="shared" ca="1" si="174"/>
        <v>0.28000000000000114</v>
      </c>
      <c r="D886">
        <f t="shared" ca="1" si="175"/>
        <v>0.28000000000000114</v>
      </c>
      <c r="E886">
        <f t="shared" ca="1" si="176"/>
        <v>0</v>
      </c>
      <c r="F886">
        <f t="shared" ca="1" si="178"/>
        <v>0.22627687632987512</v>
      </c>
      <c r="G886">
        <f t="shared" ca="1" si="179"/>
        <v>0.19358179012932256</v>
      </c>
      <c r="H886">
        <f t="shared" ca="1" si="180"/>
        <v>1.1688954636627267</v>
      </c>
      <c r="I886">
        <f t="shared" ca="1" si="181"/>
        <v>53.893582390031476</v>
      </c>
      <c r="J886">
        <f t="shared" ca="1" si="182"/>
        <v>1</v>
      </c>
      <c r="K886">
        <f t="shared" ca="1" si="183"/>
        <v>0</v>
      </c>
      <c r="L886">
        <f t="shared" ca="1" si="177"/>
        <v>0</v>
      </c>
      <c r="M886" t="str">
        <f t="shared" ca="1" si="184"/>
        <v>na</v>
      </c>
      <c r="N886" t="str">
        <f t="shared" ca="1" si="185"/>
        <v>na</v>
      </c>
    </row>
    <row r="887" spans="1:14" x14ac:dyDescent="0.2">
      <c r="A887" vm="1604">
        <f ca="1"/>
        <v>45533</v>
      </c>
      <c r="B887" vm="1605">
        <f ca="1"/>
        <v>40.17</v>
      </c>
      <c r="C887">
        <f t="shared" ca="1" si="174"/>
        <v>0.21999999999999886</v>
      </c>
      <c r="D887">
        <f t="shared" ca="1" si="175"/>
        <v>0.21999999999999886</v>
      </c>
      <c r="E887">
        <f t="shared" ca="1" si="176"/>
        <v>0</v>
      </c>
      <c r="F887">
        <f t="shared" ca="1" si="178"/>
        <v>0.22582852802059825</v>
      </c>
      <c r="G887">
        <f t="shared" ca="1" si="179"/>
        <v>0.17975451940579951</v>
      </c>
      <c r="H887">
        <f t="shared" ca="1" si="180"/>
        <v>1.2563162738110953</v>
      </c>
      <c r="I887">
        <f t="shared" ca="1" si="181"/>
        <v>55.679972191534951</v>
      </c>
      <c r="J887">
        <f t="shared" ca="1" si="182"/>
        <v>1</v>
      </c>
      <c r="K887">
        <f t="shared" ca="1" si="183"/>
        <v>0</v>
      </c>
      <c r="L887">
        <f t="shared" ca="1" si="177"/>
        <v>0</v>
      </c>
      <c r="M887" t="str">
        <f t="shared" ca="1" si="184"/>
        <v>na</v>
      </c>
      <c r="N887" t="str">
        <f t="shared" ca="1" si="185"/>
        <v>na</v>
      </c>
    </row>
    <row r="888" spans="1:14" x14ac:dyDescent="0.2">
      <c r="A888" vm="1606">
        <f ca="1"/>
        <v>45534</v>
      </c>
      <c r="B888" vm="1607">
        <f ca="1"/>
        <v>40.75</v>
      </c>
      <c r="C888">
        <f t="shared" ca="1" si="174"/>
        <v>0.57999999999999829</v>
      </c>
      <c r="D888">
        <f t="shared" ca="1" si="175"/>
        <v>0.57999999999999829</v>
      </c>
      <c r="E888">
        <f t="shared" ca="1" si="176"/>
        <v>0</v>
      </c>
      <c r="F888">
        <f t="shared" ca="1" si="178"/>
        <v>0.25112649030484108</v>
      </c>
      <c r="G888">
        <f t="shared" ca="1" si="179"/>
        <v>0.16691491087681382</v>
      </c>
      <c r="H888">
        <f t="shared" ca="1" si="180"/>
        <v>1.5045180145120582</v>
      </c>
      <c r="I888">
        <f t="shared" ca="1" si="181"/>
        <v>60.072157828147041</v>
      </c>
      <c r="J888">
        <f t="shared" ca="1" si="182"/>
        <v>1</v>
      </c>
      <c r="K888">
        <f t="shared" ca="1" si="183"/>
        <v>0</v>
      </c>
      <c r="L888">
        <f t="shared" ca="1" si="177"/>
        <v>0</v>
      </c>
      <c r="M888" t="str">
        <f t="shared" ca="1" si="184"/>
        <v>na</v>
      </c>
      <c r="N888" t="str">
        <f t="shared" ca="1" si="185"/>
        <v>na</v>
      </c>
    </row>
    <row r="889" spans="1:14" x14ac:dyDescent="0.2">
      <c r="A889" vm="1608">
        <f ca="1"/>
        <v>45538</v>
      </c>
      <c r="B889" vm="1609">
        <f ca="1"/>
        <v>40.700000000000003</v>
      </c>
      <c r="C889">
        <f t="shared" ca="1" si="174"/>
        <v>-4.9999999999997158E-2</v>
      </c>
      <c r="D889">
        <f t="shared" ca="1" si="175"/>
        <v>0</v>
      </c>
      <c r="E889">
        <f t="shared" ca="1" si="176"/>
        <v>4.9999999999997158E-2</v>
      </c>
      <c r="F889">
        <f t="shared" ca="1" si="178"/>
        <v>0.23318888385449529</v>
      </c>
      <c r="G889">
        <f t="shared" ca="1" si="179"/>
        <v>0.15856384581418406</v>
      </c>
      <c r="H889">
        <f t="shared" ca="1" si="180"/>
        <v>1.4706308531880712</v>
      </c>
      <c r="I889">
        <f t="shared" ca="1" si="181"/>
        <v>59.52450773009604</v>
      </c>
      <c r="J889">
        <f t="shared" ca="1" si="182"/>
        <v>1</v>
      </c>
      <c r="K889">
        <f t="shared" ca="1" si="183"/>
        <v>0</v>
      </c>
      <c r="L889">
        <f t="shared" ca="1" si="177"/>
        <v>0</v>
      </c>
      <c r="M889" t="str">
        <f t="shared" ca="1" si="184"/>
        <v>na</v>
      </c>
      <c r="N889" t="str">
        <f t="shared" ca="1" si="185"/>
        <v>na</v>
      </c>
    </row>
    <row r="890" spans="1:14" x14ac:dyDescent="0.2">
      <c r="A890" vm="1610">
        <f ca="1"/>
        <v>45539</v>
      </c>
      <c r="B890" vm="285">
        <f ca="1"/>
        <v>40.5</v>
      </c>
      <c r="C890">
        <f t="shared" ca="1" si="174"/>
        <v>-0.20000000000000284</v>
      </c>
      <c r="D890">
        <f t="shared" ca="1" si="175"/>
        <v>0</v>
      </c>
      <c r="E890">
        <f t="shared" ca="1" si="176"/>
        <v>0.20000000000000284</v>
      </c>
      <c r="F890">
        <f t="shared" ca="1" si="178"/>
        <v>0.21653253500774564</v>
      </c>
      <c r="G890">
        <f t="shared" ca="1" si="179"/>
        <v>0.16152357111317112</v>
      </c>
      <c r="H890">
        <f t="shared" ca="1" si="180"/>
        <v>1.3405630739555197</v>
      </c>
      <c r="I890">
        <f t="shared" ca="1" si="181"/>
        <v>57.275238119944625</v>
      </c>
      <c r="J890">
        <f t="shared" ca="1" si="182"/>
        <v>1</v>
      </c>
      <c r="K890">
        <f t="shared" ca="1" si="183"/>
        <v>0</v>
      </c>
      <c r="L890">
        <f t="shared" ca="1" si="177"/>
        <v>0</v>
      </c>
      <c r="M890" t="str">
        <f t="shared" ca="1" si="184"/>
        <v>na</v>
      </c>
      <c r="N890" t="str">
        <f t="shared" ca="1" si="185"/>
        <v>na</v>
      </c>
    </row>
    <row r="891" spans="1:14" x14ac:dyDescent="0.2">
      <c r="A891" vm="1611">
        <f ca="1"/>
        <v>45540</v>
      </c>
      <c r="B891" vm="281">
        <f ca="1"/>
        <v>40.14</v>
      </c>
      <c r="C891">
        <f t="shared" ca="1" si="174"/>
        <v>-0.35999999999999943</v>
      </c>
      <c r="D891">
        <f t="shared" ca="1" si="175"/>
        <v>0</v>
      </c>
      <c r="E891">
        <f t="shared" ca="1" si="176"/>
        <v>0.35999999999999943</v>
      </c>
      <c r="F891">
        <f t="shared" ca="1" si="178"/>
        <v>0.20106592536433524</v>
      </c>
      <c r="G891">
        <f t="shared" ca="1" si="179"/>
        <v>0.17570045889080171</v>
      </c>
      <c r="H891">
        <f t="shared" ca="1" si="180"/>
        <v>1.1443676734464208</v>
      </c>
      <c r="I891">
        <f t="shared" ca="1" si="181"/>
        <v>53.366206160308167</v>
      </c>
      <c r="J891">
        <f t="shared" ca="1" si="182"/>
        <v>1</v>
      </c>
      <c r="K891">
        <f t="shared" ca="1" si="183"/>
        <v>0</v>
      </c>
      <c r="L891">
        <f t="shared" ca="1" si="177"/>
        <v>0</v>
      </c>
      <c r="M891" t="str">
        <f t="shared" ca="1" si="184"/>
        <v>na</v>
      </c>
      <c r="N891" t="str">
        <f t="shared" ca="1" si="185"/>
        <v>na</v>
      </c>
    </row>
    <row r="892" spans="1:14" x14ac:dyDescent="0.2">
      <c r="A892" vm="1612">
        <f ca="1"/>
        <v>45541</v>
      </c>
      <c r="B892" vm="1613">
        <f ca="1"/>
        <v>38.76</v>
      </c>
      <c r="C892">
        <f t="shared" ca="1" si="174"/>
        <v>-1.3800000000000026</v>
      </c>
      <c r="D892">
        <f t="shared" ca="1" si="175"/>
        <v>0</v>
      </c>
      <c r="E892">
        <f t="shared" ca="1" si="176"/>
        <v>1.3800000000000026</v>
      </c>
      <c r="F892">
        <f t="shared" ca="1" si="178"/>
        <v>0.18670407355259702</v>
      </c>
      <c r="G892">
        <f t="shared" ca="1" si="179"/>
        <v>0.26172185468431602</v>
      </c>
      <c r="H892">
        <f t="shared" ca="1" si="180"/>
        <v>0.71336829619290276</v>
      </c>
      <c r="I892">
        <f t="shared" ca="1" si="181"/>
        <v>41.635432252248634</v>
      </c>
      <c r="J892">
        <f t="shared" ca="1" si="182"/>
        <v>1</v>
      </c>
      <c r="K892">
        <f t="shared" ca="1" si="183"/>
        <v>0</v>
      </c>
      <c r="L892">
        <f t="shared" ca="1" si="177"/>
        <v>0</v>
      </c>
      <c r="M892" t="str">
        <f t="shared" ca="1" si="184"/>
        <v>na</v>
      </c>
      <c r="N892" t="str">
        <f t="shared" ca="1" si="185"/>
        <v>na</v>
      </c>
    </row>
    <row r="893" spans="1:14" x14ac:dyDescent="0.2">
      <c r="A893" vm="1614">
        <f ca="1"/>
        <v>45544</v>
      </c>
      <c r="B893" vm="1615">
        <f ca="1"/>
        <v>39.47</v>
      </c>
      <c r="C893">
        <f t="shared" ca="1" si="174"/>
        <v>0.71000000000000085</v>
      </c>
      <c r="D893">
        <f t="shared" ca="1" si="175"/>
        <v>0.71000000000000085</v>
      </c>
      <c r="E893">
        <f t="shared" ca="1" si="176"/>
        <v>0</v>
      </c>
      <c r="F893">
        <f t="shared" ca="1" si="178"/>
        <v>0.22408235401312587</v>
      </c>
      <c r="G893">
        <f t="shared" ca="1" si="179"/>
        <v>0.24302743649257916</v>
      </c>
      <c r="H893">
        <f t="shared" ca="1" si="180"/>
        <v>0.92204549925361301</v>
      </c>
      <c r="I893">
        <f t="shared" ca="1" si="181"/>
        <v>47.97209533341799</v>
      </c>
      <c r="J893">
        <f t="shared" ca="1" si="182"/>
        <v>1</v>
      </c>
      <c r="K893">
        <f t="shared" ca="1" si="183"/>
        <v>0</v>
      </c>
      <c r="L893">
        <f t="shared" ca="1" si="177"/>
        <v>0</v>
      </c>
      <c r="M893" t="str">
        <f t="shared" ca="1" si="184"/>
        <v>na</v>
      </c>
      <c r="N893" t="str">
        <f t="shared" ca="1" si="185"/>
        <v>na</v>
      </c>
    </row>
    <row r="894" spans="1:14" x14ac:dyDescent="0.2">
      <c r="A894" vm="1616">
        <f ca="1"/>
        <v>45545</v>
      </c>
      <c r="B894" vm="1617">
        <f ca="1"/>
        <v>39.28</v>
      </c>
      <c r="C894">
        <f t="shared" ca="1" si="174"/>
        <v>-0.18999999999999773</v>
      </c>
      <c r="D894">
        <f t="shared" ca="1" si="175"/>
        <v>0</v>
      </c>
      <c r="E894">
        <f t="shared" ca="1" si="176"/>
        <v>0.18999999999999773</v>
      </c>
      <c r="F894">
        <f t="shared" ca="1" si="178"/>
        <v>0.20807647158361689</v>
      </c>
      <c r="G894">
        <f t="shared" ca="1" si="179"/>
        <v>0.23923976245739476</v>
      </c>
      <c r="H894">
        <f t="shared" ca="1" si="180"/>
        <v>0.86974033683331542</v>
      </c>
      <c r="I894">
        <f t="shared" ca="1" si="181"/>
        <v>46.516637615378755</v>
      </c>
      <c r="J894">
        <f t="shared" ca="1" si="182"/>
        <v>1</v>
      </c>
      <c r="K894">
        <f t="shared" ca="1" si="183"/>
        <v>0</v>
      </c>
      <c r="L894">
        <f t="shared" ca="1" si="177"/>
        <v>0</v>
      </c>
      <c r="M894" t="str">
        <f t="shared" ca="1" si="184"/>
        <v>na</v>
      </c>
      <c r="N894" t="str">
        <f t="shared" ca="1" si="185"/>
        <v>na</v>
      </c>
    </row>
    <row r="895" spans="1:14" x14ac:dyDescent="0.2">
      <c r="A895" vm="1618">
        <f ca="1"/>
        <v>45546</v>
      </c>
      <c r="B895" vm="1532">
        <f ca="1"/>
        <v>39</v>
      </c>
      <c r="C895">
        <f t="shared" ca="1" si="174"/>
        <v>-0.28000000000000114</v>
      </c>
      <c r="D895">
        <f t="shared" ca="1" si="175"/>
        <v>0</v>
      </c>
      <c r="E895">
        <f t="shared" ca="1" si="176"/>
        <v>0.28000000000000114</v>
      </c>
      <c r="F895">
        <f t="shared" ca="1" si="178"/>
        <v>0.1932138664705014</v>
      </c>
      <c r="G895">
        <f t="shared" ca="1" si="179"/>
        <v>0.24215120799615233</v>
      </c>
      <c r="H895">
        <f t="shared" ca="1" si="180"/>
        <v>0.79790585423621541</v>
      </c>
      <c r="I895">
        <f t="shared" ca="1" si="181"/>
        <v>44.379735032076027</v>
      </c>
      <c r="J895">
        <f t="shared" ca="1" si="182"/>
        <v>1</v>
      </c>
      <c r="K895">
        <f t="shared" ca="1" si="183"/>
        <v>0</v>
      </c>
      <c r="L895">
        <f t="shared" ca="1" si="177"/>
        <v>0</v>
      </c>
      <c r="M895" t="str">
        <f t="shared" ca="1" si="184"/>
        <v>na</v>
      </c>
      <c r="N895" t="str">
        <f t="shared" ca="1" si="185"/>
        <v>na</v>
      </c>
    </row>
    <row r="896" spans="1:14" x14ac:dyDescent="0.2">
      <c r="A896" vm="1619">
        <f ca="1"/>
        <v>45547</v>
      </c>
      <c r="B896" vm="170">
        <f ca="1"/>
        <v>38.78</v>
      </c>
      <c r="C896">
        <f t="shared" ca="1" si="174"/>
        <v>-0.21999999999999886</v>
      </c>
      <c r="D896">
        <f t="shared" ca="1" si="175"/>
        <v>0</v>
      </c>
      <c r="E896">
        <f t="shared" ca="1" si="176"/>
        <v>0.21999999999999886</v>
      </c>
      <c r="F896">
        <f t="shared" ca="1" si="178"/>
        <v>0.17941287600832273</v>
      </c>
      <c r="G896">
        <f t="shared" ca="1" si="179"/>
        <v>0.24056897885356993</v>
      </c>
      <c r="H896">
        <f t="shared" ca="1" si="180"/>
        <v>0.7457855824276004</v>
      </c>
      <c r="I896">
        <f t="shared" ca="1" si="181"/>
        <v>42.719197015623706</v>
      </c>
      <c r="J896">
        <f t="shared" ca="1" si="182"/>
        <v>1</v>
      </c>
      <c r="K896">
        <f t="shared" ca="1" si="183"/>
        <v>0</v>
      </c>
      <c r="L896">
        <f t="shared" ca="1" si="177"/>
        <v>0</v>
      </c>
      <c r="M896" t="str">
        <f t="shared" ca="1" si="184"/>
        <v>na</v>
      </c>
      <c r="N896" t="str">
        <f t="shared" ca="1" si="185"/>
        <v>na</v>
      </c>
    </row>
    <row r="897" spans="1:14" x14ac:dyDescent="0.2">
      <c r="A897" vm="1620">
        <f ca="1"/>
        <v>45548</v>
      </c>
      <c r="B897" vm="1621">
        <f ca="1"/>
        <v>38.65</v>
      </c>
      <c r="C897">
        <f t="shared" ca="1" si="174"/>
        <v>-0.13000000000000256</v>
      </c>
      <c r="D897">
        <f t="shared" ca="1" si="175"/>
        <v>0</v>
      </c>
      <c r="E897">
        <f t="shared" ca="1" si="176"/>
        <v>0.13000000000000256</v>
      </c>
      <c r="F897">
        <f t="shared" ca="1" si="178"/>
        <v>0.16659767057915681</v>
      </c>
      <c r="G897">
        <f t="shared" ca="1" si="179"/>
        <v>0.2326711946497437</v>
      </c>
      <c r="H897">
        <f t="shared" ca="1" si="180"/>
        <v>0.71602189875694755</v>
      </c>
      <c r="I897">
        <f t="shared" ca="1" si="181"/>
        <v>41.725685393386861</v>
      </c>
      <c r="J897">
        <f t="shared" ca="1" si="182"/>
        <v>1</v>
      </c>
      <c r="K897">
        <f t="shared" ca="1" si="183"/>
        <v>0</v>
      </c>
      <c r="L897">
        <f t="shared" ca="1" si="177"/>
        <v>0</v>
      </c>
      <c r="M897" t="str">
        <f t="shared" ca="1" si="184"/>
        <v>na</v>
      </c>
      <c r="N897" t="str">
        <f t="shared" ca="1" si="185"/>
        <v>na</v>
      </c>
    </row>
    <row r="898" spans="1:14" x14ac:dyDescent="0.2">
      <c r="A898" vm="1622">
        <f ca="1"/>
        <v>45551</v>
      </c>
      <c r="B898" vm="1623">
        <f ca="1"/>
        <v>39.1</v>
      </c>
      <c r="C898">
        <f t="shared" ca="1" si="174"/>
        <v>0.45000000000000284</v>
      </c>
      <c r="D898">
        <f t="shared" ca="1" si="175"/>
        <v>0.45000000000000284</v>
      </c>
      <c r="E898">
        <f t="shared" ca="1" si="176"/>
        <v>0</v>
      </c>
      <c r="F898">
        <f t="shared" ca="1" si="178"/>
        <v>0.18684069410921725</v>
      </c>
      <c r="G898">
        <f t="shared" ca="1" si="179"/>
        <v>0.21605182360333344</v>
      </c>
      <c r="H898">
        <f t="shared" ca="1" si="180"/>
        <v>0.86479572814091488</v>
      </c>
      <c r="I898">
        <f t="shared" ca="1" si="181"/>
        <v>46.374823531103985</v>
      </c>
      <c r="J898">
        <f t="shared" ca="1" si="182"/>
        <v>1</v>
      </c>
      <c r="K898">
        <f t="shared" ca="1" si="183"/>
        <v>0</v>
      </c>
      <c r="L898">
        <f t="shared" ca="1" si="177"/>
        <v>0</v>
      </c>
      <c r="M898" t="str">
        <f t="shared" ca="1" si="184"/>
        <v>na</v>
      </c>
      <c r="N898" t="str">
        <f t="shared" ca="1" si="185"/>
        <v>na</v>
      </c>
    </row>
    <row r="899" spans="1:14" x14ac:dyDescent="0.2">
      <c r="A899" vm="1624">
        <f ca="1"/>
        <v>45552</v>
      </c>
      <c r="B899" vm="1625">
        <f ca="1"/>
        <v>39.549999999999997</v>
      </c>
      <c r="C899">
        <f t="shared" ca="1" si="174"/>
        <v>0.44999999999999574</v>
      </c>
      <c r="D899">
        <f t="shared" ca="1" si="175"/>
        <v>0.44999999999999574</v>
      </c>
      <c r="E899">
        <f t="shared" ca="1" si="176"/>
        <v>0</v>
      </c>
      <c r="F899">
        <f t="shared" ca="1" si="178"/>
        <v>0.20563778738713001</v>
      </c>
      <c r="G899">
        <f t="shared" ca="1" si="179"/>
        <v>0.20061955048880961</v>
      </c>
      <c r="H899">
        <f t="shared" ca="1" si="180"/>
        <v>1.0250136982467235</v>
      </c>
      <c r="I899">
        <f t="shared" ca="1" si="181"/>
        <v>50.61761800101354</v>
      </c>
      <c r="J899">
        <f t="shared" ca="1" si="182"/>
        <v>1</v>
      </c>
      <c r="K899">
        <f t="shared" ca="1" si="183"/>
        <v>0</v>
      </c>
      <c r="L899">
        <f t="shared" ca="1" si="177"/>
        <v>0</v>
      </c>
      <c r="M899" t="str">
        <f t="shared" ca="1" si="184"/>
        <v>na</v>
      </c>
      <c r="N899" t="str">
        <f t="shared" ca="1" si="185"/>
        <v>na</v>
      </c>
    </row>
    <row r="900" spans="1:14" x14ac:dyDescent="0.2">
      <c r="A900" vm="1626">
        <f ca="1"/>
        <v>45553</v>
      </c>
      <c r="B900" vm="1627">
        <f ca="1"/>
        <v>39.619999999999997</v>
      </c>
      <c r="C900">
        <f t="shared" ca="1" si="174"/>
        <v>7.0000000000000284E-2</v>
      </c>
      <c r="D900">
        <f t="shared" ca="1" si="175"/>
        <v>7.0000000000000284E-2</v>
      </c>
      <c r="E900">
        <f t="shared" ca="1" si="176"/>
        <v>0</v>
      </c>
      <c r="F900">
        <f t="shared" ca="1" si="178"/>
        <v>0.19594937400233503</v>
      </c>
      <c r="G900">
        <f t="shared" ca="1" si="179"/>
        <v>0.1862895825967518</v>
      </c>
      <c r="H900">
        <f t="shared" ca="1" si="180"/>
        <v>1.0518536317003464</v>
      </c>
      <c r="I900">
        <f t="shared" ca="1" si="181"/>
        <v>51.263580181822626</v>
      </c>
      <c r="J900">
        <f t="shared" ca="1" si="182"/>
        <v>1</v>
      </c>
      <c r="K900">
        <f t="shared" ca="1" si="183"/>
        <v>0</v>
      </c>
      <c r="L900">
        <f t="shared" ca="1" si="177"/>
        <v>0</v>
      </c>
      <c r="M900" t="str">
        <f t="shared" ca="1" si="184"/>
        <v>na</v>
      </c>
      <c r="N900" t="str">
        <f t="shared" ca="1" si="185"/>
        <v>na</v>
      </c>
    </row>
    <row r="901" spans="1:14" x14ac:dyDescent="0.2">
      <c r="A901" vm="1628">
        <f ca="1"/>
        <v>45554</v>
      </c>
      <c r="B901" vm="1629">
        <f ca="1"/>
        <v>40.869999999999997</v>
      </c>
      <c r="C901">
        <f t="shared" ca="1" si="174"/>
        <v>1.25</v>
      </c>
      <c r="D901">
        <f t="shared" ca="1" si="175"/>
        <v>1.25</v>
      </c>
      <c r="E901">
        <f t="shared" ca="1" si="176"/>
        <v>0</v>
      </c>
      <c r="F901">
        <f t="shared" ca="1" si="178"/>
        <v>0.27123870443073966</v>
      </c>
      <c r="G901">
        <f t="shared" ca="1" si="179"/>
        <v>0.17298318383984096</v>
      </c>
      <c r="H901">
        <f t="shared" ca="1" si="180"/>
        <v>1.5680061981161708</v>
      </c>
      <c r="I901">
        <f t="shared" ca="1" si="181"/>
        <v>61.059284018333891</v>
      </c>
      <c r="J901">
        <f t="shared" ca="1" si="182"/>
        <v>1</v>
      </c>
      <c r="K901">
        <f t="shared" ca="1" si="183"/>
        <v>0</v>
      </c>
      <c r="L901">
        <f t="shared" ca="1" si="177"/>
        <v>0</v>
      </c>
      <c r="M901" t="str">
        <f t="shared" ca="1" si="184"/>
        <v>na</v>
      </c>
      <c r="N901" t="str">
        <f t="shared" ca="1" si="185"/>
        <v>na</v>
      </c>
    </row>
    <row r="902" spans="1:14" x14ac:dyDescent="0.2">
      <c r="A902" vm="1630">
        <f ca="1"/>
        <v>45555</v>
      </c>
      <c r="B902" vm="275">
        <f ca="1"/>
        <v>40.270000000000003</v>
      </c>
      <c r="C902">
        <f t="shared" ca="1" si="174"/>
        <v>-0.59999999999999432</v>
      </c>
      <c r="D902">
        <f t="shared" ca="1" si="175"/>
        <v>0</v>
      </c>
      <c r="E902">
        <f t="shared" ca="1" si="176"/>
        <v>0.59999999999999432</v>
      </c>
      <c r="F902">
        <f t="shared" ca="1" si="178"/>
        <v>0.2518645112571154</v>
      </c>
      <c r="G902">
        <f t="shared" ca="1" si="179"/>
        <v>0.20348438499413762</v>
      </c>
      <c r="H902">
        <f t="shared" ca="1" si="180"/>
        <v>1.2377584219269286</v>
      </c>
      <c r="I902">
        <f t="shared" ca="1" si="181"/>
        <v>55.312423798682325</v>
      </c>
      <c r="J902">
        <f t="shared" ca="1" si="182"/>
        <v>1</v>
      </c>
      <c r="K902">
        <f t="shared" ca="1" si="183"/>
        <v>0</v>
      </c>
      <c r="L902">
        <f t="shared" ca="1" si="177"/>
        <v>0</v>
      </c>
      <c r="M902" t="str">
        <f t="shared" ca="1" si="184"/>
        <v>na</v>
      </c>
      <c r="N902" t="str">
        <f t="shared" ca="1" si="185"/>
        <v>na</v>
      </c>
    </row>
    <row r="903" spans="1:14" x14ac:dyDescent="0.2">
      <c r="A903" vm="1631">
        <f ca="1"/>
        <v>45558</v>
      </c>
      <c r="B903" vm="1632">
        <f ca="1"/>
        <v>39.869999999999997</v>
      </c>
      <c r="C903">
        <f t="shared" ca="1" si="174"/>
        <v>-0.40000000000000568</v>
      </c>
      <c r="D903">
        <f t="shared" ca="1" si="175"/>
        <v>0</v>
      </c>
      <c r="E903">
        <f t="shared" ca="1" si="176"/>
        <v>0.40000000000000568</v>
      </c>
      <c r="F903">
        <f t="shared" ca="1" si="178"/>
        <v>0.23387418902446427</v>
      </c>
      <c r="G903">
        <f t="shared" ca="1" si="179"/>
        <v>0.21752121463741392</v>
      </c>
      <c r="H903">
        <f t="shared" ca="1" si="180"/>
        <v>1.0751787563080186</v>
      </c>
      <c r="I903">
        <f t="shared" ca="1" si="181"/>
        <v>51.811380250484305</v>
      </c>
      <c r="J903">
        <f t="shared" ca="1" si="182"/>
        <v>1</v>
      </c>
      <c r="K903">
        <f t="shared" ca="1" si="183"/>
        <v>0</v>
      </c>
      <c r="L903">
        <f t="shared" ca="1" si="177"/>
        <v>0</v>
      </c>
      <c r="M903" t="str">
        <f t="shared" ca="1" si="184"/>
        <v>na</v>
      </c>
      <c r="N903" t="str">
        <f t="shared" ca="1" si="185"/>
        <v>na</v>
      </c>
    </row>
    <row r="904" spans="1:14" x14ac:dyDescent="0.2">
      <c r="A904" vm="1633">
        <f ca="1"/>
        <v>45559</v>
      </c>
      <c r="B904" vm="1634">
        <f ca="1"/>
        <v>39.450000000000003</v>
      </c>
      <c r="C904">
        <f t="shared" ca="1" si="174"/>
        <v>-0.4199999999999946</v>
      </c>
      <c r="D904">
        <f t="shared" ca="1" si="175"/>
        <v>0</v>
      </c>
      <c r="E904">
        <f t="shared" ca="1" si="176"/>
        <v>0.4199999999999946</v>
      </c>
      <c r="F904">
        <f t="shared" ca="1" si="178"/>
        <v>0.21716888980843113</v>
      </c>
      <c r="G904">
        <f t="shared" ca="1" si="179"/>
        <v>0.23198398502045542</v>
      </c>
      <c r="H904">
        <f t="shared" ca="1" si="180"/>
        <v>0.93613742254355203</v>
      </c>
      <c r="I904">
        <f t="shared" ca="1" si="181"/>
        <v>48.350773640526249</v>
      </c>
      <c r="J904">
        <f t="shared" ca="1" si="182"/>
        <v>1</v>
      </c>
      <c r="K904">
        <f t="shared" ca="1" si="183"/>
        <v>0</v>
      </c>
      <c r="L904">
        <f t="shared" ca="1" si="177"/>
        <v>0</v>
      </c>
      <c r="M904" t="str">
        <f t="shared" ca="1" si="184"/>
        <v>na</v>
      </c>
      <c r="N904" t="str">
        <f t="shared" ca="1" si="185"/>
        <v>na</v>
      </c>
    </row>
    <row r="905" spans="1:14" x14ac:dyDescent="0.2">
      <c r="A905" vm="1635">
        <f ca="1"/>
        <v>45560</v>
      </c>
      <c r="B905" vm="1534">
        <f ca="1"/>
        <v>39.25</v>
      </c>
      <c r="C905">
        <f t="shared" ref="C905:C968" ca="1" si="186">B905-B904</f>
        <v>-0.20000000000000284</v>
      </c>
      <c r="D905">
        <f t="shared" ref="D905:D968" ca="1" si="187">IF(C905&gt;0,C905,0)</f>
        <v>0</v>
      </c>
      <c r="E905">
        <f t="shared" ref="E905:E968" ca="1" si="188">IF(C905&lt;0,ABS(C905),0)</f>
        <v>0.20000000000000284</v>
      </c>
      <c r="F905">
        <f t="shared" ca="1" si="178"/>
        <v>0.20165682625068607</v>
      </c>
      <c r="G905">
        <f t="shared" ca="1" si="179"/>
        <v>0.22969941466185165</v>
      </c>
      <c r="H905">
        <f t="shared" ca="1" si="180"/>
        <v>0.8779161520613884</v>
      </c>
      <c r="I905">
        <f t="shared" ca="1" si="181"/>
        <v>46.749486184337883</v>
      </c>
      <c r="J905">
        <f t="shared" ca="1" si="182"/>
        <v>1</v>
      </c>
      <c r="K905">
        <f t="shared" ca="1" si="183"/>
        <v>0</v>
      </c>
      <c r="L905">
        <f t="shared" ca="1" si="177"/>
        <v>0</v>
      </c>
      <c r="M905" t="str">
        <f t="shared" ca="1" si="184"/>
        <v>na</v>
      </c>
      <c r="N905" t="str">
        <f t="shared" ca="1" si="185"/>
        <v>na</v>
      </c>
    </row>
    <row r="906" spans="1:14" x14ac:dyDescent="0.2">
      <c r="A906" vm="1636">
        <f ca="1"/>
        <v>45561</v>
      </c>
      <c r="B906" vm="1637">
        <f ca="1"/>
        <v>39.520000000000003</v>
      </c>
      <c r="C906">
        <f t="shared" ca="1" si="186"/>
        <v>0.27000000000000313</v>
      </c>
      <c r="D906">
        <f t="shared" ca="1" si="187"/>
        <v>0.27000000000000313</v>
      </c>
      <c r="E906">
        <f t="shared" ca="1" si="188"/>
        <v>0</v>
      </c>
      <c r="F906">
        <f t="shared" ca="1" si="178"/>
        <v>0.20653848151849444</v>
      </c>
      <c r="G906">
        <f t="shared" ca="1" si="179"/>
        <v>0.21329231361457654</v>
      </c>
      <c r="H906">
        <f t="shared" ca="1" si="180"/>
        <v>0.96833532356779428</v>
      </c>
      <c r="I906">
        <f t="shared" ca="1" si="181"/>
        <v>49.195648321374165</v>
      </c>
      <c r="J906">
        <f t="shared" ca="1" si="182"/>
        <v>1</v>
      </c>
      <c r="K906">
        <f t="shared" ca="1" si="183"/>
        <v>0</v>
      </c>
      <c r="L906">
        <f t="shared" ca="1" si="177"/>
        <v>0</v>
      </c>
      <c r="M906" t="str">
        <f t="shared" ca="1" si="184"/>
        <v>na</v>
      </c>
      <c r="N906" t="str">
        <f t="shared" ca="1" si="185"/>
        <v>na</v>
      </c>
    </row>
    <row r="907" spans="1:14" x14ac:dyDescent="0.2">
      <c r="A907" vm="1638">
        <f ca="1"/>
        <v>45562</v>
      </c>
      <c r="B907" vm="1639">
        <f ca="1"/>
        <v>39.4</v>
      </c>
      <c r="C907">
        <f t="shared" ca="1" si="186"/>
        <v>-0.12000000000000455</v>
      </c>
      <c r="D907">
        <f t="shared" ca="1" si="187"/>
        <v>0</v>
      </c>
      <c r="E907">
        <f t="shared" ca="1" si="188"/>
        <v>0.12000000000000455</v>
      </c>
      <c r="F907">
        <f t="shared" ca="1" si="178"/>
        <v>0.19178573283860198</v>
      </c>
      <c r="G907">
        <f t="shared" ca="1" si="179"/>
        <v>0.20662857692782138</v>
      </c>
      <c r="H907">
        <f t="shared" ca="1" si="180"/>
        <v>0.92816654738708171</v>
      </c>
      <c r="I907">
        <f t="shared" ca="1" si="181"/>
        <v>48.13726016794913</v>
      </c>
      <c r="J907">
        <f t="shared" ca="1" si="182"/>
        <v>1</v>
      </c>
      <c r="K907">
        <f t="shared" ca="1" si="183"/>
        <v>0</v>
      </c>
      <c r="L907">
        <f t="shared" ca="1" si="177"/>
        <v>0</v>
      </c>
      <c r="M907" t="str">
        <f t="shared" ca="1" si="184"/>
        <v>na</v>
      </c>
      <c r="N907" t="str">
        <f t="shared" ca="1" si="185"/>
        <v>na</v>
      </c>
    </row>
    <row r="908" spans="1:14" x14ac:dyDescent="0.2">
      <c r="A908" vm="1640">
        <f ca="1"/>
        <v>45565</v>
      </c>
      <c r="B908" vm="1509">
        <f ca="1"/>
        <v>39.68</v>
      </c>
      <c r="C908">
        <f t="shared" ca="1" si="186"/>
        <v>0.28000000000000114</v>
      </c>
      <c r="D908">
        <f t="shared" ca="1" si="187"/>
        <v>0.28000000000000114</v>
      </c>
      <c r="E908">
        <f t="shared" ca="1" si="188"/>
        <v>0</v>
      </c>
      <c r="F908">
        <f t="shared" ca="1" si="178"/>
        <v>0.19808675192155906</v>
      </c>
      <c r="G908">
        <f t="shared" ca="1" si="179"/>
        <v>0.19186939286154844</v>
      </c>
      <c r="H908">
        <f t="shared" ca="1" si="180"/>
        <v>1.0324041211955939</v>
      </c>
      <c r="I908">
        <f t="shared" ca="1" si="181"/>
        <v>50.797186958480765</v>
      </c>
      <c r="J908">
        <f t="shared" ca="1" si="182"/>
        <v>1</v>
      </c>
      <c r="K908">
        <f t="shared" ca="1" si="183"/>
        <v>0</v>
      </c>
      <c r="L908">
        <f t="shared" ca="1" si="177"/>
        <v>0</v>
      </c>
      <c r="M908" t="str">
        <f t="shared" ca="1" si="184"/>
        <v>na</v>
      </c>
      <c r="N908" t="str">
        <f t="shared" ca="1" si="185"/>
        <v>na</v>
      </c>
    </row>
    <row r="909" spans="1:14" x14ac:dyDescent="0.2">
      <c r="A909" vm="1641">
        <f ca="1"/>
        <v>45566</v>
      </c>
      <c r="B909" vm="1492">
        <f ca="1"/>
        <v>39.22</v>
      </c>
      <c r="C909">
        <f t="shared" ca="1" si="186"/>
        <v>-0.46000000000000085</v>
      </c>
      <c r="D909">
        <f t="shared" ca="1" si="187"/>
        <v>0</v>
      </c>
      <c r="E909">
        <f t="shared" ca="1" si="188"/>
        <v>0.46000000000000085</v>
      </c>
      <c r="F909">
        <f t="shared" ca="1" si="178"/>
        <v>0.18393769821287625</v>
      </c>
      <c r="G909">
        <f t="shared" ca="1" si="179"/>
        <v>0.21102157908572364</v>
      </c>
      <c r="H909">
        <f t="shared" ca="1" si="180"/>
        <v>0.87165350107703887</v>
      </c>
      <c r="I909">
        <f t="shared" ca="1" si="181"/>
        <v>46.571307166387783</v>
      </c>
      <c r="J909">
        <f t="shared" ca="1" si="182"/>
        <v>1</v>
      </c>
      <c r="K909">
        <f t="shared" ca="1" si="183"/>
        <v>0</v>
      </c>
      <c r="L909">
        <f t="shared" ca="1" si="177"/>
        <v>0</v>
      </c>
      <c r="M909" t="str">
        <f t="shared" ca="1" si="184"/>
        <v>na</v>
      </c>
      <c r="N909" t="str">
        <f t="shared" ca="1" si="185"/>
        <v>na</v>
      </c>
    </row>
    <row r="910" spans="1:14" x14ac:dyDescent="0.2">
      <c r="A910" vm="1642">
        <f ca="1"/>
        <v>45567</v>
      </c>
      <c r="B910" vm="1643">
        <f ca="1"/>
        <v>39.229999999999997</v>
      </c>
      <c r="C910">
        <f t="shared" ca="1" si="186"/>
        <v>9.9999999999980105E-3</v>
      </c>
      <c r="D910">
        <f t="shared" ca="1" si="187"/>
        <v>9.9999999999980105E-3</v>
      </c>
      <c r="E910">
        <f t="shared" ca="1" si="188"/>
        <v>0</v>
      </c>
      <c r="F910">
        <f t="shared" ca="1" si="178"/>
        <v>0.1715135769119564</v>
      </c>
      <c r="G910">
        <f t="shared" ca="1" si="179"/>
        <v>0.1959486091510291</v>
      </c>
      <c r="H910">
        <f t="shared" ca="1" si="180"/>
        <v>0.87529877172927939</v>
      </c>
      <c r="I910">
        <f t="shared" ca="1" si="181"/>
        <v>46.67516370856125</v>
      </c>
      <c r="J910">
        <f t="shared" ca="1" si="182"/>
        <v>1</v>
      </c>
      <c r="K910">
        <f t="shared" ca="1" si="183"/>
        <v>0</v>
      </c>
      <c r="L910">
        <f t="shared" ca="1" si="177"/>
        <v>0</v>
      </c>
      <c r="M910" t="str">
        <f t="shared" ca="1" si="184"/>
        <v>na</v>
      </c>
      <c r="N910" t="str">
        <f t="shared" ca="1" si="185"/>
        <v>na</v>
      </c>
    </row>
    <row r="911" spans="1:14" x14ac:dyDescent="0.2">
      <c r="A911" vm="1644">
        <f ca="1"/>
        <v>45568</v>
      </c>
      <c r="B911" vm="1534">
        <f ca="1"/>
        <v>39.25</v>
      </c>
      <c r="C911">
        <f t="shared" ca="1" si="186"/>
        <v>2.0000000000003126E-2</v>
      </c>
      <c r="D911">
        <f t="shared" ca="1" si="187"/>
        <v>2.0000000000003126E-2</v>
      </c>
      <c r="E911">
        <f t="shared" ca="1" si="188"/>
        <v>0</v>
      </c>
      <c r="F911">
        <f t="shared" ca="1" si="178"/>
        <v>0.16069117856110257</v>
      </c>
      <c r="G911">
        <f t="shared" ca="1" si="179"/>
        <v>0.18195227992595561</v>
      </c>
      <c r="H911">
        <f t="shared" ca="1" si="180"/>
        <v>0.88315012390333814</v>
      </c>
      <c r="I911">
        <f t="shared" ca="1" si="181"/>
        <v>46.897489089864514</v>
      </c>
      <c r="J911">
        <f t="shared" ca="1" si="182"/>
        <v>1</v>
      </c>
      <c r="K911">
        <f t="shared" ca="1" si="183"/>
        <v>0</v>
      </c>
      <c r="L911">
        <f t="shared" ca="1" si="177"/>
        <v>0</v>
      </c>
      <c r="M911" t="str">
        <f t="shared" ca="1" si="184"/>
        <v>na</v>
      </c>
      <c r="N911" t="str">
        <f t="shared" ca="1" si="185"/>
        <v>na</v>
      </c>
    </row>
    <row r="912" spans="1:14" x14ac:dyDescent="0.2">
      <c r="A912" vm="1645">
        <f ca="1"/>
        <v>45569</v>
      </c>
      <c r="B912" vm="1646">
        <f ca="1"/>
        <v>40.11</v>
      </c>
      <c r="C912">
        <f t="shared" ca="1" si="186"/>
        <v>0.85999999999999943</v>
      </c>
      <c r="D912">
        <f t="shared" ca="1" si="187"/>
        <v>0.85999999999999943</v>
      </c>
      <c r="E912">
        <f t="shared" ca="1" si="188"/>
        <v>0</v>
      </c>
      <c r="F912">
        <f t="shared" ca="1" si="178"/>
        <v>0.21064180866388091</v>
      </c>
      <c r="G912">
        <f t="shared" ca="1" si="179"/>
        <v>0.16895568850267306</v>
      </c>
      <c r="H912">
        <f t="shared" ca="1" si="180"/>
        <v>1.2467281245789386</v>
      </c>
      <c r="I912">
        <f t="shared" ca="1" si="181"/>
        <v>55.490831798466445</v>
      </c>
      <c r="J912">
        <f t="shared" ca="1" si="182"/>
        <v>1</v>
      </c>
      <c r="K912">
        <f t="shared" ca="1" si="183"/>
        <v>0</v>
      </c>
      <c r="L912">
        <f t="shared" ca="1" si="177"/>
        <v>0</v>
      </c>
      <c r="M912" t="str">
        <f t="shared" ca="1" si="184"/>
        <v>na</v>
      </c>
      <c r="N912" t="str">
        <f t="shared" ca="1" si="185"/>
        <v>na</v>
      </c>
    </row>
    <row r="913" spans="1:14" x14ac:dyDescent="0.2">
      <c r="A913" vm="1647">
        <f ca="1"/>
        <v>45572</v>
      </c>
      <c r="B913" vm="1511">
        <f ca="1"/>
        <v>39.96</v>
      </c>
      <c r="C913">
        <f t="shared" ca="1" si="186"/>
        <v>-0.14999999999999858</v>
      </c>
      <c r="D913">
        <f t="shared" ca="1" si="187"/>
        <v>0</v>
      </c>
      <c r="E913">
        <f t="shared" ca="1" si="188"/>
        <v>0.14999999999999858</v>
      </c>
      <c r="F913">
        <f t="shared" ca="1" si="178"/>
        <v>0.19559596518788941</v>
      </c>
      <c r="G913">
        <f t="shared" ca="1" si="179"/>
        <v>0.16760171075248204</v>
      </c>
      <c r="H913">
        <f t="shared" ca="1" si="180"/>
        <v>1.1670284528106631</v>
      </c>
      <c r="I913">
        <f t="shared" ca="1" si="181"/>
        <v>53.853859246610838</v>
      </c>
      <c r="J913">
        <f t="shared" ca="1" si="182"/>
        <v>1</v>
      </c>
      <c r="K913">
        <f t="shared" ca="1" si="183"/>
        <v>0</v>
      </c>
      <c r="L913">
        <f t="shared" ca="1" si="177"/>
        <v>0</v>
      </c>
      <c r="M913" t="str">
        <f t="shared" ca="1" si="184"/>
        <v>na</v>
      </c>
      <c r="N913" t="str">
        <f t="shared" ca="1" si="185"/>
        <v>na</v>
      </c>
    </row>
    <row r="914" spans="1:14" x14ac:dyDescent="0.2">
      <c r="A914" vm="1648">
        <f ca="1"/>
        <v>45573</v>
      </c>
      <c r="B914" vm="1649">
        <f ca="1"/>
        <v>39.93</v>
      </c>
      <c r="C914">
        <f t="shared" ca="1" si="186"/>
        <v>-3.0000000000001137E-2</v>
      </c>
      <c r="D914">
        <f t="shared" ca="1" si="187"/>
        <v>0</v>
      </c>
      <c r="E914">
        <f t="shared" ca="1" si="188"/>
        <v>3.0000000000001137E-2</v>
      </c>
      <c r="F914">
        <f t="shared" ca="1" si="178"/>
        <v>0.18162482481732586</v>
      </c>
      <c r="G914">
        <f t="shared" ca="1" si="179"/>
        <v>0.15777301712730482</v>
      </c>
      <c r="H914">
        <f t="shared" ca="1" si="180"/>
        <v>1.1511779905354498</v>
      </c>
      <c r="I914">
        <f t="shared" ca="1" si="181"/>
        <v>53.513841978687687</v>
      </c>
      <c r="J914">
        <f t="shared" ca="1" si="182"/>
        <v>1</v>
      </c>
      <c r="K914">
        <f t="shared" ca="1" si="183"/>
        <v>0</v>
      </c>
      <c r="L914">
        <f t="shared" ca="1" si="177"/>
        <v>0</v>
      </c>
      <c r="M914" t="str">
        <f t="shared" ca="1" si="184"/>
        <v>na</v>
      </c>
      <c r="N914" t="str">
        <f t="shared" ca="1" si="185"/>
        <v>na</v>
      </c>
    </row>
    <row r="915" spans="1:14" x14ac:dyDescent="0.2">
      <c r="A915" vm="1650">
        <f ca="1"/>
        <v>45574</v>
      </c>
      <c r="B915" vm="247">
        <f ca="1"/>
        <v>40.19</v>
      </c>
      <c r="C915">
        <f t="shared" ca="1" si="186"/>
        <v>0.25999999999999801</v>
      </c>
      <c r="D915">
        <f t="shared" ca="1" si="187"/>
        <v>0.25999999999999801</v>
      </c>
      <c r="E915">
        <f t="shared" ca="1" si="188"/>
        <v>0</v>
      </c>
      <c r="F915">
        <f t="shared" ca="1" si="178"/>
        <v>0.18722305161608815</v>
      </c>
      <c r="G915">
        <f t="shared" ca="1" si="179"/>
        <v>0.14650351590392591</v>
      </c>
      <c r="H915">
        <f t="shared" ca="1" si="180"/>
        <v>1.2779423787949589</v>
      </c>
      <c r="I915">
        <f t="shared" ca="1" si="181"/>
        <v>56.100733306124965</v>
      </c>
      <c r="J915">
        <f t="shared" ca="1" si="182"/>
        <v>1</v>
      </c>
      <c r="K915">
        <f t="shared" ca="1" si="183"/>
        <v>0</v>
      </c>
      <c r="L915">
        <f t="shared" ca="1" si="177"/>
        <v>0</v>
      </c>
      <c r="M915" t="str">
        <f t="shared" ca="1" si="184"/>
        <v>na</v>
      </c>
      <c r="N915" t="str">
        <f t="shared" ca="1" si="185"/>
        <v>na</v>
      </c>
    </row>
    <row r="916" spans="1:14" x14ac:dyDescent="0.2">
      <c r="A916" vm="1651">
        <f ca="1"/>
        <v>45575</v>
      </c>
      <c r="B916" vm="174">
        <f ca="1"/>
        <v>39.97</v>
      </c>
      <c r="C916">
        <f t="shared" ca="1" si="186"/>
        <v>-0.21999999999999886</v>
      </c>
      <c r="D916">
        <f t="shared" ca="1" si="187"/>
        <v>0</v>
      </c>
      <c r="E916">
        <f t="shared" ca="1" si="188"/>
        <v>0.21999999999999886</v>
      </c>
      <c r="F916">
        <f t="shared" ca="1" si="178"/>
        <v>0.17384997650065329</v>
      </c>
      <c r="G916">
        <f t="shared" ca="1" si="179"/>
        <v>0.15175326476793113</v>
      </c>
      <c r="H916">
        <f t="shared" ca="1" si="180"/>
        <v>1.1456094652494861</v>
      </c>
      <c r="I916">
        <f t="shared" ca="1" si="181"/>
        <v>53.393195910248167</v>
      </c>
      <c r="J916">
        <f t="shared" ca="1" si="182"/>
        <v>1</v>
      </c>
      <c r="K916">
        <f t="shared" ca="1" si="183"/>
        <v>0</v>
      </c>
      <c r="L916">
        <f t="shared" ca="1" si="177"/>
        <v>0</v>
      </c>
      <c r="M916" t="str">
        <f t="shared" ca="1" si="184"/>
        <v>na</v>
      </c>
      <c r="N916" t="str">
        <f t="shared" ca="1" si="185"/>
        <v>na</v>
      </c>
    </row>
    <row r="917" spans="1:14" x14ac:dyDescent="0.2">
      <c r="A917" vm="1652">
        <f ca="1"/>
        <v>45576</v>
      </c>
      <c r="B917" vm="235">
        <f ca="1"/>
        <v>41.95</v>
      </c>
      <c r="C917">
        <f t="shared" ca="1" si="186"/>
        <v>1.980000000000004</v>
      </c>
      <c r="D917">
        <f t="shared" ca="1" si="187"/>
        <v>1.980000000000004</v>
      </c>
      <c r="E917">
        <f t="shared" ca="1" si="188"/>
        <v>0</v>
      </c>
      <c r="F917">
        <f t="shared" ca="1" si="178"/>
        <v>0.30286069246489261</v>
      </c>
      <c r="G917">
        <f t="shared" ca="1" si="179"/>
        <v>0.14091374585593605</v>
      </c>
      <c r="H917">
        <f t="shared" ca="1" si="180"/>
        <v>2.1492629453944394</v>
      </c>
      <c r="I917">
        <f t="shared" ca="1" si="181"/>
        <v>68.246538401551234</v>
      </c>
      <c r="J917">
        <f t="shared" ca="1" si="182"/>
        <v>1</v>
      </c>
      <c r="K917">
        <f t="shared" ca="1" si="183"/>
        <v>0</v>
      </c>
      <c r="L917">
        <f t="shared" ca="1" si="177"/>
        <v>0</v>
      </c>
      <c r="M917" t="str">
        <f t="shared" ca="1" si="184"/>
        <v>na</v>
      </c>
      <c r="N917" t="str">
        <f t="shared" ca="1" si="185"/>
        <v>na</v>
      </c>
    </row>
    <row r="918" spans="1:14" x14ac:dyDescent="0.2">
      <c r="A918" vm="1653">
        <f ca="1"/>
        <v>45579</v>
      </c>
      <c r="B918" vm="1654">
        <f ca="1"/>
        <v>41.91</v>
      </c>
      <c r="C918">
        <f t="shared" ca="1" si="186"/>
        <v>-4.0000000000006253E-2</v>
      </c>
      <c r="D918">
        <f t="shared" ca="1" si="187"/>
        <v>0</v>
      </c>
      <c r="E918">
        <f t="shared" ca="1" si="188"/>
        <v>4.0000000000006253E-2</v>
      </c>
      <c r="F918">
        <f t="shared" ca="1" si="178"/>
        <v>0.28122778586025743</v>
      </c>
      <c r="G918">
        <f t="shared" ca="1" si="179"/>
        <v>0.13370562115194107</v>
      </c>
      <c r="H918">
        <f t="shared" ca="1" si="180"/>
        <v>2.1033355474312811</v>
      </c>
      <c r="I918">
        <f t="shared" ca="1" si="181"/>
        <v>67.77660730797453</v>
      </c>
      <c r="J918">
        <f t="shared" ca="1" si="182"/>
        <v>1</v>
      </c>
      <c r="K918">
        <f t="shared" ca="1" si="183"/>
        <v>0</v>
      </c>
      <c r="L918">
        <f t="shared" ref="L918:L981" ca="1" si="189">IF(I918&gt;$C$3,1,0)</f>
        <v>0</v>
      </c>
      <c r="M918" t="str">
        <f t="shared" ca="1" si="184"/>
        <v>na</v>
      </c>
      <c r="N918" t="str">
        <f t="shared" ca="1" si="185"/>
        <v>na</v>
      </c>
    </row>
    <row r="919" spans="1:14" x14ac:dyDescent="0.2">
      <c r="A919" vm="1655">
        <f ca="1"/>
        <v>45580</v>
      </c>
      <c r="B919" vm="293">
        <f ca="1"/>
        <v>42.14</v>
      </c>
      <c r="C919">
        <f t="shared" ca="1" si="186"/>
        <v>0.23000000000000398</v>
      </c>
      <c r="D919">
        <f t="shared" ca="1" si="187"/>
        <v>0.23000000000000398</v>
      </c>
      <c r="E919">
        <f t="shared" ca="1" si="188"/>
        <v>0</v>
      </c>
      <c r="F919">
        <f t="shared" ref="F919:F982" ca="1" si="190">((F918*13)+D919)/14</f>
        <v>0.27756865829881072</v>
      </c>
      <c r="G919">
        <f t="shared" ref="G919:G982" ca="1" si="191">((G918*13)+E919)/14</f>
        <v>0.12415521964108812</v>
      </c>
      <c r="H919">
        <f t="shared" ref="H919:H982" ca="1" si="192">AVERAGE(F919/G919)</f>
        <v>2.2356583887589672</v>
      </c>
      <c r="I919">
        <f t="shared" ref="I919:I982" ca="1" si="193">IF(G919=0,100,100-(100/(1+H919)))</f>
        <v>69.094388842959759</v>
      </c>
      <c r="J919">
        <f t="shared" ca="1" si="182"/>
        <v>1</v>
      </c>
      <c r="K919">
        <f t="shared" ca="1" si="183"/>
        <v>0</v>
      </c>
      <c r="L919">
        <f t="shared" ca="1" si="189"/>
        <v>0</v>
      </c>
      <c r="M919" t="str">
        <f t="shared" ca="1" si="184"/>
        <v>na</v>
      </c>
      <c r="N919" t="str">
        <f t="shared" ca="1" si="185"/>
        <v>na</v>
      </c>
    </row>
    <row r="920" spans="1:14" x14ac:dyDescent="0.2">
      <c r="A920" vm="1656">
        <f ca="1"/>
        <v>45581</v>
      </c>
      <c r="B920" vm="61">
        <f ca="1"/>
        <v>42.8</v>
      </c>
      <c r="C920">
        <f t="shared" ca="1" si="186"/>
        <v>0.65999999999999659</v>
      </c>
      <c r="D920">
        <f t="shared" ca="1" si="187"/>
        <v>0.65999999999999659</v>
      </c>
      <c r="E920">
        <f t="shared" ca="1" si="188"/>
        <v>0</v>
      </c>
      <c r="F920">
        <f t="shared" ca="1" si="190"/>
        <v>0.30488518270603826</v>
      </c>
      <c r="G920">
        <f t="shared" ca="1" si="191"/>
        <v>0.11528698966672468</v>
      </c>
      <c r="H920">
        <f t="shared" ca="1" si="192"/>
        <v>2.6445757980792983</v>
      </c>
      <c r="I920">
        <f t="shared" ca="1" si="193"/>
        <v>72.561964535708029</v>
      </c>
      <c r="J920">
        <f t="shared" ref="J920:J983" ca="1" si="194">IF(K920=1,1,IF(L920=1,0,IF(J919=1,1,0)))</f>
        <v>0</v>
      </c>
      <c r="K920">
        <f t="shared" ref="K920:K983" ca="1" si="195">IF(I920&lt;$B$3,1,0)</f>
        <v>0</v>
      </c>
      <c r="L920">
        <f t="shared" ca="1" si="189"/>
        <v>1</v>
      </c>
      <c r="M920" t="str">
        <f t="shared" ref="M920:M983" ca="1" si="196">IF(AND(K920=1,J919=0),B920,"na")</f>
        <v>na</v>
      </c>
      <c r="N920" vm="61">
        <f t="shared" ref="N920:N983" ca="1" si="197">IF(AND(L920=1,J919=1),B920,"na")</f>
        <v>42.8</v>
      </c>
    </row>
    <row r="921" spans="1:14" x14ac:dyDescent="0.2">
      <c r="A921" vm="1657">
        <f ca="1"/>
        <v>45582</v>
      </c>
      <c r="B921" vm="1658">
        <f ca="1"/>
        <v>42.6</v>
      </c>
      <c r="C921">
        <f t="shared" ca="1" si="186"/>
        <v>-0.19999999999999574</v>
      </c>
      <c r="D921">
        <f t="shared" ca="1" si="187"/>
        <v>0</v>
      </c>
      <c r="E921">
        <f t="shared" ca="1" si="188"/>
        <v>0.19999999999999574</v>
      </c>
      <c r="F921">
        <f t="shared" ca="1" si="190"/>
        <v>0.28310766965560696</v>
      </c>
      <c r="G921">
        <f t="shared" ca="1" si="191"/>
        <v>0.12133791897624405</v>
      </c>
      <c r="H921">
        <f t="shared" ca="1" si="192"/>
        <v>2.3332167886531394</v>
      </c>
      <c r="I921">
        <f t="shared" ca="1" si="193"/>
        <v>69.998951061203783</v>
      </c>
      <c r="J921">
        <f t="shared" ca="1" si="194"/>
        <v>0</v>
      </c>
      <c r="K921">
        <f t="shared" ca="1" si="195"/>
        <v>0</v>
      </c>
      <c r="L921">
        <f t="shared" ca="1" si="189"/>
        <v>0</v>
      </c>
      <c r="M921" t="str">
        <f t="shared" ca="1" si="196"/>
        <v>na</v>
      </c>
      <c r="N921" t="str">
        <f t="shared" ca="1" si="197"/>
        <v>na</v>
      </c>
    </row>
    <row r="922" spans="1:14" x14ac:dyDescent="0.2">
      <c r="A922" vm="1659">
        <f ca="1"/>
        <v>45583</v>
      </c>
      <c r="B922" vm="158">
        <f ca="1"/>
        <v>42.32</v>
      </c>
      <c r="C922">
        <f t="shared" ca="1" si="186"/>
        <v>-0.28000000000000114</v>
      </c>
      <c r="D922">
        <f t="shared" ca="1" si="187"/>
        <v>0</v>
      </c>
      <c r="E922">
        <f t="shared" ca="1" si="188"/>
        <v>0.28000000000000114</v>
      </c>
      <c r="F922">
        <f t="shared" ca="1" si="190"/>
        <v>0.26288569325163502</v>
      </c>
      <c r="G922">
        <f t="shared" ca="1" si="191"/>
        <v>0.13267092476365527</v>
      </c>
      <c r="H922">
        <f t="shared" ca="1" si="192"/>
        <v>1.981486853430388</v>
      </c>
      <c r="I922">
        <f t="shared" ca="1" si="193"/>
        <v>66.459687761177378</v>
      </c>
      <c r="J922">
        <f t="shared" ca="1" si="194"/>
        <v>0</v>
      </c>
      <c r="K922">
        <f t="shared" ca="1" si="195"/>
        <v>0</v>
      </c>
      <c r="L922">
        <f t="shared" ca="1" si="189"/>
        <v>0</v>
      </c>
      <c r="M922" t="str">
        <f t="shared" ca="1" si="196"/>
        <v>na</v>
      </c>
      <c r="N922" t="str">
        <f t="shared" ca="1" si="197"/>
        <v>na</v>
      </c>
    </row>
    <row r="923" spans="1:14" x14ac:dyDescent="0.2">
      <c r="A923" vm="1660">
        <f ca="1"/>
        <v>45586</v>
      </c>
      <c r="B923" vm="1661">
        <f ca="1"/>
        <v>41.76</v>
      </c>
      <c r="C923">
        <f t="shared" ca="1" si="186"/>
        <v>-0.56000000000000227</v>
      </c>
      <c r="D923">
        <f t="shared" ca="1" si="187"/>
        <v>0</v>
      </c>
      <c r="E923">
        <f t="shared" ca="1" si="188"/>
        <v>0.56000000000000227</v>
      </c>
      <c r="F923">
        <f t="shared" ca="1" si="190"/>
        <v>0.2441081437336611</v>
      </c>
      <c r="G923">
        <f t="shared" ca="1" si="191"/>
        <v>0.16319443013768004</v>
      </c>
      <c r="H923">
        <f t="shared" ca="1" si="192"/>
        <v>1.4958117352885003</v>
      </c>
      <c r="I923">
        <f t="shared" ca="1" si="193"/>
        <v>59.932875310228226</v>
      </c>
      <c r="J923">
        <f t="shared" ca="1" si="194"/>
        <v>0</v>
      </c>
      <c r="K923">
        <f t="shared" ca="1" si="195"/>
        <v>0</v>
      </c>
      <c r="L923">
        <f t="shared" ca="1" si="189"/>
        <v>0</v>
      </c>
      <c r="M923" t="str">
        <f t="shared" ca="1" si="196"/>
        <v>na</v>
      </c>
      <c r="N923" t="str">
        <f t="shared" ca="1" si="197"/>
        <v>na</v>
      </c>
    </row>
    <row r="924" spans="1:14" x14ac:dyDescent="0.2">
      <c r="A924" vm="1662">
        <f ca="1"/>
        <v>45587</v>
      </c>
      <c r="B924" vm="1562">
        <f ca="1"/>
        <v>42.3</v>
      </c>
      <c r="C924">
        <f t="shared" ca="1" si="186"/>
        <v>0.53999999999999915</v>
      </c>
      <c r="D924">
        <f t="shared" ca="1" si="187"/>
        <v>0.53999999999999915</v>
      </c>
      <c r="E924">
        <f t="shared" ca="1" si="188"/>
        <v>0</v>
      </c>
      <c r="F924">
        <f t="shared" ca="1" si="190"/>
        <v>0.26524327632411382</v>
      </c>
      <c r="G924">
        <f t="shared" ca="1" si="191"/>
        <v>0.15153768512784577</v>
      </c>
      <c r="H924">
        <f t="shared" ca="1" si="192"/>
        <v>1.7503453091575181</v>
      </c>
      <c r="I924">
        <f t="shared" ca="1" si="193"/>
        <v>63.640929134592248</v>
      </c>
      <c r="J924">
        <f t="shared" ca="1" si="194"/>
        <v>0</v>
      </c>
      <c r="K924">
        <f t="shared" ca="1" si="195"/>
        <v>0</v>
      </c>
      <c r="L924">
        <f t="shared" ca="1" si="189"/>
        <v>0</v>
      </c>
      <c r="M924" t="str">
        <f t="shared" ca="1" si="196"/>
        <v>na</v>
      </c>
      <c r="N924" t="str">
        <f t="shared" ca="1" si="197"/>
        <v>na</v>
      </c>
    </row>
    <row r="925" spans="1:14" x14ac:dyDescent="0.2">
      <c r="A925" vm="1663">
        <f ca="1"/>
        <v>45588</v>
      </c>
      <c r="B925" vm="1664">
        <f ca="1"/>
        <v>42.34</v>
      </c>
      <c r="C925">
        <f t="shared" ca="1" si="186"/>
        <v>4.0000000000006253E-2</v>
      </c>
      <c r="D925">
        <f t="shared" ca="1" si="187"/>
        <v>4.0000000000006253E-2</v>
      </c>
      <c r="E925">
        <f t="shared" ca="1" si="188"/>
        <v>0</v>
      </c>
      <c r="F925">
        <f t="shared" ca="1" si="190"/>
        <v>0.24915447087239184</v>
      </c>
      <c r="G925">
        <f t="shared" ca="1" si="191"/>
        <v>0.14071356476157107</v>
      </c>
      <c r="H925">
        <f t="shared" ca="1" si="192"/>
        <v>1.770649981716873</v>
      </c>
      <c r="I925">
        <f t="shared" ca="1" si="193"/>
        <v>63.907386115212731</v>
      </c>
      <c r="J925">
        <f t="shared" ca="1" si="194"/>
        <v>0</v>
      </c>
      <c r="K925">
        <f t="shared" ca="1" si="195"/>
        <v>0</v>
      </c>
      <c r="L925">
        <f t="shared" ca="1" si="189"/>
        <v>0</v>
      </c>
      <c r="M925" t="str">
        <f t="shared" ca="1" si="196"/>
        <v>na</v>
      </c>
      <c r="N925" t="str">
        <f t="shared" ca="1" si="197"/>
        <v>na</v>
      </c>
    </row>
    <row r="926" spans="1:14" x14ac:dyDescent="0.2">
      <c r="A926" vm="1665">
        <f ca="1"/>
        <v>45589</v>
      </c>
      <c r="B926" vm="1666">
        <f ca="1"/>
        <v>42.65</v>
      </c>
      <c r="C926">
        <f t="shared" ca="1" si="186"/>
        <v>0.30999999999999517</v>
      </c>
      <c r="D926">
        <f t="shared" ca="1" si="187"/>
        <v>0.30999999999999517</v>
      </c>
      <c r="E926">
        <f t="shared" ca="1" si="188"/>
        <v>0</v>
      </c>
      <c r="F926">
        <f t="shared" ca="1" si="190"/>
        <v>0.25350058009579207</v>
      </c>
      <c r="G926">
        <f t="shared" ca="1" si="191"/>
        <v>0.13066259585003029</v>
      </c>
      <c r="H926">
        <f t="shared" ca="1" si="192"/>
        <v>1.9401159026929995</v>
      </c>
      <c r="I926">
        <f t="shared" ca="1" si="193"/>
        <v>65.987735412605673</v>
      </c>
      <c r="J926">
        <f t="shared" ca="1" si="194"/>
        <v>0</v>
      </c>
      <c r="K926">
        <f t="shared" ca="1" si="195"/>
        <v>0</v>
      </c>
      <c r="L926">
        <f t="shared" ca="1" si="189"/>
        <v>0</v>
      </c>
      <c r="M926" t="str">
        <f t="shared" ca="1" si="196"/>
        <v>na</v>
      </c>
      <c r="N926" t="str">
        <f t="shared" ca="1" si="197"/>
        <v>na</v>
      </c>
    </row>
    <row r="927" spans="1:14" x14ac:dyDescent="0.2">
      <c r="A927" vm="1667">
        <f ca="1"/>
        <v>45590</v>
      </c>
      <c r="B927" vm="1554">
        <f ca="1"/>
        <v>41.89</v>
      </c>
      <c r="C927">
        <f t="shared" ca="1" si="186"/>
        <v>-0.75999999999999801</v>
      </c>
      <c r="D927">
        <f t="shared" ca="1" si="187"/>
        <v>0</v>
      </c>
      <c r="E927">
        <f t="shared" ca="1" si="188"/>
        <v>0.75999999999999801</v>
      </c>
      <c r="F927">
        <f t="shared" ca="1" si="190"/>
        <v>0.23539339580323548</v>
      </c>
      <c r="G927">
        <f t="shared" ca="1" si="191"/>
        <v>0.17561526757502799</v>
      </c>
      <c r="H927">
        <f t="shared" ca="1" si="192"/>
        <v>1.3403925470356302</v>
      </c>
      <c r="I927">
        <f t="shared" ca="1" si="193"/>
        <v>57.27212508574204</v>
      </c>
      <c r="J927">
        <f t="shared" ca="1" si="194"/>
        <v>0</v>
      </c>
      <c r="K927">
        <f t="shared" ca="1" si="195"/>
        <v>0</v>
      </c>
      <c r="L927">
        <f t="shared" ca="1" si="189"/>
        <v>0</v>
      </c>
      <c r="M927" t="str">
        <f t="shared" ca="1" si="196"/>
        <v>na</v>
      </c>
      <c r="N927" t="str">
        <f t="shared" ca="1" si="197"/>
        <v>na</v>
      </c>
    </row>
    <row r="928" spans="1:14" x14ac:dyDescent="0.2">
      <c r="A928" vm="1668">
        <f ca="1"/>
        <v>45593</v>
      </c>
      <c r="B928" vm="1669">
        <f ca="1"/>
        <v>42.62</v>
      </c>
      <c r="C928">
        <f t="shared" ca="1" si="186"/>
        <v>0.72999999999999687</v>
      </c>
      <c r="D928">
        <f t="shared" ca="1" si="187"/>
        <v>0.72999999999999687</v>
      </c>
      <c r="E928">
        <f t="shared" ca="1" si="188"/>
        <v>0</v>
      </c>
      <c r="F928">
        <f t="shared" ca="1" si="190"/>
        <v>0.27072243896014703</v>
      </c>
      <c r="G928">
        <f t="shared" ca="1" si="191"/>
        <v>0.16307131989109741</v>
      </c>
      <c r="H928">
        <f t="shared" ca="1" si="192"/>
        <v>1.6601474688555988</v>
      </c>
      <c r="I928">
        <f t="shared" ca="1" si="193"/>
        <v>62.408099110753355</v>
      </c>
      <c r="J928">
        <f t="shared" ca="1" si="194"/>
        <v>0</v>
      </c>
      <c r="K928">
        <f t="shared" ca="1" si="195"/>
        <v>0</v>
      </c>
      <c r="L928">
        <f t="shared" ca="1" si="189"/>
        <v>0</v>
      </c>
      <c r="M928" t="str">
        <f t="shared" ca="1" si="196"/>
        <v>na</v>
      </c>
      <c r="N928" t="str">
        <f t="shared" ca="1" si="197"/>
        <v>na</v>
      </c>
    </row>
    <row r="929" spans="1:14" x14ac:dyDescent="0.2">
      <c r="A929" vm="1670">
        <f ca="1"/>
        <v>45594</v>
      </c>
      <c r="B929" vm="1671">
        <f ca="1"/>
        <v>42.53</v>
      </c>
      <c r="C929">
        <f t="shared" ca="1" si="186"/>
        <v>-8.9999999999996305E-2</v>
      </c>
      <c r="D929">
        <f t="shared" ca="1" si="187"/>
        <v>0</v>
      </c>
      <c r="E929">
        <f t="shared" ca="1" si="188"/>
        <v>8.9999999999996305E-2</v>
      </c>
      <c r="F929">
        <f t="shared" ca="1" si="190"/>
        <v>0.25138512189156509</v>
      </c>
      <c r="G929">
        <f t="shared" ca="1" si="191"/>
        <v>0.15785193989887589</v>
      </c>
      <c r="H929">
        <f t="shared" ca="1" si="192"/>
        <v>1.5925374249604345</v>
      </c>
      <c r="I929">
        <f t="shared" ca="1" si="193"/>
        <v>61.427750651844057</v>
      </c>
      <c r="J929">
        <f t="shared" ca="1" si="194"/>
        <v>0</v>
      </c>
      <c r="K929">
        <f t="shared" ca="1" si="195"/>
        <v>0</v>
      </c>
      <c r="L929">
        <f t="shared" ca="1" si="189"/>
        <v>0</v>
      </c>
      <c r="M929" t="str">
        <f t="shared" ca="1" si="196"/>
        <v>na</v>
      </c>
      <c r="N929" t="str">
        <f t="shared" ca="1" si="197"/>
        <v>na</v>
      </c>
    </row>
    <row r="930" spans="1:14" x14ac:dyDescent="0.2">
      <c r="A930" vm="1672">
        <f ca="1"/>
        <v>45595</v>
      </c>
      <c r="B930" vm="1673">
        <f ca="1"/>
        <v>42.31</v>
      </c>
      <c r="C930">
        <f t="shared" ca="1" si="186"/>
        <v>-0.21999999999999886</v>
      </c>
      <c r="D930">
        <f t="shared" ca="1" si="187"/>
        <v>0</v>
      </c>
      <c r="E930">
        <f t="shared" ca="1" si="188"/>
        <v>0.21999999999999886</v>
      </c>
      <c r="F930">
        <f t="shared" ca="1" si="190"/>
        <v>0.23342904175645329</v>
      </c>
      <c r="G930">
        <f t="shared" ca="1" si="191"/>
        <v>0.16229108704895609</v>
      </c>
      <c r="H930">
        <f t="shared" ca="1" si="192"/>
        <v>1.4383355611268904</v>
      </c>
      <c r="I930">
        <f t="shared" ca="1" si="193"/>
        <v>58.988417511417317</v>
      </c>
      <c r="J930">
        <f t="shared" ca="1" si="194"/>
        <v>0</v>
      </c>
      <c r="K930">
        <f t="shared" ca="1" si="195"/>
        <v>0</v>
      </c>
      <c r="L930">
        <f t="shared" ca="1" si="189"/>
        <v>0</v>
      </c>
      <c r="M930" t="str">
        <f t="shared" ca="1" si="196"/>
        <v>na</v>
      </c>
      <c r="N930" t="str">
        <f t="shared" ca="1" si="197"/>
        <v>na</v>
      </c>
    </row>
    <row r="931" spans="1:14" x14ac:dyDescent="0.2">
      <c r="A931" vm="1674">
        <f ca="1"/>
        <v>45596</v>
      </c>
      <c r="B931" vm="1675">
        <f ca="1"/>
        <v>41.82</v>
      </c>
      <c r="C931">
        <f t="shared" ca="1" si="186"/>
        <v>-0.49000000000000199</v>
      </c>
      <c r="D931">
        <f t="shared" ca="1" si="187"/>
        <v>0</v>
      </c>
      <c r="E931">
        <f t="shared" ca="1" si="188"/>
        <v>0.49000000000000199</v>
      </c>
      <c r="F931">
        <f t="shared" ca="1" si="190"/>
        <v>0.21675553877384951</v>
      </c>
      <c r="G931">
        <f t="shared" ca="1" si="191"/>
        <v>0.18569886654545936</v>
      </c>
      <c r="H931">
        <f t="shared" ca="1" si="192"/>
        <v>1.167242120569365</v>
      </c>
      <c r="I931">
        <f t="shared" ca="1" si="193"/>
        <v>53.858408780958634</v>
      </c>
      <c r="J931">
        <f t="shared" ca="1" si="194"/>
        <v>0</v>
      </c>
      <c r="K931">
        <f t="shared" ca="1" si="195"/>
        <v>0</v>
      </c>
      <c r="L931">
        <f t="shared" ca="1" si="189"/>
        <v>0</v>
      </c>
      <c r="M931" t="str">
        <f t="shared" ca="1" si="196"/>
        <v>na</v>
      </c>
      <c r="N931" t="str">
        <f t="shared" ca="1" si="197"/>
        <v>na</v>
      </c>
    </row>
    <row r="932" spans="1:14" x14ac:dyDescent="0.2">
      <c r="A932" vm="1676">
        <f ca="1"/>
        <v>45597</v>
      </c>
      <c r="B932" vm="1661">
        <f ca="1"/>
        <v>41.76</v>
      </c>
      <c r="C932">
        <f t="shared" ca="1" si="186"/>
        <v>-6.0000000000002274E-2</v>
      </c>
      <c r="D932">
        <f t="shared" ca="1" si="187"/>
        <v>0</v>
      </c>
      <c r="E932">
        <f t="shared" ca="1" si="188"/>
        <v>6.0000000000002274E-2</v>
      </c>
      <c r="F932">
        <f t="shared" ca="1" si="190"/>
        <v>0.20127300029000311</v>
      </c>
      <c r="G932">
        <f t="shared" ca="1" si="191"/>
        <v>0.17672037607792673</v>
      </c>
      <c r="H932">
        <f t="shared" ca="1" si="192"/>
        <v>1.1389348798196854</v>
      </c>
      <c r="I932">
        <f t="shared" ca="1" si="193"/>
        <v>53.247758525294557</v>
      </c>
      <c r="J932">
        <f t="shared" ca="1" si="194"/>
        <v>0</v>
      </c>
      <c r="K932">
        <f t="shared" ca="1" si="195"/>
        <v>0</v>
      </c>
      <c r="L932">
        <f t="shared" ca="1" si="189"/>
        <v>0</v>
      </c>
      <c r="M932" t="str">
        <f t="shared" ca="1" si="196"/>
        <v>na</v>
      </c>
      <c r="N932" t="str">
        <f t="shared" ca="1" si="197"/>
        <v>na</v>
      </c>
    </row>
    <row r="933" spans="1:14" x14ac:dyDescent="0.2">
      <c r="A933" vm="1677">
        <f ca="1"/>
        <v>45600</v>
      </c>
      <c r="B933" vm="1678">
        <f ca="1"/>
        <v>41.33</v>
      </c>
      <c r="C933">
        <f t="shared" ca="1" si="186"/>
        <v>-0.42999999999999972</v>
      </c>
      <c r="D933">
        <f t="shared" ca="1" si="187"/>
        <v>0</v>
      </c>
      <c r="E933">
        <f t="shared" ca="1" si="188"/>
        <v>0.42999999999999972</v>
      </c>
      <c r="F933">
        <f t="shared" ca="1" si="190"/>
        <v>0.18689635741214575</v>
      </c>
      <c r="G933">
        <f t="shared" ca="1" si="191"/>
        <v>0.19481177778664624</v>
      </c>
      <c r="H933">
        <f t="shared" ca="1" si="192"/>
        <v>0.95936888177690527</v>
      </c>
      <c r="I933">
        <f t="shared" ca="1" si="193"/>
        <v>48.963158019886301</v>
      </c>
      <c r="J933">
        <f t="shared" ca="1" si="194"/>
        <v>0</v>
      </c>
      <c r="K933">
        <f t="shared" ca="1" si="195"/>
        <v>0</v>
      </c>
      <c r="L933">
        <f t="shared" ca="1" si="189"/>
        <v>0</v>
      </c>
      <c r="M933" t="str">
        <f t="shared" ca="1" si="196"/>
        <v>na</v>
      </c>
      <c r="N933" t="str">
        <f t="shared" ca="1" si="197"/>
        <v>na</v>
      </c>
    </row>
    <row r="934" spans="1:14" x14ac:dyDescent="0.2">
      <c r="A934" vm="1679">
        <f ca="1"/>
        <v>45601</v>
      </c>
      <c r="B934" vm="1680">
        <f ca="1"/>
        <v>41.88</v>
      </c>
      <c r="C934">
        <f t="shared" ca="1" si="186"/>
        <v>0.55000000000000426</v>
      </c>
      <c r="D934">
        <f t="shared" ca="1" si="187"/>
        <v>0.55000000000000426</v>
      </c>
      <c r="E934">
        <f t="shared" ca="1" si="188"/>
        <v>0</v>
      </c>
      <c r="F934">
        <f t="shared" ca="1" si="190"/>
        <v>0.21283233188270706</v>
      </c>
      <c r="G934">
        <f t="shared" ca="1" si="191"/>
        <v>0.1808966508018858</v>
      </c>
      <c r="H934">
        <f t="shared" ca="1" si="192"/>
        <v>1.1765410301365753</v>
      </c>
      <c r="I934">
        <f t="shared" ca="1" si="193"/>
        <v>54.055541055559551</v>
      </c>
      <c r="J934">
        <f t="shared" ca="1" si="194"/>
        <v>0</v>
      </c>
      <c r="K934">
        <f t="shared" ca="1" si="195"/>
        <v>0</v>
      </c>
      <c r="L934">
        <f t="shared" ca="1" si="189"/>
        <v>0</v>
      </c>
      <c r="M934" t="str">
        <f t="shared" ca="1" si="196"/>
        <v>na</v>
      </c>
      <c r="N934" t="str">
        <f t="shared" ca="1" si="197"/>
        <v>na</v>
      </c>
    </row>
    <row r="935" spans="1:14" x14ac:dyDescent="0.2">
      <c r="A935" vm="1681">
        <f ca="1"/>
        <v>45602</v>
      </c>
      <c r="B935" vm="1682">
        <f ca="1"/>
        <v>45.41</v>
      </c>
      <c r="C935">
        <f t="shared" ca="1" si="186"/>
        <v>3.529999999999994</v>
      </c>
      <c r="D935">
        <f t="shared" ca="1" si="187"/>
        <v>3.529999999999994</v>
      </c>
      <c r="E935">
        <f t="shared" ca="1" si="188"/>
        <v>0</v>
      </c>
      <c r="F935">
        <f t="shared" ca="1" si="190"/>
        <v>0.44977287960537043</v>
      </c>
      <c r="G935">
        <f t="shared" ca="1" si="191"/>
        <v>0.16797546145889397</v>
      </c>
      <c r="H935">
        <f t="shared" ca="1" si="192"/>
        <v>2.6776106206169668</v>
      </c>
      <c r="I935">
        <f t="shared" ca="1" si="193"/>
        <v>72.808431800965451</v>
      </c>
      <c r="J935">
        <f t="shared" ca="1" si="194"/>
        <v>0</v>
      </c>
      <c r="K935">
        <f t="shared" ca="1" si="195"/>
        <v>0</v>
      </c>
      <c r="L935">
        <f t="shared" ca="1" si="189"/>
        <v>1</v>
      </c>
      <c r="M935" t="str">
        <f t="shared" ca="1" si="196"/>
        <v>na</v>
      </c>
      <c r="N935" t="str">
        <f t="shared" ca="1" si="197"/>
        <v>na</v>
      </c>
    </row>
    <row r="936" spans="1:14" x14ac:dyDescent="0.2">
      <c r="A936" vm="1683">
        <f ca="1"/>
        <v>45603</v>
      </c>
      <c r="B936" vm="1684">
        <f ca="1"/>
        <v>44.77</v>
      </c>
      <c r="C936">
        <f t="shared" ca="1" si="186"/>
        <v>-0.63999999999999346</v>
      </c>
      <c r="D936">
        <f t="shared" ca="1" si="187"/>
        <v>0</v>
      </c>
      <c r="E936">
        <f t="shared" ca="1" si="188"/>
        <v>0.63999999999999346</v>
      </c>
      <c r="F936">
        <f t="shared" ca="1" si="190"/>
        <v>0.41764624534784395</v>
      </c>
      <c r="G936">
        <f t="shared" ca="1" si="191"/>
        <v>0.20169149992611538</v>
      </c>
      <c r="H936">
        <f t="shared" ca="1" si="192"/>
        <v>2.0707181289287759</v>
      </c>
      <c r="I936">
        <f t="shared" ca="1" si="193"/>
        <v>67.434327801723327</v>
      </c>
      <c r="J936">
        <f t="shared" ca="1" si="194"/>
        <v>0</v>
      </c>
      <c r="K936">
        <f t="shared" ca="1" si="195"/>
        <v>0</v>
      </c>
      <c r="L936">
        <f t="shared" ca="1" si="189"/>
        <v>0</v>
      </c>
      <c r="M936" t="str">
        <f t="shared" ca="1" si="196"/>
        <v>na</v>
      </c>
      <c r="N936" t="str">
        <f t="shared" ca="1" si="197"/>
        <v>na</v>
      </c>
    </row>
    <row r="937" spans="1:14" x14ac:dyDescent="0.2">
      <c r="A937" vm="1685">
        <f ca="1"/>
        <v>45604</v>
      </c>
      <c r="B937" vm="1686">
        <f ca="1"/>
        <v>45.13</v>
      </c>
      <c r="C937">
        <f t="shared" ca="1" si="186"/>
        <v>0.35999999999999943</v>
      </c>
      <c r="D937">
        <f t="shared" ca="1" si="187"/>
        <v>0.35999999999999943</v>
      </c>
      <c r="E937">
        <f t="shared" ca="1" si="188"/>
        <v>0</v>
      </c>
      <c r="F937">
        <f t="shared" ca="1" si="190"/>
        <v>0.41352865639442643</v>
      </c>
      <c r="G937">
        <f t="shared" ca="1" si="191"/>
        <v>0.18728496421710714</v>
      </c>
      <c r="H937">
        <f t="shared" ca="1" si="192"/>
        <v>2.2080184499757807</v>
      </c>
      <c r="I937">
        <f t="shared" ca="1" si="193"/>
        <v>68.828109451566604</v>
      </c>
      <c r="J937">
        <f t="shared" ca="1" si="194"/>
        <v>0</v>
      </c>
      <c r="K937">
        <f t="shared" ca="1" si="195"/>
        <v>0</v>
      </c>
      <c r="L937">
        <f t="shared" ca="1" si="189"/>
        <v>0</v>
      </c>
      <c r="M937" t="str">
        <f t="shared" ca="1" si="196"/>
        <v>na</v>
      </c>
      <c r="N937" t="str">
        <f t="shared" ca="1" si="197"/>
        <v>na</v>
      </c>
    </row>
    <row r="938" spans="1:14" x14ac:dyDescent="0.2">
      <c r="A938" vm="1687">
        <f ca="1"/>
        <v>45607</v>
      </c>
      <c r="B938" vm="1688">
        <f ca="1"/>
        <v>46.08</v>
      </c>
      <c r="C938">
        <f t="shared" ca="1" si="186"/>
        <v>0.94999999999999574</v>
      </c>
      <c r="D938">
        <f t="shared" ca="1" si="187"/>
        <v>0.94999999999999574</v>
      </c>
      <c r="E938">
        <f t="shared" ca="1" si="188"/>
        <v>0</v>
      </c>
      <c r="F938">
        <f t="shared" ca="1" si="190"/>
        <v>0.45184803808053847</v>
      </c>
      <c r="G938">
        <f t="shared" ca="1" si="191"/>
        <v>0.17390746677302804</v>
      </c>
      <c r="H938">
        <f t="shared" ca="1" si="192"/>
        <v>2.5982095332931228</v>
      </c>
      <c r="I938">
        <f t="shared" ca="1" si="193"/>
        <v>72.208400018194922</v>
      </c>
      <c r="J938">
        <f t="shared" ca="1" si="194"/>
        <v>0</v>
      </c>
      <c r="K938">
        <f t="shared" ca="1" si="195"/>
        <v>0</v>
      </c>
      <c r="L938">
        <f t="shared" ca="1" si="189"/>
        <v>1</v>
      </c>
      <c r="M938" t="str">
        <f t="shared" ca="1" si="196"/>
        <v>na</v>
      </c>
      <c r="N938" t="str">
        <f t="shared" ca="1" si="197"/>
        <v>na</v>
      </c>
    </row>
    <row r="939" spans="1:14" x14ac:dyDescent="0.2">
      <c r="A939" vm="1689">
        <f ca="1"/>
        <v>45608</v>
      </c>
      <c r="B939" vm="1690">
        <f ca="1"/>
        <v>45.86</v>
      </c>
      <c r="C939">
        <f t="shared" ca="1" si="186"/>
        <v>-0.21999999999999886</v>
      </c>
      <c r="D939">
        <f t="shared" ca="1" si="187"/>
        <v>0</v>
      </c>
      <c r="E939">
        <f t="shared" ca="1" si="188"/>
        <v>0.21999999999999886</v>
      </c>
      <c r="F939">
        <f t="shared" ca="1" si="190"/>
        <v>0.41957317821764289</v>
      </c>
      <c r="G939">
        <f t="shared" ca="1" si="191"/>
        <v>0.17719979057495452</v>
      </c>
      <c r="H939">
        <f t="shared" ca="1" si="192"/>
        <v>2.367797257865075</v>
      </c>
      <c r="I939">
        <f t="shared" ca="1" si="193"/>
        <v>70.307001181124448</v>
      </c>
      <c r="J939">
        <f t="shared" ca="1" si="194"/>
        <v>0</v>
      </c>
      <c r="K939">
        <f t="shared" ca="1" si="195"/>
        <v>0</v>
      </c>
      <c r="L939">
        <f t="shared" ca="1" si="189"/>
        <v>1</v>
      </c>
      <c r="M939" t="str">
        <f t="shared" ca="1" si="196"/>
        <v>na</v>
      </c>
      <c r="N939" t="str">
        <f t="shared" ca="1" si="197"/>
        <v>na</v>
      </c>
    </row>
    <row r="940" spans="1:14" x14ac:dyDescent="0.2">
      <c r="A940" vm="1691">
        <f ca="1"/>
        <v>45609</v>
      </c>
      <c r="B940" vm="459">
        <f ca="1"/>
        <v>45.87</v>
      </c>
      <c r="C940">
        <f t="shared" ca="1" si="186"/>
        <v>9.9999999999980105E-3</v>
      </c>
      <c r="D940">
        <f t="shared" ca="1" si="187"/>
        <v>9.9999999999980105E-3</v>
      </c>
      <c r="E940">
        <f t="shared" ca="1" si="188"/>
        <v>0</v>
      </c>
      <c r="F940">
        <f t="shared" ca="1" si="190"/>
        <v>0.39031795120209684</v>
      </c>
      <c r="G940">
        <f t="shared" ca="1" si="191"/>
        <v>0.16454266267674347</v>
      </c>
      <c r="H940">
        <f t="shared" ca="1" si="192"/>
        <v>2.3721382944246261</v>
      </c>
      <c r="I940">
        <f t="shared" ca="1" si="193"/>
        <v>70.345225708762754</v>
      </c>
      <c r="J940">
        <f t="shared" ca="1" si="194"/>
        <v>0</v>
      </c>
      <c r="K940">
        <f t="shared" ca="1" si="195"/>
        <v>0</v>
      </c>
      <c r="L940">
        <f t="shared" ca="1" si="189"/>
        <v>1</v>
      </c>
      <c r="M940" t="str">
        <f t="shared" ca="1" si="196"/>
        <v>na</v>
      </c>
      <c r="N940" t="str">
        <f t="shared" ca="1" si="197"/>
        <v>na</v>
      </c>
    </row>
    <row r="941" spans="1:14" x14ac:dyDescent="0.2">
      <c r="A941" vm="1692">
        <f ca="1"/>
        <v>45610</v>
      </c>
      <c r="B941" vm="455">
        <f ca="1"/>
        <v>45.9</v>
      </c>
      <c r="C941">
        <f t="shared" ca="1" si="186"/>
        <v>3.0000000000001137E-2</v>
      </c>
      <c r="D941">
        <f t="shared" ca="1" si="187"/>
        <v>3.0000000000001137E-2</v>
      </c>
      <c r="E941">
        <f t="shared" ca="1" si="188"/>
        <v>0</v>
      </c>
      <c r="F941">
        <f t="shared" ca="1" si="190"/>
        <v>0.36458095468766144</v>
      </c>
      <c r="G941">
        <f t="shared" ca="1" si="191"/>
        <v>0.15278961534269037</v>
      </c>
      <c r="H941">
        <f t="shared" ca="1" si="192"/>
        <v>2.3861631817708706</v>
      </c>
      <c r="I941">
        <f t="shared" ca="1" si="193"/>
        <v>70.468050524457382</v>
      </c>
      <c r="J941">
        <f t="shared" ca="1" si="194"/>
        <v>0</v>
      </c>
      <c r="K941">
        <f t="shared" ca="1" si="195"/>
        <v>0</v>
      </c>
      <c r="L941">
        <f t="shared" ca="1" si="189"/>
        <v>1</v>
      </c>
      <c r="M941" t="str">
        <f t="shared" ca="1" si="196"/>
        <v>na</v>
      </c>
      <c r="N941" t="str">
        <f t="shared" ca="1" si="197"/>
        <v>na</v>
      </c>
    </row>
    <row r="942" spans="1:14" x14ac:dyDescent="0.2">
      <c r="A942" vm="1693">
        <f ca="1"/>
        <v>45611</v>
      </c>
      <c r="B942" vm="1694">
        <f ca="1"/>
        <v>46.75</v>
      </c>
      <c r="C942">
        <f t="shared" ca="1" si="186"/>
        <v>0.85000000000000142</v>
      </c>
      <c r="D942">
        <f t="shared" ca="1" si="187"/>
        <v>0.85000000000000142</v>
      </c>
      <c r="E942">
        <f t="shared" ca="1" si="188"/>
        <v>0</v>
      </c>
      <c r="F942">
        <f t="shared" ca="1" si="190"/>
        <v>0.39925374363854288</v>
      </c>
      <c r="G942">
        <f t="shared" ca="1" si="191"/>
        <v>0.14187607138964106</v>
      </c>
      <c r="H942">
        <f t="shared" ca="1" si="192"/>
        <v>2.8141020520793329</v>
      </c>
      <c r="I942">
        <f t="shared" ca="1" si="193"/>
        <v>73.781509085347352</v>
      </c>
      <c r="J942">
        <f t="shared" ca="1" si="194"/>
        <v>0</v>
      </c>
      <c r="K942">
        <f t="shared" ca="1" si="195"/>
        <v>0</v>
      </c>
      <c r="L942">
        <f t="shared" ca="1" si="189"/>
        <v>1</v>
      </c>
      <c r="M942" t="str">
        <f t="shared" ca="1" si="196"/>
        <v>na</v>
      </c>
      <c r="N942" t="str">
        <f t="shared" ca="1" si="197"/>
        <v>na</v>
      </c>
    </row>
    <row r="943" spans="1:14" x14ac:dyDescent="0.2">
      <c r="A943" vm="1695">
        <f ca="1"/>
        <v>45614</v>
      </c>
      <c r="B943" vm="1696">
        <f ca="1"/>
        <v>46.72</v>
      </c>
      <c r="C943">
        <f t="shared" ca="1" si="186"/>
        <v>-3.0000000000001137E-2</v>
      </c>
      <c r="D943">
        <f t="shared" ca="1" si="187"/>
        <v>0</v>
      </c>
      <c r="E943">
        <f t="shared" ca="1" si="188"/>
        <v>3.0000000000001137E-2</v>
      </c>
      <c r="F943">
        <f t="shared" ca="1" si="190"/>
        <v>0.37073561909293268</v>
      </c>
      <c r="G943">
        <f t="shared" ca="1" si="191"/>
        <v>0.13388492343323821</v>
      </c>
      <c r="H943">
        <f t="shared" ca="1" si="192"/>
        <v>2.7690617403818449</v>
      </c>
      <c r="I943">
        <f t="shared" ca="1" si="193"/>
        <v>73.468197952663687</v>
      </c>
      <c r="J943">
        <f t="shared" ca="1" si="194"/>
        <v>0</v>
      </c>
      <c r="K943">
        <f t="shared" ca="1" si="195"/>
        <v>0</v>
      </c>
      <c r="L943">
        <f t="shared" ca="1" si="189"/>
        <v>1</v>
      </c>
      <c r="M943" t="str">
        <f t="shared" ca="1" si="196"/>
        <v>na</v>
      </c>
      <c r="N943" t="str">
        <f t="shared" ca="1" si="197"/>
        <v>na</v>
      </c>
    </row>
    <row r="944" spans="1:14" x14ac:dyDescent="0.2">
      <c r="A944" vm="1697">
        <f ca="1"/>
        <v>45615</v>
      </c>
      <c r="B944" vm="1698">
        <f ca="1"/>
        <v>46.41</v>
      </c>
      <c r="C944">
        <f t="shared" ca="1" si="186"/>
        <v>-0.31000000000000227</v>
      </c>
      <c r="D944">
        <f t="shared" ca="1" si="187"/>
        <v>0</v>
      </c>
      <c r="E944">
        <f t="shared" ca="1" si="188"/>
        <v>0.31000000000000227</v>
      </c>
      <c r="F944">
        <f t="shared" ca="1" si="190"/>
        <v>0.3442545034434375</v>
      </c>
      <c r="G944">
        <f t="shared" ca="1" si="191"/>
        <v>0.14646457175943567</v>
      </c>
      <c r="H944">
        <f t="shared" ca="1" si="192"/>
        <v>2.3504284982232204</v>
      </c>
      <c r="I944">
        <f t="shared" ca="1" si="193"/>
        <v>70.153071449508204</v>
      </c>
      <c r="J944">
        <f t="shared" ca="1" si="194"/>
        <v>0</v>
      </c>
      <c r="K944">
        <f t="shared" ca="1" si="195"/>
        <v>0</v>
      </c>
      <c r="L944">
        <f t="shared" ca="1" si="189"/>
        <v>1</v>
      </c>
      <c r="M944" t="str">
        <f t="shared" ca="1" si="196"/>
        <v>na</v>
      </c>
      <c r="N944" t="str">
        <f t="shared" ca="1" si="197"/>
        <v>na</v>
      </c>
    </row>
    <row r="945" spans="1:14" x14ac:dyDescent="0.2">
      <c r="A945" vm="1699">
        <f ca="1"/>
        <v>45616</v>
      </c>
      <c r="B945" vm="1700">
        <f ca="1"/>
        <v>46.06</v>
      </c>
      <c r="C945">
        <f t="shared" ca="1" si="186"/>
        <v>-0.34999999999999432</v>
      </c>
      <c r="D945">
        <f t="shared" ca="1" si="187"/>
        <v>0</v>
      </c>
      <c r="E945">
        <f t="shared" ca="1" si="188"/>
        <v>0.34999999999999432</v>
      </c>
      <c r="F945">
        <f t="shared" ca="1" si="190"/>
        <v>0.31966489605462056</v>
      </c>
      <c r="G945">
        <f t="shared" ca="1" si="191"/>
        <v>0.16100281663376131</v>
      </c>
      <c r="H945">
        <f t="shared" ca="1" si="192"/>
        <v>1.9854615138924767</v>
      </c>
      <c r="I945">
        <f t="shared" ca="1" si="193"/>
        <v>66.504341276997764</v>
      </c>
      <c r="J945">
        <f t="shared" ca="1" si="194"/>
        <v>0</v>
      </c>
      <c r="K945">
        <f t="shared" ca="1" si="195"/>
        <v>0</v>
      </c>
      <c r="L945">
        <f t="shared" ca="1" si="189"/>
        <v>0</v>
      </c>
      <c r="M945" t="str">
        <f t="shared" ca="1" si="196"/>
        <v>na</v>
      </c>
      <c r="N945" t="str">
        <f t="shared" ca="1" si="197"/>
        <v>na</v>
      </c>
    </row>
    <row r="946" spans="1:14" x14ac:dyDescent="0.2">
      <c r="A946" vm="1701">
        <f ca="1"/>
        <v>45617</v>
      </c>
      <c r="B946" vm="1702">
        <f ca="1"/>
        <v>46.46</v>
      </c>
      <c r="C946">
        <f t="shared" ca="1" si="186"/>
        <v>0.39999999999999858</v>
      </c>
      <c r="D946">
        <f t="shared" ca="1" si="187"/>
        <v>0.39999999999999858</v>
      </c>
      <c r="E946">
        <f t="shared" ca="1" si="188"/>
        <v>0</v>
      </c>
      <c r="F946">
        <f t="shared" ca="1" si="190"/>
        <v>0.32540311776500469</v>
      </c>
      <c r="G946">
        <f t="shared" ca="1" si="191"/>
        <v>0.14950261544563551</v>
      </c>
      <c r="H946">
        <f t="shared" ca="1" si="192"/>
        <v>2.1765714050891161</v>
      </c>
      <c r="I946">
        <f t="shared" ca="1" si="193"/>
        <v>68.519517666188094</v>
      </c>
      <c r="J946">
        <f t="shared" ca="1" si="194"/>
        <v>0</v>
      </c>
      <c r="K946">
        <f t="shared" ca="1" si="195"/>
        <v>0</v>
      </c>
      <c r="L946">
        <f t="shared" ca="1" si="189"/>
        <v>0</v>
      </c>
      <c r="M946" t="str">
        <f t="shared" ca="1" si="196"/>
        <v>na</v>
      </c>
      <c r="N946" t="str">
        <f t="shared" ca="1" si="197"/>
        <v>na</v>
      </c>
    </row>
    <row r="947" spans="1:14" x14ac:dyDescent="0.2">
      <c r="A947" vm="1703">
        <f ca="1"/>
        <v>45618</v>
      </c>
      <c r="B947" vm="1704">
        <f ca="1"/>
        <v>47</v>
      </c>
      <c r="C947">
        <f t="shared" ca="1" si="186"/>
        <v>0.53999999999999915</v>
      </c>
      <c r="D947">
        <f t="shared" ca="1" si="187"/>
        <v>0.53999999999999915</v>
      </c>
      <c r="E947">
        <f t="shared" ca="1" si="188"/>
        <v>0</v>
      </c>
      <c r="F947">
        <f t="shared" ca="1" si="190"/>
        <v>0.34073146649607572</v>
      </c>
      <c r="G947">
        <f t="shared" ca="1" si="191"/>
        <v>0.13882385719951867</v>
      </c>
      <c r="H947">
        <f t="shared" ca="1" si="192"/>
        <v>2.4544157853673085</v>
      </c>
      <c r="I947">
        <f t="shared" ca="1" si="193"/>
        <v>71.051544975102928</v>
      </c>
      <c r="J947">
        <f t="shared" ca="1" si="194"/>
        <v>0</v>
      </c>
      <c r="K947">
        <f t="shared" ca="1" si="195"/>
        <v>0</v>
      </c>
      <c r="L947">
        <f t="shared" ca="1" si="189"/>
        <v>1</v>
      </c>
      <c r="M947" t="str">
        <f t="shared" ca="1" si="196"/>
        <v>na</v>
      </c>
      <c r="N947" t="str">
        <f t="shared" ca="1" si="197"/>
        <v>na</v>
      </c>
    </row>
    <row r="948" spans="1:14" x14ac:dyDescent="0.2">
      <c r="A948" vm="1705">
        <f ca="1"/>
        <v>45621</v>
      </c>
      <c r="B948" vm="374">
        <f ca="1"/>
        <v>47.5</v>
      </c>
      <c r="C948">
        <f t="shared" ca="1" si="186"/>
        <v>0.5</v>
      </c>
      <c r="D948">
        <f t="shared" ca="1" si="187"/>
        <v>0.5</v>
      </c>
      <c r="E948">
        <f t="shared" ca="1" si="188"/>
        <v>0</v>
      </c>
      <c r="F948">
        <f t="shared" ca="1" si="190"/>
        <v>0.35210779031778461</v>
      </c>
      <c r="G948">
        <f t="shared" ca="1" si="191"/>
        <v>0.12890786739955304</v>
      </c>
      <c r="H948">
        <f t="shared" ca="1" si="192"/>
        <v>2.7314685862145094</v>
      </c>
      <c r="I948">
        <f t="shared" ca="1" si="193"/>
        <v>73.200899943406</v>
      </c>
      <c r="J948">
        <f t="shared" ca="1" si="194"/>
        <v>0</v>
      </c>
      <c r="K948">
        <f t="shared" ca="1" si="195"/>
        <v>0</v>
      </c>
      <c r="L948">
        <f t="shared" ca="1" si="189"/>
        <v>1</v>
      </c>
      <c r="M948" t="str">
        <f t="shared" ca="1" si="196"/>
        <v>na</v>
      </c>
      <c r="N948" t="str">
        <f t="shared" ca="1" si="197"/>
        <v>na</v>
      </c>
    </row>
    <row r="949" spans="1:14" x14ac:dyDescent="0.2">
      <c r="A949" vm="1706">
        <f ca="1"/>
        <v>45622</v>
      </c>
      <c r="B949" vm="1707">
        <f ca="1"/>
        <v>47.75</v>
      </c>
      <c r="C949">
        <f t="shared" ca="1" si="186"/>
        <v>0.25</v>
      </c>
      <c r="D949">
        <f t="shared" ca="1" si="187"/>
        <v>0.25</v>
      </c>
      <c r="E949">
        <f t="shared" ca="1" si="188"/>
        <v>0</v>
      </c>
      <c r="F949">
        <f t="shared" ca="1" si="190"/>
        <v>0.34481437672365711</v>
      </c>
      <c r="G949">
        <f t="shared" ca="1" si="191"/>
        <v>0.11970016258529925</v>
      </c>
      <c r="H949">
        <f t="shared" ca="1" si="192"/>
        <v>2.8806508635937713</v>
      </c>
      <c r="I949">
        <f t="shared" ca="1" si="193"/>
        <v>74.231126809642291</v>
      </c>
      <c r="J949">
        <f t="shared" ca="1" si="194"/>
        <v>0</v>
      </c>
      <c r="K949">
        <f t="shared" ca="1" si="195"/>
        <v>0</v>
      </c>
      <c r="L949">
        <f t="shared" ca="1" si="189"/>
        <v>1</v>
      </c>
      <c r="M949" t="str">
        <f t="shared" ca="1" si="196"/>
        <v>na</v>
      </c>
      <c r="N949" t="str">
        <f t="shared" ca="1" si="197"/>
        <v>na</v>
      </c>
    </row>
    <row r="950" spans="1:14" x14ac:dyDescent="0.2">
      <c r="A950" vm="1708">
        <f ca="1"/>
        <v>45623</v>
      </c>
      <c r="B950" vm="1709">
        <f ca="1"/>
        <v>47.77</v>
      </c>
      <c r="C950">
        <f t="shared" ca="1" si="186"/>
        <v>2.0000000000003126E-2</v>
      </c>
      <c r="D950">
        <f t="shared" ca="1" si="187"/>
        <v>2.0000000000003126E-2</v>
      </c>
      <c r="E950">
        <f t="shared" ca="1" si="188"/>
        <v>0</v>
      </c>
      <c r="F950">
        <f t="shared" ca="1" si="190"/>
        <v>0.3216133498148247</v>
      </c>
      <c r="G950">
        <f t="shared" ca="1" si="191"/>
        <v>0.1111501509720636</v>
      </c>
      <c r="H950">
        <f t="shared" ca="1" si="192"/>
        <v>2.8935034905679866</v>
      </c>
      <c r="I950">
        <f t="shared" ca="1" si="193"/>
        <v>74.31619099809464</v>
      </c>
      <c r="J950">
        <f t="shared" ca="1" si="194"/>
        <v>0</v>
      </c>
      <c r="K950">
        <f t="shared" ca="1" si="195"/>
        <v>0</v>
      </c>
      <c r="L950">
        <f t="shared" ca="1" si="189"/>
        <v>1</v>
      </c>
      <c r="M950" t="str">
        <f t="shared" ca="1" si="196"/>
        <v>na</v>
      </c>
      <c r="N950" t="str">
        <f t="shared" ca="1" si="197"/>
        <v>na</v>
      </c>
    </row>
    <row r="951" spans="1:14" x14ac:dyDescent="0.2">
      <c r="A951" vm="1710">
        <f ca="1"/>
        <v>45625</v>
      </c>
      <c r="B951" vm="334">
        <f ca="1"/>
        <v>47.51</v>
      </c>
      <c r="C951">
        <f t="shared" ca="1" si="186"/>
        <v>-0.26000000000000512</v>
      </c>
      <c r="D951">
        <f t="shared" ca="1" si="187"/>
        <v>0</v>
      </c>
      <c r="E951">
        <f t="shared" ca="1" si="188"/>
        <v>0.26000000000000512</v>
      </c>
      <c r="F951">
        <f t="shared" ca="1" si="190"/>
        <v>0.29864096768519438</v>
      </c>
      <c r="G951">
        <f t="shared" ca="1" si="191"/>
        <v>0.12178228304548799</v>
      </c>
      <c r="H951">
        <f t="shared" ca="1" si="192"/>
        <v>2.4522529896540561</v>
      </c>
      <c r="I951">
        <f t="shared" ca="1" si="193"/>
        <v>71.033409110025616</v>
      </c>
      <c r="J951">
        <f t="shared" ca="1" si="194"/>
        <v>0</v>
      </c>
      <c r="K951">
        <f t="shared" ca="1" si="195"/>
        <v>0</v>
      </c>
      <c r="L951">
        <f t="shared" ca="1" si="189"/>
        <v>1</v>
      </c>
      <c r="M951" t="str">
        <f t="shared" ca="1" si="196"/>
        <v>na</v>
      </c>
      <c r="N951" t="str">
        <f t="shared" ca="1" si="197"/>
        <v>na</v>
      </c>
    </row>
    <row r="952" spans="1:14" x14ac:dyDescent="0.2">
      <c r="A952" vm="1711">
        <f ca="1"/>
        <v>45628</v>
      </c>
      <c r="B952" vm="338">
        <f ca="1"/>
        <v>47.04</v>
      </c>
      <c r="C952">
        <f t="shared" ca="1" si="186"/>
        <v>-0.46999999999999886</v>
      </c>
      <c r="D952">
        <f t="shared" ca="1" si="187"/>
        <v>0</v>
      </c>
      <c r="E952">
        <f t="shared" ca="1" si="188"/>
        <v>0.46999999999999886</v>
      </c>
      <c r="F952">
        <f t="shared" ca="1" si="190"/>
        <v>0.27730946999339479</v>
      </c>
      <c r="G952">
        <f t="shared" ca="1" si="191"/>
        <v>0.14665497711366735</v>
      </c>
      <c r="H952">
        <f t="shared" ca="1" si="192"/>
        <v>1.8908970936490039</v>
      </c>
      <c r="I952">
        <f t="shared" ca="1" si="193"/>
        <v>65.408661477542921</v>
      </c>
      <c r="J952">
        <f t="shared" ca="1" si="194"/>
        <v>0</v>
      </c>
      <c r="K952">
        <f t="shared" ca="1" si="195"/>
        <v>0</v>
      </c>
      <c r="L952">
        <f t="shared" ca="1" si="189"/>
        <v>0</v>
      </c>
      <c r="M952" t="str">
        <f t="shared" ca="1" si="196"/>
        <v>na</v>
      </c>
      <c r="N952" t="str">
        <f t="shared" ca="1" si="197"/>
        <v>na</v>
      </c>
    </row>
    <row r="953" spans="1:14" x14ac:dyDescent="0.2">
      <c r="A953" vm="1712">
        <f ca="1"/>
        <v>45629</v>
      </c>
      <c r="B953" vm="1713">
        <f ca="1"/>
        <v>46.82</v>
      </c>
      <c r="C953">
        <f t="shared" ca="1" si="186"/>
        <v>-0.21999999999999886</v>
      </c>
      <c r="D953">
        <f t="shared" ca="1" si="187"/>
        <v>0</v>
      </c>
      <c r="E953">
        <f t="shared" ca="1" si="188"/>
        <v>0.21999999999999886</v>
      </c>
      <c r="F953">
        <f t="shared" ca="1" si="190"/>
        <v>0.25750165070815229</v>
      </c>
      <c r="G953">
        <f t="shared" ca="1" si="191"/>
        <v>0.1518939073198339</v>
      </c>
      <c r="H953">
        <f t="shared" ca="1" si="192"/>
        <v>1.6952730708674606</v>
      </c>
      <c r="I953">
        <f t="shared" ca="1" si="193"/>
        <v>62.898007967773196</v>
      </c>
      <c r="J953">
        <f t="shared" ca="1" si="194"/>
        <v>0</v>
      </c>
      <c r="K953">
        <f t="shared" ca="1" si="195"/>
        <v>0</v>
      </c>
      <c r="L953">
        <f t="shared" ca="1" si="189"/>
        <v>0</v>
      </c>
      <c r="M953" t="str">
        <f t="shared" ca="1" si="196"/>
        <v>na</v>
      </c>
      <c r="N953" t="str">
        <f t="shared" ca="1" si="197"/>
        <v>na</v>
      </c>
    </row>
    <row r="954" spans="1:14" x14ac:dyDescent="0.2">
      <c r="A954" vm="1714">
        <f ca="1"/>
        <v>45630</v>
      </c>
      <c r="B954" vm="35">
        <f ca="1"/>
        <v>46.37</v>
      </c>
      <c r="C954">
        <f t="shared" ca="1" si="186"/>
        <v>-0.45000000000000284</v>
      </c>
      <c r="D954">
        <f t="shared" ca="1" si="187"/>
        <v>0</v>
      </c>
      <c r="E954">
        <f t="shared" ca="1" si="188"/>
        <v>0.45000000000000284</v>
      </c>
      <c r="F954">
        <f t="shared" ca="1" si="190"/>
        <v>0.23910867565756999</v>
      </c>
      <c r="G954">
        <f t="shared" ca="1" si="191"/>
        <v>0.17318719965413168</v>
      </c>
      <c r="H954">
        <f t="shared" ca="1" si="192"/>
        <v>1.3806371148392527</v>
      </c>
      <c r="I954">
        <f t="shared" ca="1" si="193"/>
        <v>57.994437969286103</v>
      </c>
      <c r="J954">
        <f t="shared" ca="1" si="194"/>
        <v>0</v>
      </c>
      <c r="K954">
        <f t="shared" ca="1" si="195"/>
        <v>0</v>
      </c>
      <c r="L954">
        <f t="shared" ca="1" si="189"/>
        <v>0</v>
      </c>
      <c r="M954" t="str">
        <f t="shared" ca="1" si="196"/>
        <v>na</v>
      </c>
      <c r="N954" t="str">
        <f t="shared" ca="1" si="197"/>
        <v>na</v>
      </c>
    </row>
    <row r="955" spans="1:14" x14ac:dyDescent="0.2">
      <c r="A955" vm="1715">
        <f ca="1"/>
        <v>45631</v>
      </c>
      <c r="B955" vm="1704">
        <f ca="1"/>
        <v>47</v>
      </c>
      <c r="C955">
        <f t="shared" ca="1" si="186"/>
        <v>0.63000000000000256</v>
      </c>
      <c r="D955">
        <f t="shared" ca="1" si="187"/>
        <v>0.63000000000000256</v>
      </c>
      <c r="E955">
        <f t="shared" ca="1" si="188"/>
        <v>0</v>
      </c>
      <c r="F955">
        <f t="shared" ca="1" si="190"/>
        <v>0.2670294845391723</v>
      </c>
      <c r="G955">
        <f t="shared" ca="1" si="191"/>
        <v>0.16081668539312227</v>
      </c>
      <c r="H955">
        <f t="shared" ca="1" si="192"/>
        <v>1.6604588254409607</v>
      </c>
      <c r="I955">
        <f t="shared" ca="1" si="193"/>
        <v>62.412498534561841</v>
      </c>
      <c r="J955">
        <f t="shared" ca="1" si="194"/>
        <v>0</v>
      </c>
      <c r="K955">
        <f t="shared" ca="1" si="195"/>
        <v>0</v>
      </c>
      <c r="L955">
        <f t="shared" ca="1" si="189"/>
        <v>0</v>
      </c>
      <c r="M955" t="str">
        <f t="shared" ca="1" si="196"/>
        <v>na</v>
      </c>
      <c r="N955" t="str">
        <f t="shared" ca="1" si="197"/>
        <v>na</v>
      </c>
    </row>
    <row r="956" spans="1:14" x14ac:dyDescent="0.2">
      <c r="A956" vm="1716">
        <f ca="1"/>
        <v>45632</v>
      </c>
      <c r="B956" vm="1694">
        <f ca="1"/>
        <v>46.75</v>
      </c>
      <c r="C956">
        <f t="shared" ca="1" si="186"/>
        <v>-0.25</v>
      </c>
      <c r="D956">
        <f t="shared" ca="1" si="187"/>
        <v>0</v>
      </c>
      <c r="E956">
        <f t="shared" ca="1" si="188"/>
        <v>0.25</v>
      </c>
      <c r="F956">
        <f t="shared" ca="1" si="190"/>
        <v>0.24795594992923142</v>
      </c>
      <c r="G956">
        <f t="shared" ca="1" si="191"/>
        <v>0.1671869221507564</v>
      </c>
      <c r="H956">
        <f t="shared" ca="1" si="192"/>
        <v>1.4831061349741441</v>
      </c>
      <c r="I956">
        <f t="shared" ca="1" si="193"/>
        <v>59.727859155307002</v>
      </c>
      <c r="J956">
        <f t="shared" ca="1" si="194"/>
        <v>0</v>
      </c>
      <c r="K956">
        <f t="shared" ca="1" si="195"/>
        <v>0</v>
      </c>
      <c r="L956">
        <f t="shared" ca="1" si="189"/>
        <v>0</v>
      </c>
      <c r="M956" t="str">
        <f t="shared" ca="1" si="196"/>
        <v>na</v>
      </c>
      <c r="N956" t="str">
        <f t="shared" ca="1" si="197"/>
        <v>na</v>
      </c>
    </row>
    <row r="957" spans="1:14" x14ac:dyDescent="0.2">
      <c r="A957" vm="1717">
        <f ca="1"/>
        <v>45635</v>
      </c>
      <c r="B957" vm="1718">
        <f ca="1"/>
        <v>45.91</v>
      </c>
      <c r="C957">
        <f t="shared" ca="1" si="186"/>
        <v>-0.84000000000000341</v>
      </c>
      <c r="D957">
        <f t="shared" ca="1" si="187"/>
        <v>0</v>
      </c>
      <c r="E957">
        <f t="shared" ca="1" si="188"/>
        <v>0.84000000000000341</v>
      </c>
      <c r="F957">
        <f t="shared" ca="1" si="190"/>
        <v>0.23024481064857202</v>
      </c>
      <c r="G957">
        <f t="shared" ca="1" si="191"/>
        <v>0.21524499913998832</v>
      </c>
      <c r="H957">
        <f t="shared" ca="1" si="192"/>
        <v>1.0696871544914655</v>
      </c>
      <c r="I957">
        <f t="shared" ca="1" si="193"/>
        <v>51.683519036687166</v>
      </c>
      <c r="J957">
        <f t="shared" ca="1" si="194"/>
        <v>0</v>
      </c>
      <c r="K957">
        <f t="shared" ca="1" si="195"/>
        <v>0</v>
      </c>
      <c r="L957">
        <f t="shared" ca="1" si="189"/>
        <v>0</v>
      </c>
      <c r="M957" t="str">
        <f t="shared" ca="1" si="196"/>
        <v>na</v>
      </c>
      <c r="N957" t="str">
        <f t="shared" ca="1" si="197"/>
        <v>na</v>
      </c>
    </row>
    <row r="958" spans="1:14" x14ac:dyDescent="0.2">
      <c r="A958" vm="1719">
        <f ca="1"/>
        <v>45636</v>
      </c>
      <c r="B958" vm="447">
        <f ca="1"/>
        <v>45.75</v>
      </c>
      <c r="C958">
        <f t="shared" ca="1" si="186"/>
        <v>-0.15999999999999659</v>
      </c>
      <c r="D958">
        <f t="shared" ca="1" si="187"/>
        <v>0</v>
      </c>
      <c r="E958">
        <f t="shared" ca="1" si="188"/>
        <v>0.15999999999999659</v>
      </c>
      <c r="F958">
        <f t="shared" ca="1" si="190"/>
        <v>0.2137987527451026</v>
      </c>
      <c r="G958">
        <f t="shared" ca="1" si="191"/>
        <v>0.21129892777284606</v>
      </c>
      <c r="H958">
        <f t="shared" ca="1" si="192"/>
        <v>1.0118307508637427</v>
      </c>
      <c r="I958">
        <f t="shared" ca="1" si="193"/>
        <v>50.294029476849957</v>
      </c>
      <c r="J958">
        <f t="shared" ca="1" si="194"/>
        <v>0</v>
      </c>
      <c r="K958">
        <f t="shared" ca="1" si="195"/>
        <v>0</v>
      </c>
      <c r="L958">
        <f t="shared" ca="1" si="189"/>
        <v>0</v>
      </c>
      <c r="M958" t="str">
        <f t="shared" ca="1" si="196"/>
        <v>na</v>
      </c>
      <c r="N958" t="str">
        <f t="shared" ca="1" si="197"/>
        <v>na</v>
      </c>
    </row>
    <row r="959" spans="1:14" x14ac:dyDescent="0.2">
      <c r="A959" vm="1720">
        <f ca="1"/>
        <v>45637</v>
      </c>
      <c r="B959" vm="1688">
        <f ca="1"/>
        <v>46.08</v>
      </c>
      <c r="C959">
        <f t="shared" ca="1" si="186"/>
        <v>0.32999999999999829</v>
      </c>
      <c r="D959">
        <f t="shared" ca="1" si="187"/>
        <v>0.32999999999999829</v>
      </c>
      <c r="E959">
        <f t="shared" ca="1" si="188"/>
        <v>0</v>
      </c>
      <c r="F959">
        <f t="shared" ca="1" si="190"/>
        <v>0.22209884183473802</v>
      </c>
      <c r="G959">
        <f t="shared" ca="1" si="191"/>
        <v>0.19620614721764279</v>
      </c>
      <c r="H959">
        <f t="shared" ca="1" si="192"/>
        <v>1.1319667858743163</v>
      </c>
      <c r="I959">
        <f t="shared" ca="1" si="193"/>
        <v>53.094954075942525</v>
      </c>
      <c r="J959">
        <f t="shared" ca="1" si="194"/>
        <v>0</v>
      </c>
      <c r="K959">
        <f t="shared" ca="1" si="195"/>
        <v>0</v>
      </c>
      <c r="L959">
        <f t="shared" ca="1" si="189"/>
        <v>0</v>
      </c>
      <c r="M959" t="str">
        <f t="shared" ca="1" si="196"/>
        <v>na</v>
      </c>
      <c r="N959" t="str">
        <f t="shared" ca="1" si="197"/>
        <v>na</v>
      </c>
    </row>
    <row r="960" spans="1:14" x14ac:dyDescent="0.2">
      <c r="A960" vm="1721">
        <f ca="1"/>
        <v>45638</v>
      </c>
      <c r="B960" vm="1688">
        <f ca="1"/>
        <v>46.08</v>
      </c>
      <c r="C960">
        <f t="shared" ca="1" si="186"/>
        <v>0</v>
      </c>
      <c r="D960">
        <f t="shared" ca="1" si="187"/>
        <v>0</v>
      </c>
      <c r="E960">
        <f t="shared" ca="1" si="188"/>
        <v>0</v>
      </c>
      <c r="F960">
        <f t="shared" ca="1" si="190"/>
        <v>0.20623463884654245</v>
      </c>
      <c r="G960">
        <f t="shared" ca="1" si="191"/>
        <v>0.18219142241638259</v>
      </c>
      <c r="H960">
        <f t="shared" ca="1" si="192"/>
        <v>1.1319667858743163</v>
      </c>
      <c r="I960">
        <f t="shared" ca="1" si="193"/>
        <v>53.094954075942525</v>
      </c>
      <c r="J960">
        <f t="shared" ca="1" si="194"/>
        <v>0</v>
      </c>
      <c r="K960">
        <f t="shared" ca="1" si="195"/>
        <v>0</v>
      </c>
      <c r="L960">
        <f t="shared" ca="1" si="189"/>
        <v>0</v>
      </c>
      <c r="M960" t="str">
        <f t="shared" ca="1" si="196"/>
        <v>na</v>
      </c>
      <c r="N960" t="str">
        <f t="shared" ca="1" si="197"/>
        <v>na</v>
      </c>
    </row>
    <row r="961" spans="1:14" x14ac:dyDescent="0.2">
      <c r="A961" vm="1722">
        <f ca="1"/>
        <v>45639</v>
      </c>
      <c r="B961" vm="1723">
        <f ca="1"/>
        <v>45.67</v>
      </c>
      <c r="C961">
        <f t="shared" ca="1" si="186"/>
        <v>-0.40999999999999659</v>
      </c>
      <c r="D961">
        <f t="shared" ca="1" si="187"/>
        <v>0</v>
      </c>
      <c r="E961">
        <f t="shared" ca="1" si="188"/>
        <v>0.40999999999999659</v>
      </c>
      <c r="F961">
        <f t="shared" ca="1" si="190"/>
        <v>0.19150359321464655</v>
      </c>
      <c r="G961">
        <f t="shared" ca="1" si="191"/>
        <v>0.19846346367235501</v>
      </c>
      <c r="H961">
        <f t="shared" ca="1" si="192"/>
        <v>0.96493122548138854</v>
      </c>
      <c r="I961">
        <f t="shared" ca="1" si="193"/>
        <v>49.107633537911234</v>
      </c>
      <c r="J961">
        <f t="shared" ca="1" si="194"/>
        <v>0</v>
      </c>
      <c r="K961">
        <f t="shared" ca="1" si="195"/>
        <v>0</v>
      </c>
      <c r="L961">
        <f t="shared" ca="1" si="189"/>
        <v>0</v>
      </c>
      <c r="M961" t="str">
        <f t="shared" ca="1" si="196"/>
        <v>na</v>
      </c>
      <c r="N961" t="str">
        <f t="shared" ca="1" si="197"/>
        <v>na</v>
      </c>
    </row>
    <row r="962" spans="1:14" x14ac:dyDescent="0.2">
      <c r="A962" vm="1724">
        <f ca="1"/>
        <v>45642</v>
      </c>
      <c r="B962" vm="457">
        <f ca="1"/>
        <v>45.47</v>
      </c>
      <c r="C962">
        <f t="shared" ca="1" si="186"/>
        <v>-0.20000000000000284</v>
      </c>
      <c r="D962">
        <f t="shared" ca="1" si="187"/>
        <v>0</v>
      </c>
      <c r="E962">
        <f t="shared" ca="1" si="188"/>
        <v>0.20000000000000284</v>
      </c>
      <c r="F962">
        <f t="shared" ca="1" si="190"/>
        <v>0.17782476512788609</v>
      </c>
      <c r="G962">
        <f t="shared" ca="1" si="191"/>
        <v>0.19857321626718699</v>
      </c>
      <c r="H962">
        <f t="shared" ca="1" si="192"/>
        <v>0.89551233782010575</v>
      </c>
      <c r="I962">
        <f t="shared" ca="1" si="193"/>
        <v>47.243814769888068</v>
      </c>
      <c r="J962">
        <f t="shared" ca="1" si="194"/>
        <v>0</v>
      </c>
      <c r="K962">
        <f t="shared" ca="1" si="195"/>
        <v>0</v>
      </c>
      <c r="L962">
        <f t="shared" ca="1" si="189"/>
        <v>0</v>
      </c>
      <c r="M962" t="str">
        <f t="shared" ca="1" si="196"/>
        <v>na</v>
      </c>
      <c r="N962" t="str">
        <f t="shared" ca="1" si="197"/>
        <v>na</v>
      </c>
    </row>
    <row r="963" spans="1:14" x14ac:dyDescent="0.2">
      <c r="A963" vm="1725">
        <f ca="1"/>
        <v>45643</v>
      </c>
      <c r="B963" vm="1726">
        <f ca="1"/>
        <v>45.05</v>
      </c>
      <c r="C963">
        <f t="shared" ca="1" si="186"/>
        <v>-0.42000000000000171</v>
      </c>
      <c r="D963">
        <f t="shared" ca="1" si="187"/>
        <v>0</v>
      </c>
      <c r="E963">
        <f t="shared" ca="1" si="188"/>
        <v>0.42000000000000171</v>
      </c>
      <c r="F963">
        <f t="shared" ca="1" si="190"/>
        <v>0.16512299619017992</v>
      </c>
      <c r="G963">
        <f t="shared" ca="1" si="191"/>
        <v>0.2143894151052452</v>
      </c>
      <c r="H963">
        <f t="shared" ca="1" si="192"/>
        <v>0.7702012532154161</v>
      </c>
      <c r="I963">
        <f t="shared" ca="1" si="193"/>
        <v>43.509247991798262</v>
      </c>
      <c r="J963">
        <f t="shared" ca="1" si="194"/>
        <v>0</v>
      </c>
      <c r="K963">
        <f t="shared" ca="1" si="195"/>
        <v>0</v>
      </c>
      <c r="L963">
        <f t="shared" ca="1" si="189"/>
        <v>0</v>
      </c>
      <c r="M963" t="str">
        <f t="shared" ca="1" si="196"/>
        <v>na</v>
      </c>
      <c r="N963" t="str">
        <f t="shared" ca="1" si="197"/>
        <v>na</v>
      </c>
    </row>
    <row r="964" spans="1:14" x14ac:dyDescent="0.2">
      <c r="A964" vm="1727">
        <f ca="1"/>
        <v>45644</v>
      </c>
      <c r="B964" vm="63">
        <f ca="1"/>
        <v>43.5</v>
      </c>
      <c r="C964">
        <f t="shared" ca="1" si="186"/>
        <v>-1.5499999999999972</v>
      </c>
      <c r="D964">
        <f t="shared" ca="1" si="187"/>
        <v>0</v>
      </c>
      <c r="E964">
        <f t="shared" ca="1" si="188"/>
        <v>1.5499999999999972</v>
      </c>
      <c r="F964">
        <f t="shared" ca="1" si="190"/>
        <v>0.15332849646230992</v>
      </c>
      <c r="G964">
        <f t="shared" ca="1" si="191"/>
        <v>0.30979017116915608</v>
      </c>
      <c r="H964">
        <f t="shared" ca="1" si="192"/>
        <v>0.49494306382815256</v>
      </c>
      <c r="I964">
        <f t="shared" ca="1" si="193"/>
        <v>33.107820344725013</v>
      </c>
      <c r="J964">
        <f t="shared" ca="1" si="194"/>
        <v>1</v>
      </c>
      <c r="K964">
        <f t="shared" ca="1" si="195"/>
        <v>1</v>
      </c>
      <c r="L964">
        <f t="shared" ca="1" si="189"/>
        <v>0</v>
      </c>
      <c r="M964" vm="63">
        <f t="shared" ca="1" si="196"/>
        <v>43.5</v>
      </c>
      <c r="N964" t="str">
        <f t="shared" ca="1" si="197"/>
        <v>na</v>
      </c>
    </row>
    <row r="965" spans="1:14" x14ac:dyDescent="0.2">
      <c r="A965" vm="1728">
        <f ca="1"/>
        <v>45645</v>
      </c>
      <c r="B965" vm="1729">
        <f ca="1"/>
        <v>43.38</v>
      </c>
      <c r="C965">
        <f t="shared" ca="1" si="186"/>
        <v>-0.11999999999999744</v>
      </c>
      <c r="D965">
        <f t="shared" ca="1" si="187"/>
        <v>0</v>
      </c>
      <c r="E965">
        <f t="shared" ca="1" si="188"/>
        <v>0.11999999999999744</v>
      </c>
      <c r="F965">
        <f t="shared" ca="1" si="190"/>
        <v>0.14237646100071635</v>
      </c>
      <c r="G965">
        <f t="shared" ca="1" si="191"/>
        <v>0.29623373037135903</v>
      </c>
      <c r="H965">
        <f t="shared" ca="1" si="192"/>
        <v>0.48062204402663067</v>
      </c>
      <c r="I965">
        <f t="shared" ca="1" si="193"/>
        <v>32.460819151358393</v>
      </c>
      <c r="J965">
        <f t="shared" ca="1" si="194"/>
        <v>1</v>
      </c>
      <c r="K965">
        <f t="shared" ca="1" si="195"/>
        <v>1</v>
      </c>
      <c r="L965">
        <f t="shared" ca="1" si="189"/>
        <v>0</v>
      </c>
      <c r="M965" t="str">
        <f t="shared" ca="1" si="196"/>
        <v>na</v>
      </c>
      <c r="N965" t="str">
        <f t="shared" ca="1" si="197"/>
        <v>na</v>
      </c>
    </row>
    <row r="966" spans="1:14" x14ac:dyDescent="0.2">
      <c r="A966" vm="1730">
        <f ca="1"/>
        <v>45646</v>
      </c>
      <c r="B966" vm="1731">
        <f ca="1"/>
        <v>44.17</v>
      </c>
      <c r="C966">
        <f t="shared" ca="1" si="186"/>
        <v>0.78999999999999915</v>
      </c>
      <c r="D966">
        <f t="shared" ca="1" si="187"/>
        <v>0.78999999999999915</v>
      </c>
      <c r="E966">
        <f t="shared" ca="1" si="188"/>
        <v>0</v>
      </c>
      <c r="F966">
        <f t="shared" ca="1" si="190"/>
        <v>0.18863528521495085</v>
      </c>
      <c r="G966">
        <f t="shared" ca="1" si="191"/>
        <v>0.27507417820197622</v>
      </c>
      <c r="H966">
        <f t="shared" ca="1" si="192"/>
        <v>0.68576151512281658</v>
      </c>
      <c r="I966">
        <f t="shared" ca="1" si="193"/>
        <v>40.679628106995629</v>
      </c>
      <c r="J966">
        <f t="shared" ca="1" si="194"/>
        <v>1</v>
      </c>
      <c r="K966">
        <f t="shared" ca="1" si="195"/>
        <v>0</v>
      </c>
      <c r="L966">
        <f t="shared" ca="1" si="189"/>
        <v>0</v>
      </c>
      <c r="M966" t="str">
        <f t="shared" ca="1" si="196"/>
        <v>na</v>
      </c>
      <c r="N966" t="str">
        <f t="shared" ca="1" si="197"/>
        <v>na</v>
      </c>
    </row>
    <row r="967" spans="1:14" x14ac:dyDescent="0.2">
      <c r="A967" vm="1732">
        <f ca="1"/>
        <v>45649</v>
      </c>
      <c r="B967" vm="1733">
        <f ca="1"/>
        <v>43.89</v>
      </c>
      <c r="C967">
        <f t="shared" ca="1" si="186"/>
        <v>-0.28000000000000114</v>
      </c>
      <c r="D967">
        <f t="shared" ca="1" si="187"/>
        <v>0</v>
      </c>
      <c r="E967">
        <f t="shared" ca="1" si="188"/>
        <v>0.28000000000000114</v>
      </c>
      <c r="F967">
        <f t="shared" ca="1" si="190"/>
        <v>0.17516133627102579</v>
      </c>
      <c r="G967">
        <f t="shared" ca="1" si="191"/>
        <v>0.27542602261612087</v>
      </c>
      <c r="H967">
        <f t="shared" ca="1" si="192"/>
        <v>0.63596509366567555</v>
      </c>
      <c r="I967">
        <f t="shared" ca="1" si="193"/>
        <v>38.874001415316314</v>
      </c>
      <c r="J967">
        <f t="shared" ca="1" si="194"/>
        <v>1</v>
      </c>
      <c r="K967">
        <f t="shared" ca="1" si="195"/>
        <v>1</v>
      </c>
      <c r="L967">
        <f t="shared" ca="1" si="189"/>
        <v>0</v>
      </c>
      <c r="M967" t="str">
        <f t="shared" ca="1" si="196"/>
        <v>na</v>
      </c>
      <c r="N967" t="str">
        <f t="shared" ca="1" si="197"/>
        <v>na</v>
      </c>
    </row>
    <row r="968" spans="1:14" x14ac:dyDescent="0.2">
      <c r="A968" vm="1734">
        <f ca="1"/>
        <v>45650</v>
      </c>
      <c r="B968" vm="1735">
        <f ca="1"/>
        <v>44.38</v>
      </c>
      <c r="C968">
        <f t="shared" ca="1" si="186"/>
        <v>0.49000000000000199</v>
      </c>
      <c r="D968">
        <f t="shared" ca="1" si="187"/>
        <v>0.49000000000000199</v>
      </c>
      <c r="E968">
        <f t="shared" ca="1" si="188"/>
        <v>0</v>
      </c>
      <c r="F968">
        <f t="shared" ca="1" si="190"/>
        <v>0.19764981225166695</v>
      </c>
      <c r="G968">
        <f t="shared" ca="1" si="191"/>
        <v>0.25575273528639791</v>
      </c>
      <c r="H968">
        <f t="shared" ca="1" si="192"/>
        <v>0.77281602494039425</v>
      </c>
      <c r="I968">
        <f t="shared" ca="1" si="193"/>
        <v>43.592567647642852</v>
      </c>
      <c r="J968">
        <f t="shared" ca="1" si="194"/>
        <v>1</v>
      </c>
      <c r="K968">
        <f t="shared" ca="1" si="195"/>
        <v>0</v>
      </c>
      <c r="L968">
        <f t="shared" ca="1" si="189"/>
        <v>0</v>
      </c>
      <c r="M968" t="str">
        <f t="shared" ca="1" si="196"/>
        <v>na</v>
      </c>
      <c r="N968" t="str">
        <f t="shared" ca="1" si="197"/>
        <v>na</v>
      </c>
    </row>
    <row r="969" spans="1:14" x14ac:dyDescent="0.2">
      <c r="A969" vm="1736">
        <f ca="1"/>
        <v>45652</v>
      </c>
      <c r="B969" vm="451">
        <f ca="1"/>
        <v>44.55</v>
      </c>
      <c r="C969">
        <f t="shared" ref="C969:C1032" ca="1" si="198">B969-B968</f>
        <v>0.1699999999999946</v>
      </c>
      <c r="D969">
        <f t="shared" ref="D969:D1032" ca="1" si="199">IF(C969&gt;0,C969,0)</f>
        <v>0.1699999999999946</v>
      </c>
      <c r="E969">
        <f t="shared" ref="E969:E1032" ca="1" si="200">IF(C969&lt;0,ABS(C969),0)</f>
        <v>0</v>
      </c>
      <c r="F969">
        <f t="shared" ca="1" si="190"/>
        <v>0.19567482566226177</v>
      </c>
      <c r="G969">
        <f t="shared" ca="1" si="191"/>
        <v>0.23748468276594092</v>
      </c>
      <c r="H969">
        <f t="shared" ca="1" si="192"/>
        <v>0.82394714211995757</v>
      </c>
      <c r="I969">
        <f t="shared" ca="1" si="193"/>
        <v>45.173849783952136</v>
      </c>
      <c r="J969">
        <f t="shared" ca="1" si="194"/>
        <v>1</v>
      </c>
      <c r="K969">
        <f t="shared" ca="1" si="195"/>
        <v>0</v>
      </c>
      <c r="L969">
        <f t="shared" ca="1" si="189"/>
        <v>0</v>
      </c>
      <c r="M969" t="str">
        <f t="shared" ca="1" si="196"/>
        <v>na</v>
      </c>
      <c r="N969" t="str">
        <f t="shared" ca="1" si="197"/>
        <v>na</v>
      </c>
    </row>
    <row r="970" spans="1:14" x14ac:dyDescent="0.2">
      <c r="A970" vm="1737">
        <f ca="1"/>
        <v>45653</v>
      </c>
      <c r="B970" vm="313">
        <f ca="1"/>
        <v>44.34</v>
      </c>
      <c r="C970">
        <f t="shared" ca="1" si="198"/>
        <v>-0.20999999999999375</v>
      </c>
      <c r="D970">
        <f t="shared" ca="1" si="199"/>
        <v>0</v>
      </c>
      <c r="E970">
        <f t="shared" ca="1" si="200"/>
        <v>0.20999999999999375</v>
      </c>
      <c r="F970">
        <f t="shared" ca="1" si="190"/>
        <v>0.18169805240067166</v>
      </c>
      <c r="G970">
        <f t="shared" ca="1" si="191"/>
        <v>0.23552149113980184</v>
      </c>
      <c r="H970">
        <f t="shared" ca="1" si="192"/>
        <v>0.77147122125181589</v>
      </c>
      <c r="I970">
        <f t="shared" ca="1" si="193"/>
        <v>43.549746222050018</v>
      </c>
      <c r="J970">
        <f t="shared" ca="1" si="194"/>
        <v>1</v>
      </c>
      <c r="K970">
        <f t="shared" ca="1" si="195"/>
        <v>0</v>
      </c>
      <c r="L970">
        <f t="shared" ca="1" si="189"/>
        <v>0</v>
      </c>
      <c r="M970" t="str">
        <f t="shared" ca="1" si="196"/>
        <v>na</v>
      </c>
      <c r="N970" t="str">
        <f t="shared" ca="1" si="197"/>
        <v>na</v>
      </c>
    </row>
    <row r="971" spans="1:14" x14ac:dyDescent="0.2">
      <c r="A971" vm="1738">
        <f ca="1"/>
        <v>45656</v>
      </c>
      <c r="B971" vm="1739">
        <f ca="1"/>
        <v>43.91</v>
      </c>
      <c r="C971">
        <f t="shared" ca="1" si="198"/>
        <v>-0.43000000000000682</v>
      </c>
      <c r="D971">
        <f t="shared" ca="1" si="199"/>
        <v>0</v>
      </c>
      <c r="E971">
        <f t="shared" ca="1" si="200"/>
        <v>0.43000000000000682</v>
      </c>
      <c r="F971">
        <f t="shared" ca="1" si="190"/>
        <v>0.16871962008633795</v>
      </c>
      <c r="G971">
        <f t="shared" ca="1" si="191"/>
        <v>0.24941281320124503</v>
      </c>
      <c r="H971">
        <f t="shared" ca="1" si="192"/>
        <v>0.67646733109177615</v>
      </c>
      <c r="I971">
        <f t="shared" ca="1" si="193"/>
        <v>40.350761303009477</v>
      </c>
      <c r="J971">
        <f t="shared" ca="1" si="194"/>
        <v>1</v>
      </c>
      <c r="K971">
        <f t="shared" ca="1" si="195"/>
        <v>0</v>
      </c>
      <c r="L971">
        <f t="shared" ca="1" si="189"/>
        <v>0</v>
      </c>
      <c r="M971" t="str">
        <f t="shared" ca="1" si="196"/>
        <v>na</v>
      </c>
      <c r="N971" t="str">
        <f t="shared" ca="1" si="197"/>
        <v>na</v>
      </c>
    </row>
    <row r="972" spans="1:14" x14ac:dyDescent="0.2">
      <c r="A972" vm="1740">
        <f ca="1"/>
        <v>45657</v>
      </c>
      <c r="B972" vm="1741">
        <f ca="1"/>
        <v>43.95</v>
      </c>
      <c r="C972">
        <f t="shared" ca="1" si="198"/>
        <v>4.0000000000006253E-2</v>
      </c>
      <c r="D972">
        <f t="shared" ca="1" si="199"/>
        <v>4.0000000000006253E-2</v>
      </c>
      <c r="E972">
        <f t="shared" ca="1" si="200"/>
        <v>0</v>
      </c>
      <c r="F972">
        <f t="shared" ca="1" si="190"/>
        <v>0.15952536150874283</v>
      </c>
      <c r="G972">
        <f t="shared" ca="1" si="191"/>
        <v>0.23159761225829897</v>
      </c>
      <c r="H972">
        <f t="shared" ca="1" si="192"/>
        <v>0.68880399911388324</v>
      </c>
      <c r="I972">
        <f t="shared" ca="1" si="193"/>
        <v>40.786497395511809</v>
      </c>
      <c r="J972">
        <f t="shared" ca="1" si="194"/>
        <v>1</v>
      </c>
      <c r="K972">
        <f t="shared" ca="1" si="195"/>
        <v>0</v>
      </c>
      <c r="L972">
        <f t="shared" ca="1" si="189"/>
        <v>0</v>
      </c>
      <c r="M972" t="str">
        <f t="shared" ca="1" si="196"/>
        <v>na</v>
      </c>
      <c r="N972" t="str">
        <f t="shared" ca="1" si="197"/>
        <v>na</v>
      </c>
    </row>
    <row r="973" spans="1:14" x14ac:dyDescent="0.2">
      <c r="A973" vm="1742">
        <f ca="1"/>
        <v>45659</v>
      </c>
      <c r="B973" vm="1743">
        <f ca="1"/>
        <v>44.29</v>
      </c>
      <c r="C973">
        <f t="shared" ca="1" si="198"/>
        <v>0.33999999999999631</v>
      </c>
      <c r="D973">
        <f t="shared" ca="1" si="199"/>
        <v>0.33999999999999631</v>
      </c>
      <c r="E973">
        <f t="shared" ca="1" si="200"/>
        <v>0</v>
      </c>
      <c r="F973">
        <f t="shared" ca="1" si="190"/>
        <v>0.17241640711526093</v>
      </c>
      <c r="G973">
        <f t="shared" ca="1" si="191"/>
        <v>0.21505492566842047</v>
      </c>
      <c r="H973">
        <f t="shared" ca="1" si="192"/>
        <v>0.80173196023930582</v>
      </c>
      <c r="I973">
        <f t="shared" ca="1" si="193"/>
        <v>44.497848621879356</v>
      </c>
      <c r="J973">
        <f t="shared" ca="1" si="194"/>
        <v>1</v>
      </c>
      <c r="K973">
        <f t="shared" ca="1" si="195"/>
        <v>0</v>
      </c>
      <c r="L973">
        <f t="shared" ca="1" si="189"/>
        <v>0</v>
      </c>
      <c r="M973" t="str">
        <f t="shared" ca="1" si="196"/>
        <v>na</v>
      </c>
      <c r="N973" t="str">
        <f t="shared" ca="1" si="197"/>
        <v>na</v>
      </c>
    </row>
    <row r="974" spans="1:14" x14ac:dyDescent="0.2">
      <c r="A974" vm="1744">
        <f ca="1"/>
        <v>45660</v>
      </c>
      <c r="B974" vm="1745">
        <f ca="1"/>
        <v>44.81</v>
      </c>
      <c r="C974">
        <f t="shared" ca="1" si="198"/>
        <v>0.52000000000000313</v>
      </c>
      <c r="D974">
        <f t="shared" ca="1" si="199"/>
        <v>0.52000000000000313</v>
      </c>
      <c r="E974">
        <f t="shared" ca="1" si="200"/>
        <v>0</v>
      </c>
      <c r="F974">
        <f t="shared" ca="1" si="190"/>
        <v>0.19724380660702825</v>
      </c>
      <c r="G974">
        <f t="shared" ca="1" si="191"/>
        <v>0.19969385954924759</v>
      </c>
      <c r="H974">
        <f t="shared" ca="1" si="192"/>
        <v>0.98773095503412256</v>
      </c>
      <c r="I974">
        <f t="shared" ca="1" si="193"/>
        <v>49.691380643471767</v>
      </c>
      <c r="J974">
        <f t="shared" ca="1" si="194"/>
        <v>1</v>
      </c>
      <c r="K974">
        <f t="shared" ca="1" si="195"/>
        <v>0</v>
      </c>
      <c r="L974">
        <f t="shared" ca="1" si="189"/>
        <v>0</v>
      </c>
      <c r="M974" t="str">
        <f t="shared" ca="1" si="196"/>
        <v>na</v>
      </c>
      <c r="N974" t="str">
        <f t="shared" ca="1" si="197"/>
        <v>na</v>
      </c>
    </row>
    <row r="975" spans="1:14" x14ac:dyDescent="0.2">
      <c r="A975" vm="1746">
        <f ca="1"/>
        <v>45663</v>
      </c>
      <c r="B975" vm="371">
        <f ca="1"/>
        <v>45.4</v>
      </c>
      <c r="C975">
        <f t="shared" ca="1" si="198"/>
        <v>0.58999999999999631</v>
      </c>
      <c r="D975">
        <f t="shared" ca="1" si="199"/>
        <v>0.58999999999999631</v>
      </c>
      <c r="E975">
        <f t="shared" ca="1" si="200"/>
        <v>0</v>
      </c>
      <c r="F975">
        <f t="shared" ca="1" si="190"/>
        <v>0.22529782042081167</v>
      </c>
      <c r="G975">
        <f t="shared" ca="1" si="191"/>
        <v>0.18543001243858706</v>
      </c>
      <c r="H975">
        <f t="shared" ca="1" si="192"/>
        <v>1.2150019161295613</v>
      </c>
      <c r="I975">
        <f t="shared" ca="1" si="193"/>
        <v>54.85331219273278</v>
      </c>
      <c r="J975">
        <f t="shared" ca="1" si="194"/>
        <v>1</v>
      </c>
      <c r="K975">
        <f t="shared" ca="1" si="195"/>
        <v>0</v>
      </c>
      <c r="L975">
        <f t="shared" ca="1" si="189"/>
        <v>0</v>
      </c>
      <c r="M975" t="str">
        <f t="shared" ca="1" si="196"/>
        <v>na</v>
      </c>
      <c r="N975" t="str">
        <f t="shared" ca="1" si="197"/>
        <v>na</v>
      </c>
    </row>
    <row r="976" spans="1:14" x14ac:dyDescent="0.2">
      <c r="A976" vm="1747">
        <f ca="1"/>
        <v>45664</v>
      </c>
      <c r="B976" vm="1688">
        <f ca="1"/>
        <v>46.08</v>
      </c>
      <c r="C976">
        <f t="shared" ca="1" si="198"/>
        <v>0.67999999999999972</v>
      </c>
      <c r="D976">
        <f t="shared" ca="1" si="199"/>
        <v>0.67999999999999972</v>
      </c>
      <c r="E976">
        <f t="shared" ca="1" si="200"/>
        <v>0</v>
      </c>
      <c r="F976">
        <f t="shared" ca="1" si="190"/>
        <v>0.25777654753361079</v>
      </c>
      <c r="G976">
        <f t="shared" ca="1" si="191"/>
        <v>0.17218501155011653</v>
      </c>
      <c r="H976">
        <f t="shared" ca="1" si="192"/>
        <v>1.4970905145166007</v>
      </c>
      <c r="I976">
        <f t="shared" ca="1" si="193"/>
        <v>59.953393992464669</v>
      </c>
      <c r="J976">
        <f t="shared" ca="1" si="194"/>
        <v>1</v>
      </c>
      <c r="K976">
        <f t="shared" ca="1" si="195"/>
        <v>0</v>
      </c>
      <c r="L976">
        <f t="shared" ca="1" si="189"/>
        <v>0</v>
      </c>
      <c r="M976" t="str">
        <f t="shared" ca="1" si="196"/>
        <v>na</v>
      </c>
      <c r="N976" t="str">
        <f t="shared" ca="1" si="197"/>
        <v>na</v>
      </c>
    </row>
    <row r="977" spans="1:14" x14ac:dyDescent="0.2">
      <c r="A977" vm="1748">
        <f ca="1"/>
        <v>45665</v>
      </c>
      <c r="B977" vm="1749">
        <f ca="1"/>
        <v>46.21</v>
      </c>
      <c r="C977">
        <f t="shared" ca="1" si="198"/>
        <v>0.13000000000000256</v>
      </c>
      <c r="D977">
        <f t="shared" ca="1" si="199"/>
        <v>0.13000000000000256</v>
      </c>
      <c r="E977">
        <f t="shared" ca="1" si="200"/>
        <v>0</v>
      </c>
      <c r="F977">
        <f t="shared" ca="1" si="190"/>
        <v>0.24864965128121019</v>
      </c>
      <c r="G977">
        <f t="shared" ca="1" si="191"/>
        <v>0.15988608215367964</v>
      </c>
      <c r="H977">
        <f t="shared" ca="1" si="192"/>
        <v>1.555167578890404</v>
      </c>
      <c r="I977">
        <f t="shared" ca="1" si="193"/>
        <v>60.863623651868046</v>
      </c>
      <c r="J977">
        <f t="shared" ca="1" si="194"/>
        <v>1</v>
      </c>
      <c r="K977">
        <f t="shared" ca="1" si="195"/>
        <v>0</v>
      </c>
      <c r="L977">
        <f t="shared" ca="1" si="189"/>
        <v>0</v>
      </c>
      <c r="M977" t="str">
        <f t="shared" ca="1" si="196"/>
        <v>na</v>
      </c>
      <c r="N977" t="str">
        <f t="shared" ca="1" si="197"/>
        <v>na</v>
      </c>
    </row>
    <row r="978" spans="1:14" x14ac:dyDescent="0.2">
      <c r="A978" vm="1750">
        <f ca="1"/>
        <v>45667</v>
      </c>
      <c r="B978" vm="1751">
        <f ca="1"/>
        <v>45.11</v>
      </c>
      <c r="C978">
        <f t="shared" ca="1" si="198"/>
        <v>-1.1000000000000014</v>
      </c>
      <c r="D978">
        <f t="shared" ca="1" si="199"/>
        <v>0</v>
      </c>
      <c r="E978">
        <f t="shared" ca="1" si="200"/>
        <v>1.1000000000000014</v>
      </c>
      <c r="F978">
        <f t="shared" ca="1" si="190"/>
        <v>0.23088896190398089</v>
      </c>
      <c r="G978">
        <f t="shared" ca="1" si="191"/>
        <v>0.22703707628555977</v>
      </c>
      <c r="H978">
        <f t="shared" ca="1" si="192"/>
        <v>1.0169658880454238</v>
      </c>
      <c r="I978">
        <f t="shared" ca="1" si="193"/>
        <v>50.420579449210834</v>
      </c>
      <c r="J978">
        <f t="shared" ca="1" si="194"/>
        <v>1</v>
      </c>
      <c r="K978">
        <f t="shared" ca="1" si="195"/>
        <v>0</v>
      </c>
      <c r="L978">
        <f t="shared" ca="1" si="189"/>
        <v>0</v>
      </c>
      <c r="M978" t="str">
        <f t="shared" ca="1" si="196"/>
        <v>na</v>
      </c>
      <c r="N978" t="str">
        <f t="shared" ca="1" si="197"/>
        <v>na</v>
      </c>
    </row>
    <row r="979" spans="1:14" x14ac:dyDescent="0.2">
      <c r="A979" vm="1752">
        <f ca="1"/>
        <v>45670</v>
      </c>
      <c r="B979" vm="1753">
        <f ca="1"/>
        <v>45.06</v>
      </c>
      <c r="C979">
        <f t="shared" ca="1" si="198"/>
        <v>-4.9999999999997158E-2</v>
      </c>
      <c r="D979">
        <f t="shared" ca="1" si="199"/>
        <v>0</v>
      </c>
      <c r="E979">
        <f t="shared" ca="1" si="200"/>
        <v>4.9999999999997158E-2</v>
      </c>
      <c r="F979">
        <f t="shared" ca="1" si="190"/>
        <v>0.21439689319655367</v>
      </c>
      <c r="G979">
        <f t="shared" ca="1" si="191"/>
        <v>0.21439157083659102</v>
      </c>
      <c r="H979">
        <f t="shared" ca="1" si="192"/>
        <v>1.0000248254161388</v>
      </c>
      <c r="I979">
        <f t="shared" ca="1" si="193"/>
        <v>50.000620627699803</v>
      </c>
      <c r="J979">
        <f t="shared" ca="1" si="194"/>
        <v>1</v>
      </c>
      <c r="K979">
        <f t="shared" ca="1" si="195"/>
        <v>0</v>
      </c>
      <c r="L979">
        <f t="shared" ca="1" si="189"/>
        <v>0</v>
      </c>
      <c r="M979" t="str">
        <f t="shared" ca="1" si="196"/>
        <v>na</v>
      </c>
      <c r="N979" t="str">
        <f t="shared" ca="1" si="197"/>
        <v>na</v>
      </c>
    </row>
    <row r="980" spans="1:14" x14ac:dyDescent="0.2">
      <c r="A980" vm="1754">
        <f ca="1"/>
        <v>45671</v>
      </c>
      <c r="B980" vm="1755">
        <f ca="1"/>
        <v>45.78</v>
      </c>
      <c r="C980">
        <f t="shared" ca="1" si="198"/>
        <v>0.71999999999999886</v>
      </c>
      <c r="D980">
        <f t="shared" ca="1" si="199"/>
        <v>0.71999999999999886</v>
      </c>
      <c r="E980">
        <f t="shared" ca="1" si="200"/>
        <v>0</v>
      </c>
      <c r="F980">
        <f t="shared" ca="1" si="190"/>
        <v>0.25051140082537116</v>
      </c>
      <c r="G980">
        <f t="shared" ca="1" si="191"/>
        <v>0.19907788720540595</v>
      </c>
      <c r="H980">
        <f t="shared" ca="1" si="192"/>
        <v>1.2583587476337681</v>
      </c>
      <c r="I980">
        <f t="shared" ca="1" si="193"/>
        <v>55.720055502795283</v>
      </c>
      <c r="J980">
        <f t="shared" ca="1" si="194"/>
        <v>1</v>
      </c>
      <c r="K980">
        <f t="shared" ca="1" si="195"/>
        <v>0</v>
      </c>
      <c r="L980">
        <f t="shared" ca="1" si="189"/>
        <v>0</v>
      </c>
      <c r="M980" t="str">
        <f t="shared" ca="1" si="196"/>
        <v>na</v>
      </c>
      <c r="N980" t="str">
        <f t="shared" ca="1" si="197"/>
        <v>na</v>
      </c>
    </row>
    <row r="981" spans="1:14" x14ac:dyDescent="0.2">
      <c r="A981" vm="1756">
        <f ca="1"/>
        <v>45672</v>
      </c>
      <c r="B981" vm="1757">
        <f ca="1"/>
        <v>47.1</v>
      </c>
      <c r="C981">
        <f t="shared" ca="1" si="198"/>
        <v>1.3200000000000003</v>
      </c>
      <c r="D981">
        <f t="shared" ca="1" si="199"/>
        <v>1.3200000000000003</v>
      </c>
      <c r="E981">
        <f t="shared" ca="1" si="200"/>
        <v>0</v>
      </c>
      <c r="F981">
        <f t="shared" ca="1" si="190"/>
        <v>0.32690344362355894</v>
      </c>
      <c r="G981">
        <f t="shared" ca="1" si="191"/>
        <v>0.18485803811930551</v>
      </c>
      <c r="H981">
        <f t="shared" ca="1" si="192"/>
        <v>1.7684026453454988</v>
      </c>
      <c r="I981">
        <f t="shared" ca="1" si="193"/>
        <v>63.878086820885869</v>
      </c>
      <c r="J981">
        <f t="shared" ca="1" si="194"/>
        <v>1</v>
      </c>
      <c r="K981">
        <f t="shared" ca="1" si="195"/>
        <v>0</v>
      </c>
      <c r="L981">
        <f t="shared" ca="1" si="189"/>
        <v>0</v>
      </c>
      <c r="M981" t="str">
        <f t="shared" ca="1" si="196"/>
        <v>na</v>
      </c>
      <c r="N981" t="str">
        <f t="shared" ca="1" si="197"/>
        <v>na</v>
      </c>
    </row>
    <row r="982" spans="1:14" x14ac:dyDescent="0.2">
      <c r="A982" vm="1758">
        <f ca="1"/>
        <v>45673</v>
      </c>
      <c r="B982" vm="1759">
        <f ca="1"/>
        <v>46.64</v>
      </c>
      <c r="C982">
        <f t="shared" ca="1" si="198"/>
        <v>-0.46000000000000085</v>
      </c>
      <c r="D982">
        <f t="shared" ca="1" si="199"/>
        <v>0</v>
      </c>
      <c r="E982">
        <f t="shared" ca="1" si="200"/>
        <v>0.46000000000000085</v>
      </c>
      <c r="F982">
        <f t="shared" ca="1" si="190"/>
        <v>0.30355319765044758</v>
      </c>
      <c r="G982">
        <f t="shared" ca="1" si="191"/>
        <v>0.20451103539649804</v>
      </c>
      <c r="H982">
        <f t="shared" ca="1" si="192"/>
        <v>1.4842876183279325</v>
      </c>
      <c r="I982">
        <f t="shared" ca="1" si="193"/>
        <v>59.747011874854607</v>
      </c>
      <c r="J982">
        <f t="shared" ca="1" si="194"/>
        <v>1</v>
      </c>
      <c r="K982">
        <f t="shared" ca="1" si="195"/>
        <v>0</v>
      </c>
      <c r="L982">
        <f t="shared" ref="L982:L1045" ca="1" si="201">IF(I982&gt;$C$3,1,0)</f>
        <v>0</v>
      </c>
      <c r="M982" t="str">
        <f t="shared" ca="1" si="196"/>
        <v>na</v>
      </c>
      <c r="N982" t="str">
        <f t="shared" ca="1" si="197"/>
        <v>na</v>
      </c>
    </row>
    <row r="983" spans="1:14" x14ac:dyDescent="0.2">
      <c r="A983" vm="1760">
        <f ca="1"/>
        <v>45674</v>
      </c>
      <c r="B983" vm="1761">
        <f ca="1"/>
        <v>46.53</v>
      </c>
      <c r="C983">
        <f t="shared" ca="1" si="198"/>
        <v>-0.10999999999999943</v>
      </c>
      <c r="D983">
        <f t="shared" ca="1" si="199"/>
        <v>0</v>
      </c>
      <c r="E983">
        <f t="shared" ca="1" si="200"/>
        <v>0.10999999999999943</v>
      </c>
      <c r="F983">
        <f t="shared" ref="F983:F1046" ca="1" si="202">((F982*13)+D983)/14</f>
        <v>0.28187082638970135</v>
      </c>
      <c r="G983">
        <f t="shared" ref="G983:G1046" ca="1" si="203">((G982*13)+E983)/14</f>
        <v>0.19776024715389101</v>
      </c>
      <c r="H983">
        <f t="shared" ref="H983:H1046" ca="1" si="204">AVERAGE(F983/G983)</f>
        <v>1.4253159087648086</v>
      </c>
      <c r="I983">
        <f t="shared" ref="I983:I1046" ca="1" si="205">IF(G983=0,100,100-(100/(1+H983)))</f>
        <v>58.76825792524113</v>
      </c>
      <c r="J983">
        <f t="shared" ca="1" si="194"/>
        <v>1</v>
      </c>
      <c r="K983">
        <f t="shared" ca="1" si="195"/>
        <v>0</v>
      </c>
      <c r="L983">
        <f t="shared" ca="1" si="201"/>
        <v>0</v>
      </c>
      <c r="M983" t="str">
        <f t="shared" ca="1" si="196"/>
        <v>na</v>
      </c>
      <c r="N983" t="str">
        <f t="shared" ca="1" si="197"/>
        <v>na</v>
      </c>
    </row>
    <row r="984" spans="1:14" x14ac:dyDescent="0.2">
      <c r="A984" vm="1762">
        <f ca="1"/>
        <v>45678</v>
      </c>
      <c r="B984" vm="1763">
        <f ca="1"/>
        <v>46.66</v>
      </c>
      <c r="C984">
        <f t="shared" ca="1" si="198"/>
        <v>0.12999999999999545</v>
      </c>
      <c r="D984">
        <f t="shared" ca="1" si="199"/>
        <v>0.12999999999999545</v>
      </c>
      <c r="E984">
        <f t="shared" ca="1" si="200"/>
        <v>0</v>
      </c>
      <c r="F984">
        <f t="shared" ca="1" si="202"/>
        <v>0.2710229102190081</v>
      </c>
      <c r="G984">
        <f t="shared" ca="1" si="203"/>
        <v>0.18363451521432736</v>
      </c>
      <c r="H984">
        <f t="shared" ca="1" si="204"/>
        <v>1.4758821886108184</v>
      </c>
      <c r="I984">
        <f t="shared" ca="1" si="205"/>
        <v>59.610356074289406</v>
      </c>
      <c r="J984">
        <f t="shared" ref="J984:J1047" ca="1" si="206">IF(K984=1,1,IF(L984=1,0,IF(J983=1,1,0)))</f>
        <v>1</v>
      </c>
      <c r="K984">
        <f t="shared" ref="K984:K1047" ca="1" si="207">IF(I984&lt;$B$3,1,0)</f>
        <v>0</v>
      </c>
      <c r="L984">
        <f t="shared" ca="1" si="201"/>
        <v>0</v>
      </c>
      <c r="M984" t="str">
        <f t="shared" ref="M984:M1047" ca="1" si="208">IF(AND(K984=1,J983=0),B984,"na")</f>
        <v>na</v>
      </c>
      <c r="N984" t="str">
        <f t="shared" ref="N984:N1047" ca="1" si="209">IF(AND(L984=1,J983=1),B984,"na")</f>
        <v>na</v>
      </c>
    </row>
    <row r="985" spans="1:14" x14ac:dyDescent="0.2">
      <c r="A985" vm="1764">
        <f ca="1"/>
        <v>45679</v>
      </c>
      <c r="B985" vm="1765">
        <f ca="1"/>
        <v>45.79</v>
      </c>
      <c r="C985">
        <f t="shared" ca="1" si="198"/>
        <v>-0.86999999999999744</v>
      </c>
      <c r="D985">
        <f t="shared" ca="1" si="199"/>
        <v>0</v>
      </c>
      <c r="E985">
        <f t="shared" ca="1" si="200"/>
        <v>0.86999999999999744</v>
      </c>
      <c r="F985">
        <f t="shared" ca="1" si="202"/>
        <v>0.25166413091765039</v>
      </c>
      <c r="G985">
        <f t="shared" ca="1" si="203"/>
        <v>0.23266062127044665</v>
      </c>
      <c r="H985">
        <f t="shared" ca="1" si="204"/>
        <v>1.0816790978354429</v>
      </c>
      <c r="I985">
        <f t="shared" ca="1" si="205"/>
        <v>51.961856126632924</v>
      </c>
      <c r="J985">
        <f t="shared" ca="1" si="206"/>
        <v>1</v>
      </c>
      <c r="K985">
        <f t="shared" ca="1" si="207"/>
        <v>0</v>
      </c>
      <c r="L985">
        <f t="shared" ca="1" si="201"/>
        <v>0</v>
      </c>
      <c r="M985" t="str">
        <f t="shared" ca="1" si="208"/>
        <v>na</v>
      </c>
      <c r="N985" t="str">
        <f t="shared" ca="1" si="209"/>
        <v>na</v>
      </c>
    </row>
    <row r="986" spans="1:14" x14ac:dyDescent="0.2">
      <c r="A986" vm="1766">
        <f ca="1"/>
        <v>45680</v>
      </c>
      <c r="B986" vm="1767">
        <f ca="1"/>
        <v>46.39</v>
      </c>
      <c r="C986">
        <f t="shared" ca="1" si="198"/>
        <v>0.60000000000000142</v>
      </c>
      <c r="D986">
        <f t="shared" ca="1" si="199"/>
        <v>0.60000000000000142</v>
      </c>
      <c r="E986">
        <f t="shared" ca="1" si="200"/>
        <v>0</v>
      </c>
      <c r="F986">
        <f t="shared" ca="1" si="202"/>
        <v>0.27654526442353261</v>
      </c>
      <c r="G986">
        <f t="shared" ca="1" si="203"/>
        <v>0.21604200546541477</v>
      </c>
      <c r="H986">
        <f t="shared" ca="1" si="204"/>
        <v>1.2800532184830304</v>
      </c>
      <c r="I986">
        <f t="shared" ca="1" si="205"/>
        <v>56.141374600662964</v>
      </c>
      <c r="J986">
        <f t="shared" ca="1" si="206"/>
        <v>1</v>
      </c>
      <c r="K986">
        <f t="shared" ca="1" si="207"/>
        <v>0</v>
      </c>
      <c r="L986">
        <f t="shared" ca="1" si="201"/>
        <v>0</v>
      </c>
      <c r="M986" t="str">
        <f t="shared" ca="1" si="208"/>
        <v>na</v>
      </c>
      <c r="N986" t="str">
        <f t="shared" ca="1" si="209"/>
        <v>na</v>
      </c>
    </row>
    <row r="987" spans="1:14" x14ac:dyDescent="0.2">
      <c r="A987" vm="1768">
        <f ca="1"/>
        <v>45681</v>
      </c>
      <c r="B987" vm="1769">
        <f ca="1"/>
        <v>46.52</v>
      </c>
      <c r="C987">
        <f t="shared" ca="1" si="198"/>
        <v>0.13000000000000256</v>
      </c>
      <c r="D987">
        <f t="shared" ca="1" si="199"/>
        <v>0.13000000000000256</v>
      </c>
      <c r="E987">
        <f t="shared" ca="1" si="200"/>
        <v>0</v>
      </c>
      <c r="F987">
        <f t="shared" ca="1" si="202"/>
        <v>0.26607774553613761</v>
      </c>
      <c r="G987">
        <f t="shared" ca="1" si="203"/>
        <v>0.20061043364645656</v>
      </c>
      <c r="H987">
        <f t="shared" ca="1" si="204"/>
        <v>1.3263405133008017</v>
      </c>
      <c r="I987">
        <f t="shared" ca="1" si="205"/>
        <v>57.014031510755991</v>
      </c>
      <c r="J987">
        <f t="shared" ca="1" si="206"/>
        <v>1</v>
      </c>
      <c r="K987">
        <f t="shared" ca="1" si="207"/>
        <v>0</v>
      </c>
      <c r="L987">
        <f t="shared" ca="1" si="201"/>
        <v>0</v>
      </c>
      <c r="M987" t="str">
        <f t="shared" ca="1" si="208"/>
        <v>na</v>
      </c>
      <c r="N987" t="str">
        <f t="shared" ca="1" si="209"/>
        <v>na</v>
      </c>
    </row>
    <row r="988" spans="1:14" x14ac:dyDescent="0.2">
      <c r="A988" vm="1770">
        <f ca="1"/>
        <v>45684</v>
      </c>
      <c r="B988" vm="328">
        <f ca="1"/>
        <v>47.09</v>
      </c>
      <c r="C988">
        <f t="shared" ca="1" si="198"/>
        <v>0.57000000000000028</v>
      </c>
      <c r="D988">
        <f t="shared" ca="1" si="199"/>
        <v>0.57000000000000028</v>
      </c>
      <c r="E988">
        <f t="shared" ca="1" si="200"/>
        <v>0</v>
      </c>
      <c r="F988">
        <f t="shared" ca="1" si="202"/>
        <v>0.28778647799784213</v>
      </c>
      <c r="G988">
        <f t="shared" ca="1" si="203"/>
        <v>0.18628111695742394</v>
      </c>
      <c r="H988">
        <f t="shared" ca="1" si="204"/>
        <v>1.5449041894225815</v>
      </c>
      <c r="I988">
        <f t="shared" ca="1" si="205"/>
        <v>60.705789862097241</v>
      </c>
      <c r="J988">
        <f t="shared" ca="1" si="206"/>
        <v>1</v>
      </c>
      <c r="K988">
        <f t="shared" ca="1" si="207"/>
        <v>0</v>
      </c>
      <c r="L988">
        <f t="shared" ca="1" si="201"/>
        <v>0</v>
      </c>
      <c r="M988" t="str">
        <f t="shared" ca="1" si="208"/>
        <v>na</v>
      </c>
      <c r="N988" t="str">
        <f t="shared" ca="1" si="209"/>
        <v>na</v>
      </c>
    </row>
    <row r="989" spans="1:14" x14ac:dyDescent="0.2">
      <c r="A989" vm="1771">
        <f ca="1"/>
        <v>45685</v>
      </c>
      <c r="B989" vm="1772">
        <f ca="1"/>
        <v>46.84</v>
      </c>
      <c r="C989">
        <f t="shared" ca="1" si="198"/>
        <v>-0.25</v>
      </c>
      <c r="D989">
        <f t="shared" ca="1" si="199"/>
        <v>0</v>
      </c>
      <c r="E989">
        <f t="shared" ca="1" si="200"/>
        <v>0.25</v>
      </c>
      <c r="F989">
        <f t="shared" ca="1" si="202"/>
        <v>0.26723030099799627</v>
      </c>
      <c r="G989">
        <f t="shared" ca="1" si="203"/>
        <v>0.19083246574617937</v>
      </c>
      <c r="H989">
        <f t="shared" ca="1" si="204"/>
        <v>1.4003398213877893</v>
      </c>
      <c r="I989">
        <f t="shared" ca="1" si="205"/>
        <v>58.339232174974448</v>
      </c>
      <c r="J989">
        <f t="shared" ca="1" si="206"/>
        <v>1</v>
      </c>
      <c r="K989">
        <f t="shared" ca="1" si="207"/>
        <v>0</v>
      </c>
      <c r="L989">
        <f t="shared" ca="1" si="201"/>
        <v>0</v>
      </c>
      <c r="M989" t="str">
        <f t="shared" ca="1" si="208"/>
        <v>na</v>
      </c>
      <c r="N989" t="str">
        <f t="shared" ca="1" si="209"/>
        <v>na</v>
      </c>
    </row>
    <row r="990" spans="1:14" x14ac:dyDescent="0.2">
      <c r="A990" vm="1773">
        <f ca="1"/>
        <v>45686</v>
      </c>
      <c r="B990" vm="1694">
        <f ca="1"/>
        <v>46.75</v>
      </c>
      <c r="C990">
        <f t="shared" ca="1" si="198"/>
        <v>-9.0000000000003411E-2</v>
      </c>
      <c r="D990">
        <f t="shared" ca="1" si="199"/>
        <v>0</v>
      </c>
      <c r="E990">
        <f t="shared" ca="1" si="200"/>
        <v>9.0000000000003411E-2</v>
      </c>
      <c r="F990">
        <f t="shared" ca="1" si="202"/>
        <v>0.24814242235528225</v>
      </c>
      <c r="G990">
        <f t="shared" ca="1" si="203"/>
        <v>0.18363014676430964</v>
      </c>
      <c r="H990">
        <f t="shared" ca="1" si="204"/>
        <v>1.3513163645933066</v>
      </c>
      <c r="I990">
        <f t="shared" ca="1" si="205"/>
        <v>57.470631555232501</v>
      </c>
      <c r="J990">
        <f t="shared" ca="1" si="206"/>
        <v>1</v>
      </c>
      <c r="K990">
        <f t="shared" ca="1" si="207"/>
        <v>0</v>
      </c>
      <c r="L990">
        <f t="shared" ca="1" si="201"/>
        <v>0</v>
      </c>
      <c r="M990" t="str">
        <f t="shared" ca="1" si="208"/>
        <v>na</v>
      </c>
      <c r="N990" t="str">
        <f t="shared" ca="1" si="209"/>
        <v>na</v>
      </c>
    </row>
    <row r="991" spans="1:14" x14ac:dyDescent="0.2">
      <c r="A991" vm="1774">
        <f ca="1"/>
        <v>45687</v>
      </c>
      <c r="B991" vm="1696">
        <f ca="1"/>
        <v>46.72</v>
      </c>
      <c r="C991">
        <f t="shared" ca="1" si="198"/>
        <v>-3.0000000000001137E-2</v>
      </c>
      <c r="D991">
        <f t="shared" ca="1" si="199"/>
        <v>0</v>
      </c>
      <c r="E991">
        <f t="shared" ca="1" si="200"/>
        <v>3.0000000000001137E-2</v>
      </c>
      <c r="F991">
        <f t="shared" ca="1" si="202"/>
        <v>0.23041796361561923</v>
      </c>
      <c r="G991">
        <f t="shared" ca="1" si="203"/>
        <v>0.1726565648525733</v>
      </c>
      <c r="H991">
        <f t="shared" ca="1" si="204"/>
        <v>1.3345450479242813</v>
      </c>
      <c r="I991">
        <f t="shared" ca="1" si="205"/>
        <v>57.165101573467943</v>
      </c>
      <c r="J991">
        <f t="shared" ca="1" si="206"/>
        <v>1</v>
      </c>
      <c r="K991">
        <f t="shared" ca="1" si="207"/>
        <v>0</v>
      </c>
      <c r="L991">
        <f t="shared" ca="1" si="201"/>
        <v>0</v>
      </c>
      <c r="M991" t="str">
        <f t="shared" ca="1" si="208"/>
        <v>na</v>
      </c>
      <c r="N991" t="str">
        <f t="shared" ca="1" si="209"/>
        <v>na</v>
      </c>
    </row>
    <row r="992" spans="1:14" x14ac:dyDescent="0.2">
      <c r="A992" vm="1775">
        <f ca="1"/>
        <v>45688</v>
      </c>
      <c r="B992" vm="1776">
        <f ca="1"/>
        <v>46.3</v>
      </c>
      <c r="C992">
        <f t="shared" ca="1" si="198"/>
        <v>-0.42000000000000171</v>
      </c>
      <c r="D992">
        <f t="shared" ca="1" si="199"/>
        <v>0</v>
      </c>
      <c r="E992">
        <f t="shared" ca="1" si="200"/>
        <v>0.42000000000000171</v>
      </c>
      <c r="F992">
        <f t="shared" ca="1" si="202"/>
        <v>0.21395953764307499</v>
      </c>
      <c r="G992">
        <f t="shared" ca="1" si="203"/>
        <v>0.19032395307738964</v>
      </c>
      <c r="H992">
        <f t="shared" ca="1" si="204"/>
        <v>1.12418607423562</v>
      </c>
      <c r="I992">
        <f t="shared" ca="1" si="205"/>
        <v>52.923144910464309</v>
      </c>
      <c r="J992">
        <f t="shared" ca="1" si="206"/>
        <v>1</v>
      </c>
      <c r="K992">
        <f t="shared" ca="1" si="207"/>
        <v>0</v>
      </c>
      <c r="L992">
        <f t="shared" ca="1" si="201"/>
        <v>0</v>
      </c>
      <c r="M992" t="str">
        <f t="shared" ca="1" si="208"/>
        <v>na</v>
      </c>
      <c r="N992" t="str">
        <f t="shared" ca="1" si="209"/>
        <v>na</v>
      </c>
    </row>
    <row r="993" spans="1:14" x14ac:dyDescent="0.2">
      <c r="A993" vm="1777">
        <f ca="1"/>
        <v>45691</v>
      </c>
      <c r="B993" vm="1749">
        <f ca="1"/>
        <v>46.21</v>
      </c>
      <c r="C993">
        <f t="shared" ca="1" si="198"/>
        <v>-8.9999999999996305E-2</v>
      </c>
      <c r="D993">
        <f t="shared" ca="1" si="199"/>
        <v>0</v>
      </c>
      <c r="E993">
        <f t="shared" ca="1" si="200"/>
        <v>8.9999999999996305E-2</v>
      </c>
      <c r="F993">
        <f t="shared" ca="1" si="202"/>
        <v>0.19867671352571251</v>
      </c>
      <c r="G993">
        <f t="shared" ca="1" si="203"/>
        <v>0.1831579564290044</v>
      </c>
      <c r="H993">
        <f t="shared" ca="1" si="204"/>
        <v>1.0847288176788732</v>
      </c>
      <c r="I993">
        <f t="shared" ca="1" si="205"/>
        <v>52.032130437310542</v>
      </c>
      <c r="J993">
        <f t="shared" ca="1" si="206"/>
        <v>1</v>
      </c>
      <c r="K993">
        <f t="shared" ca="1" si="207"/>
        <v>0</v>
      </c>
      <c r="L993">
        <f t="shared" ca="1" si="201"/>
        <v>0</v>
      </c>
      <c r="M993" t="str">
        <f t="shared" ca="1" si="208"/>
        <v>na</v>
      </c>
      <c r="N993" t="str">
        <f t="shared" ca="1" si="209"/>
        <v>na</v>
      </c>
    </row>
    <row r="994" spans="1:14" x14ac:dyDescent="0.2">
      <c r="A994" vm="1778">
        <f ca="1"/>
        <v>45692</v>
      </c>
      <c r="B994" vm="1779">
        <f ca="1"/>
        <v>46.71</v>
      </c>
      <c r="C994">
        <f t="shared" ca="1" si="198"/>
        <v>0.5</v>
      </c>
      <c r="D994">
        <f t="shared" ca="1" si="199"/>
        <v>0.5</v>
      </c>
      <c r="E994">
        <f t="shared" ca="1" si="200"/>
        <v>0</v>
      </c>
      <c r="F994">
        <f t="shared" ca="1" si="202"/>
        <v>0.22019980541673306</v>
      </c>
      <c r="G994">
        <f t="shared" ca="1" si="203"/>
        <v>0.17007524525550408</v>
      </c>
      <c r="H994">
        <f t="shared" ca="1" si="204"/>
        <v>1.2947199052156406</v>
      </c>
      <c r="I994">
        <f t="shared" ca="1" si="205"/>
        <v>56.421696707859105</v>
      </c>
      <c r="J994">
        <f t="shared" ca="1" si="206"/>
        <v>1</v>
      </c>
      <c r="K994">
        <f t="shared" ca="1" si="207"/>
        <v>0</v>
      </c>
      <c r="L994">
        <f t="shared" ca="1" si="201"/>
        <v>0</v>
      </c>
      <c r="M994" t="str">
        <f t="shared" ca="1" si="208"/>
        <v>na</v>
      </c>
      <c r="N994" t="str">
        <f t="shared" ca="1" si="209"/>
        <v>na</v>
      </c>
    </row>
    <row r="995" spans="1:14" x14ac:dyDescent="0.2">
      <c r="A995" vm="1780">
        <f ca="1"/>
        <v>45693</v>
      </c>
      <c r="B995" vm="1781">
        <f ca="1"/>
        <v>47.11</v>
      </c>
      <c r="C995">
        <f t="shared" ca="1" si="198"/>
        <v>0.39999999999999858</v>
      </c>
      <c r="D995">
        <f t="shared" ca="1" si="199"/>
        <v>0.39999999999999858</v>
      </c>
      <c r="E995">
        <f t="shared" ca="1" si="200"/>
        <v>0</v>
      </c>
      <c r="F995">
        <f t="shared" ca="1" si="202"/>
        <v>0.23304267645839488</v>
      </c>
      <c r="G995">
        <f t="shared" ca="1" si="203"/>
        <v>0.15792701345153951</v>
      </c>
      <c r="H995">
        <f t="shared" ca="1" si="204"/>
        <v>1.4756353037088548</v>
      </c>
      <c r="I995">
        <f t="shared" ca="1" si="205"/>
        <v>59.606328181624441</v>
      </c>
      <c r="J995">
        <f t="shared" ca="1" si="206"/>
        <v>1</v>
      </c>
      <c r="K995">
        <f t="shared" ca="1" si="207"/>
        <v>0</v>
      </c>
      <c r="L995">
        <f t="shared" ca="1" si="201"/>
        <v>0</v>
      </c>
      <c r="M995" t="str">
        <f t="shared" ca="1" si="208"/>
        <v>na</v>
      </c>
      <c r="N995" t="str">
        <f t="shared" ca="1" si="209"/>
        <v>na</v>
      </c>
    </row>
    <row r="996" spans="1:14" x14ac:dyDescent="0.2">
      <c r="A996" vm="1782">
        <f ca="1"/>
        <v>45694</v>
      </c>
      <c r="B996" vm="1783">
        <f ca="1"/>
        <v>47.74</v>
      </c>
      <c r="C996">
        <f t="shared" ca="1" si="198"/>
        <v>0.63000000000000256</v>
      </c>
      <c r="D996">
        <f t="shared" ca="1" si="199"/>
        <v>0.63000000000000256</v>
      </c>
      <c r="E996">
        <f t="shared" ca="1" si="200"/>
        <v>0</v>
      </c>
      <c r="F996">
        <f t="shared" ca="1" si="202"/>
        <v>0.26139677099708114</v>
      </c>
      <c r="G996">
        <f t="shared" ca="1" si="203"/>
        <v>0.14664651249071525</v>
      </c>
      <c r="H996">
        <f t="shared" ca="1" si="204"/>
        <v>1.7824956526915781</v>
      </c>
      <c r="I996">
        <f t="shared" ca="1" si="205"/>
        <v>64.061039986435389</v>
      </c>
      <c r="J996">
        <f t="shared" ca="1" si="206"/>
        <v>1</v>
      </c>
      <c r="K996">
        <f t="shared" ca="1" si="207"/>
        <v>0</v>
      </c>
      <c r="L996">
        <f t="shared" ca="1" si="201"/>
        <v>0</v>
      </c>
      <c r="M996" t="str">
        <f t="shared" ca="1" si="208"/>
        <v>na</v>
      </c>
      <c r="N996" t="str">
        <f t="shared" ca="1" si="209"/>
        <v>na</v>
      </c>
    </row>
    <row r="997" spans="1:14" x14ac:dyDescent="0.2">
      <c r="A997" vm="1784">
        <f ca="1"/>
        <v>45695</v>
      </c>
      <c r="B997" vm="1785">
        <f ca="1"/>
        <v>47.4</v>
      </c>
      <c r="C997">
        <f t="shared" ca="1" si="198"/>
        <v>-0.34000000000000341</v>
      </c>
      <c r="D997">
        <f t="shared" ca="1" si="199"/>
        <v>0</v>
      </c>
      <c r="E997">
        <f t="shared" ca="1" si="200"/>
        <v>0.34000000000000341</v>
      </c>
      <c r="F997">
        <f t="shared" ca="1" si="202"/>
        <v>0.2427255730687182</v>
      </c>
      <c r="G997">
        <f t="shared" ca="1" si="203"/>
        <v>0.16045747588423584</v>
      </c>
      <c r="H997">
        <f t="shared" ca="1" si="204"/>
        <v>1.5127096555092001</v>
      </c>
      <c r="I997">
        <f t="shared" ca="1" si="205"/>
        <v>60.202325891196118</v>
      </c>
      <c r="J997">
        <f t="shared" ca="1" si="206"/>
        <v>1</v>
      </c>
      <c r="K997">
        <f t="shared" ca="1" si="207"/>
        <v>0</v>
      </c>
      <c r="L997">
        <f t="shared" ca="1" si="201"/>
        <v>0</v>
      </c>
      <c r="M997" t="str">
        <f t="shared" ca="1" si="208"/>
        <v>na</v>
      </c>
      <c r="N997" t="str">
        <f t="shared" ca="1" si="209"/>
        <v>na</v>
      </c>
    </row>
    <row r="998" spans="1:14" x14ac:dyDescent="0.2">
      <c r="A998" vm="1786">
        <f ca="1"/>
        <v>45698</v>
      </c>
      <c r="B998" vm="1787">
        <f ca="1"/>
        <v>46.67</v>
      </c>
      <c r="C998">
        <f t="shared" ca="1" si="198"/>
        <v>-0.72999999999999687</v>
      </c>
      <c r="D998">
        <f t="shared" ca="1" si="199"/>
        <v>0</v>
      </c>
      <c r="E998">
        <f t="shared" ca="1" si="200"/>
        <v>0.72999999999999687</v>
      </c>
      <c r="F998">
        <f t="shared" ca="1" si="202"/>
        <v>0.22538803213523834</v>
      </c>
      <c r="G998">
        <f t="shared" ca="1" si="203"/>
        <v>0.20113908474964734</v>
      </c>
      <c r="H998">
        <f t="shared" ca="1" si="204"/>
        <v>1.1205581074199131</v>
      </c>
      <c r="I998">
        <f t="shared" ca="1" si="205"/>
        <v>52.842603251428848</v>
      </c>
      <c r="J998">
        <f t="shared" ca="1" si="206"/>
        <v>1</v>
      </c>
      <c r="K998">
        <f t="shared" ca="1" si="207"/>
        <v>0</v>
      </c>
      <c r="L998">
        <f t="shared" ca="1" si="201"/>
        <v>0</v>
      </c>
      <c r="M998" t="str">
        <f t="shared" ca="1" si="208"/>
        <v>na</v>
      </c>
      <c r="N998" t="str">
        <f t="shared" ca="1" si="209"/>
        <v>na</v>
      </c>
    </row>
    <row r="999" spans="1:14" x14ac:dyDescent="0.2">
      <c r="A999" vm="1788">
        <f ca="1"/>
        <v>45699</v>
      </c>
      <c r="B999" vm="1789">
        <f ca="1"/>
        <v>46.79</v>
      </c>
      <c r="C999">
        <f t="shared" ca="1" si="198"/>
        <v>0.11999999999999744</v>
      </c>
      <c r="D999">
        <f t="shared" ca="1" si="199"/>
        <v>0.11999999999999744</v>
      </c>
      <c r="E999">
        <f t="shared" ca="1" si="200"/>
        <v>0</v>
      </c>
      <c r="F999">
        <f t="shared" ca="1" si="202"/>
        <v>0.2178603155541497</v>
      </c>
      <c r="G999">
        <f t="shared" ca="1" si="203"/>
        <v>0.18677200726752965</v>
      </c>
      <c r="H999">
        <f t="shared" ca="1" si="204"/>
        <v>1.1664505765154067</v>
      </c>
      <c r="I999">
        <f t="shared" ca="1" si="205"/>
        <v>53.841550283208662</v>
      </c>
      <c r="J999">
        <f t="shared" ca="1" si="206"/>
        <v>1</v>
      </c>
      <c r="K999">
        <f t="shared" ca="1" si="207"/>
        <v>0</v>
      </c>
      <c r="L999">
        <f t="shared" ca="1" si="201"/>
        <v>0</v>
      </c>
      <c r="M999" t="str">
        <f t="shared" ca="1" si="208"/>
        <v>na</v>
      </c>
      <c r="N999" t="str">
        <f t="shared" ca="1" si="209"/>
        <v>na</v>
      </c>
    </row>
    <row r="1000" spans="1:14" x14ac:dyDescent="0.2">
      <c r="A1000" vm="1790">
        <f ca="1"/>
        <v>45700</v>
      </c>
      <c r="B1000" vm="1749">
        <f ca="1"/>
        <v>46.21</v>
      </c>
      <c r="C1000">
        <f t="shared" ca="1" si="198"/>
        <v>-0.57999999999999829</v>
      </c>
      <c r="D1000">
        <f t="shared" ca="1" si="199"/>
        <v>0</v>
      </c>
      <c r="E1000">
        <f t="shared" ca="1" si="200"/>
        <v>0.57999999999999829</v>
      </c>
      <c r="F1000">
        <f t="shared" ca="1" si="202"/>
        <v>0.20229886444313899</v>
      </c>
      <c r="G1000">
        <f t="shared" ca="1" si="203"/>
        <v>0.21485972103413456</v>
      </c>
      <c r="H1000">
        <f t="shared" ca="1" si="204"/>
        <v>0.94153926789749465</v>
      </c>
      <c r="I1000">
        <f t="shared" ca="1" si="205"/>
        <v>48.494474640067082</v>
      </c>
      <c r="J1000">
        <f t="shared" ca="1" si="206"/>
        <v>1</v>
      </c>
      <c r="K1000">
        <f t="shared" ca="1" si="207"/>
        <v>0</v>
      </c>
      <c r="L1000">
        <f t="shared" ca="1" si="201"/>
        <v>0</v>
      </c>
      <c r="M1000" t="str">
        <f t="shared" ca="1" si="208"/>
        <v>na</v>
      </c>
      <c r="N1000" t="str">
        <f t="shared" ca="1" si="209"/>
        <v>na</v>
      </c>
    </row>
    <row r="1001" spans="1:14" x14ac:dyDescent="0.2">
      <c r="A1001" vm="1791">
        <f ca="1"/>
        <v>45701</v>
      </c>
      <c r="B1001" vm="1792">
        <f ca="1"/>
        <v>46.33</v>
      </c>
      <c r="C1001">
        <f t="shared" ca="1" si="198"/>
        <v>0.11999999999999744</v>
      </c>
      <c r="D1001">
        <f t="shared" ca="1" si="199"/>
        <v>0.11999999999999744</v>
      </c>
      <c r="E1001">
        <f t="shared" ca="1" si="200"/>
        <v>0</v>
      </c>
      <c r="F1001">
        <f t="shared" ca="1" si="202"/>
        <v>0.19642037412577174</v>
      </c>
      <c r="G1001">
        <f t="shared" ca="1" si="203"/>
        <v>0.19951259810312494</v>
      </c>
      <c r="H1001">
        <f t="shared" ca="1" si="204"/>
        <v>0.98450110916928224</v>
      </c>
      <c r="I1001">
        <f t="shared" ca="1" si="205"/>
        <v>49.609501583065239</v>
      </c>
      <c r="J1001">
        <f t="shared" ca="1" si="206"/>
        <v>1</v>
      </c>
      <c r="K1001">
        <f t="shared" ca="1" si="207"/>
        <v>0</v>
      </c>
      <c r="L1001">
        <f t="shared" ca="1" si="201"/>
        <v>0</v>
      </c>
      <c r="M1001" t="str">
        <f t="shared" ca="1" si="208"/>
        <v>na</v>
      </c>
      <c r="N1001" t="str">
        <f t="shared" ca="1" si="209"/>
        <v>na</v>
      </c>
    </row>
    <row r="1002" spans="1:14" x14ac:dyDescent="0.2">
      <c r="A1002" vm="1793">
        <f ca="1"/>
        <v>45702</v>
      </c>
      <c r="B1002" vm="1794">
        <f ca="1"/>
        <v>46.96</v>
      </c>
      <c r="C1002">
        <f t="shared" ca="1" si="198"/>
        <v>0.63000000000000256</v>
      </c>
      <c r="D1002">
        <f t="shared" ca="1" si="199"/>
        <v>0.63000000000000256</v>
      </c>
      <c r="E1002">
        <f t="shared" ca="1" si="200"/>
        <v>0</v>
      </c>
      <c r="F1002">
        <f t="shared" ca="1" si="202"/>
        <v>0.22739034740250252</v>
      </c>
      <c r="G1002">
        <f t="shared" ca="1" si="203"/>
        <v>0.18526169823861599</v>
      </c>
      <c r="H1002">
        <f t="shared" ca="1" si="204"/>
        <v>1.2274007502059334</v>
      </c>
      <c r="I1002">
        <f t="shared" ca="1" si="205"/>
        <v>55.10462138851549</v>
      </c>
      <c r="J1002">
        <f t="shared" ca="1" si="206"/>
        <v>1</v>
      </c>
      <c r="K1002">
        <f t="shared" ca="1" si="207"/>
        <v>0</v>
      </c>
      <c r="L1002">
        <f t="shared" ca="1" si="201"/>
        <v>0</v>
      </c>
      <c r="M1002" t="str">
        <f t="shared" ca="1" si="208"/>
        <v>na</v>
      </c>
      <c r="N1002" t="str">
        <f t="shared" ca="1" si="209"/>
        <v>na</v>
      </c>
    </row>
    <row r="1003" spans="1:14" x14ac:dyDescent="0.2">
      <c r="A1003" vm="1795">
        <f ca="1"/>
        <v>45706</v>
      </c>
      <c r="B1003" vm="1761">
        <f ca="1"/>
        <v>46.53</v>
      </c>
      <c r="C1003">
        <f t="shared" ca="1" si="198"/>
        <v>-0.42999999999999972</v>
      </c>
      <c r="D1003">
        <f t="shared" ca="1" si="199"/>
        <v>0</v>
      </c>
      <c r="E1003">
        <f t="shared" ca="1" si="200"/>
        <v>0.42999999999999972</v>
      </c>
      <c r="F1003">
        <f t="shared" ca="1" si="202"/>
        <v>0.2111481797308952</v>
      </c>
      <c r="G1003">
        <f t="shared" ca="1" si="203"/>
        <v>0.20274300550728627</v>
      </c>
      <c r="H1003">
        <f t="shared" ca="1" si="204"/>
        <v>1.0414572833355125</v>
      </c>
      <c r="I1003">
        <f t="shared" ca="1" si="205"/>
        <v>51.015384541080778</v>
      </c>
      <c r="J1003">
        <f t="shared" ca="1" si="206"/>
        <v>1</v>
      </c>
      <c r="K1003">
        <f t="shared" ca="1" si="207"/>
        <v>0</v>
      </c>
      <c r="L1003">
        <f t="shared" ca="1" si="201"/>
        <v>0</v>
      </c>
      <c r="M1003" t="str">
        <f t="shared" ca="1" si="208"/>
        <v>na</v>
      </c>
      <c r="N1003" t="str">
        <f t="shared" ca="1" si="209"/>
        <v>na</v>
      </c>
    </row>
    <row r="1004" spans="1:14" x14ac:dyDescent="0.2">
      <c r="A1004" vm="1796">
        <f ca="1"/>
        <v>45707</v>
      </c>
      <c r="B1004" vm="1797">
        <f ca="1"/>
        <v>46.01</v>
      </c>
      <c r="C1004">
        <f t="shared" ca="1" si="198"/>
        <v>-0.52000000000000313</v>
      </c>
      <c r="D1004">
        <f t="shared" ca="1" si="199"/>
        <v>0</v>
      </c>
      <c r="E1004">
        <f t="shared" ca="1" si="200"/>
        <v>0.52000000000000313</v>
      </c>
      <c r="F1004">
        <f t="shared" ca="1" si="202"/>
        <v>0.19606616689297413</v>
      </c>
      <c r="G1004">
        <f t="shared" ca="1" si="203"/>
        <v>0.22540421939962321</v>
      </c>
      <c r="H1004">
        <f t="shared" ca="1" si="204"/>
        <v>0.86984248748851001</v>
      </c>
      <c r="I1004">
        <f t="shared" ca="1" si="205"/>
        <v>46.519559444648415</v>
      </c>
      <c r="J1004">
        <f t="shared" ca="1" si="206"/>
        <v>1</v>
      </c>
      <c r="K1004">
        <f t="shared" ca="1" si="207"/>
        <v>0</v>
      </c>
      <c r="L1004">
        <f t="shared" ca="1" si="201"/>
        <v>0</v>
      </c>
      <c r="M1004" t="str">
        <f t="shared" ca="1" si="208"/>
        <v>na</v>
      </c>
      <c r="N1004" t="str">
        <f t="shared" ca="1" si="209"/>
        <v>na</v>
      </c>
    </row>
    <row r="1005" spans="1:14" x14ac:dyDescent="0.2">
      <c r="A1005" vm="1798">
        <f ca="1"/>
        <v>45708</v>
      </c>
      <c r="B1005" vm="1799">
        <f ca="1"/>
        <v>45.3</v>
      </c>
      <c r="C1005">
        <f t="shared" ca="1" si="198"/>
        <v>-0.71000000000000085</v>
      </c>
      <c r="D1005">
        <f t="shared" ca="1" si="199"/>
        <v>0</v>
      </c>
      <c r="E1005">
        <f t="shared" ca="1" si="200"/>
        <v>0.71000000000000085</v>
      </c>
      <c r="F1005">
        <f t="shared" ca="1" si="202"/>
        <v>0.18206144068633309</v>
      </c>
      <c r="G1005">
        <f t="shared" ca="1" si="203"/>
        <v>0.2600182037282216</v>
      </c>
      <c r="H1005">
        <f t="shared" ca="1" si="204"/>
        <v>0.70018728718174239</v>
      </c>
      <c r="I1005">
        <f t="shared" ca="1" si="205"/>
        <v>41.182950399681211</v>
      </c>
      <c r="J1005">
        <f t="shared" ca="1" si="206"/>
        <v>1</v>
      </c>
      <c r="K1005">
        <f t="shared" ca="1" si="207"/>
        <v>0</v>
      </c>
      <c r="L1005">
        <f t="shared" ca="1" si="201"/>
        <v>0</v>
      </c>
      <c r="M1005" t="str">
        <f t="shared" ca="1" si="208"/>
        <v>na</v>
      </c>
      <c r="N1005" t="str">
        <f t="shared" ca="1" si="209"/>
        <v>na</v>
      </c>
    </row>
    <row r="1006" spans="1:14" x14ac:dyDescent="0.2">
      <c r="A1006" vm="1800">
        <f ca="1"/>
        <v>45709</v>
      </c>
      <c r="B1006" vm="1745">
        <f ca="1"/>
        <v>44.81</v>
      </c>
      <c r="C1006">
        <f t="shared" ca="1" si="198"/>
        <v>-0.48999999999999488</v>
      </c>
      <c r="D1006">
        <f t="shared" ca="1" si="199"/>
        <v>0</v>
      </c>
      <c r="E1006">
        <f t="shared" ca="1" si="200"/>
        <v>0.48999999999999488</v>
      </c>
      <c r="F1006">
        <f t="shared" ca="1" si="202"/>
        <v>0.16905705206588073</v>
      </c>
      <c r="G1006">
        <f t="shared" ca="1" si="203"/>
        <v>0.27644547489049109</v>
      </c>
      <c r="H1006">
        <f t="shared" ca="1" si="204"/>
        <v>0.61153850368811302</v>
      </c>
      <c r="I1006">
        <f t="shared" ca="1" si="205"/>
        <v>37.947495656390863</v>
      </c>
      <c r="J1006">
        <f t="shared" ca="1" si="206"/>
        <v>1</v>
      </c>
      <c r="K1006">
        <f t="shared" ca="1" si="207"/>
        <v>1</v>
      </c>
      <c r="L1006">
        <f t="shared" ca="1" si="201"/>
        <v>0</v>
      </c>
      <c r="M1006" t="str">
        <f t="shared" ca="1" si="208"/>
        <v>na</v>
      </c>
      <c r="N1006" t="str">
        <f t="shared" ca="1" si="209"/>
        <v>na</v>
      </c>
    </row>
    <row r="1007" spans="1:14" x14ac:dyDescent="0.2">
      <c r="A1007" vm="1801">
        <f ca="1"/>
        <v>45712</v>
      </c>
      <c r="B1007" vm="1802">
        <f ca="1"/>
        <v>44.46</v>
      </c>
      <c r="C1007">
        <f t="shared" ca="1" si="198"/>
        <v>-0.35000000000000142</v>
      </c>
      <c r="D1007">
        <f t="shared" ca="1" si="199"/>
        <v>0</v>
      </c>
      <c r="E1007">
        <f t="shared" ca="1" si="200"/>
        <v>0.35000000000000142</v>
      </c>
      <c r="F1007">
        <f t="shared" ca="1" si="202"/>
        <v>0.15698154834688927</v>
      </c>
      <c r="G1007">
        <f t="shared" ca="1" si="203"/>
        <v>0.28169936954117042</v>
      </c>
      <c r="H1007">
        <f t="shared" ca="1" si="204"/>
        <v>0.55726623954671783</v>
      </c>
      <c r="I1007">
        <f t="shared" ca="1" si="205"/>
        <v>35.784904687134585</v>
      </c>
      <c r="J1007">
        <f t="shared" ca="1" si="206"/>
        <v>1</v>
      </c>
      <c r="K1007">
        <f t="shared" ca="1" si="207"/>
        <v>1</v>
      </c>
      <c r="L1007">
        <f t="shared" ca="1" si="201"/>
        <v>0</v>
      </c>
      <c r="M1007" t="str">
        <f t="shared" ca="1" si="208"/>
        <v>na</v>
      </c>
      <c r="N1007" t="str">
        <f t="shared" ca="1" si="209"/>
        <v>na</v>
      </c>
    </row>
    <row r="1008" spans="1:14" x14ac:dyDescent="0.2">
      <c r="A1008" vm="1803">
        <f ca="1"/>
        <v>45713</v>
      </c>
      <c r="B1008" vm="402">
        <f ca="1"/>
        <v>43.94</v>
      </c>
      <c r="C1008">
        <f t="shared" ca="1" si="198"/>
        <v>-0.52000000000000313</v>
      </c>
      <c r="D1008">
        <f t="shared" ca="1" si="199"/>
        <v>0</v>
      </c>
      <c r="E1008">
        <f t="shared" ca="1" si="200"/>
        <v>0.52000000000000313</v>
      </c>
      <c r="F1008">
        <f t="shared" ca="1" si="202"/>
        <v>0.14576858060782574</v>
      </c>
      <c r="G1008">
        <f t="shared" ca="1" si="203"/>
        <v>0.29872084314537278</v>
      </c>
      <c r="H1008">
        <f t="shared" ca="1" si="204"/>
        <v>0.48797592786951033</v>
      </c>
      <c r="I1008">
        <f t="shared" ca="1" si="205"/>
        <v>32.794611709088343</v>
      </c>
      <c r="J1008">
        <f t="shared" ca="1" si="206"/>
        <v>1</v>
      </c>
      <c r="K1008">
        <f t="shared" ca="1" si="207"/>
        <v>1</v>
      </c>
      <c r="L1008">
        <f t="shared" ca="1" si="201"/>
        <v>0</v>
      </c>
      <c r="M1008" t="str">
        <f t="shared" ca="1" si="208"/>
        <v>na</v>
      </c>
      <c r="N1008" t="str">
        <f t="shared" ca="1" si="209"/>
        <v>na</v>
      </c>
    </row>
    <row r="1009" spans="1:14" x14ac:dyDescent="0.2">
      <c r="A1009" vm="1804">
        <f ca="1"/>
        <v>45714</v>
      </c>
      <c r="B1009" vm="402">
        <f ca="1"/>
        <v>43.94</v>
      </c>
      <c r="C1009">
        <f t="shared" ca="1" si="198"/>
        <v>0</v>
      </c>
      <c r="D1009">
        <f t="shared" ca="1" si="199"/>
        <v>0</v>
      </c>
      <c r="E1009">
        <f t="shared" ca="1" si="200"/>
        <v>0</v>
      </c>
      <c r="F1009">
        <f t="shared" ca="1" si="202"/>
        <v>0.1353565391358382</v>
      </c>
      <c r="G1009">
        <f t="shared" ca="1" si="203"/>
        <v>0.27738364006356042</v>
      </c>
      <c r="H1009">
        <f t="shared" ca="1" si="204"/>
        <v>0.48797592786951044</v>
      </c>
      <c r="I1009">
        <f t="shared" ca="1" si="205"/>
        <v>32.794611709088343</v>
      </c>
      <c r="J1009">
        <f t="shared" ca="1" si="206"/>
        <v>1</v>
      </c>
      <c r="K1009">
        <f t="shared" ca="1" si="207"/>
        <v>1</v>
      </c>
      <c r="L1009">
        <f t="shared" ca="1" si="201"/>
        <v>0</v>
      </c>
      <c r="M1009" t="str">
        <f t="shared" ca="1" si="208"/>
        <v>na</v>
      </c>
      <c r="N1009" t="str">
        <f t="shared" ca="1" si="209"/>
        <v>na</v>
      </c>
    </row>
    <row r="1010" spans="1:14" x14ac:dyDescent="0.2">
      <c r="A1010" vm="1805">
        <f ca="1"/>
        <v>45715</v>
      </c>
      <c r="B1010" vm="311">
        <f ca="1"/>
        <v>44.12</v>
      </c>
      <c r="C1010">
        <f t="shared" ca="1" si="198"/>
        <v>0.17999999999999972</v>
      </c>
      <c r="D1010">
        <f t="shared" ca="1" si="199"/>
        <v>0.17999999999999972</v>
      </c>
      <c r="E1010">
        <f t="shared" ca="1" si="200"/>
        <v>0</v>
      </c>
      <c r="F1010">
        <f t="shared" ca="1" si="202"/>
        <v>0.1385453577689926</v>
      </c>
      <c r="G1010">
        <f t="shared" ca="1" si="203"/>
        <v>0.25757052291616322</v>
      </c>
      <c r="H1010">
        <f t="shared" ca="1" si="204"/>
        <v>0.53789290870868711</v>
      </c>
      <c r="I1010">
        <f t="shared" ca="1" si="205"/>
        <v>34.975966509939653</v>
      </c>
      <c r="J1010">
        <f t="shared" ca="1" si="206"/>
        <v>1</v>
      </c>
      <c r="K1010">
        <f t="shared" ca="1" si="207"/>
        <v>1</v>
      </c>
      <c r="L1010">
        <f t="shared" ca="1" si="201"/>
        <v>0</v>
      </c>
      <c r="M1010" t="str">
        <f t="shared" ca="1" si="208"/>
        <v>na</v>
      </c>
      <c r="N1010" t="str">
        <f t="shared" ca="1" si="209"/>
        <v>na</v>
      </c>
    </row>
    <row r="1011" spans="1:14" x14ac:dyDescent="0.2">
      <c r="A1011" vm="1806">
        <f ca="1"/>
        <v>45716</v>
      </c>
      <c r="B1011" vm="1807">
        <f ca="1"/>
        <v>46.1</v>
      </c>
      <c r="C1011">
        <f t="shared" ca="1" si="198"/>
        <v>1.980000000000004</v>
      </c>
      <c r="D1011">
        <f t="shared" ca="1" si="199"/>
        <v>1.980000000000004</v>
      </c>
      <c r="E1011">
        <f t="shared" ca="1" si="200"/>
        <v>0</v>
      </c>
      <c r="F1011">
        <f t="shared" ca="1" si="202"/>
        <v>0.27007783221406484</v>
      </c>
      <c r="G1011">
        <f t="shared" ca="1" si="203"/>
        <v>0.23917262842215156</v>
      </c>
      <c r="H1011">
        <f t="shared" ca="1" si="204"/>
        <v>1.1292171432650899</v>
      </c>
      <c r="I1011">
        <f t="shared" ca="1" si="205"/>
        <v>53.03438152547794</v>
      </c>
      <c r="J1011">
        <f t="shared" ca="1" si="206"/>
        <v>1</v>
      </c>
      <c r="K1011">
        <f t="shared" ca="1" si="207"/>
        <v>0</v>
      </c>
      <c r="L1011">
        <f t="shared" ca="1" si="201"/>
        <v>0</v>
      </c>
      <c r="M1011" t="str">
        <f t="shared" ca="1" si="208"/>
        <v>na</v>
      </c>
      <c r="N1011" t="str">
        <f t="shared" ca="1" si="209"/>
        <v>na</v>
      </c>
    </row>
    <row r="1012" spans="1:14" x14ac:dyDescent="0.2">
      <c r="A1012" vm="1808">
        <f ca="1"/>
        <v>45719</v>
      </c>
      <c r="B1012" vm="491">
        <f ca="1"/>
        <v>45.56</v>
      </c>
      <c r="C1012">
        <f t="shared" ca="1" si="198"/>
        <v>-0.53999999999999915</v>
      </c>
      <c r="D1012">
        <f t="shared" ca="1" si="199"/>
        <v>0</v>
      </c>
      <c r="E1012">
        <f t="shared" ca="1" si="200"/>
        <v>0.53999999999999915</v>
      </c>
      <c r="F1012">
        <f t="shared" ca="1" si="202"/>
        <v>0.25078655848448878</v>
      </c>
      <c r="G1012">
        <f t="shared" ca="1" si="203"/>
        <v>0.26066029782056926</v>
      </c>
      <c r="H1012">
        <f t="shared" ca="1" si="204"/>
        <v>0.96212027908110009</v>
      </c>
      <c r="I1012">
        <f t="shared" ca="1" si="205"/>
        <v>49.034724799423621</v>
      </c>
      <c r="J1012">
        <f t="shared" ca="1" si="206"/>
        <v>1</v>
      </c>
      <c r="K1012">
        <f t="shared" ca="1" si="207"/>
        <v>0</v>
      </c>
      <c r="L1012">
        <f t="shared" ca="1" si="201"/>
        <v>0</v>
      </c>
      <c r="M1012" t="str">
        <f t="shared" ca="1" si="208"/>
        <v>na</v>
      </c>
      <c r="N1012" t="str">
        <f t="shared" ca="1" si="209"/>
        <v>na</v>
      </c>
    </row>
    <row r="1013" spans="1:14" x14ac:dyDescent="0.2">
      <c r="A1013" vm="1809">
        <f ca="1"/>
        <v>45720</v>
      </c>
      <c r="B1013" vm="1810">
        <f ca="1"/>
        <v>42.67</v>
      </c>
      <c r="C1013">
        <f t="shared" ca="1" si="198"/>
        <v>-2.8900000000000006</v>
      </c>
      <c r="D1013">
        <f t="shared" ca="1" si="199"/>
        <v>0</v>
      </c>
      <c r="E1013">
        <f t="shared" ca="1" si="200"/>
        <v>2.8900000000000006</v>
      </c>
      <c r="F1013">
        <f t="shared" ca="1" si="202"/>
        <v>0.23287323287845388</v>
      </c>
      <c r="G1013">
        <f t="shared" ca="1" si="203"/>
        <v>0.44847027654767146</v>
      </c>
      <c r="H1013">
        <f t="shared" ca="1" si="204"/>
        <v>0.5192612421744297</v>
      </c>
      <c r="I1013">
        <f t="shared" ca="1" si="205"/>
        <v>34.178535446033067</v>
      </c>
      <c r="J1013">
        <f t="shared" ca="1" si="206"/>
        <v>1</v>
      </c>
      <c r="K1013">
        <f t="shared" ca="1" si="207"/>
        <v>1</v>
      </c>
      <c r="L1013">
        <f t="shared" ca="1" si="201"/>
        <v>0</v>
      </c>
      <c r="M1013" t="str">
        <f t="shared" ca="1" si="208"/>
        <v>na</v>
      </c>
      <c r="N1013" t="str">
        <f t="shared" ca="1" si="209"/>
        <v>na</v>
      </c>
    </row>
    <row r="1014" spans="1:14" x14ac:dyDescent="0.2">
      <c r="A1014" vm="1811">
        <f ca="1"/>
        <v>45721</v>
      </c>
      <c r="B1014" vm="1812">
        <f ca="1"/>
        <v>42.29</v>
      </c>
      <c r="C1014">
        <f t="shared" ca="1" si="198"/>
        <v>-0.38000000000000256</v>
      </c>
      <c r="D1014">
        <f t="shared" ca="1" si="199"/>
        <v>0</v>
      </c>
      <c r="E1014">
        <f t="shared" ca="1" si="200"/>
        <v>0.38000000000000256</v>
      </c>
      <c r="F1014">
        <f t="shared" ca="1" si="202"/>
        <v>0.21623943052999289</v>
      </c>
      <c r="G1014">
        <f t="shared" ca="1" si="203"/>
        <v>0.4435795425085523</v>
      </c>
      <c r="H1014">
        <f t="shared" ca="1" si="204"/>
        <v>0.48748738345124143</v>
      </c>
      <c r="I1014">
        <f t="shared" ca="1" si="205"/>
        <v>32.772539039637564</v>
      </c>
      <c r="J1014">
        <f t="shared" ca="1" si="206"/>
        <v>1</v>
      </c>
      <c r="K1014">
        <f t="shared" ca="1" si="207"/>
        <v>1</v>
      </c>
      <c r="L1014">
        <f t="shared" ca="1" si="201"/>
        <v>0</v>
      </c>
      <c r="M1014" t="str">
        <f t="shared" ca="1" si="208"/>
        <v>na</v>
      </c>
      <c r="N1014" t="str">
        <f t="shared" ca="1" si="209"/>
        <v>na</v>
      </c>
    </row>
    <row r="1015" spans="1:14" x14ac:dyDescent="0.2">
      <c r="A1015" vm="1813">
        <f ca="1"/>
        <v>45722</v>
      </c>
      <c r="B1015" vm="1814">
        <f ca="1"/>
        <v>41.46</v>
      </c>
      <c r="C1015">
        <f t="shared" ca="1" si="198"/>
        <v>-0.82999999999999829</v>
      </c>
      <c r="D1015">
        <f t="shared" ca="1" si="199"/>
        <v>0</v>
      </c>
      <c r="E1015">
        <f t="shared" ca="1" si="200"/>
        <v>0.82999999999999829</v>
      </c>
      <c r="F1015">
        <f t="shared" ca="1" si="202"/>
        <v>0.20079375692070769</v>
      </c>
      <c r="G1015">
        <f t="shared" ca="1" si="203"/>
        <v>0.47118100375794131</v>
      </c>
      <c r="H1015">
        <f t="shared" ca="1" si="204"/>
        <v>0.42614994093408104</v>
      </c>
      <c r="I1015">
        <f t="shared" ca="1" si="205"/>
        <v>29.881145642720213</v>
      </c>
      <c r="J1015">
        <f t="shared" ca="1" si="206"/>
        <v>1</v>
      </c>
      <c r="K1015">
        <f t="shared" ca="1" si="207"/>
        <v>1</v>
      </c>
      <c r="L1015">
        <f t="shared" ca="1" si="201"/>
        <v>0</v>
      </c>
      <c r="M1015" t="str">
        <f t="shared" ca="1" si="208"/>
        <v>na</v>
      </c>
      <c r="N1015" t="str">
        <f t="shared" ca="1" si="209"/>
        <v>na</v>
      </c>
    </row>
    <row r="1016" spans="1:14" x14ac:dyDescent="0.2">
      <c r="A1016" vm="1815">
        <f ca="1"/>
        <v>45723</v>
      </c>
      <c r="B1016" vm="1816">
        <f ca="1"/>
        <v>41.4</v>
      </c>
      <c r="C1016">
        <f t="shared" ca="1" si="198"/>
        <v>-6.0000000000002274E-2</v>
      </c>
      <c r="D1016">
        <f t="shared" ca="1" si="199"/>
        <v>0</v>
      </c>
      <c r="E1016">
        <f t="shared" ca="1" si="200"/>
        <v>6.0000000000002274E-2</v>
      </c>
      <c r="F1016">
        <f t="shared" ca="1" si="202"/>
        <v>0.18645134571208571</v>
      </c>
      <c r="G1016">
        <f t="shared" ca="1" si="203"/>
        <v>0.44181093206094563</v>
      </c>
      <c r="H1016">
        <f t="shared" ca="1" si="204"/>
        <v>0.42201614351716782</v>
      </c>
      <c r="I1016">
        <f t="shared" ca="1" si="205"/>
        <v>29.677310306292796</v>
      </c>
      <c r="J1016">
        <f t="shared" ca="1" si="206"/>
        <v>1</v>
      </c>
      <c r="K1016">
        <f t="shared" ca="1" si="207"/>
        <v>1</v>
      </c>
      <c r="L1016">
        <f t="shared" ca="1" si="201"/>
        <v>0</v>
      </c>
      <c r="M1016" t="str">
        <f t="shared" ca="1" si="208"/>
        <v>na</v>
      </c>
      <c r="N1016" t="str">
        <f t="shared" ca="1" si="209"/>
        <v>na</v>
      </c>
    </row>
    <row r="1017" spans="1:14" x14ac:dyDescent="0.2">
      <c r="A1017" vm="1817">
        <f ca="1"/>
        <v>45726</v>
      </c>
      <c r="B1017" vm="1818">
        <f ca="1"/>
        <v>39.83</v>
      </c>
      <c r="C1017">
        <f t="shared" ca="1" si="198"/>
        <v>-1.5700000000000003</v>
      </c>
      <c r="D1017">
        <f t="shared" ca="1" si="199"/>
        <v>0</v>
      </c>
      <c r="E1017">
        <f t="shared" ca="1" si="200"/>
        <v>1.5700000000000003</v>
      </c>
      <c r="F1017">
        <f t="shared" ca="1" si="202"/>
        <v>0.17313339244693673</v>
      </c>
      <c r="G1017">
        <f t="shared" ca="1" si="203"/>
        <v>0.52239586548516381</v>
      </c>
      <c r="H1017">
        <f t="shared" ca="1" si="204"/>
        <v>0.33142182755627836</v>
      </c>
      <c r="I1017">
        <f t="shared" ca="1" si="205"/>
        <v>24.892323431753965</v>
      </c>
      <c r="J1017">
        <f t="shared" ca="1" si="206"/>
        <v>1</v>
      </c>
      <c r="K1017">
        <f t="shared" ca="1" si="207"/>
        <v>1</v>
      </c>
      <c r="L1017">
        <f t="shared" ca="1" si="201"/>
        <v>0</v>
      </c>
      <c r="M1017" t="str">
        <f t="shared" ca="1" si="208"/>
        <v>na</v>
      </c>
      <c r="N1017" t="str">
        <f t="shared" ca="1" si="209"/>
        <v>na</v>
      </c>
    </row>
    <row r="1018" spans="1:14" x14ac:dyDescent="0.2">
      <c r="A1018" vm="1819">
        <f ca="1"/>
        <v>45727</v>
      </c>
      <c r="B1018" vm="1820">
        <f ca="1"/>
        <v>39.61</v>
      </c>
      <c r="C1018">
        <f t="shared" ca="1" si="198"/>
        <v>-0.21999999999999886</v>
      </c>
      <c r="D1018">
        <f t="shared" ca="1" si="199"/>
        <v>0</v>
      </c>
      <c r="E1018">
        <f t="shared" ca="1" si="200"/>
        <v>0.21999999999999886</v>
      </c>
      <c r="F1018">
        <f t="shared" ca="1" si="202"/>
        <v>0.16076672155786983</v>
      </c>
      <c r="G1018">
        <f t="shared" ca="1" si="203"/>
        <v>0.50079616080765199</v>
      </c>
      <c r="H1018">
        <f t="shared" ca="1" si="204"/>
        <v>0.3210222724123834</v>
      </c>
      <c r="I1018">
        <f t="shared" ca="1" si="205"/>
        <v>24.301049203822203</v>
      </c>
      <c r="J1018">
        <f t="shared" ca="1" si="206"/>
        <v>1</v>
      </c>
      <c r="K1018">
        <f t="shared" ca="1" si="207"/>
        <v>1</v>
      </c>
      <c r="L1018">
        <f t="shared" ca="1" si="201"/>
        <v>0</v>
      </c>
      <c r="M1018" t="str">
        <f t="shared" ca="1" si="208"/>
        <v>na</v>
      </c>
      <c r="N1018" t="str">
        <f t="shared" ca="1" si="209"/>
        <v>na</v>
      </c>
    </row>
    <row r="1019" spans="1:14" x14ac:dyDescent="0.2">
      <c r="A1019" vm="1821">
        <f ca="1"/>
        <v>45728</v>
      </c>
      <c r="B1019" vm="1822">
        <f ca="1"/>
        <v>39.909999999999997</v>
      </c>
      <c r="C1019">
        <f t="shared" ca="1" si="198"/>
        <v>0.29999999999999716</v>
      </c>
      <c r="D1019">
        <f t="shared" ca="1" si="199"/>
        <v>0.29999999999999716</v>
      </c>
      <c r="E1019">
        <f t="shared" ca="1" si="200"/>
        <v>0</v>
      </c>
      <c r="F1019">
        <f t="shared" ca="1" si="202"/>
        <v>0.17071195573230752</v>
      </c>
      <c r="G1019">
        <f t="shared" ca="1" si="203"/>
        <v>0.46502500646424832</v>
      </c>
      <c r="H1019">
        <f t="shared" ca="1" si="204"/>
        <v>0.3671027436358566</v>
      </c>
      <c r="I1019">
        <f t="shared" ca="1" si="205"/>
        <v>26.852608214327347</v>
      </c>
      <c r="J1019">
        <f t="shared" ca="1" si="206"/>
        <v>1</v>
      </c>
      <c r="K1019">
        <f t="shared" ca="1" si="207"/>
        <v>1</v>
      </c>
      <c r="L1019">
        <f t="shared" ca="1" si="201"/>
        <v>0</v>
      </c>
      <c r="M1019" t="str">
        <f t="shared" ca="1" si="208"/>
        <v>na</v>
      </c>
      <c r="N1019" t="str">
        <f t="shared" ca="1" si="209"/>
        <v>na</v>
      </c>
    </row>
    <row r="1020" spans="1:14" x14ac:dyDescent="0.2">
      <c r="A1020" vm="1823">
        <f ca="1"/>
        <v>45729</v>
      </c>
      <c r="B1020" vm="549">
        <f ca="1"/>
        <v>39.67</v>
      </c>
      <c r="C1020">
        <f t="shared" ca="1" si="198"/>
        <v>-0.23999999999999488</v>
      </c>
      <c r="D1020">
        <f t="shared" ca="1" si="199"/>
        <v>0</v>
      </c>
      <c r="E1020">
        <f t="shared" ca="1" si="200"/>
        <v>0.23999999999999488</v>
      </c>
      <c r="F1020">
        <f t="shared" ca="1" si="202"/>
        <v>0.15851824460857128</v>
      </c>
      <c r="G1020">
        <f t="shared" ca="1" si="203"/>
        <v>0.44895179171680166</v>
      </c>
      <c r="H1020">
        <f t="shared" ca="1" si="204"/>
        <v>0.35308522548132393</v>
      </c>
      <c r="I1020">
        <f t="shared" ca="1" si="205"/>
        <v>26.094825280183173</v>
      </c>
      <c r="J1020">
        <f t="shared" ca="1" si="206"/>
        <v>1</v>
      </c>
      <c r="K1020">
        <f t="shared" ca="1" si="207"/>
        <v>1</v>
      </c>
      <c r="L1020">
        <f t="shared" ca="1" si="201"/>
        <v>0</v>
      </c>
      <c r="M1020" t="str">
        <f t="shared" ca="1" si="208"/>
        <v>na</v>
      </c>
      <c r="N1020" t="str">
        <f t="shared" ca="1" si="209"/>
        <v>na</v>
      </c>
    </row>
    <row r="1021" spans="1:14" x14ac:dyDescent="0.2">
      <c r="A1021" vm="1824">
        <f ca="1"/>
        <v>45730</v>
      </c>
      <c r="B1021" vm="183">
        <f ca="1"/>
        <v>40.89</v>
      </c>
      <c r="C1021">
        <f t="shared" ca="1" si="198"/>
        <v>1.2199999999999989</v>
      </c>
      <c r="D1021">
        <f t="shared" ca="1" si="199"/>
        <v>1.2199999999999989</v>
      </c>
      <c r="E1021">
        <f t="shared" ca="1" si="200"/>
        <v>0</v>
      </c>
      <c r="F1021">
        <f t="shared" ca="1" si="202"/>
        <v>0.23433836999367325</v>
      </c>
      <c r="G1021">
        <f t="shared" ca="1" si="203"/>
        <v>0.41688380659417301</v>
      </c>
      <c r="H1021">
        <f t="shared" ca="1" si="204"/>
        <v>0.56211914755853387</v>
      </c>
      <c r="I1021">
        <f t="shared" ca="1" si="205"/>
        <v>35.984396480708966</v>
      </c>
      <c r="J1021">
        <f t="shared" ca="1" si="206"/>
        <v>1</v>
      </c>
      <c r="K1021">
        <f t="shared" ca="1" si="207"/>
        <v>1</v>
      </c>
      <c r="L1021">
        <f t="shared" ca="1" si="201"/>
        <v>0</v>
      </c>
      <c r="M1021" t="str">
        <f t="shared" ca="1" si="208"/>
        <v>na</v>
      </c>
      <c r="N1021" t="str">
        <f t="shared" ca="1" si="209"/>
        <v>na</v>
      </c>
    </row>
    <row r="1022" spans="1:14" x14ac:dyDescent="0.2">
      <c r="A1022" vm="1825">
        <f ca="1"/>
        <v>45733</v>
      </c>
      <c r="B1022" vm="1826">
        <f ca="1"/>
        <v>41.44</v>
      </c>
      <c r="C1022">
        <f t="shared" ca="1" si="198"/>
        <v>0.54999999999999716</v>
      </c>
      <c r="D1022">
        <f t="shared" ca="1" si="199"/>
        <v>0.54999999999999716</v>
      </c>
      <c r="E1022">
        <f t="shared" ca="1" si="200"/>
        <v>0</v>
      </c>
      <c r="F1022">
        <f t="shared" ca="1" si="202"/>
        <v>0.25688562927983927</v>
      </c>
      <c r="G1022">
        <f t="shared" ca="1" si="203"/>
        <v>0.38710639183744633</v>
      </c>
      <c r="H1022">
        <f t="shared" ca="1" si="204"/>
        <v>0.66360472132867976</v>
      </c>
      <c r="I1022">
        <f t="shared" ca="1" si="205"/>
        <v>39.889567084101273</v>
      </c>
      <c r="J1022">
        <f t="shared" ca="1" si="206"/>
        <v>1</v>
      </c>
      <c r="K1022">
        <f t="shared" ca="1" si="207"/>
        <v>1</v>
      </c>
      <c r="L1022">
        <f t="shared" ca="1" si="201"/>
        <v>0</v>
      </c>
      <c r="M1022" t="str">
        <f t="shared" ca="1" si="208"/>
        <v>na</v>
      </c>
      <c r="N1022" t="str">
        <f t="shared" ca="1" si="209"/>
        <v>na</v>
      </c>
    </row>
    <row r="1023" spans="1:14" x14ac:dyDescent="0.2">
      <c r="A1023" vm="1827">
        <f ca="1"/>
        <v>45734</v>
      </c>
      <c r="B1023" vm="1828">
        <f ca="1"/>
        <v>41.65</v>
      </c>
      <c r="C1023">
        <f t="shared" ca="1" si="198"/>
        <v>0.21000000000000085</v>
      </c>
      <c r="D1023">
        <f t="shared" ca="1" si="199"/>
        <v>0.21000000000000085</v>
      </c>
      <c r="E1023">
        <f t="shared" ca="1" si="200"/>
        <v>0</v>
      </c>
      <c r="F1023">
        <f t="shared" ca="1" si="202"/>
        <v>0.25353665575985079</v>
      </c>
      <c r="G1023">
        <f t="shared" ca="1" si="203"/>
        <v>0.35945593527762876</v>
      </c>
      <c r="H1023">
        <f t="shared" ca="1" si="204"/>
        <v>0.70533445376004067</v>
      </c>
      <c r="I1023">
        <f t="shared" ca="1" si="205"/>
        <v>41.360476369011955</v>
      </c>
      <c r="J1023">
        <f t="shared" ca="1" si="206"/>
        <v>1</v>
      </c>
      <c r="K1023">
        <f t="shared" ca="1" si="207"/>
        <v>0</v>
      </c>
      <c r="L1023">
        <f t="shared" ca="1" si="201"/>
        <v>0</v>
      </c>
      <c r="M1023" t="str">
        <f t="shared" ca="1" si="208"/>
        <v>na</v>
      </c>
      <c r="N1023" t="str">
        <f t="shared" ca="1" si="209"/>
        <v>na</v>
      </c>
    </row>
    <row r="1024" spans="1:14" x14ac:dyDescent="0.2">
      <c r="A1024" vm="1829">
        <f ca="1"/>
        <v>45735</v>
      </c>
      <c r="B1024" vm="1830">
        <f ca="1"/>
        <v>42.21</v>
      </c>
      <c r="C1024">
        <f t="shared" ca="1" si="198"/>
        <v>0.56000000000000227</v>
      </c>
      <c r="D1024">
        <f t="shared" ca="1" si="199"/>
        <v>0.56000000000000227</v>
      </c>
      <c r="E1024">
        <f t="shared" ca="1" si="200"/>
        <v>0</v>
      </c>
      <c r="F1024">
        <f t="shared" ca="1" si="202"/>
        <v>0.27542689463414732</v>
      </c>
      <c r="G1024">
        <f t="shared" ca="1" si="203"/>
        <v>0.33378051132922665</v>
      </c>
      <c r="H1024">
        <f t="shared" ca="1" si="204"/>
        <v>0.82517368535779534</v>
      </c>
      <c r="I1024">
        <f t="shared" ca="1" si="205"/>
        <v>45.210693753566453</v>
      </c>
      <c r="J1024">
        <f t="shared" ca="1" si="206"/>
        <v>1</v>
      </c>
      <c r="K1024">
        <f t="shared" ca="1" si="207"/>
        <v>0</v>
      </c>
      <c r="L1024">
        <f t="shared" ca="1" si="201"/>
        <v>0</v>
      </c>
      <c r="M1024" t="str">
        <f t="shared" ca="1" si="208"/>
        <v>na</v>
      </c>
      <c r="N1024" t="str">
        <f t="shared" ca="1" si="209"/>
        <v>na</v>
      </c>
    </row>
    <row r="1025" spans="1:14" x14ac:dyDescent="0.2">
      <c r="A1025" vm="1831">
        <f ca="1"/>
        <v>45736</v>
      </c>
      <c r="B1025" vm="1832">
        <f ca="1"/>
        <v>42.48</v>
      </c>
      <c r="C1025">
        <f t="shared" ca="1" si="198"/>
        <v>0.26999999999999602</v>
      </c>
      <c r="D1025">
        <f t="shared" ca="1" si="199"/>
        <v>0.26999999999999602</v>
      </c>
      <c r="E1025">
        <f t="shared" ca="1" si="200"/>
        <v>0</v>
      </c>
      <c r="F1025">
        <f t="shared" ca="1" si="202"/>
        <v>0.2750392593031365</v>
      </c>
      <c r="G1025">
        <f t="shared" ca="1" si="203"/>
        <v>0.30993904623428187</v>
      </c>
      <c r="H1025">
        <f t="shared" ca="1" si="204"/>
        <v>0.88739790176432065</v>
      </c>
      <c r="I1025">
        <f t="shared" ca="1" si="205"/>
        <v>47.017001604949861</v>
      </c>
      <c r="J1025">
        <f t="shared" ca="1" si="206"/>
        <v>1</v>
      </c>
      <c r="K1025">
        <f t="shared" ca="1" si="207"/>
        <v>0</v>
      </c>
      <c r="L1025">
        <f t="shared" ca="1" si="201"/>
        <v>0</v>
      </c>
      <c r="M1025" t="str">
        <f t="shared" ca="1" si="208"/>
        <v>na</v>
      </c>
      <c r="N1025" t="str">
        <f t="shared" ca="1" si="209"/>
        <v>na</v>
      </c>
    </row>
    <row r="1026" spans="1:14" x14ac:dyDescent="0.2">
      <c r="A1026" vm="1833">
        <f ca="1"/>
        <v>45737</v>
      </c>
      <c r="B1026" vm="501">
        <f ca="1"/>
        <v>42.47</v>
      </c>
      <c r="C1026">
        <f t="shared" ca="1" si="198"/>
        <v>-9.9999999999980105E-3</v>
      </c>
      <c r="D1026">
        <f t="shared" ca="1" si="199"/>
        <v>0</v>
      </c>
      <c r="E1026">
        <f t="shared" ca="1" si="200"/>
        <v>9.9999999999980105E-3</v>
      </c>
      <c r="F1026">
        <f t="shared" ca="1" si="202"/>
        <v>0.25539359792434102</v>
      </c>
      <c r="G1026">
        <f t="shared" ca="1" si="203"/>
        <v>0.28851482864611872</v>
      </c>
      <c r="H1026">
        <f t="shared" ca="1" si="204"/>
        <v>0.88520094139631578</v>
      </c>
      <c r="I1026">
        <f t="shared" ca="1" si="205"/>
        <v>46.955256702803901</v>
      </c>
      <c r="J1026">
        <f t="shared" ca="1" si="206"/>
        <v>1</v>
      </c>
      <c r="K1026">
        <f t="shared" ca="1" si="207"/>
        <v>0</v>
      </c>
      <c r="L1026">
        <f t="shared" ca="1" si="201"/>
        <v>0</v>
      </c>
      <c r="M1026" t="str">
        <f t="shared" ca="1" si="208"/>
        <v>na</v>
      </c>
      <c r="N1026" t="str">
        <f t="shared" ca="1" si="209"/>
        <v>na</v>
      </c>
    </row>
    <row r="1027" spans="1:14" x14ac:dyDescent="0.2">
      <c r="A1027" vm="1834">
        <f ca="1"/>
        <v>45740</v>
      </c>
      <c r="B1027" vm="299">
        <f ca="1"/>
        <v>43.07</v>
      </c>
      <c r="C1027">
        <f t="shared" ca="1" si="198"/>
        <v>0.60000000000000142</v>
      </c>
      <c r="D1027">
        <f t="shared" ca="1" si="199"/>
        <v>0.60000000000000142</v>
      </c>
      <c r="E1027">
        <f t="shared" ca="1" si="200"/>
        <v>0</v>
      </c>
      <c r="F1027">
        <f t="shared" ca="1" si="202"/>
        <v>0.2800083409297453</v>
      </c>
      <c r="G1027">
        <f t="shared" ca="1" si="203"/>
        <v>0.26790662659996739</v>
      </c>
      <c r="H1027">
        <f t="shared" ca="1" si="204"/>
        <v>1.0451713885668381</v>
      </c>
      <c r="I1027">
        <f t="shared" ca="1" si="205"/>
        <v>51.104342374907077</v>
      </c>
      <c r="J1027">
        <f t="shared" ca="1" si="206"/>
        <v>1</v>
      </c>
      <c r="K1027">
        <f t="shared" ca="1" si="207"/>
        <v>0</v>
      </c>
      <c r="L1027">
        <f t="shared" ca="1" si="201"/>
        <v>0</v>
      </c>
      <c r="M1027" t="str">
        <f t="shared" ca="1" si="208"/>
        <v>na</v>
      </c>
      <c r="N1027" t="str">
        <f t="shared" ca="1" si="209"/>
        <v>na</v>
      </c>
    </row>
    <row r="1028" spans="1:14" x14ac:dyDescent="0.2">
      <c r="A1028" vm="1835">
        <f ca="1"/>
        <v>45741</v>
      </c>
      <c r="B1028" vm="1836">
        <f ca="1"/>
        <v>43.28</v>
      </c>
      <c r="C1028">
        <f t="shared" ca="1" si="198"/>
        <v>0.21000000000000085</v>
      </c>
      <c r="D1028">
        <f t="shared" ca="1" si="199"/>
        <v>0.21000000000000085</v>
      </c>
      <c r="E1028">
        <f t="shared" ca="1" si="200"/>
        <v>0</v>
      </c>
      <c r="F1028">
        <f t="shared" ca="1" si="202"/>
        <v>0.27500774514904924</v>
      </c>
      <c r="G1028">
        <f t="shared" ca="1" si="203"/>
        <v>0.24877043898568399</v>
      </c>
      <c r="H1028">
        <f t="shared" ca="1" si="204"/>
        <v>1.105467941731112</v>
      </c>
      <c r="I1028">
        <f t="shared" ca="1" si="205"/>
        <v>52.504619985911447</v>
      </c>
      <c r="J1028">
        <f t="shared" ca="1" si="206"/>
        <v>1</v>
      </c>
      <c r="K1028">
        <f t="shared" ca="1" si="207"/>
        <v>0</v>
      </c>
      <c r="L1028">
        <f t="shared" ca="1" si="201"/>
        <v>0</v>
      </c>
      <c r="M1028" t="str">
        <f t="shared" ca="1" si="208"/>
        <v>na</v>
      </c>
      <c r="N1028" t="str">
        <f t="shared" ca="1" si="209"/>
        <v>na</v>
      </c>
    </row>
    <row r="1029" spans="1:14" x14ac:dyDescent="0.2">
      <c r="A1029" vm="1837">
        <f ca="1"/>
        <v>45742</v>
      </c>
      <c r="B1029" vm="1838">
        <f ca="1"/>
        <v>42.82</v>
      </c>
      <c r="C1029">
        <f t="shared" ca="1" si="198"/>
        <v>-0.46000000000000085</v>
      </c>
      <c r="D1029">
        <f t="shared" ca="1" si="199"/>
        <v>0</v>
      </c>
      <c r="E1029">
        <f t="shared" ca="1" si="200"/>
        <v>0.46000000000000085</v>
      </c>
      <c r="F1029">
        <f t="shared" ca="1" si="202"/>
        <v>0.25536433478126003</v>
      </c>
      <c r="G1029">
        <f t="shared" ca="1" si="203"/>
        <v>0.26385826477242091</v>
      </c>
      <c r="H1029">
        <f t="shared" ca="1" si="204"/>
        <v>0.96780874005031847</v>
      </c>
      <c r="I1029">
        <f t="shared" ca="1" si="205"/>
        <v>49.18205313111735</v>
      </c>
      <c r="J1029">
        <f t="shared" ca="1" si="206"/>
        <v>1</v>
      </c>
      <c r="K1029">
        <f t="shared" ca="1" si="207"/>
        <v>0</v>
      </c>
      <c r="L1029">
        <f t="shared" ca="1" si="201"/>
        <v>0</v>
      </c>
      <c r="M1029" t="str">
        <f t="shared" ca="1" si="208"/>
        <v>na</v>
      </c>
      <c r="N1029" t="str">
        <f t="shared" ca="1" si="209"/>
        <v>na</v>
      </c>
    </row>
    <row r="1030" spans="1:14" x14ac:dyDescent="0.2">
      <c r="A1030" vm="1839">
        <f ca="1"/>
        <v>45743</v>
      </c>
      <c r="B1030" vm="1840">
        <f ca="1"/>
        <v>42.56</v>
      </c>
      <c r="C1030">
        <f t="shared" ca="1" si="198"/>
        <v>-0.25999999999999801</v>
      </c>
      <c r="D1030">
        <f t="shared" ca="1" si="199"/>
        <v>0</v>
      </c>
      <c r="E1030">
        <f t="shared" ca="1" si="200"/>
        <v>0.25999999999999801</v>
      </c>
      <c r="F1030">
        <f t="shared" ca="1" si="202"/>
        <v>0.23712402515402717</v>
      </c>
      <c r="G1030">
        <f t="shared" ca="1" si="203"/>
        <v>0.26358267443153355</v>
      </c>
      <c r="H1030">
        <f t="shared" ca="1" si="204"/>
        <v>0.89961916376116324</v>
      </c>
      <c r="I1030">
        <f t="shared" ca="1" si="205"/>
        <v>47.357869457368309</v>
      </c>
      <c r="J1030">
        <f t="shared" ca="1" si="206"/>
        <v>1</v>
      </c>
      <c r="K1030">
        <f t="shared" ca="1" si="207"/>
        <v>0</v>
      </c>
      <c r="L1030">
        <f t="shared" ca="1" si="201"/>
        <v>0</v>
      </c>
      <c r="M1030" t="str">
        <f t="shared" ca="1" si="208"/>
        <v>na</v>
      </c>
      <c r="N1030" t="str">
        <f t="shared" ca="1" si="209"/>
        <v>na</v>
      </c>
    </row>
    <row r="1031" spans="1:14" x14ac:dyDescent="0.2">
      <c r="A1031" vm="1841">
        <f ca="1"/>
        <v>45744</v>
      </c>
      <c r="B1031" vm="1842">
        <f ca="1"/>
        <v>41.25</v>
      </c>
      <c r="C1031">
        <f t="shared" ca="1" si="198"/>
        <v>-1.3100000000000023</v>
      </c>
      <c r="D1031">
        <f t="shared" ca="1" si="199"/>
        <v>0</v>
      </c>
      <c r="E1031">
        <f t="shared" ca="1" si="200"/>
        <v>1.3100000000000023</v>
      </c>
      <c r="F1031">
        <f t="shared" ca="1" si="202"/>
        <v>0.22018659478588237</v>
      </c>
      <c r="G1031">
        <f t="shared" ca="1" si="203"/>
        <v>0.3383267691149956</v>
      </c>
      <c r="H1031">
        <f t="shared" ca="1" si="204"/>
        <v>0.65081044388492371</v>
      </c>
      <c r="I1031">
        <f t="shared" ca="1" si="205"/>
        <v>39.423693149974468</v>
      </c>
      <c r="J1031">
        <f t="shared" ca="1" si="206"/>
        <v>1</v>
      </c>
      <c r="K1031">
        <f t="shared" ca="1" si="207"/>
        <v>1</v>
      </c>
      <c r="L1031">
        <f t="shared" ca="1" si="201"/>
        <v>0</v>
      </c>
      <c r="M1031" t="str">
        <f t="shared" ca="1" si="208"/>
        <v>na</v>
      </c>
      <c r="N1031" t="str">
        <f t="shared" ca="1" si="209"/>
        <v>na</v>
      </c>
    </row>
    <row r="1032" spans="1:14" x14ac:dyDescent="0.2">
      <c r="A1032" vm="1843">
        <f ca="1"/>
        <v>45747</v>
      </c>
      <c r="B1032" vm="1844">
        <f ca="1"/>
        <v>41.73</v>
      </c>
      <c r="C1032">
        <f t="shared" ca="1" si="198"/>
        <v>0.47999999999999687</v>
      </c>
      <c r="D1032">
        <f t="shared" ca="1" si="199"/>
        <v>0.47999999999999687</v>
      </c>
      <c r="E1032">
        <f t="shared" ca="1" si="200"/>
        <v>0</v>
      </c>
      <c r="F1032">
        <f t="shared" ca="1" si="202"/>
        <v>0.23874469515831914</v>
      </c>
      <c r="G1032">
        <f t="shared" ca="1" si="203"/>
        <v>0.31416057132106739</v>
      </c>
      <c r="H1032">
        <f t="shared" ca="1" si="204"/>
        <v>0.7599448083328243</v>
      </c>
      <c r="I1032">
        <f t="shared" ca="1" si="205"/>
        <v>43.180036370158184</v>
      </c>
      <c r="J1032">
        <f t="shared" ca="1" si="206"/>
        <v>1</v>
      </c>
      <c r="K1032">
        <f t="shared" ca="1" si="207"/>
        <v>0</v>
      </c>
      <c r="L1032">
        <f t="shared" ca="1" si="201"/>
        <v>0</v>
      </c>
      <c r="M1032" t="str">
        <f t="shared" ca="1" si="208"/>
        <v>na</v>
      </c>
      <c r="N1032" t="str">
        <f t="shared" ca="1" si="209"/>
        <v>na</v>
      </c>
    </row>
    <row r="1033" spans="1:14" x14ac:dyDescent="0.2">
      <c r="A1033" vm="1845">
        <f ca="1"/>
        <v>45748</v>
      </c>
      <c r="B1033" vm="1846">
        <f ca="1"/>
        <v>41.49</v>
      </c>
      <c r="C1033">
        <f t="shared" ref="C1033:C1096" ca="1" si="210">B1033-B1032</f>
        <v>-0.23999999999999488</v>
      </c>
      <c r="D1033">
        <f t="shared" ref="D1033:D1096" ca="1" si="211">IF(C1033&gt;0,C1033,0)</f>
        <v>0</v>
      </c>
      <c r="E1033">
        <f t="shared" ref="E1033:E1096" ca="1" si="212">IF(C1033&lt;0,ABS(C1033),0)</f>
        <v>0.23999999999999488</v>
      </c>
      <c r="F1033">
        <f t="shared" ca="1" si="202"/>
        <v>0.22169150264701062</v>
      </c>
      <c r="G1033">
        <f t="shared" ca="1" si="203"/>
        <v>0.30886338765527649</v>
      </c>
      <c r="H1033">
        <f t="shared" ca="1" si="204"/>
        <v>0.71776556078715714</v>
      </c>
      <c r="I1033">
        <f t="shared" ca="1" si="205"/>
        <v>41.784838232421237</v>
      </c>
      <c r="J1033">
        <f t="shared" ca="1" si="206"/>
        <v>1</v>
      </c>
      <c r="K1033">
        <f t="shared" ca="1" si="207"/>
        <v>0</v>
      </c>
      <c r="L1033">
        <f t="shared" ca="1" si="201"/>
        <v>0</v>
      </c>
      <c r="M1033" t="str">
        <f t="shared" ca="1" si="208"/>
        <v>na</v>
      </c>
      <c r="N1033" t="str">
        <f t="shared" ca="1" si="209"/>
        <v>na</v>
      </c>
    </row>
    <row r="1034" spans="1:14" x14ac:dyDescent="0.2">
      <c r="A1034" vm="1847">
        <f ca="1"/>
        <v>45749</v>
      </c>
      <c r="B1034" vm="1848">
        <f ca="1"/>
        <v>41.85</v>
      </c>
      <c r="C1034">
        <f t="shared" ca="1" si="210"/>
        <v>0.35999999999999943</v>
      </c>
      <c r="D1034">
        <f t="shared" ca="1" si="211"/>
        <v>0.35999999999999943</v>
      </c>
      <c r="E1034">
        <f t="shared" ca="1" si="212"/>
        <v>0</v>
      </c>
      <c r="F1034">
        <f t="shared" ca="1" si="202"/>
        <v>0.23157068102936695</v>
      </c>
      <c r="G1034">
        <f t="shared" ca="1" si="203"/>
        <v>0.28680171710847102</v>
      </c>
      <c r="H1034">
        <f t="shared" ca="1" si="204"/>
        <v>0.80742431866886211</v>
      </c>
      <c r="I1034">
        <f t="shared" ca="1" si="205"/>
        <v>44.672648825678998</v>
      </c>
      <c r="J1034">
        <f t="shared" ca="1" si="206"/>
        <v>1</v>
      </c>
      <c r="K1034">
        <f t="shared" ca="1" si="207"/>
        <v>0</v>
      </c>
      <c r="L1034">
        <f t="shared" ca="1" si="201"/>
        <v>0</v>
      </c>
      <c r="M1034" t="str">
        <f t="shared" ca="1" si="208"/>
        <v>na</v>
      </c>
      <c r="N1034" t="str">
        <f t="shared" ca="1" si="209"/>
        <v>na</v>
      </c>
    </row>
    <row r="1035" spans="1:14" x14ac:dyDescent="0.2">
      <c r="A1035" vm="1849">
        <f ca="1"/>
        <v>45750</v>
      </c>
      <c r="B1035" vm="1850">
        <f ca="1"/>
        <v>37.22</v>
      </c>
      <c r="C1035">
        <f t="shared" ca="1" si="210"/>
        <v>-4.6300000000000026</v>
      </c>
      <c r="D1035">
        <f t="shared" ca="1" si="211"/>
        <v>0</v>
      </c>
      <c r="E1035">
        <f t="shared" ca="1" si="212"/>
        <v>4.6300000000000026</v>
      </c>
      <c r="F1035">
        <f t="shared" ca="1" si="202"/>
        <v>0.21502991809869787</v>
      </c>
      <c r="G1035">
        <f t="shared" ca="1" si="203"/>
        <v>0.59703016588643754</v>
      </c>
      <c r="H1035">
        <f t="shared" ca="1" si="204"/>
        <v>0.3601659185502516</v>
      </c>
      <c r="I1035">
        <f t="shared" ca="1" si="205"/>
        <v>26.479557650888552</v>
      </c>
      <c r="J1035">
        <f t="shared" ca="1" si="206"/>
        <v>1</v>
      </c>
      <c r="K1035">
        <f t="shared" ca="1" si="207"/>
        <v>1</v>
      </c>
      <c r="L1035">
        <f t="shared" ca="1" si="201"/>
        <v>0</v>
      </c>
      <c r="M1035" t="str">
        <f t="shared" ca="1" si="208"/>
        <v>na</v>
      </c>
      <c r="N1035" t="str">
        <f t="shared" ca="1" si="209"/>
        <v>na</v>
      </c>
    </row>
    <row r="1036" spans="1:14" x14ac:dyDescent="0.2">
      <c r="A1036" vm="1851">
        <f ca="1"/>
        <v>45751</v>
      </c>
      <c r="B1036" vm="1852">
        <f ca="1"/>
        <v>34.39</v>
      </c>
      <c r="C1036">
        <f t="shared" ca="1" si="210"/>
        <v>-2.8299999999999983</v>
      </c>
      <c r="D1036">
        <f t="shared" ca="1" si="211"/>
        <v>0</v>
      </c>
      <c r="E1036">
        <f t="shared" ca="1" si="212"/>
        <v>2.8299999999999983</v>
      </c>
      <c r="F1036">
        <f t="shared" ca="1" si="202"/>
        <v>0.19967063823450518</v>
      </c>
      <c r="G1036">
        <f t="shared" ca="1" si="203"/>
        <v>0.75652801118026325</v>
      </c>
      <c r="H1036">
        <f t="shared" ca="1" si="204"/>
        <v>0.2639302646877516</v>
      </c>
      <c r="I1036">
        <f t="shared" ca="1" si="205"/>
        <v>20.881710966305121</v>
      </c>
      <c r="J1036">
        <f t="shared" ca="1" si="206"/>
        <v>1</v>
      </c>
      <c r="K1036">
        <f t="shared" ca="1" si="207"/>
        <v>1</v>
      </c>
      <c r="L1036">
        <f t="shared" ca="1" si="201"/>
        <v>0</v>
      </c>
      <c r="M1036" t="str">
        <f t="shared" ca="1" si="208"/>
        <v>na</v>
      </c>
      <c r="N1036" t="str">
        <f t="shared" ca="1" si="209"/>
        <v>na</v>
      </c>
    </row>
    <row r="1037" spans="1:14" x14ac:dyDescent="0.2">
      <c r="A1037" vm="1853">
        <f ca="1"/>
        <v>45754</v>
      </c>
      <c r="B1037" vm="937">
        <f ca="1"/>
        <v>35.58</v>
      </c>
      <c r="C1037">
        <f t="shared" ca="1" si="210"/>
        <v>1.1899999999999977</v>
      </c>
      <c r="D1037">
        <f t="shared" ca="1" si="211"/>
        <v>1.1899999999999977</v>
      </c>
      <c r="E1037">
        <f t="shared" ca="1" si="212"/>
        <v>0</v>
      </c>
      <c r="F1037">
        <f t="shared" ca="1" si="202"/>
        <v>0.27040844978918321</v>
      </c>
      <c r="G1037">
        <f t="shared" ca="1" si="203"/>
        <v>0.7024902960959587</v>
      </c>
      <c r="H1037">
        <f t="shared" ca="1" si="204"/>
        <v>0.38492837736259061</v>
      </c>
      <c r="I1037">
        <f t="shared" ca="1" si="205"/>
        <v>27.794099944405417</v>
      </c>
      <c r="J1037">
        <f t="shared" ca="1" si="206"/>
        <v>1</v>
      </c>
      <c r="K1037">
        <f t="shared" ca="1" si="207"/>
        <v>1</v>
      </c>
      <c r="L1037">
        <f t="shared" ca="1" si="201"/>
        <v>0</v>
      </c>
      <c r="M1037" t="str">
        <f t="shared" ca="1" si="208"/>
        <v>na</v>
      </c>
      <c r="N1037" t="str">
        <f t="shared" ca="1" si="209"/>
        <v>na</v>
      </c>
    </row>
    <row r="1038" spans="1:14" x14ac:dyDescent="0.2">
      <c r="A1038" vm="1854">
        <f ca="1"/>
        <v>45755</v>
      </c>
      <c r="B1038" vm="1855">
        <f ca="1"/>
        <v>35.03</v>
      </c>
      <c r="C1038">
        <f t="shared" ca="1" si="210"/>
        <v>-0.54999999999999716</v>
      </c>
      <c r="D1038">
        <f t="shared" ca="1" si="211"/>
        <v>0</v>
      </c>
      <c r="E1038">
        <f t="shared" ca="1" si="212"/>
        <v>0.54999999999999716</v>
      </c>
      <c r="F1038">
        <f t="shared" ca="1" si="202"/>
        <v>0.25109356051852727</v>
      </c>
      <c r="G1038">
        <f t="shared" ca="1" si="203"/>
        <v>0.69159813208910426</v>
      </c>
      <c r="H1038">
        <f t="shared" ca="1" si="204"/>
        <v>0.3630628089755697</v>
      </c>
      <c r="I1038">
        <f t="shared" ca="1" si="205"/>
        <v>26.635809192713211</v>
      </c>
      <c r="J1038">
        <f t="shared" ca="1" si="206"/>
        <v>1</v>
      </c>
      <c r="K1038">
        <f t="shared" ca="1" si="207"/>
        <v>1</v>
      </c>
      <c r="L1038">
        <f t="shared" ca="1" si="201"/>
        <v>0</v>
      </c>
      <c r="M1038" t="str">
        <f t="shared" ca="1" si="208"/>
        <v>na</v>
      </c>
      <c r="N1038" t="str">
        <f t="shared" ca="1" si="209"/>
        <v>na</v>
      </c>
    </row>
    <row r="1039" spans="1:14" x14ac:dyDescent="0.2">
      <c r="A1039" vm="1856">
        <f ca="1"/>
        <v>45756</v>
      </c>
      <c r="B1039" vm="1857">
        <f ca="1"/>
        <v>37.15</v>
      </c>
      <c r="C1039">
        <f t="shared" ca="1" si="210"/>
        <v>2.1199999999999974</v>
      </c>
      <c r="D1039">
        <f t="shared" ca="1" si="211"/>
        <v>2.1199999999999974</v>
      </c>
      <c r="E1039">
        <f t="shared" ca="1" si="212"/>
        <v>0</v>
      </c>
      <c r="F1039">
        <f t="shared" ca="1" si="202"/>
        <v>0.38458687762434657</v>
      </c>
      <c r="G1039">
        <f t="shared" ca="1" si="203"/>
        <v>0.64219826551131109</v>
      </c>
      <c r="H1039">
        <f t="shared" ca="1" si="204"/>
        <v>0.59886003790144593</v>
      </c>
      <c r="I1039">
        <f t="shared" ca="1" si="205"/>
        <v>37.455438481498888</v>
      </c>
      <c r="J1039">
        <f t="shared" ca="1" si="206"/>
        <v>1</v>
      </c>
      <c r="K1039">
        <f t="shared" ca="1" si="207"/>
        <v>1</v>
      </c>
      <c r="L1039">
        <f t="shared" ca="1" si="201"/>
        <v>0</v>
      </c>
      <c r="M1039" t="str">
        <f t="shared" ca="1" si="208"/>
        <v>na</v>
      </c>
      <c r="N1039" t="str">
        <f t="shared" ca="1" si="209"/>
        <v>na</v>
      </c>
    </row>
    <row r="1040" spans="1:14" x14ac:dyDescent="0.2">
      <c r="A1040" vm="1858">
        <f ca="1"/>
        <v>45757</v>
      </c>
      <c r="B1040" vm="1859">
        <f ca="1"/>
        <v>35.85</v>
      </c>
      <c r="C1040">
        <f t="shared" ca="1" si="210"/>
        <v>-1.2999999999999972</v>
      </c>
      <c r="D1040">
        <f t="shared" ca="1" si="211"/>
        <v>0</v>
      </c>
      <c r="E1040">
        <f t="shared" ca="1" si="212"/>
        <v>1.2999999999999972</v>
      </c>
      <c r="F1040">
        <f t="shared" ca="1" si="202"/>
        <v>0.35711638636546467</v>
      </c>
      <c r="G1040">
        <f t="shared" ca="1" si="203"/>
        <v>0.68918410368907435</v>
      </c>
      <c r="H1040">
        <f t="shared" ca="1" si="204"/>
        <v>0.5181726979103074</v>
      </c>
      <c r="I1040">
        <f t="shared" ca="1" si="205"/>
        <v>34.131340829903436</v>
      </c>
      <c r="J1040">
        <f t="shared" ca="1" si="206"/>
        <v>1</v>
      </c>
      <c r="K1040">
        <f t="shared" ca="1" si="207"/>
        <v>1</v>
      </c>
      <c r="L1040">
        <f t="shared" ca="1" si="201"/>
        <v>0</v>
      </c>
      <c r="M1040" t="str">
        <f t="shared" ca="1" si="208"/>
        <v>na</v>
      </c>
      <c r="N1040" t="str">
        <f t="shared" ca="1" si="209"/>
        <v>na</v>
      </c>
    </row>
    <row r="1041" spans="1:14" x14ac:dyDescent="0.2">
      <c r="A1041" vm="1860">
        <f ca="1"/>
        <v>45758</v>
      </c>
      <c r="B1041" vm="1452">
        <f ca="1"/>
        <v>35.950000000000003</v>
      </c>
      <c r="C1041">
        <f t="shared" ca="1" si="210"/>
        <v>0.10000000000000142</v>
      </c>
      <c r="D1041">
        <f t="shared" ca="1" si="211"/>
        <v>0.10000000000000142</v>
      </c>
      <c r="E1041">
        <f t="shared" ca="1" si="212"/>
        <v>0</v>
      </c>
      <c r="F1041">
        <f t="shared" ca="1" si="202"/>
        <v>0.33875093019650299</v>
      </c>
      <c r="G1041">
        <f t="shared" ca="1" si="203"/>
        <v>0.63995666771128334</v>
      </c>
      <c r="H1041">
        <f t="shared" ca="1" si="204"/>
        <v>0.52933416790233456</v>
      </c>
      <c r="I1041">
        <f t="shared" ca="1" si="205"/>
        <v>34.612067068924517</v>
      </c>
      <c r="J1041">
        <f t="shared" ca="1" si="206"/>
        <v>1</v>
      </c>
      <c r="K1041">
        <f t="shared" ca="1" si="207"/>
        <v>1</v>
      </c>
      <c r="L1041">
        <f t="shared" ca="1" si="201"/>
        <v>0</v>
      </c>
      <c r="M1041" t="str">
        <f t="shared" ca="1" si="208"/>
        <v>na</v>
      </c>
      <c r="N1041" t="str">
        <f t="shared" ca="1" si="209"/>
        <v>na</v>
      </c>
    </row>
    <row r="1042" spans="1:14" x14ac:dyDescent="0.2">
      <c r="A1042" vm="1861">
        <f ca="1"/>
        <v>45761</v>
      </c>
      <c r="B1042" vm="613">
        <f ca="1"/>
        <v>36.67</v>
      </c>
      <c r="C1042">
        <f t="shared" ca="1" si="210"/>
        <v>0.71999999999999886</v>
      </c>
      <c r="D1042">
        <f t="shared" ca="1" si="211"/>
        <v>0.71999999999999886</v>
      </c>
      <c r="E1042">
        <f t="shared" ca="1" si="212"/>
        <v>0</v>
      </c>
      <c r="F1042">
        <f t="shared" ca="1" si="202"/>
        <v>0.36598300661103839</v>
      </c>
      <c r="G1042">
        <f t="shared" ca="1" si="203"/>
        <v>0.59424547716047738</v>
      </c>
      <c r="H1042">
        <f t="shared" ca="1" si="204"/>
        <v>0.61587848907128295</v>
      </c>
      <c r="I1042">
        <f t="shared" ca="1" si="205"/>
        <v>38.114158535847309</v>
      </c>
      <c r="J1042">
        <f t="shared" ca="1" si="206"/>
        <v>1</v>
      </c>
      <c r="K1042">
        <f t="shared" ca="1" si="207"/>
        <v>1</v>
      </c>
      <c r="L1042">
        <f t="shared" ca="1" si="201"/>
        <v>0</v>
      </c>
      <c r="M1042" t="str">
        <f t="shared" ca="1" si="208"/>
        <v>na</v>
      </c>
      <c r="N1042" t="str">
        <f t="shared" ca="1" si="209"/>
        <v>na</v>
      </c>
    </row>
    <row r="1043" spans="1:14" x14ac:dyDescent="0.2">
      <c r="A1043" vm="1862">
        <f ca="1"/>
        <v>45762</v>
      </c>
      <c r="B1043" vm="1863">
        <f ca="1"/>
        <v>37.99</v>
      </c>
      <c r="C1043">
        <f t="shared" ca="1" si="210"/>
        <v>1.3200000000000003</v>
      </c>
      <c r="D1043">
        <f t="shared" ca="1" si="211"/>
        <v>1.3200000000000003</v>
      </c>
      <c r="E1043">
        <f t="shared" ca="1" si="212"/>
        <v>0</v>
      </c>
      <c r="F1043">
        <f t="shared" ca="1" si="202"/>
        <v>0.43412707756739277</v>
      </c>
      <c r="G1043">
        <f t="shared" ca="1" si="203"/>
        <v>0.55179937164901471</v>
      </c>
      <c r="H1043">
        <f t="shared" ca="1" si="204"/>
        <v>0.78674804625100181</v>
      </c>
      <c r="I1043">
        <f t="shared" ca="1" si="205"/>
        <v>44.032399973895352</v>
      </c>
      <c r="J1043">
        <f t="shared" ca="1" si="206"/>
        <v>1</v>
      </c>
      <c r="K1043">
        <f t="shared" ca="1" si="207"/>
        <v>0</v>
      </c>
      <c r="L1043">
        <f t="shared" ca="1" si="201"/>
        <v>0</v>
      </c>
      <c r="M1043" t="str">
        <f t="shared" ca="1" si="208"/>
        <v>na</v>
      </c>
      <c r="N1043" t="str">
        <f t="shared" ca="1" si="209"/>
        <v>na</v>
      </c>
    </row>
    <row r="1044" spans="1:14" x14ac:dyDescent="0.2">
      <c r="A1044" vm="1864">
        <f ca="1"/>
        <v>45763</v>
      </c>
      <c r="B1044" vm="1865">
        <f ca="1"/>
        <v>37.33</v>
      </c>
      <c r="C1044">
        <f t="shared" ca="1" si="210"/>
        <v>-0.66000000000000369</v>
      </c>
      <c r="D1044">
        <f t="shared" ca="1" si="211"/>
        <v>0</v>
      </c>
      <c r="E1044">
        <f t="shared" ca="1" si="212"/>
        <v>0.66000000000000369</v>
      </c>
      <c r="F1044">
        <f t="shared" ca="1" si="202"/>
        <v>0.40311800059829334</v>
      </c>
      <c r="G1044">
        <f t="shared" ca="1" si="203"/>
        <v>0.55952798795979963</v>
      </c>
      <c r="H1044">
        <f t="shared" ca="1" si="204"/>
        <v>0.72046083354682189</v>
      </c>
      <c r="I1044">
        <f t="shared" ca="1" si="205"/>
        <v>41.876038064845304</v>
      </c>
      <c r="J1044">
        <f t="shared" ca="1" si="206"/>
        <v>1</v>
      </c>
      <c r="K1044">
        <f t="shared" ca="1" si="207"/>
        <v>0</v>
      </c>
      <c r="L1044">
        <f t="shared" ca="1" si="201"/>
        <v>0</v>
      </c>
      <c r="M1044" t="str">
        <f t="shared" ca="1" si="208"/>
        <v>na</v>
      </c>
      <c r="N1044" t="str">
        <f t="shared" ca="1" si="209"/>
        <v>na</v>
      </c>
    </row>
    <row r="1045" spans="1:14" x14ac:dyDescent="0.2">
      <c r="A1045" vm="1866">
        <f ca="1"/>
        <v>45764</v>
      </c>
      <c r="B1045" vm="1867">
        <f ca="1"/>
        <v>37.409999999999997</v>
      </c>
      <c r="C1045">
        <f t="shared" ca="1" si="210"/>
        <v>7.9999999999998295E-2</v>
      </c>
      <c r="D1045">
        <f t="shared" ca="1" si="211"/>
        <v>7.9999999999998295E-2</v>
      </c>
      <c r="E1045">
        <f t="shared" ca="1" si="212"/>
        <v>0</v>
      </c>
      <c r="F1045">
        <f t="shared" ca="1" si="202"/>
        <v>0.38003814341270081</v>
      </c>
      <c r="G1045">
        <f t="shared" ca="1" si="203"/>
        <v>0.51956170310552818</v>
      </c>
      <c r="H1045">
        <f t="shared" ca="1" si="204"/>
        <v>0.73145911475217273</v>
      </c>
      <c r="I1045">
        <f t="shared" ca="1" si="205"/>
        <v>42.245243247159664</v>
      </c>
      <c r="J1045">
        <f t="shared" ca="1" si="206"/>
        <v>1</v>
      </c>
      <c r="K1045">
        <f t="shared" ca="1" si="207"/>
        <v>0</v>
      </c>
      <c r="L1045">
        <f t="shared" ca="1" si="201"/>
        <v>0</v>
      </c>
      <c r="M1045" t="str">
        <f t="shared" ca="1" si="208"/>
        <v>na</v>
      </c>
      <c r="N1045" t="str">
        <f t="shared" ca="1" si="209"/>
        <v>na</v>
      </c>
    </row>
    <row r="1046" spans="1:14" x14ac:dyDescent="0.2">
      <c r="A1046" vm="1868">
        <f ca="1"/>
        <v>45768</v>
      </c>
      <c r="B1046" vm="1440">
        <f ca="1"/>
        <v>36.92</v>
      </c>
      <c r="C1046">
        <f t="shared" ca="1" si="210"/>
        <v>-0.48999999999999488</v>
      </c>
      <c r="D1046">
        <f t="shared" ca="1" si="211"/>
        <v>0</v>
      </c>
      <c r="E1046">
        <f t="shared" ca="1" si="212"/>
        <v>0.48999999999999488</v>
      </c>
      <c r="F1046">
        <f t="shared" ca="1" si="202"/>
        <v>0.35289256174036504</v>
      </c>
      <c r="G1046">
        <f t="shared" ca="1" si="203"/>
        <v>0.51745015288370433</v>
      </c>
      <c r="H1046">
        <f t="shared" ca="1" si="204"/>
        <v>0.68198368436790624</v>
      </c>
      <c r="I1046">
        <f t="shared" ca="1" si="205"/>
        <v>40.546391187153361</v>
      </c>
      <c r="J1046">
        <f t="shared" ca="1" si="206"/>
        <v>1</v>
      </c>
      <c r="K1046">
        <f t="shared" ca="1" si="207"/>
        <v>0</v>
      </c>
      <c r="L1046">
        <f t="shared" ref="L1046:L1109" ca="1" si="213">IF(I1046&gt;$C$3,1,0)</f>
        <v>0</v>
      </c>
      <c r="M1046" t="str">
        <f t="shared" ca="1" si="208"/>
        <v>na</v>
      </c>
      <c r="N1046" t="str">
        <f t="shared" ca="1" si="209"/>
        <v>na</v>
      </c>
    </row>
    <row r="1047" spans="1:14" x14ac:dyDescent="0.2">
      <c r="A1047" vm="1869">
        <f ca="1"/>
        <v>45769</v>
      </c>
      <c r="B1047" vm="1463">
        <f ca="1"/>
        <v>38.32</v>
      </c>
      <c r="C1047">
        <f t="shared" ca="1" si="210"/>
        <v>1.3999999999999986</v>
      </c>
      <c r="D1047">
        <f t="shared" ca="1" si="211"/>
        <v>1.3999999999999986</v>
      </c>
      <c r="E1047">
        <f t="shared" ca="1" si="212"/>
        <v>0</v>
      </c>
      <c r="F1047">
        <f t="shared" ref="F1047:F1110" ca="1" si="214">((F1046*13)+D1047)/14</f>
        <v>0.42768595018748173</v>
      </c>
      <c r="G1047">
        <f t="shared" ref="G1047:G1110" ca="1" si="215">((G1046*13)+E1047)/14</f>
        <v>0.48048942767772546</v>
      </c>
      <c r="H1047">
        <f t="shared" ref="H1047:H1110" ca="1" si="216">AVERAGE(F1047/G1047)</f>
        <v>0.89010480887071641</v>
      </c>
      <c r="I1047">
        <f t="shared" ref="I1047:I1110" ca="1" si="217">IF(G1047=0,100,100-(100/(1+H1047)))</f>
        <v>47.092881024017316</v>
      </c>
      <c r="J1047">
        <f t="shared" ca="1" si="206"/>
        <v>1</v>
      </c>
      <c r="K1047">
        <f t="shared" ca="1" si="207"/>
        <v>0</v>
      </c>
      <c r="L1047">
        <f t="shared" ca="1" si="213"/>
        <v>0</v>
      </c>
      <c r="M1047" t="str">
        <f t="shared" ca="1" si="208"/>
        <v>na</v>
      </c>
      <c r="N1047" t="str">
        <f t="shared" ca="1" si="209"/>
        <v>na</v>
      </c>
    </row>
    <row r="1048" spans="1:14" x14ac:dyDescent="0.2">
      <c r="A1048" vm="1870">
        <f ca="1"/>
        <v>45770</v>
      </c>
      <c r="B1048" vm="1596">
        <f ca="1"/>
        <v>38.75</v>
      </c>
      <c r="C1048">
        <f t="shared" ca="1" si="210"/>
        <v>0.42999999999999972</v>
      </c>
      <c r="D1048">
        <f t="shared" ca="1" si="211"/>
        <v>0.42999999999999972</v>
      </c>
      <c r="E1048">
        <f t="shared" ca="1" si="212"/>
        <v>0</v>
      </c>
      <c r="F1048">
        <f t="shared" ca="1" si="214"/>
        <v>0.42785123945980447</v>
      </c>
      <c r="G1048">
        <f t="shared" ca="1" si="215"/>
        <v>0.44616875427217367</v>
      </c>
      <c r="H1048">
        <f t="shared" ca="1" si="216"/>
        <v>0.95894487312933818</v>
      </c>
      <c r="I1048">
        <f t="shared" ca="1" si="217"/>
        <v>48.952111224930036</v>
      </c>
      <c r="J1048">
        <f t="shared" ref="J1048:J1111" ca="1" si="218">IF(K1048=1,1,IF(L1048=1,0,IF(J1047=1,1,0)))</f>
        <v>1</v>
      </c>
      <c r="K1048">
        <f t="shared" ref="K1048:K1111" ca="1" si="219">IF(I1048&lt;$B$3,1,0)</f>
        <v>0</v>
      </c>
      <c r="L1048">
        <f t="shared" ca="1" si="213"/>
        <v>0</v>
      </c>
      <c r="M1048" t="str">
        <f t="shared" ref="M1048:M1111" ca="1" si="220">IF(AND(K1048=1,J1047=0),B1048,"na")</f>
        <v>na</v>
      </c>
      <c r="N1048" t="str">
        <f t="shared" ref="N1048:N1111" ca="1" si="221">IF(AND(L1048=1,J1047=1),B1048,"na")</f>
        <v>na</v>
      </c>
    </row>
    <row r="1049" spans="1:14" x14ac:dyDescent="0.2">
      <c r="A1049" vm="1871">
        <f ca="1"/>
        <v>45771</v>
      </c>
      <c r="B1049" vm="1872">
        <f ca="1"/>
        <v>39.58</v>
      </c>
      <c r="C1049">
        <f t="shared" ca="1" si="210"/>
        <v>0.82999999999999829</v>
      </c>
      <c r="D1049">
        <f t="shared" ca="1" si="211"/>
        <v>0.82999999999999829</v>
      </c>
      <c r="E1049">
        <f t="shared" ca="1" si="212"/>
        <v>0</v>
      </c>
      <c r="F1049">
        <f t="shared" ca="1" si="214"/>
        <v>0.45657615092696119</v>
      </c>
      <c r="G1049">
        <f t="shared" ca="1" si="215"/>
        <v>0.41429955753844699</v>
      </c>
      <c r="H1049">
        <f t="shared" ca="1" si="216"/>
        <v>1.1020435397993176</v>
      </c>
      <c r="I1049">
        <f t="shared" ca="1" si="217"/>
        <v>52.427246102834282</v>
      </c>
      <c r="J1049">
        <f t="shared" ca="1" si="218"/>
        <v>1</v>
      </c>
      <c r="K1049">
        <f t="shared" ca="1" si="219"/>
        <v>0</v>
      </c>
      <c r="L1049">
        <f t="shared" ca="1" si="213"/>
        <v>0</v>
      </c>
      <c r="M1049" t="str">
        <f t="shared" ca="1" si="220"/>
        <v>na</v>
      </c>
      <c r="N1049" t="str">
        <f t="shared" ca="1" si="221"/>
        <v>na</v>
      </c>
    </row>
    <row r="1050" spans="1:14" x14ac:dyDescent="0.2">
      <c r="A1050" vm="1873">
        <f ca="1"/>
        <v>45772</v>
      </c>
      <c r="B1050" vm="66">
        <f ca="1"/>
        <v>39.69</v>
      </c>
      <c r="C1050">
        <f t="shared" ca="1" si="210"/>
        <v>0.10999999999999943</v>
      </c>
      <c r="D1050">
        <f t="shared" ca="1" si="211"/>
        <v>0.10999999999999943</v>
      </c>
      <c r="E1050">
        <f t="shared" ca="1" si="212"/>
        <v>0</v>
      </c>
      <c r="F1050">
        <f t="shared" ca="1" si="214"/>
        <v>0.43182071157503538</v>
      </c>
      <c r="G1050">
        <f t="shared" ca="1" si="215"/>
        <v>0.38470673199998651</v>
      </c>
      <c r="H1050">
        <f t="shared" ca="1" si="216"/>
        <v>1.1224672605288606</v>
      </c>
      <c r="I1050">
        <f t="shared" ca="1" si="217"/>
        <v>52.88502119223137</v>
      </c>
      <c r="J1050">
        <f t="shared" ca="1" si="218"/>
        <v>1</v>
      </c>
      <c r="K1050">
        <f t="shared" ca="1" si="219"/>
        <v>0</v>
      </c>
      <c r="L1050">
        <f t="shared" ca="1" si="213"/>
        <v>0</v>
      </c>
      <c r="M1050" t="str">
        <f t="shared" ca="1" si="220"/>
        <v>na</v>
      </c>
      <c r="N1050" t="str">
        <f t="shared" ca="1" si="221"/>
        <v>na</v>
      </c>
    </row>
    <row r="1051" spans="1:14" x14ac:dyDescent="0.2">
      <c r="A1051" vm="1874">
        <f ca="1"/>
        <v>45775</v>
      </c>
      <c r="B1051" vm="1514">
        <f ca="1"/>
        <v>39.78</v>
      </c>
      <c r="C1051">
        <f t="shared" ca="1" si="210"/>
        <v>9.0000000000003411E-2</v>
      </c>
      <c r="D1051">
        <f t="shared" ca="1" si="211"/>
        <v>9.0000000000003411E-2</v>
      </c>
      <c r="E1051">
        <f t="shared" ca="1" si="212"/>
        <v>0</v>
      </c>
      <c r="F1051">
        <f t="shared" ca="1" si="214"/>
        <v>0.40740494646253306</v>
      </c>
      <c r="G1051">
        <f t="shared" ca="1" si="215"/>
        <v>0.35722767971427322</v>
      </c>
      <c r="H1051">
        <f t="shared" ca="1" si="216"/>
        <v>1.1404629864863605</v>
      </c>
      <c r="I1051">
        <f t="shared" ca="1" si="217"/>
        <v>53.281135608818332</v>
      </c>
      <c r="J1051">
        <f t="shared" ca="1" si="218"/>
        <v>1</v>
      </c>
      <c r="K1051">
        <f t="shared" ca="1" si="219"/>
        <v>0</v>
      </c>
      <c r="L1051">
        <f t="shared" ca="1" si="213"/>
        <v>0</v>
      </c>
      <c r="M1051" t="str">
        <f t="shared" ca="1" si="220"/>
        <v>na</v>
      </c>
      <c r="N1051" t="str">
        <f t="shared" ca="1" si="221"/>
        <v>na</v>
      </c>
    </row>
    <row r="1052" spans="1:14" x14ac:dyDescent="0.2">
      <c r="A1052" vm="1875">
        <f ca="1"/>
        <v>45776</v>
      </c>
      <c r="B1052" vm="76">
        <f ca="1"/>
        <v>39.99</v>
      </c>
      <c r="C1052">
        <f t="shared" ca="1" si="210"/>
        <v>0.21000000000000085</v>
      </c>
      <c r="D1052">
        <f t="shared" ca="1" si="211"/>
        <v>0.21000000000000085</v>
      </c>
      <c r="E1052">
        <f t="shared" ca="1" si="212"/>
        <v>0</v>
      </c>
      <c r="F1052">
        <f t="shared" ca="1" si="214"/>
        <v>0.39330459314378075</v>
      </c>
      <c r="G1052">
        <f t="shared" ca="1" si="215"/>
        <v>0.33171141687753941</v>
      </c>
      <c r="H1052">
        <f t="shared" ca="1" si="216"/>
        <v>1.1856830158154616</v>
      </c>
      <c r="I1052">
        <f t="shared" ca="1" si="217"/>
        <v>54.247711458429045</v>
      </c>
      <c r="J1052">
        <f t="shared" ca="1" si="218"/>
        <v>1</v>
      </c>
      <c r="K1052">
        <f t="shared" ca="1" si="219"/>
        <v>0</v>
      </c>
      <c r="L1052">
        <f t="shared" ca="1" si="213"/>
        <v>0</v>
      </c>
      <c r="M1052" t="str">
        <f t="shared" ca="1" si="220"/>
        <v>na</v>
      </c>
      <c r="N1052" t="str">
        <f t="shared" ca="1" si="221"/>
        <v>na</v>
      </c>
    </row>
    <row r="1053" spans="1:14" x14ac:dyDescent="0.2">
      <c r="A1053" vm="1876">
        <f ca="1"/>
        <v>45777</v>
      </c>
      <c r="B1053" vm="82">
        <f ca="1"/>
        <v>39.880000000000003</v>
      </c>
      <c r="C1053">
        <f t="shared" ca="1" si="210"/>
        <v>-0.10999999999999943</v>
      </c>
      <c r="D1053">
        <f t="shared" ca="1" si="211"/>
        <v>0</v>
      </c>
      <c r="E1053">
        <f t="shared" ca="1" si="212"/>
        <v>0.10999999999999943</v>
      </c>
      <c r="F1053">
        <f t="shared" ca="1" si="214"/>
        <v>0.36521140791922496</v>
      </c>
      <c r="G1053">
        <f t="shared" ca="1" si="215"/>
        <v>0.31587488710057227</v>
      </c>
      <c r="H1053">
        <f t="shared" ca="1" si="216"/>
        <v>1.1561900702886339</v>
      </c>
      <c r="I1053">
        <f t="shared" ca="1" si="217"/>
        <v>53.621899396552877</v>
      </c>
      <c r="J1053">
        <f t="shared" ca="1" si="218"/>
        <v>1</v>
      </c>
      <c r="K1053">
        <f t="shared" ca="1" si="219"/>
        <v>0</v>
      </c>
      <c r="L1053">
        <f t="shared" ca="1" si="213"/>
        <v>0</v>
      </c>
      <c r="M1053" t="str">
        <f t="shared" ca="1" si="220"/>
        <v>na</v>
      </c>
      <c r="N1053" t="str">
        <f t="shared" ca="1" si="221"/>
        <v>na</v>
      </c>
    </row>
    <row r="1054" spans="1:14" x14ac:dyDescent="0.2">
      <c r="A1054" vm="1877">
        <f ca="1"/>
        <v>45778</v>
      </c>
      <c r="B1054" vm="1605">
        <f ca="1"/>
        <v>40.17</v>
      </c>
      <c r="C1054">
        <f t="shared" ca="1" si="210"/>
        <v>0.28999999999999915</v>
      </c>
      <c r="D1054">
        <f t="shared" ca="1" si="211"/>
        <v>0.28999999999999915</v>
      </c>
      <c r="E1054">
        <f t="shared" ca="1" si="212"/>
        <v>0</v>
      </c>
      <c r="F1054">
        <f t="shared" ca="1" si="214"/>
        <v>0.35983916449642311</v>
      </c>
      <c r="G1054">
        <f t="shared" ca="1" si="215"/>
        <v>0.29331239516481711</v>
      </c>
      <c r="H1054">
        <f t="shared" ca="1" si="216"/>
        <v>1.2268119944069309</v>
      </c>
      <c r="I1054">
        <f t="shared" ca="1" si="217"/>
        <v>55.092751318400765</v>
      </c>
      <c r="J1054">
        <f t="shared" ca="1" si="218"/>
        <v>1</v>
      </c>
      <c r="K1054">
        <f t="shared" ca="1" si="219"/>
        <v>0</v>
      </c>
      <c r="L1054">
        <f t="shared" ca="1" si="213"/>
        <v>0</v>
      </c>
      <c r="M1054" t="str">
        <f t="shared" ca="1" si="220"/>
        <v>na</v>
      </c>
      <c r="N1054" t="str">
        <f t="shared" ca="1" si="221"/>
        <v>na</v>
      </c>
    </row>
    <row r="1055" spans="1:14" x14ac:dyDescent="0.2">
      <c r="A1055" vm="1878">
        <f ca="1"/>
        <v>45779</v>
      </c>
      <c r="B1055" vm="1879">
        <f ca="1"/>
        <v>41.07</v>
      </c>
      <c r="C1055">
        <f t="shared" ca="1" si="210"/>
        <v>0.89999999999999858</v>
      </c>
      <c r="D1055">
        <f t="shared" ca="1" si="211"/>
        <v>0.89999999999999858</v>
      </c>
      <c r="E1055">
        <f t="shared" ca="1" si="212"/>
        <v>0</v>
      </c>
      <c r="F1055">
        <f t="shared" ca="1" si="214"/>
        <v>0.39842208131810708</v>
      </c>
      <c r="G1055">
        <f t="shared" ca="1" si="215"/>
        <v>0.27236150979590162</v>
      </c>
      <c r="H1055">
        <f t="shared" ca="1" si="216"/>
        <v>1.4628428283301518</v>
      </c>
      <c r="I1055">
        <f t="shared" ca="1" si="217"/>
        <v>59.396515746073142</v>
      </c>
      <c r="J1055">
        <f t="shared" ca="1" si="218"/>
        <v>1</v>
      </c>
      <c r="K1055">
        <f t="shared" ca="1" si="219"/>
        <v>0</v>
      </c>
      <c r="L1055">
        <f t="shared" ca="1" si="213"/>
        <v>0</v>
      </c>
      <c r="M1055" t="str">
        <f t="shared" ca="1" si="220"/>
        <v>na</v>
      </c>
      <c r="N1055" t="str">
        <f t="shared" ca="1" si="221"/>
        <v>na</v>
      </c>
    </row>
    <row r="1056" spans="1:14" x14ac:dyDescent="0.2">
      <c r="A1056" vm="1880">
        <f ca="1"/>
        <v>45782</v>
      </c>
      <c r="B1056" vm="1881">
        <f ca="1"/>
        <v>41.12</v>
      </c>
      <c r="C1056">
        <f t="shared" ca="1" si="210"/>
        <v>4.9999999999997158E-2</v>
      </c>
      <c r="D1056">
        <f t="shared" ca="1" si="211"/>
        <v>4.9999999999997158E-2</v>
      </c>
      <c r="E1056">
        <f t="shared" ca="1" si="212"/>
        <v>0</v>
      </c>
      <c r="F1056">
        <f t="shared" ca="1" si="214"/>
        <v>0.37353478979538496</v>
      </c>
      <c r="G1056">
        <f t="shared" ca="1" si="215"/>
        <v>0.25290711623905154</v>
      </c>
      <c r="H1056">
        <f t="shared" ca="1" si="216"/>
        <v>1.4769643312144463</v>
      </c>
      <c r="I1056">
        <f t="shared" ca="1" si="217"/>
        <v>59.628001606720602</v>
      </c>
      <c r="J1056">
        <f t="shared" ca="1" si="218"/>
        <v>1</v>
      </c>
      <c r="K1056">
        <f t="shared" ca="1" si="219"/>
        <v>0</v>
      </c>
      <c r="L1056">
        <f t="shared" ca="1" si="213"/>
        <v>0</v>
      </c>
      <c r="M1056" t="str">
        <f t="shared" ca="1" si="220"/>
        <v>na</v>
      </c>
      <c r="N1056" t="str">
        <f t="shared" ca="1" si="221"/>
        <v>na</v>
      </c>
    </row>
    <row r="1057" spans="1:14" x14ac:dyDescent="0.2">
      <c r="A1057" vm="1882">
        <f ca="1"/>
        <v>45783</v>
      </c>
      <c r="B1057" vm="1883">
        <f ca="1"/>
        <v>40.840000000000003</v>
      </c>
      <c r="C1057">
        <f t="shared" ca="1" si="210"/>
        <v>-0.27999999999999403</v>
      </c>
      <c r="D1057">
        <f t="shared" ca="1" si="211"/>
        <v>0</v>
      </c>
      <c r="E1057">
        <f t="shared" ca="1" si="212"/>
        <v>0.27999999999999403</v>
      </c>
      <c r="F1057">
        <f t="shared" ca="1" si="214"/>
        <v>0.34685373338142889</v>
      </c>
      <c r="G1057">
        <f t="shared" ca="1" si="215"/>
        <v>0.254842322221976</v>
      </c>
      <c r="H1057">
        <f t="shared" ca="1" si="216"/>
        <v>1.3610523179870726</v>
      </c>
      <c r="I1057">
        <f t="shared" ca="1" si="217"/>
        <v>57.646004182890991</v>
      </c>
      <c r="J1057">
        <f t="shared" ca="1" si="218"/>
        <v>1</v>
      </c>
      <c r="K1057">
        <f t="shared" ca="1" si="219"/>
        <v>0</v>
      </c>
      <c r="L1057">
        <f t="shared" ca="1" si="213"/>
        <v>0</v>
      </c>
      <c r="M1057" t="str">
        <f t="shared" ca="1" si="220"/>
        <v>na</v>
      </c>
      <c r="N1057" t="str">
        <f t="shared" ca="1" si="221"/>
        <v>na</v>
      </c>
    </row>
    <row r="1058" spans="1:14" x14ac:dyDescent="0.2">
      <c r="A1058" vm="1884">
        <f ca="1"/>
        <v>45784</v>
      </c>
      <c r="B1058" vm="273">
        <f ca="1"/>
        <v>40.93</v>
      </c>
      <c r="C1058">
        <f t="shared" ca="1" si="210"/>
        <v>8.9999999999996305E-2</v>
      </c>
      <c r="D1058">
        <f t="shared" ca="1" si="211"/>
        <v>8.9999999999996305E-2</v>
      </c>
      <c r="E1058">
        <f t="shared" ca="1" si="212"/>
        <v>0</v>
      </c>
      <c r="F1058">
        <f t="shared" ca="1" si="214"/>
        <v>0.32850703813989801</v>
      </c>
      <c r="G1058">
        <f t="shared" ca="1" si="215"/>
        <v>0.23663929920612059</v>
      </c>
      <c r="H1058">
        <f t="shared" ca="1" si="216"/>
        <v>1.3882184372670814</v>
      </c>
      <c r="I1058">
        <f t="shared" ca="1" si="217"/>
        <v>58.127783271603349</v>
      </c>
      <c r="J1058">
        <f t="shared" ca="1" si="218"/>
        <v>1</v>
      </c>
      <c r="K1058">
        <f t="shared" ca="1" si="219"/>
        <v>0</v>
      </c>
      <c r="L1058">
        <f t="shared" ca="1" si="213"/>
        <v>0</v>
      </c>
      <c r="M1058" t="str">
        <f t="shared" ca="1" si="220"/>
        <v>na</v>
      </c>
      <c r="N1058" t="str">
        <f t="shared" ca="1" si="221"/>
        <v>na</v>
      </c>
    </row>
    <row r="1059" spans="1:14" x14ac:dyDescent="0.2">
      <c r="A1059" vm="1885">
        <f ca="1"/>
        <v>45785</v>
      </c>
      <c r="B1059" vm="1886">
        <f ca="1"/>
        <v>41.6</v>
      </c>
      <c r="C1059">
        <f t="shared" ca="1" si="210"/>
        <v>0.67000000000000171</v>
      </c>
      <c r="D1059">
        <f t="shared" ca="1" si="211"/>
        <v>0.67000000000000171</v>
      </c>
      <c r="E1059">
        <f t="shared" ca="1" si="212"/>
        <v>0</v>
      </c>
      <c r="F1059">
        <f t="shared" ca="1" si="214"/>
        <v>0.35289939255847685</v>
      </c>
      <c r="G1059">
        <f t="shared" ca="1" si="215"/>
        <v>0.21973649211996912</v>
      </c>
      <c r="H1059">
        <f t="shared" ca="1" si="216"/>
        <v>1.606011769614512</v>
      </c>
      <c r="I1059">
        <f t="shared" ca="1" si="217"/>
        <v>61.627187886878865</v>
      </c>
      <c r="J1059">
        <f t="shared" ca="1" si="218"/>
        <v>1</v>
      </c>
      <c r="K1059">
        <f t="shared" ca="1" si="219"/>
        <v>0</v>
      </c>
      <c r="L1059">
        <f t="shared" ca="1" si="213"/>
        <v>0</v>
      </c>
      <c r="M1059" t="str">
        <f t="shared" ca="1" si="220"/>
        <v>na</v>
      </c>
      <c r="N1059" t="str">
        <f t="shared" ca="1" si="221"/>
        <v>na</v>
      </c>
    </row>
    <row r="1060" spans="1:14" x14ac:dyDescent="0.2">
      <c r="A1060" vm="1887">
        <f ca="1"/>
        <v>45786</v>
      </c>
      <c r="B1060" vm="1888">
        <f ca="1"/>
        <v>41.79</v>
      </c>
      <c r="C1060">
        <f t="shared" ca="1" si="210"/>
        <v>0.18999999999999773</v>
      </c>
      <c r="D1060">
        <f t="shared" ca="1" si="211"/>
        <v>0.18999999999999773</v>
      </c>
      <c r="E1060">
        <f t="shared" ca="1" si="212"/>
        <v>0</v>
      </c>
      <c r="F1060">
        <f t="shared" ca="1" si="214"/>
        <v>0.34126372166144264</v>
      </c>
      <c r="G1060">
        <f t="shared" ca="1" si="215"/>
        <v>0.20404102839711419</v>
      </c>
      <c r="H1060">
        <f t="shared" ca="1" si="216"/>
        <v>1.6725250031442658</v>
      </c>
      <c r="I1060">
        <f t="shared" ca="1" si="217"/>
        <v>62.582202268510677</v>
      </c>
      <c r="J1060">
        <f t="shared" ca="1" si="218"/>
        <v>1</v>
      </c>
      <c r="K1060">
        <f t="shared" ca="1" si="219"/>
        <v>0</v>
      </c>
      <c r="L1060">
        <f t="shared" ca="1" si="213"/>
        <v>0</v>
      </c>
      <c r="M1060" t="str">
        <f t="shared" ca="1" si="220"/>
        <v>na</v>
      </c>
      <c r="N1060" t="str">
        <f t="shared" ca="1" si="221"/>
        <v>na</v>
      </c>
    </row>
    <row r="1061" spans="1:14" x14ac:dyDescent="0.2">
      <c r="A1061" vm="1889">
        <f ca="1"/>
        <v>45789</v>
      </c>
      <c r="B1061" vm="1890">
        <f ca="1"/>
        <v>43.36</v>
      </c>
      <c r="C1061">
        <f t="shared" ca="1" si="210"/>
        <v>1.5700000000000003</v>
      </c>
      <c r="D1061">
        <f t="shared" ca="1" si="211"/>
        <v>1.5700000000000003</v>
      </c>
      <c r="E1061">
        <f t="shared" ca="1" si="212"/>
        <v>0</v>
      </c>
      <c r="F1061">
        <f t="shared" ca="1" si="214"/>
        <v>0.42903059868562538</v>
      </c>
      <c r="G1061">
        <f t="shared" ca="1" si="215"/>
        <v>0.18946666922589175</v>
      </c>
      <c r="H1061">
        <f t="shared" ca="1" si="216"/>
        <v>2.264411996255201</v>
      </c>
      <c r="I1061">
        <f t="shared" ca="1" si="217"/>
        <v>69.366611777338193</v>
      </c>
      <c r="J1061">
        <f t="shared" ca="1" si="218"/>
        <v>1</v>
      </c>
      <c r="K1061">
        <f t="shared" ca="1" si="219"/>
        <v>0</v>
      </c>
      <c r="L1061">
        <f t="shared" ca="1" si="213"/>
        <v>0</v>
      </c>
      <c r="M1061" t="str">
        <f t="shared" ca="1" si="220"/>
        <v>na</v>
      </c>
      <c r="N1061" t="str">
        <f t="shared" ca="1" si="221"/>
        <v>na</v>
      </c>
    </row>
    <row r="1062" spans="1:14" x14ac:dyDescent="0.2">
      <c r="A1062" vm="1891">
        <f ca="1"/>
        <v>45790</v>
      </c>
      <c r="B1062" vm="64">
        <f ca="1"/>
        <v>44.28</v>
      </c>
      <c r="C1062">
        <f t="shared" ca="1" si="210"/>
        <v>0.92000000000000171</v>
      </c>
      <c r="D1062">
        <f t="shared" ca="1" si="211"/>
        <v>0.92000000000000171</v>
      </c>
      <c r="E1062">
        <f t="shared" ca="1" si="212"/>
        <v>0</v>
      </c>
      <c r="F1062">
        <f t="shared" ca="1" si="214"/>
        <v>0.4640998416366523</v>
      </c>
      <c r="G1062">
        <f t="shared" ca="1" si="215"/>
        <v>0.17593333570975661</v>
      </c>
      <c r="H1062">
        <f t="shared" ca="1" si="216"/>
        <v>2.6379300987181535</v>
      </c>
      <c r="I1062">
        <f t="shared" ca="1" si="217"/>
        <v>72.511841270607263</v>
      </c>
      <c r="J1062">
        <f t="shared" ca="1" si="218"/>
        <v>0</v>
      </c>
      <c r="K1062">
        <f t="shared" ca="1" si="219"/>
        <v>0</v>
      </c>
      <c r="L1062">
        <f t="shared" ca="1" si="213"/>
        <v>1</v>
      </c>
      <c r="M1062" t="str">
        <f t="shared" ca="1" si="220"/>
        <v>na</v>
      </c>
      <c r="N1062" vm="64">
        <f t="shared" ca="1" si="221"/>
        <v>44.28</v>
      </c>
    </row>
    <row r="1063" spans="1:14" x14ac:dyDescent="0.2">
      <c r="A1063" vm="1892">
        <f ca="1"/>
        <v>45791</v>
      </c>
      <c r="B1063" vm="1893">
        <f ca="1"/>
        <v>44.74</v>
      </c>
      <c r="C1063">
        <f t="shared" ca="1" si="210"/>
        <v>0.46000000000000085</v>
      </c>
      <c r="D1063">
        <f t="shared" ca="1" si="211"/>
        <v>0.46000000000000085</v>
      </c>
      <c r="E1063">
        <f t="shared" ca="1" si="212"/>
        <v>0</v>
      </c>
      <c r="F1063">
        <f t="shared" ca="1" si="214"/>
        <v>0.46380699580546292</v>
      </c>
      <c r="G1063">
        <f t="shared" ca="1" si="215"/>
        <v>0.16336666887334544</v>
      </c>
      <c r="H1063">
        <f t="shared" ca="1" si="216"/>
        <v>2.8390552308135892</v>
      </c>
      <c r="I1063">
        <f t="shared" ca="1" si="217"/>
        <v>73.951924630475403</v>
      </c>
      <c r="J1063">
        <f t="shared" ca="1" si="218"/>
        <v>0</v>
      </c>
      <c r="K1063">
        <f t="shared" ca="1" si="219"/>
        <v>0</v>
      </c>
      <c r="L1063">
        <f t="shared" ca="1" si="213"/>
        <v>1</v>
      </c>
      <c r="M1063" t="str">
        <f t="shared" ca="1" si="220"/>
        <v>na</v>
      </c>
      <c r="N1063" t="str">
        <f t="shared" ca="1" si="221"/>
        <v>na</v>
      </c>
    </row>
    <row r="1064" spans="1:14" x14ac:dyDescent="0.2">
      <c r="A1064" vm="1894">
        <f ca="1"/>
        <v>45792</v>
      </c>
      <c r="B1064" vm="1735">
        <f ca="1"/>
        <v>44.38</v>
      </c>
      <c r="C1064">
        <f t="shared" ca="1" si="210"/>
        <v>-0.35999999999999943</v>
      </c>
      <c r="D1064">
        <f t="shared" ca="1" si="211"/>
        <v>0</v>
      </c>
      <c r="E1064">
        <f t="shared" ca="1" si="212"/>
        <v>0.35999999999999943</v>
      </c>
      <c r="F1064">
        <f t="shared" ca="1" si="214"/>
        <v>0.43067792467650129</v>
      </c>
      <c r="G1064">
        <f t="shared" ca="1" si="215"/>
        <v>0.17741190681096358</v>
      </c>
      <c r="H1064">
        <f t="shared" ca="1" si="216"/>
        <v>2.4275593020675799</v>
      </c>
      <c r="I1064">
        <f t="shared" ca="1" si="217"/>
        <v>70.824720686910425</v>
      </c>
      <c r="J1064">
        <f t="shared" ca="1" si="218"/>
        <v>0</v>
      </c>
      <c r="K1064">
        <f t="shared" ca="1" si="219"/>
        <v>0</v>
      </c>
      <c r="L1064">
        <f t="shared" ca="1" si="213"/>
        <v>1</v>
      </c>
      <c r="M1064" t="str">
        <f t="shared" ca="1" si="220"/>
        <v>na</v>
      </c>
      <c r="N1064" t="str">
        <f t="shared" ca="1" si="221"/>
        <v>na</v>
      </c>
    </row>
    <row r="1065" spans="1:14" x14ac:dyDescent="0.2">
      <c r="A1065" vm="1895">
        <f ca="1"/>
        <v>45793</v>
      </c>
      <c r="B1065" vm="1896">
        <f ca="1"/>
        <v>44.69</v>
      </c>
      <c r="C1065">
        <f t="shared" ca="1" si="210"/>
        <v>0.30999999999999517</v>
      </c>
      <c r="D1065">
        <f t="shared" ca="1" si="211"/>
        <v>0.30999999999999517</v>
      </c>
      <c r="E1065">
        <f t="shared" ca="1" si="212"/>
        <v>0</v>
      </c>
      <c r="F1065">
        <f t="shared" ca="1" si="214"/>
        <v>0.42205807291389374</v>
      </c>
      <c r="G1065">
        <f t="shared" ca="1" si="215"/>
        <v>0.1647396277530376</v>
      </c>
      <c r="H1065">
        <f t="shared" ca="1" si="216"/>
        <v>2.5619705390290437</v>
      </c>
      <c r="I1065">
        <f t="shared" ca="1" si="217"/>
        <v>71.925652134321425</v>
      </c>
      <c r="J1065">
        <f t="shared" ca="1" si="218"/>
        <v>0</v>
      </c>
      <c r="K1065">
        <f t="shared" ca="1" si="219"/>
        <v>0</v>
      </c>
      <c r="L1065">
        <f t="shared" ca="1" si="213"/>
        <v>1</v>
      </c>
      <c r="M1065" t="str">
        <f t="shared" ca="1" si="220"/>
        <v>na</v>
      </c>
      <c r="N1065" t="str">
        <f t="shared" ca="1" si="221"/>
        <v>na</v>
      </c>
    </row>
    <row r="1066" spans="1:14" x14ac:dyDescent="0.2">
      <c r="A1066" vm="1897">
        <f ca="1"/>
        <v>45796</v>
      </c>
      <c r="B1066" vm="1684">
        <f ca="1"/>
        <v>44.77</v>
      </c>
      <c r="C1066">
        <f t="shared" ca="1" si="210"/>
        <v>8.00000000000054E-2</v>
      </c>
      <c r="D1066">
        <f t="shared" ca="1" si="211"/>
        <v>8.00000000000054E-2</v>
      </c>
      <c r="E1066">
        <f t="shared" ca="1" si="212"/>
        <v>0</v>
      </c>
      <c r="F1066">
        <f t="shared" ca="1" si="214"/>
        <v>0.39762535342004457</v>
      </c>
      <c r="G1066">
        <f t="shared" ca="1" si="215"/>
        <v>0.15297251148496346</v>
      </c>
      <c r="H1066">
        <f t="shared" ca="1" si="216"/>
        <v>2.5993255229984862</v>
      </c>
      <c r="I1066">
        <f t="shared" ca="1" si="217"/>
        <v>72.217016949138539</v>
      </c>
      <c r="J1066">
        <f t="shared" ca="1" si="218"/>
        <v>0</v>
      </c>
      <c r="K1066">
        <f t="shared" ca="1" si="219"/>
        <v>0</v>
      </c>
      <c r="L1066">
        <f t="shared" ca="1" si="213"/>
        <v>1</v>
      </c>
      <c r="M1066" t="str">
        <f t="shared" ca="1" si="220"/>
        <v>na</v>
      </c>
      <c r="N1066" t="str">
        <f t="shared" ca="1" si="221"/>
        <v>na</v>
      </c>
    </row>
    <row r="1067" spans="1:14" x14ac:dyDescent="0.2">
      <c r="A1067" vm="1898">
        <f ca="1"/>
        <v>45797</v>
      </c>
      <c r="B1067" vm="1896">
        <f ca="1"/>
        <v>44.69</v>
      </c>
      <c r="C1067">
        <f t="shared" ca="1" si="210"/>
        <v>-8.00000000000054E-2</v>
      </c>
      <c r="D1067">
        <f t="shared" ca="1" si="211"/>
        <v>0</v>
      </c>
      <c r="E1067">
        <f t="shared" ca="1" si="212"/>
        <v>8.00000000000054E-2</v>
      </c>
      <c r="F1067">
        <f t="shared" ca="1" si="214"/>
        <v>0.36922354246146993</v>
      </c>
      <c r="G1067">
        <f t="shared" ca="1" si="215"/>
        <v>0.1477601892360379</v>
      </c>
      <c r="H1067">
        <f t="shared" ca="1" si="216"/>
        <v>2.4988025825525835</v>
      </c>
      <c r="I1067">
        <f t="shared" ca="1" si="217"/>
        <v>71.418793246961627</v>
      </c>
      <c r="J1067">
        <f t="shared" ca="1" si="218"/>
        <v>0</v>
      </c>
      <c r="K1067">
        <f t="shared" ca="1" si="219"/>
        <v>0</v>
      </c>
      <c r="L1067">
        <f t="shared" ca="1" si="213"/>
        <v>1</v>
      </c>
      <c r="M1067" t="str">
        <f t="shared" ca="1" si="220"/>
        <v>na</v>
      </c>
      <c r="N1067" t="str">
        <f t="shared" ca="1" si="221"/>
        <v>na</v>
      </c>
    </row>
    <row r="1068" spans="1:14" x14ac:dyDescent="0.2">
      <c r="A1068" vm="1899">
        <f ca="1"/>
        <v>45798</v>
      </c>
      <c r="B1068" vm="150">
        <f ca="1"/>
        <v>43.25</v>
      </c>
      <c r="C1068">
        <f t="shared" ca="1" si="210"/>
        <v>-1.4399999999999977</v>
      </c>
      <c r="D1068">
        <f t="shared" ca="1" si="211"/>
        <v>0</v>
      </c>
      <c r="E1068">
        <f t="shared" ca="1" si="212"/>
        <v>1.4399999999999977</v>
      </c>
      <c r="F1068">
        <f t="shared" ca="1" si="214"/>
        <v>0.34285043228565065</v>
      </c>
      <c r="G1068">
        <f t="shared" ca="1" si="215"/>
        <v>0.24006303286203501</v>
      </c>
      <c r="H1068">
        <f t="shared" ca="1" si="216"/>
        <v>1.4281683781054615</v>
      </c>
      <c r="I1068">
        <f t="shared" ca="1" si="217"/>
        <v>58.816694549813981</v>
      </c>
      <c r="J1068">
        <f t="shared" ca="1" si="218"/>
        <v>0</v>
      </c>
      <c r="K1068">
        <f t="shared" ca="1" si="219"/>
        <v>0</v>
      </c>
      <c r="L1068">
        <f t="shared" ca="1" si="213"/>
        <v>0</v>
      </c>
      <c r="M1068" t="str">
        <f t="shared" ca="1" si="220"/>
        <v>na</v>
      </c>
      <c r="N1068" t="str">
        <f t="shared" ca="1" si="221"/>
        <v>na</v>
      </c>
    </row>
    <row r="1069" spans="1:14" x14ac:dyDescent="0.2">
      <c r="A1069" vm="1900">
        <f ca="1"/>
        <v>45799</v>
      </c>
      <c r="B1069" vm="1901">
        <f ca="1"/>
        <v>43.31</v>
      </c>
      <c r="C1069">
        <f t="shared" ca="1" si="210"/>
        <v>6.0000000000002274E-2</v>
      </c>
      <c r="D1069">
        <f t="shared" ca="1" si="211"/>
        <v>6.0000000000002274E-2</v>
      </c>
      <c r="E1069">
        <f t="shared" ca="1" si="212"/>
        <v>0</v>
      </c>
      <c r="F1069">
        <f t="shared" ca="1" si="214"/>
        <v>0.32264682997953292</v>
      </c>
      <c r="G1069">
        <f t="shared" ca="1" si="215"/>
        <v>0.22291567337188964</v>
      </c>
      <c r="H1069">
        <f t="shared" ca="1" si="216"/>
        <v>1.4473940979522872</v>
      </c>
      <c r="I1069">
        <f t="shared" ca="1" si="217"/>
        <v>59.140213632259268</v>
      </c>
      <c r="J1069">
        <f t="shared" ca="1" si="218"/>
        <v>0</v>
      </c>
      <c r="K1069">
        <f t="shared" ca="1" si="219"/>
        <v>0</v>
      </c>
      <c r="L1069">
        <f t="shared" ca="1" si="213"/>
        <v>0</v>
      </c>
      <c r="M1069" t="str">
        <f t="shared" ca="1" si="220"/>
        <v>na</v>
      </c>
      <c r="N1069" t="str">
        <f t="shared" ca="1" si="221"/>
        <v>na</v>
      </c>
    </row>
    <row r="1070" spans="1:14" x14ac:dyDescent="0.2">
      <c r="A1070" vm="1902">
        <f ca="1"/>
        <v>45800</v>
      </c>
      <c r="B1070" vm="1903">
        <f ca="1"/>
        <v>43.2</v>
      </c>
      <c r="C1070">
        <f t="shared" ca="1" si="210"/>
        <v>-0.10999999999999943</v>
      </c>
      <c r="D1070">
        <f t="shared" ca="1" si="211"/>
        <v>0</v>
      </c>
      <c r="E1070">
        <f t="shared" ca="1" si="212"/>
        <v>0.10999999999999943</v>
      </c>
      <c r="F1070">
        <f t="shared" ca="1" si="214"/>
        <v>0.29960062783813773</v>
      </c>
      <c r="G1070">
        <f t="shared" ca="1" si="215"/>
        <v>0.21485026813104033</v>
      </c>
      <c r="H1070">
        <f t="shared" ca="1" si="216"/>
        <v>1.394462433974748</v>
      </c>
      <c r="I1070">
        <f t="shared" ca="1" si="217"/>
        <v>58.236972699545554</v>
      </c>
      <c r="J1070">
        <f t="shared" ca="1" si="218"/>
        <v>0</v>
      </c>
      <c r="K1070">
        <f t="shared" ca="1" si="219"/>
        <v>0</v>
      </c>
      <c r="L1070">
        <f t="shared" ca="1" si="213"/>
        <v>0</v>
      </c>
      <c r="M1070" t="str">
        <f t="shared" ca="1" si="220"/>
        <v>na</v>
      </c>
      <c r="N1070" t="str">
        <f t="shared" ca="1" si="221"/>
        <v>na</v>
      </c>
    </row>
    <row r="1071" spans="1:14" x14ac:dyDescent="0.2">
      <c r="A1071" vm="1904">
        <f ca="1"/>
        <v>45804</v>
      </c>
      <c r="B1071" vm="307">
        <f ca="1"/>
        <v>44.22</v>
      </c>
      <c r="C1071">
        <f t="shared" ca="1" si="210"/>
        <v>1.019999999999996</v>
      </c>
      <c r="D1071">
        <f t="shared" ca="1" si="211"/>
        <v>1.019999999999996</v>
      </c>
      <c r="E1071">
        <f t="shared" ca="1" si="212"/>
        <v>0</v>
      </c>
      <c r="F1071">
        <f t="shared" ca="1" si="214"/>
        <v>0.35105772584969902</v>
      </c>
      <c r="G1071">
        <f t="shared" ca="1" si="215"/>
        <v>0.19950382040739459</v>
      </c>
      <c r="H1071">
        <f t="shared" ca="1" si="216"/>
        <v>1.759654151648953</v>
      </c>
      <c r="I1071">
        <f t="shared" ca="1" si="217"/>
        <v>63.763575250816181</v>
      </c>
      <c r="J1071">
        <f t="shared" ca="1" si="218"/>
        <v>0</v>
      </c>
      <c r="K1071">
        <f t="shared" ca="1" si="219"/>
        <v>0</v>
      </c>
      <c r="L1071">
        <f t="shared" ca="1" si="213"/>
        <v>0</v>
      </c>
      <c r="M1071" t="str">
        <f t="shared" ca="1" si="220"/>
        <v>na</v>
      </c>
      <c r="N1071" t="str">
        <f t="shared" ca="1" si="221"/>
        <v>na</v>
      </c>
    </row>
    <row r="1072" spans="1:14" x14ac:dyDescent="0.2">
      <c r="A1072" vm="1905">
        <f ca="1"/>
        <v>45805</v>
      </c>
      <c r="B1072" vm="1906">
        <f ca="1"/>
        <v>44.06</v>
      </c>
      <c r="C1072">
        <f t="shared" ca="1" si="210"/>
        <v>-0.15999999999999659</v>
      </c>
      <c r="D1072">
        <f t="shared" ca="1" si="211"/>
        <v>0</v>
      </c>
      <c r="E1072">
        <f t="shared" ca="1" si="212"/>
        <v>0.15999999999999659</v>
      </c>
      <c r="F1072">
        <f t="shared" ca="1" si="214"/>
        <v>0.32598217400329194</v>
      </c>
      <c r="G1072">
        <f t="shared" ca="1" si="215"/>
        <v>0.19668211894972329</v>
      </c>
      <c r="H1072">
        <f t="shared" ca="1" si="216"/>
        <v>1.6574062540307535</v>
      </c>
      <c r="I1072">
        <f t="shared" ca="1" si="217"/>
        <v>62.369321646503991</v>
      </c>
      <c r="J1072">
        <f t="shared" ca="1" si="218"/>
        <v>0</v>
      </c>
      <c r="K1072">
        <f t="shared" ca="1" si="219"/>
        <v>0</v>
      </c>
      <c r="L1072">
        <f t="shared" ca="1" si="213"/>
        <v>0</v>
      </c>
      <c r="M1072" t="str">
        <f t="shared" ca="1" si="220"/>
        <v>na</v>
      </c>
      <c r="N1072" t="str">
        <f t="shared" ca="1" si="221"/>
        <v>na</v>
      </c>
    </row>
    <row r="1073" spans="1:14" x14ac:dyDescent="0.2">
      <c r="A1073" vm="1907">
        <f ca="1"/>
        <v>45806</v>
      </c>
      <c r="B1073" vm="309">
        <f ca="1"/>
        <v>44.24</v>
      </c>
      <c r="C1073">
        <f t="shared" ca="1" si="210"/>
        <v>0.17999999999999972</v>
      </c>
      <c r="D1073">
        <f t="shared" ca="1" si="211"/>
        <v>0.17999999999999972</v>
      </c>
      <c r="E1073">
        <f t="shared" ca="1" si="212"/>
        <v>0</v>
      </c>
      <c r="F1073">
        <f t="shared" ca="1" si="214"/>
        <v>0.31555487586019965</v>
      </c>
      <c r="G1073">
        <f t="shared" ca="1" si="215"/>
        <v>0.18263339616760019</v>
      </c>
      <c r="H1073">
        <f t="shared" ca="1" si="216"/>
        <v>1.7278048948431053</v>
      </c>
      <c r="I1073">
        <f t="shared" ca="1" si="217"/>
        <v>63.340486634858216</v>
      </c>
      <c r="J1073">
        <f t="shared" ca="1" si="218"/>
        <v>0</v>
      </c>
      <c r="K1073">
        <f t="shared" ca="1" si="219"/>
        <v>0</v>
      </c>
      <c r="L1073">
        <f t="shared" ca="1" si="213"/>
        <v>0</v>
      </c>
      <c r="M1073" t="str">
        <f t="shared" ca="1" si="220"/>
        <v>na</v>
      </c>
      <c r="N1073" t="str">
        <f t="shared" ca="1" si="221"/>
        <v>na</v>
      </c>
    </row>
    <row r="1074" spans="1:14" x14ac:dyDescent="0.2">
      <c r="A1074" vm="1908">
        <f ca="1"/>
        <v>45807</v>
      </c>
      <c r="B1074" vm="57">
        <f ca="1"/>
        <v>44.13</v>
      </c>
      <c r="C1074">
        <f t="shared" ca="1" si="210"/>
        <v>-0.10999999999999943</v>
      </c>
      <c r="D1074">
        <f t="shared" ca="1" si="211"/>
        <v>0</v>
      </c>
      <c r="E1074">
        <f t="shared" ca="1" si="212"/>
        <v>0.10999999999999943</v>
      </c>
      <c r="F1074">
        <f t="shared" ca="1" si="214"/>
        <v>0.29301524187018535</v>
      </c>
      <c r="G1074">
        <f t="shared" ca="1" si="215"/>
        <v>0.17744529644134296</v>
      </c>
      <c r="H1074">
        <f t="shared" ca="1" si="216"/>
        <v>1.6512990073368647</v>
      </c>
      <c r="I1074">
        <f t="shared" ca="1" si="217"/>
        <v>62.282639670865933</v>
      </c>
      <c r="J1074">
        <f t="shared" ca="1" si="218"/>
        <v>0</v>
      </c>
      <c r="K1074">
        <f t="shared" ca="1" si="219"/>
        <v>0</v>
      </c>
      <c r="L1074">
        <f t="shared" ca="1" si="213"/>
        <v>0</v>
      </c>
      <c r="M1074" t="str">
        <f t="shared" ca="1" si="220"/>
        <v>na</v>
      </c>
      <c r="N1074" t="str">
        <f t="shared" ca="1" si="221"/>
        <v>na</v>
      </c>
    </row>
    <row r="1075" spans="1:14" x14ac:dyDescent="0.2">
      <c r="A1075" vm="1909">
        <f ca="1"/>
        <v>45810</v>
      </c>
      <c r="B1075" vm="1910">
        <f ca="1"/>
        <v>44.08</v>
      </c>
      <c r="C1075">
        <f t="shared" ca="1" si="210"/>
        <v>-5.0000000000004263E-2</v>
      </c>
      <c r="D1075">
        <f t="shared" ca="1" si="211"/>
        <v>0</v>
      </c>
      <c r="E1075">
        <f t="shared" ca="1" si="212"/>
        <v>5.0000000000004263E-2</v>
      </c>
      <c r="F1075">
        <f t="shared" ca="1" si="214"/>
        <v>0.27208558173660069</v>
      </c>
      <c r="G1075">
        <f t="shared" ca="1" si="215"/>
        <v>0.16834206098124735</v>
      </c>
      <c r="H1075">
        <f t="shared" ca="1" si="216"/>
        <v>1.6162661912931551</v>
      </c>
      <c r="I1075">
        <f t="shared" ca="1" si="217"/>
        <v>61.777589630291978</v>
      </c>
      <c r="J1075">
        <f t="shared" ca="1" si="218"/>
        <v>0</v>
      </c>
      <c r="K1075">
        <f t="shared" ca="1" si="219"/>
        <v>0</v>
      </c>
      <c r="L1075">
        <f t="shared" ca="1" si="213"/>
        <v>0</v>
      </c>
      <c r="M1075" t="str">
        <f t="shared" ca="1" si="220"/>
        <v>na</v>
      </c>
      <c r="N1075" t="str">
        <f t="shared" ca="1" si="221"/>
        <v>na</v>
      </c>
    </row>
    <row r="1076" spans="1:14" x14ac:dyDescent="0.2">
      <c r="A1076" vm="1911">
        <f ca="1"/>
        <v>45811</v>
      </c>
      <c r="B1076" vm="1912">
        <f ca="1"/>
        <v>44.65</v>
      </c>
      <c r="C1076">
        <f t="shared" ca="1" si="210"/>
        <v>0.57000000000000028</v>
      </c>
      <c r="D1076">
        <f t="shared" ca="1" si="211"/>
        <v>0.57000000000000028</v>
      </c>
      <c r="E1076">
        <f t="shared" ca="1" si="212"/>
        <v>0</v>
      </c>
      <c r="F1076">
        <f t="shared" ca="1" si="214"/>
        <v>0.29336518304112918</v>
      </c>
      <c r="G1076">
        <f t="shared" ca="1" si="215"/>
        <v>0.15631762805401542</v>
      </c>
      <c r="H1076">
        <f t="shared" ca="1" si="216"/>
        <v>1.8767248882496932</v>
      </c>
      <c r="I1076">
        <f t="shared" ca="1" si="217"/>
        <v>65.238247004966908</v>
      </c>
      <c r="J1076">
        <f t="shared" ca="1" si="218"/>
        <v>0</v>
      </c>
      <c r="K1076">
        <f t="shared" ca="1" si="219"/>
        <v>0</v>
      </c>
      <c r="L1076">
        <f t="shared" ca="1" si="213"/>
        <v>0</v>
      </c>
      <c r="M1076" t="str">
        <f t="shared" ca="1" si="220"/>
        <v>na</v>
      </c>
      <c r="N1076" t="str">
        <f t="shared" ca="1" si="221"/>
        <v>na</v>
      </c>
    </row>
    <row r="1077" spans="1:14" x14ac:dyDescent="0.2">
      <c r="A1077" vm="1913">
        <f ca="1"/>
        <v>45812</v>
      </c>
      <c r="B1077" vm="1914">
        <f ca="1"/>
        <v>44.36</v>
      </c>
      <c r="C1077">
        <f t="shared" ca="1" si="210"/>
        <v>-0.28999999999999915</v>
      </c>
      <c r="D1077">
        <f t="shared" ca="1" si="211"/>
        <v>0</v>
      </c>
      <c r="E1077">
        <f t="shared" ca="1" si="212"/>
        <v>0.28999999999999915</v>
      </c>
      <c r="F1077">
        <f t="shared" ca="1" si="214"/>
        <v>0.27241052710961994</v>
      </c>
      <c r="G1077">
        <f t="shared" ca="1" si="215"/>
        <v>0.16586636890729997</v>
      </c>
      <c r="H1077">
        <f t="shared" ca="1" si="216"/>
        <v>1.642349373801423</v>
      </c>
      <c r="I1077">
        <f t="shared" ca="1" si="217"/>
        <v>62.154891025582003</v>
      </c>
      <c r="J1077">
        <f t="shared" ca="1" si="218"/>
        <v>0</v>
      </c>
      <c r="K1077">
        <f t="shared" ca="1" si="219"/>
        <v>0</v>
      </c>
      <c r="L1077">
        <f t="shared" ca="1" si="213"/>
        <v>0</v>
      </c>
      <c r="M1077" t="str">
        <f t="shared" ca="1" si="220"/>
        <v>na</v>
      </c>
      <c r="N1077" t="str">
        <f t="shared" ca="1" si="221"/>
        <v>na</v>
      </c>
    </row>
    <row r="1078" spans="1:14" x14ac:dyDescent="0.2">
      <c r="A1078" vm="1915">
        <f ca="1"/>
        <v>45813</v>
      </c>
      <c r="B1078" vm="1735">
        <f ca="1"/>
        <v>44.38</v>
      </c>
      <c r="C1078">
        <f t="shared" ca="1" si="210"/>
        <v>2.0000000000003126E-2</v>
      </c>
      <c r="D1078">
        <f t="shared" ca="1" si="211"/>
        <v>2.0000000000003126E-2</v>
      </c>
      <c r="E1078">
        <f t="shared" ca="1" si="212"/>
        <v>0</v>
      </c>
      <c r="F1078">
        <f t="shared" ca="1" si="214"/>
        <v>0.25438120374464729</v>
      </c>
      <c r="G1078">
        <f t="shared" ca="1" si="215"/>
        <v>0.15401877112820711</v>
      </c>
      <c r="H1078">
        <f t="shared" ca="1" si="216"/>
        <v>1.6516246810779789</v>
      </c>
      <c r="I1078">
        <f t="shared" ca="1" si="217"/>
        <v>62.287272134099133</v>
      </c>
      <c r="J1078">
        <f t="shared" ca="1" si="218"/>
        <v>0</v>
      </c>
      <c r="K1078">
        <f t="shared" ca="1" si="219"/>
        <v>0</v>
      </c>
      <c r="L1078">
        <f t="shared" ca="1" si="213"/>
        <v>0</v>
      </c>
      <c r="M1078" t="str">
        <f t="shared" ca="1" si="220"/>
        <v>na</v>
      </c>
      <c r="N1078" t="str">
        <f t="shared" ca="1" si="221"/>
        <v>na</v>
      </c>
    </row>
    <row r="1079" spans="1:14" x14ac:dyDescent="0.2">
      <c r="A1079" vm="1916">
        <f ca="1"/>
        <v>45814</v>
      </c>
      <c r="B1079" vm="1917">
        <f ca="1"/>
        <v>44.97</v>
      </c>
      <c r="C1079">
        <f t="shared" ca="1" si="210"/>
        <v>0.58999999999999631</v>
      </c>
      <c r="D1079">
        <f t="shared" ca="1" si="211"/>
        <v>0.58999999999999631</v>
      </c>
      <c r="E1079">
        <f t="shared" ca="1" si="212"/>
        <v>0</v>
      </c>
      <c r="F1079">
        <f t="shared" ca="1" si="214"/>
        <v>0.27835397490574365</v>
      </c>
      <c r="G1079">
        <f t="shared" ca="1" si="215"/>
        <v>0.14301743033333517</v>
      </c>
      <c r="H1079">
        <f t="shared" ca="1" si="216"/>
        <v>1.9462940584023598</v>
      </c>
      <c r="I1079">
        <f t="shared" ca="1" si="217"/>
        <v>66.059056557910111</v>
      </c>
      <c r="J1079">
        <f t="shared" ca="1" si="218"/>
        <v>0</v>
      </c>
      <c r="K1079">
        <f t="shared" ca="1" si="219"/>
        <v>0</v>
      </c>
      <c r="L1079">
        <f t="shared" ca="1" si="213"/>
        <v>0</v>
      </c>
      <c r="M1079" t="str">
        <f t="shared" ca="1" si="220"/>
        <v>na</v>
      </c>
      <c r="N1079" t="str">
        <f t="shared" ca="1" si="221"/>
        <v>na</v>
      </c>
    </row>
    <row r="1080" spans="1:14" x14ac:dyDescent="0.2">
      <c r="A1080" vm="1918">
        <f ca="1"/>
        <v>45817</v>
      </c>
      <c r="B1080" vm="1919">
        <f ca="1"/>
        <v>44.87</v>
      </c>
      <c r="C1080">
        <f t="shared" ca="1" si="210"/>
        <v>-0.10000000000000142</v>
      </c>
      <c r="D1080">
        <f t="shared" ca="1" si="211"/>
        <v>0</v>
      </c>
      <c r="E1080">
        <f t="shared" ca="1" si="212"/>
        <v>0.10000000000000142</v>
      </c>
      <c r="F1080">
        <f t="shared" ca="1" si="214"/>
        <v>0.25847154812676199</v>
      </c>
      <c r="G1080">
        <f t="shared" ca="1" si="215"/>
        <v>0.13994475673809706</v>
      </c>
      <c r="H1080">
        <f t="shared" ca="1" si="216"/>
        <v>1.8469541421297027</v>
      </c>
      <c r="I1080">
        <f t="shared" ca="1" si="217"/>
        <v>64.874741563208445</v>
      </c>
      <c r="J1080">
        <f t="shared" ca="1" si="218"/>
        <v>0</v>
      </c>
      <c r="K1080">
        <f t="shared" ca="1" si="219"/>
        <v>0</v>
      </c>
      <c r="L1080">
        <f t="shared" ca="1" si="213"/>
        <v>0</v>
      </c>
      <c r="M1080" t="str">
        <f t="shared" ca="1" si="220"/>
        <v>na</v>
      </c>
      <c r="N1080" t="str">
        <f t="shared" ca="1" si="221"/>
        <v>na</v>
      </c>
    </row>
    <row r="1081" spans="1:14" x14ac:dyDescent="0.2">
      <c r="A1081" vm="1920">
        <f ca="1"/>
        <v>45818</v>
      </c>
      <c r="B1081" vm="1921">
        <f ca="1"/>
        <v>45.09</v>
      </c>
      <c r="C1081">
        <f t="shared" ca="1" si="210"/>
        <v>0.22000000000000597</v>
      </c>
      <c r="D1081">
        <f t="shared" ca="1" si="211"/>
        <v>0.22000000000000597</v>
      </c>
      <c r="E1081">
        <f t="shared" ca="1" si="212"/>
        <v>0</v>
      </c>
      <c r="F1081">
        <f t="shared" ca="1" si="214"/>
        <v>0.25572358040342225</v>
      </c>
      <c r="G1081">
        <f t="shared" ca="1" si="215"/>
        <v>0.12994870268537584</v>
      </c>
      <c r="H1081">
        <f t="shared" ca="1" si="216"/>
        <v>1.9678809801015493</v>
      </c>
      <c r="I1081">
        <f t="shared" ca="1" si="217"/>
        <v>66.305926460508402</v>
      </c>
      <c r="J1081">
        <f t="shared" ca="1" si="218"/>
        <v>0</v>
      </c>
      <c r="K1081">
        <f t="shared" ca="1" si="219"/>
        <v>0</v>
      </c>
      <c r="L1081">
        <f t="shared" ca="1" si="213"/>
        <v>0</v>
      </c>
      <c r="M1081" t="str">
        <f t="shared" ca="1" si="220"/>
        <v>na</v>
      </c>
      <c r="N1081" t="str">
        <f t="shared" ca="1" si="221"/>
        <v>na</v>
      </c>
    </row>
    <row r="1082" spans="1:14" x14ac:dyDescent="0.2">
      <c r="A1082" vm="1922">
        <f ca="1"/>
        <v>45819</v>
      </c>
      <c r="B1082" vm="1923">
        <f ca="1"/>
        <v>44.73</v>
      </c>
      <c r="C1082">
        <f t="shared" ca="1" si="210"/>
        <v>-0.36000000000000654</v>
      </c>
      <c r="D1082">
        <f t="shared" ca="1" si="211"/>
        <v>0</v>
      </c>
      <c r="E1082">
        <f t="shared" ca="1" si="212"/>
        <v>0.36000000000000654</v>
      </c>
      <c r="F1082">
        <f t="shared" ca="1" si="214"/>
        <v>0.23745761037460639</v>
      </c>
      <c r="G1082">
        <f t="shared" ca="1" si="215"/>
        <v>0.14638093820784945</v>
      </c>
      <c r="H1082">
        <f t="shared" ca="1" si="216"/>
        <v>1.6221894276796833</v>
      </c>
      <c r="I1082">
        <f t="shared" ca="1" si="217"/>
        <v>61.863929834967053</v>
      </c>
      <c r="J1082">
        <f t="shared" ca="1" si="218"/>
        <v>0</v>
      </c>
      <c r="K1082">
        <f t="shared" ca="1" si="219"/>
        <v>0</v>
      </c>
      <c r="L1082">
        <f t="shared" ca="1" si="213"/>
        <v>0</v>
      </c>
      <c r="M1082" t="str">
        <f t="shared" ca="1" si="220"/>
        <v>na</v>
      </c>
      <c r="N1082" t="str">
        <f t="shared" ca="1" si="221"/>
        <v>na</v>
      </c>
    </row>
    <row r="1083" spans="1:14" x14ac:dyDescent="0.2">
      <c r="A1083" vm="1924">
        <f ca="1"/>
        <v>45820</v>
      </c>
      <c r="B1083" vm="1925">
        <f ca="1"/>
        <v>44.62</v>
      </c>
      <c r="C1083">
        <f t="shared" ca="1" si="210"/>
        <v>-0.10999999999999943</v>
      </c>
      <c r="D1083">
        <f t="shared" ca="1" si="211"/>
        <v>0</v>
      </c>
      <c r="E1083">
        <f t="shared" ca="1" si="212"/>
        <v>0.10999999999999943</v>
      </c>
      <c r="F1083">
        <f t="shared" ca="1" si="214"/>
        <v>0.22049635249070593</v>
      </c>
      <c r="G1083">
        <f t="shared" ca="1" si="215"/>
        <v>0.1437822997644316</v>
      </c>
      <c r="H1083">
        <f t="shared" ca="1" si="216"/>
        <v>1.533543091548544</v>
      </c>
      <c r="I1083">
        <f t="shared" ca="1" si="217"/>
        <v>60.529583912117978</v>
      </c>
      <c r="J1083">
        <f t="shared" ca="1" si="218"/>
        <v>0</v>
      </c>
      <c r="K1083">
        <f t="shared" ca="1" si="219"/>
        <v>0</v>
      </c>
      <c r="L1083">
        <f t="shared" ca="1" si="213"/>
        <v>0</v>
      </c>
      <c r="M1083" t="str">
        <f t="shared" ca="1" si="220"/>
        <v>na</v>
      </c>
      <c r="N1083" t="str">
        <f t="shared" ca="1" si="221"/>
        <v>na</v>
      </c>
    </row>
    <row r="1084" spans="1:14" x14ac:dyDescent="0.2">
      <c r="A1084" vm="1926">
        <f ca="1"/>
        <v>45821</v>
      </c>
      <c r="B1084" vm="1927">
        <f ca="1"/>
        <v>44.09</v>
      </c>
      <c r="C1084">
        <f t="shared" ca="1" si="210"/>
        <v>-0.52999999999999403</v>
      </c>
      <c r="D1084">
        <f t="shared" ca="1" si="211"/>
        <v>0</v>
      </c>
      <c r="E1084">
        <f t="shared" ca="1" si="212"/>
        <v>0.52999999999999403</v>
      </c>
      <c r="F1084">
        <f t="shared" ca="1" si="214"/>
        <v>0.20474661302708408</v>
      </c>
      <c r="G1084">
        <f t="shared" ca="1" si="215"/>
        <v>0.17136927835268606</v>
      </c>
      <c r="H1084">
        <f t="shared" ca="1" si="216"/>
        <v>1.1947684847321693</v>
      </c>
      <c r="I1084">
        <f t="shared" ca="1" si="217"/>
        <v>54.437107742503812</v>
      </c>
      <c r="J1084">
        <f t="shared" ca="1" si="218"/>
        <v>0</v>
      </c>
      <c r="K1084">
        <f t="shared" ca="1" si="219"/>
        <v>0</v>
      </c>
      <c r="L1084">
        <f t="shared" ca="1" si="213"/>
        <v>0</v>
      </c>
      <c r="M1084" t="str">
        <f t="shared" ca="1" si="220"/>
        <v>na</v>
      </c>
      <c r="N1084" t="str">
        <f t="shared" ca="1" si="221"/>
        <v>na</v>
      </c>
    </row>
    <row r="1085" spans="1:14" x14ac:dyDescent="0.2">
      <c r="A1085" vm="1928">
        <f ca="1"/>
        <v>45824</v>
      </c>
      <c r="B1085" vm="1929">
        <f ca="1"/>
        <v>44.41</v>
      </c>
      <c r="C1085">
        <f t="shared" ca="1" si="210"/>
        <v>0.31999999999999318</v>
      </c>
      <c r="D1085">
        <f t="shared" ca="1" si="211"/>
        <v>0.31999999999999318</v>
      </c>
      <c r="E1085">
        <f t="shared" ca="1" si="212"/>
        <v>0</v>
      </c>
      <c r="F1085">
        <f t="shared" ca="1" si="214"/>
        <v>0.21297899781086332</v>
      </c>
      <c r="G1085">
        <f t="shared" ca="1" si="215"/>
        <v>0.15912861561320849</v>
      </c>
      <c r="H1085">
        <f t="shared" ca="1" si="216"/>
        <v>1.3384079097913359</v>
      </c>
      <c r="I1085">
        <f t="shared" ca="1" si="217"/>
        <v>57.235861381890658</v>
      </c>
      <c r="J1085">
        <f t="shared" ca="1" si="218"/>
        <v>0</v>
      </c>
      <c r="K1085">
        <f t="shared" ca="1" si="219"/>
        <v>0</v>
      </c>
      <c r="L1085">
        <f t="shared" ca="1" si="213"/>
        <v>0</v>
      </c>
      <c r="M1085" t="str">
        <f t="shared" ca="1" si="220"/>
        <v>na</v>
      </c>
      <c r="N1085" t="str">
        <f t="shared" ca="1" si="221"/>
        <v>na</v>
      </c>
    </row>
    <row r="1086" spans="1:14" x14ac:dyDescent="0.2">
      <c r="A1086" vm="1930">
        <f ca="1"/>
        <v>45825</v>
      </c>
      <c r="B1086" vm="1931">
        <f ca="1"/>
        <v>44.23</v>
      </c>
      <c r="C1086">
        <f t="shared" ca="1" si="210"/>
        <v>-0.17999999999999972</v>
      </c>
      <c r="D1086">
        <f t="shared" ca="1" si="211"/>
        <v>0</v>
      </c>
      <c r="E1086">
        <f t="shared" ca="1" si="212"/>
        <v>0.17999999999999972</v>
      </c>
      <c r="F1086">
        <f t="shared" ca="1" si="214"/>
        <v>0.1977662122529445</v>
      </c>
      <c r="G1086">
        <f t="shared" ca="1" si="215"/>
        <v>0.16061942878369356</v>
      </c>
      <c r="H1086">
        <f t="shared" ca="1" si="216"/>
        <v>1.2312720431802591</v>
      </c>
      <c r="I1086">
        <f t="shared" ca="1" si="217"/>
        <v>55.182515594347343</v>
      </c>
      <c r="J1086">
        <f t="shared" ca="1" si="218"/>
        <v>0</v>
      </c>
      <c r="K1086">
        <f t="shared" ca="1" si="219"/>
        <v>0</v>
      </c>
      <c r="L1086">
        <f t="shared" ca="1" si="213"/>
        <v>0</v>
      </c>
      <c r="M1086" t="str">
        <f t="shared" ca="1" si="220"/>
        <v>na</v>
      </c>
      <c r="N1086" t="str">
        <f t="shared" ca="1" si="221"/>
        <v>na</v>
      </c>
    </row>
    <row r="1087" spans="1:14" x14ac:dyDescent="0.2">
      <c r="A1087" vm="1932">
        <f ca="1"/>
        <v>45826</v>
      </c>
      <c r="B1087" vm="1753">
        <f ca="1"/>
        <v>45.06</v>
      </c>
      <c r="C1087">
        <f t="shared" ca="1" si="210"/>
        <v>0.8300000000000054</v>
      </c>
      <c r="D1087">
        <f t="shared" ca="1" si="211"/>
        <v>0.8300000000000054</v>
      </c>
      <c r="E1087">
        <f t="shared" ca="1" si="212"/>
        <v>0</v>
      </c>
      <c r="F1087">
        <f t="shared" ca="1" si="214"/>
        <v>0.2429257685205917</v>
      </c>
      <c r="G1087">
        <f t="shared" ca="1" si="215"/>
        <v>0.14914661244200117</v>
      </c>
      <c r="H1087">
        <f t="shared" ca="1" si="216"/>
        <v>1.6287716129996486</v>
      </c>
      <c r="I1087">
        <f t="shared" ca="1" si="217"/>
        <v>61.959418800216113</v>
      </c>
      <c r="J1087">
        <f t="shared" ca="1" si="218"/>
        <v>0</v>
      </c>
      <c r="K1087">
        <f t="shared" ca="1" si="219"/>
        <v>0</v>
      </c>
      <c r="L1087">
        <f t="shared" ca="1" si="213"/>
        <v>0</v>
      </c>
      <c r="M1087" t="str">
        <f t="shared" ca="1" si="220"/>
        <v>na</v>
      </c>
      <c r="N1087" t="str">
        <f t="shared" ca="1" si="221"/>
        <v>na</v>
      </c>
    </row>
    <row r="1088" spans="1:14" x14ac:dyDescent="0.2">
      <c r="A1088" vm="1933">
        <f ca="1"/>
        <v>45828</v>
      </c>
      <c r="B1088" vm="1934">
        <f ca="1"/>
        <v>45.5</v>
      </c>
      <c r="C1088">
        <f t="shared" ca="1" si="210"/>
        <v>0.43999999999999773</v>
      </c>
      <c r="D1088">
        <f t="shared" ca="1" si="211"/>
        <v>0.43999999999999773</v>
      </c>
      <c r="E1088">
        <f t="shared" ca="1" si="212"/>
        <v>0</v>
      </c>
      <c r="F1088">
        <f t="shared" ca="1" si="214"/>
        <v>0.25700249934054925</v>
      </c>
      <c r="G1088">
        <f t="shared" ca="1" si="215"/>
        <v>0.13849328298185823</v>
      </c>
      <c r="H1088">
        <f t="shared" ca="1" si="216"/>
        <v>1.8557037121736439</v>
      </c>
      <c r="I1088">
        <f t="shared" ca="1" si="217"/>
        <v>64.9823615896468</v>
      </c>
      <c r="J1088">
        <f t="shared" ca="1" si="218"/>
        <v>0</v>
      </c>
      <c r="K1088">
        <f t="shared" ca="1" si="219"/>
        <v>0</v>
      </c>
      <c r="L1088">
        <f t="shared" ca="1" si="213"/>
        <v>0</v>
      </c>
      <c r="M1088" t="str">
        <f t="shared" ca="1" si="220"/>
        <v>na</v>
      </c>
      <c r="N1088" t="str">
        <f t="shared" ca="1" si="221"/>
        <v>na</v>
      </c>
    </row>
    <row r="1089" spans="1:14" x14ac:dyDescent="0.2">
      <c r="A1089" vm="1935">
        <f ca="1"/>
        <v>45831</v>
      </c>
      <c r="B1089" vm="1776">
        <f ca="1"/>
        <v>46.3</v>
      </c>
      <c r="C1089">
        <f t="shared" ca="1" si="210"/>
        <v>0.79999999999999716</v>
      </c>
      <c r="D1089">
        <f t="shared" ca="1" si="211"/>
        <v>0.79999999999999716</v>
      </c>
      <c r="E1089">
        <f t="shared" ca="1" si="212"/>
        <v>0</v>
      </c>
      <c r="F1089">
        <f t="shared" ca="1" si="214"/>
        <v>0.29578803510193835</v>
      </c>
      <c r="G1089">
        <f t="shared" ca="1" si="215"/>
        <v>0.1286009056260112</v>
      </c>
      <c r="H1089">
        <f t="shared" ca="1" si="216"/>
        <v>2.3000462839828661</v>
      </c>
      <c r="I1089">
        <f t="shared" ca="1" si="217"/>
        <v>69.697394704625538</v>
      </c>
      <c r="J1089">
        <f t="shared" ca="1" si="218"/>
        <v>0</v>
      </c>
      <c r="K1089">
        <f t="shared" ca="1" si="219"/>
        <v>0</v>
      </c>
      <c r="L1089">
        <f t="shared" ca="1" si="213"/>
        <v>0</v>
      </c>
      <c r="M1089" t="str">
        <f t="shared" ca="1" si="220"/>
        <v>na</v>
      </c>
      <c r="N1089" t="str">
        <f t="shared" ca="1" si="221"/>
        <v>na</v>
      </c>
    </row>
    <row r="1090" spans="1:14" x14ac:dyDescent="0.2">
      <c r="A1090" vm="1936">
        <f ca="1"/>
        <v>45832</v>
      </c>
      <c r="B1090" vm="1763">
        <f ca="1"/>
        <v>46.66</v>
      </c>
      <c r="C1090">
        <f t="shared" ca="1" si="210"/>
        <v>0.35999999999999943</v>
      </c>
      <c r="D1090">
        <f t="shared" ca="1" si="211"/>
        <v>0.35999999999999943</v>
      </c>
      <c r="E1090">
        <f t="shared" ca="1" si="212"/>
        <v>0</v>
      </c>
      <c r="F1090">
        <f t="shared" ca="1" si="214"/>
        <v>0.30037460402322846</v>
      </c>
      <c r="G1090">
        <f t="shared" ca="1" si="215"/>
        <v>0.11941512665272469</v>
      </c>
      <c r="H1090">
        <f t="shared" ca="1" si="216"/>
        <v>2.5153815303211826</v>
      </c>
      <c r="I1090">
        <f t="shared" ca="1" si="217"/>
        <v>71.553585539017291</v>
      </c>
      <c r="J1090">
        <f t="shared" ca="1" si="218"/>
        <v>0</v>
      </c>
      <c r="K1090">
        <f t="shared" ca="1" si="219"/>
        <v>0</v>
      </c>
      <c r="L1090">
        <f t="shared" ca="1" si="213"/>
        <v>1</v>
      </c>
      <c r="M1090" t="str">
        <f t="shared" ca="1" si="220"/>
        <v>na</v>
      </c>
      <c r="N1090" t="str">
        <f t="shared" ca="1" si="221"/>
        <v>na</v>
      </c>
    </row>
    <row r="1091" spans="1:14" x14ac:dyDescent="0.2">
      <c r="A1091" vm="1937">
        <f ca="1"/>
        <v>45833</v>
      </c>
      <c r="B1091" vm="1938">
        <f ca="1"/>
        <v>46.85</v>
      </c>
      <c r="C1091">
        <f t="shared" ca="1" si="210"/>
        <v>0.19000000000000483</v>
      </c>
      <c r="D1091">
        <f t="shared" ca="1" si="211"/>
        <v>0.19000000000000483</v>
      </c>
      <c r="E1091">
        <f t="shared" ca="1" si="212"/>
        <v>0</v>
      </c>
      <c r="F1091">
        <f t="shared" ca="1" si="214"/>
        <v>0.29249070373585534</v>
      </c>
      <c r="G1091">
        <f t="shared" ca="1" si="215"/>
        <v>0.11088547474895864</v>
      </c>
      <c r="H1091">
        <f t="shared" ca="1" si="216"/>
        <v>2.63777293101775</v>
      </c>
      <c r="I1091">
        <f t="shared" ca="1" si="217"/>
        <v>72.510653661930817</v>
      </c>
      <c r="J1091">
        <f t="shared" ca="1" si="218"/>
        <v>0</v>
      </c>
      <c r="K1091">
        <f t="shared" ca="1" si="219"/>
        <v>0</v>
      </c>
      <c r="L1091">
        <f t="shared" ca="1" si="213"/>
        <v>1</v>
      </c>
      <c r="M1091" t="str">
        <f t="shared" ca="1" si="220"/>
        <v>na</v>
      </c>
      <c r="N1091" t="str">
        <f t="shared" ca="1" si="221"/>
        <v>na</v>
      </c>
    </row>
    <row r="1092" spans="1:14" x14ac:dyDescent="0.2">
      <c r="A1092" vm="1939">
        <f ca="1"/>
        <v>45834</v>
      </c>
      <c r="B1092" vm="1940">
        <f ca="1"/>
        <v>47.46</v>
      </c>
      <c r="C1092">
        <f t="shared" ca="1" si="210"/>
        <v>0.60999999999999943</v>
      </c>
      <c r="D1092">
        <f t="shared" ca="1" si="211"/>
        <v>0.60999999999999943</v>
      </c>
      <c r="E1092">
        <f t="shared" ca="1" si="212"/>
        <v>0</v>
      </c>
      <c r="F1092">
        <f t="shared" ca="1" si="214"/>
        <v>0.31516993918329422</v>
      </c>
      <c r="G1092">
        <f t="shared" ca="1" si="215"/>
        <v>0.1029650836954616</v>
      </c>
      <c r="H1092">
        <f t="shared" ca="1" si="216"/>
        <v>3.0609399601467615</v>
      </c>
      <c r="I1092">
        <f t="shared" ca="1" si="217"/>
        <v>75.375159204179411</v>
      </c>
      <c r="J1092">
        <f t="shared" ca="1" si="218"/>
        <v>0</v>
      </c>
      <c r="K1092">
        <f t="shared" ca="1" si="219"/>
        <v>0</v>
      </c>
      <c r="L1092">
        <f t="shared" ca="1" si="213"/>
        <v>1</v>
      </c>
      <c r="M1092" t="str">
        <f t="shared" ca="1" si="220"/>
        <v>na</v>
      </c>
      <c r="N1092" t="str">
        <f t="shared" ca="1" si="221"/>
        <v>na</v>
      </c>
    </row>
    <row r="1093" spans="1:14" x14ac:dyDescent="0.2">
      <c r="A1093" vm="1941">
        <f ca="1"/>
        <v>45835</v>
      </c>
      <c r="B1093" vm="1942">
        <f ca="1"/>
        <v>47.12</v>
      </c>
      <c r="C1093">
        <f t="shared" ca="1" si="210"/>
        <v>-0.34000000000000341</v>
      </c>
      <c r="D1093">
        <f t="shared" ca="1" si="211"/>
        <v>0</v>
      </c>
      <c r="E1093">
        <f t="shared" ca="1" si="212"/>
        <v>0.34000000000000341</v>
      </c>
      <c r="F1093">
        <f t="shared" ca="1" si="214"/>
        <v>0.29265780067020181</v>
      </c>
      <c r="G1093">
        <f t="shared" ca="1" si="215"/>
        <v>0.11989614914578603</v>
      </c>
      <c r="H1093">
        <f t="shared" ca="1" si="216"/>
        <v>2.4409274422512826</v>
      </c>
      <c r="I1093">
        <f t="shared" ca="1" si="217"/>
        <v>70.938067809249304</v>
      </c>
      <c r="J1093">
        <f t="shared" ca="1" si="218"/>
        <v>0</v>
      </c>
      <c r="K1093">
        <f t="shared" ca="1" si="219"/>
        <v>0</v>
      </c>
      <c r="L1093">
        <f t="shared" ca="1" si="213"/>
        <v>1</v>
      </c>
      <c r="M1093" t="str">
        <f t="shared" ca="1" si="220"/>
        <v>na</v>
      </c>
      <c r="N1093" t="str">
        <f t="shared" ca="1" si="221"/>
        <v>na</v>
      </c>
    </row>
    <row r="1094" spans="1:14" x14ac:dyDescent="0.2">
      <c r="A1094" vm="1943">
        <f ca="1"/>
        <v>45838</v>
      </c>
      <c r="B1094" vm="1944">
        <f ca="1"/>
        <v>47.32</v>
      </c>
      <c r="C1094">
        <f t="shared" ca="1" si="210"/>
        <v>0.20000000000000284</v>
      </c>
      <c r="D1094">
        <f t="shared" ca="1" si="211"/>
        <v>0.20000000000000284</v>
      </c>
      <c r="E1094">
        <f t="shared" ca="1" si="212"/>
        <v>0</v>
      </c>
      <c r="F1094">
        <f t="shared" ca="1" si="214"/>
        <v>0.28603938633661613</v>
      </c>
      <c r="G1094">
        <f t="shared" ca="1" si="215"/>
        <v>0.11133213849251559</v>
      </c>
      <c r="H1094">
        <f t="shared" ca="1" si="216"/>
        <v>2.5692436183272038</v>
      </c>
      <c r="I1094">
        <f t="shared" ca="1" si="217"/>
        <v>71.982859481341052</v>
      </c>
      <c r="J1094">
        <f t="shared" ca="1" si="218"/>
        <v>0</v>
      </c>
      <c r="K1094">
        <f t="shared" ca="1" si="219"/>
        <v>0</v>
      </c>
      <c r="L1094">
        <f t="shared" ca="1" si="213"/>
        <v>1</v>
      </c>
      <c r="M1094" t="str">
        <f t="shared" ca="1" si="220"/>
        <v>na</v>
      </c>
      <c r="N1094" t="str">
        <f t="shared" ca="1" si="221"/>
        <v>na</v>
      </c>
    </row>
    <row r="1095" spans="1:14" x14ac:dyDescent="0.2">
      <c r="A1095" vm="1945">
        <f ca="1"/>
        <v>45839</v>
      </c>
      <c r="B1095" vm="1946">
        <f ca="1"/>
        <v>48.15</v>
      </c>
      <c r="C1095">
        <f t="shared" ca="1" si="210"/>
        <v>0.82999999999999829</v>
      </c>
      <c r="D1095">
        <f t="shared" ca="1" si="211"/>
        <v>0.82999999999999829</v>
      </c>
      <c r="E1095">
        <f t="shared" ca="1" si="212"/>
        <v>0</v>
      </c>
      <c r="F1095">
        <f t="shared" ca="1" si="214"/>
        <v>0.32489371588400051</v>
      </c>
      <c r="G1095">
        <f t="shared" ca="1" si="215"/>
        <v>0.10337984288590733</v>
      </c>
      <c r="H1095">
        <f t="shared" ca="1" si="216"/>
        <v>3.1427182206357349</v>
      </c>
      <c r="I1095">
        <f t="shared" ca="1" si="217"/>
        <v>75.861259522339864</v>
      </c>
      <c r="J1095">
        <f t="shared" ca="1" si="218"/>
        <v>0</v>
      </c>
      <c r="K1095">
        <f t="shared" ca="1" si="219"/>
        <v>0</v>
      </c>
      <c r="L1095">
        <f t="shared" ca="1" si="213"/>
        <v>1</v>
      </c>
      <c r="M1095" t="str">
        <f t="shared" ca="1" si="220"/>
        <v>na</v>
      </c>
      <c r="N1095" t="str">
        <f t="shared" ca="1" si="221"/>
        <v>na</v>
      </c>
    </row>
    <row r="1096" spans="1:14" x14ac:dyDescent="0.2">
      <c r="A1096" vm="1947">
        <f ca="1"/>
        <v>45840</v>
      </c>
      <c r="B1096" vm="1948">
        <f ca="1"/>
        <v>48.71</v>
      </c>
      <c r="C1096">
        <f t="shared" ca="1" si="210"/>
        <v>0.56000000000000227</v>
      </c>
      <c r="D1096">
        <f t="shared" ca="1" si="211"/>
        <v>0.56000000000000227</v>
      </c>
      <c r="E1096">
        <f t="shared" ca="1" si="212"/>
        <v>0</v>
      </c>
      <c r="F1096">
        <f t="shared" ca="1" si="214"/>
        <v>0.34168702189228639</v>
      </c>
      <c r="G1096">
        <f t="shared" ca="1" si="215"/>
        <v>9.5995568394056804E-2</v>
      </c>
      <c r="H1096">
        <f t="shared" ca="1" si="216"/>
        <v>3.559404122591149</v>
      </c>
      <c r="I1096">
        <f t="shared" ca="1" si="217"/>
        <v>78.067309387093957</v>
      </c>
      <c r="J1096">
        <f t="shared" ca="1" si="218"/>
        <v>0</v>
      </c>
      <c r="K1096">
        <f t="shared" ca="1" si="219"/>
        <v>0</v>
      </c>
      <c r="L1096">
        <f t="shared" ca="1" si="213"/>
        <v>1</v>
      </c>
      <c r="M1096" t="str">
        <f t="shared" ca="1" si="220"/>
        <v>na</v>
      </c>
      <c r="N1096" t="str">
        <f t="shared" ca="1" si="221"/>
        <v>na</v>
      </c>
    </row>
    <row r="1097" spans="1:14" x14ac:dyDescent="0.2">
      <c r="A1097" vm="1949">
        <f ca="1"/>
        <v>45841</v>
      </c>
      <c r="B1097" vm="433">
        <f ca="1"/>
        <v>48.93</v>
      </c>
      <c r="C1097">
        <f t="shared" ref="C1097:C1160" ca="1" si="222">B1097-B1096</f>
        <v>0.21999999999999886</v>
      </c>
      <c r="D1097">
        <f t="shared" ref="D1097:D1160" ca="1" si="223">IF(C1097&gt;0,C1097,0)</f>
        <v>0.21999999999999886</v>
      </c>
      <c r="E1097">
        <f t="shared" ref="E1097:E1160" ca="1" si="224">IF(C1097&lt;0,ABS(C1097),0)</f>
        <v>0</v>
      </c>
      <c r="F1097">
        <f t="shared" ca="1" si="214"/>
        <v>0.332995091757123</v>
      </c>
      <c r="G1097">
        <f t="shared" ca="1" si="215"/>
        <v>8.9138742080195593E-2</v>
      </c>
      <c r="H1097">
        <f t="shared" ca="1" si="216"/>
        <v>3.7356943118799766</v>
      </c>
      <c r="I1097">
        <f t="shared" ca="1" si="217"/>
        <v>78.883772174834064</v>
      </c>
      <c r="J1097">
        <f t="shared" ca="1" si="218"/>
        <v>0</v>
      </c>
      <c r="K1097">
        <f t="shared" ca="1" si="219"/>
        <v>0</v>
      </c>
      <c r="L1097">
        <f t="shared" ca="1" si="213"/>
        <v>1</v>
      </c>
      <c r="M1097" t="str">
        <f t="shared" ca="1" si="220"/>
        <v>na</v>
      </c>
      <c r="N1097" t="str">
        <f t="shared" ca="1" si="221"/>
        <v>na</v>
      </c>
    </row>
    <row r="1098" spans="1:14" x14ac:dyDescent="0.2">
      <c r="A1098" vm="1950">
        <f ca="1"/>
        <v>45845</v>
      </c>
      <c r="B1098" vm="1951">
        <f ca="1"/>
        <v>48.66</v>
      </c>
      <c r="C1098">
        <f t="shared" ca="1" si="222"/>
        <v>-0.27000000000000313</v>
      </c>
      <c r="D1098">
        <f t="shared" ca="1" si="223"/>
        <v>0</v>
      </c>
      <c r="E1098">
        <f t="shared" ca="1" si="224"/>
        <v>0.27000000000000313</v>
      </c>
      <c r="F1098">
        <f t="shared" ca="1" si="214"/>
        <v>0.30920972806018565</v>
      </c>
      <c r="G1098">
        <f t="shared" ca="1" si="215"/>
        <v>0.10205740336018185</v>
      </c>
      <c r="H1098">
        <f t="shared" ca="1" si="216"/>
        <v>3.029762838163931</v>
      </c>
      <c r="I1098">
        <f t="shared" ca="1" si="217"/>
        <v>75.18464385721451</v>
      </c>
      <c r="J1098">
        <f t="shared" ca="1" si="218"/>
        <v>0</v>
      </c>
      <c r="K1098">
        <f t="shared" ca="1" si="219"/>
        <v>0</v>
      </c>
      <c r="L1098">
        <f t="shared" ca="1" si="213"/>
        <v>1</v>
      </c>
      <c r="M1098" t="str">
        <f t="shared" ca="1" si="220"/>
        <v>na</v>
      </c>
      <c r="N1098" t="str">
        <f t="shared" ca="1" si="221"/>
        <v>na</v>
      </c>
    </row>
    <row r="1099" spans="1:14" x14ac:dyDescent="0.2">
      <c r="A1099" vm="1952">
        <f ca="1"/>
        <v>45846</v>
      </c>
      <c r="B1099" vm="1953">
        <f ca="1"/>
        <v>47.15</v>
      </c>
      <c r="C1099">
        <f t="shared" ca="1" si="222"/>
        <v>-1.509999999999998</v>
      </c>
      <c r="D1099">
        <f t="shared" ca="1" si="223"/>
        <v>0</v>
      </c>
      <c r="E1099">
        <f t="shared" ca="1" si="224"/>
        <v>1.509999999999998</v>
      </c>
      <c r="F1099">
        <f t="shared" ca="1" si="214"/>
        <v>0.28712331891302956</v>
      </c>
      <c r="G1099">
        <f t="shared" ca="1" si="215"/>
        <v>0.20262473169159728</v>
      </c>
      <c r="H1099">
        <f t="shared" ca="1" si="216"/>
        <v>1.4170201066572783</v>
      </c>
      <c r="I1099">
        <f t="shared" ca="1" si="217"/>
        <v>58.626740537008075</v>
      </c>
      <c r="J1099">
        <f t="shared" ca="1" si="218"/>
        <v>0</v>
      </c>
      <c r="K1099">
        <f t="shared" ca="1" si="219"/>
        <v>0</v>
      </c>
      <c r="L1099">
        <f t="shared" ca="1" si="213"/>
        <v>0</v>
      </c>
      <c r="M1099" t="str">
        <f t="shared" ca="1" si="220"/>
        <v>na</v>
      </c>
      <c r="N1099" t="str">
        <f t="shared" ca="1" si="221"/>
        <v>na</v>
      </c>
    </row>
    <row r="1100" spans="1:14" x14ac:dyDescent="0.2">
      <c r="A1100" vm="1954">
        <f ca="1"/>
        <v>45847</v>
      </c>
      <c r="B1100" vm="1772">
        <f ca="1"/>
        <v>46.84</v>
      </c>
      <c r="C1100">
        <f t="shared" ca="1" si="222"/>
        <v>-0.30999999999999517</v>
      </c>
      <c r="D1100">
        <f t="shared" ca="1" si="223"/>
        <v>0</v>
      </c>
      <c r="E1100">
        <f t="shared" ca="1" si="224"/>
        <v>0.30999999999999517</v>
      </c>
      <c r="F1100">
        <f t="shared" ca="1" si="214"/>
        <v>0.26661451041924172</v>
      </c>
      <c r="G1100">
        <f t="shared" ca="1" si="215"/>
        <v>0.21029439371362571</v>
      </c>
      <c r="H1100">
        <f t="shared" ca="1" si="216"/>
        <v>1.2678155880004653</v>
      </c>
      <c r="I1100">
        <f t="shared" ca="1" si="217"/>
        <v>55.904703835213482</v>
      </c>
      <c r="J1100">
        <f t="shared" ca="1" si="218"/>
        <v>0</v>
      </c>
      <c r="K1100">
        <f t="shared" ca="1" si="219"/>
        <v>0</v>
      </c>
      <c r="L1100">
        <f t="shared" ca="1" si="213"/>
        <v>0</v>
      </c>
      <c r="M1100" t="str">
        <f t="shared" ca="1" si="220"/>
        <v>na</v>
      </c>
      <c r="N1100" t="str">
        <f t="shared" ca="1" si="221"/>
        <v>na</v>
      </c>
    </row>
    <row r="1101" spans="1:14" x14ac:dyDescent="0.2">
      <c r="A1101" vm="1955">
        <f ca="1"/>
        <v>45848</v>
      </c>
      <c r="B1101" vm="351">
        <f ca="1"/>
        <v>46.97</v>
      </c>
      <c r="C1101">
        <f t="shared" ca="1" si="222"/>
        <v>0.12999999999999545</v>
      </c>
      <c r="D1101">
        <f t="shared" ca="1" si="223"/>
        <v>0.12999999999999545</v>
      </c>
      <c r="E1101">
        <f t="shared" ca="1" si="224"/>
        <v>0</v>
      </c>
      <c r="F1101">
        <f t="shared" ca="1" si="214"/>
        <v>0.2568563311035813</v>
      </c>
      <c r="G1101">
        <f t="shared" ca="1" si="215"/>
        <v>0.19527336559122385</v>
      </c>
      <c r="H1101">
        <f t="shared" ca="1" si="216"/>
        <v>1.3153679731278476</v>
      </c>
      <c r="I1101">
        <f t="shared" ca="1" si="217"/>
        <v>56.81032079539856</v>
      </c>
      <c r="J1101">
        <f t="shared" ca="1" si="218"/>
        <v>0</v>
      </c>
      <c r="K1101">
        <f t="shared" ca="1" si="219"/>
        <v>0</v>
      </c>
      <c r="L1101">
        <f t="shared" ca="1" si="213"/>
        <v>0</v>
      </c>
      <c r="M1101" t="str">
        <f t="shared" ca="1" si="220"/>
        <v>na</v>
      </c>
      <c r="N1101" t="str">
        <f t="shared" ca="1" si="221"/>
        <v>na</v>
      </c>
    </row>
    <row r="1102" spans="1:14" x14ac:dyDescent="0.2">
      <c r="A1102" vm="1956">
        <f ca="1"/>
        <v>45849</v>
      </c>
      <c r="B1102" vm="1957">
        <f ca="1"/>
        <v>46.73</v>
      </c>
      <c r="C1102">
        <f t="shared" ca="1" si="222"/>
        <v>-0.24000000000000199</v>
      </c>
      <c r="D1102">
        <f t="shared" ca="1" si="223"/>
        <v>0</v>
      </c>
      <c r="E1102">
        <f t="shared" ca="1" si="224"/>
        <v>0.24000000000000199</v>
      </c>
      <c r="F1102">
        <f t="shared" ca="1" si="214"/>
        <v>0.23850945031046836</v>
      </c>
      <c r="G1102">
        <f t="shared" ca="1" si="215"/>
        <v>0.19846812519185084</v>
      </c>
      <c r="H1102">
        <f t="shared" ca="1" si="216"/>
        <v>1.2017519190041788</v>
      </c>
      <c r="I1102">
        <f t="shared" ca="1" si="217"/>
        <v>54.581622417647949</v>
      </c>
      <c r="J1102">
        <f t="shared" ca="1" si="218"/>
        <v>0</v>
      </c>
      <c r="K1102">
        <f t="shared" ca="1" si="219"/>
        <v>0</v>
      </c>
      <c r="L1102">
        <f t="shared" ca="1" si="213"/>
        <v>0</v>
      </c>
      <c r="M1102" t="str">
        <f t="shared" ca="1" si="220"/>
        <v>na</v>
      </c>
      <c r="N1102" t="str">
        <f t="shared" ca="1" si="221"/>
        <v>na</v>
      </c>
    </row>
    <row r="1103" spans="1:14" x14ac:dyDescent="0.2">
      <c r="A1103" vm="1958">
        <f ca="1"/>
        <v>45852</v>
      </c>
      <c r="B1103" vm="1959">
        <f ca="1"/>
        <v>47.07</v>
      </c>
      <c r="C1103">
        <f t="shared" ca="1" si="222"/>
        <v>0.34000000000000341</v>
      </c>
      <c r="D1103">
        <f t="shared" ca="1" si="223"/>
        <v>0.34000000000000341</v>
      </c>
      <c r="E1103">
        <f t="shared" ca="1" si="224"/>
        <v>0</v>
      </c>
      <c r="F1103">
        <f t="shared" ca="1" si="214"/>
        <v>0.24575877528829229</v>
      </c>
      <c r="G1103">
        <f t="shared" ca="1" si="215"/>
        <v>0.18429183053529005</v>
      </c>
      <c r="H1103">
        <f t="shared" ca="1" si="216"/>
        <v>1.3335304911480161</v>
      </c>
      <c r="I1103">
        <f t="shared" ca="1" si="217"/>
        <v>57.146478102883727</v>
      </c>
      <c r="J1103">
        <f t="shared" ca="1" si="218"/>
        <v>0</v>
      </c>
      <c r="K1103">
        <f t="shared" ca="1" si="219"/>
        <v>0</v>
      </c>
      <c r="L1103">
        <f t="shared" ca="1" si="213"/>
        <v>0</v>
      </c>
      <c r="M1103" t="str">
        <f t="shared" ca="1" si="220"/>
        <v>na</v>
      </c>
      <c r="N1103" t="str">
        <f t="shared" ca="1" si="221"/>
        <v>na</v>
      </c>
    </row>
    <row r="1104" spans="1:14" x14ac:dyDescent="0.2">
      <c r="A1104" vm="1960">
        <f ca="1"/>
        <v>45853</v>
      </c>
      <c r="B1104" vm="1961">
        <f ca="1"/>
        <v>46.15</v>
      </c>
      <c r="C1104">
        <f t="shared" ca="1" si="222"/>
        <v>-0.92000000000000171</v>
      </c>
      <c r="D1104">
        <f t="shared" ca="1" si="223"/>
        <v>0</v>
      </c>
      <c r="E1104">
        <f t="shared" ca="1" si="224"/>
        <v>0.92000000000000171</v>
      </c>
      <c r="F1104">
        <f t="shared" ca="1" si="214"/>
        <v>0.22820457705341426</v>
      </c>
      <c r="G1104">
        <f t="shared" ca="1" si="215"/>
        <v>0.23684241406848375</v>
      </c>
      <c r="H1104">
        <f t="shared" ca="1" si="216"/>
        <v>0.9635291801553254</v>
      </c>
      <c r="I1104">
        <f t="shared" ca="1" si="217"/>
        <v>49.071294172419947</v>
      </c>
      <c r="J1104">
        <f t="shared" ca="1" si="218"/>
        <v>0</v>
      </c>
      <c r="K1104">
        <f t="shared" ca="1" si="219"/>
        <v>0</v>
      </c>
      <c r="L1104">
        <f t="shared" ca="1" si="213"/>
        <v>0</v>
      </c>
      <c r="M1104" t="str">
        <f t="shared" ca="1" si="220"/>
        <v>na</v>
      </c>
      <c r="N1104" t="str">
        <f t="shared" ca="1" si="221"/>
        <v>na</v>
      </c>
    </row>
    <row r="1105" spans="1:14" x14ac:dyDescent="0.2">
      <c r="A1105" vm="1962">
        <f ca="1"/>
        <v>45854</v>
      </c>
      <c r="B1105" vm="1963">
        <f ca="1"/>
        <v>46.03</v>
      </c>
      <c r="C1105">
        <f t="shared" ca="1" si="222"/>
        <v>-0.11999999999999744</v>
      </c>
      <c r="D1105">
        <f t="shared" ca="1" si="223"/>
        <v>0</v>
      </c>
      <c r="E1105">
        <f t="shared" ca="1" si="224"/>
        <v>0.11999999999999744</v>
      </c>
      <c r="F1105">
        <f t="shared" ca="1" si="214"/>
        <v>0.21190425012102754</v>
      </c>
      <c r="G1105">
        <f t="shared" ca="1" si="215"/>
        <v>0.22849652734930617</v>
      </c>
      <c r="H1105">
        <f t="shared" ca="1" si="216"/>
        <v>0.92738499170749422</v>
      </c>
      <c r="I1105">
        <f t="shared" ca="1" si="217"/>
        <v>48.116229798277743</v>
      </c>
      <c r="J1105">
        <f t="shared" ca="1" si="218"/>
        <v>0</v>
      </c>
      <c r="K1105">
        <f t="shared" ca="1" si="219"/>
        <v>0</v>
      </c>
      <c r="L1105">
        <f t="shared" ca="1" si="213"/>
        <v>0</v>
      </c>
      <c r="M1105" t="str">
        <f t="shared" ca="1" si="220"/>
        <v>na</v>
      </c>
      <c r="N1105" t="str">
        <f t="shared" ca="1" si="221"/>
        <v>na</v>
      </c>
    </row>
    <row r="1106" spans="1:14" x14ac:dyDescent="0.2">
      <c r="A1106" vm="1964">
        <f ca="1"/>
        <v>45855</v>
      </c>
      <c r="B1106" vm="1965">
        <f ca="1"/>
        <v>47.02</v>
      </c>
      <c r="C1106">
        <f t="shared" ca="1" si="222"/>
        <v>0.99000000000000199</v>
      </c>
      <c r="D1106">
        <f t="shared" ca="1" si="223"/>
        <v>0.99000000000000199</v>
      </c>
      <c r="E1106">
        <f t="shared" ca="1" si="224"/>
        <v>0</v>
      </c>
      <c r="F1106">
        <f t="shared" ca="1" si="214"/>
        <v>0.26748251796952571</v>
      </c>
      <c r="G1106">
        <f t="shared" ca="1" si="215"/>
        <v>0.21217534682435574</v>
      </c>
      <c r="H1106">
        <f t="shared" ca="1" si="216"/>
        <v>1.2606672828533405</v>
      </c>
      <c r="I1106">
        <f t="shared" ca="1" si="217"/>
        <v>55.765273041956327</v>
      </c>
      <c r="J1106">
        <f t="shared" ca="1" si="218"/>
        <v>0</v>
      </c>
      <c r="K1106">
        <f t="shared" ca="1" si="219"/>
        <v>0</v>
      </c>
      <c r="L1106">
        <f t="shared" ca="1" si="213"/>
        <v>0</v>
      </c>
      <c r="M1106" t="str">
        <f t="shared" ca="1" si="220"/>
        <v>na</v>
      </c>
      <c r="N1106" t="str">
        <f t="shared" ca="1" si="221"/>
        <v>na</v>
      </c>
    </row>
    <row r="1107" spans="1:14" x14ac:dyDescent="0.2">
      <c r="A1107" vm="1966">
        <f ca="1"/>
        <v>45856</v>
      </c>
      <c r="B1107" vm="1944">
        <f ca="1"/>
        <v>47.32</v>
      </c>
      <c r="C1107">
        <f t="shared" ca="1" si="222"/>
        <v>0.29999999999999716</v>
      </c>
      <c r="D1107">
        <f t="shared" ca="1" si="223"/>
        <v>0.29999999999999716</v>
      </c>
      <c r="E1107">
        <f t="shared" ca="1" si="224"/>
        <v>0</v>
      </c>
      <c r="F1107">
        <f t="shared" ca="1" si="214"/>
        <v>0.26980519525741653</v>
      </c>
      <c r="G1107">
        <f t="shared" ca="1" si="215"/>
        <v>0.19701996490833035</v>
      </c>
      <c r="H1107">
        <f t="shared" ca="1" si="216"/>
        <v>1.3694307345093264</v>
      </c>
      <c r="I1107">
        <f t="shared" ca="1" si="217"/>
        <v>57.795769868449653</v>
      </c>
      <c r="J1107">
        <f t="shared" ca="1" si="218"/>
        <v>0</v>
      </c>
      <c r="K1107">
        <f t="shared" ca="1" si="219"/>
        <v>0</v>
      </c>
      <c r="L1107">
        <f t="shared" ca="1" si="213"/>
        <v>0</v>
      </c>
      <c r="M1107" t="str">
        <f t="shared" ca="1" si="220"/>
        <v>na</v>
      </c>
      <c r="N1107" t="str">
        <f t="shared" ca="1" si="221"/>
        <v>na</v>
      </c>
    </row>
    <row r="1108" spans="1:14" x14ac:dyDescent="0.2">
      <c r="A1108" vm="1967">
        <f ca="1"/>
        <v>45859</v>
      </c>
      <c r="B1108" vm="1968">
        <f ca="1"/>
        <v>47.48</v>
      </c>
      <c r="C1108">
        <f t="shared" ca="1" si="222"/>
        <v>0.15999999999999659</v>
      </c>
      <c r="D1108">
        <f t="shared" ca="1" si="223"/>
        <v>0.15999999999999659</v>
      </c>
      <c r="E1108">
        <f t="shared" ca="1" si="224"/>
        <v>0</v>
      </c>
      <c r="F1108">
        <f t="shared" ca="1" si="214"/>
        <v>0.26196196702474367</v>
      </c>
      <c r="G1108">
        <f t="shared" ca="1" si="215"/>
        <v>0.18294711027202104</v>
      </c>
      <c r="H1108">
        <f t="shared" ca="1" si="216"/>
        <v>1.4318999990501995</v>
      </c>
      <c r="I1108">
        <f t="shared" ca="1" si="217"/>
        <v>58.879888137235945</v>
      </c>
      <c r="J1108">
        <f t="shared" ca="1" si="218"/>
        <v>0</v>
      </c>
      <c r="K1108">
        <f t="shared" ca="1" si="219"/>
        <v>0</v>
      </c>
      <c r="L1108">
        <f t="shared" ca="1" si="213"/>
        <v>0</v>
      </c>
      <c r="M1108" t="str">
        <f t="shared" ca="1" si="220"/>
        <v>na</v>
      </c>
      <c r="N1108" t="str">
        <f t="shared" ca="1" si="221"/>
        <v>na</v>
      </c>
    </row>
    <row r="1109" spans="1:14" x14ac:dyDescent="0.2">
      <c r="A1109" vm="1969">
        <f ca="1"/>
        <v>45860</v>
      </c>
      <c r="B1109" vm="1709">
        <f ca="1"/>
        <v>47.77</v>
      </c>
      <c r="C1109">
        <f t="shared" ca="1" si="222"/>
        <v>0.29000000000000625</v>
      </c>
      <c r="D1109">
        <f t="shared" ca="1" si="223"/>
        <v>0.29000000000000625</v>
      </c>
      <c r="E1109">
        <f t="shared" ca="1" si="224"/>
        <v>0</v>
      </c>
      <c r="F1109">
        <f t="shared" ca="1" si="214"/>
        <v>0.26396468366583387</v>
      </c>
      <c r="G1109">
        <f t="shared" ca="1" si="215"/>
        <v>0.16987945953830527</v>
      </c>
      <c r="H1109">
        <f t="shared" ca="1" si="216"/>
        <v>1.5538351981059475</v>
      </c>
      <c r="I1109">
        <f t="shared" ca="1" si="217"/>
        <v>60.843205515310842</v>
      </c>
      <c r="J1109">
        <f t="shared" ca="1" si="218"/>
        <v>0</v>
      </c>
      <c r="K1109">
        <f t="shared" ca="1" si="219"/>
        <v>0</v>
      </c>
      <c r="L1109">
        <f t="shared" ca="1" si="213"/>
        <v>0</v>
      </c>
      <c r="M1109" t="str">
        <f t="shared" ca="1" si="220"/>
        <v>na</v>
      </c>
      <c r="N1109" t="str">
        <f t="shared" ca="1" si="221"/>
        <v>na</v>
      </c>
    </row>
    <row r="1110" spans="1:14" x14ac:dyDescent="0.2">
      <c r="A1110" vm="1970">
        <f ca="1"/>
        <v>45861</v>
      </c>
      <c r="B1110" vm="1971">
        <f ca="1"/>
        <v>48.14</v>
      </c>
      <c r="C1110">
        <f t="shared" ca="1" si="222"/>
        <v>0.36999999999999744</v>
      </c>
      <c r="D1110">
        <f t="shared" ca="1" si="223"/>
        <v>0.36999999999999744</v>
      </c>
      <c r="E1110">
        <f t="shared" ca="1" si="224"/>
        <v>0</v>
      </c>
      <c r="F1110">
        <f t="shared" ca="1" si="214"/>
        <v>0.27153863483255986</v>
      </c>
      <c r="G1110">
        <f t="shared" ca="1" si="215"/>
        <v>0.15774521242842635</v>
      </c>
      <c r="H1110">
        <f t="shared" ca="1" si="216"/>
        <v>1.721374808479623</v>
      </c>
      <c r="I1110">
        <f t="shared" ca="1" si="217"/>
        <v>63.253867240776003</v>
      </c>
      <c r="J1110">
        <f t="shared" ca="1" si="218"/>
        <v>0</v>
      </c>
      <c r="K1110">
        <f t="shared" ca="1" si="219"/>
        <v>0</v>
      </c>
      <c r="L1110">
        <f t="shared" ref="L1110:L1173" ca="1" si="225">IF(I1110&gt;$C$3,1,0)</f>
        <v>0</v>
      </c>
      <c r="M1110" t="str">
        <f t="shared" ca="1" si="220"/>
        <v>na</v>
      </c>
      <c r="N1110" t="str">
        <f t="shared" ca="1" si="221"/>
        <v>na</v>
      </c>
    </row>
    <row r="1111" spans="1:14" x14ac:dyDescent="0.2">
      <c r="A1111" vm="1972">
        <f ca="1"/>
        <v>45862</v>
      </c>
      <c r="B1111" vm="1973">
        <f ca="1"/>
        <v>48.39</v>
      </c>
      <c r="C1111">
        <f t="shared" ca="1" si="222"/>
        <v>0.25</v>
      </c>
      <c r="D1111">
        <f t="shared" ca="1" si="223"/>
        <v>0.25</v>
      </c>
      <c r="E1111">
        <f t="shared" ca="1" si="224"/>
        <v>0</v>
      </c>
      <c r="F1111">
        <f t="shared" ref="F1111:F1174" ca="1" si="226">((F1110*13)+D1111)/14</f>
        <v>0.27000016091594842</v>
      </c>
      <c r="G1111">
        <f t="shared" ref="G1111:G1174" ca="1" si="227">((G1110*13)+E1111)/14</f>
        <v>0.14647769725496732</v>
      </c>
      <c r="H1111">
        <f t="shared" ref="H1111:H1174" ca="1" si="228">AVERAGE(F1111/G1111)</f>
        <v>1.8432851278783484</v>
      </c>
      <c r="I1111">
        <f t="shared" ref="I1111:I1174" ca="1" si="229">IF(G1111=0,100,100-(100/(1+H1111)))</f>
        <v>64.829415446413662</v>
      </c>
      <c r="J1111">
        <f t="shared" ca="1" si="218"/>
        <v>0</v>
      </c>
      <c r="K1111">
        <f t="shared" ca="1" si="219"/>
        <v>0</v>
      </c>
      <c r="L1111">
        <f t="shared" ca="1" si="225"/>
        <v>0</v>
      </c>
      <c r="M1111" t="str">
        <f t="shared" ca="1" si="220"/>
        <v>na</v>
      </c>
      <c r="N1111" t="str">
        <f t="shared" ca="1" si="221"/>
        <v>na</v>
      </c>
    </row>
    <row r="1112" spans="1:14" x14ac:dyDescent="0.2">
      <c r="A1112" vm="1974">
        <f ca="1"/>
        <v>45863</v>
      </c>
      <c r="B1112" vm="1975">
        <f ca="1"/>
        <v>48.45</v>
      </c>
      <c r="C1112">
        <f t="shared" ca="1" si="222"/>
        <v>6.0000000000002274E-2</v>
      </c>
      <c r="D1112">
        <f t="shared" ca="1" si="223"/>
        <v>6.0000000000002274E-2</v>
      </c>
      <c r="E1112">
        <f t="shared" ca="1" si="224"/>
        <v>0</v>
      </c>
      <c r="F1112">
        <f t="shared" ca="1" si="226"/>
        <v>0.25500014942195226</v>
      </c>
      <c r="G1112">
        <f t="shared" ca="1" si="227"/>
        <v>0.13601500459389823</v>
      </c>
      <c r="H1112">
        <f t="shared" ca="1" si="228"/>
        <v>1.8747942565844815</v>
      </c>
      <c r="I1112">
        <f t="shared" ca="1" si="229"/>
        <v>65.214901980912828</v>
      </c>
      <c r="J1112">
        <f t="shared" ref="J1112:J1175" ca="1" si="230">IF(K1112=1,1,IF(L1112=1,0,IF(J1111=1,1,0)))</f>
        <v>0</v>
      </c>
      <c r="K1112">
        <f t="shared" ref="K1112:K1175" ca="1" si="231">IF(I1112&lt;$B$3,1,0)</f>
        <v>0</v>
      </c>
      <c r="L1112">
        <f t="shared" ca="1" si="225"/>
        <v>0</v>
      </c>
      <c r="M1112" t="str">
        <f t="shared" ref="M1112:M1175" ca="1" si="232">IF(AND(K1112=1,J1111=0),B1112,"na")</f>
        <v>na</v>
      </c>
      <c r="N1112" t="str">
        <f t="shared" ref="N1112:N1175" ca="1" si="233">IF(AND(L1112=1,J1111=1),B1112,"na")</f>
        <v>na</v>
      </c>
    </row>
    <row r="1113" spans="1:14" x14ac:dyDescent="0.2">
      <c r="A1113" vm="1976">
        <f ca="1"/>
        <v>45866</v>
      </c>
      <c r="B1113" vm="1977">
        <f ca="1"/>
        <v>48.23</v>
      </c>
      <c r="C1113">
        <f t="shared" ca="1" si="222"/>
        <v>-0.22000000000000597</v>
      </c>
      <c r="D1113">
        <f t="shared" ca="1" si="223"/>
        <v>0</v>
      </c>
      <c r="E1113">
        <f t="shared" ca="1" si="224"/>
        <v>0.22000000000000597</v>
      </c>
      <c r="F1113">
        <f t="shared" ca="1" si="226"/>
        <v>0.23678585303466995</v>
      </c>
      <c r="G1113">
        <f t="shared" ca="1" si="227"/>
        <v>0.14201393283719163</v>
      </c>
      <c r="H1113">
        <f t="shared" ca="1" si="228"/>
        <v>1.667342410030481</v>
      </c>
      <c r="I1113">
        <f t="shared" ca="1" si="229"/>
        <v>62.509500233658699</v>
      </c>
      <c r="J1113">
        <f t="shared" ca="1" si="230"/>
        <v>0</v>
      </c>
      <c r="K1113">
        <f t="shared" ca="1" si="231"/>
        <v>0</v>
      </c>
      <c r="L1113">
        <f t="shared" ca="1" si="225"/>
        <v>0</v>
      </c>
      <c r="M1113" t="str">
        <f t="shared" ca="1" si="232"/>
        <v>na</v>
      </c>
      <c r="N1113" t="str">
        <f t="shared" ca="1" si="233"/>
        <v>na</v>
      </c>
    </row>
    <row r="1114" spans="1:14" x14ac:dyDescent="0.2">
      <c r="A1114" vm="1978">
        <f ca="1"/>
        <v>45867</v>
      </c>
      <c r="B1114" vm="1979">
        <f ca="1"/>
        <v>47.95</v>
      </c>
      <c r="C1114">
        <f t="shared" ca="1" si="222"/>
        <v>-0.27999999999999403</v>
      </c>
      <c r="D1114">
        <f t="shared" ca="1" si="223"/>
        <v>0</v>
      </c>
      <c r="E1114">
        <f t="shared" ca="1" si="224"/>
        <v>0.27999999999999403</v>
      </c>
      <c r="F1114">
        <f t="shared" ca="1" si="226"/>
        <v>0.21987257781790781</v>
      </c>
      <c r="G1114">
        <f t="shared" ca="1" si="227"/>
        <v>0.15187008049167749</v>
      </c>
      <c r="H1114">
        <f t="shared" ca="1" si="228"/>
        <v>1.4477675728232517</v>
      </c>
      <c r="I1114">
        <f t="shared" ca="1" si="229"/>
        <v>59.146447926565131</v>
      </c>
      <c r="J1114">
        <f t="shared" ca="1" si="230"/>
        <v>0</v>
      </c>
      <c r="K1114">
        <f t="shared" ca="1" si="231"/>
        <v>0</v>
      </c>
      <c r="L1114">
        <f t="shared" ca="1" si="225"/>
        <v>0</v>
      </c>
      <c r="M1114" t="str">
        <f t="shared" ca="1" si="232"/>
        <v>na</v>
      </c>
      <c r="N1114" t="str">
        <f t="shared" ca="1" si="233"/>
        <v>na</v>
      </c>
    </row>
    <row r="1115" spans="1:14" x14ac:dyDescent="0.2">
      <c r="A1115" vm="1980">
        <f ca="1"/>
        <v>45868</v>
      </c>
      <c r="B1115" vm="336">
        <f ca="1"/>
        <v>47.96</v>
      </c>
      <c r="C1115">
        <f t="shared" ca="1" si="222"/>
        <v>9.9999999999980105E-3</v>
      </c>
      <c r="D1115">
        <f t="shared" ca="1" si="223"/>
        <v>9.9999999999980105E-3</v>
      </c>
      <c r="E1115">
        <f t="shared" ca="1" si="224"/>
        <v>0</v>
      </c>
      <c r="F1115">
        <f t="shared" ca="1" si="226"/>
        <v>0.20488167940234284</v>
      </c>
      <c r="G1115">
        <f t="shared" ca="1" si="227"/>
        <v>0.14102221759941483</v>
      </c>
      <c r="H1115">
        <f t="shared" ca="1" si="228"/>
        <v>1.4528326308435033</v>
      </c>
      <c r="I1115">
        <f t="shared" ca="1" si="229"/>
        <v>59.230809822677934</v>
      </c>
      <c r="J1115">
        <f t="shared" ca="1" si="230"/>
        <v>0</v>
      </c>
      <c r="K1115">
        <f t="shared" ca="1" si="231"/>
        <v>0</v>
      </c>
      <c r="L1115">
        <f t="shared" ca="1" si="225"/>
        <v>0</v>
      </c>
      <c r="M1115" t="str">
        <f t="shared" ca="1" si="232"/>
        <v>na</v>
      </c>
      <c r="N1115" t="str">
        <f t="shared" ca="1" si="233"/>
        <v>na</v>
      </c>
    </row>
    <row r="1116" spans="1:14" x14ac:dyDescent="0.2">
      <c r="A1116" vm="1981">
        <f ca="1"/>
        <v>45869</v>
      </c>
      <c r="B1116" vm="1982">
        <f ca="1"/>
        <v>47.27</v>
      </c>
      <c r="C1116">
        <f t="shared" ca="1" si="222"/>
        <v>-0.68999999999999773</v>
      </c>
      <c r="D1116">
        <f t="shared" ca="1" si="223"/>
        <v>0</v>
      </c>
      <c r="E1116">
        <f t="shared" ca="1" si="224"/>
        <v>0.68999999999999773</v>
      </c>
      <c r="F1116">
        <f t="shared" ca="1" si="226"/>
        <v>0.19024727373074693</v>
      </c>
      <c r="G1116">
        <f t="shared" ca="1" si="227"/>
        <v>0.18023491634231359</v>
      </c>
      <c r="H1116">
        <f t="shared" ca="1" si="228"/>
        <v>1.0555517076914067</v>
      </c>
      <c r="I1116">
        <f t="shared" ca="1" si="229"/>
        <v>51.351260284125786</v>
      </c>
      <c r="J1116">
        <f t="shared" ca="1" si="230"/>
        <v>0</v>
      </c>
      <c r="K1116">
        <f t="shared" ca="1" si="231"/>
        <v>0</v>
      </c>
      <c r="L1116">
        <f t="shared" ca="1" si="225"/>
        <v>0</v>
      </c>
      <c r="M1116" t="str">
        <f t="shared" ca="1" si="232"/>
        <v>na</v>
      </c>
      <c r="N1116" t="str">
        <f t="shared" ca="1" si="233"/>
        <v>na</v>
      </c>
    </row>
    <row r="1117" spans="1:14" x14ac:dyDescent="0.2">
      <c r="A1117" vm="1983">
        <f ca="1"/>
        <v>45870</v>
      </c>
      <c r="B1117" vm="67">
        <f ca="1"/>
        <v>45.66</v>
      </c>
      <c r="C1117">
        <f t="shared" ca="1" si="222"/>
        <v>-1.6100000000000065</v>
      </c>
      <c r="D1117">
        <f t="shared" ca="1" si="223"/>
        <v>0</v>
      </c>
      <c r="E1117">
        <f t="shared" ca="1" si="224"/>
        <v>1.6100000000000065</v>
      </c>
      <c r="F1117">
        <f t="shared" ca="1" si="226"/>
        <v>0.1766581827499793</v>
      </c>
      <c r="G1117">
        <f t="shared" ca="1" si="227"/>
        <v>0.28236099374643453</v>
      </c>
      <c r="H1117">
        <f t="shared" ca="1" si="228"/>
        <v>0.62564655410095937</v>
      </c>
      <c r="I1117">
        <f t="shared" ca="1" si="229"/>
        <v>38.486013612409394</v>
      </c>
      <c r="J1117">
        <f t="shared" ca="1" si="230"/>
        <v>1</v>
      </c>
      <c r="K1117">
        <f t="shared" ca="1" si="231"/>
        <v>1</v>
      </c>
      <c r="L1117">
        <f t="shared" ca="1" si="225"/>
        <v>0</v>
      </c>
      <c r="M1117" vm="67">
        <f t="shared" ca="1" si="232"/>
        <v>45.66</v>
      </c>
      <c r="N1117" t="str">
        <f t="shared" ca="1" si="233"/>
        <v>na</v>
      </c>
    </row>
    <row r="1118" spans="1:14" x14ac:dyDescent="0.2">
      <c r="A1118" vm="1984">
        <f ca="1"/>
        <v>45873</v>
      </c>
      <c r="B1118" vm="1985">
        <f ca="1"/>
        <v>45.85</v>
      </c>
      <c r="C1118">
        <f t="shared" ca="1" si="222"/>
        <v>0.19000000000000483</v>
      </c>
      <c r="D1118">
        <f t="shared" ca="1" si="223"/>
        <v>0.19000000000000483</v>
      </c>
      <c r="E1118">
        <f t="shared" ca="1" si="224"/>
        <v>0</v>
      </c>
      <c r="F1118">
        <f t="shared" ca="1" si="226"/>
        <v>0.17761116969640969</v>
      </c>
      <c r="G1118">
        <f t="shared" ca="1" si="227"/>
        <v>0.2621923513359749</v>
      </c>
      <c r="H1118">
        <f t="shared" ca="1" si="228"/>
        <v>0.67740789840515847</v>
      </c>
      <c r="I1118">
        <f t="shared" ca="1" si="229"/>
        <v>40.384208220864018</v>
      </c>
      <c r="J1118">
        <f t="shared" ca="1" si="230"/>
        <v>1</v>
      </c>
      <c r="K1118">
        <f t="shared" ca="1" si="231"/>
        <v>0</v>
      </c>
      <c r="L1118">
        <f t="shared" ca="1" si="225"/>
        <v>0</v>
      </c>
      <c r="M1118" t="str">
        <f t="shared" ca="1" si="232"/>
        <v>na</v>
      </c>
      <c r="N1118" t="str">
        <f t="shared" ca="1" si="233"/>
        <v>na</v>
      </c>
    </row>
    <row r="1119" spans="1:14" x14ac:dyDescent="0.2">
      <c r="A1119" vm="1986">
        <f ca="1"/>
        <v>45874</v>
      </c>
      <c r="B1119" vm="491">
        <f ca="1"/>
        <v>45.56</v>
      </c>
      <c r="C1119">
        <f t="shared" ca="1" si="222"/>
        <v>-0.28999999999999915</v>
      </c>
      <c r="D1119">
        <f t="shared" ca="1" si="223"/>
        <v>0</v>
      </c>
      <c r="E1119">
        <f t="shared" ca="1" si="224"/>
        <v>0.28999999999999915</v>
      </c>
      <c r="F1119">
        <f t="shared" ca="1" si="226"/>
        <v>0.16492465757523758</v>
      </c>
      <c r="G1119">
        <f t="shared" ca="1" si="227"/>
        <v>0.26417861195483378</v>
      </c>
      <c r="H1119">
        <f t="shared" ca="1" si="228"/>
        <v>0.62429224059756394</v>
      </c>
      <c r="I1119">
        <f t="shared" ca="1" si="229"/>
        <v>38.434724059747516</v>
      </c>
      <c r="J1119">
        <f t="shared" ca="1" si="230"/>
        <v>1</v>
      </c>
      <c r="K1119">
        <f t="shared" ca="1" si="231"/>
        <v>1</v>
      </c>
      <c r="L1119">
        <f t="shared" ca="1" si="225"/>
        <v>0</v>
      </c>
      <c r="M1119" t="str">
        <f t="shared" ca="1" si="232"/>
        <v>na</v>
      </c>
      <c r="N1119" t="str">
        <f t="shared" ca="1" si="233"/>
        <v>na</v>
      </c>
    </row>
    <row r="1120" spans="1:14" x14ac:dyDescent="0.2">
      <c r="A1120" vm="1987">
        <f ca="1"/>
        <v>45875</v>
      </c>
      <c r="B1120" vm="1988">
        <f ca="1"/>
        <v>45.42</v>
      </c>
      <c r="C1120">
        <f t="shared" ca="1" si="222"/>
        <v>-0.14000000000000057</v>
      </c>
      <c r="D1120">
        <f t="shared" ca="1" si="223"/>
        <v>0</v>
      </c>
      <c r="E1120">
        <f t="shared" ca="1" si="224"/>
        <v>0.14000000000000057</v>
      </c>
      <c r="F1120">
        <f t="shared" ca="1" si="226"/>
        <v>0.15314432489129204</v>
      </c>
      <c r="G1120">
        <f t="shared" ca="1" si="227"/>
        <v>0.25530871110091713</v>
      </c>
      <c r="H1120">
        <f t="shared" ca="1" si="228"/>
        <v>0.59983979485430849</v>
      </c>
      <c r="I1120">
        <f t="shared" ca="1" si="229"/>
        <v>37.493741359829947</v>
      </c>
      <c r="J1120">
        <f t="shared" ca="1" si="230"/>
        <v>1</v>
      </c>
      <c r="K1120">
        <f t="shared" ca="1" si="231"/>
        <v>1</v>
      </c>
      <c r="L1120">
        <f t="shared" ca="1" si="225"/>
        <v>0</v>
      </c>
      <c r="M1120" t="str">
        <f t="shared" ca="1" si="232"/>
        <v>na</v>
      </c>
      <c r="N1120" t="str">
        <f t="shared" ca="1" si="233"/>
        <v>na</v>
      </c>
    </row>
    <row r="1121" spans="1:14" x14ac:dyDescent="0.2">
      <c r="A1121" vm="1989">
        <f ca="1"/>
        <v>45876</v>
      </c>
      <c r="B1121" vm="449">
        <f ca="1"/>
        <v>44.92</v>
      </c>
      <c r="C1121">
        <f t="shared" ca="1" si="222"/>
        <v>-0.5</v>
      </c>
      <c r="D1121">
        <f t="shared" ca="1" si="223"/>
        <v>0</v>
      </c>
      <c r="E1121">
        <f t="shared" ca="1" si="224"/>
        <v>0.5</v>
      </c>
      <c r="F1121">
        <f t="shared" ca="1" si="226"/>
        <v>0.14220544454191403</v>
      </c>
      <c r="G1121">
        <f t="shared" ca="1" si="227"/>
        <v>0.27278666030799448</v>
      </c>
      <c r="H1121">
        <f t="shared" ca="1" si="228"/>
        <v>0.5213064465152164</v>
      </c>
      <c r="I1121">
        <f t="shared" ca="1" si="229"/>
        <v>34.267024090336832</v>
      </c>
      <c r="J1121">
        <f t="shared" ca="1" si="230"/>
        <v>1</v>
      </c>
      <c r="K1121">
        <f t="shared" ca="1" si="231"/>
        <v>1</v>
      </c>
      <c r="L1121">
        <f t="shared" ca="1" si="225"/>
        <v>0</v>
      </c>
      <c r="M1121" t="str">
        <f t="shared" ca="1" si="232"/>
        <v>na</v>
      </c>
      <c r="N1121" t="str">
        <f t="shared" ca="1" si="233"/>
        <v>na</v>
      </c>
    </row>
    <row r="1122" spans="1:14" x14ac:dyDescent="0.2">
      <c r="A1122" vm="1990">
        <f ca="1"/>
        <v>45877</v>
      </c>
      <c r="B1122" vm="1797">
        <f ca="1"/>
        <v>46.01</v>
      </c>
      <c r="C1122">
        <f t="shared" ca="1" si="222"/>
        <v>1.0899999999999963</v>
      </c>
      <c r="D1122">
        <f t="shared" ca="1" si="223"/>
        <v>1.0899999999999963</v>
      </c>
      <c r="E1122">
        <f t="shared" ca="1" si="224"/>
        <v>0</v>
      </c>
      <c r="F1122">
        <f t="shared" ca="1" si="226"/>
        <v>0.20990505564606274</v>
      </c>
      <c r="G1122">
        <f t="shared" ca="1" si="227"/>
        <v>0.25330189885742344</v>
      </c>
      <c r="H1122">
        <f t="shared" ca="1" si="228"/>
        <v>0.82867541298698444</v>
      </c>
      <c r="I1122">
        <f t="shared" ca="1" si="229"/>
        <v>45.315609708636821</v>
      </c>
      <c r="J1122">
        <f t="shared" ca="1" si="230"/>
        <v>1</v>
      </c>
      <c r="K1122">
        <f t="shared" ca="1" si="231"/>
        <v>0</v>
      </c>
      <c r="L1122">
        <f t="shared" ca="1" si="225"/>
        <v>0</v>
      </c>
      <c r="M1122" t="str">
        <f t="shared" ca="1" si="232"/>
        <v>na</v>
      </c>
      <c r="N1122" t="str">
        <f t="shared" ca="1" si="233"/>
        <v>na</v>
      </c>
    </row>
    <row r="1123" spans="1:14" x14ac:dyDescent="0.2">
      <c r="A1123" vm="1991">
        <f ca="1"/>
        <v>45880</v>
      </c>
      <c r="B1123" vm="1992">
        <f ca="1"/>
        <v>46.16</v>
      </c>
      <c r="C1123">
        <f t="shared" ca="1" si="222"/>
        <v>0.14999999999999858</v>
      </c>
      <c r="D1123">
        <f t="shared" ca="1" si="223"/>
        <v>0.14999999999999858</v>
      </c>
      <c r="E1123">
        <f t="shared" ca="1" si="224"/>
        <v>0</v>
      </c>
      <c r="F1123">
        <f t="shared" ca="1" si="226"/>
        <v>0.20562612309991529</v>
      </c>
      <c r="G1123">
        <f t="shared" ca="1" si="227"/>
        <v>0.23520890608189318</v>
      </c>
      <c r="H1123">
        <f t="shared" ca="1" si="228"/>
        <v>0.87422762396727449</v>
      </c>
      <c r="I1123">
        <f t="shared" ca="1" si="229"/>
        <v>46.644687805676014</v>
      </c>
      <c r="J1123">
        <f t="shared" ca="1" si="230"/>
        <v>1</v>
      </c>
      <c r="K1123">
        <f t="shared" ca="1" si="231"/>
        <v>0</v>
      </c>
      <c r="L1123">
        <f t="shared" ca="1" si="225"/>
        <v>0</v>
      </c>
      <c r="M1123" t="str">
        <f t="shared" ca="1" si="232"/>
        <v>na</v>
      </c>
      <c r="N1123" t="str">
        <f t="shared" ca="1" si="233"/>
        <v>na</v>
      </c>
    </row>
    <row r="1124" spans="1:14" x14ac:dyDescent="0.2">
      <c r="A1124" vm="1993">
        <f ca="1"/>
        <v>45881</v>
      </c>
      <c r="B1124" vm="374">
        <f ca="1"/>
        <v>47.5</v>
      </c>
      <c r="C1124">
        <f t="shared" ca="1" si="222"/>
        <v>1.3400000000000034</v>
      </c>
      <c r="D1124">
        <f t="shared" ca="1" si="223"/>
        <v>1.3400000000000034</v>
      </c>
      <c r="E1124">
        <f t="shared" ca="1" si="224"/>
        <v>0</v>
      </c>
      <c r="F1124">
        <f t="shared" ca="1" si="226"/>
        <v>0.2866528285927788</v>
      </c>
      <c r="G1124">
        <f t="shared" ca="1" si="227"/>
        <v>0.21840826993318654</v>
      </c>
      <c r="H1124">
        <f t="shared" ca="1" si="228"/>
        <v>1.3124632537058647</v>
      </c>
      <c r="I1124">
        <f t="shared" ca="1" si="229"/>
        <v>56.756069598189782</v>
      </c>
      <c r="J1124">
        <f t="shared" ca="1" si="230"/>
        <v>1</v>
      </c>
      <c r="K1124">
        <f t="shared" ca="1" si="231"/>
        <v>0</v>
      </c>
      <c r="L1124">
        <f t="shared" ca="1" si="225"/>
        <v>0</v>
      </c>
      <c r="M1124" t="str">
        <f t="shared" ca="1" si="232"/>
        <v>na</v>
      </c>
      <c r="N1124" t="str">
        <f t="shared" ca="1" si="233"/>
        <v>na</v>
      </c>
    </row>
    <row r="1125" spans="1:14" x14ac:dyDescent="0.2">
      <c r="A1125" vm="1994">
        <f ca="1"/>
        <v>45882</v>
      </c>
      <c r="B1125" vm="1995">
        <f ca="1"/>
        <v>47.24</v>
      </c>
      <c r="C1125">
        <f t="shared" ca="1" si="222"/>
        <v>-0.25999999999999801</v>
      </c>
      <c r="D1125">
        <f t="shared" ca="1" si="223"/>
        <v>0</v>
      </c>
      <c r="E1125">
        <f t="shared" ca="1" si="224"/>
        <v>0.25999999999999801</v>
      </c>
      <c r="F1125">
        <f t="shared" ca="1" si="226"/>
        <v>0.26617762655043747</v>
      </c>
      <c r="G1125">
        <f t="shared" ca="1" si="227"/>
        <v>0.22137910779510167</v>
      </c>
      <c r="H1125">
        <f t="shared" ca="1" si="228"/>
        <v>1.2023610954146551</v>
      </c>
      <c r="I1125">
        <f t="shared" ca="1" si="229"/>
        <v>54.594185209591053</v>
      </c>
      <c r="J1125">
        <f t="shared" ca="1" si="230"/>
        <v>1</v>
      </c>
      <c r="K1125">
        <f t="shared" ca="1" si="231"/>
        <v>0</v>
      </c>
      <c r="L1125">
        <f t="shared" ca="1" si="225"/>
        <v>0</v>
      </c>
      <c r="M1125" t="str">
        <f t="shared" ca="1" si="232"/>
        <v>na</v>
      </c>
      <c r="N1125" t="str">
        <f t="shared" ca="1" si="233"/>
        <v>na</v>
      </c>
    </row>
    <row r="1126" spans="1:14" x14ac:dyDescent="0.2">
      <c r="A1126" vm="1996">
        <f ca="1"/>
        <v>45883</v>
      </c>
      <c r="B1126" vm="1997">
        <f ca="1"/>
        <v>47.71</v>
      </c>
      <c r="C1126">
        <f t="shared" ca="1" si="222"/>
        <v>0.46999999999999886</v>
      </c>
      <c r="D1126">
        <f t="shared" ca="1" si="223"/>
        <v>0.46999999999999886</v>
      </c>
      <c r="E1126">
        <f t="shared" ca="1" si="224"/>
        <v>0</v>
      </c>
      <c r="F1126">
        <f t="shared" ca="1" si="226"/>
        <v>0.28073636751112041</v>
      </c>
      <c r="G1126">
        <f t="shared" ca="1" si="227"/>
        <v>0.20556631438116585</v>
      </c>
      <c r="H1126">
        <f t="shared" ca="1" si="228"/>
        <v>1.3656730109514563</v>
      </c>
      <c r="I1126">
        <f t="shared" ca="1" si="229"/>
        <v>57.728731089601965</v>
      </c>
      <c r="J1126">
        <f t="shared" ca="1" si="230"/>
        <v>1</v>
      </c>
      <c r="K1126">
        <f t="shared" ca="1" si="231"/>
        <v>0</v>
      </c>
      <c r="L1126">
        <f t="shared" ca="1" si="225"/>
        <v>0</v>
      </c>
      <c r="M1126" t="str">
        <f t="shared" ca="1" si="232"/>
        <v>na</v>
      </c>
      <c r="N1126" t="str">
        <f t="shared" ca="1" si="233"/>
        <v>na</v>
      </c>
    </row>
    <row r="1127" spans="1:14" x14ac:dyDescent="0.2">
      <c r="A1127" vm="1998">
        <f ca="1"/>
        <v>45884</v>
      </c>
      <c r="B1127" vm="463">
        <f ca="1"/>
        <v>46.94</v>
      </c>
      <c r="C1127">
        <f t="shared" ca="1" si="222"/>
        <v>-0.77000000000000313</v>
      </c>
      <c r="D1127">
        <f t="shared" ca="1" si="223"/>
        <v>0</v>
      </c>
      <c r="E1127">
        <f t="shared" ca="1" si="224"/>
        <v>0.77000000000000313</v>
      </c>
      <c r="F1127">
        <f t="shared" ca="1" si="226"/>
        <v>0.26068376983175467</v>
      </c>
      <c r="G1127">
        <f t="shared" ca="1" si="227"/>
        <v>0.24588300621108281</v>
      </c>
      <c r="H1127">
        <f t="shared" ca="1" si="228"/>
        <v>1.0601943332674479</v>
      </c>
      <c r="I1127">
        <f t="shared" ca="1" si="229"/>
        <v>51.460889691216174</v>
      </c>
      <c r="J1127">
        <f t="shared" ca="1" si="230"/>
        <v>1</v>
      </c>
      <c r="K1127">
        <f t="shared" ca="1" si="231"/>
        <v>0</v>
      </c>
      <c r="L1127">
        <f t="shared" ca="1" si="225"/>
        <v>0</v>
      </c>
      <c r="M1127" t="str">
        <f t="shared" ca="1" si="232"/>
        <v>na</v>
      </c>
      <c r="N1127" t="str">
        <f t="shared" ca="1" si="233"/>
        <v>na</v>
      </c>
    </row>
    <row r="1128" spans="1:14" x14ac:dyDescent="0.2">
      <c r="A1128" vm="1999">
        <f ca="1"/>
        <v>45887</v>
      </c>
      <c r="B1128" vm="479">
        <f ca="1"/>
        <v>47.92</v>
      </c>
      <c r="C1128">
        <f t="shared" ca="1" si="222"/>
        <v>0.98000000000000398</v>
      </c>
      <c r="D1128">
        <f t="shared" ca="1" si="223"/>
        <v>0.98000000000000398</v>
      </c>
      <c r="E1128">
        <f t="shared" ca="1" si="224"/>
        <v>0</v>
      </c>
      <c r="F1128">
        <f t="shared" ca="1" si="226"/>
        <v>0.3120635005580582</v>
      </c>
      <c r="G1128">
        <f t="shared" ca="1" si="227"/>
        <v>0.22831993433886261</v>
      </c>
      <c r="H1128">
        <f t="shared" ca="1" si="228"/>
        <v>1.366781667407573</v>
      </c>
      <c r="I1128">
        <f t="shared" ca="1" si="229"/>
        <v>57.74853195075918</v>
      </c>
      <c r="J1128">
        <f t="shared" ca="1" si="230"/>
        <v>1</v>
      </c>
      <c r="K1128">
        <f t="shared" ca="1" si="231"/>
        <v>0</v>
      </c>
      <c r="L1128">
        <f t="shared" ca="1" si="225"/>
        <v>0</v>
      </c>
      <c r="M1128" t="str">
        <f t="shared" ca="1" si="232"/>
        <v>na</v>
      </c>
      <c r="N1128" t="str">
        <f t="shared" ca="1" si="233"/>
        <v>na</v>
      </c>
    </row>
    <row r="1129" spans="1:14" x14ac:dyDescent="0.2">
      <c r="A1129" vm="2000">
        <f ca="1"/>
        <v>45888</v>
      </c>
      <c r="B1129" vm="2001">
        <f ca="1"/>
        <v>48.08</v>
      </c>
      <c r="C1129">
        <f t="shared" ca="1" si="222"/>
        <v>0.15999999999999659</v>
      </c>
      <c r="D1129">
        <f t="shared" ca="1" si="223"/>
        <v>0.15999999999999659</v>
      </c>
      <c r="E1129">
        <f t="shared" ca="1" si="224"/>
        <v>0</v>
      </c>
      <c r="F1129">
        <f t="shared" ca="1" si="226"/>
        <v>0.30120182194676809</v>
      </c>
      <c r="G1129">
        <f t="shared" ca="1" si="227"/>
        <v>0.2120113676003724</v>
      </c>
      <c r="H1129">
        <f t="shared" ca="1" si="228"/>
        <v>1.4206871327508905</v>
      </c>
      <c r="I1129">
        <f t="shared" ca="1" si="229"/>
        <v>58.689415642756316</v>
      </c>
      <c r="J1129">
        <f t="shared" ca="1" si="230"/>
        <v>1</v>
      </c>
      <c r="K1129">
        <f t="shared" ca="1" si="231"/>
        <v>0</v>
      </c>
      <c r="L1129">
        <f t="shared" ca="1" si="225"/>
        <v>0</v>
      </c>
      <c r="M1129" t="str">
        <f t="shared" ca="1" si="232"/>
        <v>na</v>
      </c>
      <c r="N1129" t="str">
        <f t="shared" ca="1" si="233"/>
        <v>na</v>
      </c>
    </row>
    <row r="1130" spans="1:14" x14ac:dyDescent="0.2">
      <c r="A1130" vm="2002">
        <f ca="1"/>
        <v>45889</v>
      </c>
      <c r="B1130" vm="2003">
        <f ca="1"/>
        <v>48.35</v>
      </c>
      <c r="C1130">
        <f t="shared" ca="1" si="222"/>
        <v>0.27000000000000313</v>
      </c>
      <c r="D1130">
        <f t="shared" ca="1" si="223"/>
        <v>0.27000000000000313</v>
      </c>
      <c r="E1130">
        <f t="shared" ca="1" si="224"/>
        <v>0</v>
      </c>
      <c r="F1130">
        <f t="shared" ca="1" si="226"/>
        <v>0.29897312037914198</v>
      </c>
      <c r="G1130">
        <f t="shared" ca="1" si="227"/>
        <v>0.19686769848606006</v>
      </c>
      <c r="H1130">
        <f t="shared" ca="1" si="228"/>
        <v>1.5186499495767298</v>
      </c>
      <c r="I1130">
        <f t="shared" ca="1" si="229"/>
        <v>60.296189624602086</v>
      </c>
      <c r="J1130">
        <f t="shared" ca="1" si="230"/>
        <v>1</v>
      </c>
      <c r="K1130">
        <f t="shared" ca="1" si="231"/>
        <v>0</v>
      </c>
      <c r="L1130">
        <f t="shared" ca="1" si="225"/>
        <v>0</v>
      </c>
      <c r="M1130" t="str">
        <f t="shared" ca="1" si="232"/>
        <v>na</v>
      </c>
      <c r="N1130" t="str">
        <f t="shared" ca="1" si="233"/>
        <v>na</v>
      </c>
    </row>
    <row r="1131" spans="1:14" x14ac:dyDescent="0.2">
      <c r="A1131" vm="2004">
        <f ca="1"/>
        <v>45890</v>
      </c>
      <c r="B1131" vm="2005">
        <f ca="1"/>
        <v>48.26</v>
      </c>
      <c r="C1131">
        <f t="shared" ca="1" si="222"/>
        <v>-9.0000000000003411E-2</v>
      </c>
      <c r="D1131">
        <f t="shared" ca="1" si="223"/>
        <v>0</v>
      </c>
      <c r="E1131">
        <f t="shared" ca="1" si="224"/>
        <v>9.0000000000003411E-2</v>
      </c>
      <c r="F1131">
        <f t="shared" ca="1" si="226"/>
        <v>0.27761789749491755</v>
      </c>
      <c r="G1131">
        <f t="shared" ca="1" si="227"/>
        <v>0.18923429145134171</v>
      </c>
      <c r="H1131">
        <f t="shared" ca="1" si="228"/>
        <v>1.4670591432753199</v>
      </c>
      <c r="I1131">
        <f t="shared" ca="1" si="229"/>
        <v>59.465908925378301</v>
      </c>
      <c r="J1131">
        <f t="shared" ca="1" si="230"/>
        <v>1</v>
      </c>
      <c r="K1131">
        <f t="shared" ca="1" si="231"/>
        <v>0</v>
      </c>
      <c r="L1131">
        <f t="shared" ca="1" si="225"/>
        <v>0</v>
      </c>
      <c r="M1131" t="str">
        <f t="shared" ca="1" si="232"/>
        <v>na</v>
      </c>
      <c r="N1131" t="str">
        <f t="shared" ca="1" si="233"/>
        <v>na</v>
      </c>
    </row>
    <row r="1132" spans="1:14" x14ac:dyDescent="0.2">
      <c r="A1132" vm="2006">
        <f ca="1"/>
        <v>45891</v>
      </c>
      <c r="B1132" vm="2007">
        <f ca="1"/>
        <v>49.48</v>
      </c>
      <c r="C1132">
        <f t="shared" ca="1" si="222"/>
        <v>1.2199999999999989</v>
      </c>
      <c r="D1132">
        <f t="shared" ca="1" si="223"/>
        <v>1.2199999999999989</v>
      </c>
      <c r="E1132">
        <f t="shared" ca="1" si="224"/>
        <v>0</v>
      </c>
      <c r="F1132">
        <f t="shared" ca="1" si="226"/>
        <v>0.34493090481670902</v>
      </c>
      <c r="G1132">
        <f t="shared" ca="1" si="227"/>
        <v>0.17571755634767444</v>
      </c>
      <c r="H1132">
        <f t="shared" ca="1" si="228"/>
        <v>1.9629848717804232</v>
      </c>
      <c r="I1132">
        <f t="shared" ca="1" si="229"/>
        <v>66.250249553278636</v>
      </c>
      <c r="J1132">
        <f t="shared" ca="1" si="230"/>
        <v>1</v>
      </c>
      <c r="K1132">
        <f t="shared" ca="1" si="231"/>
        <v>0</v>
      </c>
      <c r="L1132">
        <f t="shared" ca="1" si="225"/>
        <v>0</v>
      </c>
      <c r="M1132" t="str">
        <f t="shared" ca="1" si="232"/>
        <v>na</v>
      </c>
      <c r="N1132" t="str">
        <f t="shared" ca="1" si="233"/>
        <v>na</v>
      </c>
    </row>
    <row r="1133" spans="1:14" x14ac:dyDescent="0.2">
      <c r="A1133" vm="2008">
        <f ca="1"/>
        <v>45894</v>
      </c>
      <c r="B1133" vm="2007">
        <f ca="1"/>
        <v>49.48</v>
      </c>
      <c r="C1133">
        <f t="shared" ca="1" si="222"/>
        <v>0</v>
      </c>
      <c r="D1133">
        <f t="shared" ca="1" si="223"/>
        <v>0</v>
      </c>
      <c r="E1133">
        <f t="shared" ca="1" si="224"/>
        <v>0</v>
      </c>
      <c r="F1133">
        <f t="shared" ca="1" si="226"/>
        <v>0.32029298304408693</v>
      </c>
      <c r="G1133">
        <f t="shared" ca="1" si="227"/>
        <v>0.16316630232284055</v>
      </c>
      <c r="H1133">
        <f t="shared" ca="1" si="228"/>
        <v>1.9629848717804232</v>
      </c>
      <c r="I1133">
        <f t="shared" ca="1" si="229"/>
        <v>66.250249553278636</v>
      </c>
      <c r="J1133">
        <f t="shared" ca="1" si="230"/>
        <v>1</v>
      </c>
      <c r="K1133">
        <f t="shared" ca="1" si="231"/>
        <v>0</v>
      </c>
      <c r="L1133">
        <f t="shared" ca="1" si="225"/>
        <v>0</v>
      </c>
      <c r="M1133" t="str">
        <f t="shared" ca="1" si="232"/>
        <v>na</v>
      </c>
      <c r="N1133" t="str">
        <f t="shared" ca="1" si="233"/>
        <v>na</v>
      </c>
    </row>
    <row r="1134" spans="1:14" x14ac:dyDescent="0.2">
      <c r="A1134" vm="2009">
        <f ca="1"/>
        <v>45895</v>
      </c>
      <c r="B1134" vm="2010">
        <f ca="1"/>
        <v>50.25</v>
      </c>
      <c r="C1134">
        <f t="shared" ca="1" si="222"/>
        <v>0.77000000000000313</v>
      </c>
      <c r="D1134">
        <f t="shared" ca="1" si="223"/>
        <v>0.77000000000000313</v>
      </c>
      <c r="E1134">
        <f t="shared" ca="1" si="224"/>
        <v>0</v>
      </c>
      <c r="F1134">
        <f t="shared" ca="1" si="226"/>
        <v>0.35241491282665238</v>
      </c>
      <c r="G1134">
        <f t="shared" ca="1" si="227"/>
        <v>0.15151156644263764</v>
      </c>
      <c r="H1134">
        <f t="shared" ca="1" si="228"/>
        <v>2.3259934611003898</v>
      </c>
      <c r="I1134">
        <f t="shared" ca="1" si="229"/>
        <v>69.933795369845541</v>
      </c>
      <c r="J1134">
        <f t="shared" ca="1" si="230"/>
        <v>1</v>
      </c>
      <c r="K1134">
        <f t="shared" ca="1" si="231"/>
        <v>0</v>
      </c>
      <c r="L1134">
        <f t="shared" ca="1" si="225"/>
        <v>0</v>
      </c>
      <c r="M1134" t="str">
        <f t="shared" ca="1" si="232"/>
        <v>na</v>
      </c>
      <c r="N1134" t="str">
        <f t="shared" ca="1" si="233"/>
        <v>na</v>
      </c>
    </row>
    <row r="1135" spans="1:14" x14ac:dyDescent="0.2">
      <c r="A1135" vm="2011">
        <f ca="1"/>
        <v>45896</v>
      </c>
      <c r="B1135" vm="68">
        <f ca="1"/>
        <v>50.38</v>
      </c>
      <c r="C1135">
        <f t="shared" ca="1" si="222"/>
        <v>0.13000000000000256</v>
      </c>
      <c r="D1135">
        <f t="shared" ca="1" si="223"/>
        <v>0.13000000000000256</v>
      </c>
      <c r="E1135">
        <f t="shared" ca="1" si="224"/>
        <v>0</v>
      </c>
      <c r="F1135">
        <f t="shared" ca="1" si="226"/>
        <v>0.33652813333903453</v>
      </c>
      <c r="G1135">
        <f t="shared" ca="1" si="227"/>
        <v>0.14068931169673496</v>
      </c>
      <c r="H1135">
        <f t="shared" ca="1" si="228"/>
        <v>2.39199502279493</v>
      </c>
      <c r="I1135">
        <f t="shared" ca="1" si="229"/>
        <v>70.518824665726612</v>
      </c>
      <c r="J1135">
        <f t="shared" ca="1" si="230"/>
        <v>0</v>
      </c>
      <c r="K1135">
        <f t="shared" ca="1" si="231"/>
        <v>0</v>
      </c>
      <c r="L1135">
        <f t="shared" ca="1" si="225"/>
        <v>1</v>
      </c>
      <c r="M1135" t="str">
        <f t="shared" ca="1" si="232"/>
        <v>na</v>
      </c>
      <c r="N1135" vm="68">
        <f t="shared" ca="1" si="233"/>
        <v>50.38</v>
      </c>
    </row>
    <row r="1136" spans="1:14" x14ac:dyDescent="0.2">
      <c r="A1136" vm="2012">
        <f ca="1"/>
        <v>45897</v>
      </c>
      <c r="B1136" vm="2013">
        <f ca="1"/>
        <v>50.49</v>
      </c>
      <c r="C1136">
        <f t="shared" ca="1" si="222"/>
        <v>0.10999999999999943</v>
      </c>
      <c r="D1136">
        <f t="shared" ca="1" si="223"/>
        <v>0.10999999999999943</v>
      </c>
      <c r="E1136">
        <f t="shared" ca="1" si="224"/>
        <v>0</v>
      </c>
      <c r="F1136">
        <f t="shared" ca="1" si="226"/>
        <v>0.32034755238624635</v>
      </c>
      <c r="G1136">
        <f t="shared" ca="1" si="227"/>
        <v>0.13064007514696818</v>
      </c>
      <c r="H1136">
        <f t="shared" ca="1" si="228"/>
        <v>2.4521384577118468</v>
      </c>
      <c r="I1136">
        <f t="shared" ca="1" si="229"/>
        <v>71.032448082548171</v>
      </c>
      <c r="J1136">
        <f t="shared" ca="1" si="230"/>
        <v>0</v>
      </c>
      <c r="K1136">
        <f t="shared" ca="1" si="231"/>
        <v>0</v>
      </c>
      <c r="L1136">
        <f t="shared" ca="1" si="225"/>
        <v>1</v>
      </c>
      <c r="M1136" t="str">
        <f t="shared" ca="1" si="232"/>
        <v>na</v>
      </c>
      <c r="N1136" t="str">
        <f t="shared" ca="1" si="233"/>
        <v>na</v>
      </c>
    </row>
    <row r="1137" spans="1:14" x14ac:dyDescent="0.2">
      <c r="A1137" vm="2014">
        <f ca="1"/>
        <v>45898</v>
      </c>
      <c r="B1137" vm="2015">
        <f ca="1"/>
        <v>50.74</v>
      </c>
      <c r="C1137">
        <f t="shared" ca="1" si="222"/>
        <v>0.25</v>
      </c>
      <c r="D1137">
        <f t="shared" ca="1" si="223"/>
        <v>0.25</v>
      </c>
      <c r="E1137">
        <f t="shared" ca="1" si="224"/>
        <v>0</v>
      </c>
      <c r="F1137">
        <f t="shared" ca="1" si="226"/>
        <v>0.31532272721580018</v>
      </c>
      <c r="G1137">
        <f t="shared" ca="1" si="227"/>
        <v>0.12130864120789904</v>
      </c>
      <c r="H1137">
        <f t="shared" ca="1" si="228"/>
        <v>2.5993426690469588</v>
      </c>
      <c r="I1137">
        <f t="shared" ca="1" si="229"/>
        <v>72.217149297852714</v>
      </c>
      <c r="J1137">
        <f t="shared" ca="1" si="230"/>
        <v>0</v>
      </c>
      <c r="K1137">
        <f t="shared" ca="1" si="231"/>
        <v>0</v>
      </c>
      <c r="L1137">
        <f t="shared" ca="1" si="225"/>
        <v>1</v>
      </c>
      <c r="M1137" t="str">
        <f t="shared" ca="1" si="232"/>
        <v>na</v>
      </c>
      <c r="N1137" t="str">
        <f t="shared" ca="1" si="233"/>
        <v>na</v>
      </c>
    </row>
    <row r="1138" spans="1:14" x14ac:dyDescent="0.2">
      <c r="A1138" vm="2016">
        <f ca="1"/>
        <v>45902</v>
      </c>
      <c r="B1138" vm="2017">
        <f ca="1"/>
        <v>50.42</v>
      </c>
      <c r="C1138">
        <f t="shared" ca="1" si="222"/>
        <v>-0.32000000000000028</v>
      </c>
      <c r="D1138">
        <f t="shared" ca="1" si="223"/>
        <v>0</v>
      </c>
      <c r="E1138">
        <f t="shared" ca="1" si="224"/>
        <v>0.32000000000000028</v>
      </c>
      <c r="F1138">
        <f t="shared" ca="1" si="226"/>
        <v>0.29279967527181444</v>
      </c>
      <c r="G1138">
        <f t="shared" ca="1" si="227"/>
        <v>0.13550088112162056</v>
      </c>
      <c r="H1138">
        <f t="shared" ca="1" si="228"/>
        <v>2.1608691607621968</v>
      </c>
      <c r="I1138">
        <f t="shared" ca="1" si="229"/>
        <v>68.363132127909253</v>
      </c>
      <c r="J1138">
        <f t="shared" ca="1" si="230"/>
        <v>0</v>
      </c>
      <c r="K1138">
        <f t="shared" ca="1" si="231"/>
        <v>0</v>
      </c>
      <c r="L1138">
        <f t="shared" ca="1" si="225"/>
        <v>0</v>
      </c>
      <c r="M1138" t="str">
        <f t="shared" ca="1" si="232"/>
        <v>na</v>
      </c>
      <c r="N1138" t="str">
        <f t="shared" ca="1" si="233"/>
        <v>na</v>
      </c>
    </row>
    <row r="1139" spans="1:14" x14ac:dyDescent="0.2">
      <c r="A1139" vm="2018">
        <f ca="1"/>
        <v>45903</v>
      </c>
      <c r="B1139" vm="2019">
        <f ca="1"/>
        <v>50.06</v>
      </c>
      <c r="C1139">
        <f t="shared" ca="1" si="222"/>
        <v>-0.35999999999999943</v>
      </c>
      <c r="D1139">
        <f t="shared" ca="1" si="223"/>
        <v>0</v>
      </c>
      <c r="E1139">
        <f t="shared" ca="1" si="224"/>
        <v>0.35999999999999943</v>
      </c>
      <c r="F1139">
        <f t="shared" ca="1" si="226"/>
        <v>0.27188541275239914</v>
      </c>
      <c r="G1139">
        <f t="shared" ca="1" si="227"/>
        <v>0.1515365324700762</v>
      </c>
      <c r="H1139">
        <f t="shared" ca="1" si="228"/>
        <v>1.794190538219476</v>
      </c>
      <c r="I1139">
        <f t="shared" ca="1" si="229"/>
        <v>64.211459944416546</v>
      </c>
      <c r="J1139">
        <f t="shared" ca="1" si="230"/>
        <v>0</v>
      </c>
      <c r="K1139">
        <f t="shared" ca="1" si="231"/>
        <v>0</v>
      </c>
      <c r="L1139">
        <f t="shared" ca="1" si="225"/>
        <v>0</v>
      </c>
      <c r="M1139" t="str">
        <f t="shared" ca="1" si="232"/>
        <v>na</v>
      </c>
      <c r="N1139" t="str">
        <f t="shared" ca="1" si="233"/>
        <v>na</v>
      </c>
    </row>
    <row r="1140" spans="1:14" x14ac:dyDescent="0.2">
      <c r="A1140" vm="2020">
        <f ca="1"/>
        <v>45904</v>
      </c>
      <c r="B1140" vm="2021">
        <f ca="1"/>
        <v>50.62</v>
      </c>
      <c r="C1140">
        <f t="shared" ca="1" si="222"/>
        <v>0.55999999999999517</v>
      </c>
      <c r="D1140">
        <f t="shared" ca="1" si="223"/>
        <v>0.55999999999999517</v>
      </c>
      <c r="E1140">
        <f t="shared" ca="1" si="224"/>
        <v>0</v>
      </c>
      <c r="F1140">
        <f t="shared" ca="1" si="226"/>
        <v>0.29246502612722747</v>
      </c>
      <c r="G1140">
        <f t="shared" ca="1" si="227"/>
        <v>0.14071249443649933</v>
      </c>
      <c r="H1140">
        <f t="shared" ca="1" si="228"/>
        <v>2.0784581163061602</v>
      </c>
      <c r="I1140">
        <f t="shared" ca="1" si="229"/>
        <v>67.516205768623564</v>
      </c>
      <c r="J1140">
        <f t="shared" ca="1" si="230"/>
        <v>0</v>
      </c>
      <c r="K1140">
        <f t="shared" ca="1" si="231"/>
        <v>0</v>
      </c>
      <c r="L1140">
        <f t="shared" ca="1" si="225"/>
        <v>0</v>
      </c>
      <c r="M1140" t="str">
        <f t="shared" ca="1" si="232"/>
        <v>na</v>
      </c>
      <c r="N1140" t="str">
        <f t="shared" ca="1" si="233"/>
        <v>na</v>
      </c>
    </row>
    <row r="1141" spans="1:14" x14ac:dyDescent="0.2">
      <c r="A1141" vm="2022">
        <f ca="1"/>
        <v>45905</v>
      </c>
      <c r="B1141" vm="2023">
        <f ca="1"/>
        <v>49.77</v>
      </c>
      <c r="C1141">
        <f t="shared" ca="1" si="222"/>
        <v>-0.84999999999999432</v>
      </c>
      <c r="D1141">
        <f t="shared" ca="1" si="223"/>
        <v>0</v>
      </c>
      <c r="E1141">
        <f t="shared" ca="1" si="224"/>
        <v>0.84999999999999432</v>
      </c>
      <c r="F1141">
        <f t="shared" ca="1" si="226"/>
        <v>0.27157466711813977</v>
      </c>
      <c r="G1141">
        <f t="shared" ca="1" si="227"/>
        <v>0.1913758876910347</v>
      </c>
      <c r="H1141">
        <f t="shared" ca="1" si="228"/>
        <v>1.4190641798959613</v>
      </c>
      <c r="I1141">
        <f t="shared" ca="1" si="229"/>
        <v>58.66170032566032</v>
      </c>
      <c r="J1141">
        <f t="shared" ca="1" si="230"/>
        <v>0</v>
      </c>
      <c r="K1141">
        <f t="shared" ca="1" si="231"/>
        <v>0</v>
      </c>
      <c r="L1141">
        <f t="shared" ca="1" si="225"/>
        <v>0</v>
      </c>
      <c r="M1141" t="str">
        <f t="shared" ca="1" si="232"/>
        <v>na</v>
      </c>
      <c r="N1141" t="str">
        <f t="shared" ca="1" si="233"/>
        <v>na</v>
      </c>
    </row>
    <row r="1142" spans="1:14" x14ac:dyDescent="0.2">
      <c r="A1142" vm="2024">
        <f ca="1"/>
        <v>45908</v>
      </c>
      <c r="B1142" vm="2025">
        <f ca="1"/>
        <v>49.46</v>
      </c>
      <c r="C1142">
        <f t="shared" ca="1" si="222"/>
        <v>-0.31000000000000227</v>
      </c>
      <c r="D1142">
        <f t="shared" ca="1" si="223"/>
        <v>0</v>
      </c>
      <c r="E1142">
        <f t="shared" ca="1" si="224"/>
        <v>0.31000000000000227</v>
      </c>
      <c r="F1142">
        <f t="shared" ca="1" si="226"/>
        <v>0.25217647660970122</v>
      </c>
      <c r="G1142">
        <f t="shared" ca="1" si="227"/>
        <v>0.19984903857024666</v>
      </c>
      <c r="H1142">
        <f t="shared" ca="1" si="228"/>
        <v>1.2618348249949751</v>
      </c>
      <c r="I1142">
        <f t="shared" ca="1" si="229"/>
        <v>55.78810667564013</v>
      </c>
      <c r="J1142">
        <f t="shared" ca="1" si="230"/>
        <v>0</v>
      </c>
      <c r="K1142">
        <f t="shared" ca="1" si="231"/>
        <v>0</v>
      </c>
      <c r="L1142">
        <f t="shared" ca="1" si="225"/>
        <v>0</v>
      </c>
      <c r="M1142" t="str">
        <f t="shared" ca="1" si="232"/>
        <v>na</v>
      </c>
      <c r="N1142" t="str">
        <f t="shared" ca="1" si="233"/>
        <v>na</v>
      </c>
    </row>
    <row r="1143" spans="1:14" x14ac:dyDescent="0.2">
      <c r="A1143" vm="2026">
        <f ca="1"/>
        <v>45909</v>
      </c>
      <c r="B1143" vm="2027">
        <f ca="1"/>
        <v>50.29</v>
      </c>
      <c r="C1143">
        <f t="shared" ca="1" si="222"/>
        <v>0.82999999999999829</v>
      </c>
      <c r="D1143">
        <f t="shared" ca="1" si="223"/>
        <v>0.82999999999999829</v>
      </c>
      <c r="E1143">
        <f t="shared" ca="1" si="224"/>
        <v>0</v>
      </c>
      <c r="F1143">
        <f t="shared" ca="1" si="226"/>
        <v>0.29344958542329386</v>
      </c>
      <c r="G1143">
        <f t="shared" ca="1" si="227"/>
        <v>0.18557410724380047</v>
      </c>
      <c r="H1143">
        <f t="shared" ca="1" si="228"/>
        <v>1.5813067339064202</v>
      </c>
      <c r="I1143">
        <f t="shared" ca="1" si="229"/>
        <v>61.259931380311002</v>
      </c>
      <c r="J1143">
        <f t="shared" ca="1" si="230"/>
        <v>0</v>
      </c>
      <c r="K1143">
        <f t="shared" ca="1" si="231"/>
        <v>0</v>
      </c>
      <c r="L1143">
        <f t="shared" ca="1" si="225"/>
        <v>0</v>
      </c>
      <c r="M1143" t="str">
        <f t="shared" ca="1" si="232"/>
        <v>na</v>
      </c>
      <c r="N1143" t="str">
        <f t="shared" ca="1" si="233"/>
        <v>na</v>
      </c>
    </row>
    <row r="1144" spans="1:14" x14ac:dyDescent="0.2">
      <c r="A1144" vm="2028">
        <f ca="1"/>
        <v>45910</v>
      </c>
      <c r="B1144" vm="2029">
        <f ca="1"/>
        <v>50.13</v>
      </c>
      <c r="C1144">
        <f t="shared" ca="1" si="222"/>
        <v>-0.15999999999999659</v>
      </c>
      <c r="D1144">
        <f t="shared" ca="1" si="223"/>
        <v>0</v>
      </c>
      <c r="E1144">
        <f t="shared" ca="1" si="224"/>
        <v>0.15999999999999659</v>
      </c>
      <c r="F1144">
        <f t="shared" ca="1" si="226"/>
        <v>0.27248890075020143</v>
      </c>
      <c r="G1144">
        <f t="shared" ca="1" si="227"/>
        <v>0.18374738529781448</v>
      </c>
      <c r="H1144">
        <f t="shared" ca="1" si="228"/>
        <v>1.4829538951455352</v>
      </c>
      <c r="I1144">
        <f t="shared" ca="1" si="229"/>
        <v>59.725389909368964</v>
      </c>
      <c r="J1144">
        <f t="shared" ca="1" si="230"/>
        <v>0</v>
      </c>
      <c r="K1144">
        <f t="shared" ca="1" si="231"/>
        <v>0</v>
      </c>
      <c r="L1144">
        <f t="shared" ca="1" si="225"/>
        <v>0</v>
      </c>
      <c r="M1144" t="str">
        <f t="shared" ca="1" si="232"/>
        <v>na</v>
      </c>
      <c r="N1144" t="str">
        <f t="shared" ca="1" si="233"/>
        <v>na</v>
      </c>
    </row>
    <row r="1145" spans="1:14" x14ac:dyDescent="0.2">
      <c r="A1145" vm="2030">
        <f ca="1"/>
        <v>45911</v>
      </c>
      <c r="B1145" vm="2031">
        <f ca="1"/>
        <v>50.75</v>
      </c>
      <c r="C1145">
        <f t="shared" ca="1" si="222"/>
        <v>0.61999999999999744</v>
      </c>
      <c r="D1145">
        <f t="shared" ca="1" si="223"/>
        <v>0.61999999999999744</v>
      </c>
      <c r="E1145">
        <f t="shared" ca="1" si="224"/>
        <v>0</v>
      </c>
      <c r="F1145">
        <f t="shared" ca="1" si="226"/>
        <v>0.29731112212518684</v>
      </c>
      <c r="G1145">
        <f t="shared" ca="1" si="227"/>
        <v>0.17062257206225631</v>
      </c>
      <c r="H1145">
        <f t="shared" ca="1" si="228"/>
        <v>1.7425075623447099</v>
      </c>
      <c r="I1145">
        <f t="shared" ca="1" si="229"/>
        <v>63.537019414996664</v>
      </c>
      <c r="J1145">
        <f t="shared" ca="1" si="230"/>
        <v>0</v>
      </c>
      <c r="K1145">
        <f t="shared" ca="1" si="231"/>
        <v>0</v>
      </c>
      <c r="L1145">
        <f t="shared" ca="1" si="225"/>
        <v>0</v>
      </c>
      <c r="M1145" t="str">
        <f t="shared" ca="1" si="232"/>
        <v>na</v>
      </c>
      <c r="N1145" t="str">
        <f t="shared" ca="1" si="233"/>
        <v>na</v>
      </c>
    </row>
    <row r="1146" spans="1:14" x14ac:dyDescent="0.2">
      <c r="A1146" vm="2032">
        <f ca="1"/>
        <v>45912</v>
      </c>
      <c r="B1146" vm="2033">
        <f ca="1"/>
        <v>50.58</v>
      </c>
      <c r="C1146">
        <f t="shared" ca="1" si="222"/>
        <v>-0.17000000000000171</v>
      </c>
      <c r="D1146">
        <f t="shared" ca="1" si="223"/>
        <v>0</v>
      </c>
      <c r="E1146">
        <f t="shared" ca="1" si="224"/>
        <v>0.17000000000000171</v>
      </c>
      <c r="F1146">
        <f t="shared" ca="1" si="226"/>
        <v>0.27607461340195921</v>
      </c>
      <c r="G1146">
        <f t="shared" ca="1" si="227"/>
        <v>0.17057810262923812</v>
      </c>
      <c r="H1146">
        <f t="shared" ca="1" si="228"/>
        <v>1.6184645575641334</v>
      </c>
      <c r="I1146">
        <f t="shared" ca="1" si="229"/>
        <v>61.809679756358236</v>
      </c>
      <c r="J1146">
        <f t="shared" ca="1" si="230"/>
        <v>0</v>
      </c>
      <c r="K1146">
        <f t="shared" ca="1" si="231"/>
        <v>0</v>
      </c>
      <c r="L1146">
        <f t="shared" ca="1" si="225"/>
        <v>0</v>
      </c>
      <c r="M1146" t="str">
        <f t="shared" ca="1" si="232"/>
        <v>na</v>
      </c>
      <c r="N1146" t="str">
        <f t="shared" ca="1" si="233"/>
        <v>na</v>
      </c>
    </row>
    <row r="1147" spans="1:14" x14ac:dyDescent="0.2">
      <c r="A1147" vm="2034">
        <f ca="1"/>
        <v>45915</v>
      </c>
      <c r="B1147" vm="2035">
        <f ca="1"/>
        <v>50.59</v>
      </c>
      <c r="C1147">
        <f t="shared" ca="1" si="222"/>
        <v>1.0000000000005116E-2</v>
      </c>
      <c r="D1147">
        <f t="shared" ca="1" si="223"/>
        <v>1.0000000000005116E-2</v>
      </c>
      <c r="E1147">
        <f t="shared" ca="1" si="224"/>
        <v>0</v>
      </c>
      <c r="F1147">
        <f t="shared" ca="1" si="226"/>
        <v>0.25706928387324818</v>
      </c>
      <c r="G1147">
        <f t="shared" ca="1" si="227"/>
        <v>0.15839395244143542</v>
      </c>
      <c r="H1147">
        <f t="shared" ca="1" si="228"/>
        <v>1.6229741092438297</v>
      </c>
      <c r="I1147">
        <f t="shared" ca="1" si="229"/>
        <v>61.87533851455791</v>
      </c>
      <c r="J1147">
        <f t="shared" ca="1" si="230"/>
        <v>0</v>
      </c>
      <c r="K1147">
        <f t="shared" ca="1" si="231"/>
        <v>0</v>
      </c>
      <c r="L1147">
        <f t="shared" ca="1" si="225"/>
        <v>0</v>
      </c>
      <c r="M1147" t="str">
        <f t="shared" ca="1" si="232"/>
        <v>na</v>
      </c>
      <c r="N1147" t="str">
        <f t="shared" ca="1" si="233"/>
        <v>na</v>
      </c>
    </row>
    <row r="1148" spans="1:14" x14ac:dyDescent="0.2">
      <c r="A1148" vm="2036">
        <f ca="1"/>
        <v>45916</v>
      </c>
      <c r="B1148" vm="2037">
        <f ca="1"/>
        <v>50.66</v>
      </c>
      <c r="C1148">
        <f t="shared" ca="1" si="222"/>
        <v>6.9999999999993179E-2</v>
      </c>
      <c r="D1148">
        <f t="shared" ca="1" si="223"/>
        <v>6.9999999999993179E-2</v>
      </c>
      <c r="E1148">
        <f t="shared" ca="1" si="224"/>
        <v>0</v>
      </c>
      <c r="F1148">
        <f t="shared" ca="1" si="226"/>
        <v>0.24370719216801567</v>
      </c>
      <c r="G1148">
        <f t="shared" ca="1" si="227"/>
        <v>0.14708009869561861</v>
      </c>
      <c r="H1148">
        <f t="shared" ca="1" si="228"/>
        <v>1.6569691911369073</v>
      </c>
      <c r="I1148">
        <f t="shared" ca="1" si="229"/>
        <v>62.363131520839964</v>
      </c>
      <c r="J1148">
        <f t="shared" ca="1" si="230"/>
        <v>0</v>
      </c>
      <c r="K1148">
        <f t="shared" ca="1" si="231"/>
        <v>0</v>
      </c>
      <c r="L1148">
        <f t="shared" ca="1" si="225"/>
        <v>0</v>
      </c>
      <c r="M1148" t="str">
        <f t="shared" ca="1" si="232"/>
        <v>na</v>
      </c>
      <c r="N1148" t="str">
        <f t="shared" ca="1" si="233"/>
        <v>na</v>
      </c>
    </row>
    <row r="1149" spans="1:14" x14ac:dyDescent="0.2">
      <c r="A1149" vm="2038">
        <f ca="1"/>
        <v>45917</v>
      </c>
      <c r="B1149" vm="2039">
        <f ca="1"/>
        <v>51.4</v>
      </c>
      <c r="C1149">
        <f t="shared" ca="1" si="222"/>
        <v>0.74000000000000199</v>
      </c>
      <c r="D1149">
        <f t="shared" ca="1" si="223"/>
        <v>0.74000000000000199</v>
      </c>
      <c r="E1149">
        <f t="shared" ca="1" si="224"/>
        <v>0</v>
      </c>
      <c r="F1149">
        <f t="shared" ca="1" si="226"/>
        <v>0.27915667844172898</v>
      </c>
      <c r="G1149">
        <f t="shared" ca="1" si="227"/>
        <v>0.1365743773602173</v>
      </c>
      <c r="H1149">
        <f t="shared" ca="1" si="228"/>
        <v>2.0439901234581388</v>
      </c>
      <c r="I1149">
        <f t="shared" ca="1" si="229"/>
        <v>67.14838224034888</v>
      </c>
      <c r="J1149">
        <f t="shared" ca="1" si="230"/>
        <v>0</v>
      </c>
      <c r="K1149">
        <f t="shared" ca="1" si="231"/>
        <v>0</v>
      </c>
      <c r="L1149">
        <f t="shared" ca="1" si="225"/>
        <v>0</v>
      </c>
      <c r="M1149" t="str">
        <f t="shared" ca="1" si="232"/>
        <v>na</v>
      </c>
      <c r="N1149" t="str">
        <f t="shared" ca="1" si="233"/>
        <v>na</v>
      </c>
    </row>
    <row r="1150" spans="1:14" x14ac:dyDescent="0.2">
      <c r="A1150" vm="2040">
        <f ca="1"/>
        <v>45918</v>
      </c>
      <c r="B1150" vm="2041">
        <f ca="1"/>
        <v>52.13</v>
      </c>
      <c r="C1150">
        <f t="shared" ca="1" si="222"/>
        <v>0.73000000000000398</v>
      </c>
      <c r="D1150">
        <f t="shared" ca="1" si="223"/>
        <v>0.73000000000000398</v>
      </c>
      <c r="E1150">
        <f t="shared" ca="1" si="224"/>
        <v>0</v>
      </c>
      <c r="F1150">
        <f t="shared" ca="1" si="226"/>
        <v>0.31135977283874861</v>
      </c>
      <c r="G1150">
        <f t="shared" ca="1" si="227"/>
        <v>0.12681906469163035</v>
      </c>
      <c r="H1150">
        <f t="shared" ca="1" si="228"/>
        <v>2.4551495754667663</v>
      </c>
      <c r="I1150">
        <f t="shared" ca="1" si="229"/>
        <v>71.05769292593051</v>
      </c>
      <c r="J1150">
        <f t="shared" ca="1" si="230"/>
        <v>0</v>
      </c>
      <c r="K1150">
        <f t="shared" ca="1" si="231"/>
        <v>0</v>
      </c>
      <c r="L1150">
        <f t="shared" ca="1" si="225"/>
        <v>1</v>
      </c>
      <c r="M1150" t="str">
        <f t="shared" ca="1" si="232"/>
        <v>na</v>
      </c>
      <c r="N1150" t="str">
        <f t="shared" ca="1" si="233"/>
        <v>na</v>
      </c>
    </row>
    <row r="1151" spans="1:14" x14ac:dyDescent="0.2">
      <c r="A1151" vm="2042">
        <f ca="1"/>
        <v>45919</v>
      </c>
      <c r="B1151" vm="2043">
        <f ca="1"/>
        <v>52.25</v>
      </c>
      <c r="C1151">
        <f t="shared" ca="1" si="222"/>
        <v>0.11999999999999744</v>
      </c>
      <c r="D1151">
        <f t="shared" ca="1" si="223"/>
        <v>0.11999999999999744</v>
      </c>
      <c r="E1151">
        <f t="shared" ca="1" si="224"/>
        <v>0</v>
      </c>
      <c r="F1151">
        <f t="shared" ca="1" si="226"/>
        <v>0.29769121763598066</v>
      </c>
      <c r="G1151">
        <f t="shared" ca="1" si="227"/>
        <v>0.1177605600707996</v>
      </c>
      <c r="H1151">
        <f t="shared" ca="1" si="228"/>
        <v>2.5279364963702937</v>
      </c>
      <c r="I1151">
        <f t="shared" ca="1" si="229"/>
        <v>71.654818587895591</v>
      </c>
      <c r="J1151">
        <f t="shared" ca="1" si="230"/>
        <v>0</v>
      </c>
      <c r="K1151">
        <f t="shared" ca="1" si="231"/>
        <v>0</v>
      </c>
      <c r="L1151">
        <f t="shared" ca="1" si="225"/>
        <v>1</v>
      </c>
      <c r="M1151" t="str">
        <f t="shared" ca="1" si="232"/>
        <v>na</v>
      </c>
      <c r="N1151" t="str">
        <f t="shared" ca="1" si="233"/>
        <v>na</v>
      </c>
    </row>
    <row r="1152" spans="1:14" x14ac:dyDescent="0.2">
      <c r="A1152" vm="2044">
        <f ca="1"/>
        <v>45922</v>
      </c>
      <c r="B1152" vm="2045">
        <f ca="1"/>
        <v>51.92</v>
      </c>
      <c r="C1152">
        <f t="shared" ca="1" si="222"/>
        <v>-0.32999999999999829</v>
      </c>
      <c r="D1152">
        <f t="shared" ca="1" si="223"/>
        <v>0</v>
      </c>
      <c r="E1152">
        <f t="shared" ca="1" si="224"/>
        <v>0.32999999999999829</v>
      </c>
      <c r="F1152">
        <f t="shared" ca="1" si="226"/>
        <v>0.27642755923341061</v>
      </c>
      <c r="G1152">
        <f t="shared" ca="1" si="227"/>
        <v>0.13292052006574237</v>
      </c>
      <c r="H1152">
        <f t="shared" ca="1" si="228"/>
        <v>2.0796454836069689</v>
      </c>
      <c r="I1152">
        <f t="shared" ca="1" si="229"/>
        <v>67.528730000806092</v>
      </c>
      <c r="J1152">
        <f t="shared" ca="1" si="230"/>
        <v>0</v>
      </c>
      <c r="K1152">
        <f t="shared" ca="1" si="231"/>
        <v>0</v>
      </c>
      <c r="L1152">
        <f t="shared" ca="1" si="225"/>
        <v>0</v>
      </c>
      <c r="M1152" t="str">
        <f t="shared" ca="1" si="232"/>
        <v>na</v>
      </c>
      <c r="N1152" t="str">
        <f t="shared" ca="1" si="233"/>
        <v>na</v>
      </c>
    </row>
    <row r="1153" spans="1:14" x14ac:dyDescent="0.2">
      <c r="A1153" vm="2046">
        <f ca="1"/>
        <v>45923</v>
      </c>
      <c r="B1153" vm="2047">
        <f ca="1"/>
        <v>51.7</v>
      </c>
      <c r="C1153">
        <f t="shared" ca="1" si="222"/>
        <v>-0.21999999999999886</v>
      </c>
      <c r="D1153">
        <f t="shared" ca="1" si="223"/>
        <v>0</v>
      </c>
      <c r="E1153">
        <f t="shared" ca="1" si="224"/>
        <v>0.21999999999999886</v>
      </c>
      <c r="F1153">
        <f t="shared" ca="1" si="226"/>
        <v>0.25668273357388127</v>
      </c>
      <c r="G1153">
        <f t="shared" ca="1" si="227"/>
        <v>0.13914048291818926</v>
      </c>
      <c r="H1153">
        <f t="shared" ca="1" si="228"/>
        <v>1.8447739161923391</v>
      </c>
      <c r="I1153">
        <f t="shared" ca="1" si="229"/>
        <v>64.847821673699968</v>
      </c>
      <c r="J1153">
        <f t="shared" ca="1" si="230"/>
        <v>0</v>
      </c>
      <c r="K1153">
        <f t="shared" ca="1" si="231"/>
        <v>0</v>
      </c>
      <c r="L1153">
        <f t="shared" ca="1" si="225"/>
        <v>0</v>
      </c>
      <c r="M1153" t="str">
        <f t="shared" ca="1" si="232"/>
        <v>na</v>
      </c>
      <c r="N1153" t="str">
        <f t="shared" ca="1" si="233"/>
        <v>na</v>
      </c>
    </row>
    <row r="1154" spans="1:14" x14ac:dyDescent="0.2">
      <c r="A1154" vm="2048">
        <f ca="1"/>
        <v>45924</v>
      </c>
      <c r="B1154" vm="2047">
        <f ca="1"/>
        <v>51.7</v>
      </c>
      <c r="C1154">
        <f t="shared" ca="1" si="222"/>
        <v>0</v>
      </c>
      <c r="D1154">
        <f t="shared" ca="1" si="223"/>
        <v>0</v>
      </c>
      <c r="E1154">
        <f t="shared" ca="1" si="224"/>
        <v>0</v>
      </c>
      <c r="F1154">
        <f t="shared" ca="1" si="226"/>
        <v>0.23834825260431833</v>
      </c>
      <c r="G1154">
        <f t="shared" ca="1" si="227"/>
        <v>0.12920187699546146</v>
      </c>
      <c r="H1154">
        <f t="shared" ca="1" si="228"/>
        <v>1.8447739161923391</v>
      </c>
      <c r="I1154">
        <f t="shared" ca="1" si="229"/>
        <v>64.847821673699968</v>
      </c>
      <c r="J1154">
        <f t="shared" ca="1" si="230"/>
        <v>0</v>
      </c>
      <c r="K1154">
        <f t="shared" ca="1" si="231"/>
        <v>0</v>
      </c>
      <c r="L1154">
        <f t="shared" ca="1" si="225"/>
        <v>0</v>
      </c>
      <c r="M1154" t="str">
        <f t="shared" ca="1" si="232"/>
        <v>na</v>
      </c>
      <c r="N1154" t="str">
        <f t="shared" ca="1" si="233"/>
        <v>na</v>
      </c>
    </row>
    <row r="1155" spans="1:14" x14ac:dyDescent="0.2">
      <c r="A1155" vm="2049">
        <f ca="1"/>
        <v>45925</v>
      </c>
      <c r="B1155" vm="2050">
        <f ca="1"/>
        <v>51.85</v>
      </c>
      <c r="C1155">
        <f t="shared" ca="1" si="222"/>
        <v>0.14999999999999858</v>
      </c>
      <c r="D1155">
        <f t="shared" ca="1" si="223"/>
        <v>0.14999999999999858</v>
      </c>
      <c r="E1155">
        <f t="shared" ca="1" si="224"/>
        <v>0</v>
      </c>
      <c r="F1155">
        <f t="shared" ca="1" si="226"/>
        <v>0.2320376631325812</v>
      </c>
      <c r="G1155">
        <f t="shared" ca="1" si="227"/>
        <v>0.11997317149578564</v>
      </c>
      <c r="H1155">
        <f t="shared" ca="1" si="228"/>
        <v>1.9340795966265851</v>
      </c>
      <c r="I1155">
        <f t="shared" ca="1" si="229"/>
        <v>65.917761701157133</v>
      </c>
      <c r="J1155">
        <f t="shared" ca="1" si="230"/>
        <v>0</v>
      </c>
      <c r="K1155">
        <f t="shared" ca="1" si="231"/>
        <v>0</v>
      </c>
      <c r="L1155">
        <f t="shared" ca="1" si="225"/>
        <v>0</v>
      </c>
      <c r="M1155" t="str">
        <f t="shared" ca="1" si="232"/>
        <v>na</v>
      </c>
      <c r="N1155" t="str">
        <f t="shared" ca="1" si="233"/>
        <v>na</v>
      </c>
    </row>
    <row r="1156" spans="1:14" x14ac:dyDescent="0.2">
      <c r="A1156" vm="2051">
        <f ca="1"/>
        <v>45926</v>
      </c>
      <c r="B1156" vm="2052">
        <f ca="1"/>
        <v>52.21</v>
      </c>
      <c r="C1156">
        <f t="shared" ca="1" si="222"/>
        <v>0.35999999999999943</v>
      </c>
      <c r="D1156">
        <f t="shared" ca="1" si="223"/>
        <v>0.35999999999999943</v>
      </c>
      <c r="E1156">
        <f t="shared" ca="1" si="224"/>
        <v>0</v>
      </c>
      <c r="F1156">
        <f t="shared" ca="1" si="226"/>
        <v>0.2411778300516825</v>
      </c>
      <c r="G1156">
        <f t="shared" ca="1" si="227"/>
        <v>0.11140365924608667</v>
      </c>
      <c r="H1156">
        <f t="shared" ca="1" si="228"/>
        <v>2.1649004322104841</v>
      </c>
      <c r="I1156">
        <f t="shared" ca="1" si="229"/>
        <v>68.403429383667444</v>
      </c>
      <c r="J1156">
        <f t="shared" ca="1" si="230"/>
        <v>0</v>
      </c>
      <c r="K1156">
        <f t="shared" ca="1" si="231"/>
        <v>0</v>
      </c>
      <c r="L1156">
        <f t="shared" ca="1" si="225"/>
        <v>0</v>
      </c>
      <c r="M1156" t="str">
        <f t="shared" ca="1" si="232"/>
        <v>na</v>
      </c>
      <c r="N1156" t="str">
        <f t="shared" ca="1" si="233"/>
        <v>na</v>
      </c>
    </row>
    <row r="1157" spans="1:14" x14ac:dyDescent="0.2">
      <c r="A1157" vm="2053">
        <f ca="1"/>
        <v>45929</v>
      </c>
      <c r="B1157" vm="2054">
        <f ca="1"/>
        <v>52.42</v>
      </c>
      <c r="C1157">
        <f t="shared" ca="1" si="222"/>
        <v>0.21000000000000085</v>
      </c>
      <c r="D1157">
        <f t="shared" ca="1" si="223"/>
        <v>0.21000000000000085</v>
      </c>
      <c r="E1157">
        <f t="shared" ca="1" si="224"/>
        <v>0</v>
      </c>
      <c r="F1157">
        <f t="shared" ca="1" si="226"/>
        <v>0.23895084219084811</v>
      </c>
      <c r="G1157">
        <f t="shared" ca="1" si="227"/>
        <v>0.10344625501422333</v>
      </c>
      <c r="H1157">
        <f t="shared" ca="1" si="228"/>
        <v>2.3099032648208828</v>
      </c>
      <c r="I1157">
        <f t="shared" ca="1" si="229"/>
        <v>69.787636677227312</v>
      </c>
      <c r="J1157">
        <f t="shared" ca="1" si="230"/>
        <v>0</v>
      </c>
      <c r="K1157">
        <f t="shared" ca="1" si="231"/>
        <v>0</v>
      </c>
      <c r="L1157">
        <f t="shared" ca="1" si="225"/>
        <v>0</v>
      </c>
      <c r="M1157" t="str">
        <f t="shared" ca="1" si="232"/>
        <v>na</v>
      </c>
      <c r="N1157" t="str">
        <f t="shared" ca="1" si="233"/>
        <v>na</v>
      </c>
    </row>
    <row r="1158" spans="1:14" x14ac:dyDescent="0.2">
      <c r="A1158" vm="2055">
        <f ca="1"/>
        <v>45930</v>
      </c>
      <c r="B1158" vm="2056">
        <f ca="1"/>
        <v>51.59</v>
      </c>
      <c r="C1158">
        <f t="shared" ca="1" si="222"/>
        <v>-0.82999999999999829</v>
      </c>
      <c r="D1158">
        <f t="shared" ca="1" si="223"/>
        <v>0</v>
      </c>
      <c r="E1158">
        <f t="shared" ca="1" si="224"/>
        <v>0.82999999999999829</v>
      </c>
      <c r="F1158">
        <f t="shared" ca="1" si="226"/>
        <v>0.2218829248915018</v>
      </c>
      <c r="G1158">
        <f t="shared" ca="1" si="227"/>
        <v>0.15534295108463583</v>
      </c>
      <c r="H1158">
        <f t="shared" ca="1" si="228"/>
        <v>1.4283424084728045</v>
      </c>
      <c r="I1158">
        <f t="shared" ca="1" si="229"/>
        <v>58.819646005815777</v>
      </c>
      <c r="J1158">
        <f t="shared" ca="1" si="230"/>
        <v>0</v>
      </c>
      <c r="K1158">
        <f t="shared" ca="1" si="231"/>
        <v>0</v>
      </c>
      <c r="L1158">
        <f t="shared" ca="1" si="225"/>
        <v>0</v>
      </c>
      <c r="M1158" t="str">
        <f t="shared" ca="1" si="232"/>
        <v>na</v>
      </c>
      <c r="N1158" t="str">
        <f t="shared" ca="1" si="233"/>
        <v>na</v>
      </c>
    </row>
    <row r="1159" spans="1:14" x14ac:dyDescent="0.2">
      <c r="A1159" vm="2057">
        <f ca="1"/>
        <v>45931</v>
      </c>
      <c r="B1159" vm="2058">
        <f ca="1"/>
        <v>50.68</v>
      </c>
      <c r="C1159">
        <f t="shared" ca="1" si="222"/>
        <v>-0.91000000000000369</v>
      </c>
      <c r="D1159">
        <f t="shared" ca="1" si="223"/>
        <v>0</v>
      </c>
      <c r="E1159">
        <f t="shared" ca="1" si="224"/>
        <v>0.91000000000000369</v>
      </c>
      <c r="F1159">
        <f t="shared" ca="1" si="226"/>
        <v>0.2060341445421088</v>
      </c>
      <c r="G1159">
        <f t="shared" ca="1" si="227"/>
        <v>0.20924702600716211</v>
      </c>
      <c r="H1159">
        <f t="shared" ca="1" si="228"/>
        <v>0.9846455095378831</v>
      </c>
      <c r="I1159">
        <f t="shared" ca="1" si="229"/>
        <v>49.61316793381171</v>
      </c>
      <c r="J1159">
        <f t="shared" ca="1" si="230"/>
        <v>0</v>
      </c>
      <c r="K1159">
        <f t="shared" ca="1" si="231"/>
        <v>0</v>
      </c>
      <c r="L1159">
        <f t="shared" ca="1" si="225"/>
        <v>0</v>
      </c>
      <c r="M1159" t="str">
        <f t="shared" ca="1" si="232"/>
        <v>na</v>
      </c>
      <c r="N1159" t="str">
        <f t="shared" ca="1" si="233"/>
        <v>na</v>
      </c>
    </row>
    <row r="1160" spans="1:14" x14ac:dyDescent="0.2">
      <c r="A1160" vm="2059">
        <f ca="1"/>
        <v>45932</v>
      </c>
      <c r="B1160" vm="2060">
        <f ca="1"/>
        <v>50.48</v>
      </c>
      <c r="C1160">
        <f t="shared" ca="1" si="222"/>
        <v>-0.20000000000000284</v>
      </c>
      <c r="D1160">
        <f t="shared" ca="1" si="223"/>
        <v>0</v>
      </c>
      <c r="E1160">
        <f t="shared" ca="1" si="224"/>
        <v>0.20000000000000284</v>
      </c>
      <c r="F1160">
        <f t="shared" ca="1" si="226"/>
        <v>0.19131741993195819</v>
      </c>
      <c r="G1160">
        <f t="shared" ca="1" si="227"/>
        <v>0.20858652414950787</v>
      </c>
      <c r="H1160">
        <f t="shared" ca="1" si="228"/>
        <v>0.91720891707667673</v>
      </c>
      <c r="I1160">
        <f t="shared" ca="1" si="229"/>
        <v>47.84084347339774</v>
      </c>
      <c r="J1160">
        <f t="shared" ca="1" si="230"/>
        <v>0</v>
      </c>
      <c r="K1160">
        <f t="shared" ca="1" si="231"/>
        <v>0</v>
      </c>
      <c r="L1160">
        <f t="shared" ca="1" si="225"/>
        <v>0</v>
      </c>
      <c r="M1160" t="str">
        <f t="shared" ca="1" si="232"/>
        <v>na</v>
      </c>
      <c r="N1160" t="str">
        <f t="shared" ca="1" si="233"/>
        <v>na</v>
      </c>
    </row>
    <row r="1161" spans="1:14" x14ac:dyDescent="0.2">
      <c r="A1161" vm="2061">
        <f ca="1"/>
        <v>45933</v>
      </c>
      <c r="B1161" vm="2062">
        <f ca="1"/>
        <v>50.64</v>
      </c>
      <c r="C1161">
        <f t="shared" ref="C1161:C1224" ca="1" si="234">B1161-B1160</f>
        <v>0.16000000000000369</v>
      </c>
      <c r="D1161">
        <f t="shared" ref="D1161:D1224" ca="1" si="235">IF(C1161&gt;0,C1161,0)</f>
        <v>0.16000000000000369</v>
      </c>
      <c r="E1161">
        <f t="shared" ref="E1161:E1224" ca="1" si="236">IF(C1161&lt;0,ABS(C1161),0)</f>
        <v>0</v>
      </c>
      <c r="F1161">
        <f t="shared" ca="1" si="226"/>
        <v>0.18908046136539003</v>
      </c>
      <c r="G1161">
        <f t="shared" ca="1" si="227"/>
        <v>0.19368748671025732</v>
      </c>
      <c r="H1161">
        <f t="shared" ca="1" si="228"/>
        <v>0.97621413017889447</v>
      </c>
      <c r="I1161">
        <f t="shared" ca="1" si="229"/>
        <v>49.398196039136906</v>
      </c>
      <c r="J1161">
        <f t="shared" ca="1" si="230"/>
        <v>0</v>
      </c>
      <c r="K1161">
        <f t="shared" ca="1" si="231"/>
        <v>0</v>
      </c>
      <c r="L1161">
        <f t="shared" ca="1" si="225"/>
        <v>0</v>
      </c>
      <c r="M1161" t="str">
        <f t="shared" ca="1" si="232"/>
        <v>na</v>
      </c>
      <c r="N1161" t="str">
        <f t="shared" ca="1" si="233"/>
        <v>na</v>
      </c>
    </row>
    <row r="1162" spans="1:14" x14ac:dyDescent="0.2">
      <c r="A1162" vm="2063">
        <f ca="1"/>
        <v>45936</v>
      </c>
      <c r="B1162" vm="2064">
        <f ca="1"/>
        <v>50.39</v>
      </c>
      <c r="C1162">
        <f t="shared" ca="1" si="234"/>
        <v>-0.25</v>
      </c>
      <c r="D1162">
        <f t="shared" ca="1" si="235"/>
        <v>0</v>
      </c>
      <c r="E1162">
        <f t="shared" ca="1" si="236"/>
        <v>0.25</v>
      </c>
      <c r="F1162">
        <f t="shared" ca="1" si="226"/>
        <v>0.17557471412500503</v>
      </c>
      <c r="G1162">
        <f t="shared" ca="1" si="227"/>
        <v>0.19770980908809607</v>
      </c>
      <c r="H1162">
        <f t="shared" ca="1" si="228"/>
        <v>0.88804250499666393</v>
      </c>
      <c r="I1162">
        <f t="shared" ca="1" si="229"/>
        <v>47.035090716786229</v>
      </c>
      <c r="J1162">
        <f t="shared" ca="1" si="230"/>
        <v>0</v>
      </c>
      <c r="K1162">
        <f t="shared" ca="1" si="231"/>
        <v>0</v>
      </c>
      <c r="L1162">
        <f t="shared" ca="1" si="225"/>
        <v>0</v>
      </c>
      <c r="M1162" t="str">
        <f t="shared" ca="1" si="232"/>
        <v>na</v>
      </c>
      <c r="N1162" t="str">
        <f t="shared" ca="1" si="233"/>
        <v>na</v>
      </c>
    </row>
    <row r="1163" spans="1:14" x14ac:dyDescent="0.2">
      <c r="A1163" vm="2065">
        <f ca="1"/>
        <v>45937</v>
      </c>
      <c r="B1163" vm="2027">
        <f ca="1"/>
        <v>50.29</v>
      </c>
      <c r="C1163">
        <f t="shared" ca="1" si="234"/>
        <v>-0.10000000000000142</v>
      </c>
      <c r="D1163">
        <f t="shared" ca="1" si="235"/>
        <v>0</v>
      </c>
      <c r="E1163">
        <f t="shared" ca="1" si="236"/>
        <v>0.10000000000000142</v>
      </c>
      <c r="F1163">
        <f t="shared" ca="1" si="226"/>
        <v>0.16303366311607609</v>
      </c>
      <c r="G1163">
        <f t="shared" ca="1" si="227"/>
        <v>0.19073053701037504</v>
      </c>
      <c r="H1163">
        <f t="shared" ca="1" si="228"/>
        <v>0.85478532002039953</v>
      </c>
      <c r="I1163">
        <f t="shared" ca="1" si="229"/>
        <v>46.085404644619381</v>
      </c>
      <c r="J1163">
        <f t="shared" ca="1" si="230"/>
        <v>0</v>
      </c>
      <c r="K1163">
        <f t="shared" ca="1" si="231"/>
        <v>0</v>
      </c>
      <c r="L1163">
        <f t="shared" ca="1" si="225"/>
        <v>0</v>
      </c>
      <c r="M1163" t="str">
        <f t="shared" ca="1" si="232"/>
        <v>na</v>
      </c>
      <c r="N1163" t="str">
        <f t="shared" ca="1" si="233"/>
        <v>na</v>
      </c>
    </row>
    <row r="1164" spans="1:14" x14ac:dyDescent="0.2">
      <c r="A1164" vm="2066">
        <f ca="1"/>
        <v>45938</v>
      </c>
      <c r="B1164" vm="2067">
        <f ca="1"/>
        <v>49.84</v>
      </c>
      <c r="C1164">
        <f t="shared" ca="1" si="234"/>
        <v>-0.44999999999999574</v>
      </c>
      <c r="D1164">
        <f t="shared" ca="1" si="235"/>
        <v>0</v>
      </c>
      <c r="E1164">
        <f t="shared" ca="1" si="236"/>
        <v>0.44999999999999574</v>
      </c>
      <c r="F1164">
        <f t="shared" ca="1" si="226"/>
        <v>0.1513884014649278</v>
      </c>
      <c r="G1164">
        <f t="shared" ca="1" si="227"/>
        <v>0.20924978436677652</v>
      </c>
      <c r="H1164">
        <f t="shared" ca="1" si="228"/>
        <v>0.72348175613682675</v>
      </c>
      <c r="I1164">
        <f t="shared" ca="1" si="229"/>
        <v>41.977917872394919</v>
      </c>
      <c r="J1164">
        <f t="shared" ca="1" si="230"/>
        <v>0</v>
      </c>
      <c r="K1164">
        <f t="shared" ca="1" si="231"/>
        <v>0</v>
      </c>
      <c r="L1164">
        <f t="shared" ca="1" si="225"/>
        <v>0</v>
      </c>
      <c r="M1164" t="str">
        <f t="shared" ca="1" si="232"/>
        <v>na</v>
      </c>
      <c r="N1164" t="str">
        <f t="shared" ca="1" si="233"/>
        <v>na</v>
      </c>
    </row>
    <row r="1165" spans="1:14" x14ac:dyDescent="0.2">
      <c r="A1165" vm="2068">
        <f ca="1"/>
        <v>45939</v>
      </c>
      <c r="B1165" vm="2069">
        <f ca="1"/>
        <v>49.79</v>
      </c>
      <c r="C1165">
        <f t="shared" ca="1" si="234"/>
        <v>-5.0000000000004263E-2</v>
      </c>
      <c r="D1165">
        <f t="shared" ca="1" si="235"/>
        <v>0</v>
      </c>
      <c r="E1165">
        <f t="shared" ca="1" si="236"/>
        <v>5.0000000000004263E-2</v>
      </c>
      <c r="F1165">
        <f t="shared" ca="1" si="226"/>
        <v>0.14057494421743294</v>
      </c>
      <c r="G1165">
        <f t="shared" ca="1" si="227"/>
        <v>0.19787479976914993</v>
      </c>
      <c r="H1165">
        <f t="shared" ca="1" si="228"/>
        <v>0.71042368397306932</v>
      </c>
      <c r="I1165">
        <f t="shared" ca="1" si="229"/>
        <v>41.534953627563013</v>
      </c>
      <c r="J1165">
        <f t="shared" ca="1" si="230"/>
        <v>0</v>
      </c>
      <c r="K1165">
        <f t="shared" ca="1" si="231"/>
        <v>0</v>
      </c>
      <c r="L1165">
        <f t="shared" ca="1" si="225"/>
        <v>0</v>
      </c>
      <c r="M1165" t="str">
        <f t="shared" ca="1" si="232"/>
        <v>na</v>
      </c>
      <c r="N1165" t="str">
        <f t="shared" ca="1" si="233"/>
        <v>na</v>
      </c>
    </row>
    <row r="1166" spans="1:14" x14ac:dyDescent="0.2">
      <c r="A1166" vm="2070">
        <f ca="1"/>
        <v>45940</v>
      </c>
      <c r="B1166" vm="71">
        <f ca="1"/>
        <v>48.65</v>
      </c>
      <c r="C1166">
        <f t="shared" ca="1" si="234"/>
        <v>-1.1400000000000006</v>
      </c>
      <c r="D1166">
        <f t="shared" ca="1" si="235"/>
        <v>0</v>
      </c>
      <c r="E1166">
        <f t="shared" ca="1" si="236"/>
        <v>1.1400000000000006</v>
      </c>
      <c r="F1166">
        <f t="shared" ca="1" si="226"/>
        <v>0.13053387677333059</v>
      </c>
      <c r="G1166">
        <f t="shared" ca="1" si="227"/>
        <v>0.26516945692849642</v>
      </c>
      <c r="H1166">
        <f t="shared" ca="1" si="228"/>
        <v>0.49226588267490157</v>
      </c>
      <c r="I1166">
        <f t="shared" ca="1" si="229"/>
        <v>32.98781325701222</v>
      </c>
      <c r="J1166">
        <f t="shared" ca="1" si="230"/>
        <v>1</v>
      </c>
      <c r="K1166">
        <f t="shared" ca="1" si="231"/>
        <v>1</v>
      </c>
      <c r="L1166">
        <f t="shared" ca="1" si="225"/>
        <v>0</v>
      </c>
      <c r="M1166" vm="71">
        <f t="shared" ca="1" si="232"/>
        <v>48.65</v>
      </c>
      <c r="N1166" t="str">
        <f t="shared" ca="1" si="233"/>
        <v>na</v>
      </c>
    </row>
    <row r="1167" spans="1:14" x14ac:dyDescent="0.2">
      <c r="A1167" vm="2071">
        <f ca="1"/>
        <v>45943</v>
      </c>
      <c r="B1167" vm="437">
        <f ca="1"/>
        <v>48.86</v>
      </c>
      <c r="C1167">
        <f t="shared" ca="1" si="234"/>
        <v>0.21000000000000085</v>
      </c>
      <c r="D1167">
        <f t="shared" ca="1" si="235"/>
        <v>0.21000000000000085</v>
      </c>
      <c r="E1167">
        <f t="shared" ca="1" si="236"/>
        <v>0</v>
      </c>
      <c r="F1167">
        <f t="shared" ca="1" si="226"/>
        <v>0.13621002843237845</v>
      </c>
      <c r="G1167">
        <f t="shared" ca="1" si="227"/>
        <v>0.2462287814336038</v>
      </c>
      <c r="H1167">
        <f t="shared" ca="1" si="228"/>
        <v>0.55318483744804559</v>
      </c>
      <c r="I1167">
        <f t="shared" ca="1" si="229"/>
        <v>35.616162616997585</v>
      </c>
      <c r="J1167">
        <f t="shared" ca="1" si="230"/>
        <v>1</v>
      </c>
      <c r="K1167">
        <f t="shared" ca="1" si="231"/>
        <v>1</v>
      </c>
      <c r="L1167">
        <f t="shared" ca="1" si="225"/>
        <v>0</v>
      </c>
      <c r="M1167" t="str">
        <f t="shared" ca="1" si="232"/>
        <v>na</v>
      </c>
      <c r="N1167" t="str">
        <f t="shared" ca="1" si="233"/>
        <v>na</v>
      </c>
    </row>
    <row r="1168" spans="1:14" x14ac:dyDescent="0.2">
      <c r="A1168" vm="2072">
        <f ca="1"/>
        <v>45944</v>
      </c>
      <c r="B1168" vm="2073">
        <f ca="1"/>
        <v>50.09</v>
      </c>
      <c r="C1168">
        <f t="shared" ca="1" si="234"/>
        <v>1.230000000000004</v>
      </c>
      <c r="D1168">
        <f t="shared" ca="1" si="235"/>
        <v>1.230000000000004</v>
      </c>
      <c r="E1168">
        <f t="shared" ca="1" si="236"/>
        <v>0</v>
      </c>
      <c r="F1168">
        <f t="shared" ca="1" si="226"/>
        <v>0.21433788354435171</v>
      </c>
      <c r="G1168">
        <f t="shared" ca="1" si="227"/>
        <v>0.22864101133120354</v>
      </c>
      <c r="H1168">
        <f t="shared" ca="1" si="228"/>
        <v>0.93744285986326104</v>
      </c>
      <c r="I1168">
        <f t="shared" ca="1" si="229"/>
        <v>48.385574577896087</v>
      </c>
      <c r="J1168">
        <f t="shared" ca="1" si="230"/>
        <v>1</v>
      </c>
      <c r="K1168">
        <f t="shared" ca="1" si="231"/>
        <v>0</v>
      </c>
      <c r="L1168">
        <f t="shared" ca="1" si="225"/>
        <v>0</v>
      </c>
      <c r="M1168" t="str">
        <f t="shared" ca="1" si="232"/>
        <v>na</v>
      </c>
      <c r="N1168" t="str">
        <f t="shared" ca="1" si="233"/>
        <v>na</v>
      </c>
    </row>
    <row r="1169" spans="1:14" x14ac:dyDescent="0.2">
      <c r="A1169" vm="2074">
        <f ca="1"/>
        <v>45945</v>
      </c>
      <c r="B1169" vm="2075">
        <f ca="1"/>
        <v>52.28</v>
      </c>
      <c r="C1169">
        <f t="shared" ca="1" si="234"/>
        <v>2.1899999999999977</v>
      </c>
      <c r="D1169">
        <f t="shared" ca="1" si="235"/>
        <v>2.1899999999999977</v>
      </c>
      <c r="E1169">
        <f t="shared" ca="1" si="236"/>
        <v>0</v>
      </c>
      <c r="F1169">
        <f t="shared" ca="1" si="226"/>
        <v>0.35545660614832641</v>
      </c>
      <c r="G1169">
        <f t="shared" ca="1" si="227"/>
        <v>0.21230951052183186</v>
      </c>
      <c r="H1169">
        <f t="shared" ca="1" si="228"/>
        <v>1.674237792149093</v>
      </c>
      <c r="I1169">
        <f t="shared" ca="1" si="229"/>
        <v>62.606167524228582</v>
      </c>
      <c r="J1169">
        <f t="shared" ca="1" si="230"/>
        <v>1</v>
      </c>
      <c r="K1169">
        <f t="shared" ca="1" si="231"/>
        <v>0</v>
      </c>
      <c r="L1169">
        <f t="shared" ca="1" si="225"/>
        <v>0</v>
      </c>
      <c r="M1169" t="str">
        <f t="shared" ca="1" si="232"/>
        <v>na</v>
      </c>
      <c r="N1169" t="str">
        <f t="shared" ca="1" si="233"/>
        <v>na</v>
      </c>
    </row>
    <row r="1170" spans="1:14" x14ac:dyDescent="0.2">
      <c r="A1170" vm="2076">
        <f ca="1"/>
        <v>45946</v>
      </c>
      <c r="B1170" vm="2077">
        <f ca="1"/>
        <v>50.44</v>
      </c>
      <c r="C1170">
        <f t="shared" ca="1" si="234"/>
        <v>-1.8400000000000034</v>
      </c>
      <c r="D1170">
        <f t="shared" ca="1" si="235"/>
        <v>0</v>
      </c>
      <c r="E1170">
        <f t="shared" ca="1" si="236"/>
        <v>1.8400000000000034</v>
      </c>
      <c r="F1170">
        <f t="shared" ca="1" si="226"/>
        <v>0.33006684856630308</v>
      </c>
      <c r="G1170">
        <f t="shared" ca="1" si="227"/>
        <v>0.32857311691312979</v>
      </c>
      <c r="H1170">
        <f t="shared" ca="1" si="228"/>
        <v>1.0045461164540987</v>
      </c>
      <c r="I1170">
        <f t="shared" ca="1" si="229"/>
        <v>50.113395157556674</v>
      </c>
      <c r="J1170">
        <f t="shared" ca="1" si="230"/>
        <v>1</v>
      </c>
      <c r="K1170">
        <f t="shared" ca="1" si="231"/>
        <v>0</v>
      </c>
      <c r="L1170">
        <f t="shared" ca="1" si="225"/>
        <v>0</v>
      </c>
      <c r="M1170" t="str">
        <f t="shared" ca="1" si="232"/>
        <v>na</v>
      </c>
      <c r="N1170" t="str">
        <f t="shared" ca="1" si="233"/>
        <v>na</v>
      </c>
    </row>
    <row r="1171" spans="1:14" x14ac:dyDescent="0.2">
      <c r="A1171" vm="2078">
        <f ca="1"/>
        <v>45947</v>
      </c>
      <c r="B1171" vm="2079">
        <f ca="1"/>
        <v>51.28</v>
      </c>
      <c r="C1171">
        <f t="shared" ca="1" si="234"/>
        <v>0.84000000000000341</v>
      </c>
      <c r="D1171">
        <f t="shared" ca="1" si="235"/>
        <v>0.84000000000000341</v>
      </c>
      <c r="E1171">
        <f t="shared" ca="1" si="236"/>
        <v>0</v>
      </c>
      <c r="F1171">
        <f t="shared" ca="1" si="226"/>
        <v>0.36649064509728169</v>
      </c>
      <c r="G1171">
        <f t="shared" ca="1" si="227"/>
        <v>0.30510360856219199</v>
      </c>
      <c r="H1171">
        <f t="shared" ca="1" si="228"/>
        <v>1.2012006243530766</v>
      </c>
      <c r="I1171">
        <f t="shared" ca="1" si="229"/>
        <v>54.570247303382644</v>
      </c>
      <c r="J1171">
        <f t="shared" ca="1" si="230"/>
        <v>1</v>
      </c>
      <c r="K1171">
        <f t="shared" ca="1" si="231"/>
        <v>0</v>
      </c>
      <c r="L1171">
        <f t="shared" ca="1" si="225"/>
        <v>0</v>
      </c>
      <c r="M1171" t="str">
        <f t="shared" ca="1" si="232"/>
        <v>na</v>
      </c>
      <c r="N1171" t="str">
        <f t="shared" ca="1" si="233"/>
        <v>na</v>
      </c>
    </row>
    <row r="1172" spans="1:14" x14ac:dyDescent="0.2">
      <c r="A1172" vm="2080">
        <f ca="1"/>
        <v>45950</v>
      </c>
      <c r="B1172" vm="2081">
        <f ca="1"/>
        <v>52.04</v>
      </c>
      <c r="C1172">
        <f t="shared" ca="1" si="234"/>
        <v>0.75999999999999801</v>
      </c>
      <c r="D1172">
        <f t="shared" ca="1" si="235"/>
        <v>0.75999999999999801</v>
      </c>
      <c r="E1172">
        <f t="shared" ca="1" si="236"/>
        <v>0</v>
      </c>
      <c r="F1172">
        <f t="shared" ca="1" si="226"/>
        <v>0.39459845616176142</v>
      </c>
      <c r="G1172">
        <f t="shared" ca="1" si="227"/>
        <v>0.28331049366489258</v>
      </c>
      <c r="H1172">
        <f t="shared" ca="1" si="228"/>
        <v>1.3928127089725921</v>
      </c>
      <c r="I1172">
        <f t="shared" ca="1" si="229"/>
        <v>58.208179175487054</v>
      </c>
      <c r="J1172">
        <f t="shared" ca="1" si="230"/>
        <v>1</v>
      </c>
      <c r="K1172">
        <f t="shared" ca="1" si="231"/>
        <v>0</v>
      </c>
      <c r="L1172">
        <f t="shared" ca="1" si="225"/>
        <v>0</v>
      </c>
      <c r="M1172" t="str">
        <f t="shared" ca="1" si="232"/>
        <v>na</v>
      </c>
      <c r="N1172" t="str">
        <f t="shared" ca="1" si="233"/>
        <v>na</v>
      </c>
    </row>
    <row r="1173" spans="1:14" x14ac:dyDescent="0.2">
      <c r="A1173" vm="2082">
        <f ca="1"/>
        <v>45951</v>
      </c>
      <c r="B1173" vm="2083">
        <f ca="1"/>
        <v>51.52</v>
      </c>
      <c r="C1173">
        <f t="shared" ca="1" si="234"/>
        <v>-0.51999999999999602</v>
      </c>
      <c r="D1173">
        <f t="shared" ca="1" si="235"/>
        <v>0</v>
      </c>
      <c r="E1173">
        <f t="shared" ca="1" si="236"/>
        <v>0.51999999999999602</v>
      </c>
      <c r="F1173">
        <f t="shared" ca="1" si="226"/>
        <v>0.36641285215020708</v>
      </c>
      <c r="G1173">
        <f t="shared" ca="1" si="227"/>
        <v>0.30021688697454285</v>
      </c>
      <c r="H1173">
        <f t="shared" ca="1" si="228"/>
        <v>1.2204938098011702</v>
      </c>
      <c r="I1173">
        <f t="shared" ca="1" si="229"/>
        <v>54.964972404514697</v>
      </c>
      <c r="J1173">
        <f t="shared" ca="1" si="230"/>
        <v>1</v>
      </c>
      <c r="K1173">
        <f t="shared" ca="1" si="231"/>
        <v>0</v>
      </c>
      <c r="L1173">
        <f t="shared" ca="1" si="225"/>
        <v>0</v>
      </c>
      <c r="M1173" t="str">
        <f t="shared" ca="1" si="232"/>
        <v>na</v>
      </c>
      <c r="N1173" t="str">
        <f t="shared" ca="1" si="233"/>
        <v>na</v>
      </c>
    </row>
    <row r="1174" spans="1:14" x14ac:dyDescent="0.2">
      <c r="A1174" vm="2084">
        <f ca="1"/>
        <v>45952</v>
      </c>
      <c r="B1174" vm="2085">
        <f ca="1"/>
        <v>51.1</v>
      </c>
      <c r="C1174">
        <f t="shared" ca="1" si="234"/>
        <v>-0.42000000000000171</v>
      </c>
      <c r="D1174">
        <f t="shared" ca="1" si="235"/>
        <v>0</v>
      </c>
      <c r="E1174">
        <f t="shared" ca="1" si="236"/>
        <v>0.42000000000000171</v>
      </c>
      <c r="F1174">
        <f t="shared" ca="1" si="226"/>
        <v>0.34024050556804941</v>
      </c>
      <c r="G1174">
        <f t="shared" ca="1" si="227"/>
        <v>0.30877282361921848</v>
      </c>
      <c r="H1174">
        <f t="shared" ca="1" si="228"/>
        <v>1.1019120840363761</v>
      </c>
      <c r="I1174">
        <f t="shared" ca="1" si="229"/>
        <v>52.424270853438138</v>
      </c>
      <c r="J1174">
        <f t="shared" ca="1" si="230"/>
        <v>1</v>
      </c>
      <c r="K1174">
        <f t="shared" ca="1" si="231"/>
        <v>0</v>
      </c>
      <c r="L1174">
        <f t="shared" ref="L1174:L1237" ca="1" si="237">IF(I1174&gt;$C$3,1,0)</f>
        <v>0</v>
      </c>
      <c r="M1174" t="str">
        <f t="shared" ca="1" si="232"/>
        <v>na</v>
      </c>
      <c r="N1174" t="str">
        <f t="shared" ca="1" si="233"/>
        <v>na</v>
      </c>
    </row>
    <row r="1175" spans="1:14" x14ac:dyDescent="0.2">
      <c r="A1175" vm="2086">
        <f ca="1"/>
        <v>45953</v>
      </c>
      <c r="B1175" vm="2087">
        <f ca="1"/>
        <v>51.76</v>
      </c>
      <c r="C1175">
        <f t="shared" ca="1" si="234"/>
        <v>0.65999999999999659</v>
      </c>
      <c r="D1175">
        <f t="shared" ca="1" si="235"/>
        <v>0.65999999999999659</v>
      </c>
      <c r="E1175">
        <f t="shared" ca="1" si="236"/>
        <v>0</v>
      </c>
      <c r="F1175">
        <f t="shared" ref="F1175:F1238" ca="1" si="238">((F1174*13)+D1175)/14</f>
        <v>0.36308046945604566</v>
      </c>
      <c r="G1175">
        <f t="shared" ref="G1175:G1238" ca="1" si="239">((G1174*13)+E1175)/14</f>
        <v>0.28671762193213146</v>
      </c>
      <c r="H1175">
        <f t="shared" ref="H1175:H1238" ca="1" si="240">AVERAGE(F1175/G1175)</f>
        <v>1.2663346850093153</v>
      </c>
      <c r="I1175">
        <f t="shared" ref="I1175:I1238" ca="1" si="241">IF(G1175=0,100,100-(100/(1+H1175)))</f>
        <v>55.875890413957563</v>
      </c>
      <c r="J1175">
        <f t="shared" ca="1" si="230"/>
        <v>1</v>
      </c>
      <c r="K1175">
        <f t="shared" ca="1" si="231"/>
        <v>0</v>
      </c>
      <c r="L1175">
        <f t="shared" ca="1" si="237"/>
        <v>0</v>
      </c>
      <c r="M1175" t="str">
        <f t="shared" ca="1" si="232"/>
        <v>na</v>
      </c>
      <c r="N1175" t="str">
        <f t="shared" ca="1" si="233"/>
        <v>na</v>
      </c>
    </row>
    <row r="1176" spans="1:14" x14ac:dyDescent="0.2">
      <c r="A1176" vm="2088">
        <f ca="1"/>
        <v>45954</v>
      </c>
      <c r="B1176" vm="2089">
        <f ca="1"/>
        <v>52.57</v>
      </c>
      <c r="C1176">
        <f t="shared" ca="1" si="234"/>
        <v>0.81000000000000227</v>
      </c>
      <c r="D1176">
        <f t="shared" ca="1" si="235"/>
        <v>0.81000000000000227</v>
      </c>
      <c r="E1176">
        <f t="shared" ca="1" si="236"/>
        <v>0</v>
      </c>
      <c r="F1176">
        <f t="shared" ca="1" si="238"/>
        <v>0.39500329306632825</v>
      </c>
      <c r="G1176">
        <f t="shared" ca="1" si="239"/>
        <v>0.26623779179412205</v>
      </c>
      <c r="H1176">
        <f t="shared" ca="1" si="240"/>
        <v>1.4836484723092158</v>
      </c>
      <c r="I1176">
        <f t="shared" ca="1" si="241"/>
        <v>59.736653107344438</v>
      </c>
      <c r="J1176">
        <f t="shared" ref="J1176:J1239" ca="1" si="242">IF(K1176=1,1,IF(L1176=1,0,IF(J1175=1,1,0)))</f>
        <v>1</v>
      </c>
      <c r="K1176">
        <f t="shared" ref="K1176:K1239" ca="1" si="243">IF(I1176&lt;$B$3,1,0)</f>
        <v>0</v>
      </c>
      <c r="L1176">
        <f t="shared" ca="1" si="237"/>
        <v>0</v>
      </c>
      <c r="M1176" t="str">
        <f t="shared" ref="M1176:M1239" ca="1" si="244">IF(AND(K1176=1,J1175=0),B1176,"na")</f>
        <v>na</v>
      </c>
      <c r="N1176" t="str">
        <f t="shared" ref="N1176:N1239" ca="1" si="245">IF(AND(L1176=1,J1175=1),B1176,"na")</f>
        <v>na</v>
      </c>
    </row>
    <row r="1177" spans="1:14" x14ac:dyDescent="0.2">
      <c r="A1177" vm="2090">
        <f ca="1"/>
        <v>45957</v>
      </c>
      <c r="B1177" vm="2091">
        <f ca="1"/>
        <v>53.02</v>
      </c>
      <c r="C1177">
        <f t="shared" ca="1" si="234"/>
        <v>0.45000000000000284</v>
      </c>
      <c r="D1177">
        <f t="shared" ca="1" si="235"/>
        <v>0.45000000000000284</v>
      </c>
      <c r="E1177">
        <f t="shared" ca="1" si="236"/>
        <v>0</v>
      </c>
      <c r="F1177">
        <f t="shared" ca="1" si="238"/>
        <v>0.39893162927587644</v>
      </c>
      <c r="G1177">
        <f t="shared" ca="1" si="239"/>
        <v>0.24722080666597046</v>
      </c>
      <c r="H1177">
        <f t="shared" ca="1" si="240"/>
        <v>1.6136652681296697</v>
      </c>
      <c r="I1177">
        <f t="shared" ca="1" si="241"/>
        <v>61.739553561286876</v>
      </c>
      <c r="J1177">
        <f t="shared" ca="1" si="242"/>
        <v>1</v>
      </c>
      <c r="K1177">
        <f t="shared" ca="1" si="243"/>
        <v>0</v>
      </c>
      <c r="L1177">
        <f t="shared" ca="1" si="237"/>
        <v>0</v>
      </c>
      <c r="M1177" t="str">
        <f t="shared" ca="1" si="244"/>
        <v>na</v>
      </c>
      <c r="N1177" t="str">
        <f t="shared" ca="1" si="245"/>
        <v>na</v>
      </c>
    </row>
    <row r="1178" spans="1:14" x14ac:dyDescent="0.2">
      <c r="A1178" vm="2092">
        <f ca="1"/>
        <v>45958</v>
      </c>
      <c r="B1178" vm="2093">
        <f ca="1"/>
        <v>52.87</v>
      </c>
      <c r="C1178">
        <f t="shared" ca="1" si="234"/>
        <v>-0.15000000000000568</v>
      </c>
      <c r="D1178">
        <f t="shared" ca="1" si="235"/>
        <v>0</v>
      </c>
      <c r="E1178">
        <f t="shared" ca="1" si="236"/>
        <v>0.15000000000000568</v>
      </c>
      <c r="F1178">
        <f t="shared" ca="1" si="238"/>
        <v>0.37043651289902818</v>
      </c>
      <c r="G1178">
        <f t="shared" ca="1" si="239"/>
        <v>0.24027646333268726</v>
      </c>
      <c r="H1178">
        <f t="shared" ca="1" si="240"/>
        <v>1.541709528103554</v>
      </c>
      <c r="I1178">
        <f t="shared" ca="1" si="241"/>
        <v>60.656401176332288</v>
      </c>
      <c r="J1178">
        <f t="shared" ca="1" si="242"/>
        <v>1</v>
      </c>
      <c r="K1178">
        <f t="shared" ca="1" si="243"/>
        <v>0</v>
      </c>
      <c r="L1178">
        <f t="shared" ca="1" si="237"/>
        <v>0</v>
      </c>
      <c r="M1178" t="str">
        <f t="shared" ca="1" si="244"/>
        <v>na</v>
      </c>
      <c r="N1178" t="str">
        <f t="shared" ca="1" si="245"/>
        <v>na</v>
      </c>
    </row>
    <row r="1179" spans="1:14" x14ac:dyDescent="0.2">
      <c r="A1179" vm="2094">
        <f ca="1"/>
        <v>45959</v>
      </c>
      <c r="B1179" vm="2095">
        <f ca="1"/>
        <v>52.58</v>
      </c>
      <c r="C1179">
        <f t="shared" ca="1" si="234"/>
        <v>-0.28999999999999915</v>
      </c>
      <c r="D1179">
        <f t="shared" ca="1" si="235"/>
        <v>0</v>
      </c>
      <c r="E1179">
        <f t="shared" ca="1" si="236"/>
        <v>0.28999999999999915</v>
      </c>
      <c r="F1179">
        <f t="shared" ca="1" si="238"/>
        <v>0.34397676197766902</v>
      </c>
      <c r="G1179">
        <f t="shared" ca="1" si="239"/>
        <v>0.24382814452320956</v>
      </c>
      <c r="H1179">
        <f t="shared" ca="1" si="240"/>
        <v>1.4107344443369887</v>
      </c>
      <c r="I1179">
        <f t="shared" ca="1" si="241"/>
        <v>58.5188653877211</v>
      </c>
      <c r="J1179">
        <f t="shared" ca="1" si="242"/>
        <v>1</v>
      </c>
      <c r="K1179">
        <f t="shared" ca="1" si="243"/>
        <v>0</v>
      </c>
      <c r="L1179">
        <f t="shared" ca="1" si="237"/>
        <v>0</v>
      </c>
      <c r="M1179" t="str">
        <f t="shared" ca="1" si="244"/>
        <v>na</v>
      </c>
      <c r="N1179" t="str">
        <f t="shared" ca="1" si="245"/>
        <v>na</v>
      </c>
    </row>
    <row r="1180" spans="1:14" x14ac:dyDescent="0.2">
      <c r="A1180" vm="2096">
        <f ca="1"/>
        <v>45960</v>
      </c>
      <c r="B1180" vm="2097">
        <f ca="1"/>
        <v>53.03</v>
      </c>
      <c r="C1180">
        <f t="shared" ca="1" si="234"/>
        <v>0.45000000000000284</v>
      </c>
      <c r="D1180">
        <f t="shared" ca="1" si="235"/>
        <v>0.45000000000000284</v>
      </c>
      <c r="E1180">
        <f t="shared" ca="1" si="236"/>
        <v>0</v>
      </c>
      <c r="F1180">
        <f t="shared" ca="1" si="238"/>
        <v>0.35154985040783571</v>
      </c>
      <c r="G1180">
        <f t="shared" ca="1" si="239"/>
        <v>0.22641184848583745</v>
      </c>
      <c r="H1180">
        <f t="shared" ca="1" si="240"/>
        <v>1.5527007652597558</v>
      </c>
      <c r="I1180">
        <f t="shared" ca="1" si="241"/>
        <v>60.825804042165409</v>
      </c>
      <c r="J1180">
        <f t="shared" ca="1" si="242"/>
        <v>1</v>
      </c>
      <c r="K1180">
        <f t="shared" ca="1" si="243"/>
        <v>0</v>
      </c>
      <c r="L1180">
        <f t="shared" ca="1" si="237"/>
        <v>0</v>
      </c>
      <c r="M1180" t="str">
        <f t="shared" ca="1" si="244"/>
        <v>na</v>
      </c>
      <c r="N1180" t="str">
        <f t="shared" ca="1" si="245"/>
        <v>na</v>
      </c>
    </row>
    <row r="1181" spans="1:14" x14ac:dyDescent="0.2">
      <c r="A1181" vm="2098">
        <f ca="1"/>
        <v>45961</v>
      </c>
      <c r="B1181" vm="2099">
        <f ca="1"/>
        <v>53.45</v>
      </c>
      <c r="C1181">
        <f t="shared" ca="1" si="234"/>
        <v>0.42000000000000171</v>
      </c>
      <c r="D1181">
        <f t="shared" ca="1" si="235"/>
        <v>0.42000000000000171</v>
      </c>
      <c r="E1181">
        <f t="shared" ca="1" si="236"/>
        <v>0</v>
      </c>
      <c r="F1181">
        <f t="shared" ca="1" si="238"/>
        <v>0.35643914680727612</v>
      </c>
      <c r="G1181">
        <f t="shared" ca="1" si="239"/>
        <v>0.21023957359399192</v>
      </c>
      <c r="H1181">
        <f t="shared" ca="1" si="240"/>
        <v>1.6953951185975111</v>
      </c>
      <c r="I1181">
        <f t="shared" ca="1" si="241"/>
        <v>62.899687949263338</v>
      </c>
      <c r="J1181">
        <f t="shared" ca="1" si="242"/>
        <v>1</v>
      </c>
      <c r="K1181">
        <f t="shared" ca="1" si="243"/>
        <v>0</v>
      </c>
      <c r="L1181">
        <f t="shared" ca="1" si="237"/>
        <v>0</v>
      </c>
      <c r="M1181" t="str">
        <f t="shared" ca="1" si="244"/>
        <v>na</v>
      </c>
      <c r="N1181" t="str">
        <f t="shared" ca="1" si="245"/>
        <v>na</v>
      </c>
    </row>
    <row r="1182" spans="1:14" x14ac:dyDescent="0.2">
      <c r="A1182" vm="2100">
        <f ca="1"/>
        <v>45964</v>
      </c>
      <c r="B1182" vm="2101">
        <f ca="1"/>
        <v>53.56</v>
      </c>
      <c r="C1182">
        <f t="shared" ca="1" si="234"/>
        <v>0.10999999999999943</v>
      </c>
      <c r="D1182">
        <f t="shared" ca="1" si="235"/>
        <v>0.10999999999999943</v>
      </c>
      <c r="E1182">
        <f t="shared" ca="1" si="236"/>
        <v>0</v>
      </c>
      <c r="F1182">
        <f t="shared" ca="1" si="238"/>
        <v>0.33883635060675632</v>
      </c>
      <c r="G1182">
        <f t="shared" ca="1" si="239"/>
        <v>0.19522246119442108</v>
      </c>
      <c r="H1182">
        <f t="shared" ca="1" si="240"/>
        <v>1.7356422438979031</v>
      </c>
      <c r="I1182">
        <f t="shared" ca="1" si="241"/>
        <v>63.445512576412717</v>
      </c>
      <c r="J1182">
        <f t="shared" ca="1" si="242"/>
        <v>1</v>
      </c>
      <c r="K1182">
        <f t="shared" ca="1" si="243"/>
        <v>0</v>
      </c>
      <c r="L1182">
        <f t="shared" ca="1" si="237"/>
        <v>0</v>
      </c>
      <c r="M1182" t="str">
        <f t="shared" ca="1" si="244"/>
        <v>na</v>
      </c>
      <c r="N1182" t="str">
        <f t="shared" ca="1" si="245"/>
        <v>na</v>
      </c>
    </row>
    <row r="1183" spans="1:14" x14ac:dyDescent="0.2">
      <c r="A1183" vm="2102">
        <f ca="1"/>
        <v>45965</v>
      </c>
      <c r="B1183" vm="2103">
        <f ca="1"/>
        <v>53.54</v>
      </c>
      <c r="C1183">
        <f t="shared" ca="1" si="234"/>
        <v>-2.0000000000003126E-2</v>
      </c>
      <c r="D1183">
        <f t="shared" ca="1" si="235"/>
        <v>0</v>
      </c>
      <c r="E1183">
        <f t="shared" ca="1" si="236"/>
        <v>2.0000000000003126E-2</v>
      </c>
      <c r="F1183">
        <f t="shared" ca="1" si="238"/>
        <v>0.31463375413484512</v>
      </c>
      <c r="G1183">
        <f t="shared" ca="1" si="239"/>
        <v>0.18270657110910551</v>
      </c>
      <c r="H1183">
        <f t="shared" ca="1" si="240"/>
        <v>1.7220713640723828</v>
      </c>
      <c r="I1183">
        <f t="shared" ca="1" si="241"/>
        <v>63.263270272828564</v>
      </c>
      <c r="J1183">
        <f t="shared" ca="1" si="242"/>
        <v>1</v>
      </c>
      <c r="K1183">
        <f t="shared" ca="1" si="243"/>
        <v>0</v>
      </c>
      <c r="L1183">
        <f t="shared" ca="1" si="237"/>
        <v>0</v>
      </c>
      <c r="M1183" t="str">
        <f t="shared" ca="1" si="244"/>
        <v>na</v>
      </c>
      <c r="N1183" t="str">
        <f t="shared" ca="1" si="245"/>
        <v>na</v>
      </c>
    </row>
    <row r="1184" spans="1:14" x14ac:dyDescent="0.2">
      <c r="A1184" vm="2104">
        <f ca="1"/>
        <v>45966</v>
      </c>
      <c r="B1184" vm="2105">
        <f ca="1"/>
        <v>52.45</v>
      </c>
      <c r="C1184">
        <f t="shared" ca="1" si="234"/>
        <v>-1.0899999999999963</v>
      </c>
      <c r="D1184">
        <f t="shared" ca="1" si="235"/>
        <v>0</v>
      </c>
      <c r="E1184">
        <f t="shared" ca="1" si="236"/>
        <v>1.0899999999999963</v>
      </c>
      <c r="F1184">
        <f t="shared" ca="1" si="238"/>
        <v>0.29215991455378471</v>
      </c>
      <c r="G1184">
        <f t="shared" ca="1" si="239"/>
        <v>0.24751324460131199</v>
      </c>
      <c r="H1184">
        <f t="shared" ca="1" si="240"/>
        <v>1.1803809328441734</v>
      </c>
      <c r="I1184">
        <f t="shared" ca="1" si="241"/>
        <v>54.136454555417473</v>
      </c>
      <c r="J1184">
        <f t="shared" ca="1" si="242"/>
        <v>1</v>
      </c>
      <c r="K1184">
        <f t="shared" ca="1" si="243"/>
        <v>0</v>
      </c>
      <c r="L1184">
        <f t="shared" ca="1" si="237"/>
        <v>0</v>
      </c>
      <c r="M1184" t="str">
        <f t="shared" ca="1" si="244"/>
        <v>na</v>
      </c>
      <c r="N1184" t="str">
        <f t="shared" ca="1" si="245"/>
        <v>na</v>
      </c>
    </row>
    <row r="1185" spans="1:14" x14ac:dyDescent="0.2">
      <c r="A1185" vm="2106">
        <f ca="1"/>
        <v>45967</v>
      </c>
      <c r="B1185" vm="2107">
        <f ca="1"/>
        <v>53.29</v>
      </c>
      <c r="C1185">
        <f t="shared" ca="1" si="234"/>
        <v>0.83999999999999631</v>
      </c>
      <c r="D1185">
        <f t="shared" ca="1" si="235"/>
        <v>0.83999999999999631</v>
      </c>
      <c r="E1185">
        <f t="shared" ca="1" si="236"/>
        <v>0</v>
      </c>
      <c r="F1185">
        <f t="shared" ca="1" si="238"/>
        <v>0.33129134922851416</v>
      </c>
      <c r="G1185">
        <f t="shared" ca="1" si="239"/>
        <v>0.22983372712978969</v>
      </c>
      <c r="H1185">
        <f t="shared" ca="1" si="240"/>
        <v>1.4414392237629694</v>
      </c>
      <c r="I1185">
        <f t="shared" ca="1" si="241"/>
        <v>59.040553200472118</v>
      </c>
      <c r="J1185">
        <f t="shared" ca="1" si="242"/>
        <v>1</v>
      </c>
      <c r="K1185">
        <f t="shared" ca="1" si="243"/>
        <v>0</v>
      </c>
      <c r="L1185">
        <f t="shared" ca="1" si="237"/>
        <v>0</v>
      </c>
      <c r="M1185" t="str">
        <f t="shared" ca="1" si="244"/>
        <v>na</v>
      </c>
      <c r="N1185" t="str">
        <f t="shared" ca="1" si="245"/>
        <v>na</v>
      </c>
    </row>
    <row r="1186" spans="1:14" x14ac:dyDescent="0.2">
      <c r="A1186" vm="2108">
        <f ca="1"/>
        <v>45968</v>
      </c>
      <c r="B1186" vm="2109">
        <f ca="1"/>
        <v>53.2</v>
      </c>
      <c r="C1186">
        <f t="shared" ca="1" si="234"/>
        <v>-8.9999999999996305E-2</v>
      </c>
      <c r="D1186">
        <f t="shared" ca="1" si="235"/>
        <v>0</v>
      </c>
      <c r="E1186">
        <f t="shared" ca="1" si="236"/>
        <v>8.9999999999996305E-2</v>
      </c>
      <c r="F1186">
        <f t="shared" ca="1" si="238"/>
        <v>0.30762768142647745</v>
      </c>
      <c r="G1186">
        <f t="shared" ca="1" si="239"/>
        <v>0.21984560376337586</v>
      </c>
      <c r="H1186">
        <f t="shared" ca="1" si="240"/>
        <v>1.3992896658401373</v>
      </c>
      <c r="I1186">
        <f t="shared" ca="1" si="241"/>
        <v>58.320997491987313</v>
      </c>
      <c r="J1186">
        <f t="shared" ca="1" si="242"/>
        <v>1</v>
      </c>
      <c r="K1186">
        <f t="shared" ca="1" si="243"/>
        <v>0</v>
      </c>
      <c r="L1186">
        <f t="shared" ca="1" si="237"/>
        <v>0</v>
      </c>
      <c r="M1186" t="str">
        <f t="shared" ca="1" si="244"/>
        <v>na</v>
      </c>
      <c r="N1186" t="str">
        <f t="shared" ca="1" si="245"/>
        <v>na</v>
      </c>
    </row>
    <row r="1187" spans="1:14" x14ac:dyDescent="0.2">
      <c r="A1187" vm="2110">
        <f ca="1"/>
        <v>45971</v>
      </c>
      <c r="B1187" vm="2111">
        <f ca="1"/>
        <v>53.42</v>
      </c>
      <c r="C1187">
        <f t="shared" ca="1" si="234"/>
        <v>0.21999999999999886</v>
      </c>
      <c r="D1187">
        <f t="shared" ca="1" si="235"/>
        <v>0.21999999999999886</v>
      </c>
      <c r="E1187">
        <f t="shared" ca="1" si="236"/>
        <v>0</v>
      </c>
      <c r="F1187">
        <f t="shared" ca="1" si="238"/>
        <v>0.30136856132458612</v>
      </c>
      <c r="G1187">
        <f t="shared" ca="1" si="239"/>
        <v>0.20414234635170617</v>
      </c>
      <c r="H1187">
        <f t="shared" ca="1" si="240"/>
        <v>1.4762667653744608</v>
      </c>
      <c r="I1187">
        <f t="shared" ca="1" si="241"/>
        <v>59.616628790445354</v>
      </c>
      <c r="J1187">
        <f t="shared" ca="1" si="242"/>
        <v>1</v>
      </c>
      <c r="K1187">
        <f t="shared" ca="1" si="243"/>
        <v>0</v>
      </c>
      <c r="L1187">
        <f t="shared" ca="1" si="237"/>
        <v>0</v>
      </c>
      <c r="M1187" t="str">
        <f t="shared" ca="1" si="244"/>
        <v>na</v>
      </c>
      <c r="N1187" t="str">
        <f t="shared" ca="1" si="245"/>
        <v>na</v>
      </c>
    </row>
    <row r="1188" spans="1:14" x14ac:dyDescent="0.2">
      <c r="A1188" vm="2112">
        <f ca="1"/>
        <v>45972</v>
      </c>
      <c r="B1188" vm="2113">
        <f ca="1"/>
        <v>53.63</v>
      </c>
      <c r="C1188">
        <f t="shared" ca="1" si="234"/>
        <v>0.21000000000000085</v>
      </c>
      <c r="D1188">
        <f t="shared" ca="1" si="235"/>
        <v>0.21000000000000085</v>
      </c>
      <c r="E1188">
        <f t="shared" ca="1" si="236"/>
        <v>0</v>
      </c>
      <c r="F1188">
        <f t="shared" ca="1" si="238"/>
        <v>0.29484223551568711</v>
      </c>
      <c r="G1188">
        <f t="shared" ca="1" si="239"/>
        <v>0.18956075018372714</v>
      </c>
      <c r="H1188">
        <f t="shared" ca="1" si="240"/>
        <v>1.5553970704901645</v>
      </c>
      <c r="I1188">
        <f t="shared" ca="1" si="241"/>
        <v>60.867138357946672</v>
      </c>
      <c r="J1188">
        <f t="shared" ca="1" si="242"/>
        <v>1</v>
      </c>
      <c r="K1188">
        <f t="shared" ca="1" si="243"/>
        <v>0</v>
      </c>
      <c r="L1188">
        <f t="shared" ca="1" si="237"/>
        <v>0</v>
      </c>
      <c r="M1188" t="str">
        <f t="shared" ca="1" si="244"/>
        <v>na</v>
      </c>
      <c r="N1188" t="str">
        <f t="shared" ca="1" si="245"/>
        <v>na</v>
      </c>
    </row>
    <row r="1189" spans="1:14" x14ac:dyDescent="0.2">
      <c r="A1189" vm="2114">
        <f ca="1"/>
        <v>45973</v>
      </c>
      <c r="B1189" vm="2115">
        <f ca="1"/>
        <v>54.11</v>
      </c>
      <c r="C1189">
        <f t="shared" ca="1" si="234"/>
        <v>0.47999999999999687</v>
      </c>
      <c r="D1189">
        <f t="shared" ca="1" si="235"/>
        <v>0.47999999999999687</v>
      </c>
      <c r="E1189">
        <f t="shared" ca="1" si="236"/>
        <v>0</v>
      </c>
      <c r="F1189">
        <f t="shared" ca="1" si="238"/>
        <v>0.30806779012170921</v>
      </c>
      <c r="G1189">
        <f t="shared" ca="1" si="239"/>
        <v>0.17602069659917521</v>
      </c>
      <c r="H1189">
        <f t="shared" ca="1" si="240"/>
        <v>1.7501793600057411</v>
      </c>
      <c r="I1189">
        <f t="shared" ca="1" si="241"/>
        <v>63.638735184242222</v>
      </c>
      <c r="J1189">
        <f t="shared" ca="1" si="242"/>
        <v>1</v>
      </c>
      <c r="K1189">
        <f t="shared" ca="1" si="243"/>
        <v>0</v>
      </c>
      <c r="L1189">
        <f t="shared" ca="1" si="237"/>
        <v>0</v>
      </c>
      <c r="M1189" t="str">
        <f t="shared" ca="1" si="244"/>
        <v>na</v>
      </c>
      <c r="N1189" t="str">
        <f t="shared" ca="1" si="245"/>
        <v>na</v>
      </c>
    </row>
    <row r="1190" spans="1:14" x14ac:dyDescent="0.2">
      <c r="A1190" vm="2116">
        <f ca="1"/>
        <v>45974</v>
      </c>
      <c r="B1190" vm="2093">
        <f ca="1"/>
        <v>52.87</v>
      </c>
      <c r="C1190">
        <f t="shared" ca="1" si="234"/>
        <v>-1.240000000000002</v>
      </c>
      <c r="D1190">
        <f t="shared" ca="1" si="235"/>
        <v>0</v>
      </c>
      <c r="E1190">
        <f t="shared" ca="1" si="236"/>
        <v>1.240000000000002</v>
      </c>
      <c r="F1190">
        <f t="shared" ca="1" si="238"/>
        <v>0.28606294797015858</v>
      </c>
      <c r="G1190">
        <f t="shared" ca="1" si="239"/>
        <v>0.25201921827066281</v>
      </c>
      <c r="H1190">
        <f t="shared" ca="1" si="240"/>
        <v>1.1350838635763625</v>
      </c>
      <c r="I1190">
        <f t="shared" ca="1" si="241"/>
        <v>53.163432263266948</v>
      </c>
      <c r="J1190">
        <f t="shared" ca="1" si="242"/>
        <v>1</v>
      </c>
      <c r="K1190">
        <f t="shared" ca="1" si="243"/>
        <v>0</v>
      </c>
      <c r="L1190">
        <f t="shared" ca="1" si="237"/>
        <v>0</v>
      </c>
      <c r="M1190" t="str">
        <f t="shared" ca="1" si="244"/>
        <v>na</v>
      </c>
      <c r="N1190" t="str">
        <f t="shared" ca="1" si="245"/>
        <v>na</v>
      </c>
    </row>
    <row r="1191" spans="1:14" x14ac:dyDescent="0.2">
      <c r="A1191" vm="2117">
        <f ca="1"/>
        <v>45975</v>
      </c>
      <c r="B1191" vm="2118">
        <f ca="1"/>
        <v>52.61</v>
      </c>
      <c r="C1191">
        <f t="shared" ca="1" si="234"/>
        <v>-0.25999999999999801</v>
      </c>
      <c r="D1191">
        <f t="shared" ca="1" si="235"/>
        <v>0</v>
      </c>
      <c r="E1191">
        <f t="shared" ca="1" si="236"/>
        <v>0.25999999999999801</v>
      </c>
      <c r="F1191">
        <f t="shared" ca="1" si="238"/>
        <v>0.26562988025800438</v>
      </c>
      <c r="G1191">
        <f t="shared" ca="1" si="239"/>
        <v>0.25258927410847248</v>
      </c>
      <c r="H1191">
        <f t="shared" ca="1" si="240"/>
        <v>1.0516277114123687</v>
      </c>
      <c r="I1191">
        <f t="shared" ca="1" si="241"/>
        <v>51.258213444992599</v>
      </c>
      <c r="J1191">
        <f t="shared" ca="1" si="242"/>
        <v>1</v>
      </c>
      <c r="K1191">
        <f t="shared" ca="1" si="243"/>
        <v>0</v>
      </c>
      <c r="L1191">
        <f t="shared" ca="1" si="237"/>
        <v>0</v>
      </c>
      <c r="M1191" t="str">
        <f t="shared" ca="1" si="244"/>
        <v>na</v>
      </c>
      <c r="N1191" t="str">
        <f t="shared" ca="1" si="245"/>
        <v>na</v>
      </c>
    </row>
    <row r="1192" spans="1:14" x14ac:dyDescent="0.2">
      <c r="A1192" vm="2119">
        <f ca="1"/>
        <v>45978</v>
      </c>
      <c r="B1192" vm="2120">
        <f ca="1"/>
        <v>51.48</v>
      </c>
      <c r="C1192">
        <f t="shared" ca="1" si="234"/>
        <v>-1.1300000000000026</v>
      </c>
      <c r="D1192">
        <f t="shared" ca="1" si="235"/>
        <v>0</v>
      </c>
      <c r="E1192">
        <f t="shared" ca="1" si="236"/>
        <v>1.1300000000000026</v>
      </c>
      <c r="F1192">
        <f t="shared" ca="1" si="238"/>
        <v>0.24665631738243263</v>
      </c>
      <c r="G1192">
        <f t="shared" ca="1" si="239"/>
        <v>0.31526146881501038</v>
      </c>
      <c r="H1192">
        <f t="shared" ca="1" si="240"/>
        <v>0.7823865006705466</v>
      </c>
      <c r="I1192">
        <f t="shared" ca="1" si="241"/>
        <v>43.89544581807634</v>
      </c>
      <c r="J1192">
        <f t="shared" ca="1" si="242"/>
        <v>1</v>
      </c>
      <c r="K1192">
        <f t="shared" ca="1" si="243"/>
        <v>0</v>
      </c>
      <c r="L1192">
        <f t="shared" ca="1" si="237"/>
        <v>0</v>
      </c>
      <c r="M1192" t="str">
        <f t="shared" ca="1" si="244"/>
        <v>na</v>
      </c>
      <c r="N1192" t="str">
        <f t="shared" ca="1" si="245"/>
        <v>na</v>
      </c>
    </row>
    <row r="1193" spans="1:14" x14ac:dyDescent="0.2">
      <c r="A1193" vm="2121">
        <f ca="1"/>
        <v>45979</v>
      </c>
      <c r="B1193" vm="2122">
        <f ca="1"/>
        <v>51.64</v>
      </c>
      <c r="C1193">
        <f t="shared" ca="1" si="234"/>
        <v>0.16000000000000369</v>
      </c>
      <c r="D1193">
        <f t="shared" ca="1" si="235"/>
        <v>0.16000000000000369</v>
      </c>
      <c r="E1193">
        <f t="shared" ca="1" si="236"/>
        <v>0</v>
      </c>
      <c r="F1193">
        <f t="shared" ca="1" si="238"/>
        <v>0.24046658042654484</v>
      </c>
      <c r="G1193">
        <f t="shared" ca="1" si="239"/>
        <v>0.29274279247108109</v>
      </c>
      <c r="H1193">
        <f t="shared" ca="1" si="240"/>
        <v>0.82142613451465107</v>
      </c>
      <c r="I1193">
        <f t="shared" ca="1" si="241"/>
        <v>45.097965761512128</v>
      </c>
      <c r="J1193">
        <f t="shared" ca="1" si="242"/>
        <v>1</v>
      </c>
      <c r="K1193">
        <f t="shared" ca="1" si="243"/>
        <v>0</v>
      </c>
      <c r="L1193">
        <f t="shared" ca="1" si="237"/>
        <v>0</v>
      </c>
      <c r="M1193" t="str">
        <f t="shared" ca="1" si="244"/>
        <v>na</v>
      </c>
      <c r="N1193" t="str">
        <f t="shared" ca="1" si="245"/>
        <v>na</v>
      </c>
    </row>
    <row r="1194" spans="1:14" x14ac:dyDescent="0.2">
      <c r="A1194" vm="2123">
        <f ca="1"/>
        <v>45980</v>
      </c>
      <c r="B1194" vm="2124">
        <f ca="1"/>
        <v>52.02</v>
      </c>
      <c r="C1194">
        <f t="shared" ca="1" si="234"/>
        <v>0.38000000000000256</v>
      </c>
      <c r="D1194">
        <f t="shared" ca="1" si="235"/>
        <v>0.38000000000000256</v>
      </c>
      <c r="E1194">
        <f t="shared" ca="1" si="236"/>
        <v>0</v>
      </c>
      <c r="F1194">
        <f t="shared" ca="1" si="238"/>
        <v>0.25043325325322041</v>
      </c>
      <c r="G1194">
        <f t="shared" ca="1" si="239"/>
        <v>0.27183259300886103</v>
      </c>
      <c r="H1194">
        <f t="shared" ca="1" si="240"/>
        <v>0.92127750569283995</v>
      </c>
      <c r="I1194">
        <f t="shared" ca="1" si="241"/>
        <v>47.951298183789135</v>
      </c>
      <c r="J1194">
        <f t="shared" ca="1" si="242"/>
        <v>1</v>
      </c>
      <c r="K1194">
        <f t="shared" ca="1" si="243"/>
        <v>0</v>
      </c>
      <c r="L1194">
        <f t="shared" ca="1" si="237"/>
        <v>0</v>
      </c>
      <c r="M1194" t="str">
        <f t="shared" ca="1" si="244"/>
        <v>na</v>
      </c>
      <c r="N1194" t="str">
        <f t="shared" ca="1" si="245"/>
        <v>na</v>
      </c>
    </row>
    <row r="1195" spans="1:14" x14ac:dyDescent="0.2">
      <c r="A1195" vm="2125">
        <f ca="1"/>
        <v>45981</v>
      </c>
      <c r="B1195" vm="2126">
        <f ca="1"/>
        <v>51</v>
      </c>
      <c r="C1195">
        <f t="shared" ca="1" si="234"/>
        <v>-1.0200000000000031</v>
      </c>
      <c r="D1195">
        <f t="shared" ca="1" si="235"/>
        <v>0</v>
      </c>
      <c r="E1195">
        <f t="shared" ca="1" si="236"/>
        <v>1.0200000000000031</v>
      </c>
      <c r="F1195">
        <f t="shared" ca="1" si="238"/>
        <v>0.23254516373513323</v>
      </c>
      <c r="G1195">
        <f t="shared" ca="1" si="239"/>
        <v>0.32527312207965686</v>
      </c>
      <c r="H1195">
        <f t="shared" ca="1" si="240"/>
        <v>0.71492277704453155</v>
      </c>
      <c r="I1195">
        <f t="shared" ca="1" si="241"/>
        <v>41.688336443732886</v>
      </c>
      <c r="J1195">
        <f t="shared" ca="1" si="242"/>
        <v>1</v>
      </c>
      <c r="K1195">
        <f t="shared" ca="1" si="243"/>
        <v>0</v>
      </c>
      <c r="L1195">
        <f t="shared" ca="1" si="237"/>
        <v>0</v>
      </c>
      <c r="M1195" t="str">
        <f t="shared" ca="1" si="244"/>
        <v>na</v>
      </c>
      <c r="N1195" t="str">
        <f t="shared" ca="1" si="245"/>
        <v>na</v>
      </c>
    </row>
    <row r="1196" spans="1:14" x14ac:dyDescent="0.2">
      <c r="A1196" vm="2127">
        <f ca="1"/>
        <v>45982</v>
      </c>
      <c r="B1196" vm="2128">
        <f ca="1"/>
        <v>51.56</v>
      </c>
      <c r="C1196">
        <f t="shared" ca="1" si="234"/>
        <v>0.56000000000000227</v>
      </c>
      <c r="D1196">
        <f t="shared" ca="1" si="235"/>
        <v>0.56000000000000227</v>
      </c>
      <c r="E1196">
        <f t="shared" ca="1" si="236"/>
        <v>0</v>
      </c>
      <c r="F1196">
        <f t="shared" ca="1" si="238"/>
        <v>0.25593479489690957</v>
      </c>
      <c r="G1196">
        <f t="shared" ca="1" si="239"/>
        <v>0.30203932764539571</v>
      </c>
      <c r="H1196">
        <f t="shared" ca="1" si="240"/>
        <v>0.84735586220541981</v>
      </c>
      <c r="I1196">
        <f t="shared" ca="1" si="241"/>
        <v>45.86857787074252</v>
      </c>
      <c r="J1196">
        <f t="shared" ca="1" si="242"/>
        <v>1</v>
      </c>
      <c r="K1196">
        <f t="shared" ca="1" si="243"/>
        <v>0</v>
      </c>
      <c r="L1196">
        <f t="shared" ca="1" si="237"/>
        <v>0</v>
      </c>
      <c r="M1196" t="str">
        <f t="shared" ca="1" si="244"/>
        <v>na</v>
      </c>
      <c r="N1196" t="str">
        <f t="shared" ca="1" si="245"/>
        <v>na</v>
      </c>
    </row>
    <row r="1197" spans="1:14" x14ac:dyDescent="0.2">
      <c r="A1197" vm="2129">
        <f ca="1"/>
        <v>45985</v>
      </c>
      <c r="B1197" vm="2130">
        <f ca="1"/>
        <v>51.93</v>
      </c>
      <c r="C1197">
        <f t="shared" ca="1" si="234"/>
        <v>0.36999999999999744</v>
      </c>
      <c r="D1197">
        <f t="shared" ca="1" si="235"/>
        <v>0.36999999999999744</v>
      </c>
      <c r="E1197">
        <f t="shared" ca="1" si="236"/>
        <v>0</v>
      </c>
      <c r="F1197">
        <f t="shared" ca="1" si="238"/>
        <v>0.26408230954713013</v>
      </c>
      <c r="G1197">
        <f t="shared" ca="1" si="239"/>
        <v>0.28046508995643887</v>
      </c>
      <c r="H1197">
        <f t="shared" ca="1" si="240"/>
        <v>0.94158709587758938</v>
      </c>
      <c r="I1197">
        <f t="shared" ca="1" si="241"/>
        <v>48.495743398623894</v>
      </c>
      <c r="J1197">
        <f t="shared" ca="1" si="242"/>
        <v>1</v>
      </c>
      <c r="K1197">
        <f t="shared" ca="1" si="243"/>
        <v>0</v>
      </c>
      <c r="L1197">
        <f t="shared" ca="1" si="237"/>
        <v>0</v>
      </c>
      <c r="M1197" t="str">
        <f t="shared" ca="1" si="244"/>
        <v>na</v>
      </c>
      <c r="N1197" t="str">
        <f t="shared" ca="1" si="245"/>
        <v>na</v>
      </c>
    </row>
    <row r="1198" spans="1:14" x14ac:dyDescent="0.2">
      <c r="A1198" vm="2131">
        <f ca="1"/>
        <v>45986</v>
      </c>
      <c r="B1198" vm="2132">
        <f ca="1"/>
        <v>52.48</v>
      </c>
      <c r="C1198">
        <f t="shared" ca="1" si="234"/>
        <v>0.54999999999999716</v>
      </c>
      <c r="D1198">
        <f t="shared" ca="1" si="235"/>
        <v>0.54999999999999716</v>
      </c>
      <c r="E1198">
        <f t="shared" ca="1" si="236"/>
        <v>0</v>
      </c>
      <c r="F1198">
        <f t="shared" ca="1" si="238"/>
        <v>0.28450500172233489</v>
      </c>
      <c r="G1198">
        <f t="shared" ca="1" si="239"/>
        <v>0.26043186924526468</v>
      </c>
      <c r="H1198">
        <f t="shared" ca="1" si="240"/>
        <v>1.0924354325253454</v>
      </c>
      <c r="I1198">
        <f t="shared" ca="1" si="241"/>
        <v>52.208800116087353</v>
      </c>
      <c r="J1198">
        <f t="shared" ca="1" si="242"/>
        <v>1</v>
      </c>
      <c r="K1198">
        <f t="shared" ca="1" si="243"/>
        <v>0</v>
      </c>
      <c r="L1198">
        <f t="shared" ca="1" si="237"/>
        <v>0</v>
      </c>
      <c r="M1198" t="str">
        <f t="shared" ca="1" si="244"/>
        <v>na</v>
      </c>
      <c r="N1198" t="str">
        <f t="shared" ca="1" si="245"/>
        <v>na</v>
      </c>
    </row>
    <row r="1199" spans="1:14" x14ac:dyDescent="0.2">
      <c r="A1199" vm="2133">
        <f ca="1"/>
        <v>45987</v>
      </c>
      <c r="B1199" vm="2134">
        <f ca="1"/>
        <v>52.99</v>
      </c>
      <c r="C1199">
        <f t="shared" ca="1" si="234"/>
        <v>0.51000000000000512</v>
      </c>
      <c r="D1199">
        <f t="shared" ca="1" si="235"/>
        <v>0.51000000000000512</v>
      </c>
      <c r="E1199">
        <f t="shared" ca="1" si="236"/>
        <v>0</v>
      </c>
      <c r="F1199">
        <f t="shared" ca="1" si="238"/>
        <v>0.300611787313597</v>
      </c>
      <c r="G1199">
        <f t="shared" ca="1" si="239"/>
        <v>0.24182959287060291</v>
      </c>
      <c r="H1199">
        <f t="shared" ca="1" si="240"/>
        <v>1.2430727924784912</v>
      </c>
      <c r="I1199">
        <f t="shared" ca="1" si="241"/>
        <v>55.418299247656321</v>
      </c>
      <c r="J1199">
        <f t="shared" ca="1" si="242"/>
        <v>1</v>
      </c>
      <c r="K1199">
        <f t="shared" ca="1" si="243"/>
        <v>0</v>
      </c>
      <c r="L1199">
        <f t="shared" ca="1" si="237"/>
        <v>0</v>
      </c>
      <c r="M1199" t="str">
        <f t="shared" ca="1" si="244"/>
        <v>na</v>
      </c>
      <c r="N1199" t="str">
        <f t="shared" ca="1" si="245"/>
        <v>na</v>
      </c>
    </row>
    <row r="1200" spans="1:14" x14ac:dyDescent="0.2">
      <c r="A1200" vm="2135">
        <f ca="1"/>
        <v>45989</v>
      </c>
      <c r="B1200" vm="2136">
        <f ca="1"/>
        <v>53.65</v>
      </c>
      <c r="C1200">
        <f t="shared" ca="1" si="234"/>
        <v>0.65999999999999659</v>
      </c>
      <c r="D1200">
        <f t="shared" ca="1" si="235"/>
        <v>0.65999999999999659</v>
      </c>
      <c r="E1200">
        <f t="shared" ca="1" si="236"/>
        <v>0</v>
      </c>
      <c r="F1200">
        <f t="shared" ca="1" si="238"/>
        <v>0.32628237393405407</v>
      </c>
      <c r="G1200">
        <f t="shared" ca="1" si="239"/>
        <v>0.22455605052270269</v>
      </c>
      <c r="H1200">
        <f t="shared" ca="1" si="240"/>
        <v>1.4530108325941848</v>
      </c>
      <c r="I1200">
        <f t="shared" ca="1" si="241"/>
        <v>59.233771546681318</v>
      </c>
      <c r="J1200">
        <f t="shared" ca="1" si="242"/>
        <v>1</v>
      </c>
      <c r="K1200">
        <f t="shared" ca="1" si="243"/>
        <v>0</v>
      </c>
      <c r="L1200">
        <f t="shared" ca="1" si="237"/>
        <v>0</v>
      </c>
      <c r="M1200" t="str">
        <f t="shared" ca="1" si="244"/>
        <v>na</v>
      </c>
      <c r="N1200" t="str">
        <f t="shared" ca="1" si="245"/>
        <v>na</v>
      </c>
    </row>
    <row r="1201" spans="1:14" x14ac:dyDescent="0.2">
      <c r="A1201" vm="2137">
        <f ca="1"/>
        <v>45992</v>
      </c>
      <c r="B1201" vm="2138">
        <f ca="1"/>
        <v>53.24</v>
      </c>
      <c r="C1201">
        <f t="shared" ca="1" si="234"/>
        <v>-0.40999999999999659</v>
      </c>
      <c r="D1201">
        <f t="shared" ca="1" si="235"/>
        <v>0</v>
      </c>
      <c r="E1201">
        <f t="shared" ca="1" si="236"/>
        <v>0.40999999999999659</v>
      </c>
      <c r="F1201">
        <f t="shared" ca="1" si="238"/>
        <v>0.30297649008162164</v>
      </c>
      <c r="G1201">
        <f t="shared" ca="1" si="239"/>
        <v>0.23780204691393797</v>
      </c>
      <c r="H1201">
        <f t="shared" ca="1" si="240"/>
        <v>1.2740701521012168</v>
      </c>
      <c r="I1201">
        <f t="shared" ca="1" si="241"/>
        <v>56.025982792306976</v>
      </c>
      <c r="J1201">
        <f t="shared" ca="1" si="242"/>
        <v>1</v>
      </c>
      <c r="K1201">
        <f t="shared" ca="1" si="243"/>
        <v>0</v>
      </c>
      <c r="L1201">
        <f t="shared" ca="1" si="237"/>
        <v>0</v>
      </c>
      <c r="M1201" t="str">
        <f t="shared" ca="1" si="244"/>
        <v>na</v>
      </c>
      <c r="N1201" t="str">
        <f t="shared" ca="1" si="245"/>
        <v>na</v>
      </c>
    </row>
    <row r="1202" spans="1:14" x14ac:dyDescent="0.2">
      <c r="A1202" vm="2139">
        <f ca="1"/>
        <v>45993</v>
      </c>
      <c r="B1202" vm="2140">
        <f ca="1"/>
        <v>53.19</v>
      </c>
      <c r="C1202">
        <f t="shared" ca="1" si="234"/>
        <v>-5.0000000000004263E-2</v>
      </c>
      <c r="D1202">
        <f t="shared" ca="1" si="235"/>
        <v>0</v>
      </c>
      <c r="E1202">
        <f t="shared" ca="1" si="236"/>
        <v>5.0000000000004263E-2</v>
      </c>
      <c r="F1202">
        <f t="shared" ca="1" si="238"/>
        <v>0.28133531221864866</v>
      </c>
      <c r="G1202">
        <f t="shared" ca="1" si="239"/>
        <v>0.22438761499151413</v>
      </c>
      <c r="H1202">
        <f t="shared" ca="1" si="240"/>
        <v>1.2537916240577189</v>
      </c>
      <c r="I1202">
        <f t="shared" ca="1" si="241"/>
        <v>55.630325832891181</v>
      </c>
      <c r="J1202">
        <f t="shared" ca="1" si="242"/>
        <v>1</v>
      </c>
      <c r="K1202">
        <f t="shared" ca="1" si="243"/>
        <v>0</v>
      </c>
      <c r="L1202">
        <f t="shared" ca="1" si="237"/>
        <v>0</v>
      </c>
      <c r="M1202" t="str">
        <f t="shared" ca="1" si="244"/>
        <v>na</v>
      </c>
      <c r="N1202" t="str">
        <f t="shared" ca="1" si="245"/>
        <v>na</v>
      </c>
    </row>
    <row r="1203" spans="1:14" x14ac:dyDescent="0.2">
      <c r="A1203" vm="2141">
        <f ca="1"/>
        <v>45994</v>
      </c>
      <c r="B1203" vm="2142">
        <f ca="1"/>
        <v>54.09</v>
      </c>
      <c r="C1203">
        <f t="shared" ca="1" si="234"/>
        <v>0.90000000000000568</v>
      </c>
      <c r="D1203">
        <f t="shared" ca="1" si="235"/>
        <v>0.90000000000000568</v>
      </c>
      <c r="E1203">
        <f t="shared" ca="1" si="236"/>
        <v>0</v>
      </c>
      <c r="F1203">
        <f t="shared" ca="1" si="238"/>
        <v>0.32552564706017417</v>
      </c>
      <c r="G1203">
        <f t="shared" ca="1" si="239"/>
        <v>0.20835992820640598</v>
      </c>
      <c r="H1203">
        <f t="shared" ca="1" si="240"/>
        <v>1.5623236668506684</v>
      </c>
      <c r="I1203">
        <f t="shared" ca="1" si="241"/>
        <v>60.972924188414801</v>
      </c>
      <c r="J1203">
        <f t="shared" ca="1" si="242"/>
        <v>1</v>
      </c>
      <c r="K1203">
        <f t="shared" ca="1" si="243"/>
        <v>0</v>
      </c>
      <c r="L1203">
        <f t="shared" ca="1" si="237"/>
        <v>0</v>
      </c>
      <c r="M1203" t="str">
        <f t="shared" ca="1" si="244"/>
        <v>na</v>
      </c>
      <c r="N1203" t="str">
        <f t="shared" ca="1" si="245"/>
        <v>na</v>
      </c>
    </row>
    <row r="1204" spans="1:14" x14ac:dyDescent="0.2">
      <c r="A1204" vm="2143">
        <f ca="1"/>
        <v>45995</v>
      </c>
      <c r="B1204" vm="2144">
        <f ca="1"/>
        <v>54.16</v>
      </c>
      <c r="C1204">
        <f t="shared" ca="1" si="234"/>
        <v>6.9999999999993179E-2</v>
      </c>
      <c r="D1204">
        <f t="shared" ca="1" si="235"/>
        <v>6.9999999999993179E-2</v>
      </c>
      <c r="E1204">
        <f t="shared" ca="1" si="236"/>
        <v>0</v>
      </c>
      <c r="F1204">
        <f t="shared" ca="1" si="238"/>
        <v>0.30727381512730412</v>
      </c>
      <c r="G1204">
        <f t="shared" ca="1" si="239"/>
        <v>0.19347707619166268</v>
      </c>
      <c r="H1204">
        <f t="shared" ca="1" si="240"/>
        <v>1.5881665217170837</v>
      </c>
      <c r="I1204">
        <f t="shared" ca="1" si="241"/>
        <v>61.362609723559686</v>
      </c>
      <c r="J1204">
        <f t="shared" ca="1" si="242"/>
        <v>1</v>
      </c>
      <c r="K1204">
        <f t="shared" ca="1" si="243"/>
        <v>0</v>
      </c>
      <c r="L1204">
        <f t="shared" ca="1" si="237"/>
        <v>0</v>
      </c>
      <c r="M1204" t="str">
        <f t="shared" ca="1" si="244"/>
        <v>na</v>
      </c>
      <c r="N1204" t="str">
        <f t="shared" ca="1" si="245"/>
        <v>na</v>
      </c>
    </row>
    <row r="1205" spans="1:14" x14ac:dyDescent="0.2">
      <c r="A1205" vm="2145">
        <f ca="1"/>
        <v>45996</v>
      </c>
      <c r="B1205" vm="2146">
        <f ca="1"/>
        <v>53.95</v>
      </c>
      <c r="C1205">
        <f t="shared" ca="1" si="234"/>
        <v>-0.20999999999999375</v>
      </c>
      <c r="D1205">
        <f t="shared" ca="1" si="235"/>
        <v>0</v>
      </c>
      <c r="E1205">
        <f t="shared" ca="1" si="236"/>
        <v>0.20999999999999375</v>
      </c>
      <c r="F1205">
        <f t="shared" ca="1" si="238"/>
        <v>0.28532568547535381</v>
      </c>
      <c r="G1205">
        <f t="shared" ca="1" si="239"/>
        <v>0.1946572850351149</v>
      </c>
      <c r="H1205">
        <f t="shared" ca="1" si="240"/>
        <v>1.4657847787401479</v>
      </c>
      <c r="I1205">
        <f t="shared" ca="1" si="241"/>
        <v>59.444960135128525</v>
      </c>
      <c r="J1205">
        <f t="shared" ca="1" si="242"/>
        <v>1</v>
      </c>
      <c r="K1205">
        <f t="shared" ca="1" si="243"/>
        <v>0</v>
      </c>
      <c r="L1205">
        <f t="shared" ca="1" si="237"/>
        <v>0</v>
      </c>
      <c r="M1205" t="str">
        <f t="shared" ca="1" si="244"/>
        <v>na</v>
      </c>
      <c r="N1205" t="str">
        <f t="shared" ca="1" si="245"/>
        <v>na</v>
      </c>
    </row>
    <row r="1206" spans="1:14" x14ac:dyDescent="0.2">
      <c r="A1206" vm="2147">
        <f ca="1"/>
        <v>45999</v>
      </c>
      <c r="B1206" vm="2148">
        <f ca="1"/>
        <v>53.9</v>
      </c>
      <c r="C1206">
        <f t="shared" ca="1" si="234"/>
        <v>-5.0000000000004263E-2</v>
      </c>
      <c r="D1206">
        <f t="shared" ca="1" si="235"/>
        <v>0</v>
      </c>
      <c r="E1206">
        <f t="shared" ca="1" si="236"/>
        <v>5.0000000000004263E-2</v>
      </c>
      <c r="F1206">
        <f t="shared" ca="1" si="238"/>
        <v>0.26494527936997142</v>
      </c>
      <c r="G1206">
        <f t="shared" ca="1" si="239"/>
        <v>0.18432462181832127</v>
      </c>
      <c r="H1206">
        <f t="shared" ca="1" si="240"/>
        <v>1.4373840931089148</v>
      </c>
      <c r="I1206">
        <f t="shared" ca="1" si="241"/>
        <v>58.972408048971594</v>
      </c>
      <c r="J1206">
        <f t="shared" ca="1" si="242"/>
        <v>1</v>
      </c>
      <c r="K1206">
        <f t="shared" ca="1" si="243"/>
        <v>0</v>
      </c>
      <c r="L1206">
        <f t="shared" ca="1" si="237"/>
        <v>0</v>
      </c>
      <c r="M1206" t="str">
        <f t="shared" ca="1" si="244"/>
        <v>na</v>
      </c>
      <c r="N1206" t="str">
        <f t="shared" ca="1" si="245"/>
        <v>na</v>
      </c>
    </row>
    <row r="1207" spans="1:14" x14ac:dyDescent="0.2">
      <c r="A1207" vm="2149">
        <f ca="1"/>
        <v>46000</v>
      </c>
      <c r="B1207" vm="2103">
        <f ca="1"/>
        <v>53.54</v>
      </c>
      <c r="C1207">
        <f t="shared" ca="1" si="234"/>
        <v>-0.35999999999999943</v>
      </c>
      <c r="D1207">
        <f t="shared" ca="1" si="235"/>
        <v>0</v>
      </c>
      <c r="E1207">
        <f t="shared" ca="1" si="236"/>
        <v>0.35999999999999943</v>
      </c>
      <c r="F1207">
        <f t="shared" ca="1" si="238"/>
        <v>0.24602061655783061</v>
      </c>
      <c r="G1207">
        <f t="shared" ca="1" si="239"/>
        <v>0.19687286311701255</v>
      </c>
      <c r="H1207">
        <f t="shared" ca="1" si="240"/>
        <v>1.2496420921740077</v>
      </c>
      <c r="I1207">
        <f t="shared" ca="1" si="241"/>
        <v>55.548484646567907</v>
      </c>
      <c r="J1207">
        <f t="shared" ca="1" si="242"/>
        <v>1</v>
      </c>
      <c r="K1207">
        <f t="shared" ca="1" si="243"/>
        <v>0</v>
      </c>
      <c r="L1207">
        <f t="shared" ca="1" si="237"/>
        <v>0</v>
      </c>
      <c r="M1207" t="str">
        <f t="shared" ca="1" si="244"/>
        <v>na</v>
      </c>
      <c r="N1207" t="str">
        <f t="shared" ca="1" si="245"/>
        <v>na</v>
      </c>
    </row>
    <row r="1208" spans="1:14" x14ac:dyDescent="0.2">
      <c r="A1208" vm="2150">
        <f ca="1"/>
        <v>46001</v>
      </c>
      <c r="B1208" vm="2151">
        <f ca="1"/>
        <v>54.08</v>
      </c>
      <c r="C1208">
        <f t="shared" ca="1" si="234"/>
        <v>0.53999999999999915</v>
      </c>
      <c r="D1208">
        <f t="shared" ca="1" si="235"/>
        <v>0.53999999999999915</v>
      </c>
      <c r="E1208">
        <f t="shared" ca="1" si="236"/>
        <v>0</v>
      </c>
      <c r="F1208">
        <f t="shared" ca="1" si="238"/>
        <v>0.26701914394655696</v>
      </c>
      <c r="G1208">
        <f t="shared" ca="1" si="239"/>
        <v>0.18281051575151164</v>
      </c>
      <c r="H1208">
        <f t="shared" ca="1" si="240"/>
        <v>1.4606333932644628</v>
      </c>
      <c r="I1208">
        <f t="shared" ca="1" si="241"/>
        <v>59.360057343880705</v>
      </c>
      <c r="J1208">
        <f t="shared" ca="1" si="242"/>
        <v>1</v>
      </c>
      <c r="K1208">
        <f t="shared" ca="1" si="243"/>
        <v>0</v>
      </c>
      <c r="L1208">
        <f t="shared" ca="1" si="237"/>
        <v>0</v>
      </c>
      <c r="M1208" t="str">
        <f t="shared" ca="1" si="244"/>
        <v>na</v>
      </c>
      <c r="N1208" t="str">
        <f t="shared" ca="1" si="245"/>
        <v>na</v>
      </c>
    </row>
    <row r="1209" spans="1:14" x14ac:dyDescent="0.2">
      <c r="A1209" vm="2152">
        <f ca="1"/>
        <v>46002</v>
      </c>
      <c r="B1209" vm="2153">
        <f ca="1"/>
        <v>54.56</v>
      </c>
      <c r="C1209">
        <f t="shared" ca="1" si="234"/>
        <v>0.48000000000000398</v>
      </c>
      <c r="D1209">
        <f t="shared" ca="1" si="235"/>
        <v>0.48000000000000398</v>
      </c>
      <c r="E1209">
        <f t="shared" ca="1" si="236"/>
        <v>0</v>
      </c>
      <c r="F1209">
        <f t="shared" ca="1" si="238"/>
        <v>0.28223206223608888</v>
      </c>
      <c r="G1209">
        <f t="shared" ca="1" si="239"/>
        <v>0.16975262176926081</v>
      </c>
      <c r="H1209">
        <f t="shared" ca="1" si="240"/>
        <v>1.6626079720860965</v>
      </c>
      <c r="I1209">
        <f t="shared" ca="1" si="241"/>
        <v>62.442837605698244</v>
      </c>
      <c r="J1209">
        <f t="shared" ca="1" si="242"/>
        <v>1</v>
      </c>
      <c r="K1209">
        <f t="shared" ca="1" si="243"/>
        <v>0</v>
      </c>
      <c r="L1209">
        <f t="shared" ca="1" si="237"/>
        <v>0</v>
      </c>
      <c r="M1209" t="str">
        <f t="shared" ca="1" si="244"/>
        <v>na</v>
      </c>
      <c r="N1209" t="str">
        <f t="shared" ca="1" si="245"/>
        <v>na</v>
      </c>
    </row>
    <row r="1210" spans="1:14" x14ac:dyDescent="0.2">
      <c r="A1210" vm="2154">
        <f ca="1"/>
        <v>46003</v>
      </c>
      <c r="B1210" vm="2155">
        <f ca="1"/>
        <v>55.14</v>
      </c>
      <c r="C1210">
        <f t="shared" ca="1" si="234"/>
        <v>0.57999999999999829</v>
      </c>
      <c r="D1210">
        <f t="shared" ca="1" si="235"/>
        <v>0.57999999999999829</v>
      </c>
      <c r="E1210">
        <f t="shared" ca="1" si="236"/>
        <v>0</v>
      </c>
      <c r="F1210">
        <f t="shared" ca="1" si="238"/>
        <v>0.30350120064779673</v>
      </c>
      <c r="G1210">
        <f t="shared" ca="1" si="239"/>
        <v>0.15762743450002789</v>
      </c>
      <c r="H1210">
        <f t="shared" ca="1" si="240"/>
        <v>1.9254338663219379</v>
      </c>
      <c r="I1210">
        <f t="shared" ca="1" si="241"/>
        <v>65.817036183515896</v>
      </c>
      <c r="J1210">
        <f t="shared" ca="1" si="242"/>
        <v>1</v>
      </c>
      <c r="K1210">
        <f t="shared" ca="1" si="243"/>
        <v>0</v>
      </c>
      <c r="L1210">
        <f t="shared" ca="1" si="237"/>
        <v>0</v>
      </c>
      <c r="M1210" t="str">
        <f t="shared" ca="1" si="244"/>
        <v>na</v>
      </c>
      <c r="N1210" t="str">
        <f t="shared" ca="1" si="245"/>
        <v>na</v>
      </c>
    </row>
    <row r="1211" spans="1:14" x14ac:dyDescent="0.2">
      <c r="A1211" vm="2156">
        <f ca="1"/>
        <v>46006</v>
      </c>
      <c r="B1211" vm="2157">
        <f ca="1"/>
        <v>55.33</v>
      </c>
      <c r="C1211">
        <f t="shared" ca="1" si="234"/>
        <v>0.18999999999999773</v>
      </c>
      <c r="D1211">
        <f t="shared" ca="1" si="235"/>
        <v>0.18999999999999773</v>
      </c>
      <c r="E1211">
        <f t="shared" ca="1" si="236"/>
        <v>0</v>
      </c>
      <c r="F1211">
        <f t="shared" ca="1" si="238"/>
        <v>0.29539397203009682</v>
      </c>
      <c r="G1211">
        <f t="shared" ca="1" si="239"/>
        <v>0.14636833203574021</v>
      </c>
      <c r="H1211">
        <f t="shared" ca="1" si="240"/>
        <v>2.0181549377632284</v>
      </c>
      <c r="I1211">
        <f t="shared" ca="1" si="241"/>
        <v>66.867174793183239</v>
      </c>
      <c r="J1211">
        <f t="shared" ca="1" si="242"/>
        <v>1</v>
      </c>
      <c r="K1211">
        <f t="shared" ca="1" si="243"/>
        <v>0</v>
      </c>
      <c r="L1211">
        <f t="shared" ca="1" si="237"/>
        <v>0</v>
      </c>
      <c r="M1211" t="str">
        <f t="shared" ca="1" si="244"/>
        <v>na</v>
      </c>
      <c r="N1211" t="str">
        <f t="shared" ca="1" si="245"/>
        <v>na</v>
      </c>
    </row>
    <row r="1212" spans="1:14" x14ac:dyDescent="0.2">
      <c r="A1212" vm="2158">
        <f ca="1"/>
        <v>46007</v>
      </c>
      <c r="B1212" vm="2159">
        <f ca="1"/>
        <v>54.81</v>
      </c>
      <c r="C1212">
        <f t="shared" ca="1" si="234"/>
        <v>-0.51999999999999602</v>
      </c>
      <c r="D1212">
        <f t="shared" ca="1" si="235"/>
        <v>0</v>
      </c>
      <c r="E1212">
        <f t="shared" ca="1" si="236"/>
        <v>0.51999999999999602</v>
      </c>
      <c r="F1212">
        <f t="shared" ca="1" si="238"/>
        <v>0.2742944025993756</v>
      </c>
      <c r="G1212">
        <f t="shared" ca="1" si="239"/>
        <v>0.17305630831890134</v>
      </c>
      <c r="H1212">
        <f t="shared" ca="1" si="240"/>
        <v>1.5850008893863416</v>
      </c>
      <c r="I1212">
        <f t="shared" ca="1" si="241"/>
        <v>61.315293773945584</v>
      </c>
      <c r="J1212">
        <f t="shared" ca="1" si="242"/>
        <v>1</v>
      </c>
      <c r="K1212">
        <f t="shared" ca="1" si="243"/>
        <v>0</v>
      </c>
      <c r="L1212">
        <f t="shared" ca="1" si="237"/>
        <v>0</v>
      </c>
      <c r="M1212" t="str">
        <f t="shared" ca="1" si="244"/>
        <v>na</v>
      </c>
      <c r="N1212" t="str">
        <f t="shared" ca="1" si="245"/>
        <v>na</v>
      </c>
    </row>
    <row r="1213" spans="1:14" x14ac:dyDescent="0.2">
      <c r="A1213" vm="2160">
        <f ca="1"/>
        <v>46008</v>
      </c>
      <c r="B1213" vm="2161">
        <f ca="1"/>
        <v>54.55</v>
      </c>
      <c r="C1213">
        <f t="shared" ca="1" si="234"/>
        <v>-0.26000000000000512</v>
      </c>
      <c r="D1213">
        <f t="shared" ca="1" si="235"/>
        <v>0</v>
      </c>
      <c r="E1213">
        <f t="shared" ca="1" si="236"/>
        <v>0.26000000000000512</v>
      </c>
      <c r="F1213">
        <f t="shared" ca="1" si="238"/>
        <v>0.25470194527084877</v>
      </c>
      <c r="G1213">
        <f t="shared" ca="1" si="239"/>
        <v>0.17926657201040874</v>
      </c>
      <c r="H1213">
        <f t="shared" ca="1" si="240"/>
        <v>1.4207999986526212</v>
      </c>
      <c r="I1213">
        <f t="shared" ca="1" si="241"/>
        <v>58.69134168222967</v>
      </c>
      <c r="J1213">
        <f t="shared" ca="1" si="242"/>
        <v>1</v>
      </c>
      <c r="K1213">
        <f t="shared" ca="1" si="243"/>
        <v>0</v>
      </c>
      <c r="L1213">
        <f t="shared" ca="1" si="237"/>
        <v>0</v>
      </c>
      <c r="M1213" t="str">
        <f t="shared" ca="1" si="244"/>
        <v>na</v>
      </c>
      <c r="N1213" t="str">
        <f t="shared" ca="1" si="245"/>
        <v>na</v>
      </c>
    </row>
    <row r="1214" spans="1:14" x14ac:dyDescent="0.2">
      <c r="A1214" vm="2162">
        <f ca="1"/>
        <v>46009</v>
      </c>
      <c r="B1214" vm="2163">
        <f ca="1"/>
        <v>54.26</v>
      </c>
      <c r="C1214">
        <f t="shared" ca="1" si="234"/>
        <v>-0.28999999999999915</v>
      </c>
      <c r="D1214">
        <f t="shared" ca="1" si="235"/>
        <v>0</v>
      </c>
      <c r="E1214">
        <f t="shared" ca="1" si="236"/>
        <v>0.28999999999999915</v>
      </c>
      <c r="F1214">
        <f t="shared" ca="1" si="238"/>
        <v>0.23650894918007387</v>
      </c>
      <c r="G1214">
        <f t="shared" ca="1" si="239"/>
        <v>0.1871761025810938</v>
      </c>
      <c r="H1214">
        <f t="shared" ca="1" si="240"/>
        <v>1.2635638092614236</v>
      </c>
      <c r="I1214">
        <f t="shared" ca="1" si="241"/>
        <v>55.821877169599688</v>
      </c>
      <c r="J1214">
        <f t="shared" ca="1" si="242"/>
        <v>1</v>
      </c>
      <c r="K1214">
        <f t="shared" ca="1" si="243"/>
        <v>0</v>
      </c>
      <c r="L1214">
        <f t="shared" ca="1" si="237"/>
        <v>0</v>
      </c>
      <c r="M1214" t="str">
        <f t="shared" ca="1" si="244"/>
        <v>na</v>
      </c>
      <c r="N1214" t="str">
        <f t="shared" ca="1" si="245"/>
        <v>na</v>
      </c>
    </row>
    <row r="1215" spans="1:14" x14ac:dyDescent="0.2">
      <c r="A1215" vm="2164">
        <f ca="1"/>
        <v>46010</v>
      </c>
      <c r="B1215" vm="2165">
        <f ca="1"/>
        <v>55.27</v>
      </c>
      <c r="C1215">
        <f t="shared" ca="1" si="234"/>
        <v>1.0100000000000051</v>
      </c>
      <c r="D1215">
        <f t="shared" ca="1" si="235"/>
        <v>1.0100000000000051</v>
      </c>
      <c r="E1215">
        <f t="shared" ca="1" si="236"/>
        <v>0</v>
      </c>
      <c r="F1215">
        <f t="shared" ca="1" si="238"/>
        <v>0.29175830995292612</v>
      </c>
      <c r="G1215">
        <f t="shared" ca="1" si="239"/>
        <v>0.17380638096815851</v>
      </c>
      <c r="H1215">
        <f t="shared" ca="1" si="240"/>
        <v>1.6786398078582427</v>
      </c>
      <c r="I1215">
        <f t="shared" ca="1" si="241"/>
        <v>62.667619697641662</v>
      </c>
      <c r="J1215">
        <f t="shared" ca="1" si="242"/>
        <v>1</v>
      </c>
      <c r="K1215">
        <f t="shared" ca="1" si="243"/>
        <v>0</v>
      </c>
      <c r="L1215">
        <f t="shared" ca="1" si="237"/>
        <v>0</v>
      </c>
      <c r="M1215" t="str">
        <f t="shared" ca="1" si="244"/>
        <v>na</v>
      </c>
      <c r="N1215" t="str">
        <f t="shared" ca="1" si="245"/>
        <v>na</v>
      </c>
    </row>
    <row r="1216" spans="1:14" x14ac:dyDescent="0.2">
      <c r="A1216" vm="2166">
        <f ca="1"/>
        <v>46013</v>
      </c>
      <c r="B1216" vm="2167">
        <f ca="1"/>
        <v>55.88</v>
      </c>
      <c r="C1216">
        <f t="shared" ca="1" si="234"/>
        <v>0.60999999999999943</v>
      </c>
      <c r="D1216">
        <f t="shared" ca="1" si="235"/>
        <v>0.60999999999999943</v>
      </c>
      <c r="E1216">
        <f t="shared" ca="1" si="236"/>
        <v>0</v>
      </c>
      <c r="F1216">
        <f t="shared" ca="1" si="238"/>
        <v>0.31448985924200279</v>
      </c>
      <c r="G1216">
        <f t="shared" ca="1" si="239"/>
        <v>0.16139163947043289</v>
      </c>
      <c r="H1216">
        <f t="shared" ca="1" si="240"/>
        <v>1.9486130773187769</v>
      </c>
      <c r="I1216">
        <f t="shared" ca="1" si="241"/>
        <v>66.08575035862907</v>
      </c>
      <c r="J1216">
        <f t="shared" ca="1" si="242"/>
        <v>1</v>
      </c>
      <c r="K1216">
        <f t="shared" ca="1" si="243"/>
        <v>0</v>
      </c>
      <c r="L1216">
        <f t="shared" ca="1" si="237"/>
        <v>0</v>
      </c>
      <c r="M1216" t="str">
        <f t="shared" ca="1" si="244"/>
        <v>na</v>
      </c>
      <c r="N1216" t="str">
        <f t="shared" ca="1" si="245"/>
        <v>na</v>
      </c>
    </row>
    <row r="1217" spans="1:14" x14ac:dyDescent="0.2">
      <c r="A1217" vm="2168">
        <f ca="1"/>
        <v>46014</v>
      </c>
      <c r="B1217" vm="2169">
        <f ca="1"/>
        <v>55.97</v>
      </c>
      <c r="C1217">
        <f t="shared" ca="1" si="234"/>
        <v>8.9999999999996305E-2</v>
      </c>
      <c r="D1217">
        <f t="shared" ca="1" si="235"/>
        <v>8.9999999999996305E-2</v>
      </c>
      <c r="E1217">
        <f t="shared" ca="1" si="236"/>
        <v>0</v>
      </c>
      <c r="F1217">
        <f t="shared" ca="1" si="238"/>
        <v>0.29845486929614518</v>
      </c>
      <c r="G1217">
        <f t="shared" ca="1" si="239"/>
        <v>0.14986366522254485</v>
      </c>
      <c r="H1217">
        <f t="shared" ca="1" si="240"/>
        <v>1.9915092084058204</v>
      </c>
      <c r="I1217">
        <f t="shared" ca="1" si="241"/>
        <v>66.572056766861778</v>
      </c>
      <c r="J1217">
        <f t="shared" ca="1" si="242"/>
        <v>1</v>
      </c>
      <c r="K1217">
        <f t="shared" ca="1" si="243"/>
        <v>0</v>
      </c>
      <c r="L1217">
        <f t="shared" ca="1" si="237"/>
        <v>0</v>
      </c>
      <c r="M1217" t="str">
        <f t="shared" ca="1" si="244"/>
        <v>na</v>
      </c>
      <c r="N1217" t="str">
        <f t="shared" ca="1" si="245"/>
        <v>na</v>
      </c>
    </row>
    <row r="1218" spans="1:14" x14ac:dyDescent="0.2">
      <c r="A1218" vm="2170">
        <f ca="1"/>
        <v>46015</v>
      </c>
      <c r="B1218" vm="2171">
        <f ca="1"/>
        <v>56.25</v>
      </c>
      <c r="C1218">
        <f t="shared" ca="1" si="234"/>
        <v>0.28000000000000114</v>
      </c>
      <c r="D1218">
        <f t="shared" ca="1" si="235"/>
        <v>0.28000000000000114</v>
      </c>
      <c r="E1218">
        <f t="shared" ca="1" si="236"/>
        <v>0</v>
      </c>
      <c r="F1218">
        <f t="shared" ca="1" si="238"/>
        <v>0.29713666434642061</v>
      </c>
      <c r="G1218">
        <f t="shared" ca="1" si="239"/>
        <v>0.13915911770664879</v>
      </c>
      <c r="H1218">
        <f t="shared" ca="1" si="240"/>
        <v>2.1352295792273761</v>
      </c>
      <c r="I1218">
        <f t="shared" ca="1" si="241"/>
        <v>68.104409111678734</v>
      </c>
      <c r="J1218">
        <f t="shared" ca="1" si="242"/>
        <v>1</v>
      </c>
      <c r="K1218">
        <f t="shared" ca="1" si="243"/>
        <v>0</v>
      </c>
      <c r="L1218">
        <f t="shared" ca="1" si="237"/>
        <v>0</v>
      </c>
      <c r="M1218" t="str">
        <f t="shared" ca="1" si="244"/>
        <v>na</v>
      </c>
      <c r="N1218" t="str">
        <f t="shared" ca="1" si="245"/>
        <v>na</v>
      </c>
    </row>
    <row r="1219" spans="1:14" x14ac:dyDescent="0.2">
      <c r="A1219" vm="2172">
        <f ca="1"/>
        <v>46017</v>
      </c>
      <c r="B1219" vm="2173">
        <f ca="1"/>
        <v>56.17</v>
      </c>
      <c r="C1219">
        <f t="shared" ca="1" si="234"/>
        <v>-7.9999999999998295E-2</v>
      </c>
      <c r="D1219">
        <f t="shared" ca="1" si="235"/>
        <v>0</v>
      </c>
      <c r="E1219">
        <f t="shared" ca="1" si="236"/>
        <v>7.9999999999998295E-2</v>
      </c>
      <c r="F1219">
        <f t="shared" ca="1" si="238"/>
        <v>0.27591261689310487</v>
      </c>
      <c r="G1219">
        <f t="shared" ca="1" si="239"/>
        <v>0.13493346644188803</v>
      </c>
      <c r="H1219">
        <f t="shared" ca="1" si="240"/>
        <v>2.0448049262258636</v>
      </c>
      <c r="I1219">
        <f t="shared" ca="1" si="241"/>
        <v>67.157173473194121</v>
      </c>
      <c r="J1219">
        <f t="shared" ca="1" si="242"/>
        <v>1</v>
      </c>
      <c r="K1219">
        <f t="shared" ca="1" si="243"/>
        <v>0</v>
      </c>
      <c r="L1219">
        <f t="shared" ca="1" si="237"/>
        <v>0</v>
      </c>
      <c r="M1219" t="str">
        <f t="shared" ca="1" si="244"/>
        <v>na</v>
      </c>
      <c r="N1219" t="str">
        <f t="shared" ca="1" si="245"/>
        <v>na</v>
      </c>
    </row>
    <row r="1220" spans="1:14" x14ac:dyDescent="0.2">
      <c r="A1220" vm="2174">
        <f ca="1"/>
        <v>46020</v>
      </c>
      <c r="B1220" vm="2175">
        <f ca="1"/>
        <v>55.35</v>
      </c>
      <c r="C1220">
        <f t="shared" ca="1" si="234"/>
        <v>-0.82000000000000028</v>
      </c>
      <c r="D1220">
        <f t="shared" ca="1" si="235"/>
        <v>0</v>
      </c>
      <c r="E1220">
        <f t="shared" ca="1" si="236"/>
        <v>0.82000000000000028</v>
      </c>
      <c r="F1220">
        <f t="shared" ca="1" si="238"/>
        <v>0.25620457282931169</v>
      </c>
      <c r="G1220">
        <f t="shared" ca="1" si="239"/>
        <v>0.18386679026746749</v>
      </c>
      <c r="H1220">
        <f t="shared" ca="1" si="240"/>
        <v>1.3934249488807404</v>
      </c>
      <c r="I1220">
        <f t="shared" ca="1" si="241"/>
        <v>58.218869554792633</v>
      </c>
      <c r="J1220">
        <f t="shared" ca="1" si="242"/>
        <v>1</v>
      </c>
      <c r="K1220">
        <f t="shared" ca="1" si="243"/>
        <v>0</v>
      </c>
      <c r="L1220">
        <f t="shared" ca="1" si="237"/>
        <v>0</v>
      </c>
      <c r="M1220" t="str">
        <f t="shared" ca="1" si="244"/>
        <v>na</v>
      </c>
      <c r="N1220" t="str">
        <f t="shared" ca="1" si="245"/>
        <v>na</v>
      </c>
    </row>
    <row r="1221" spans="1:14" x14ac:dyDescent="0.2">
      <c r="A1221" vm="2176">
        <f ca="1"/>
        <v>46021</v>
      </c>
      <c r="B1221" vm="2177">
        <f ca="1"/>
        <v>55.28</v>
      </c>
      <c r="C1221">
        <f t="shared" ca="1" si="234"/>
        <v>-7.0000000000000284E-2</v>
      </c>
      <c r="D1221">
        <f t="shared" ca="1" si="235"/>
        <v>0</v>
      </c>
      <c r="E1221">
        <f t="shared" ca="1" si="236"/>
        <v>7.0000000000000284E-2</v>
      </c>
      <c r="F1221">
        <f t="shared" ca="1" si="238"/>
        <v>0.23790424619864656</v>
      </c>
      <c r="G1221">
        <f t="shared" ca="1" si="239"/>
        <v>0.17573344810550554</v>
      </c>
      <c r="H1221">
        <f t="shared" ca="1" si="240"/>
        <v>1.3537789690202595</v>
      </c>
      <c r="I1221">
        <f t="shared" ca="1" si="241"/>
        <v>57.515127241695026</v>
      </c>
      <c r="J1221">
        <f t="shared" ca="1" si="242"/>
        <v>1</v>
      </c>
      <c r="K1221">
        <f t="shared" ca="1" si="243"/>
        <v>0</v>
      </c>
      <c r="L1221">
        <f t="shared" ca="1" si="237"/>
        <v>0</v>
      </c>
      <c r="M1221" t="str">
        <f t="shared" ca="1" si="244"/>
        <v>na</v>
      </c>
      <c r="N1221" t="str">
        <f t="shared" ca="1" si="245"/>
        <v>na</v>
      </c>
    </row>
    <row r="1222" spans="1:14" x14ac:dyDescent="0.2">
      <c r="A1222" vm="2178">
        <f ca="1"/>
        <v>46022</v>
      </c>
      <c r="B1222" vm="2179">
        <f ca="1"/>
        <v>55</v>
      </c>
      <c r="C1222">
        <f t="shared" ca="1" si="234"/>
        <v>-0.28000000000000114</v>
      </c>
      <c r="D1222">
        <f t="shared" ca="1" si="235"/>
        <v>0</v>
      </c>
      <c r="E1222">
        <f t="shared" ca="1" si="236"/>
        <v>0.28000000000000114</v>
      </c>
      <c r="F1222">
        <f t="shared" ca="1" si="238"/>
        <v>0.22091108575588608</v>
      </c>
      <c r="G1222">
        <f t="shared" ca="1" si="239"/>
        <v>0.18318105895511236</v>
      </c>
      <c r="H1222">
        <f t="shared" ca="1" si="240"/>
        <v>1.2059712233131008</v>
      </c>
      <c r="I1222">
        <f t="shared" ca="1" si="241"/>
        <v>54.668492977976321</v>
      </c>
      <c r="J1222">
        <f t="shared" ca="1" si="242"/>
        <v>1</v>
      </c>
      <c r="K1222">
        <f t="shared" ca="1" si="243"/>
        <v>0</v>
      </c>
      <c r="L1222">
        <f t="shared" ca="1" si="237"/>
        <v>0</v>
      </c>
      <c r="M1222" t="str">
        <f t="shared" ca="1" si="244"/>
        <v>na</v>
      </c>
      <c r="N1222" t="str">
        <f t="shared" ca="1" si="245"/>
        <v>na</v>
      </c>
    </row>
    <row r="1223" spans="1:14" x14ac:dyDescent="0.2">
      <c r="A1223" vm="2180">
        <f ca="1"/>
        <v>46024</v>
      </c>
      <c r="B1223" vm="2181">
        <f ca="1"/>
        <v>55.95</v>
      </c>
      <c r="C1223">
        <f t="shared" ca="1" si="234"/>
        <v>0.95000000000000284</v>
      </c>
      <c r="D1223">
        <f t="shared" ca="1" si="235"/>
        <v>0.95000000000000284</v>
      </c>
      <c r="E1223">
        <f t="shared" ca="1" si="236"/>
        <v>0</v>
      </c>
      <c r="F1223">
        <f t="shared" ca="1" si="238"/>
        <v>0.27298886534475159</v>
      </c>
      <c r="G1223">
        <f t="shared" ca="1" si="239"/>
        <v>0.17009669760117577</v>
      </c>
      <c r="H1223">
        <f t="shared" ca="1" si="240"/>
        <v>1.6049039704746424</v>
      </c>
      <c r="I1223">
        <f t="shared" ca="1" si="241"/>
        <v>61.610868909774474</v>
      </c>
      <c r="J1223">
        <f t="shared" ca="1" si="242"/>
        <v>1</v>
      </c>
      <c r="K1223">
        <f t="shared" ca="1" si="243"/>
        <v>0</v>
      </c>
      <c r="L1223">
        <f t="shared" ca="1" si="237"/>
        <v>0</v>
      </c>
      <c r="M1223" t="str">
        <f t="shared" ca="1" si="244"/>
        <v>na</v>
      </c>
      <c r="N1223" t="str">
        <f t="shared" ca="1" si="245"/>
        <v>na</v>
      </c>
    </row>
    <row r="1224" spans="1:14" x14ac:dyDescent="0.2">
      <c r="A1224" vm="2182">
        <f ca="1"/>
        <v>46027</v>
      </c>
      <c r="B1224" vm="2183">
        <f ca="1"/>
        <v>56.89</v>
      </c>
      <c r="C1224">
        <f t="shared" ca="1" si="234"/>
        <v>0.93999999999999773</v>
      </c>
      <c r="D1224">
        <f t="shared" ca="1" si="235"/>
        <v>0.93999999999999773</v>
      </c>
      <c r="E1224">
        <f t="shared" ca="1" si="236"/>
        <v>0</v>
      </c>
      <c r="F1224">
        <f t="shared" ca="1" si="238"/>
        <v>0.32063251782012625</v>
      </c>
      <c r="G1224">
        <f t="shared" ca="1" si="239"/>
        <v>0.15794693348680605</v>
      </c>
      <c r="H1224">
        <f t="shared" ca="1" si="240"/>
        <v>2.0300015374905014</v>
      </c>
      <c r="I1224">
        <f t="shared" ca="1" si="241"/>
        <v>66.996716416579218</v>
      </c>
      <c r="J1224">
        <f t="shared" ca="1" si="242"/>
        <v>1</v>
      </c>
      <c r="K1224">
        <f t="shared" ca="1" si="243"/>
        <v>0</v>
      </c>
      <c r="L1224">
        <f t="shared" ca="1" si="237"/>
        <v>0</v>
      </c>
      <c r="M1224" t="str">
        <f t="shared" ca="1" si="244"/>
        <v>na</v>
      </c>
      <c r="N1224" t="str">
        <f t="shared" ca="1" si="245"/>
        <v>na</v>
      </c>
    </row>
    <row r="1225" spans="1:14" x14ac:dyDescent="0.2">
      <c r="A1225" vm="2184">
        <f ca="1"/>
        <v>46028</v>
      </c>
      <c r="B1225" vm="2185">
        <f ca="1"/>
        <v>57.25</v>
      </c>
      <c r="C1225">
        <f t="shared" ref="C1225:C1261" ca="1" si="246">B1225-B1224</f>
        <v>0.35999999999999943</v>
      </c>
      <c r="D1225">
        <f t="shared" ref="D1225:D1261" ca="1" si="247">IF(C1225&gt;0,C1225,0)</f>
        <v>0.35999999999999943</v>
      </c>
      <c r="E1225">
        <f t="shared" ref="E1225:E1261" ca="1" si="248">IF(C1225&lt;0,ABS(C1225),0)</f>
        <v>0</v>
      </c>
      <c r="F1225">
        <f t="shared" ca="1" si="238"/>
        <v>0.32344448083297433</v>
      </c>
      <c r="G1225">
        <f t="shared" ca="1" si="239"/>
        <v>0.14666500966631993</v>
      </c>
      <c r="H1225">
        <f t="shared" ca="1" si="240"/>
        <v>2.2053281936083353</v>
      </c>
      <c r="I1225">
        <f t="shared" ca="1" si="241"/>
        <v>68.801946646397241</v>
      </c>
      <c r="J1225">
        <f t="shared" ca="1" si="242"/>
        <v>1</v>
      </c>
      <c r="K1225">
        <f t="shared" ca="1" si="243"/>
        <v>0</v>
      </c>
      <c r="L1225">
        <f t="shared" ca="1" si="237"/>
        <v>0</v>
      </c>
      <c r="M1225" t="str">
        <f t="shared" ca="1" si="244"/>
        <v>na</v>
      </c>
      <c r="N1225" t="str">
        <f t="shared" ca="1" si="245"/>
        <v>na</v>
      </c>
    </row>
    <row r="1226" spans="1:14" x14ac:dyDescent="0.2">
      <c r="A1226" vm="2186">
        <f ca="1"/>
        <v>46029</v>
      </c>
      <c r="B1226" vm="2187">
        <f ca="1"/>
        <v>55.64</v>
      </c>
      <c r="C1226">
        <f t="shared" ca="1" si="246"/>
        <v>-1.6099999999999994</v>
      </c>
      <c r="D1226">
        <f t="shared" ca="1" si="247"/>
        <v>0</v>
      </c>
      <c r="E1226">
        <f t="shared" ca="1" si="248"/>
        <v>1.6099999999999994</v>
      </c>
      <c r="F1226">
        <f t="shared" ca="1" si="238"/>
        <v>0.30034130363061901</v>
      </c>
      <c r="G1226">
        <f t="shared" ca="1" si="239"/>
        <v>0.25118893754729704</v>
      </c>
      <c r="H1226">
        <f t="shared" ca="1" si="240"/>
        <v>1.1956788645362495</v>
      </c>
      <c r="I1226">
        <f t="shared" ca="1" si="241"/>
        <v>54.455999183140541</v>
      </c>
      <c r="J1226">
        <f t="shared" ca="1" si="242"/>
        <v>1</v>
      </c>
      <c r="K1226">
        <f t="shared" ca="1" si="243"/>
        <v>0</v>
      </c>
      <c r="L1226">
        <f t="shared" ca="1" si="237"/>
        <v>0</v>
      </c>
      <c r="M1226" t="str">
        <f t="shared" ca="1" si="244"/>
        <v>na</v>
      </c>
      <c r="N1226" t="str">
        <f t="shared" ca="1" si="245"/>
        <v>na</v>
      </c>
    </row>
    <row r="1227" spans="1:14" x14ac:dyDescent="0.2">
      <c r="A1227" vm="2188">
        <f ca="1"/>
        <v>46030</v>
      </c>
      <c r="B1227" vm="2189">
        <f ca="1"/>
        <v>56.18</v>
      </c>
      <c r="C1227">
        <f t="shared" ca="1" si="246"/>
        <v>0.53999999999999915</v>
      </c>
      <c r="D1227">
        <f t="shared" ca="1" si="247"/>
        <v>0.53999999999999915</v>
      </c>
      <c r="E1227">
        <f t="shared" ca="1" si="248"/>
        <v>0</v>
      </c>
      <c r="F1227">
        <f t="shared" ca="1" si="238"/>
        <v>0.31745978194271757</v>
      </c>
      <c r="G1227">
        <f t="shared" ca="1" si="239"/>
        <v>0.23324687057963295</v>
      </c>
      <c r="H1227">
        <f t="shared" ca="1" si="240"/>
        <v>1.3610462646457391</v>
      </c>
      <c r="I1227">
        <f t="shared" ca="1" si="241"/>
        <v>57.64589559408553</v>
      </c>
      <c r="J1227">
        <f t="shared" ca="1" si="242"/>
        <v>1</v>
      </c>
      <c r="K1227">
        <f t="shared" ca="1" si="243"/>
        <v>0</v>
      </c>
      <c r="L1227">
        <f t="shared" ca="1" si="237"/>
        <v>0</v>
      </c>
      <c r="M1227" t="str">
        <f t="shared" ca="1" si="244"/>
        <v>na</v>
      </c>
      <c r="N1227" t="str">
        <f t="shared" ca="1" si="245"/>
        <v>na</v>
      </c>
    </row>
    <row r="1228" spans="1:14" x14ac:dyDescent="0.2">
      <c r="A1228" vm="2190">
        <f ca="1"/>
        <v>46031</v>
      </c>
      <c r="B1228" vm="2191">
        <f ca="1"/>
        <v>55.85</v>
      </c>
      <c r="C1228">
        <f t="shared" ca="1" si="246"/>
        <v>-0.32999999999999829</v>
      </c>
      <c r="D1228">
        <f t="shared" ca="1" si="247"/>
        <v>0</v>
      </c>
      <c r="E1228">
        <f t="shared" ca="1" si="248"/>
        <v>0.32999999999999829</v>
      </c>
      <c r="F1228">
        <f t="shared" ca="1" si="238"/>
        <v>0.29478408323252348</v>
      </c>
      <c r="G1228">
        <f t="shared" ca="1" si="239"/>
        <v>0.24015780839537332</v>
      </c>
      <c r="H1228">
        <f t="shared" ca="1" si="240"/>
        <v>1.2274599156368824</v>
      </c>
      <c r="I1228">
        <f t="shared" ca="1" si="241"/>
        <v>55.105813892319723</v>
      </c>
      <c r="J1228">
        <f t="shared" ca="1" si="242"/>
        <v>1</v>
      </c>
      <c r="K1228">
        <f t="shared" ca="1" si="243"/>
        <v>0</v>
      </c>
      <c r="L1228">
        <f t="shared" ca="1" si="237"/>
        <v>0</v>
      </c>
      <c r="M1228" t="str">
        <f t="shared" ca="1" si="244"/>
        <v>na</v>
      </c>
      <c r="N1228" t="str">
        <f t="shared" ca="1" si="245"/>
        <v>na</v>
      </c>
    </row>
    <row r="1229" spans="1:14" x14ac:dyDescent="0.2">
      <c r="A1229" vm="2192">
        <f ca="1"/>
        <v>46034</v>
      </c>
      <c r="B1229" vm="2193">
        <f ca="1"/>
        <v>55.19</v>
      </c>
      <c r="C1229">
        <f t="shared" ca="1" si="246"/>
        <v>-0.66000000000000369</v>
      </c>
      <c r="D1229">
        <f t="shared" ca="1" si="247"/>
        <v>0</v>
      </c>
      <c r="E1229">
        <f t="shared" ca="1" si="248"/>
        <v>0.66000000000000369</v>
      </c>
      <c r="F1229">
        <f t="shared" ca="1" si="238"/>
        <v>0.27372807728734322</v>
      </c>
      <c r="G1229">
        <f t="shared" ca="1" si="239"/>
        <v>0.27014653636713265</v>
      </c>
      <c r="H1229">
        <f t="shared" ca="1" si="240"/>
        <v>1.013257771017072</v>
      </c>
      <c r="I1229">
        <f t="shared" ca="1" si="241"/>
        <v>50.329261637727946</v>
      </c>
      <c r="J1229">
        <f t="shared" ca="1" si="242"/>
        <v>1</v>
      </c>
      <c r="K1229">
        <f t="shared" ca="1" si="243"/>
        <v>0</v>
      </c>
      <c r="L1229">
        <f t="shared" ca="1" si="237"/>
        <v>0</v>
      </c>
      <c r="M1229" t="str">
        <f t="shared" ca="1" si="244"/>
        <v>na</v>
      </c>
      <c r="N1229" t="str">
        <f t="shared" ca="1" si="245"/>
        <v>na</v>
      </c>
    </row>
    <row r="1230" spans="1:14" x14ac:dyDescent="0.2">
      <c r="A1230" vm="2194">
        <f ca="1"/>
        <v>46035</v>
      </c>
      <c r="B1230" vm="2195">
        <f ca="1"/>
        <v>54.54</v>
      </c>
      <c r="C1230">
        <f t="shared" ca="1" si="246"/>
        <v>-0.64999999999999858</v>
      </c>
      <c r="D1230">
        <f t="shared" ca="1" si="247"/>
        <v>0</v>
      </c>
      <c r="E1230">
        <f t="shared" ca="1" si="248"/>
        <v>0.64999999999999858</v>
      </c>
      <c r="F1230">
        <f t="shared" ca="1" si="238"/>
        <v>0.25417607176681872</v>
      </c>
      <c r="G1230">
        <f t="shared" ca="1" si="239"/>
        <v>0.29727892662662303</v>
      </c>
      <c r="H1230">
        <f t="shared" ca="1" si="240"/>
        <v>0.85500871067816819</v>
      </c>
      <c r="I1230">
        <f t="shared" ca="1" si="241"/>
        <v>46.09189734562419</v>
      </c>
      <c r="J1230">
        <f t="shared" ca="1" si="242"/>
        <v>1</v>
      </c>
      <c r="K1230">
        <f t="shared" ca="1" si="243"/>
        <v>0</v>
      </c>
      <c r="L1230">
        <f t="shared" ca="1" si="237"/>
        <v>0</v>
      </c>
      <c r="M1230" t="str">
        <f t="shared" ca="1" si="244"/>
        <v>na</v>
      </c>
      <c r="N1230" t="str">
        <f t="shared" ca="1" si="245"/>
        <v>na</v>
      </c>
    </row>
    <row r="1231" spans="1:14" x14ac:dyDescent="0.2">
      <c r="A1231" vm="2196">
        <f ca="1"/>
        <v>46036</v>
      </c>
      <c r="B1231" vm="2132">
        <f ca="1"/>
        <v>52.48</v>
      </c>
      <c r="C1231">
        <f t="shared" ca="1" si="246"/>
        <v>-2.0600000000000023</v>
      </c>
      <c r="D1231">
        <f t="shared" ca="1" si="247"/>
        <v>0</v>
      </c>
      <c r="E1231">
        <f t="shared" ca="1" si="248"/>
        <v>2.0600000000000023</v>
      </c>
      <c r="F1231">
        <f t="shared" ca="1" si="238"/>
        <v>0.2360206380691888</v>
      </c>
      <c r="G1231">
        <f t="shared" ca="1" si="239"/>
        <v>0.42318757472472157</v>
      </c>
      <c r="H1231">
        <f t="shared" ca="1" si="240"/>
        <v>0.55772109618936094</v>
      </c>
      <c r="I1231">
        <f t="shared" ca="1" si="241"/>
        <v>35.803655580816681</v>
      </c>
      <c r="J1231">
        <f t="shared" ca="1" si="242"/>
        <v>1</v>
      </c>
      <c r="K1231">
        <f t="shared" ca="1" si="243"/>
        <v>1</v>
      </c>
      <c r="L1231">
        <f t="shared" ca="1" si="237"/>
        <v>0</v>
      </c>
      <c r="M1231" t="str">
        <f t="shared" ca="1" si="244"/>
        <v>na</v>
      </c>
      <c r="N1231" t="str">
        <f t="shared" ca="1" si="245"/>
        <v>na</v>
      </c>
    </row>
    <row r="1232" spans="1:14" x14ac:dyDescent="0.2">
      <c r="A1232" vm="2197">
        <f ca="1"/>
        <v>46037</v>
      </c>
      <c r="B1232" vm="2198">
        <f ca="1"/>
        <v>52.59</v>
      </c>
      <c r="C1232">
        <f t="shared" ca="1" si="246"/>
        <v>0.11000000000000654</v>
      </c>
      <c r="D1232">
        <f t="shared" ca="1" si="247"/>
        <v>0.11000000000000654</v>
      </c>
      <c r="E1232">
        <f t="shared" ca="1" si="248"/>
        <v>0</v>
      </c>
      <c r="F1232">
        <f t="shared" ca="1" si="238"/>
        <v>0.22701916392139007</v>
      </c>
      <c r="G1232">
        <f t="shared" ca="1" si="239"/>
        <v>0.3929598908158129</v>
      </c>
      <c r="H1232">
        <f t="shared" ca="1" si="240"/>
        <v>0.5777158667519019</v>
      </c>
      <c r="I1232">
        <f t="shared" ca="1" si="241"/>
        <v>36.617231209144485</v>
      </c>
      <c r="J1232">
        <f t="shared" ca="1" si="242"/>
        <v>1</v>
      </c>
      <c r="K1232">
        <f t="shared" ca="1" si="243"/>
        <v>1</v>
      </c>
      <c r="L1232">
        <f t="shared" ca="1" si="237"/>
        <v>0</v>
      </c>
      <c r="M1232" t="str">
        <f t="shared" ca="1" si="244"/>
        <v>na</v>
      </c>
      <c r="N1232" t="str">
        <f t="shared" ca="1" si="245"/>
        <v>na</v>
      </c>
    </row>
    <row r="1233" spans="1:14" x14ac:dyDescent="0.2">
      <c r="A1233" vm="2199">
        <f ca="1"/>
        <v>46038</v>
      </c>
      <c r="B1233" vm="2200">
        <f ca="1"/>
        <v>52.97</v>
      </c>
      <c r="C1233">
        <f t="shared" ca="1" si="246"/>
        <v>0.37999999999999545</v>
      </c>
      <c r="D1233">
        <f t="shared" ca="1" si="247"/>
        <v>0.37999999999999545</v>
      </c>
      <c r="E1233">
        <f t="shared" ca="1" si="248"/>
        <v>0</v>
      </c>
      <c r="F1233">
        <f t="shared" ca="1" si="238"/>
        <v>0.23794636649843331</v>
      </c>
      <c r="G1233">
        <f t="shared" ca="1" si="239"/>
        <v>0.364891327186112</v>
      </c>
      <c r="H1233">
        <f t="shared" ca="1" si="240"/>
        <v>0.65210200618736358</v>
      </c>
      <c r="I1233">
        <f t="shared" ca="1" si="241"/>
        <v>39.471049835006937</v>
      </c>
      <c r="J1233">
        <f t="shared" ca="1" si="242"/>
        <v>1</v>
      </c>
      <c r="K1233">
        <f t="shared" ca="1" si="243"/>
        <v>1</v>
      </c>
      <c r="L1233">
        <f t="shared" ca="1" si="237"/>
        <v>0</v>
      </c>
      <c r="M1233" t="str">
        <f t="shared" ca="1" si="244"/>
        <v>na</v>
      </c>
      <c r="N1233" t="str">
        <f t="shared" ca="1" si="245"/>
        <v>na</v>
      </c>
    </row>
    <row r="1234" spans="1:14" x14ac:dyDescent="0.2">
      <c r="A1234" vm="2201">
        <f ca="1"/>
        <v>46042</v>
      </c>
      <c r="B1234" vm="2202">
        <f ca="1"/>
        <v>52.1</v>
      </c>
      <c r="C1234">
        <f t="shared" ca="1" si="246"/>
        <v>-0.86999999999999744</v>
      </c>
      <c r="D1234">
        <f t="shared" ca="1" si="247"/>
        <v>0</v>
      </c>
      <c r="E1234">
        <f t="shared" ca="1" si="248"/>
        <v>0.86999999999999744</v>
      </c>
      <c r="F1234">
        <f t="shared" ca="1" si="238"/>
        <v>0.22095019746283093</v>
      </c>
      <c r="G1234">
        <f t="shared" ca="1" si="239"/>
        <v>0.40097051810138951</v>
      </c>
      <c r="H1234">
        <f t="shared" ca="1" si="240"/>
        <v>0.55103851153206584</v>
      </c>
      <c r="I1234">
        <f t="shared" ca="1" si="241"/>
        <v>35.527068311654475</v>
      </c>
      <c r="J1234">
        <f t="shared" ca="1" si="242"/>
        <v>1</v>
      </c>
      <c r="K1234">
        <f t="shared" ca="1" si="243"/>
        <v>1</v>
      </c>
      <c r="L1234">
        <f t="shared" ca="1" si="237"/>
        <v>0</v>
      </c>
      <c r="M1234" t="str">
        <f t="shared" ca="1" si="244"/>
        <v>na</v>
      </c>
      <c r="N1234" t="str">
        <f t="shared" ca="1" si="245"/>
        <v>na</v>
      </c>
    </row>
    <row r="1235" spans="1:14" x14ac:dyDescent="0.2">
      <c r="A1235" vm="2203">
        <f ca="1"/>
        <v>46043</v>
      </c>
      <c r="B1235" vm="2204">
        <f ca="1"/>
        <v>52.07</v>
      </c>
      <c r="C1235">
        <f t="shared" ca="1" si="246"/>
        <v>-3.0000000000001137E-2</v>
      </c>
      <c r="D1235">
        <f t="shared" ca="1" si="247"/>
        <v>0</v>
      </c>
      <c r="E1235">
        <f t="shared" ca="1" si="248"/>
        <v>3.0000000000001137E-2</v>
      </c>
      <c r="F1235">
        <f t="shared" ca="1" si="238"/>
        <v>0.20516804050120016</v>
      </c>
      <c r="G1235">
        <f t="shared" ca="1" si="239"/>
        <v>0.37447262395129038</v>
      </c>
      <c r="H1235">
        <f t="shared" ca="1" si="240"/>
        <v>0.54788528554196114</v>
      </c>
      <c r="I1235">
        <f t="shared" ca="1" si="241"/>
        <v>35.395729299805964</v>
      </c>
      <c r="J1235">
        <f t="shared" ca="1" si="242"/>
        <v>1</v>
      </c>
      <c r="K1235">
        <f t="shared" ca="1" si="243"/>
        <v>1</v>
      </c>
      <c r="L1235">
        <f t="shared" ca="1" si="237"/>
        <v>0</v>
      </c>
      <c r="M1235" t="str">
        <f t="shared" ca="1" si="244"/>
        <v>na</v>
      </c>
      <c r="N1235" t="str">
        <f t="shared" ca="1" si="245"/>
        <v>na</v>
      </c>
    </row>
    <row r="1236" spans="1:14" x14ac:dyDescent="0.2">
      <c r="A1236" vm="2205">
        <f ca="1"/>
        <v>46044</v>
      </c>
      <c r="B1236" vm="2105">
        <f ca="1"/>
        <v>52.45</v>
      </c>
      <c r="C1236">
        <f t="shared" ca="1" si="246"/>
        <v>0.38000000000000256</v>
      </c>
      <c r="D1236">
        <f t="shared" ca="1" si="247"/>
        <v>0.38000000000000256</v>
      </c>
      <c r="E1236">
        <f t="shared" ca="1" si="248"/>
        <v>0</v>
      </c>
      <c r="F1236">
        <f t="shared" ca="1" si="238"/>
        <v>0.21765603760825747</v>
      </c>
      <c r="G1236">
        <f t="shared" ca="1" si="239"/>
        <v>0.34772457938334111</v>
      </c>
      <c r="H1236">
        <f t="shared" ca="1" si="240"/>
        <v>0.62594377997164097</v>
      </c>
      <c r="I1236">
        <f t="shared" ca="1" si="241"/>
        <v>38.49725849577397</v>
      </c>
      <c r="J1236">
        <f t="shared" ca="1" si="242"/>
        <v>1</v>
      </c>
      <c r="K1236">
        <f t="shared" ca="1" si="243"/>
        <v>1</v>
      </c>
      <c r="L1236">
        <f t="shared" ca="1" si="237"/>
        <v>0</v>
      </c>
      <c r="M1236" t="str">
        <f t="shared" ca="1" si="244"/>
        <v>na</v>
      </c>
      <c r="N1236" t="str">
        <f t="shared" ca="1" si="245"/>
        <v>na</v>
      </c>
    </row>
    <row r="1237" spans="1:14" x14ac:dyDescent="0.2">
      <c r="A1237" vm="2206">
        <f ca="1"/>
        <v>46045</v>
      </c>
      <c r="B1237" vm="2207">
        <f ca="1"/>
        <v>51.72</v>
      </c>
      <c r="C1237">
        <f t="shared" ca="1" si="246"/>
        <v>-0.73000000000000398</v>
      </c>
      <c r="D1237">
        <f t="shared" ca="1" si="247"/>
        <v>0</v>
      </c>
      <c r="E1237">
        <f t="shared" ca="1" si="248"/>
        <v>0.73000000000000398</v>
      </c>
      <c r="F1237">
        <f t="shared" ca="1" si="238"/>
        <v>0.20210917777909623</v>
      </c>
      <c r="G1237">
        <f t="shared" ca="1" si="239"/>
        <v>0.37502996657024562</v>
      </c>
      <c r="H1237">
        <f t="shared" ca="1" si="240"/>
        <v>0.53891474227364133</v>
      </c>
      <c r="I1237">
        <f t="shared" ca="1" si="241"/>
        <v>35.019142222098125</v>
      </c>
      <c r="J1237">
        <f t="shared" ca="1" si="242"/>
        <v>1</v>
      </c>
      <c r="K1237">
        <f t="shared" ca="1" si="243"/>
        <v>1</v>
      </c>
      <c r="L1237">
        <f t="shared" ca="1" si="237"/>
        <v>0</v>
      </c>
      <c r="M1237" t="str">
        <f t="shared" ca="1" si="244"/>
        <v>na</v>
      </c>
      <c r="N1237" t="str">
        <f t="shared" ca="1" si="245"/>
        <v>na</v>
      </c>
    </row>
    <row r="1238" spans="1:14" x14ac:dyDescent="0.2">
      <c r="A1238" vm="2208">
        <f ca="1"/>
        <v>46048</v>
      </c>
      <c r="B1238" vm="2124">
        <f ca="1"/>
        <v>52.02</v>
      </c>
      <c r="C1238">
        <f t="shared" ca="1" si="246"/>
        <v>0.30000000000000426</v>
      </c>
      <c r="D1238">
        <f t="shared" ca="1" si="247"/>
        <v>0.30000000000000426</v>
      </c>
      <c r="E1238">
        <f t="shared" ca="1" si="248"/>
        <v>0</v>
      </c>
      <c r="F1238">
        <f t="shared" ca="1" si="238"/>
        <v>0.20910137936630394</v>
      </c>
      <c r="G1238">
        <f t="shared" ca="1" si="239"/>
        <v>0.34824211181522807</v>
      </c>
      <c r="H1238">
        <f t="shared" ca="1" si="240"/>
        <v>0.60044828661402649</v>
      </c>
      <c r="I1238">
        <f t="shared" ca="1" si="241"/>
        <v>37.51750629096297</v>
      </c>
      <c r="J1238">
        <f t="shared" ca="1" si="242"/>
        <v>1</v>
      </c>
      <c r="K1238">
        <f t="shared" ca="1" si="243"/>
        <v>1</v>
      </c>
      <c r="L1238">
        <f t="shared" ref="L1238:L1261" ca="1" si="249">IF(I1238&gt;$C$3,1,0)</f>
        <v>0</v>
      </c>
      <c r="M1238" t="str">
        <f t="shared" ca="1" si="244"/>
        <v>na</v>
      </c>
      <c r="N1238" t="str">
        <f t="shared" ca="1" si="245"/>
        <v>na</v>
      </c>
    </row>
    <row r="1239" spans="1:14" x14ac:dyDescent="0.2">
      <c r="A1239" vm="2209">
        <f ca="1"/>
        <v>46049</v>
      </c>
      <c r="B1239" vm="2210">
        <f ca="1"/>
        <v>52.17</v>
      </c>
      <c r="C1239">
        <f t="shared" ca="1" si="246"/>
        <v>0.14999999999999858</v>
      </c>
      <c r="D1239">
        <f t="shared" ca="1" si="247"/>
        <v>0.14999999999999858</v>
      </c>
      <c r="E1239">
        <f t="shared" ca="1" si="248"/>
        <v>0</v>
      </c>
      <c r="F1239">
        <f t="shared" ref="F1239:F1261" ca="1" si="250">((F1238*13)+D1239)/14</f>
        <v>0.20487985226871069</v>
      </c>
      <c r="G1239">
        <f t="shared" ref="G1239:G1261" ca="1" si="251">((G1238*13)+E1239)/14</f>
        <v>0.3233676752569975</v>
      </c>
      <c r="H1239">
        <f t="shared" ref="H1239:H1261" ca="1" si="252">AVERAGE(F1239/G1239)</f>
        <v>0.63358173356654079</v>
      </c>
      <c r="I1239">
        <f t="shared" ref="I1239:I1261" ca="1" si="253">IF(G1239=0,100,100-(100/(1+H1239)))</f>
        <v>38.78481991735206</v>
      </c>
      <c r="J1239">
        <f t="shared" ca="1" si="242"/>
        <v>1</v>
      </c>
      <c r="K1239">
        <f t="shared" ca="1" si="243"/>
        <v>1</v>
      </c>
      <c r="L1239">
        <f t="shared" ca="1" si="249"/>
        <v>0</v>
      </c>
      <c r="M1239" t="str">
        <f t="shared" ca="1" si="244"/>
        <v>na</v>
      </c>
      <c r="N1239" t="str">
        <f t="shared" ca="1" si="245"/>
        <v>na</v>
      </c>
    </row>
    <row r="1240" spans="1:14" x14ac:dyDescent="0.2">
      <c r="A1240" vm="2211">
        <f ca="1"/>
        <v>46050</v>
      </c>
      <c r="B1240" vm="2212">
        <f ca="1"/>
        <v>51.81</v>
      </c>
      <c r="C1240">
        <f t="shared" ca="1" si="246"/>
        <v>-0.35999999999999943</v>
      </c>
      <c r="D1240">
        <f t="shared" ca="1" si="247"/>
        <v>0</v>
      </c>
      <c r="E1240">
        <f t="shared" ca="1" si="248"/>
        <v>0.35999999999999943</v>
      </c>
      <c r="F1240">
        <f t="shared" ca="1" si="250"/>
        <v>0.19024557710665993</v>
      </c>
      <c r="G1240">
        <f t="shared" ca="1" si="251"/>
        <v>0.32598426988149765</v>
      </c>
      <c r="H1240">
        <f t="shared" ca="1" si="252"/>
        <v>0.58360354987625118</v>
      </c>
      <c r="I1240">
        <f t="shared" ca="1" si="253"/>
        <v>36.852882144767626</v>
      </c>
      <c r="J1240">
        <f t="shared" ref="J1240:J1261" ca="1" si="254">IF(K1240=1,1,IF(L1240=1,0,IF(J1239=1,1,0)))</f>
        <v>1</v>
      </c>
      <c r="K1240">
        <f t="shared" ref="K1240:K1261" ca="1" si="255">IF(I1240&lt;$B$3,1,0)</f>
        <v>1</v>
      </c>
      <c r="L1240">
        <f t="shared" ca="1" si="249"/>
        <v>0</v>
      </c>
      <c r="M1240" t="str">
        <f t="shared" ref="M1240:M1261" ca="1" si="256">IF(AND(K1240=1,J1239=0),B1240,"na")</f>
        <v>na</v>
      </c>
      <c r="N1240" t="str">
        <f t="shared" ref="N1240:N1260" ca="1" si="257">IF(AND(L1240=1,J1239=1),B1240,"na")</f>
        <v>na</v>
      </c>
    </row>
    <row r="1241" spans="1:14" x14ac:dyDescent="0.2">
      <c r="A1241" vm="2213">
        <f ca="1"/>
        <v>46051</v>
      </c>
      <c r="B1241" vm="2214">
        <f ca="1"/>
        <v>53.08</v>
      </c>
      <c r="C1241">
        <f t="shared" ca="1" si="246"/>
        <v>1.269999999999996</v>
      </c>
      <c r="D1241">
        <f t="shared" ca="1" si="247"/>
        <v>1.269999999999996</v>
      </c>
      <c r="E1241">
        <f t="shared" ca="1" si="248"/>
        <v>0</v>
      </c>
      <c r="F1241">
        <f t="shared" ca="1" si="250"/>
        <v>0.26737089302761252</v>
      </c>
      <c r="G1241">
        <f t="shared" ca="1" si="251"/>
        <v>0.30269967917567636</v>
      </c>
      <c r="H1241">
        <f t="shared" ca="1" si="252"/>
        <v>0.88328766570128991</v>
      </c>
      <c r="I1241">
        <f t="shared" ca="1" si="253"/>
        <v>46.901367315671095</v>
      </c>
      <c r="J1241">
        <f t="shared" ca="1" si="254"/>
        <v>1</v>
      </c>
      <c r="K1241">
        <f t="shared" ca="1" si="255"/>
        <v>0</v>
      </c>
      <c r="L1241">
        <f t="shared" ca="1" si="249"/>
        <v>0</v>
      </c>
      <c r="M1241" t="str">
        <f t="shared" ca="1" si="256"/>
        <v>na</v>
      </c>
      <c r="N1241" t="str">
        <f t="shared" ca="1" si="257"/>
        <v>na</v>
      </c>
    </row>
    <row r="1242" spans="1:14" x14ac:dyDescent="0.2">
      <c r="A1242" vm="2215">
        <f ca="1"/>
        <v>46052</v>
      </c>
      <c r="B1242" vm="2109">
        <f ca="1"/>
        <v>53.2</v>
      </c>
      <c r="C1242">
        <f t="shared" ca="1" si="246"/>
        <v>0.12000000000000455</v>
      </c>
      <c r="D1242">
        <f t="shared" ca="1" si="247"/>
        <v>0.12000000000000455</v>
      </c>
      <c r="E1242">
        <f t="shared" ca="1" si="248"/>
        <v>0</v>
      </c>
      <c r="F1242">
        <f t="shared" ca="1" si="250"/>
        <v>0.25684440066849767</v>
      </c>
      <c r="G1242">
        <f t="shared" ca="1" si="251"/>
        <v>0.28107827352027093</v>
      </c>
      <c r="H1242">
        <f t="shared" ca="1" si="252"/>
        <v>0.91378247579130112</v>
      </c>
      <c r="I1242">
        <f t="shared" ca="1" si="253"/>
        <v>47.747457579444863</v>
      </c>
      <c r="J1242">
        <f t="shared" ca="1" si="254"/>
        <v>1</v>
      </c>
      <c r="K1242">
        <f t="shared" ca="1" si="255"/>
        <v>0</v>
      </c>
      <c r="L1242">
        <f t="shared" ca="1" si="249"/>
        <v>0</v>
      </c>
      <c r="M1242" t="str">
        <f t="shared" ca="1" si="256"/>
        <v>na</v>
      </c>
      <c r="N1242" t="str">
        <f t="shared" ca="1" si="257"/>
        <v>na</v>
      </c>
    </row>
    <row r="1243" spans="1:14" x14ac:dyDescent="0.2">
      <c r="A1243" vm="2216">
        <f ca="1"/>
        <v>46055</v>
      </c>
      <c r="B1243" vm="2217">
        <f ca="1"/>
        <v>54.03</v>
      </c>
      <c r="C1243">
        <f t="shared" ca="1" si="246"/>
        <v>0.82999999999999829</v>
      </c>
      <c r="D1243">
        <f t="shared" ca="1" si="247"/>
        <v>0.82999999999999829</v>
      </c>
      <c r="E1243">
        <f t="shared" ca="1" si="248"/>
        <v>0</v>
      </c>
      <c r="F1243">
        <f t="shared" ca="1" si="250"/>
        <v>0.29778408633503339</v>
      </c>
      <c r="G1243">
        <f t="shared" ca="1" si="251"/>
        <v>0.26100125398310869</v>
      </c>
      <c r="H1243">
        <f t="shared" ca="1" si="252"/>
        <v>1.1409297150515039</v>
      </c>
      <c r="I1243">
        <f t="shared" ca="1" si="253"/>
        <v>53.291320449726058</v>
      </c>
      <c r="J1243">
        <f t="shared" ca="1" si="254"/>
        <v>1</v>
      </c>
      <c r="K1243">
        <f t="shared" ca="1" si="255"/>
        <v>0</v>
      </c>
      <c r="L1243">
        <f t="shared" ca="1" si="249"/>
        <v>0</v>
      </c>
      <c r="M1243" t="str">
        <f t="shared" ca="1" si="256"/>
        <v>na</v>
      </c>
      <c r="N1243" t="str">
        <f t="shared" ca="1" si="257"/>
        <v>na</v>
      </c>
    </row>
    <row r="1244" spans="1:14" x14ac:dyDescent="0.2">
      <c r="A1244" vm="2218">
        <f ca="1"/>
        <v>46056</v>
      </c>
      <c r="B1244" vm="2219">
        <f ca="1"/>
        <v>54.45</v>
      </c>
      <c r="C1244">
        <f t="shared" ca="1" si="246"/>
        <v>0.42000000000000171</v>
      </c>
      <c r="D1244">
        <f t="shared" ca="1" si="247"/>
        <v>0.42000000000000171</v>
      </c>
      <c r="E1244">
        <f t="shared" ca="1" si="248"/>
        <v>0</v>
      </c>
      <c r="F1244">
        <f t="shared" ca="1" si="250"/>
        <v>0.30651379445395971</v>
      </c>
      <c r="G1244">
        <f t="shared" ca="1" si="251"/>
        <v>0.24235830727002949</v>
      </c>
      <c r="H1244">
        <f t="shared" ca="1" si="252"/>
        <v>1.2647133820440897</v>
      </c>
      <c r="I1244">
        <f t="shared" ca="1" si="253"/>
        <v>55.844302068042801</v>
      </c>
      <c r="J1244">
        <f t="shared" ca="1" si="254"/>
        <v>1</v>
      </c>
      <c r="K1244">
        <f t="shared" ca="1" si="255"/>
        <v>0</v>
      </c>
      <c r="L1244">
        <f t="shared" ca="1" si="249"/>
        <v>0</v>
      </c>
      <c r="M1244" t="str">
        <f t="shared" ca="1" si="256"/>
        <v>na</v>
      </c>
      <c r="N1244" t="str">
        <f t="shared" ca="1" si="257"/>
        <v>na</v>
      </c>
    </row>
    <row r="1245" spans="1:14" x14ac:dyDescent="0.2">
      <c r="A1245" vm="2220">
        <f ca="1"/>
        <v>46057</v>
      </c>
      <c r="B1245" vm="2221">
        <f ca="1"/>
        <v>55.38</v>
      </c>
      <c r="C1245">
        <f t="shared" ca="1" si="246"/>
        <v>0.92999999999999972</v>
      </c>
      <c r="D1245">
        <f t="shared" ca="1" si="247"/>
        <v>0.92999999999999972</v>
      </c>
      <c r="E1245">
        <f t="shared" ca="1" si="248"/>
        <v>0</v>
      </c>
      <c r="F1245">
        <f t="shared" ca="1" si="250"/>
        <v>0.35104852342153403</v>
      </c>
      <c r="G1245">
        <f t="shared" ca="1" si="251"/>
        <v>0.22504699960788452</v>
      </c>
      <c r="H1245">
        <f t="shared" ca="1" si="252"/>
        <v>1.5598898187187165</v>
      </c>
      <c r="I1245">
        <f t="shared" ca="1" si="253"/>
        <v>60.935818694707613</v>
      </c>
      <c r="J1245">
        <f t="shared" ca="1" si="254"/>
        <v>1</v>
      </c>
      <c r="K1245">
        <f t="shared" ca="1" si="255"/>
        <v>0</v>
      </c>
      <c r="L1245">
        <f t="shared" ca="1" si="249"/>
        <v>0</v>
      </c>
      <c r="M1245" t="str">
        <f t="shared" ca="1" si="256"/>
        <v>na</v>
      </c>
      <c r="N1245" t="str">
        <f t="shared" ca="1" si="257"/>
        <v>na</v>
      </c>
    </row>
    <row r="1246" spans="1:14" x14ac:dyDescent="0.2">
      <c r="A1246" vm="2222">
        <f ca="1"/>
        <v>46058</v>
      </c>
      <c r="B1246" vm="2223">
        <f ca="1"/>
        <v>54.94</v>
      </c>
      <c r="C1246">
        <f t="shared" ca="1" si="246"/>
        <v>-0.44000000000000483</v>
      </c>
      <c r="D1246">
        <f t="shared" ca="1" si="247"/>
        <v>0</v>
      </c>
      <c r="E1246">
        <f t="shared" ca="1" si="248"/>
        <v>0.44000000000000483</v>
      </c>
      <c r="F1246">
        <f t="shared" ca="1" si="250"/>
        <v>0.32597362889142445</v>
      </c>
      <c r="G1246">
        <f t="shared" ca="1" si="251"/>
        <v>0.24040078535017884</v>
      </c>
      <c r="H1246">
        <f t="shared" ca="1" si="252"/>
        <v>1.3559590848116252</v>
      </c>
      <c r="I1246">
        <f t="shared" ca="1" si="253"/>
        <v>57.554441142599181</v>
      </c>
      <c r="J1246">
        <f t="shared" ca="1" si="254"/>
        <v>1</v>
      </c>
      <c r="K1246">
        <f t="shared" ca="1" si="255"/>
        <v>0</v>
      </c>
      <c r="L1246">
        <f t="shared" ca="1" si="249"/>
        <v>0</v>
      </c>
      <c r="M1246" t="str">
        <f t="shared" ca="1" si="256"/>
        <v>na</v>
      </c>
      <c r="N1246" t="str">
        <f t="shared" ca="1" si="257"/>
        <v>na</v>
      </c>
    </row>
    <row r="1247" spans="1:14" x14ac:dyDescent="0.2">
      <c r="A1247" vm="2224">
        <f ca="1"/>
        <v>46059</v>
      </c>
      <c r="B1247" vm="2225">
        <f ca="1"/>
        <v>56.53</v>
      </c>
      <c r="C1247">
        <f t="shared" ca="1" si="246"/>
        <v>1.5900000000000034</v>
      </c>
      <c r="D1247">
        <f t="shared" ca="1" si="247"/>
        <v>1.5900000000000034</v>
      </c>
      <c r="E1247">
        <f t="shared" ca="1" si="248"/>
        <v>0</v>
      </c>
      <c r="F1247">
        <f t="shared" ca="1" si="250"/>
        <v>0.41626122682775152</v>
      </c>
      <c r="G1247">
        <f t="shared" ca="1" si="251"/>
        <v>0.22322930068230892</v>
      </c>
      <c r="H1247">
        <f t="shared" ca="1" si="252"/>
        <v>1.8647248616352472</v>
      </c>
      <c r="I1247">
        <f t="shared" ca="1" si="253"/>
        <v>65.092633732749533</v>
      </c>
      <c r="J1247">
        <f t="shared" ca="1" si="254"/>
        <v>1</v>
      </c>
      <c r="K1247">
        <f t="shared" ca="1" si="255"/>
        <v>0</v>
      </c>
      <c r="L1247">
        <f t="shared" ca="1" si="249"/>
        <v>0</v>
      </c>
      <c r="M1247" t="str">
        <f t="shared" ca="1" si="256"/>
        <v>na</v>
      </c>
      <c r="N1247" t="str">
        <f t="shared" ca="1" si="257"/>
        <v>na</v>
      </c>
    </row>
    <row r="1248" spans="1:14" x14ac:dyDescent="0.2">
      <c r="A1248" vm="2226">
        <f ca="1"/>
        <v>46062</v>
      </c>
      <c r="B1248" vm="2227">
        <f ca="1"/>
        <v>56.41</v>
      </c>
      <c r="C1248">
        <f t="shared" ca="1" si="246"/>
        <v>-0.12000000000000455</v>
      </c>
      <c r="D1248">
        <f t="shared" ca="1" si="247"/>
        <v>0</v>
      </c>
      <c r="E1248">
        <f t="shared" ca="1" si="248"/>
        <v>0.12000000000000455</v>
      </c>
      <c r="F1248">
        <f t="shared" ca="1" si="250"/>
        <v>0.3865282820543407</v>
      </c>
      <c r="G1248">
        <f t="shared" ca="1" si="251"/>
        <v>0.21585577920500149</v>
      </c>
      <c r="H1248">
        <f t="shared" ca="1" si="252"/>
        <v>1.7906784033206216</v>
      </c>
      <c r="I1248">
        <f t="shared" ca="1" si="253"/>
        <v>64.166419218706736</v>
      </c>
      <c r="J1248">
        <f t="shared" ca="1" si="254"/>
        <v>1</v>
      </c>
      <c r="K1248">
        <f t="shared" ca="1" si="255"/>
        <v>0</v>
      </c>
      <c r="L1248">
        <f t="shared" ca="1" si="249"/>
        <v>0</v>
      </c>
      <c r="M1248" t="str">
        <f t="shared" ca="1" si="256"/>
        <v>na</v>
      </c>
      <c r="N1248" t="str">
        <f t="shared" ca="1" si="257"/>
        <v>na</v>
      </c>
    </row>
    <row r="1249" spans="1:14" x14ac:dyDescent="0.2">
      <c r="A1249" vm="2228">
        <f ca="1"/>
        <v>46063</v>
      </c>
      <c r="B1249" vm="2229">
        <f ca="1"/>
        <v>55.39</v>
      </c>
      <c r="C1249">
        <f t="shared" ca="1" si="246"/>
        <v>-1.019999999999996</v>
      </c>
      <c r="D1249">
        <f t="shared" ca="1" si="247"/>
        <v>0</v>
      </c>
      <c r="E1249">
        <f t="shared" ca="1" si="248"/>
        <v>1.019999999999996</v>
      </c>
      <c r="F1249">
        <f t="shared" ca="1" si="250"/>
        <v>0.3589191190504592</v>
      </c>
      <c r="G1249">
        <f t="shared" ca="1" si="251"/>
        <v>0.27329465211892967</v>
      </c>
      <c r="H1249">
        <f t="shared" ca="1" si="252"/>
        <v>1.3133045826826801</v>
      </c>
      <c r="I1249">
        <f t="shared" ca="1" si="253"/>
        <v>56.771797043676564</v>
      </c>
      <c r="J1249">
        <f t="shared" ca="1" si="254"/>
        <v>1</v>
      </c>
      <c r="K1249">
        <f t="shared" ca="1" si="255"/>
        <v>0</v>
      </c>
      <c r="L1249">
        <f t="shared" ca="1" si="249"/>
        <v>0</v>
      </c>
      <c r="M1249" t="str">
        <f t="shared" ca="1" si="256"/>
        <v>na</v>
      </c>
      <c r="N1249" t="str">
        <f t="shared" ca="1" si="257"/>
        <v>na</v>
      </c>
    </row>
    <row r="1250" spans="1:14" x14ac:dyDescent="0.2">
      <c r="A1250" vm="2230">
        <f ca="1"/>
        <v>46064</v>
      </c>
      <c r="B1250" vm="2231">
        <f ca="1"/>
        <v>53.85</v>
      </c>
      <c r="C1250">
        <f t="shared" ca="1" si="246"/>
        <v>-1.5399999999999991</v>
      </c>
      <c r="D1250">
        <f t="shared" ca="1" si="247"/>
        <v>0</v>
      </c>
      <c r="E1250">
        <f t="shared" ca="1" si="248"/>
        <v>1.5399999999999991</v>
      </c>
      <c r="F1250">
        <f t="shared" ca="1" si="250"/>
        <v>0.33328203911828352</v>
      </c>
      <c r="G1250">
        <f t="shared" ca="1" si="251"/>
        <v>0.36377360553900606</v>
      </c>
      <c r="H1250">
        <f t="shared" ca="1" si="252"/>
        <v>0.91617982735294123</v>
      </c>
      <c r="I1250">
        <f t="shared" ca="1" si="253"/>
        <v>47.812831252825319</v>
      </c>
      <c r="J1250">
        <f t="shared" ca="1" si="254"/>
        <v>1</v>
      </c>
      <c r="K1250">
        <f t="shared" ca="1" si="255"/>
        <v>0</v>
      </c>
      <c r="L1250">
        <f t="shared" ca="1" si="249"/>
        <v>0</v>
      </c>
      <c r="M1250" t="str">
        <f t="shared" ca="1" si="256"/>
        <v>na</v>
      </c>
      <c r="N1250" t="str">
        <f t="shared" ca="1" si="257"/>
        <v>na</v>
      </c>
    </row>
    <row r="1251" spans="1:14" x14ac:dyDescent="0.2">
      <c r="A1251" vm="2232">
        <f ca="1"/>
        <v>46065</v>
      </c>
      <c r="B1251" vm="2233">
        <f ca="1"/>
        <v>52.52</v>
      </c>
      <c r="C1251">
        <f t="shared" ca="1" si="246"/>
        <v>-1.3299999999999983</v>
      </c>
      <c r="D1251">
        <f t="shared" ca="1" si="247"/>
        <v>0</v>
      </c>
      <c r="E1251">
        <f t="shared" ca="1" si="248"/>
        <v>1.3299999999999983</v>
      </c>
      <c r="F1251">
        <f t="shared" ca="1" si="250"/>
        <v>0.30947617918126324</v>
      </c>
      <c r="G1251">
        <f t="shared" ca="1" si="251"/>
        <v>0.43278977657193407</v>
      </c>
      <c r="H1251">
        <f t="shared" ca="1" si="252"/>
        <v>0.71507275803180892</v>
      </c>
      <c r="I1251">
        <f t="shared" ca="1" si="253"/>
        <v>41.693435726447866</v>
      </c>
      <c r="J1251">
        <f t="shared" ca="1" si="254"/>
        <v>1</v>
      </c>
      <c r="K1251">
        <f t="shared" ca="1" si="255"/>
        <v>0</v>
      </c>
      <c r="L1251">
        <f t="shared" ca="1" si="249"/>
        <v>0</v>
      </c>
      <c r="M1251" t="str">
        <f t="shared" ca="1" si="256"/>
        <v>na</v>
      </c>
      <c r="N1251" t="str">
        <f t="shared" ca="1" si="257"/>
        <v>na</v>
      </c>
    </row>
    <row r="1252" spans="1:14" x14ac:dyDescent="0.2">
      <c r="A1252" vm="2234">
        <f ca="1"/>
        <v>46066</v>
      </c>
      <c r="B1252" vm="2235">
        <f ca="1"/>
        <v>52.55</v>
      </c>
      <c r="C1252">
        <f t="shared" ca="1" si="246"/>
        <v>2.9999999999994031E-2</v>
      </c>
      <c r="D1252">
        <f t="shared" ca="1" si="247"/>
        <v>2.9999999999994031E-2</v>
      </c>
      <c r="E1252">
        <f t="shared" ca="1" si="248"/>
        <v>0</v>
      </c>
      <c r="F1252">
        <f t="shared" ca="1" si="250"/>
        <v>0.28951359495402978</v>
      </c>
      <c r="G1252">
        <f t="shared" ca="1" si="251"/>
        <v>0.4018762211025102</v>
      </c>
      <c r="H1252">
        <f t="shared" ca="1" si="252"/>
        <v>0.72040489024151777</v>
      </c>
      <c r="I1252">
        <f t="shared" ca="1" si="253"/>
        <v>41.874148017585803</v>
      </c>
      <c r="J1252">
        <f t="shared" ca="1" si="254"/>
        <v>1</v>
      </c>
      <c r="K1252">
        <f t="shared" ca="1" si="255"/>
        <v>0</v>
      </c>
      <c r="L1252">
        <f t="shared" ca="1" si="249"/>
        <v>0</v>
      </c>
      <c r="M1252" t="str">
        <f t="shared" ca="1" si="256"/>
        <v>na</v>
      </c>
      <c r="N1252" t="str">
        <f t="shared" ca="1" si="257"/>
        <v>na</v>
      </c>
    </row>
    <row r="1253" spans="1:14" x14ac:dyDescent="0.2">
      <c r="A1253" vm="2236">
        <f ca="1"/>
        <v>46070</v>
      </c>
      <c r="B1253" vm="2237">
        <f ca="1"/>
        <v>52.74</v>
      </c>
      <c r="C1253">
        <f t="shared" ca="1" si="246"/>
        <v>0.19000000000000483</v>
      </c>
      <c r="D1253">
        <f t="shared" ca="1" si="247"/>
        <v>0.19000000000000483</v>
      </c>
      <c r="E1253">
        <f t="shared" ca="1" si="248"/>
        <v>0</v>
      </c>
      <c r="F1253">
        <f t="shared" ca="1" si="250"/>
        <v>0.2824054810287423</v>
      </c>
      <c r="G1253">
        <f t="shared" ca="1" si="251"/>
        <v>0.37317077673804516</v>
      </c>
      <c r="H1253">
        <f t="shared" ca="1" si="252"/>
        <v>0.75677276633851365</v>
      </c>
      <c r="I1253">
        <f t="shared" ca="1" si="253"/>
        <v>43.077441820537118</v>
      </c>
      <c r="J1253">
        <f t="shared" ca="1" si="254"/>
        <v>1</v>
      </c>
      <c r="K1253">
        <f t="shared" ca="1" si="255"/>
        <v>0</v>
      </c>
      <c r="L1253">
        <f t="shared" ca="1" si="249"/>
        <v>0</v>
      </c>
      <c r="M1253" t="str">
        <f t="shared" ca="1" si="256"/>
        <v>na</v>
      </c>
      <c r="N1253" t="str">
        <f t="shared" ca="1" si="257"/>
        <v>na</v>
      </c>
    </row>
    <row r="1254" spans="1:14" x14ac:dyDescent="0.2">
      <c r="A1254" vm="2238">
        <f ca="1"/>
        <v>46071</v>
      </c>
      <c r="B1254" vm="2239">
        <f ca="1"/>
        <v>53.36</v>
      </c>
      <c r="C1254">
        <f t="shared" ca="1" si="246"/>
        <v>0.61999999999999744</v>
      </c>
      <c r="D1254">
        <f t="shared" ca="1" si="247"/>
        <v>0.61999999999999744</v>
      </c>
      <c r="E1254">
        <f t="shared" ca="1" si="248"/>
        <v>0</v>
      </c>
      <c r="F1254">
        <f t="shared" ca="1" si="250"/>
        <v>0.30651937524097483</v>
      </c>
      <c r="G1254">
        <f t="shared" ca="1" si="251"/>
        <v>0.34651572125675623</v>
      </c>
      <c r="H1254">
        <f t="shared" ca="1" si="252"/>
        <v>0.88457566695467338</v>
      </c>
      <c r="I1254">
        <f t="shared" ca="1" si="253"/>
        <v>46.937657238463572</v>
      </c>
      <c r="J1254">
        <f t="shared" ca="1" si="254"/>
        <v>1</v>
      </c>
      <c r="K1254">
        <f t="shared" ca="1" si="255"/>
        <v>0</v>
      </c>
      <c r="L1254">
        <f t="shared" ca="1" si="249"/>
        <v>0</v>
      </c>
      <c r="M1254" t="str">
        <f t="shared" ca="1" si="256"/>
        <v>na</v>
      </c>
      <c r="N1254" t="str">
        <f t="shared" ca="1" si="257"/>
        <v>na</v>
      </c>
    </row>
    <row r="1255" spans="1:14" x14ac:dyDescent="0.2">
      <c r="A1255" vm="2240">
        <f ca="1"/>
        <v>46072</v>
      </c>
      <c r="B1255" vm="2241">
        <f ca="1"/>
        <v>52.77</v>
      </c>
      <c r="C1255">
        <f t="shared" ca="1" si="246"/>
        <v>-0.58999999999999631</v>
      </c>
      <c r="D1255">
        <f t="shared" ca="1" si="247"/>
        <v>0</v>
      </c>
      <c r="E1255">
        <f t="shared" ca="1" si="248"/>
        <v>0.58999999999999631</v>
      </c>
      <c r="F1255">
        <f t="shared" ca="1" si="250"/>
        <v>0.28462513415233376</v>
      </c>
      <c r="G1255">
        <f t="shared" ca="1" si="251"/>
        <v>0.36390745545270192</v>
      </c>
      <c r="H1255">
        <f t="shared" ca="1" si="252"/>
        <v>0.78213603455378311</v>
      </c>
      <c r="I1255">
        <f t="shared" ca="1" si="253"/>
        <v>43.887560735486552</v>
      </c>
      <c r="J1255">
        <f t="shared" ca="1" si="254"/>
        <v>1</v>
      </c>
      <c r="K1255">
        <f t="shared" ca="1" si="255"/>
        <v>0</v>
      </c>
      <c r="L1255">
        <f t="shared" ca="1" si="249"/>
        <v>0</v>
      </c>
      <c r="M1255" t="str">
        <f t="shared" ca="1" si="256"/>
        <v>na</v>
      </c>
      <c r="N1255" t="str">
        <f t="shared" ca="1" si="257"/>
        <v>na</v>
      </c>
    </row>
    <row r="1256" spans="1:14" x14ac:dyDescent="0.2">
      <c r="A1256" vm="2242">
        <f ca="1"/>
        <v>46073</v>
      </c>
      <c r="B1256" vm="2243">
        <f ca="1"/>
        <v>53.06</v>
      </c>
      <c r="C1256">
        <f t="shared" ca="1" si="246"/>
        <v>0.28999999999999915</v>
      </c>
      <c r="D1256">
        <f t="shared" ca="1" si="247"/>
        <v>0.28999999999999915</v>
      </c>
      <c r="E1256">
        <f t="shared" ca="1" si="248"/>
        <v>0</v>
      </c>
      <c r="F1256">
        <f t="shared" ca="1" si="250"/>
        <v>0.2850090531414527</v>
      </c>
      <c r="G1256">
        <f t="shared" ca="1" si="251"/>
        <v>0.33791406577750893</v>
      </c>
      <c r="H1256">
        <f t="shared" ca="1" si="252"/>
        <v>0.84343648875838684</v>
      </c>
      <c r="I1256">
        <f t="shared" ca="1" si="253"/>
        <v>45.753487787716956</v>
      </c>
      <c r="J1256">
        <f t="shared" ca="1" si="254"/>
        <v>1</v>
      </c>
      <c r="K1256">
        <f t="shared" ca="1" si="255"/>
        <v>0</v>
      </c>
      <c r="L1256">
        <f t="shared" ca="1" si="249"/>
        <v>0</v>
      </c>
      <c r="M1256" t="str">
        <f t="shared" ca="1" si="256"/>
        <v>na</v>
      </c>
      <c r="N1256" t="str">
        <f t="shared" ca="1" si="257"/>
        <v>na</v>
      </c>
    </row>
    <row r="1257" spans="1:14" x14ac:dyDescent="0.2">
      <c r="A1257" vm="2244">
        <f ca="1"/>
        <v>46076</v>
      </c>
      <c r="B1257" vm="2245">
        <f ca="1"/>
        <v>51.07</v>
      </c>
      <c r="C1257">
        <f t="shared" ca="1" si="246"/>
        <v>-1.990000000000002</v>
      </c>
      <c r="D1257">
        <f t="shared" ca="1" si="247"/>
        <v>0</v>
      </c>
      <c r="E1257">
        <f t="shared" ca="1" si="248"/>
        <v>1.990000000000002</v>
      </c>
      <c r="F1257">
        <f t="shared" ca="1" si="250"/>
        <v>0.26465126363134894</v>
      </c>
      <c r="G1257">
        <f t="shared" ca="1" si="251"/>
        <v>0.45592020393625843</v>
      </c>
      <c r="H1257">
        <f t="shared" ca="1" si="252"/>
        <v>0.58047715663057009</v>
      </c>
      <c r="I1257">
        <f t="shared" ca="1" si="253"/>
        <v>36.727968777991904</v>
      </c>
      <c r="J1257">
        <f t="shared" ca="1" si="254"/>
        <v>1</v>
      </c>
      <c r="K1257">
        <f t="shared" ca="1" si="255"/>
        <v>1</v>
      </c>
      <c r="L1257">
        <f t="shared" ca="1" si="249"/>
        <v>0</v>
      </c>
      <c r="M1257" t="str">
        <f t="shared" ca="1" si="256"/>
        <v>na</v>
      </c>
      <c r="N1257" t="str">
        <f t="shared" ca="1" si="257"/>
        <v>na</v>
      </c>
    </row>
    <row r="1258" spans="1:14" x14ac:dyDescent="0.2">
      <c r="A1258" vm="2246">
        <f ca="1"/>
        <v>46077</v>
      </c>
      <c r="B1258" vm="2247">
        <f ca="1"/>
        <v>50.41</v>
      </c>
      <c r="C1258">
        <f t="shared" ca="1" si="246"/>
        <v>-0.66000000000000369</v>
      </c>
      <c r="D1258">
        <f t="shared" ca="1" si="247"/>
        <v>0</v>
      </c>
      <c r="E1258">
        <f t="shared" ca="1" si="248"/>
        <v>0.66000000000000369</v>
      </c>
      <c r="F1258">
        <f t="shared" ca="1" si="250"/>
        <v>0.24574760194339546</v>
      </c>
      <c r="G1258">
        <f t="shared" ca="1" si="251"/>
        <v>0.47049733222652595</v>
      </c>
      <c r="H1258">
        <f t="shared" ca="1" si="252"/>
        <v>0.52231454911858599</v>
      </c>
      <c r="I1258">
        <f t="shared" ca="1" si="253"/>
        <v>34.310553585722744</v>
      </c>
      <c r="J1258">
        <f t="shared" ca="1" si="254"/>
        <v>1</v>
      </c>
      <c r="K1258">
        <f t="shared" ca="1" si="255"/>
        <v>1</v>
      </c>
      <c r="L1258">
        <f t="shared" ca="1" si="249"/>
        <v>0</v>
      </c>
      <c r="M1258" t="str">
        <f t="shared" ca="1" si="256"/>
        <v>na</v>
      </c>
      <c r="N1258" t="str">
        <f t="shared" ca="1" si="257"/>
        <v>na</v>
      </c>
    </row>
    <row r="1259" spans="1:14" x14ac:dyDescent="0.2">
      <c r="A1259" vm="2248">
        <f ca="1"/>
        <v>46078</v>
      </c>
      <c r="B1259" vm="2249">
        <f ca="1"/>
        <v>51.69</v>
      </c>
      <c r="C1259">
        <f t="shared" ca="1" si="246"/>
        <v>1.2800000000000011</v>
      </c>
      <c r="D1259">
        <f t="shared" ca="1" si="247"/>
        <v>1.2800000000000011</v>
      </c>
      <c r="E1259">
        <f t="shared" ca="1" si="248"/>
        <v>0</v>
      </c>
      <c r="F1259">
        <f t="shared" ca="1" si="250"/>
        <v>0.31962277323315302</v>
      </c>
      <c r="G1259">
        <f t="shared" ca="1" si="251"/>
        <v>0.43689037992463126</v>
      </c>
      <c r="H1259">
        <f t="shared" ca="1" si="252"/>
        <v>0.73158574306051716</v>
      </c>
      <c r="I1259">
        <f t="shared" ca="1" si="253"/>
        <v>42.249466767234111</v>
      </c>
      <c r="J1259">
        <f t="shared" ca="1" si="254"/>
        <v>1</v>
      </c>
      <c r="K1259">
        <f t="shared" ca="1" si="255"/>
        <v>0</v>
      </c>
      <c r="L1259">
        <f t="shared" ca="1" si="249"/>
        <v>0</v>
      </c>
      <c r="M1259" t="str">
        <f t="shared" ca="1" si="256"/>
        <v>na</v>
      </c>
      <c r="N1259" t="str">
        <f t="shared" ca="1" si="257"/>
        <v>na</v>
      </c>
    </row>
    <row r="1260" spans="1:14" x14ac:dyDescent="0.2">
      <c r="A1260" vm="2250">
        <f ca="1"/>
        <v>46079</v>
      </c>
      <c r="B1260" vm="2251">
        <f ca="1"/>
        <v>52.3</v>
      </c>
      <c r="C1260">
        <f t="shared" ca="1" si="246"/>
        <v>0.60999999999999943</v>
      </c>
      <c r="D1260">
        <f t="shared" ca="1" si="247"/>
        <v>0.60999999999999943</v>
      </c>
      <c r="E1260">
        <f t="shared" ca="1" si="248"/>
        <v>0</v>
      </c>
      <c r="F1260">
        <f t="shared" ca="1" si="250"/>
        <v>0.34036400371649922</v>
      </c>
      <c r="G1260">
        <f t="shared" ca="1" si="251"/>
        <v>0.40568392421572902</v>
      </c>
      <c r="H1260">
        <f t="shared" ca="1" si="252"/>
        <v>0.83898814668215727</v>
      </c>
      <c r="I1260">
        <f t="shared" ca="1" si="253"/>
        <v>45.622270496731176</v>
      </c>
      <c r="J1260">
        <f t="shared" ca="1" si="254"/>
        <v>1</v>
      </c>
      <c r="K1260">
        <f t="shared" ca="1" si="255"/>
        <v>0</v>
      </c>
      <c r="L1260">
        <f t="shared" ca="1" si="249"/>
        <v>0</v>
      </c>
      <c r="M1260" t="str">
        <f t="shared" ca="1" si="256"/>
        <v>na</v>
      </c>
      <c r="N1260" t="str">
        <f t="shared" ca="1" si="257"/>
        <v>na</v>
      </c>
    </row>
    <row r="1261" spans="1:14" x14ac:dyDescent="0.2">
      <c r="A1261" vm="2252">
        <f ca="1"/>
        <v>46080</v>
      </c>
      <c r="B1261" vm="72">
        <f ca="1"/>
        <v>49.83</v>
      </c>
      <c r="C1261">
        <f t="shared" ca="1" si="246"/>
        <v>-2.4699999999999989</v>
      </c>
      <c r="D1261">
        <f t="shared" ca="1" si="247"/>
        <v>0</v>
      </c>
      <c r="E1261">
        <f t="shared" ca="1" si="248"/>
        <v>2.4699999999999989</v>
      </c>
      <c r="F1261">
        <f t="shared" ca="1" si="250"/>
        <v>0.31605228916532069</v>
      </c>
      <c r="G1261">
        <f t="shared" ca="1" si="251"/>
        <v>0.553135072486034</v>
      </c>
      <c r="H1261">
        <f t="shared" ca="1" si="252"/>
        <v>0.57138356413532365</v>
      </c>
      <c r="I1261">
        <f t="shared" ca="1" si="253"/>
        <v>36.361813702037523</v>
      </c>
      <c r="J1261">
        <f t="shared" ca="1" si="254"/>
        <v>1</v>
      </c>
      <c r="K1261">
        <f t="shared" ca="1" si="255"/>
        <v>1</v>
      </c>
      <c r="L1261">
        <f t="shared" ca="1" si="249"/>
        <v>0</v>
      </c>
      <c r="M1261" t="str">
        <f t="shared" ca="1" si="256"/>
        <v>na</v>
      </c>
      <c r="N1261" vm="72">
        <f ca="1">IF(J1260=1,B1261,"na")</f>
        <v>49.83</v>
      </c>
    </row>
    <row r="1262" spans="1:14" x14ac:dyDescent="0.2">
      <c r="A1262" vm="2253">
        <f ca="1"/>
        <v>46083</v>
      </c>
      <c r="B1262" vm="2254">
        <f ca="1"/>
        <v>49.81</v>
      </c>
    </row>
  </sheetData>
  <conditionalFormatting sqref="W2:AI17">
    <cfRule type="colorScale" priority="2">
      <colorScale>
        <cfvo type="min"/>
        <cfvo type="percentile" val="50"/>
        <cfvo type="max"/>
        <color rgb="FFF8696B"/>
        <color rgb="FFFFEB84"/>
        <color rgb="FF63BE7B"/>
      </colorScale>
    </cfRule>
  </conditionalFormatting>
  <conditionalFormatting sqref="W38:AI53">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Brody Blanchard</dc:creator>
  <cp:lastModifiedBy>Brody Blanchard</cp:lastModifiedBy>
  <dcterms:created xsi:type="dcterms:W3CDTF">2026-01-14T18:13:52Z</dcterms:created>
  <dcterms:modified xsi:type="dcterms:W3CDTF">2026-03-03T02:59:44Z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3188ad8-4875-42e6-925c-bd11f6824504_Enabled">
    <vt:lpwstr>true</vt:lpwstr>
  </property>
  <property fmtid="{D5CDD505-2E9C-101B-9397-08002B2CF9AE}" pid="3" name="MSIP_Label_33188ad8-4875-42e6-925c-bd11f6824504_SetDate">
    <vt:lpwstr>2026-01-14T19:39:02Z</vt:lpwstr>
  </property>
  <property fmtid="{D5CDD505-2E9C-101B-9397-08002B2CF9AE}" pid="4" name="MSIP_Label_33188ad8-4875-42e6-925c-bd11f6824504_Method">
    <vt:lpwstr>Standard</vt:lpwstr>
  </property>
  <property fmtid="{D5CDD505-2E9C-101B-9397-08002B2CF9AE}" pid="5" name="MSIP_Label_33188ad8-4875-42e6-925c-bd11f6824504_Name">
    <vt:lpwstr>defa4170-0d19-0005-0004-bc88714345d2</vt:lpwstr>
  </property>
  <property fmtid="{D5CDD505-2E9C-101B-9397-08002B2CF9AE}" pid="6" name="MSIP_Label_33188ad8-4875-42e6-925c-bd11f6824504_SiteId">
    <vt:lpwstr>8143a300-2c64-4dd4-bb14-bcd3f04c1963</vt:lpwstr>
  </property>
  <property fmtid="{D5CDD505-2E9C-101B-9397-08002B2CF9AE}" pid="7" name="MSIP_Label_33188ad8-4875-42e6-925c-bd11f6824504_ActionId">
    <vt:lpwstr>d117854c-c601-48b7-8f66-55f2fd919c92</vt:lpwstr>
  </property>
  <property fmtid="{D5CDD505-2E9C-101B-9397-08002B2CF9AE}" pid="8" name="MSIP_Label_33188ad8-4875-42e6-925c-bd11f6824504_ContentBits">
    <vt:lpwstr>0</vt:lpwstr>
  </property>
  <property fmtid="{D5CDD505-2E9C-101B-9397-08002B2CF9AE}" pid="9" name="MSIP_Label_33188ad8-4875-42e6-925c-bd11f6824504_Tag">
    <vt:lpwstr>50, 3, 0, 1</vt:lpwstr>
  </property>
</Properties>
</file>