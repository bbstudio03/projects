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pivotTables/pivotTable3.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6.xml" ContentType="application/vnd.openxmlformats-officedocument.spreadsheetml.table+xml"/>
  <Override PartName="/xl/slicers/slicer4.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3.xml" ContentType="application/vnd.openxmlformats-officedocument.themeOverride+xml"/>
  <Override PartName="/xl/pivotTables/pivotTable4.xml" ContentType="application/vnd.openxmlformats-officedocument.spreadsheetml.pivot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4.xml" ContentType="application/vnd.openxmlformats-officedocument.themeOverride+xml"/>
  <Override PartName="/xl/pivotTables/pivotTable5.xml" ContentType="application/vnd.openxmlformats-officedocument.spreadsheetml.pivotTab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7.xml" ContentType="application/vnd.openxmlformats-officedocument.spreadsheetml.table+xml"/>
  <Override PartName="/xl/slicers/slicer6.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202300"/>
  <mc:AlternateContent xmlns:mc="http://schemas.openxmlformats.org/markup-compatibility/2006">
    <mc:Choice Requires="x15">
      <x15ac:absPath xmlns:x15ac="http://schemas.microsoft.com/office/spreadsheetml/2010/11/ac" url="K:\Internal Control Unit\Quantification Project\Procurement\Brody\"/>
    </mc:Choice>
  </mc:AlternateContent>
  <xr:revisionPtr revIDLastSave="0" documentId="13_ncr:1_{6547E100-BAAB-4EEE-AC47-73BF83000A0D}" xr6:coauthVersionLast="47" xr6:coauthVersionMax="47" xr10:uidLastSave="{00000000-0000-0000-0000-000000000000}"/>
  <bookViews>
    <workbookView xWindow="29985" yWindow="2865" windowWidth="23280" windowHeight="13740" firstSheet="5" activeTab="9" xr2:uid="{4093A113-E292-4AA5-A210-133D1ECB2EDF}"/>
  </bookViews>
  <sheets>
    <sheet name="Data" sheetId="1" state="hidden" r:id="rId1"/>
    <sheet name="Invalid PO Pivot Table" sheetId="6" state="hidden" r:id="rId2"/>
    <sheet name="Confidence Int - Cost Per Oder" sheetId="3" state="hidden" r:id="rId3"/>
    <sheet name="Confidence Intervals - PO" sheetId="2" state="hidden" r:id="rId4"/>
    <sheet name="# Retroactive PO Graph &amp; Table" sheetId="7" r:id="rId5"/>
    <sheet name="Savings Per Order Graph" sheetId="14" r:id="rId6"/>
    <sheet name="Total Savings &amp; Total Costs Gra" sheetId="19" r:id="rId7"/>
    <sheet name="BiTable" sheetId="23" state="hidden" r:id="rId8"/>
    <sheet name="Total Yearly Savings Graph" sheetId="20" r:id="rId9"/>
    <sheet name="Total Savings Graph" sheetId="21" r:id="rId10"/>
  </sheets>
  <definedNames>
    <definedName name="Slicer_Confidence">#N/A</definedName>
    <definedName name="Slicer_Confidence_Level">#N/A</definedName>
    <definedName name="Slicer_Confidence_Level1">#N/A</definedName>
    <definedName name="Slicer_Confidence1">#N/A</definedName>
    <definedName name="Slicer_Confidence2">#N/A</definedName>
    <definedName name="Slicer_Confidence3">#N/A</definedName>
    <definedName name="Slicer_Year">#N/A</definedName>
    <definedName name="Slicer_Year1">#N/A</definedName>
    <definedName name="Slicer_Year2">#N/A</definedName>
    <definedName name="Slicer_Year3">#N/A</definedName>
  </definedNames>
  <calcPr calcId="191029"/>
  <pivotCaches>
    <pivotCache cacheId="0" r:id="rId11"/>
    <pivotCache cacheId="12" r:id="rId12"/>
    <pivotCache cacheId="61" r:id="rId13"/>
    <pivotCache cacheId="102"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21" l="1"/>
  <c r="M41" i="21"/>
  <c r="L41" i="21"/>
  <c r="K42" i="21"/>
  <c r="K43" i="21"/>
  <c r="J41" i="21"/>
  <c r="J42" i="21"/>
  <c r="M42" i="21" s="1"/>
  <c r="J43" i="21"/>
  <c r="M43" i="21" s="1"/>
  <c r="H41" i="21"/>
  <c r="K41" i="21" s="1"/>
  <c r="H42" i="21"/>
  <c r="H43" i="21"/>
  <c r="C42" i="21"/>
  <c r="I42" i="21" s="1"/>
  <c r="L42" i="21" s="1"/>
  <c r="C43" i="21"/>
  <c r="I43" i="21" s="1"/>
  <c r="L43" i="21" s="1"/>
  <c r="C41" i="21"/>
  <c r="I41" i="21" s="1"/>
  <c r="T21" i="20"/>
  <c r="P22" i="19"/>
  <c r="K71" i="19"/>
  <c r="N71" i="19" s="1"/>
  <c r="K72" i="19"/>
  <c r="N72" i="19" s="1"/>
  <c r="K73" i="19"/>
  <c r="N73" i="19" s="1"/>
  <c r="K74" i="19"/>
  <c r="N74" i="19" s="1"/>
  <c r="K75" i="19"/>
  <c r="N75" i="19" s="1"/>
  <c r="K76" i="19"/>
  <c r="N76" i="19" s="1"/>
  <c r="K77" i="19"/>
  <c r="N77" i="19" s="1"/>
  <c r="K78" i="19"/>
  <c r="N78" i="19" s="1"/>
  <c r="K79" i="19"/>
  <c r="N79" i="19" s="1"/>
  <c r="K80" i="19"/>
  <c r="N80" i="19" s="1"/>
  <c r="K81" i="19"/>
  <c r="N81" i="19" s="1"/>
  <c r="K82" i="19"/>
  <c r="N82" i="19" s="1"/>
  <c r="I71" i="19"/>
  <c r="L71" i="19" s="1"/>
  <c r="I72" i="19"/>
  <c r="L72" i="19" s="1"/>
  <c r="I73" i="19"/>
  <c r="L73" i="19" s="1"/>
  <c r="I74" i="19"/>
  <c r="L74" i="19" s="1"/>
  <c r="I75" i="19"/>
  <c r="L75" i="19" s="1"/>
  <c r="I76" i="19"/>
  <c r="L76" i="19" s="1"/>
  <c r="I77" i="19"/>
  <c r="L77" i="19" s="1"/>
  <c r="I78" i="19"/>
  <c r="L78" i="19" s="1"/>
  <c r="I79" i="19"/>
  <c r="L79" i="19" s="1"/>
  <c r="I80" i="19"/>
  <c r="L80" i="19" s="1"/>
  <c r="I81" i="19"/>
  <c r="L81" i="19" s="1"/>
  <c r="I82" i="19"/>
  <c r="L82" i="19" s="1"/>
  <c r="Q21" i="14"/>
  <c r="G74" i="14" s="1"/>
  <c r="I45" i="3"/>
  <c r="J42" i="3"/>
  <c r="K42" i="3"/>
  <c r="J43" i="3"/>
  <c r="K43" i="3"/>
  <c r="J44" i="3"/>
  <c r="K44" i="3"/>
  <c r="J45" i="3"/>
  <c r="K45" i="3"/>
  <c r="J46" i="3"/>
  <c r="K46" i="3"/>
  <c r="J47" i="3"/>
  <c r="K47" i="3"/>
  <c r="J48" i="3"/>
  <c r="K48" i="3"/>
  <c r="J49" i="3"/>
  <c r="K49" i="3"/>
  <c r="J50" i="3"/>
  <c r="K50" i="3"/>
  <c r="J51" i="3"/>
  <c r="K51" i="3"/>
  <c r="J52" i="3"/>
  <c r="K52" i="3"/>
  <c r="J53" i="3"/>
  <c r="K53" i="3"/>
  <c r="I43" i="3"/>
  <c r="I44" i="3"/>
  <c r="I46" i="3"/>
  <c r="I47" i="3"/>
  <c r="I48" i="3"/>
  <c r="I49" i="3"/>
  <c r="I50" i="3"/>
  <c r="I51" i="3"/>
  <c r="I52" i="3"/>
  <c r="I53" i="3"/>
  <c r="I42" i="3"/>
  <c r="R26" i="3"/>
  <c r="R27" i="3"/>
  <c r="R28" i="3"/>
  <c r="R29" i="3"/>
  <c r="R30" i="3"/>
  <c r="R31" i="3"/>
  <c r="R32" i="3"/>
  <c r="R33" i="3"/>
  <c r="R34" i="3"/>
  <c r="R35" i="3"/>
  <c r="R36" i="3"/>
  <c r="R37" i="3"/>
  <c r="O26" i="3"/>
  <c r="O27" i="3"/>
  <c r="O28" i="3"/>
  <c r="O29" i="3"/>
  <c r="O30" i="3"/>
  <c r="O31" i="3"/>
  <c r="O32" i="3"/>
  <c r="O33" i="3"/>
  <c r="O34" i="3"/>
  <c r="O35" i="3"/>
  <c r="O36" i="3"/>
  <c r="O37" i="3"/>
  <c r="L26" i="3"/>
  <c r="L27" i="3"/>
  <c r="L28" i="3"/>
  <c r="L29" i="3"/>
  <c r="L30" i="3"/>
  <c r="L31" i="3"/>
  <c r="L32" i="3"/>
  <c r="L33" i="3"/>
  <c r="L34" i="3"/>
  <c r="L35" i="3"/>
  <c r="L36" i="3"/>
  <c r="L37" i="3"/>
  <c r="Q26" i="3"/>
  <c r="Q27" i="3"/>
  <c r="Q28" i="3"/>
  <c r="Q29" i="3"/>
  <c r="Q30" i="3"/>
  <c r="Q31" i="3"/>
  <c r="Q32" i="3"/>
  <c r="Q33" i="3"/>
  <c r="Q34" i="3"/>
  <c r="Q35" i="3"/>
  <c r="Q36" i="3"/>
  <c r="Q37" i="3"/>
  <c r="P26" i="3"/>
  <c r="P27" i="3"/>
  <c r="P28" i="3"/>
  <c r="P29" i="3"/>
  <c r="P30" i="3"/>
  <c r="P31" i="3"/>
  <c r="P32" i="3"/>
  <c r="P33" i="3"/>
  <c r="P34" i="3"/>
  <c r="P35" i="3"/>
  <c r="P36" i="3"/>
  <c r="P37" i="3"/>
  <c r="N26" i="3"/>
  <c r="N27" i="3"/>
  <c r="N28" i="3"/>
  <c r="N29" i="3"/>
  <c r="N30" i="3"/>
  <c r="N31" i="3"/>
  <c r="N32" i="3"/>
  <c r="N33" i="3"/>
  <c r="N34" i="3"/>
  <c r="N35" i="3"/>
  <c r="N36" i="3"/>
  <c r="N37" i="3"/>
  <c r="M26" i="3"/>
  <c r="M27" i="3"/>
  <c r="M28" i="3"/>
  <c r="M29" i="3"/>
  <c r="M30" i="3"/>
  <c r="M31" i="3"/>
  <c r="M32" i="3"/>
  <c r="M33" i="3"/>
  <c r="M34" i="3"/>
  <c r="M35" i="3"/>
  <c r="M36" i="3"/>
  <c r="M37" i="3"/>
  <c r="K26" i="3"/>
  <c r="K27" i="3"/>
  <c r="K28" i="3"/>
  <c r="K29" i="3"/>
  <c r="K30" i="3"/>
  <c r="K31" i="3"/>
  <c r="K32" i="3"/>
  <c r="K33" i="3"/>
  <c r="K34" i="3"/>
  <c r="K35" i="3"/>
  <c r="K36" i="3"/>
  <c r="K37" i="3"/>
  <c r="J30" i="3"/>
  <c r="J26" i="3"/>
  <c r="J27" i="3"/>
  <c r="J28" i="3"/>
  <c r="J29" i="3"/>
  <c r="J31" i="3"/>
  <c r="J32" i="3"/>
  <c r="J33" i="3"/>
  <c r="J34" i="3"/>
  <c r="J35" i="3"/>
  <c r="J36" i="3"/>
  <c r="J37" i="3"/>
  <c r="G57" i="7"/>
  <c r="G56" i="7"/>
  <c r="G55" i="7"/>
  <c r="F17" i="2"/>
  <c r="F16" i="2"/>
  <c r="F15" i="2"/>
  <c r="F21" i="2"/>
  <c r="I21" i="2"/>
  <c r="O36" i="2"/>
  <c r="P36" i="2"/>
  <c r="K36" i="2"/>
  <c r="L36" i="2"/>
  <c r="M36" i="2"/>
  <c r="N36" i="2"/>
  <c r="I36" i="2"/>
  <c r="J36" i="2"/>
  <c r="H36" i="2"/>
  <c r="E36" i="2"/>
  <c r="F36" i="2"/>
  <c r="G36" i="2"/>
  <c r="C36" i="2"/>
  <c r="D36" i="2"/>
  <c r="B36" i="2"/>
  <c r="O35" i="2"/>
  <c r="P35" i="2"/>
  <c r="O37" i="2"/>
  <c r="P37" i="2"/>
  <c r="N37" i="2"/>
  <c r="N35" i="2"/>
  <c r="L35" i="2"/>
  <c r="M35" i="2"/>
  <c r="L37" i="2"/>
  <c r="M37" i="2"/>
  <c r="K37" i="2"/>
  <c r="K35" i="2"/>
  <c r="I37" i="2"/>
  <c r="J37" i="2"/>
  <c r="H37" i="2"/>
  <c r="I35" i="2"/>
  <c r="J35" i="2"/>
  <c r="H35" i="2"/>
  <c r="F37" i="2"/>
  <c r="G37" i="2"/>
  <c r="E37" i="2"/>
  <c r="F35" i="2"/>
  <c r="G35" i="2"/>
  <c r="E35" i="2"/>
  <c r="O21" i="2"/>
  <c r="L21" i="2"/>
  <c r="P5" i="1"/>
  <c r="N5" i="1"/>
  <c r="L5" i="1"/>
  <c r="J5" i="1"/>
  <c r="O3" i="3"/>
  <c r="O2" i="3"/>
  <c r="O10" i="3" s="1"/>
  <c r="L3" i="3"/>
  <c r="L2" i="3"/>
  <c r="L10" i="3" s="1"/>
  <c r="I3" i="3"/>
  <c r="I2" i="3"/>
  <c r="I10" i="3" s="1"/>
  <c r="F2" i="3"/>
  <c r="G9" i="3" s="1"/>
  <c r="F3" i="3"/>
  <c r="O8" i="1"/>
  <c r="M8" i="1"/>
  <c r="K8" i="1"/>
  <c r="I8" i="1"/>
  <c r="B2" i="3"/>
  <c r="D16" i="3" s="1"/>
  <c r="O7" i="1"/>
  <c r="P7" i="1"/>
  <c r="M7" i="1"/>
  <c r="N7" i="1"/>
  <c r="K7" i="1"/>
  <c r="L7" i="1"/>
  <c r="I7" i="1"/>
  <c r="J7" i="1"/>
  <c r="G3" i="1"/>
  <c r="F77" i="14" l="1"/>
  <c r="F73" i="14"/>
  <c r="H79" i="14"/>
  <c r="H77" i="14"/>
  <c r="F80" i="14"/>
  <c r="G81" i="14"/>
  <c r="G73" i="14"/>
  <c r="F78" i="14"/>
  <c r="G80" i="14"/>
  <c r="F72" i="14"/>
  <c r="C69" i="14" s="1"/>
  <c r="G77" i="14"/>
  <c r="G72" i="14"/>
  <c r="G76" i="14"/>
  <c r="H83" i="14"/>
  <c r="H75" i="14"/>
  <c r="F81" i="14"/>
  <c r="H81" i="14"/>
  <c r="H73" i="14"/>
  <c r="F79" i="14"/>
  <c r="H72" i="14"/>
  <c r="H80" i="14"/>
  <c r="H76" i="14"/>
  <c r="F76" i="14"/>
  <c r="G83" i="14"/>
  <c r="G79" i="14"/>
  <c r="G75" i="14"/>
  <c r="F83" i="14"/>
  <c r="F75" i="14"/>
  <c r="H82" i="14"/>
  <c r="H78" i="14"/>
  <c r="H74" i="14"/>
  <c r="F82" i="14"/>
  <c r="F74" i="14"/>
  <c r="G82" i="14"/>
  <c r="G78" i="14"/>
  <c r="F16" i="3"/>
  <c r="L17" i="3"/>
  <c r="N16" i="3"/>
  <c r="P16" i="3"/>
  <c r="G16" i="3"/>
  <c r="O16" i="3"/>
  <c r="I16" i="3"/>
  <c r="D17" i="3"/>
  <c r="H16" i="3"/>
  <c r="B16" i="3"/>
  <c r="J16" i="3"/>
  <c r="E17" i="3"/>
  <c r="C16" i="3"/>
  <c r="K16" i="3"/>
  <c r="F17" i="3"/>
  <c r="L16" i="3"/>
  <c r="K17" i="3"/>
  <c r="E16" i="3"/>
  <c r="M16" i="3"/>
  <c r="N17" i="3"/>
  <c r="E38" i="2"/>
  <c r="M38" i="2"/>
  <c r="P38" i="2"/>
  <c r="F38" i="2"/>
  <c r="J38" i="2"/>
  <c r="G38" i="2"/>
  <c r="L38" i="2"/>
  <c r="I38" i="2"/>
  <c r="H38" i="2"/>
  <c r="O38" i="2"/>
  <c r="N38" i="2"/>
  <c r="K38" i="2"/>
  <c r="B17" i="3"/>
  <c r="C17" i="3"/>
  <c r="E9" i="3"/>
  <c r="F9" i="3"/>
  <c r="H9" i="3"/>
  <c r="K9" i="3"/>
  <c r="N9" i="3"/>
  <c r="J9" i="3"/>
  <c r="P9" i="3"/>
  <c r="E10" i="3"/>
  <c r="K10" i="3"/>
  <c r="G10" i="3"/>
  <c r="G11" i="3" s="1"/>
  <c r="I9" i="3"/>
  <c r="I11" i="3" s="1"/>
  <c r="M9" i="3"/>
  <c r="O9" i="3"/>
  <c r="O11" i="3" s="1"/>
  <c r="N10" i="3"/>
  <c r="F10" i="3"/>
  <c r="H10" i="3"/>
  <c r="L9" i="3"/>
  <c r="L11" i="3" s="1"/>
  <c r="J10" i="3"/>
  <c r="M10" i="3"/>
  <c r="P10" i="3"/>
  <c r="C37" i="2"/>
  <c r="D37" i="2"/>
  <c r="B37" i="2"/>
  <c r="B35" i="2"/>
  <c r="C35" i="2"/>
  <c r="D35" i="2"/>
  <c r="B3" i="3"/>
  <c r="G2" i="1"/>
  <c r="B27" i="2"/>
  <c r="J11" i="3" l="1"/>
  <c r="E11" i="3"/>
  <c r="P11" i="3"/>
  <c r="N11" i="3"/>
  <c r="M11" i="3"/>
  <c r="K11" i="3"/>
  <c r="H11" i="3"/>
  <c r="F11" i="3"/>
  <c r="B5" i="3"/>
  <c r="B8" i="3" s="1"/>
  <c r="B10" i="3" l="1"/>
  <c r="B9" i="3"/>
  <c r="D8" i="3"/>
  <c r="D10" i="3" s="1"/>
  <c r="C8" i="3"/>
  <c r="D9" i="3" l="1"/>
  <c r="C9" i="3"/>
  <c r="C10" i="3"/>
  <c r="M78" i="19" l="1"/>
  <c r="J78" i="19"/>
  <c r="J71" i="19"/>
  <c r="M71" i="19" s="1"/>
  <c r="J76" i="19"/>
  <c r="M76" i="19" s="1"/>
  <c r="J81" i="19"/>
  <c r="M81" i="19" s="1"/>
  <c r="M79" i="19"/>
  <c r="J79" i="19"/>
  <c r="J73" i="19"/>
  <c r="M73" i="19"/>
  <c r="J80" i="19"/>
  <c r="M80" i="19" s="1"/>
  <c r="J74" i="19"/>
  <c r="M74" i="19"/>
  <c r="M82" i="19"/>
  <c r="J82" i="19"/>
  <c r="J77" i="19"/>
  <c r="M77" i="19"/>
  <c r="J72" i="19"/>
  <c r="M72" i="19" s="1"/>
  <c r="J75" i="19"/>
  <c r="M75" i="19"/>
</calcChain>
</file>

<file path=xl/sharedStrings.xml><?xml version="1.0" encoding="utf-8"?>
<sst xmlns="http://schemas.openxmlformats.org/spreadsheetml/2006/main" count="370" uniqueCount="96">
  <si>
    <t>N</t>
  </si>
  <si>
    <t>Y</t>
  </si>
  <si>
    <t>Calculator</t>
  </si>
  <si>
    <t>Sample proportion = 0.3125</t>
  </si>
  <si>
    <t>Z-score  for 90% = 1.645</t>
  </si>
  <si>
    <t>Sample size = 80</t>
  </si>
  <si>
    <t>Samples met Criteria = 25</t>
  </si>
  <si>
    <t>Margin of Error = Z-score * SE = 8.53%</t>
  </si>
  <si>
    <t>Standard Error SE =  = sqr((proportion of success * proportion of failure)/Sample size) = .051875</t>
  </si>
  <si>
    <t>Wilson Score</t>
  </si>
  <si>
    <t>Upper</t>
  </si>
  <si>
    <t>Mid</t>
  </si>
  <si>
    <t>Lower</t>
  </si>
  <si>
    <t>Sample Mean</t>
  </si>
  <si>
    <t>Standard Deviation</t>
  </si>
  <si>
    <t>Degrees of Freedom</t>
  </si>
  <si>
    <t>Confidence Level</t>
  </si>
  <si>
    <t>T-score</t>
  </si>
  <si>
    <t>Standard Error</t>
  </si>
  <si>
    <t>Margin of Error</t>
  </si>
  <si>
    <t>for mean</t>
  </si>
  <si>
    <t>Proportion</t>
  </si>
  <si>
    <t>Confidence</t>
  </si>
  <si>
    <t>Population</t>
  </si>
  <si>
    <t>SD</t>
  </si>
  <si>
    <t>sample size</t>
  </si>
  <si>
    <t>Sample Proportion</t>
  </si>
  <si>
    <t/>
  </si>
  <si>
    <t>Sample Size</t>
  </si>
  <si>
    <t>Delta</t>
  </si>
  <si>
    <t>Year</t>
  </si>
  <si>
    <t>Row Labels</t>
  </si>
  <si>
    <t>Grand Total</t>
  </si>
  <si>
    <t>Middle</t>
  </si>
  <si>
    <t>High</t>
  </si>
  <si>
    <t>Low</t>
  </si>
  <si>
    <t>All Years Confidence Intervals</t>
  </si>
  <si>
    <t>30% - H</t>
  </si>
  <si>
    <t>30% -M</t>
  </si>
  <si>
    <t>25% - H</t>
  </si>
  <si>
    <t>25% - M</t>
  </si>
  <si>
    <t>20% - H</t>
  </si>
  <si>
    <t>20% - M</t>
  </si>
  <si>
    <t>30% - L</t>
  </si>
  <si>
    <t>25% - L</t>
  </si>
  <si>
    <t>20% - L</t>
  </si>
  <si>
    <t>Saving - H</t>
  </si>
  <si>
    <t>Saving - M</t>
  </si>
  <si>
    <t>Savings - L</t>
  </si>
  <si>
    <t>Savings %:</t>
  </si>
  <si>
    <t>Table</t>
  </si>
  <si>
    <t>Pivot</t>
  </si>
  <si>
    <t>Don't Delete</t>
  </si>
  <si>
    <t>Highest Likely Savings</t>
  </si>
  <si>
    <t>Middle Likely Savings</t>
  </si>
  <si>
    <t>Lowest Likely Savings</t>
  </si>
  <si>
    <t>Likely Order Cost</t>
  </si>
  <si>
    <t>Midline for Order Cost</t>
  </si>
  <si>
    <t>Likely Lowest Order Cost</t>
  </si>
  <si>
    <t>Upper2</t>
  </si>
  <si>
    <t>Lower2</t>
  </si>
  <si>
    <t>Upper Total</t>
  </si>
  <si>
    <t>Mid Total</t>
  </si>
  <si>
    <t>Lower Total</t>
  </si>
  <si>
    <t>Number of Likely Orders approved after reciept</t>
  </si>
  <si>
    <t>Likely Total Costof  Orders approved after reciept</t>
  </si>
  <si>
    <t>Likely Cost of Orders approved after reciept</t>
  </si>
  <si>
    <t>Likely Savings of Approval Before Purchase</t>
  </si>
  <si>
    <t>Total Purchase Order's Savings - Confidence Intervals</t>
  </si>
  <si>
    <t>%</t>
  </si>
  <si>
    <t>Total Cost of PO Approved after Reciept</t>
  </si>
  <si>
    <t>Lowest PO cost</t>
  </si>
  <si>
    <t>Highest Savings</t>
  </si>
  <si>
    <t>Middle Savings</t>
  </si>
  <si>
    <t>Lowest Savings</t>
  </si>
  <si>
    <t>Savings:</t>
  </si>
  <si>
    <t>Middle Cost of PO Approved after Reciept</t>
  </si>
  <si>
    <t>Middle Cost of PO Approved after Receipt</t>
  </si>
  <si>
    <t>Retroactive Purchase Orders - Confidence Intervals</t>
  </si>
  <si>
    <t>Retroactive Purchase Order Savings - Confidence Intervals</t>
  </si>
  <si>
    <t>*only through April 2024</t>
  </si>
  <si>
    <t>Midline</t>
  </si>
  <si>
    <t>Upper#</t>
  </si>
  <si>
    <t>Midline#</t>
  </si>
  <si>
    <t>Lower#</t>
  </si>
  <si>
    <t>Middle Total</t>
  </si>
  <si>
    <t>Savings</t>
  </si>
  <si>
    <t>Highiest Savings</t>
  </si>
  <si>
    <t>Total Yearly Purchase Order's Savings - Confidence Intervals</t>
  </si>
  <si>
    <t>Total Yearly Purchase Order's Cost &amp; Savings - Confidence Intervals</t>
  </si>
  <si>
    <t>From:</t>
  </si>
  <si>
    <t>2021 - April 2024</t>
  </si>
  <si>
    <t>Likely Highiest Savings</t>
  </si>
  <si>
    <t>Likely Middle Savings</t>
  </si>
  <si>
    <t>Likely Lowest Savings</t>
  </si>
  <si>
    <t>Middle Cost of Retroactive PO's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</si>
</sst>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quot;$&quot;* #,##0_);_(&quot;$&quot;* \(#,##0\);_(&quot;$&quot;* &quot;-&quot;??_);_(@_)"/>
    <numFmt numFmtId="165" formatCode="_(* #,##0_);_(* \(#,##0\);_(* &quot;-&quot;??_);_(@_)"/>
  </numFmts>
  <fonts count="16" x14ac:knownFonts="1">
    <font>
      <sz val="11"/>
      <color theme="1"/>
      <name val="Aptos Narrow"/>
      <family val="2"/>
      <scheme val="minor"/>
    </font>
    <font>
      <sz val="11"/>
      <color theme="1"/>
      <name val="Aptos Narrow"/>
      <family val="2"/>
      <scheme val="minor"/>
    </font>
    <font>
      <u/>
      <sz val="11"/>
      <color theme="10"/>
      <name val="Aptos Narrow"/>
      <family val="2"/>
      <scheme val="minor"/>
    </font>
    <font>
      <sz val="12"/>
      <color theme="1"/>
      <name val="Aptos"/>
      <family val="2"/>
    </font>
    <font>
      <sz val="11"/>
      <color theme="0"/>
      <name val="Aptos Narrow"/>
      <family val="2"/>
      <scheme val="minor"/>
    </font>
    <font>
      <sz val="12"/>
      <color theme="1"/>
      <name val="Aptos Narrow"/>
      <family val="2"/>
      <scheme val="minor"/>
    </font>
    <font>
      <sz val="36"/>
      <color theme="0"/>
      <name val="Aptos Narrow"/>
      <family val="2"/>
      <scheme val="minor"/>
    </font>
    <font>
      <b/>
      <sz val="36"/>
      <color theme="0"/>
      <name val="Aptos Narrow"/>
      <family val="2"/>
      <scheme val="minor"/>
    </font>
    <font>
      <sz val="8"/>
      <name val="Aptos Narrow"/>
      <family val="2"/>
      <scheme val="minor"/>
    </font>
    <font>
      <sz val="20"/>
      <color rgb="FF000000"/>
      <name val="Aptos Narrow"/>
      <family val="2"/>
    </font>
    <font>
      <sz val="48"/>
      <color theme="1"/>
      <name val="Aptos Narrow"/>
      <family val="2"/>
      <scheme val="minor"/>
    </font>
    <font>
      <b/>
      <sz val="16"/>
      <color rgb="FF000000"/>
      <name val="Aptos Narrow"/>
      <family val="2"/>
    </font>
    <font>
      <b/>
      <sz val="18"/>
      <color rgb="FF000000"/>
      <name val="Aptos Narrow"/>
      <family val="2"/>
    </font>
    <font>
      <b/>
      <sz val="11"/>
      <color theme="0"/>
      <name val="Aptos Narrow"/>
      <family val="2"/>
      <scheme val="minor"/>
    </font>
    <font>
      <sz val="18"/>
      <color theme="1"/>
      <name val="Aptos Narrow"/>
      <family val="2"/>
      <scheme val="minor"/>
    </font>
    <font>
      <sz val="48"/>
      <color theme="0"/>
      <name val="Aptos Narrow"/>
      <family val="2"/>
      <scheme val="minor"/>
    </font>
  </fonts>
  <fills count="13">
    <fill>
      <patternFill patternType="none"/>
    </fill>
    <fill>
      <patternFill patternType="gray125"/>
    </fill>
    <fill>
      <patternFill patternType="solid">
        <fgColor theme="4" tint="0.79998168889431442"/>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4" tint="0.79998168889431442"/>
        <bgColor theme="4" tint="0.79998168889431442"/>
      </patternFill>
    </fill>
    <fill>
      <patternFill patternType="solid">
        <fgColor theme="7" tint="-0.499984740745262"/>
        <bgColor indexed="64"/>
      </patternFill>
    </fill>
    <fill>
      <patternFill patternType="solid">
        <fgColor theme="2"/>
        <bgColor indexed="64"/>
      </patternFill>
    </fill>
    <fill>
      <patternFill patternType="solid">
        <fgColor theme="2" tint="-0.499984740745262"/>
        <bgColor indexed="64"/>
      </patternFill>
    </fill>
    <fill>
      <patternFill patternType="solid">
        <fgColor theme="1" tint="0.34998626667073579"/>
        <bgColor indexed="64"/>
      </patternFill>
    </fill>
    <fill>
      <patternFill patternType="solid">
        <fgColor theme="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ck">
        <color auto="1"/>
      </left>
      <right style="thin">
        <color auto="1"/>
      </right>
      <top/>
      <bottom style="thin">
        <color auto="1"/>
      </bottom>
      <diagonal/>
    </border>
    <border>
      <left style="thick">
        <color auto="1"/>
      </left>
      <right style="thin">
        <color auto="1"/>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style="thin">
        <color auto="1"/>
      </left>
      <right style="thin">
        <color auto="1"/>
      </right>
      <top style="thin">
        <color auto="1"/>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auto="1"/>
      </left>
      <right/>
      <top/>
      <bottom/>
      <diagonal/>
    </border>
  </borders>
  <cellStyleXfs count="11">
    <xf numFmtId="0" fontId="0" fillId="0" borderId="0"/>
    <xf numFmtId="44" fontId="1" fillId="0" borderId="0" applyFont="0" applyFill="0" applyBorder="0" applyAlignment="0" applyProtection="0"/>
    <xf numFmtId="9" fontId="1" fillId="0" borderId="0" applyFont="0" applyFill="0" applyBorder="0" applyAlignment="0" applyProtection="0"/>
    <xf numFmtId="0" fontId="1" fillId="2" borderId="0" applyNumberFormat="0" applyBorder="0" applyAlignment="0" applyProtection="0"/>
    <xf numFmtId="0" fontId="2" fillId="0" borderId="0" applyNumberFormat="0" applyFill="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43" fontId="1" fillId="0" borderId="0" applyFont="0" applyFill="0" applyBorder="0" applyAlignment="0" applyProtection="0"/>
    <xf numFmtId="0" fontId="4" fillId="12" borderId="0" applyNumberFormat="0" applyBorder="0" applyAlignment="0" applyProtection="0"/>
  </cellStyleXfs>
  <cellXfs count="104">
    <xf numFmtId="0" fontId="0" fillId="0" borderId="0" xfId="0"/>
    <xf numFmtId="0" fontId="2" fillId="0" borderId="0" xfId="4"/>
    <xf numFmtId="0" fontId="3" fillId="0" borderId="0" xfId="0" applyFont="1" applyAlignment="1">
      <alignment vertical="center"/>
    </xf>
    <xf numFmtId="44" fontId="0" fillId="0" borderId="0" xfId="1" applyFont="1"/>
    <xf numFmtId="44" fontId="0" fillId="0" borderId="0" xfId="1" applyFont="1" applyBorder="1"/>
    <xf numFmtId="44" fontId="0" fillId="0" borderId="0" xfId="0" applyNumberFormat="1"/>
    <xf numFmtId="9" fontId="1" fillId="2" borderId="2" xfId="3" applyNumberFormat="1" applyBorder="1"/>
    <xf numFmtId="9" fontId="1" fillId="2" borderId="3" xfId="3" applyNumberFormat="1" applyBorder="1"/>
    <xf numFmtId="9" fontId="1" fillId="2" borderId="4" xfId="3" applyNumberFormat="1" applyBorder="1"/>
    <xf numFmtId="0" fontId="0" fillId="0" borderId="2" xfId="0" applyBorder="1"/>
    <xf numFmtId="1" fontId="1" fillId="2" borderId="1" xfId="3" applyNumberFormat="1" applyBorder="1"/>
    <xf numFmtId="164" fontId="0" fillId="0" borderId="0" xfId="1" applyNumberFormat="1" applyFont="1"/>
    <xf numFmtId="164" fontId="1" fillId="2" borderId="1" xfId="3" applyNumberFormat="1" applyBorder="1"/>
    <xf numFmtId="164" fontId="1" fillId="2" borderId="5" xfId="3" applyNumberFormat="1" applyBorder="1"/>
    <xf numFmtId="9" fontId="1" fillId="2" borderId="6" xfId="3" applyNumberFormat="1" applyBorder="1"/>
    <xf numFmtId="164" fontId="1" fillId="2" borderId="7" xfId="3" applyNumberFormat="1" applyBorder="1"/>
    <xf numFmtId="1" fontId="0" fillId="0" borderId="0" xfId="0" applyNumberFormat="1"/>
    <xf numFmtId="0" fontId="0" fillId="0" borderId="0" xfId="0" quotePrefix="1"/>
    <xf numFmtId="9" fontId="1" fillId="2" borderId="7" xfId="2" applyFill="1" applyBorder="1"/>
    <xf numFmtId="9" fontId="1" fillId="2" borderId="1" xfId="2" applyFill="1" applyBorder="1"/>
    <xf numFmtId="9" fontId="1" fillId="2" borderId="7" xfId="3" applyNumberFormat="1" applyBorder="1"/>
    <xf numFmtId="9" fontId="1" fillId="2" borderId="1" xfId="3" applyNumberFormat="1" applyBorder="1"/>
    <xf numFmtId="9" fontId="1" fillId="2" borderId="5" xfId="3" applyNumberFormat="1" applyBorder="1"/>
    <xf numFmtId="1" fontId="1" fillId="2" borderId="5" xfId="3" applyNumberFormat="1" applyBorder="1"/>
    <xf numFmtId="9" fontId="0" fillId="0" borderId="0" xfId="2" applyFont="1"/>
    <xf numFmtId="0" fontId="0" fillId="7" borderId="8" xfId="0" applyFill="1" applyBorder="1"/>
    <xf numFmtId="0" fontId="0" fillId="0" borderId="8" xfId="0" applyBorder="1"/>
    <xf numFmtId="0" fontId="0" fillId="0" borderId="0" xfId="0" pivotButton="1"/>
    <xf numFmtId="0" fontId="0" fillId="0" borderId="0" xfId="0" applyAlignment="1">
      <alignment horizontal="left"/>
    </xf>
    <xf numFmtId="9" fontId="0" fillId="0" borderId="0" xfId="0" applyNumberFormat="1" applyAlignment="1">
      <alignment horizontal="left" indent="1"/>
    </xf>
    <xf numFmtId="0" fontId="0" fillId="0" borderId="0" xfId="0" applyAlignment="1">
      <alignment horizontal="center" wrapText="1"/>
    </xf>
    <xf numFmtId="0" fontId="4" fillId="8" borderId="0" xfId="0" applyFont="1" applyFill="1"/>
    <xf numFmtId="0" fontId="0" fillId="8" borderId="0" xfId="0" applyFill="1" applyAlignment="1">
      <alignment horizontal="center" wrapText="1"/>
    </xf>
    <xf numFmtId="9" fontId="0" fillId="8" borderId="0" xfId="2" applyFont="1" applyFill="1"/>
    <xf numFmtId="1" fontId="1" fillId="8" borderId="0" xfId="3" applyNumberFormat="1" applyFill="1" applyBorder="1"/>
    <xf numFmtId="0" fontId="0" fillId="8" borderId="0" xfId="0" applyFill="1"/>
    <xf numFmtId="9" fontId="0" fillId="0" borderId="0" xfId="0" applyNumberFormat="1"/>
    <xf numFmtId="164" fontId="0" fillId="0" borderId="0" xfId="0" applyNumberFormat="1"/>
    <xf numFmtId="0" fontId="1" fillId="5" borderId="0" xfId="7"/>
    <xf numFmtId="9" fontId="1" fillId="5" borderId="0" xfId="7" applyNumberFormat="1"/>
    <xf numFmtId="0" fontId="0" fillId="9" borderId="0" xfId="0" applyFill="1"/>
    <xf numFmtId="9" fontId="0" fillId="9" borderId="0" xfId="2" applyFont="1" applyFill="1"/>
    <xf numFmtId="164" fontId="1" fillId="2" borderId="1" xfId="1" applyNumberFormat="1" applyFill="1" applyBorder="1"/>
    <xf numFmtId="164" fontId="1" fillId="2" borderId="3" xfId="3" applyNumberFormat="1" applyBorder="1"/>
    <xf numFmtId="164" fontId="1" fillId="2" borderId="9" xfId="3" applyNumberFormat="1" applyBorder="1"/>
    <xf numFmtId="0" fontId="0" fillId="0" borderId="0" xfId="2" applyNumberFormat="1" applyFont="1"/>
    <xf numFmtId="9" fontId="0" fillId="2" borderId="1" xfId="3" applyNumberFormat="1" applyFont="1" applyBorder="1"/>
    <xf numFmtId="0" fontId="5" fillId="0" borderId="0" xfId="0" applyFont="1"/>
    <xf numFmtId="0" fontId="1" fillId="5" borderId="8" xfId="7" applyBorder="1"/>
    <xf numFmtId="9" fontId="1" fillId="5" borderId="1" xfId="7" applyNumberFormat="1" applyBorder="1"/>
    <xf numFmtId="164" fontId="1" fillId="5" borderId="0" xfId="7" applyNumberFormat="1"/>
    <xf numFmtId="0" fontId="1" fillId="3" borderId="8" xfId="5" applyBorder="1"/>
    <xf numFmtId="9" fontId="1" fillId="3" borderId="1" xfId="5" applyNumberFormat="1" applyBorder="1"/>
    <xf numFmtId="164" fontId="1" fillId="3" borderId="0" xfId="5" applyNumberFormat="1"/>
    <xf numFmtId="0" fontId="1" fillId="6" borderId="8" xfId="8" applyBorder="1"/>
    <xf numFmtId="9" fontId="1" fillId="6" borderId="1" xfId="8" applyNumberFormat="1" applyBorder="1"/>
    <xf numFmtId="164" fontId="1" fillId="6" borderId="0" xfId="8" applyNumberFormat="1"/>
    <xf numFmtId="0" fontId="1" fillId="4" borderId="8" xfId="6" applyBorder="1"/>
    <xf numFmtId="9" fontId="1" fillId="4" borderId="1" xfId="6" applyNumberFormat="1" applyBorder="1"/>
    <xf numFmtId="164" fontId="1" fillId="4" borderId="0" xfId="6" applyNumberFormat="1"/>
    <xf numFmtId="0" fontId="4" fillId="11" borderId="0" xfId="0" applyFont="1" applyFill="1"/>
    <xf numFmtId="0" fontId="1" fillId="5" borderId="0" xfId="7" applyNumberFormat="1"/>
    <xf numFmtId="0" fontId="1" fillId="6" borderId="0" xfId="8" applyNumberFormat="1"/>
    <xf numFmtId="0" fontId="1" fillId="3" borderId="0" xfId="5" applyNumberFormat="1"/>
    <xf numFmtId="0" fontId="1" fillId="4" borderId="0" xfId="6" applyNumberFormat="1"/>
    <xf numFmtId="165" fontId="1" fillId="5" borderId="0" xfId="9" applyNumberFormat="1" applyFill="1"/>
    <xf numFmtId="165" fontId="1" fillId="6" borderId="0" xfId="9" applyNumberFormat="1" applyFill="1"/>
    <xf numFmtId="165" fontId="1" fillId="3" borderId="0" xfId="9" applyNumberFormat="1" applyFill="1"/>
    <xf numFmtId="165" fontId="1" fillId="4" borderId="0" xfId="9" applyNumberFormat="1" applyFill="1"/>
    <xf numFmtId="0" fontId="0" fillId="0" borderId="16" xfId="0" applyBorder="1"/>
    <xf numFmtId="164" fontId="1" fillId="5" borderId="16" xfId="7" applyNumberFormat="1" applyBorder="1"/>
    <xf numFmtId="164" fontId="1" fillId="6" borderId="16" xfId="8" applyNumberFormat="1" applyBorder="1"/>
    <xf numFmtId="164" fontId="1" fillId="3" borderId="16" xfId="5" applyNumberFormat="1" applyBorder="1"/>
    <xf numFmtId="164" fontId="1" fillId="4" borderId="16" xfId="6" applyNumberFormat="1" applyBorder="1"/>
    <xf numFmtId="9" fontId="1" fillId="5" borderId="5" xfId="2" applyFill="1" applyBorder="1"/>
    <xf numFmtId="9" fontId="1" fillId="6" borderId="5" xfId="2" applyFill="1" applyBorder="1"/>
    <xf numFmtId="9" fontId="1" fillId="3" borderId="5" xfId="2" applyFill="1" applyBorder="1"/>
    <xf numFmtId="9" fontId="1" fillId="4" borderId="5" xfId="2" applyFill="1" applyBorder="1"/>
    <xf numFmtId="165" fontId="1" fillId="5" borderId="16" xfId="9" applyNumberFormat="1" applyFill="1" applyBorder="1"/>
    <xf numFmtId="165" fontId="1" fillId="6" borderId="16" xfId="9" applyNumberFormat="1" applyFill="1" applyBorder="1"/>
    <xf numFmtId="165" fontId="1" fillId="3" borderId="16" xfId="9" applyNumberFormat="1" applyFill="1" applyBorder="1"/>
    <xf numFmtId="165" fontId="1" fillId="4" borderId="16" xfId="9" applyNumberFormat="1" applyFill="1" applyBorder="1"/>
    <xf numFmtId="0" fontId="7" fillId="8" borderId="0" xfId="0" applyFont="1" applyFill="1" applyAlignment="1">
      <alignment horizontal="center"/>
    </xf>
    <xf numFmtId="0" fontId="0" fillId="0" borderId="0" xfId="0" applyAlignment="1">
      <alignment horizontal="center" wrapText="1"/>
    </xf>
    <xf numFmtId="0" fontId="6" fillId="10" borderId="10" xfId="2" applyNumberFormat="1" applyFont="1" applyFill="1" applyBorder="1" applyAlignment="1">
      <alignment horizontal="center"/>
    </xf>
    <xf numFmtId="0" fontId="6" fillId="10" borderId="11" xfId="2" applyNumberFormat="1" applyFont="1" applyFill="1" applyBorder="1" applyAlignment="1">
      <alignment horizontal="center"/>
    </xf>
    <xf numFmtId="0" fontId="6" fillId="10" borderId="12" xfId="2" applyNumberFormat="1" applyFont="1" applyFill="1" applyBorder="1" applyAlignment="1">
      <alignment horizontal="center"/>
    </xf>
    <xf numFmtId="0" fontId="6" fillId="10" borderId="13" xfId="2" applyNumberFormat="1" applyFont="1" applyFill="1" applyBorder="1" applyAlignment="1">
      <alignment horizontal="center"/>
    </xf>
    <xf numFmtId="0" fontId="6" fillId="10" borderId="14" xfId="2" applyNumberFormat="1" applyFont="1" applyFill="1" applyBorder="1" applyAlignment="1">
      <alignment horizontal="center"/>
    </xf>
    <xf numFmtId="0" fontId="6" fillId="10" borderId="15" xfId="2" applyNumberFormat="1" applyFont="1" applyFill="1" applyBorder="1" applyAlignment="1">
      <alignment horizontal="center"/>
    </xf>
    <xf numFmtId="0" fontId="10" fillId="0" borderId="0" xfId="0" applyFont="1" applyAlignment="1">
      <alignment horizontal="center"/>
    </xf>
    <xf numFmtId="1" fontId="1" fillId="5" borderId="5" xfId="1" applyNumberFormat="1" applyFill="1" applyBorder="1"/>
    <xf numFmtId="1" fontId="1" fillId="5" borderId="1" xfId="1" applyNumberFormat="1" applyFill="1" applyBorder="1"/>
    <xf numFmtId="1" fontId="1" fillId="9" borderId="1" xfId="1" applyNumberFormat="1" applyFill="1" applyBorder="1"/>
    <xf numFmtId="1" fontId="1" fillId="9" borderId="5" xfId="1" applyNumberFormat="1" applyFill="1" applyBorder="1"/>
    <xf numFmtId="1" fontId="0" fillId="9" borderId="1" xfId="1" applyNumberFormat="1" applyFont="1" applyFill="1" applyBorder="1"/>
    <xf numFmtId="1" fontId="1" fillId="2" borderId="1" xfId="1" applyNumberFormat="1" applyFill="1" applyBorder="1"/>
    <xf numFmtId="1" fontId="1" fillId="2" borderId="5" xfId="1" applyNumberFormat="1" applyFill="1" applyBorder="1"/>
    <xf numFmtId="164" fontId="1" fillId="2" borderId="3" xfId="1" applyNumberFormat="1" applyFill="1" applyBorder="1"/>
    <xf numFmtId="164" fontId="1" fillId="2" borderId="9" xfId="1" applyNumberFormat="1" applyFill="1" applyBorder="1"/>
    <xf numFmtId="9" fontId="0" fillId="0" borderId="0" xfId="0" applyNumberFormat="1" applyAlignment="1">
      <alignment horizontal="left"/>
    </xf>
    <xf numFmtId="0" fontId="13" fillId="12" borderId="0" xfId="10" applyFont="1"/>
    <xf numFmtId="0" fontId="0" fillId="0" borderId="0" xfId="0" applyAlignment="1">
      <alignment horizontal="right"/>
    </xf>
    <xf numFmtId="0" fontId="15" fillId="12" borderId="0" xfId="10" applyFont="1" applyAlignment="1">
      <alignment horizontal="center"/>
    </xf>
  </cellXfs>
  <cellStyles count="11">
    <cellStyle name="20% - Accent1" xfId="3" builtinId="30"/>
    <cellStyle name="20% - Accent3" xfId="5" builtinId="38"/>
    <cellStyle name="20% - Accent4" xfId="7" builtinId="42"/>
    <cellStyle name="40% - Accent3" xfId="6" builtinId="39"/>
    <cellStyle name="40% - Accent4" xfId="8" builtinId="43"/>
    <cellStyle name="Accent1" xfId="10" builtinId="29"/>
    <cellStyle name="Comma" xfId="9" builtinId="3"/>
    <cellStyle name="Currency" xfId="1" builtinId="4"/>
    <cellStyle name="Hyperlink" xfId="4" builtinId="8"/>
    <cellStyle name="Normal" xfId="0" builtinId="0"/>
    <cellStyle name="Percent" xfId="2" builtinId="5"/>
  </cellStyles>
  <dxfs count="66">
    <dxf>
      <numFmt numFmtId="164" formatCode="_(&quot;$&quot;* #,##0_);_(&quot;$&quot;* \(#,##0\);_(&quot;$&quot;* &quot;-&quot;??_);_(@_)"/>
      <border diagonalUp="0" diagonalDown="0">
        <left style="thin">
          <color auto="1"/>
        </left>
        <right style="thin">
          <color auto="1"/>
        </right>
        <top style="thin">
          <color auto="1"/>
        </top>
        <bottom style="thin">
          <color auto="1"/>
        </bottom>
      </border>
    </dxf>
    <dxf>
      <numFmt numFmtId="164" formatCode="_(&quot;$&quot;* #,##0_);_(&quot;$&quot;* \(#,##0\);_(&quot;$&quot;* &quot;-&quot;??_);_(@_)"/>
      <border diagonalUp="0" diagonalDown="0">
        <left style="thin">
          <color auto="1"/>
        </left>
        <right style="thin">
          <color auto="1"/>
        </right>
        <top style="thin">
          <color auto="1"/>
        </top>
        <bottom style="thin">
          <color auto="1"/>
        </bottom>
      </border>
    </dxf>
    <dxf>
      <numFmt numFmtId="164" formatCode="_(&quot;$&quot;* #,##0_);_(&quot;$&quot;* \(#,##0\);_(&quot;$&quot;* &quot;-&quot;??_);_(@_)"/>
      <border diagonalUp="0" diagonalDown="0">
        <left style="thin">
          <color auto="1"/>
        </left>
        <right style="thin">
          <color auto="1"/>
        </right>
        <top style="thin">
          <color auto="1"/>
        </top>
        <bottom style="thin">
          <color auto="1"/>
        </bottom>
      </border>
    </dxf>
    <dxf>
      <numFmt numFmtId="164" formatCode="_(&quot;$&quot;* #,##0_);_(&quot;$&quot;* \(#,##0\);_(&quot;$&quot;* &quot;-&quot;??_);_(@_)"/>
    </dxf>
    <dxf>
      <numFmt numFmtId="164" formatCode="_(&quot;$&quot;* #,##0_);_(&quot;$&quot;* \(#,##0\);_(&quot;$&quot;* &quot;-&quot;??_);_(@_)"/>
    </dxf>
    <dxf>
      <numFmt numFmtId="164" formatCode="_(&quot;$&quot;* #,##0_);_(&quot;$&quot;* \(#,##0\);_(&quot;$&quot;* &quot;-&quot;??_);_(@_)"/>
    </dxf>
    <dxf>
      <numFmt numFmtId="164" formatCode="_(&quot;$&quot;* #,##0_);_(&quot;$&quot;* \(#,##0\);_(&quot;$&quot;* &quot;-&quot;??_);_(@_)"/>
      <border diagonalUp="0" diagonalDown="0" outline="0">
        <left style="thin">
          <color auto="1"/>
        </left>
        <right style="thin">
          <color auto="1"/>
        </right>
        <top style="thin">
          <color auto="1"/>
        </top>
        <bottom style="thin">
          <color auto="1"/>
        </bottom>
      </border>
    </dxf>
    <dxf>
      <numFmt numFmtId="164" formatCode="_(&quot;$&quot;* #,##0_);_(&quot;$&quot;* \(#,##0\);_(&quot;$&quot;* &quot;-&quot;??_);_(@_)"/>
      <border diagonalUp="0" diagonalDown="0" outline="0">
        <left style="thin">
          <color auto="1"/>
        </left>
        <right style="thin">
          <color auto="1"/>
        </right>
        <top style="thin">
          <color auto="1"/>
        </top>
        <bottom style="thin">
          <color auto="1"/>
        </bottom>
      </border>
    </dxf>
    <dxf>
      <numFmt numFmtId="164" formatCode="_(&quot;$&quot;* #,##0_);_(&quot;$&quot;* \(#,##0\);_(&quot;$&quot;* &quot;-&quot;??_);_(@_)"/>
      <border diagonalUp="0" diagonalDown="0" outline="0">
        <left style="thin">
          <color auto="1"/>
        </left>
        <right style="thin">
          <color auto="1"/>
        </right>
        <top style="thin">
          <color auto="1"/>
        </top>
        <bottom style="thin">
          <color auto="1"/>
        </bottom>
      </border>
    </dxf>
    <dxf>
      <numFmt numFmtId="1" formatCode="0"/>
      <border diagonalUp="0" diagonalDown="0" outline="0">
        <left style="thin">
          <color auto="1"/>
        </left>
        <right style="thin">
          <color auto="1"/>
        </right>
        <top style="thin">
          <color auto="1"/>
        </top>
        <bottom style="thin">
          <color auto="1"/>
        </bottom>
      </border>
    </dxf>
    <dxf>
      <numFmt numFmtId="1" formatCode="0"/>
      <border diagonalUp="0" diagonalDown="0" outline="0">
        <left style="thin">
          <color indexed="64"/>
        </left>
        <right style="thin">
          <color indexed="64"/>
        </right>
        <top style="thin">
          <color indexed="64"/>
        </top>
        <bottom style="thin">
          <color indexed="64"/>
        </bottom>
      </border>
    </dxf>
    <dxf>
      <numFmt numFmtId="1" formatCode="0"/>
      <border diagonalUp="0" diagonalDown="0" outline="0">
        <left style="thin">
          <color auto="1"/>
        </left>
        <right style="thin">
          <color auto="1"/>
        </right>
        <top style="thin">
          <color auto="1"/>
        </top>
        <bottom style="thin">
          <color auto="1"/>
        </bottom>
      </border>
    </dxf>
    <dxf>
      <numFmt numFmtId="1" formatCode="0"/>
      <border diagonalUp="0" diagonalDown="0" outline="0">
        <left style="thin">
          <color auto="1"/>
        </left>
        <right style="thin">
          <color auto="1"/>
        </right>
        <top style="thin">
          <color auto="1"/>
        </top>
        <bottom style="thin">
          <color auto="1"/>
        </bottom>
      </border>
    </dxf>
    <dxf>
      <numFmt numFmtId="1" formatCode="0"/>
      <border diagonalUp="0" diagonalDown="0" outline="0">
        <left style="thin">
          <color auto="1"/>
        </left>
        <right style="thin">
          <color auto="1"/>
        </right>
        <top style="thin">
          <color auto="1"/>
        </top>
        <bottom style="thin">
          <color auto="1"/>
        </bottom>
      </border>
    </dxf>
    <dxf>
      <numFmt numFmtId="164" formatCode="_(&quot;$&quot;* #,##0_);_(&quot;$&quot;* \(#,##0\);_(&quot;$&quot;* &quot;-&quot;??_);_(@_)"/>
      <border diagonalUp="0" diagonalDown="0" outline="0">
        <left style="thin">
          <color auto="1"/>
        </left>
        <right style="thin">
          <color auto="1"/>
        </right>
        <top style="thin">
          <color auto="1"/>
        </top>
        <bottom style="thin">
          <color auto="1"/>
        </bottom>
      </border>
    </dxf>
    <dxf>
      <numFmt numFmtId="164" formatCode="_(&quot;$&quot;* #,##0_);_(&quot;$&quot;* \(#,##0\);_(&quot;$&quot;* &quot;-&quot;??_);_(@_)"/>
      <border diagonalUp="0" diagonalDown="0" outline="0">
        <left style="thin">
          <color auto="1"/>
        </left>
        <right style="thin">
          <color auto="1"/>
        </right>
        <top style="thin">
          <color auto="1"/>
        </top>
        <bottom style="thin">
          <color auto="1"/>
        </bottom>
      </border>
    </dxf>
    <dxf>
      <numFmt numFmtId="164" formatCode="_(&quot;$&quot;* #,##0_);_(&quot;$&quot;* \(#,##0\);_(&quot;$&quot;* &quot;-&quot;??_);_(@_)"/>
      <border diagonalUp="0" diagonalDown="0">
        <left style="thick">
          <color auto="1"/>
        </left>
        <right/>
        <top/>
        <bottom/>
        <vertical/>
        <horizontal/>
      </border>
    </dxf>
    <dxf>
      <numFmt numFmtId="164" formatCode="_(&quot;$&quot;* #,##0_);_(&quot;$&quot;* \(#,##0\);_(&quot;$&quot;* &quot;-&quot;??_);_(@_)"/>
      <border diagonalUp="0" diagonalDown="0" outline="0">
        <left style="thin">
          <color auto="1"/>
        </left>
        <right style="thin">
          <color auto="1"/>
        </right>
        <top style="thin">
          <color auto="1"/>
        </top>
        <bottom style="thin">
          <color auto="1"/>
        </bottom>
      </border>
    </dxf>
    <dxf>
      <numFmt numFmtId="164" formatCode="_(&quot;$&quot;* #,##0_);_(&quot;$&quot;* \(#,##0\);_(&quot;$&quot;* &quot;-&quot;??_);_(@_)"/>
      <border diagonalUp="0" diagonalDown="0" outline="0">
        <left style="thin">
          <color auto="1"/>
        </left>
        <right style="thin">
          <color auto="1"/>
        </right>
        <top style="thin">
          <color auto="1"/>
        </top>
        <bottom style="thin">
          <color auto="1"/>
        </bottom>
      </border>
    </dxf>
    <dxf>
      <numFmt numFmtId="164" formatCode="_(&quot;$&quot;* #,##0_);_(&quot;$&quot;* \(#,##0\);_(&quot;$&quot;* &quot;-&quot;??_);_(@_)"/>
      <border diagonalUp="0" diagonalDown="0">
        <left style="thick">
          <color auto="1"/>
        </left>
        <right/>
        <top/>
        <bottom/>
        <vertical/>
        <horizontal/>
      </border>
    </dxf>
    <dxf>
      <numFmt numFmtId="164" formatCode="_(&quot;$&quot;* #,##0_);_(&quot;$&quot;* \(#,##0\);_(&quot;$&quot;* &quot;-&quot;??_);_(@_)"/>
      <border diagonalUp="0" diagonalDown="0" outline="0">
        <left style="thin">
          <color auto="1"/>
        </left>
        <right style="thin">
          <color auto="1"/>
        </right>
        <top style="thin">
          <color auto="1"/>
        </top>
        <bottom style="thin">
          <color auto="1"/>
        </bottom>
      </border>
    </dxf>
    <dxf>
      <numFmt numFmtId="164" formatCode="_(&quot;$&quot;* #,##0_);_(&quot;$&quot;* \(#,##0\);_(&quot;$&quot;* &quot;-&quot;??_);_(@_)"/>
      <border diagonalUp="0" diagonalDown="0" outline="0">
        <left style="thin">
          <color auto="1"/>
        </left>
        <right style="thin">
          <color auto="1"/>
        </right>
        <top style="thin">
          <color auto="1"/>
        </top>
        <bottom style="thin">
          <color auto="1"/>
        </bottom>
      </border>
    </dxf>
    <dxf>
      <numFmt numFmtId="164" formatCode="_(&quot;$&quot;* #,##0_);_(&quot;$&quot;* \(#,##0\);_(&quot;$&quot;* &quot;-&quot;??_);_(@_)"/>
      <border diagonalUp="0" diagonalDown="0">
        <left style="thick">
          <color auto="1"/>
        </left>
        <right/>
        <top/>
        <bottom/>
        <vertical/>
        <horizontal/>
      </border>
    </dxf>
    <dxf>
      <numFmt numFmtId="165" formatCode="_(* #,##0_);_(* \(#,##0\);_(* &quot;-&quot;??_);_(@_)"/>
      <border diagonalUp="0" diagonalDown="0" outline="0">
        <left/>
        <right style="thin">
          <color auto="1"/>
        </right>
        <top style="thin">
          <color auto="1"/>
        </top>
        <bottom style="thin">
          <color auto="1"/>
        </bottom>
      </border>
    </dxf>
    <dxf>
      <numFmt numFmtId="165" formatCode="_(* #,##0_);_(* \(#,##0\);_(* &quot;-&quot;??_);_(@_)"/>
      <border diagonalUp="0" diagonalDown="0" outline="0">
        <left/>
        <right/>
        <top style="thin">
          <color auto="1"/>
        </top>
        <bottom style="thin">
          <color auto="1"/>
        </bottom>
      </border>
    </dxf>
    <dxf>
      <numFmt numFmtId="165" formatCode="_(* #,##0_);_(* \(#,##0\);_(* &quot;-&quot;??_);_(@_)"/>
      <border diagonalUp="0" diagonalDown="0">
        <left style="thick">
          <color auto="1"/>
        </left>
        <right/>
        <top/>
        <bottom/>
        <vertical/>
        <horizontal/>
      </border>
    </dxf>
    <dxf>
      <font>
        <b val="0"/>
        <i val="0"/>
        <strike val="0"/>
        <condense val="0"/>
        <extend val="0"/>
        <outline val="0"/>
        <shadow val="0"/>
        <u val="none"/>
        <vertAlign val="baseline"/>
        <sz val="11"/>
        <color theme="1"/>
        <name val="Aptos Narrow"/>
        <family val="2"/>
        <scheme val="minor"/>
      </font>
      <border diagonalUp="0" diagonalDown="0" outline="0">
        <left style="thin">
          <color indexed="64"/>
        </left>
        <right/>
        <top style="thin">
          <color indexed="64"/>
        </top>
        <bottom style="thin">
          <color indexed="64"/>
        </bottom>
      </border>
    </dxf>
    <dxf>
      <numFmt numFmtId="0" formatCode="General"/>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3" formatCode="0%"/>
      <fill>
        <patternFill patternType="solid">
          <fgColor indexed="64"/>
          <bgColor theme="4" tint="0.79998168889431442"/>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3" formatCode="0%"/>
      <border outline="0">
        <right style="thin">
          <color auto="1"/>
        </right>
      </border>
    </dxf>
    <dxf>
      <numFmt numFmtId="1" formatCode="0"/>
    </dxf>
    <dxf>
      <numFmt numFmtId="1" formatCode="0"/>
      <border diagonalUp="0" diagonalDown="0">
        <left style="thin">
          <color auto="1"/>
        </left>
        <right style="thin">
          <color auto="1"/>
        </right>
        <top style="thin">
          <color auto="1"/>
        </top>
        <bottom style="thin">
          <color auto="1"/>
        </bottom>
        <vertical/>
        <horizontal/>
      </border>
    </dxf>
    <dxf>
      <numFmt numFmtId="1" formatCode="0"/>
      <border diagonalUp="0" diagonalDown="0">
        <left style="thin">
          <color auto="1"/>
        </left>
        <right style="thin">
          <color auto="1"/>
        </right>
        <top style="thin">
          <color auto="1"/>
        </top>
        <bottom style="thin">
          <color auto="1"/>
        </bottom>
        <vertical/>
        <horizontal/>
      </border>
    </dxf>
    <dxf>
      <numFmt numFmtId="1" formatCode="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ptos Narrow"/>
        <family val="2"/>
        <scheme val="minor"/>
      </font>
      <numFmt numFmtId="13" formatCode="0%"/>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3" formatCode="0%"/>
      <fill>
        <patternFill patternType="solid">
          <fgColor indexed="64"/>
          <bgColor theme="4" tint="0.79998168889431442"/>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64" formatCode="_(&quot;$&quot;* #,##0_);_(&quot;$&quot;* \(#,##0\);_(&quot;$&quot;* &quot;-&quot;??_);_(@_)"/>
      <border diagonalUp="0" diagonalDown="0">
        <left style="thin">
          <color auto="1"/>
        </left>
        <right style="thin">
          <color auto="1"/>
        </right>
        <top style="thin">
          <color auto="1"/>
        </top>
        <bottom style="thin">
          <color auto="1"/>
        </bottom>
        <vertical/>
        <horizontal/>
      </border>
    </dxf>
    <dxf>
      <numFmt numFmtId="13" formatCode="0%"/>
      <border diagonalUp="0" diagonalDown="0">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microsoft.com/office/2007/relationships/slicerCache" Target="slicerCaches/slicerCache4.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3.xml"/><Relationship Id="rId25"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10.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7/relationships/slicerCache" Target="slicerCaches/slicerCache9.xml"/><Relationship Id="rId28"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microsoft.com/office/2007/relationships/slicerCache" Target="slicerCaches/slicerCache8.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[Confidence Interval Analysis1.xlsm]Invalid PO Pivot Table!PivotTable11</c:name>
    <c:fmtId val="8"/>
  </c:pivotSource>
  <c:chart>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0"/>
              <c:y val="3.94202898550724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3.9254170755642906E-3"/>
              <c:y val="3.7101449275362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9627085377821395E-2"/>
              <c:y val="-2.7826086956521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0"/>
              <c:y val="2.7826086956521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1776251226692885E-2"/>
              <c:y val="-3.24637681159420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9627085377821395E-2"/>
              <c:y val="4.17391304347826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5701668302257114E-2"/>
              <c:y val="-4.4057971014492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046777886817141E-2"/>
              <c:y val="2.3188405797101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9627085377821488E-2"/>
              <c:y val="-3.71014492753624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9.5953531161524582E-17"/>
              <c:y val="2.08695652173913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2.6169447170429484E-3"/>
              <c:y val="-2.782608695652165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1776251226692932E-2"/>
              <c:y val="2.78260869565218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3.9254170755642906E-3"/>
              <c:y val="3.7101449275362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0"/>
              <c:y val="3.94202898550724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9627085377821395E-2"/>
              <c:y val="-2.7826086956521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0"/>
              <c:y val="2.7826086956521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1776251226692885E-2"/>
              <c:y val="-3.24637681159420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9627085377821395E-2"/>
              <c:y val="4.17391304347826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5701668302257114E-2"/>
              <c:y val="-4.4057971014492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046777886817141E-2"/>
              <c:y val="2.3188405797101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9627085377821488E-2"/>
              <c:y val="-3.71014492753624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9.5953531161524582E-17"/>
              <c:y val="2.08695652173913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2.6169447170429484E-3"/>
              <c:y val="-2.782608695652165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1776251226692932E-2"/>
              <c:y val="2.78260869565218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3.9254170755642906E-3"/>
              <c:y val="3.7101449275362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0"/>
              <c:y val="3.94202898550724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9627085377821395E-2"/>
              <c:y val="-2.7826086956521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0"/>
              <c:y val="2.7826086956521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1776251226692885E-2"/>
              <c:y val="-3.24637681159420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9627085377821395E-2"/>
              <c:y val="4.17391304347826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5701668302257114E-2"/>
              <c:y val="-4.4057971014492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046777886817141E-2"/>
              <c:y val="2.3188405797101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9627085377821488E-2"/>
              <c:y val="-3.71014492753624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9.5953531161524582E-17"/>
              <c:y val="2.08695652173913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2.6169447170429484E-3"/>
              <c:y val="-2.782608695652165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layout>
            <c:manualLayout>
              <c:x val="-1.1776251226692932E-2"/>
              <c:y val="2.78260869565218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370684433676559E-2"/>
          <c:y val="5.8711545177024545E-2"/>
          <c:w val="0.88009691096305265"/>
          <c:h val="0.82776234515749914"/>
        </c:manualLayout>
      </c:layout>
      <c:lineChart>
        <c:grouping val="standard"/>
        <c:varyColors val="0"/>
        <c:ser>
          <c:idx val="0"/>
          <c:order val="0"/>
          <c:tx>
            <c:strRef>
              <c:f>'Invalid PO Pivot Table'!$B$3</c:f>
              <c:strCache>
                <c:ptCount val="1"/>
                <c:pt idx="0">
                  <c:v>High</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'Invalid PO Pivot Table'!$A$4:$A$20</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'Invalid PO Pivot Table'!$B$4:$B$20</c:f>
              <c:numCache>
                <c:formatCode>0</c:formatCode>
                <c:ptCount val="12"/>
                <c:pt idx="0">
                  <c:v>3711.4824000000003</c:v>
                </c:pt>
                <c:pt idx="1">
                  <c:v>3827.0988000000002</c:v>
                </c:pt>
                <c:pt idx="2">
                  <c:v>4021.5890999999997</c:v>
                </c:pt>
                <c:pt idx="3">
                  <c:v>2563.136</c:v>
                </c:pt>
                <c:pt idx="4">
                  <c:v>2872.48</c:v>
                </c:pt>
                <c:pt idx="5">
                  <c:v>3368.9495000000002</c:v>
                </c:pt>
                <c:pt idx="6">
                  <c:v>3000.0383999999999</c:v>
                </c:pt>
                <c:pt idx="7">
                  <c:v>3362.1119999999996</c:v>
                </c:pt>
                <c:pt idx="8">
                  <c:v>3943.2078000000001</c:v>
                </c:pt>
                <c:pt idx="9">
                  <c:v>1187.2533999999998</c:v>
                </c:pt>
                <c:pt idx="10">
                  <c:v>1287.5189</c:v>
                </c:pt>
                <c:pt idx="11">
                  <c:v>1574.0309999999999</c:v>
                </c:pt>
              </c:numCache>
            </c:numRef>
          </c:val>
          <c:smooth val="0"/>
          <c:extLst>
            <c:ext xmlns:c16="http://schemas.microsoft.com/office/drawing/2014/chart" uri="{C3380CC4-5D6E-409C-BE32-E72D297353CC}">
              <c16:uniqueId val="{00000000-DFFC-48CA-B7A0-13C65E3C516B}"/>
            </c:ext>
          </c:extLst>
        </c:ser>
        <c:ser>
          <c:idx val="1"/>
          <c:order val="1"/>
          <c:tx>
            <c:strRef>
              <c:f>'Invalid PO Pivot Table'!$C$3</c:f>
              <c:strCache>
                <c:ptCount val="1"/>
                <c:pt idx="0">
                  <c:v>Middle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Pt>
            <c:idx val="0"/>
            <c:marker>
              <c:symbol val="circle"/>
              <c:size val="4"/>
              <c:spPr>
                <a:solidFill>
                  <a:schemeClr val="accent2">
                    <a:lumMod val="60000"/>
                    <a:lumOff val="40000"/>
                  </a:schemeClr>
                </a:solidFill>
                <a:ln>
                  <a:noFill/>
                </a:ln>
                <a:effectLst>
                  <a:glow rad="63500">
                    <a:schemeClr val="accent2">
                      <a:satMod val="175000"/>
                      <a:alpha val="25000"/>
                    </a:schemeClr>
                  </a:glow>
                </a:effectLst>
              </c:spPr>
            </c:marker>
            <c:bubble3D val="0"/>
            <c:spPr>
              <a:ln w="22225" cap="rnd">
                <a:solidFill>
                  <a:schemeClr val="accent2"/>
                </a:solidFill>
              </a:ln>
              <a:effectLst>
                <a:glow rad="139700">
                  <a:schemeClr val="accent2">
                    <a:satMod val="175000"/>
                    <a:alpha val="14000"/>
                  </a:schemeClr>
                </a:glow>
              </a:effectLst>
            </c:spPr>
            <c:extLst>
              <c:ext xmlns:c16="http://schemas.microsoft.com/office/drawing/2014/chart" uri="{C3380CC4-5D6E-409C-BE32-E72D297353CC}">
                <c16:uniqueId val="{00000001-DFFC-48CA-B7A0-13C65E3C516B}"/>
              </c:ext>
            </c:extLst>
          </c:dPt>
          <c:dPt>
            <c:idx val="1"/>
            <c:marker>
              <c:symbol val="circle"/>
              <c:size val="4"/>
              <c:spPr>
                <a:solidFill>
                  <a:schemeClr val="accent2">
                    <a:lumMod val="60000"/>
                    <a:lumOff val="40000"/>
                  </a:schemeClr>
                </a:solidFill>
                <a:ln>
                  <a:noFill/>
                </a:ln>
                <a:effectLst>
                  <a:glow rad="63500">
                    <a:schemeClr val="accent2">
                      <a:satMod val="175000"/>
                      <a:alpha val="25000"/>
                    </a:schemeClr>
                  </a:glow>
                </a:effectLst>
              </c:spPr>
            </c:marker>
            <c:bubble3D val="0"/>
            <c:spPr>
              <a:ln w="22225" cap="rnd">
                <a:solidFill>
                  <a:schemeClr val="accent2"/>
                </a:solidFill>
              </a:ln>
              <a:effectLst>
                <a:glow rad="139700">
                  <a:schemeClr val="accent2">
                    <a:satMod val="175000"/>
                    <a:alpha val="14000"/>
                  </a:schemeClr>
                </a:glow>
              </a:effectLst>
            </c:spPr>
            <c:extLst>
              <c:ext xmlns:c16="http://schemas.microsoft.com/office/drawing/2014/chart" uri="{C3380CC4-5D6E-409C-BE32-E72D297353CC}">
                <c16:uniqueId val="{00000002-DFFC-48CA-B7A0-13C65E3C516B}"/>
              </c:ext>
            </c:extLst>
          </c:dPt>
          <c:dPt>
            <c:idx val="2"/>
            <c:marker>
              <c:symbol val="circle"/>
              <c:size val="4"/>
              <c:spPr>
                <a:solidFill>
                  <a:schemeClr val="accent2">
                    <a:lumMod val="60000"/>
                    <a:lumOff val="40000"/>
                  </a:schemeClr>
                </a:solidFill>
                <a:ln>
                  <a:noFill/>
                </a:ln>
                <a:effectLst>
                  <a:glow rad="63500">
                    <a:schemeClr val="accent2">
                      <a:satMod val="175000"/>
                      <a:alpha val="25000"/>
                    </a:schemeClr>
                  </a:glow>
                </a:effectLst>
              </c:spPr>
            </c:marker>
            <c:bubble3D val="0"/>
            <c:spPr>
              <a:ln w="22225" cap="rnd">
                <a:solidFill>
                  <a:schemeClr val="accent2"/>
                </a:solidFill>
              </a:ln>
              <a:effectLst>
                <a:glow rad="139700">
                  <a:schemeClr val="accent2">
                    <a:satMod val="175000"/>
                    <a:alpha val="14000"/>
                  </a:schemeClr>
                </a:glow>
              </a:effectLst>
            </c:spPr>
            <c:extLst>
              <c:ext xmlns:c16="http://schemas.microsoft.com/office/drawing/2014/chart" uri="{C3380CC4-5D6E-409C-BE32-E72D297353CC}">
                <c16:uniqueId val="{00000003-DFFC-48CA-B7A0-13C65E3C516B}"/>
              </c:ext>
            </c:extLst>
          </c:dPt>
          <c:dPt>
            <c:idx val="3"/>
            <c:marker>
              <c:symbol val="circle"/>
              <c:size val="4"/>
              <c:spPr>
                <a:solidFill>
                  <a:schemeClr val="accent2">
                    <a:lumMod val="60000"/>
                    <a:lumOff val="40000"/>
                  </a:schemeClr>
                </a:solidFill>
                <a:ln>
                  <a:noFill/>
                </a:ln>
                <a:effectLst>
                  <a:glow rad="63500">
                    <a:schemeClr val="accent2">
                      <a:satMod val="175000"/>
                      <a:alpha val="25000"/>
                    </a:schemeClr>
                  </a:glow>
                </a:effectLst>
              </c:spPr>
            </c:marker>
            <c:bubble3D val="0"/>
            <c:spPr>
              <a:ln w="22225" cap="rnd">
                <a:solidFill>
                  <a:schemeClr val="accent2"/>
                </a:solidFill>
              </a:ln>
              <a:effectLst>
                <a:glow rad="139700">
                  <a:schemeClr val="accent2">
                    <a:satMod val="175000"/>
                    <a:alpha val="14000"/>
                  </a:schemeClr>
                </a:glow>
              </a:effectLst>
            </c:spPr>
            <c:extLst>
              <c:ext xmlns:c16="http://schemas.microsoft.com/office/drawing/2014/chart" uri="{C3380CC4-5D6E-409C-BE32-E72D297353CC}">
                <c16:uniqueId val="{00000004-DFFC-48CA-B7A0-13C65E3C516B}"/>
              </c:ext>
            </c:extLst>
          </c:dPt>
          <c:dPt>
            <c:idx val="4"/>
            <c:marker>
              <c:symbol val="circle"/>
              <c:size val="4"/>
              <c:spPr>
                <a:solidFill>
                  <a:schemeClr val="accent2">
                    <a:lumMod val="60000"/>
                    <a:lumOff val="40000"/>
                  </a:schemeClr>
                </a:solidFill>
                <a:ln>
                  <a:noFill/>
                </a:ln>
                <a:effectLst>
                  <a:glow rad="63500">
                    <a:schemeClr val="accent2">
                      <a:satMod val="175000"/>
                      <a:alpha val="25000"/>
                    </a:schemeClr>
                  </a:glow>
                </a:effectLst>
              </c:spPr>
            </c:marker>
            <c:bubble3D val="0"/>
            <c:spPr>
              <a:ln w="22225" cap="rnd">
                <a:solidFill>
                  <a:schemeClr val="accent2"/>
                </a:solidFill>
              </a:ln>
              <a:effectLst>
                <a:glow rad="139700">
                  <a:schemeClr val="accent2">
                    <a:satMod val="175000"/>
                    <a:alpha val="14000"/>
                  </a:schemeClr>
                </a:glow>
              </a:effectLst>
            </c:spPr>
            <c:extLst>
              <c:ext xmlns:c16="http://schemas.microsoft.com/office/drawing/2014/chart" uri="{C3380CC4-5D6E-409C-BE32-E72D297353CC}">
                <c16:uniqueId val="{00000005-DFFC-48CA-B7A0-13C65E3C516B}"/>
              </c:ext>
            </c:extLst>
          </c:dPt>
          <c:dPt>
            <c:idx val="5"/>
            <c:marker>
              <c:symbol val="circle"/>
              <c:size val="4"/>
              <c:spPr>
                <a:solidFill>
                  <a:schemeClr val="accent2">
                    <a:lumMod val="60000"/>
                    <a:lumOff val="40000"/>
                  </a:schemeClr>
                </a:solidFill>
                <a:ln>
                  <a:noFill/>
                </a:ln>
                <a:effectLst>
                  <a:glow rad="63500">
                    <a:schemeClr val="accent2">
                      <a:satMod val="175000"/>
                      <a:alpha val="25000"/>
                    </a:schemeClr>
                  </a:glow>
                </a:effectLst>
              </c:spPr>
            </c:marker>
            <c:bubble3D val="0"/>
            <c:spPr>
              <a:ln w="22225" cap="rnd">
                <a:solidFill>
                  <a:schemeClr val="accent2"/>
                </a:solidFill>
              </a:ln>
              <a:effectLst>
                <a:glow rad="139700">
                  <a:schemeClr val="accent2">
                    <a:satMod val="175000"/>
                    <a:alpha val="14000"/>
                  </a:schemeClr>
                </a:glow>
              </a:effectLst>
            </c:spPr>
            <c:extLst>
              <c:ext xmlns:c16="http://schemas.microsoft.com/office/drawing/2014/chart" uri="{C3380CC4-5D6E-409C-BE32-E72D297353CC}">
                <c16:uniqueId val="{00000006-DFFC-48CA-B7A0-13C65E3C516B}"/>
              </c:ext>
            </c:extLst>
          </c:dPt>
          <c:dPt>
            <c:idx val="6"/>
            <c:marker>
              <c:symbol val="circle"/>
              <c:size val="4"/>
              <c:spPr>
                <a:solidFill>
                  <a:schemeClr val="accent2">
                    <a:lumMod val="60000"/>
                    <a:lumOff val="40000"/>
                  </a:schemeClr>
                </a:solidFill>
                <a:ln>
                  <a:noFill/>
                </a:ln>
                <a:effectLst>
                  <a:glow rad="63500">
                    <a:schemeClr val="accent2">
                      <a:satMod val="175000"/>
                      <a:alpha val="25000"/>
                    </a:schemeClr>
                  </a:glow>
                </a:effectLst>
              </c:spPr>
            </c:marker>
            <c:bubble3D val="0"/>
            <c:spPr>
              <a:ln w="22225" cap="rnd">
                <a:solidFill>
                  <a:schemeClr val="accent2"/>
                </a:solidFill>
              </a:ln>
              <a:effectLst>
                <a:glow rad="139700">
                  <a:schemeClr val="accent2">
                    <a:satMod val="175000"/>
                    <a:alpha val="14000"/>
                  </a:schemeClr>
                </a:glow>
              </a:effectLst>
            </c:spPr>
            <c:extLst>
              <c:ext xmlns:c16="http://schemas.microsoft.com/office/drawing/2014/chart" uri="{C3380CC4-5D6E-409C-BE32-E72D297353CC}">
                <c16:uniqueId val="{00000007-DFFC-48CA-B7A0-13C65E3C516B}"/>
              </c:ext>
            </c:extLst>
          </c:dPt>
          <c:dPt>
            <c:idx val="7"/>
            <c:marker>
              <c:symbol val="circle"/>
              <c:size val="4"/>
              <c:spPr>
                <a:solidFill>
                  <a:schemeClr val="accent2">
                    <a:lumMod val="60000"/>
                    <a:lumOff val="40000"/>
                  </a:schemeClr>
                </a:solidFill>
                <a:ln>
                  <a:noFill/>
                </a:ln>
                <a:effectLst>
                  <a:glow rad="63500">
                    <a:schemeClr val="accent2">
                      <a:satMod val="175000"/>
                      <a:alpha val="25000"/>
                    </a:schemeClr>
                  </a:glow>
                </a:effectLst>
              </c:spPr>
            </c:marker>
            <c:bubble3D val="0"/>
            <c:spPr>
              <a:ln w="22225" cap="rnd">
                <a:solidFill>
                  <a:schemeClr val="accent2"/>
                </a:solidFill>
              </a:ln>
              <a:effectLst>
                <a:glow rad="139700">
                  <a:schemeClr val="accent2">
                    <a:satMod val="175000"/>
                    <a:alpha val="14000"/>
                  </a:schemeClr>
                </a:glow>
              </a:effectLst>
            </c:spPr>
            <c:extLst>
              <c:ext xmlns:c16="http://schemas.microsoft.com/office/drawing/2014/chart" uri="{C3380CC4-5D6E-409C-BE32-E72D297353CC}">
                <c16:uniqueId val="{00000008-DFFC-48CA-B7A0-13C65E3C516B}"/>
              </c:ext>
            </c:extLst>
          </c:dPt>
          <c:dPt>
            <c:idx val="8"/>
            <c:marker>
              <c:symbol val="circle"/>
              <c:size val="4"/>
              <c:spPr>
                <a:solidFill>
                  <a:schemeClr val="accent2">
                    <a:lumMod val="60000"/>
                    <a:lumOff val="40000"/>
                  </a:schemeClr>
                </a:solidFill>
                <a:ln>
                  <a:noFill/>
                </a:ln>
                <a:effectLst>
                  <a:glow rad="63500">
                    <a:schemeClr val="accent2">
                      <a:satMod val="175000"/>
                      <a:alpha val="25000"/>
                    </a:schemeClr>
                  </a:glow>
                </a:effectLst>
              </c:spPr>
            </c:marker>
            <c:bubble3D val="0"/>
            <c:spPr>
              <a:ln w="22225" cap="rnd">
                <a:solidFill>
                  <a:schemeClr val="accent2"/>
                </a:solidFill>
              </a:ln>
              <a:effectLst>
                <a:glow rad="139700">
                  <a:schemeClr val="accent2">
                    <a:satMod val="175000"/>
                    <a:alpha val="14000"/>
                  </a:schemeClr>
                </a:glow>
              </a:effectLst>
            </c:spPr>
            <c:extLst>
              <c:ext xmlns:c16="http://schemas.microsoft.com/office/drawing/2014/chart" uri="{C3380CC4-5D6E-409C-BE32-E72D297353CC}">
                <c16:uniqueId val="{00000009-DFFC-48CA-B7A0-13C65E3C516B}"/>
              </c:ext>
            </c:extLst>
          </c:dPt>
          <c:dPt>
            <c:idx val="9"/>
            <c:marker>
              <c:symbol val="circle"/>
              <c:size val="4"/>
              <c:spPr>
                <a:solidFill>
                  <a:schemeClr val="accent2">
                    <a:lumMod val="60000"/>
                    <a:lumOff val="40000"/>
                  </a:schemeClr>
                </a:solidFill>
                <a:ln>
                  <a:noFill/>
                </a:ln>
                <a:effectLst>
                  <a:glow rad="63500">
                    <a:schemeClr val="accent2">
                      <a:satMod val="175000"/>
                      <a:alpha val="25000"/>
                    </a:schemeClr>
                  </a:glow>
                </a:effectLst>
              </c:spPr>
            </c:marker>
            <c:bubble3D val="0"/>
            <c:spPr>
              <a:ln w="22225" cap="rnd">
                <a:solidFill>
                  <a:schemeClr val="accent2"/>
                </a:solidFill>
              </a:ln>
              <a:effectLst>
                <a:glow rad="139700">
                  <a:schemeClr val="accent2">
                    <a:satMod val="175000"/>
                    <a:alpha val="14000"/>
                  </a:schemeClr>
                </a:glow>
              </a:effectLst>
            </c:spPr>
            <c:extLst>
              <c:ext xmlns:c16="http://schemas.microsoft.com/office/drawing/2014/chart" uri="{C3380CC4-5D6E-409C-BE32-E72D297353CC}">
                <c16:uniqueId val="{0000000A-DFFC-48CA-B7A0-13C65E3C516B}"/>
              </c:ext>
            </c:extLst>
          </c:dPt>
          <c:dPt>
            <c:idx val="10"/>
            <c:marker>
              <c:symbol val="circle"/>
              <c:size val="4"/>
              <c:spPr>
                <a:solidFill>
                  <a:schemeClr val="accent2">
                    <a:lumMod val="60000"/>
                    <a:lumOff val="40000"/>
                  </a:schemeClr>
                </a:solidFill>
                <a:ln>
                  <a:noFill/>
                </a:ln>
                <a:effectLst>
                  <a:glow rad="63500">
                    <a:schemeClr val="accent2">
                      <a:satMod val="175000"/>
                      <a:alpha val="25000"/>
                    </a:schemeClr>
                  </a:glow>
                </a:effectLst>
              </c:spPr>
            </c:marker>
            <c:bubble3D val="0"/>
            <c:spPr>
              <a:ln w="22225" cap="rnd">
                <a:solidFill>
                  <a:schemeClr val="accent2"/>
                </a:solidFill>
              </a:ln>
              <a:effectLst>
                <a:glow rad="139700">
                  <a:schemeClr val="accent2">
                    <a:satMod val="175000"/>
                    <a:alpha val="14000"/>
                  </a:schemeClr>
                </a:glow>
              </a:effectLst>
            </c:spPr>
            <c:extLst>
              <c:ext xmlns:c16="http://schemas.microsoft.com/office/drawing/2014/chart" uri="{C3380CC4-5D6E-409C-BE32-E72D297353CC}">
                <c16:uniqueId val="{0000000B-DFFC-48CA-B7A0-13C65E3C516B}"/>
              </c:ext>
            </c:extLst>
          </c:dPt>
          <c:dPt>
            <c:idx val="11"/>
            <c:marker>
              <c:symbol val="circle"/>
              <c:size val="4"/>
              <c:spPr>
                <a:solidFill>
                  <a:schemeClr val="accent2">
                    <a:lumMod val="60000"/>
                    <a:lumOff val="40000"/>
                  </a:schemeClr>
                </a:solidFill>
                <a:ln>
                  <a:noFill/>
                </a:ln>
                <a:effectLst>
                  <a:glow rad="63500">
                    <a:schemeClr val="accent2">
                      <a:satMod val="175000"/>
                      <a:alpha val="25000"/>
                    </a:schemeClr>
                  </a:glow>
                </a:effectLst>
              </c:spPr>
            </c:marker>
            <c:bubble3D val="0"/>
            <c:spPr>
              <a:ln w="22225" cap="rnd">
                <a:solidFill>
                  <a:schemeClr val="accent2"/>
                </a:solidFill>
              </a:ln>
              <a:effectLst>
                <a:glow rad="139700">
                  <a:schemeClr val="accent2">
                    <a:satMod val="175000"/>
                    <a:alpha val="14000"/>
                  </a:schemeClr>
                </a:glow>
              </a:effectLst>
            </c:spPr>
            <c:extLst>
              <c:ext xmlns:c16="http://schemas.microsoft.com/office/drawing/2014/chart" uri="{C3380CC4-5D6E-409C-BE32-E72D297353CC}">
                <c16:uniqueId val="{0000000C-DFFC-48CA-B7A0-13C65E3C516B}"/>
              </c:ext>
            </c:extLst>
          </c:dPt>
          <c:dLbls>
            <c:dLbl>
              <c:idx val="0"/>
              <c:layout>
                <c:manualLayout>
                  <c:x val="-3.9254170755642906E-3"/>
                  <c:y val="3.7101449275362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FC-48CA-B7A0-13C65E3C516B}"/>
                </c:ext>
              </c:extLst>
            </c:dLbl>
            <c:dLbl>
              <c:idx val="1"/>
              <c:layout>
                <c:manualLayout>
                  <c:x val="0"/>
                  <c:y val="3.942028985507246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FC-48CA-B7A0-13C65E3C516B}"/>
                </c:ext>
              </c:extLst>
            </c:dLbl>
            <c:dLbl>
              <c:idx val="2"/>
              <c:layout>
                <c:manualLayout>
                  <c:x val="-1.9627085377821395E-2"/>
                  <c:y val="-2.7826086956521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FC-48CA-B7A0-13C65E3C516B}"/>
                </c:ext>
              </c:extLst>
            </c:dLbl>
            <c:dLbl>
              <c:idx val="3"/>
              <c:layout>
                <c:manualLayout>
                  <c:x val="0"/>
                  <c:y val="2.7826086956521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FFC-48CA-B7A0-13C65E3C516B}"/>
                </c:ext>
              </c:extLst>
            </c:dLbl>
            <c:dLbl>
              <c:idx val="4"/>
              <c:layout>
                <c:manualLayout>
                  <c:x val="-1.1776251226692885E-2"/>
                  <c:y val="-3.24637681159420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FFC-48CA-B7A0-13C65E3C516B}"/>
                </c:ext>
              </c:extLst>
            </c:dLbl>
            <c:dLbl>
              <c:idx val="5"/>
              <c:layout>
                <c:manualLayout>
                  <c:x val="-1.9627085377821395E-2"/>
                  <c:y val="4.17391304347826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FFC-48CA-B7A0-13C65E3C516B}"/>
                </c:ext>
              </c:extLst>
            </c:dLbl>
            <c:dLbl>
              <c:idx val="6"/>
              <c:layout>
                <c:manualLayout>
                  <c:x val="-1.5701668302257114E-2"/>
                  <c:y val="-4.405797101449283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FFC-48CA-B7A0-13C65E3C516B}"/>
                </c:ext>
              </c:extLst>
            </c:dLbl>
            <c:dLbl>
              <c:idx val="7"/>
              <c:layout>
                <c:manualLayout>
                  <c:x val="-1.046777886817141E-2"/>
                  <c:y val="2.31884057971014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FFC-48CA-B7A0-13C65E3C516B}"/>
                </c:ext>
              </c:extLst>
            </c:dLbl>
            <c:dLbl>
              <c:idx val="8"/>
              <c:layout>
                <c:manualLayout>
                  <c:x val="-1.9627085377821488E-2"/>
                  <c:y val="-3.71014492753624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FFC-48CA-B7A0-13C65E3C516B}"/>
                </c:ext>
              </c:extLst>
            </c:dLbl>
            <c:dLbl>
              <c:idx val="9"/>
              <c:layout>
                <c:manualLayout>
                  <c:x val="-9.5953531161524582E-17"/>
                  <c:y val="2.08695652173913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FFC-48CA-B7A0-13C65E3C516B}"/>
                </c:ext>
              </c:extLst>
            </c:dLbl>
            <c:dLbl>
              <c:idx val="10"/>
              <c:layout>
                <c:manualLayout>
                  <c:x val="-2.6169447170429484E-3"/>
                  <c:y val="-2.782608695652165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FFC-48CA-B7A0-13C65E3C516B}"/>
                </c:ext>
              </c:extLst>
            </c:dLbl>
            <c:dLbl>
              <c:idx val="11"/>
              <c:layout>
                <c:manualLayout>
                  <c:x val="-1.1776251226692932E-2"/>
                  <c:y val="2.78260869565218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FFC-48CA-B7A0-13C65E3C51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'Invalid PO Pivot Table'!$A$4:$A$20</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'Invalid PO Pivot Table'!$C$4:$C$20</c:f>
              <c:numCache>
                <c:formatCode>0</c:formatCode>
                <c:ptCount val="12"/>
                <c:pt idx="0">
                  <c:v>2881.1018999999997</c:v>
                </c:pt>
                <c:pt idx="1">
                  <c:v>2860.5261</c:v>
                </c:pt>
                <c:pt idx="2">
                  <c:v>2817.4148999999998</c:v>
                </c:pt>
                <c:pt idx="3">
                  <c:v>1627.5084999999999</c:v>
                </c:pt>
                <c:pt idx="4">
                  <c:v>1714.5114999999998</c:v>
                </c:pt>
                <c:pt idx="5">
                  <c:v>1896.8035</c:v>
                </c:pt>
                <c:pt idx="6">
                  <c:v>1904.9274</c:v>
                </c:pt>
                <c:pt idx="7">
                  <c:v>2006.7605999999998</c:v>
                </c:pt>
                <c:pt idx="8">
                  <c:v>2220.1253999999999</c:v>
                </c:pt>
                <c:pt idx="9">
                  <c:v>768.61059999999998</c:v>
                </c:pt>
                <c:pt idx="10">
                  <c:v>797.45410000000004</c:v>
                </c:pt>
                <c:pt idx="11">
                  <c:v>857.88810000000001</c:v>
                </c:pt>
              </c:numCache>
            </c:numRef>
          </c:val>
          <c:smooth val="0"/>
          <c:extLst>
            <c:ext xmlns:c16="http://schemas.microsoft.com/office/drawing/2014/chart" uri="{C3380CC4-5D6E-409C-BE32-E72D297353CC}">
              <c16:uniqueId val="{0000000D-DFFC-48CA-B7A0-13C65E3C516B}"/>
            </c:ext>
          </c:extLst>
        </c:ser>
        <c:ser>
          <c:idx val="2"/>
          <c:order val="2"/>
          <c:tx>
            <c:strRef>
              <c:f>'Invalid PO Pivot Table'!$D$3</c:f>
              <c:strCache>
                <c:ptCount val="1"/>
                <c:pt idx="0">
                  <c:v>Low</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'Invalid PO Pivot Table'!$A$4:$A$20</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'Invalid PO Pivot Table'!$D$4:$D$20</c:f>
              <c:numCache>
                <c:formatCode>0</c:formatCode>
                <c:ptCount val="12"/>
                <c:pt idx="0">
                  <c:v>2050.7214000000004</c:v>
                </c:pt>
                <c:pt idx="1">
                  <c:v>1893.9534000000001</c:v>
                </c:pt>
                <c:pt idx="2">
                  <c:v>1613.2406999999998</c:v>
                </c:pt>
                <c:pt idx="3">
                  <c:v>642.85550000000001</c:v>
                </c:pt>
                <c:pt idx="4">
                  <c:v>556.54300000000001</c:v>
                </c:pt>
                <c:pt idx="5">
                  <c:v>425.34800000000001</c:v>
                </c:pt>
                <c:pt idx="6">
                  <c:v>752.43420000000003</c:v>
                </c:pt>
                <c:pt idx="7">
                  <c:v>651.40920000000006</c:v>
                </c:pt>
                <c:pt idx="8">
                  <c:v>497.85120000000001</c:v>
                </c:pt>
                <c:pt idx="9">
                  <c:v>349.96780000000001</c:v>
                </c:pt>
                <c:pt idx="10">
                  <c:v>307.38929999999999</c:v>
                </c:pt>
                <c:pt idx="11">
                  <c:v>240.08780000000002</c:v>
                </c:pt>
              </c:numCache>
            </c:numRef>
          </c:val>
          <c:smooth val="0"/>
          <c:extLst>
            <c:ext xmlns:c16="http://schemas.microsoft.com/office/drawing/2014/chart" uri="{C3380CC4-5D6E-409C-BE32-E72D297353CC}">
              <c16:uniqueId val="{0000000E-DFFC-48CA-B7A0-13C65E3C516B}"/>
            </c:ext>
          </c:extLst>
        </c:ser>
        <c:dLbls>
          <c:showLegendKey val="0"/>
          <c:showVal val="1"/>
          <c:showCatName val="0"/>
          <c:showSerName val="0"/>
          <c:showPercent val="0"/>
          <c:showBubbleSize val="0"/>
        </c:dLbls>
        <c:marker val="1"/>
        <c:smooth val="0"/>
        <c:axId val="1422641311"/>
        <c:axId val="1422641791"/>
      </c:lineChart>
      <c:catAx>
        <c:axId val="142264131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22641791"/>
        <c:crosses val="autoZero"/>
        <c:auto val="1"/>
        <c:lblAlgn val="ctr"/>
        <c:lblOffset val="100"/>
        <c:noMultiLvlLbl val="0"/>
      </c:catAx>
      <c:valAx>
        <c:axId val="1422641791"/>
        <c:scaling>
          <c:orientation val="minMax"/>
          <c:max val="4100"/>
          <c:min val="0"/>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22641311"/>
        <c:crosses val="autoZero"/>
        <c:crossBetween val="between"/>
      </c:valAx>
      <c:spPr>
        <a:noFill/>
        <a:ln>
          <a:noFill/>
        </a:ln>
        <a:effectLst/>
      </c:spPr>
    </c:plotArea>
    <c:legend>
      <c:legendPos val="r"/>
      <c:layout>
        <c:manualLayout>
          <c:xMode val="edge"/>
          <c:yMode val="edge"/>
          <c:x val="0.92631374924288312"/>
          <c:y val="0.43785895861729729"/>
          <c:w val="6.5993943064809213E-2"/>
          <c:h val="0.200581558206511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[Confidence Interval Analysis1.xlsm]Invalid PO Pivot Table!PivotTable11</c:name>
    <c:fmtId val="25"/>
  </c:pivotSource>
  <c:chart>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a:glow rad="38100">
              <a:schemeClr val="accent1">
                <a:alpha val="40000"/>
              </a:schemeClr>
            </a:glow>
          </a:effectLst>
        </c:spPr>
        <c:marker>
          <c:symbol val="circle"/>
          <c:size val="5"/>
          <c:spPr>
            <a:solidFill>
              <a:schemeClr val="accent4"/>
            </a:solidFill>
            <a:ln w="9525">
              <a:solidFill>
                <a:schemeClr val="accent4"/>
              </a:solidFill>
            </a:ln>
            <a:effectLst>
              <a:glow rad="38100">
                <a:schemeClr val="accent1">
                  <a:alpha val="40000"/>
                </a:schemeClr>
              </a:glow>
            </a:effectLst>
          </c:spPr>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a:glow rad="38100">
              <a:schemeClr val="accent1">
                <a:alpha val="40000"/>
              </a:schemeClr>
            </a:glow>
          </a:effectLst>
        </c:spPr>
        <c:marker>
          <c:symbol val="circle"/>
          <c:size val="5"/>
          <c:spPr>
            <a:solidFill>
              <a:schemeClr val="accent5"/>
            </a:solidFill>
            <a:ln w="9525">
              <a:solidFill>
                <a:schemeClr val="accent5"/>
              </a:solidFill>
            </a:ln>
            <a:effectLst>
              <a:glow rad="38100">
                <a:schemeClr val="accent1">
                  <a:alpha val="40000"/>
                </a:schemeClr>
              </a:glow>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a:glow rad="38100">
              <a:schemeClr val="accent1">
                <a:alpha val="40000"/>
              </a:schemeClr>
            </a:glow>
          </a:effectLst>
        </c:spPr>
        <c:marker>
          <c:symbol val="circle"/>
          <c:size val="5"/>
          <c:spPr>
            <a:solidFill>
              <a:schemeClr val="accent6"/>
            </a:solidFill>
            <a:ln w="9525">
              <a:solidFill>
                <a:schemeClr val="accent6"/>
              </a:solidFill>
            </a:ln>
            <a:effectLst>
              <a:glow rad="38100">
                <a:schemeClr val="accent1">
                  <a:alpha val="40000"/>
                </a:schemeClr>
              </a:glow>
            </a:effectLst>
          </c:spPr>
        </c:marker>
        <c:dLbl>
          <c:idx val="0"/>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s>
    <c:plotArea>
      <c:layout/>
      <c:barChart>
        <c:barDir val="col"/>
        <c:grouping val="clustered"/>
        <c:varyColors val="0"/>
        <c:ser>
          <c:idx val="0"/>
          <c:order val="0"/>
          <c:tx>
            <c:strRef>
              <c:f>'Invalid PO Pivot Table'!$B$3</c:f>
              <c:strCache>
                <c:ptCount val="1"/>
                <c:pt idx="0">
                  <c:v>High</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'Invalid PO Pivot Table'!$A$4:$A$20</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'Invalid PO Pivot Table'!$B$4:$B$20</c:f>
              <c:numCache>
                <c:formatCode>0</c:formatCode>
                <c:ptCount val="12"/>
                <c:pt idx="0">
                  <c:v>3711.4824000000003</c:v>
                </c:pt>
                <c:pt idx="1">
                  <c:v>3827.0988000000002</c:v>
                </c:pt>
                <c:pt idx="2">
                  <c:v>4021.5890999999997</c:v>
                </c:pt>
                <c:pt idx="3">
                  <c:v>2563.136</c:v>
                </c:pt>
                <c:pt idx="4">
                  <c:v>2872.48</c:v>
                </c:pt>
                <c:pt idx="5">
                  <c:v>3368.9495000000002</c:v>
                </c:pt>
                <c:pt idx="6">
                  <c:v>3000.0383999999999</c:v>
                </c:pt>
                <c:pt idx="7">
                  <c:v>3362.1119999999996</c:v>
                </c:pt>
                <c:pt idx="8">
                  <c:v>3943.2078000000001</c:v>
                </c:pt>
                <c:pt idx="9">
                  <c:v>1187.2533999999998</c:v>
                </c:pt>
                <c:pt idx="10">
                  <c:v>1287.5189</c:v>
                </c:pt>
                <c:pt idx="11">
                  <c:v>1574.0309999999999</c:v>
                </c:pt>
              </c:numCache>
            </c:numRef>
          </c:val>
          <c:extLst>
            <c:ext xmlns:c16="http://schemas.microsoft.com/office/drawing/2014/chart" uri="{C3380CC4-5D6E-409C-BE32-E72D297353CC}">
              <c16:uniqueId val="{00000000-4544-48B8-9230-BC59AF4D9976}"/>
            </c:ext>
          </c:extLst>
        </c:ser>
        <c:ser>
          <c:idx val="1"/>
          <c:order val="1"/>
          <c:tx>
            <c:strRef>
              <c:f>'Invalid PO Pivot Table'!$C$3</c:f>
              <c:strCache>
                <c:ptCount val="1"/>
                <c:pt idx="0">
                  <c:v>Middle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'Invalid PO Pivot Table'!$A$4:$A$20</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'Invalid PO Pivot Table'!$C$4:$C$20</c:f>
              <c:numCache>
                <c:formatCode>0</c:formatCode>
                <c:ptCount val="12"/>
                <c:pt idx="0">
                  <c:v>2881.1018999999997</c:v>
                </c:pt>
                <c:pt idx="1">
                  <c:v>2860.5261</c:v>
                </c:pt>
                <c:pt idx="2">
                  <c:v>2817.4148999999998</c:v>
                </c:pt>
                <c:pt idx="3">
                  <c:v>1627.5084999999999</c:v>
                </c:pt>
                <c:pt idx="4">
                  <c:v>1714.5114999999998</c:v>
                </c:pt>
                <c:pt idx="5">
                  <c:v>1896.8035</c:v>
                </c:pt>
                <c:pt idx="6">
                  <c:v>1904.9274</c:v>
                </c:pt>
                <c:pt idx="7">
                  <c:v>2006.7605999999998</c:v>
                </c:pt>
                <c:pt idx="8">
                  <c:v>2220.1253999999999</c:v>
                </c:pt>
                <c:pt idx="9">
                  <c:v>768.61059999999998</c:v>
                </c:pt>
                <c:pt idx="10">
                  <c:v>797.45410000000004</c:v>
                </c:pt>
                <c:pt idx="11">
                  <c:v>857.88810000000001</c:v>
                </c:pt>
              </c:numCache>
            </c:numRef>
          </c:val>
          <c:extLst>
            <c:ext xmlns:c16="http://schemas.microsoft.com/office/drawing/2014/chart" uri="{C3380CC4-5D6E-409C-BE32-E72D297353CC}">
              <c16:uniqueId val="{00000001-4544-48B8-9230-BC59AF4D9976}"/>
            </c:ext>
          </c:extLst>
        </c:ser>
        <c:ser>
          <c:idx val="2"/>
          <c:order val="2"/>
          <c:tx>
            <c:strRef>
              <c:f>'Invalid PO Pivot Table'!$D$3</c:f>
              <c:strCache>
                <c:ptCount val="1"/>
                <c:pt idx="0">
                  <c:v>Low</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'Invalid PO Pivot Table'!$A$4:$A$20</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'Invalid PO Pivot Table'!$D$4:$D$20</c:f>
              <c:numCache>
                <c:formatCode>0</c:formatCode>
                <c:ptCount val="12"/>
                <c:pt idx="0">
                  <c:v>2050.7214000000004</c:v>
                </c:pt>
                <c:pt idx="1">
                  <c:v>1893.9534000000001</c:v>
                </c:pt>
                <c:pt idx="2">
                  <c:v>1613.2406999999998</c:v>
                </c:pt>
                <c:pt idx="3">
                  <c:v>642.85550000000001</c:v>
                </c:pt>
                <c:pt idx="4">
                  <c:v>556.54300000000001</c:v>
                </c:pt>
                <c:pt idx="5">
                  <c:v>425.34800000000001</c:v>
                </c:pt>
                <c:pt idx="6">
                  <c:v>752.43420000000003</c:v>
                </c:pt>
                <c:pt idx="7">
                  <c:v>651.40920000000006</c:v>
                </c:pt>
                <c:pt idx="8">
                  <c:v>497.85120000000001</c:v>
                </c:pt>
                <c:pt idx="9">
                  <c:v>349.96780000000001</c:v>
                </c:pt>
                <c:pt idx="10">
                  <c:v>307.38929999999999</c:v>
                </c:pt>
                <c:pt idx="11">
                  <c:v>240.08780000000002</c:v>
                </c:pt>
              </c:numCache>
            </c:numRef>
          </c:val>
          <c:extLst>
            <c:ext xmlns:c16="http://schemas.microsoft.com/office/drawing/2014/chart" uri="{C3380CC4-5D6E-409C-BE32-E72D297353CC}">
              <c16:uniqueId val="{00000003-4544-48B8-9230-BC59AF4D9976}"/>
            </c:ext>
          </c:extLst>
        </c:ser>
        <c:dLbls>
          <c:dLblPos val="inEnd"/>
          <c:showLegendKey val="0"/>
          <c:showVal val="1"/>
          <c:showCatName val="0"/>
          <c:showSerName val="0"/>
          <c:showPercent val="0"/>
          <c:showBubbleSize val="0"/>
        </c:dLbls>
        <c:gapWidth val="100"/>
        <c:axId val="242185279"/>
        <c:axId val="242185759"/>
      </c:barChart>
      <c:catAx>
        <c:axId val="242185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5759"/>
        <c:crosses val="autoZero"/>
        <c:auto val="1"/>
        <c:lblAlgn val="ctr"/>
        <c:lblOffset val="100"/>
        <c:noMultiLvlLbl val="0"/>
      </c:catAx>
      <c:valAx>
        <c:axId val="24218575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5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[Confidence Interval Analysis1.xlsm]Savings Per Order Graph!PivotTable18</c:name>
    <c:fmtId val="1"/>
  </c:pivotSource>
  <c:chart>
    <c:autoTitleDeleted val="0"/>
    <c:pivotFmts>
      <c:pivotFmt>
        <c:idx val="0"/>
        <c:spPr>
          <a:solidFill>
            <a:schemeClr val="accent1">
              <a:alpha val="27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19050" cap="rnd">
            <a:solidFill>
              <a:schemeClr val="accent1">
                <a:alpha val="58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1">
              <a:lumMod val="75000"/>
              <a:lumOff val="25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glow rad="139700">
              <a:schemeClr val="accent1">
                <a:alpha val="40000"/>
              </a:schemeClr>
            </a:glo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glow rad="139700">
                <a:schemeClr val="accent1">
                  <a:alpha val="40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glow rad="139700">
              <a:schemeClr val="accent1">
                <a:alpha val="40000"/>
              </a:schemeClr>
            </a:glo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glow rad="139700">
                <a:schemeClr val="accent1">
                  <a:alpha val="40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glow rad="139700">
              <a:schemeClr val="accent1">
                <a:alpha val="40000"/>
              </a:schemeClr>
            </a:glo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glow rad="139700">
                <a:schemeClr val="accent1">
                  <a:alpha val="40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'Savings Per Order Graph'!$B$49</c:f>
              <c:strCache>
                <c:ptCount val="1"/>
                <c:pt idx="0">
                  <c:v>Likely Order Cost</c:v>
                </c:pt>
              </c:strCache>
            </c:strRef>
          </c:tx>
          <c:spPr>
            <a:solidFill>
              <a:schemeClr val="accent1">
                <a:alpha val="27000"/>
              </a:schemeClr>
            </a:soli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'Savings Per Order Graph'!$A$50:$A$66</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'Savings Per Order Graph'!$B$50:$B$66</c:f>
              <c:numCache>
                <c:formatCode>_("$"* #,##0_);_("$"* \(#,##0\);_("$"* "-"??_);_(@_)</c:formatCode>
                <c:ptCount val="12"/>
                <c:pt idx="0">
                  <c:v>96895.91333333333</c:v>
                </c:pt>
                <c:pt idx="1">
                  <c:v>105648.91333333333</c:v>
                </c:pt>
                <c:pt idx="2">
                  <c:v>125200.91333333333</c:v>
                </c:pt>
                <c:pt idx="3">
                  <c:v>168763.17749999999</c:v>
                </c:pt>
                <c:pt idx="4">
                  <c:v>206355.17749999999</c:v>
                </c:pt>
                <c:pt idx="5">
                  <c:v>326896.17749999999</c:v>
                </c:pt>
                <c:pt idx="6">
                  <c:v>14208.41</c:v>
                </c:pt>
                <c:pt idx="7">
                  <c:v>16582.41</c:v>
                </c:pt>
                <c:pt idx="8">
                  <c:v>22981.41</c:v>
                </c:pt>
                <c:pt idx="9">
                  <c:v>29523.358</c:v>
                </c:pt>
                <c:pt idx="10">
                  <c:v>33872.358</c:v>
                </c:pt>
                <c:pt idx="11">
                  <c:v>46204.358</c:v>
                </c:pt>
              </c:numCache>
            </c:numRef>
          </c:val>
          <c:extLst>
            <c:ext xmlns:c16="http://schemas.microsoft.com/office/drawing/2014/chart" uri="{C3380CC4-5D6E-409C-BE32-E72D297353CC}">
              <c16:uniqueId val="{00000000-441E-4A96-BA43-1124AEC50E99}"/>
            </c:ext>
          </c:extLst>
        </c:ser>
        <c:ser>
          <c:idx val="2"/>
          <c:order val="2"/>
          <c:tx>
            <c:strRef>
              <c:f>'Savings Per Order Graph'!$D$49</c:f>
              <c:strCache>
                <c:ptCount val="1"/>
                <c:pt idx="0">
                  <c:v>Likely Lowest Order Cost</c:v>
                </c:pt>
              </c:strCache>
            </c:strRef>
          </c:tx>
          <c:spPr>
            <a:solidFill>
              <a:schemeClr val="tx1">
                <a:lumMod val="75000"/>
                <a:lumOff val="25000"/>
              </a:schemeClr>
            </a:soli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'Savings Per Order Graph'!$A$50:$A$66</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'Savings Per Order Graph'!$D$50:$D$66</c:f>
              <c:numCache>
                <c:formatCode>_("$"* #,##0_);_("$"* \(#,##0\);_("$"* "-"??_);_(@_)</c:formatCode>
                <c:ptCount val="12"/>
                <c:pt idx="0">
                  <c:v>19283.91333333333</c:v>
                </c:pt>
                <c:pt idx="1">
                  <c:v>10530.91333333333</c:v>
                </c:pt>
                <c:pt idx="2">
                  <c:v>0</c:v>
                </c:pt>
                <c:pt idx="3">
                  <c:v>0</c:v>
                </c:pt>
                <c:pt idx="4">
                  <c:v>0</c:v>
                </c:pt>
                <c:pt idx="5">
                  <c:v>0</c:v>
                </c:pt>
                <c:pt idx="6">
                  <c:v>2374.41</c:v>
                </c:pt>
                <c:pt idx="7">
                  <c:v>0</c:v>
                </c:pt>
                <c:pt idx="8">
                  <c:v>0</c:v>
                </c:pt>
                <c:pt idx="9">
                  <c:v>757.35800000000199</c:v>
                </c:pt>
                <c:pt idx="10">
                  <c:v>0</c:v>
                </c:pt>
                <c:pt idx="11">
                  <c:v>0</c:v>
                </c:pt>
              </c:numCache>
            </c:numRef>
          </c:val>
          <c:extLst>
            <c:ext xmlns:c16="http://schemas.microsoft.com/office/drawing/2014/chart" uri="{C3380CC4-5D6E-409C-BE32-E72D297353CC}">
              <c16:uniqueId val="{00000002-441E-4A96-BA43-1124AEC50E99}"/>
            </c:ext>
          </c:extLst>
        </c:ser>
        <c:dLbls>
          <c:showLegendKey val="0"/>
          <c:showVal val="1"/>
          <c:showCatName val="0"/>
          <c:showSerName val="0"/>
          <c:showPercent val="0"/>
          <c:showBubbleSize val="0"/>
        </c:dLbls>
        <c:axId val="1427180815"/>
        <c:axId val="1427188495"/>
      </c:areaChart>
      <c:lineChart>
        <c:grouping val="standard"/>
        <c:varyColors val="0"/>
        <c:ser>
          <c:idx val="1"/>
          <c:order val="1"/>
          <c:tx>
            <c:strRef>
              <c:f>'Savings Per Order Graph'!$C$49</c:f>
              <c:strCache>
                <c:ptCount val="1"/>
                <c:pt idx="0">
                  <c:v>Midline for Order Cost</c:v>
                </c:pt>
              </c:strCache>
            </c:strRef>
          </c:tx>
          <c:spPr>
            <a:ln w="19050" cap="rnd">
              <a:solidFill>
                <a:schemeClr val="accent1">
                  <a:alpha val="58000"/>
                </a:schemeClr>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'Savings Per Order Graph'!$A$50:$A$66</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'Savings Per Order Graph'!$C$50:$C$66</c:f>
              <c:numCache>
                <c:formatCode>_("$"* #,##0_);_("$"* \(#,##0\);_("$"* "-"??_);_(@_)</c:formatCode>
                <c:ptCount val="12"/>
                <c:pt idx="0">
                  <c:v>58089.91333333333</c:v>
                </c:pt>
                <c:pt idx="1">
                  <c:v>58089.91333333333</c:v>
                </c:pt>
                <c:pt idx="2">
                  <c:v>58089.91333333333</c:v>
                </c:pt>
                <c:pt idx="3">
                  <c:v>62057.177499999998</c:v>
                </c:pt>
                <c:pt idx="4">
                  <c:v>62057.177499999998</c:v>
                </c:pt>
                <c:pt idx="5">
                  <c:v>62057.177499999991</c:v>
                </c:pt>
                <c:pt idx="6">
                  <c:v>8291.41</c:v>
                </c:pt>
                <c:pt idx="7">
                  <c:v>8291.41</c:v>
                </c:pt>
                <c:pt idx="8">
                  <c:v>8291.41</c:v>
                </c:pt>
                <c:pt idx="9">
                  <c:v>15140.358</c:v>
                </c:pt>
                <c:pt idx="10">
                  <c:v>15140.358</c:v>
                </c:pt>
                <c:pt idx="11">
                  <c:v>15140.358</c:v>
                </c:pt>
              </c:numCache>
            </c:numRef>
          </c:val>
          <c:smooth val="0"/>
          <c:extLst>
            <c:ext xmlns:c16="http://schemas.microsoft.com/office/drawing/2014/chart" uri="{C3380CC4-5D6E-409C-BE32-E72D297353CC}">
              <c16:uniqueId val="{00000001-441E-4A96-BA43-1124AEC50E99}"/>
            </c:ext>
          </c:extLst>
        </c:ser>
        <c:ser>
          <c:idx val="3"/>
          <c:order val="3"/>
          <c:tx>
            <c:strRef>
              <c:f>'Savings Per Order Graph'!$E$49</c:f>
              <c:strCache>
                <c:ptCount val="1"/>
                <c:pt idx="0">
                  <c:v>Highest Likely Savings</c:v>
                </c:pt>
              </c:strCache>
            </c:strRef>
          </c:tx>
          <c:spPr>
            <a:ln w="34925" cap="rnd">
              <a:solidFill>
                <a:schemeClr val="accent4"/>
              </a:solidFill>
              <a:round/>
            </a:ln>
            <a:effectLst>
              <a:glow rad="139700">
                <a:schemeClr val="accent1">
                  <a:alpha val="40000"/>
                </a:schemeClr>
              </a:glo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glow rad="139700">
                  <a:schemeClr val="accent1">
                    <a:alpha val="40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'Savings Per Order Graph'!$A$50:$A$66</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'Savings Per Order Graph'!$E$50:$E$66</c:f>
              <c:numCache>
                <c:formatCode>_("$"* #,##0_);_("$"* \(#,##0\);_("$"* "-"??_);_(@_)</c:formatCode>
                <c:ptCount val="12"/>
                <c:pt idx="0">
                  <c:v>19379.182666666668</c:v>
                </c:pt>
                <c:pt idx="1">
                  <c:v>21129.782666666666</c:v>
                </c:pt>
                <c:pt idx="2">
                  <c:v>25040.182666666668</c:v>
                </c:pt>
                <c:pt idx="3">
                  <c:v>33752.635499999997</c:v>
                </c:pt>
                <c:pt idx="4">
                  <c:v>41271.035499999998</c:v>
                </c:pt>
                <c:pt idx="5">
                  <c:v>65379.235499999995</c:v>
                </c:pt>
                <c:pt idx="6">
                  <c:v>2841.6820000000002</c:v>
                </c:pt>
                <c:pt idx="7">
                  <c:v>3316.482</c:v>
                </c:pt>
                <c:pt idx="8">
                  <c:v>4596.2820000000002</c:v>
                </c:pt>
                <c:pt idx="9">
                  <c:v>5904.6716000000006</c:v>
                </c:pt>
                <c:pt idx="10">
                  <c:v>6774.4716000000008</c:v>
                </c:pt>
                <c:pt idx="11">
                  <c:v>9240.8716000000004</c:v>
                </c:pt>
              </c:numCache>
            </c:numRef>
          </c:val>
          <c:smooth val="0"/>
          <c:extLst>
            <c:ext xmlns:c16="http://schemas.microsoft.com/office/drawing/2014/chart" uri="{C3380CC4-5D6E-409C-BE32-E72D297353CC}">
              <c16:uniqueId val="{00000003-441E-4A96-BA43-1124AEC50E99}"/>
            </c:ext>
          </c:extLst>
        </c:ser>
        <c:ser>
          <c:idx val="4"/>
          <c:order val="4"/>
          <c:tx>
            <c:strRef>
              <c:f>'Savings Per Order Graph'!$F$49</c:f>
              <c:strCache>
                <c:ptCount val="1"/>
                <c:pt idx="0">
                  <c:v>Middle Likely Savings</c:v>
                </c:pt>
              </c:strCache>
            </c:strRef>
          </c:tx>
          <c:spPr>
            <a:ln w="34925" cap="rnd">
              <a:solidFill>
                <a:schemeClr val="accent5"/>
              </a:solidFill>
              <a:round/>
            </a:ln>
            <a:effectLst>
              <a:glow rad="139700">
                <a:schemeClr val="accent1">
                  <a:alpha val="40000"/>
                </a:schemeClr>
              </a:glo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glow rad="139700">
                  <a:schemeClr val="accent1">
                    <a:alpha val="40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'Savings Per Order Graph'!$A$50:$A$66</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'Savings Per Order Graph'!$F$50:$F$66</c:f>
              <c:numCache>
                <c:formatCode>_("$"* #,##0_);_("$"* \(#,##0\);_("$"* "-"??_);_(@_)</c:formatCode>
                <c:ptCount val="12"/>
                <c:pt idx="0">
                  <c:v>11617.982666666667</c:v>
                </c:pt>
                <c:pt idx="1">
                  <c:v>11617.982666666667</c:v>
                </c:pt>
                <c:pt idx="2">
                  <c:v>11617.982666666667</c:v>
                </c:pt>
                <c:pt idx="3">
                  <c:v>12411.4355</c:v>
                </c:pt>
                <c:pt idx="4">
                  <c:v>12411.4355</c:v>
                </c:pt>
                <c:pt idx="5">
                  <c:v>12411.435499999998</c:v>
                </c:pt>
                <c:pt idx="6">
                  <c:v>1658.2820000000002</c:v>
                </c:pt>
                <c:pt idx="7">
                  <c:v>1658.2820000000002</c:v>
                </c:pt>
                <c:pt idx="8">
                  <c:v>1658.2820000000002</c:v>
                </c:pt>
                <c:pt idx="9">
                  <c:v>3028.0716000000002</c:v>
                </c:pt>
                <c:pt idx="10">
                  <c:v>3028.0716000000002</c:v>
                </c:pt>
                <c:pt idx="11">
                  <c:v>3028.0716000000002</c:v>
                </c:pt>
              </c:numCache>
            </c:numRef>
          </c:val>
          <c:smooth val="0"/>
          <c:extLst>
            <c:ext xmlns:c16="http://schemas.microsoft.com/office/drawing/2014/chart" uri="{C3380CC4-5D6E-409C-BE32-E72D297353CC}">
              <c16:uniqueId val="{00000004-441E-4A96-BA43-1124AEC50E99}"/>
            </c:ext>
          </c:extLst>
        </c:ser>
        <c:ser>
          <c:idx val="5"/>
          <c:order val="5"/>
          <c:tx>
            <c:strRef>
              <c:f>'Savings Per Order Graph'!$G$49</c:f>
              <c:strCache>
                <c:ptCount val="1"/>
                <c:pt idx="0">
                  <c:v>Lowest Likely Savings</c:v>
                </c:pt>
              </c:strCache>
            </c:strRef>
          </c:tx>
          <c:spPr>
            <a:ln w="34925" cap="rnd">
              <a:solidFill>
                <a:schemeClr val="accent6"/>
              </a:solidFill>
              <a:round/>
            </a:ln>
            <a:effectLst>
              <a:glow rad="139700">
                <a:schemeClr val="accent1">
                  <a:alpha val="40000"/>
                </a:schemeClr>
              </a:glo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glow rad="139700">
                  <a:schemeClr val="accent1">
                    <a:alpha val="40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'Savings Per Order Graph'!$A$50:$A$66</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'Savings Per Order Graph'!$G$50:$G$66</c:f>
              <c:numCache>
                <c:formatCode>_("$"* #,##0_);_("$"* \(#,##0\);_("$"* "-"??_);_(@_)</c:formatCode>
                <c:ptCount val="12"/>
                <c:pt idx="0">
                  <c:v>3856.782666666666</c:v>
                </c:pt>
                <c:pt idx="1">
                  <c:v>2106.1826666666661</c:v>
                </c:pt>
                <c:pt idx="2">
                  <c:v>0</c:v>
                </c:pt>
                <c:pt idx="3">
                  <c:v>0</c:v>
                </c:pt>
                <c:pt idx="4">
                  <c:v>0</c:v>
                </c:pt>
                <c:pt idx="5">
                  <c:v>0</c:v>
                </c:pt>
                <c:pt idx="6">
                  <c:v>474.88199999999995</c:v>
                </c:pt>
                <c:pt idx="7">
                  <c:v>0</c:v>
                </c:pt>
                <c:pt idx="8">
                  <c:v>0</c:v>
                </c:pt>
                <c:pt idx="9">
                  <c:v>151.47160000000039</c:v>
                </c:pt>
                <c:pt idx="10">
                  <c:v>0</c:v>
                </c:pt>
                <c:pt idx="11">
                  <c:v>0</c:v>
                </c:pt>
              </c:numCache>
            </c:numRef>
          </c:val>
          <c:smooth val="0"/>
          <c:extLst>
            <c:ext xmlns:c16="http://schemas.microsoft.com/office/drawing/2014/chart" uri="{C3380CC4-5D6E-409C-BE32-E72D297353CC}">
              <c16:uniqueId val="{00000005-441E-4A96-BA43-1124AEC50E99}"/>
            </c:ext>
          </c:extLst>
        </c:ser>
        <c:dLbls>
          <c:showLegendKey val="0"/>
          <c:showVal val="1"/>
          <c:showCatName val="0"/>
          <c:showSerName val="0"/>
          <c:showPercent val="0"/>
          <c:showBubbleSize val="0"/>
        </c:dLbls>
        <c:marker val="1"/>
        <c:smooth val="0"/>
        <c:axId val="1427180815"/>
        <c:axId val="1427188495"/>
      </c:lineChart>
      <c:catAx>
        <c:axId val="1427180815"/>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7188495"/>
        <c:crosses val="autoZero"/>
        <c:auto val="1"/>
        <c:lblAlgn val="ctr"/>
        <c:lblOffset val="100"/>
        <c:noMultiLvlLbl val="0"/>
      </c:catAx>
      <c:valAx>
        <c:axId val="1427188495"/>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7180815"/>
        <c:crosses val="autoZero"/>
        <c:crossBetween val="between"/>
      </c:valAx>
      <c:spPr>
        <a:noFill/>
        <a:ln cmpd="sng">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[Confidence Interval Analysis1.xlsm]Savings Per Order Graph!PivotTable18</c:name>
    <c:fmtId val="13"/>
  </c:pivotSource>
  <c:chart>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a:glow rad="38100">
              <a:schemeClr val="accent1">
                <a:alpha val="40000"/>
              </a:schemeClr>
            </a:glow>
          </a:effectLst>
        </c:spPr>
        <c:marker>
          <c:symbol val="circle"/>
          <c:size val="5"/>
          <c:spPr>
            <a:solidFill>
              <a:schemeClr val="accent4"/>
            </a:solidFill>
            <a:ln w="9525">
              <a:solidFill>
                <a:schemeClr val="accent4"/>
              </a:solidFill>
            </a:ln>
            <a:effectLst>
              <a:glow rad="38100">
                <a:schemeClr val="accent1">
                  <a:alpha val="40000"/>
                </a:schemeClr>
              </a:glow>
            </a:effectLst>
          </c:spPr>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a:glow rad="38100">
              <a:schemeClr val="accent1">
                <a:alpha val="40000"/>
              </a:schemeClr>
            </a:glow>
          </a:effectLst>
        </c:spPr>
        <c:marker>
          <c:symbol val="circle"/>
          <c:size val="5"/>
          <c:spPr>
            <a:solidFill>
              <a:schemeClr val="accent5"/>
            </a:solidFill>
            <a:ln w="9525">
              <a:solidFill>
                <a:schemeClr val="accent5"/>
              </a:solidFill>
            </a:ln>
            <a:effectLst>
              <a:glow rad="38100">
                <a:schemeClr val="accent1">
                  <a:alpha val="40000"/>
                </a:schemeClr>
              </a:glow>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a:glow rad="38100">
              <a:schemeClr val="accent1">
                <a:alpha val="40000"/>
              </a:schemeClr>
            </a:glow>
          </a:effectLst>
        </c:spPr>
        <c:marker>
          <c:symbol val="circle"/>
          <c:size val="5"/>
          <c:spPr>
            <a:solidFill>
              <a:schemeClr val="accent6"/>
            </a:solidFill>
            <a:ln w="9525">
              <a:solidFill>
                <a:schemeClr val="accent6"/>
              </a:solidFill>
            </a:ln>
            <a:effectLst>
              <a:glow rad="38100">
                <a:schemeClr val="accent1">
                  <a:alpha val="40000"/>
                </a:schemeClr>
              </a:glow>
            </a:effectLst>
          </c:spPr>
        </c:marker>
        <c:dLbl>
          <c:idx val="0"/>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a:glow rad="38100">
              <a:schemeClr val="accent1">
                <a:alpha val="40000"/>
              </a:schemeClr>
            </a:glow>
          </a:effectLst>
        </c:spPr>
        <c:marker>
          <c:symbol val="circle"/>
          <c:size val="5"/>
          <c:spPr>
            <a:solidFill>
              <a:schemeClr val="accent4"/>
            </a:solidFill>
            <a:ln w="9525">
              <a:solidFill>
                <a:schemeClr val="accent4"/>
              </a:solidFill>
            </a:ln>
            <a:effectLst>
              <a:glow rad="38100">
                <a:schemeClr val="accent1">
                  <a:alpha val="40000"/>
                </a:schemeClr>
              </a:glow>
            </a:effectLst>
          </c:spPr>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a:glow rad="38100">
              <a:schemeClr val="accent1">
                <a:alpha val="40000"/>
              </a:schemeClr>
            </a:glow>
          </a:effectLst>
        </c:spPr>
        <c:marker>
          <c:symbol val="circle"/>
          <c:size val="5"/>
          <c:spPr>
            <a:solidFill>
              <a:schemeClr val="accent5"/>
            </a:solidFill>
            <a:ln w="9525">
              <a:solidFill>
                <a:schemeClr val="accent5"/>
              </a:solidFill>
            </a:ln>
            <a:effectLst>
              <a:glow rad="38100">
                <a:schemeClr val="accent1">
                  <a:alpha val="40000"/>
                </a:schemeClr>
              </a:glow>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a:glow rad="38100">
              <a:schemeClr val="accent1">
                <a:alpha val="40000"/>
              </a:schemeClr>
            </a:glow>
          </a:effectLst>
        </c:spPr>
        <c:marker>
          <c:symbol val="circle"/>
          <c:size val="5"/>
          <c:spPr>
            <a:solidFill>
              <a:schemeClr val="accent6"/>
            </a:solidFill>
            <a:ln w="9525">
              <a:solidFill>
                <a:schemeClr val="accent6"/>
              </a:solidFill>
            </a:ln>
            <a:effectLst>
              <a:glow rad="38100">
                <a:schemeClr val="accent1">
                  <a:alpha val="40000"/>
                </a:schemeClr>
              </a:glow>
            </a:effectLst>
          </c:spPr>
        </c:marker>
        <c:dLbl>
          <c:idx val="0"/>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'Savings Per Order Graph'!$B$49</c:f>
              <c:strCache>
                <c:ptCount val="1"/>
                <c:pt idx="0">
                  <c:v>Likely Order Cost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'Savings Per Order Graph'!$A$50:$A$66</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'Savings Per Order Graph'!$B$50:$B$66</c:f>
              <c:numCache>
                <c:formatCode>_("$"* #,##0_);_("$"* \(#,##0\);_("$"* "-"??_);_(@_)</c:formatCode>
                <c:ptCount val="12"/>
                <c:pt idx="0">
                  <c:v>96895.91333333333</c:v>
                </c:pt>
                <c:pt idx="1">
                  <c:v>105648.91333333333</c:v>
                </c:pt>
                <c:pt idx="2">
                  <c:v>125200.91333333333</c:v>
                </c:pt>
                <c:pt idx="3">
                  <c:v>168763.17749999999</c:v>
                </c:pt>
                <c:pt idx="4">
                  <c:v>206355.17749999999</c:v>
                </c:pt>
                <c:pt idx="5">
                  <c:v>326896.17749999999</c:v>
                </c:pt>
                <c:pt idx="6">
                  <c:v>14208.41</c:v>
                </c:pt>
                <c:pt idx="7">
                  <c:v>16582.41</c:v>
                </c:pt>
                <c:pt idx="8">
                  <c:v>22981.41</c:v>
                </c:pt>
                <c:pt idx="9">
                  <c:v>29523.358</c:v>
                </c:pt>
                <c:pt idx="10">
                  <c:v>33872.358</c:v>
                </c:pt>
                <c:pt idx="11">
                  <c:v>46204.358</c:v>
                </c:pt>
              </c:numCache>
            </c:numRef>
          </c:val>
          <c:extLst>
            <c:ext xmlns:c16="http://schemas.microsoft.com/office/drawing/2014/chart" uri="{C3380CC4-5D6E-409C-BE32-E72D297353CC}">
              <c16:uniqueId val="{00000000-52FE-4996-97A6-76F1EEF3F4FE}"/>
            </c:ext>
          </c:extLst>
        </c:ser>
        <c:ser>
          <c:idx val="1"/>
          <c:order val="1"/>
          <c:tx>
            <c:strRef>
              <c:f>'Savings Per Order Graph'!$C$49</c:f>
              <c:strCache>
                <c:ptCount val="1"/>
                <c:pt idx="0">
                  <c:v>Midline for Order Cost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'Savings Per Order Graph'!$A$50:$A$66</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'Savings Per Order Graph'!$C$50:$C$66</c:f>
              <c:numCache>
                <c:formatCode>_("$"* #,##0_);_("$"* \(#,##0\);_("$"* "-"??_);_(@_)</c:formatCode>
                <c:ptCount val="12"/>
                <c:pt idx="0">
                  <c:v>58089.91333333333</c:v>
                </c:pt>
                <c:pt idx="1">
                  <c:v>58089.91333333333</c:v>
                </c:pt>
                <c:pt idx="2">
                  <c:v>58089.91333333333</c:v>
                </c:pt>
                <c:pt idx="3">
                  <c:v>62057.177499999998</c:v>
                </c:pt>
                <c:pt idx="4">
                  <c:v>62057.177499999998</c:v>
                </c:pt>
                <c:pt idx="5">
                  <c:v>62057.177499999991</c:v>
                </c:pt>
                <c:pt idx="6">
                  <c:v>8291.41</c:v>
                </c:pt>
                <c:pt idx="7">
                  <c:v>8291.41</c:v>
                </c:pt>
                <c:pt idx="8">
                  <c:v>8291.41</c:v>
                </c:pt>
                <c:pt idx="9">
                  <c:v>15140.358</c:v>
                </c:pt>
                <c:pt idx="10">
                  <c:v>15140.358</c:v>
                </c:pt>
                <c:pt idx="11">
                  <c:v>15140.358</c:v>
                </c:pt>
              </c:numCache>
            </c:numRef>
          </c:val>
          <c:extLst>
            <c:ext xmlns:c16="http://schemas.microsoft.com/office/drawing/2014/chart" uri="{C3380CC4-5D6E-409C-BE32-E72D297353CC}">
              <c16:uniqueId val="{00000001-52FE-4996-97A6-76F1EEF3F4FE}"/>
            </c:ext>
          </c:extLst>
        </c:ser>
        <c:ser>
          <c:idx val="2"/>
          <c:order val="2"/>
          <c:tx>
            <c:strRef>
              <c:f>'Savings Per Order Graph'!$D$49</c:f>
              <c:strCache>
                <c:ptCount val="1"/>
                <c:pt idx="0">
                  <c:v>Likely Lowest Order Cost</c:v>
                </c:pt>
              </c:strCache>
            </c:strRef>
          </c:tx>
          <c:spPr>
            <a:solidFill>
              <a:schemeClr val="accent3"/>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2FE-4996-97A6-76F1EEF3F4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'Savings Per Order Graph'!$A$50:$A$66</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'Savings Per Order Graph'!$D$50:$D$66</c:f>
              <c:numCache>
                <c:formatCode>_("$"* #,##0_);_("$"* \(#,##0\);_("$"* "-"??_);_(@_)</c:formatCode>
                <c:ptCount val="12"/>
                <c:pt idx="0">
                  <c:v>19283.91333333333</c:v>
                </c:pt>
                <c:pt idx="1">
                  <c:v>10530.91333333333</c:v>
                </c:pt>
                <c:pt idx="2">
                  <c:v>0</c:v>
                </c:pt>
                <c:pt idx="3">
                  <c:v>0</c:v>
                </c:pt>
                <c:pt idx="4">
                  <c:v>0</c:v>
                </c:pt>
                <c:pt idx="5">
                  <c:v>0</c:v>
                </c:pt>
                <c:pt idx="6">
                  <c:v>2374.41</c:v>
                </c:pt>
                <c:pt idx="7">
                  <c:v>0</c:v>
                </c:pt>
                <c:pt idx="8">
                  <c:v>0</c:v>
                </c:pt>
                <c:pt idx="9">
                  <c:v>757.35800000000199</c:v>
                </c:pt>
                <c:pt idx="10">
                  <c:v>0</c:v>
                </c:pt>
                <c:pt idx="11">
                  <c:v>0</c:v>
                </c:pt>
              </c:numCache>
            </c:numRef>
          </c:val>
          <c:extLst>
            <c:ext xmlns:c16="http://schemas.microsoft.com/office/drawing/2014/chart" uri="{C3380CC4-5D6E-409C-BE32-E72D297353CC}">
              <c16:uniqueId val="{00000002-52FE-4996-97A6-76F1EEF3F4FE}"/>
            </c:ext>
          </c:extLst>
        </c:ser>
        <c:dLbls>
          <c:dLblPos val="inEnd"/>
          <c:showLegendKey val="0"/>
          <c:showVal val="1"/>
          <c:showCatName val="0"/>
          <c:showSerName val="0"/>
          <c:showPercent val="0"/>
          <c:showBubbleSize val="0"/>
        </c:dLbls>
        <c:gapWidth val="100"/>
        <c:axId val="242185279"/>
        <c:axId val="242185759"/>
      </c:barChart>
      <c:lineChart>
        <c:grouping val="standard"/>
        <c:varyColors val="0"/>
        <c:ser>
          <c:idx val="3"/>
          <c:order val="3"/>
          <c:tx>
            <c:strRef>
              <c:f>'Savings Per Order Graph'!$E$49</c:f>
              <c:strCache>
                <c:ptCount val="1"/>
                <c:pt idx="0">
                  <c:v>Highest Likely Savings</c:v>
                </c:pt>
              </c:strCache>
            </c:strRef>
          </c:tx>
          <c:spPr>
            <a:ln w="28575" cap="rnd">
              <a:solidFill>
                <a:schemeClr val="accent4"/>
              </a:solidFill>
              <a:round/>
            </a:ln>
            <a:effectLst>
              <a:glow rad="38100">
                <a:schemeClr val="accent1">
                  <a:alpha val="40000"/>
                </a:schemeClr>
              </a:glow>
            </a:effectLst>
          </c:spPr>
          <c:marker>
            <c:symbol val="circle"/>
            <c:size val="5"/>
            <c:spPr>
              <a:solidFill>
                <a:schemeClr val="accent4"/>
              </a:solidFill>
              <a:ln w="9525">
                <a:solidFill>
                  <a:schemeClr val="accent4"/>
                </a:solidFill>
              </a:ln>
              <a:effectLst>
                <a:glow rad="38100">
                  <a:schemeClr val="accent1">
                    <a:alpha val="40000"/>
                  </a:schemeClr>
                </a:glow>
              </a:effectLst>
            </c:spPr>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'Savings Per Order Graph'!$A$50:$A$66</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'Savings Per Order Graph'!$E$50:$E$66</c:f>
              <c:numCache>
                <c:formatCode>_("$"* #,##0_);_("$"* \(#,##0\);_("$"* "-"??_);_(@_)</c:formatCode>
                <c:ptCount val="12"/>
                <c:pt idx="0">
                  <c:v>19379.182666666668</c:v>
                </c:pt>
                <c:pt idx="1">
                  <c:v>21129.782666666666</c:v>
                </c:pt>
                <c:pt idx="2">
                  <c:v>25040.182666666668</c:v>
                </c:pt>
                <c:pt idx="3">
                  <c:v>33752.635499999997</c:v>
                </c:pt>
                <c:pt idx="4">
                  <c:v>41271.035499999998</c:v>
                </c:pt>
                <c:pt idx="5">
                  <c:v>65379.235499999995</c:v>
                </c:pt>
                <c:pt idx="6">
                  <c:v>2841.6820000000002</c:v>
                </c:pt>
                <c:pt idx="7">
                  <c:v>3316.482</c:v>
                </c:pt>
                <c:pt idx="8">
                  <c:v>4596.2820000000002</c:v>
                </c:pt>
                <c:pt idx="9">
                  <c:v>5904.6716000000006</c:v>
                </c:pt>
                <c:pt idx="10">
                  <c:v>6774.4716000000008</c:v>
                </c:pt>
                <c:pt idx="11">
                  <c:v>9240.8716000000004</c:v>
                </c:pt>
              </c:numCache>
            </c:numRef>
          </c:val>
          <c:smooth val="0"/>
          <c:extLst>
            <c:ext xmlns:c16="http://schemas.microsoft.com/office/drawing/2014/chart" uri="{C3380CC4-5D6E-409C-BE32-E72D297353CC}">
              <c16:uniqueId val="{00000003-52FE-4996-97A6-76F1EEF3F4FE}"/>
            </c:ext>
          </c:extLst>
        </c:ser>
        <c:ser>
          <c:idx val="4"/>
          <c:order val="4"/>
          <c:tx>
            <c:strRef>
              <c:f>'Savings Per Order Graph'!$F$49</c:f>
              <c:strCache>
                <c:ptCount val="1"/>
                <c:pt idx="0">
                  <c:v>Middle Likely Savings</c:v>
                </c:pt>
              </c:strCache>
            </c:strRef>
          </c:tx>
          <c:spPr>
            <a:ln w="28575" cap="rnd">
              <a:solidFill>
                <a:schemeClr val="accent5"/>
              </a:solidFill>
              <a:round/>
            </a:ln>
            <a:effectLst>
              <a:glow rad="38100">
                <a:schemeClr val="accent1">
                  <a:alpha val="40000"/>
                </a:schemeClr>
              </a:glow>
            </a:effectLst>
          </c:spPr>
          <c:marker>
            <c:symbol val="circle"/>
            <c:size val="5"/>
            <c:spPr>
              <a:solidFill>
                <a:schemeClr val="accent5"/>
              </a:solidFill>
              <a:ln w="9525">
                <a:solidFill>
                  <a:schemeClr val="accent5"/>
                </a:solidFill>
              </a:ln>
              <a:effectLst>
                <a:glow rad="38100">
                  <a:schemeClr val="accent1">
                    <a:alpha val="40000"/>
                  </a:schemeClr>
                </a:glow>
              </a:effectLst>
            </c:spPr>
          </c:marker>
          <c:dLbls>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'Savings Per Order Graph'!$A$50:$A$66</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'Savings Per Order Graph'!$F$50:$F$66</c:f>
              <c:numCache>
                <c:formatCode>_("$"* #,##0_);_("$"* \(#,##0\);_("$"* "-"??_);_(@_)</c:formatCode>
                <c:ptCount val="12"/>
                <c:pt idx="0">
                  <c:v>11617.982666666667</c:v>
                </c:pt>
                <c:pt idx="1">
                  <c:v>11617.982666666667</c:v>
                </c:pt>
                <c:pt idx="2">
                  <c:v>11617.982666666667</c:v>
                </c:pt>
                <c:pt idx="3">
                  <c:v>12411.4355</c:v>
                </c:pt>
                <c:pt idx="4">
                  <c:v>12411.4355</c:v>
                </c:pt>
                <c:pt idx="5">
                  <c:v>12411.435499999998</c:v>
                </c:pt>
                <c:pt idx="6">
                  <c:v>1658.2820000000002</c:v>
                </c:pt>
                <c:pt idx="7">
                  <c:v>1658.2820000000002</c:v>
                </c:pt>
                <c:pt idx="8">
                  <c:v>1658.2820000000002</c:v>
                </c:pt>
                <c:pt idx="9">
                  <c:v>3028.0716000000002</c:v>
                </c:pt>
                <c:pt idx="10">
                  <c:v>3028.0716000000002</c:v>
                </c:pt>
                <c:pt idx="11">
                  <c:v>3028.0716000000002</c:v>
                </c:pt>
              </c:numCache>
            </c:numRef>
          </c:val>
          <c:smooth val="0"/>
          <c:extLst>
            <c:ext xmlns:c16="http://schemas.microsoft.com/office/drawing/2014/chart" uri="{C3380CC4-5D6E-409C-BE32-E72D297353CC}">
              <c16:uniqueId val="{00000004-52FE-4996-97A6-76F1EEF3F4FE}"/>
            </c:ext>
          </c:extLst>
        </c:ser>
        <c:ser>
          <c:idx val="5"/>
          <c:order val="5"/>
          <c:tx>
            <c:strRef>
              <c:f>'Savings Per Order Graph'!$G$49</c:f>
              <c:strCache>
                <c:ptCount val="1"/>
                <c:pt idx="0">
                  <c:v>Lowest Likely Savings</c:v>
                </c:pt>
              </c:strCache>
            </c:strRef>
          </c:tx>
          <c:spPr>
            <a:ln w="28575" cap="rnd">
              <a:solidFill>
                <a:schemeClr val="accent6"/>
              </a:solidFill>
              <a:round/>
            </a:ln>
            <a:effectLst>
              <a:glow rad="38100">
                <a:schemeClr val="accent1">
                  <a:alpha val="40000"/>
                </a:schemeClr>
              </a:glow>
            </a:effectLst>
          </c:spPr>
          <c:marker>
            <c:symbol val="circle"/>
            <c:size val="5"/>
            <c:spPr>
              <a:solidFill>
                <a:schemeClr val="accent6"/>
              </a:solidFill>
              <a:ln w="9525">
                <a:solidFill>
                  <a:schemeClr val="accent6"/>
                </a:solidFill>
              </a:ln>
              <a:effectLst>
                <a:glow rad="38100">
                  <a:schemeClr val="accent1">
                    <a:alpha val="40000"/>
                  </a:schemeClr>
                </a:glow>
              </a:effectLst>
            </c:spPr>
          </c:marker>
          <c:dLbls>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'Savings Per Order Graph'!$A$50:$A$66</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'Savings Per Order Graph'!$G$50:$G$66</c:f>
              <c:numCache>
                <c:formatCode>_("$"* #,##0_);_("$"* \(#,##0\);_("$"* "-"??_);_(@_)</c:formatCode>
                <c:ptCount val="12"/>
                <c:pt idx="0">
                  <c:v>3856.782666666666</c:v>
                </c:pt>
                <c:pt idx="1">
                  <c:v>2106.1826666666661</c:v>
                </c:pt>
                <c:pt idx="2">
                  <c:v>0</c:v>
                </c:pt>
                <c:pt idx="3">
                  <c:v>0</c:v>
                </c:pt>
                <c:pt idx="4">
                  <c:v>0</c:v>
                </c:pt>
                <c:pt idx="5">
                  <c:v>0</c:v>
                </c:pt>
                <c:pt idx="6">
                  <c:v>474.88199999999995</c:v>
                </c:pt>
                <c:pt idx="7">
                  <c:v>0</c:v>
                </c:pt>
                <c:pt idx="8">
                  <c:v>0</c:v>
                </c:pt>
                <c:pt idx="9">
                  <c:v>151.47160000000039</c:v>
                </c:pt>
                <c:pt idx="10">
                  <c:v>0</c:v>
                </c:pt>
                <c:pt idx="11">
                  <c:v>0</c:v>
                </c:pt>
              </c:numCache>
            </c:numRef>
          </c:val>
          <c:smooth val="0"/>
          <c:extLst>
            <c:ext xmlns:c16="http://schemas.microsoft.com/office/drawing/2014/chart" uri="{C3380CC4-5D6E-409C-BE32-E72D297353CC}">
              <c16:uniqueId val="{00000005-52FE-4996-97A6-76F1EEF3F4FE}"/>
            </c:ext>
          </c:extLst>
        </c:ser>
        <c:dLbls>
          <c:showLegendKey val="0"/>
          <c:showVal val="0"/>
          <c:showCatName val="0"/>
          <c:showSerName val="0"/>
          <c:showPercent val="0"/>
          <c:showBubbleSize val="0"/>
        </c:dLbls>
        <c:marker val="1"/>
        <c:smooth val="0"/>
        <c:axId val="242185279"/>
        <c:axId val="242185759"/>
      </c:lineChart>
      <c:catAx>
        <c:axId val="242185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5759"/>
        <c:crosses val="autoZero"/>
        <c:auto val="1"/>
        <c:lblAlgn val="ctr"/>
        <c:lblOffset val="100"/>
        <c:noMultiLvlLbl val="0"/>
      </c:catAx>
      <c:valAx>
        <c:axId val="24218575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5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[Confidence Interval Analysis1.xlsm]Total Savings &amp; Total Costs Gra!PivotTable4</c:name>
    <c:fmtId val="4"/>
  </c:pivotSource>
  <c:chart>
    <c:autoTitleDeleted val="0"/>
    <c:pivotFmts>
      <c:pivotFmt>
        <c:idx val="0"/>
        <c:spPr>
          <a:solidFill>
            <a:schemeClr val="accent1">
              <a:alpha val="3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19050" cap="rnd">
            <a:solidFill>
              <a:schemeClr val="accent1">
                <a:alpha val="60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2">
              <a:lumMod val="25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glow rad="139700">
              <a:schemeClr val="accent1">
                <a:alpha val="40000"/>
              </a:schemeClr>
            </a:glo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glow rad="139700">
                <a:schemeClr val="accent1">
                  <a:alpha val="40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glow rad="139700">
              <a:schemeClr val="accent1">
                <a:alpha val="40000"/>
              </a:schemeClr>
            </a:glo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glow rad="139700">
                <a:schemeClr val="accent1">
                  <a:alpha val="40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glow rad="139700">
              <a:schemeClr val="accent1">
                <a:alpha val="40000"/>
              </a:schemeClr>
            </a:glo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glow rad="139700">
                <a:schemeClr val="accent1">
                  <a:alpha val="40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156742078780593E-2"/>
          <c:y val="4.6635647816750177E-2"/>
          <c:w val="0.85196981718426812"/>
          <c:h val="0.86318849916487717"/>
        </c:manualLayout>
      </c:layout>
      <c:areaChart>
        <c:grouping val="standard"/>
        <c:varyColors val="0"/>
        <c:ser>
          <c:idx val="0"/>
          <c:order val="0"/>
          <c:tx>
            <c:strRef>
              <c:f>'Total Savings &amp; Total Costs Gra'!$B$48</c:f>
              <c:strCache>
                <c:ptCount val="1"/>
                <c:pt idx="0">
                  <c:v>Total Cost of PO Approved after Reciept</c:v>
                </c:pt>
              </c:strCache>
            </c:strRef>
          </c:tx>
          <c:spPr>
            <a:solidFill>
              <a:schemeClr val="accent1">
                <a:alpha val="30000"/>
              </a:schemeClr>
            </a:soli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'Total Savings &amp; Total Costs Gra'!$A$49:$A$65</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'Total Savings &amp; Total Costs Gra'!$B$49:$B$65</c:f>
              <c:numCache>
                <c:formatCode>_("$"* #,##0_);_("$"* \(#,##0\);_("$"* "-"??_);_(@_)</c:formatCode>
                <c:ptCount val="12"/>
                <c:pt idx="0">
                  <c:v>359627476.96859205</c:v>
                </c:pt>
                <c:pt idx="1">
                  <c:v>404328829.43930399</c:v>
                </c:pt>
                <c:pt idx="2">
                  <c:v>503506628.37137794</c:v>
                </c:pt>
                <c:pt idx="3">
                  <c:v>432562975.72463995</c:v>
                </c:pt>
                <c:pt idx="4">
                  <c:v>592751120.26520002</c:v>
                </c:pt>
                <c:pt idx="5">
                  <c:v>1101296713.7405362</c:v>
                </c:pt>
                <c:pt idx="6">
                  <c:v>42625775.602944002</c:v>
                </c:pt>
                <c:pt idx="7">
                  <c:v>55751919.649919994</c:v>
                </c:pt>
                <c:pt idx="8">
                  <c:v>90620475.166997999</c:v>
                </c:pt>
                <c:pt idx="9">
                  <c:v>35051707.164917193</c:v>
                </c:pt>
                <c:pt idx="10">
                  <c:v>43611301.112566203</c:v>
                </c:pt>
                <c:pt idx="11">
                  <c:v>72727091.827097997</c:v>
                </c:pt>
              </c:numCache>
            </c:numRef>
          </c:val>
          <c:extLst>
            <c:ext xmlns:c16="http://schemas.microsoft.com/office/drawing/2014/chart" uri="{C3380CC4-5D6E-409C-BE32-E72D297353CC}">
              <c16:uniqueId val="{00000000-AFEB-446C-B857-48B1B6E42DF5}"/>
            </c:ext>
          </c:extLst>
        </c:ser>
        <c:ser>
          <c:idx val="2"/>
          <c:order val="2"/>
          <c:tx>
            <c:strRef>
              <c:f>'Total Savings &amp; Total Costs Gra'!$D$48</c:f>
              <c:strCache>
                <c:ptCount val="1"/>
                <c:pt idx="0">
                  <c:v>Lowest PO cost</c:v>
                </c:pt>
              </c:strCache>
            </c:strRef>
          </c:tx>
          <c:spPr>
            <a:solidFill>
              <a:schemeClr val="bg2">
                <a:lumMod val="25000"/>
              </a:schemeClr>
            </a:soli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'Total Savings &amp; Total Costs Gra'!$A$49:$A$65</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'Total Savings &amp; Total Costs Gra'!$D$49:$D$65</c:f>
              <c:numCache>
                <c:formatCode>_("$"* #,##0_);_("$"* \(#,##0\);_("$"* "-"??_);_(@_)</c:formatCode>
                <c:ptCount val="12"/>
                <c:pt idx="0">
                  <c:v>39545933.748411998</c:v>
                </c:pt>
                <c:pt idx="1">
                  <c:v>19945059.112771995</c:v>
                </c:pt>
                <c:pt idx="2">
                  <c:v>0</c:v>
                </c:pt>
                <c:pt idx="3">
                  <c:v>0</c:v>
                </c:pt>
                <c:pt idx="4">
                  <c:v>0</c:v>
                </c:pt>
                <c:pt idx="5">
                  <c:v>0</c:v>
                </c:pt>
                <c:pt idx="6">
                  <c:v>1786587.2888219999</c:v>
                </c:pt>
                <c:pt idx="7">
                  <c:v>0</c:v>
                </c:pt>
                <c:pt idx="8">
                  <c:v>0</c:v>
                </c:pt>
                <c:pt idx="9">
                  <c:v>265050.91307240073</c:v>
                </c:pt>
                <c:pt idx="10">
                  <c:v>0</c:v>
                </c:pt>
                <c:pt idx="11">
                  <c:v>0</c:v>
                </c:pt>
              </c:numCache>
            </c:numRef>
          </c:val>
          <c:extLst>
            <c:ext xmlns:c16="http://schemas.microsoft.com/office/drawing/2014/chart" uri="{C3380CC4-5D6E-409C-BE32-E72D297353CC}">
              <c16:uniqueId val="{00000002-AFEB-446C-B857-48B1B6E42DF5}"/>
            </c:ext>
          </c:extLst>
        </c:ser>
        <c:dLbls>
          <c:showLegendKey val="0"/>
          <c:showVal val="1"/>
          <c:showCatName val="0"/>
          <c:showSerName val="0"/>
          <c:showPercent val="0"/>
          <c:showBubbleSize val="0"/>
        </c:dLbls>
        <c:axId val="35429839"/>
        <c:axId val="35427919"/>
      </c:areaChart>
      <c:lineChart>
        <c:grouping val="standard"/>
        <c:varyColors val="0"/>
        <c:ser>
          <c:idx val="1"/>
          <c:order val="1"/>
          <c:tx>
            <c:strRef>
              <c:f>'Total Savings &amp; Total Costs Gra'!$C$48</c:f>
              <c:strCache>
                <c:ptCount val="1"/>
                <c:pt idx="0">
                  <c:v>Middle Cost of PO Approved after Reciept</c:v>
                </c:pt>
              </c:strCache>
            </c:strRef>
          </c:tx>
          <c:spPr>
            <a:ln w="19050" cap="rnd">
              <a:solidFill>
                <a:schemeClr val="accent1">
                  <a:alpha val="60000"/>
                </a:schemeClr>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'Total Savings &amp; Total Costs Gra'!$A$49:$A$65</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'Total Savings &amp; Total Costs Gra'!$C$49:$C$65</c:f>
              <c:numCache>
                <c:formatCode>_("$"* #,##0_);_("$"* \(#,##0\);_("$"* "-"??_);_(@_)</c:formatCode>
                <c:ptCount val="12"/>
                <c:pt idx="0">
                  <c:v>167362959.67550197</c:v>
                </c:pt>
                <c:pt idx="1">
                  <c:v>166167713.236738</c:v>
                </c:pt>
                <c:pt idx="2">
                  <c:v>163663387.36504197</c:v>
                </c:pt>
                <c:pt idx="3">
                  <c:v>100998583.86725874</c:v>
                </c:pt>
                <c:pt idx="4">
                  <c:v>106397744.48129123</c:v>
                </c:pt>
                <c:pt idx="5">
                  <c:v>117710271.48212123</c:v>
                </c:pt>
                <c:pt idx="6">
                  <c:v>15794534.093634</c:v>
                </c:pt>
                <c:pt idx="7">
                  <c:v>16638874.906445999</c:v>
                </c:pt>
                <c:pt idx="8">
                  <c:v>18407969.942814</c:v>
                </c:pt>
                <c:pt idx="9">
                  <c:v>11637039.6465948</c:v>
                </c:pt>
                <c:pt idx="10">
                  <c:v>12073740.5625678</c:v>
                </c:pt>
                <c:pt idx="11">
                  <c:v>12988732.9579398</c:v>
                </c:pt>
              </c:numCache>
            </c:numRef>
          </c:val>
          <c:smooth val="0"/>
          <c:extLst>
            <c:ext xmlns:c16="http://schemas.microsoft.com/office/drawing/2014/chart" uri="{C3380CC4-5D6E-409C-BE32-E72D297353CC}">
              <c16:uniqueId val="{00000001-AFEB-446C-B857-48B1B6E42DF5}"/>
            </c:ext>
          </c:extLst>
        </c:ser>
        <c:ser>
          <c:idx val="3"/>
          <c:order val="3"/>
          <c:tx>
            <c:strRef>
              <c:f>'Total Savings &amp; Total Costs Gra'!$E$48</c:f>
              <c:strCache>
                <c:ptCount val="1"/>
                <c:pt idx="0">
                  <c:v>Highest Savings</c:v>
                </c:pt>
              </c:strCache>
            </c:strRef>
          </c:tx>
          <c:spPr>
            <a:ln w="34925" cap="rnd">
              <a:solidFill>
                <a:schemeClr val="accent4"/>
              </a:solidFill>
              <a:round/>
            </a:ln>
            <a:effectLst>
              <a:glow rad="139700">
                <a:schemeClr val="accent1">
                  <a:alpha val="40000"/>
                </a:schemeClr>
              </a:glo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glow rad="139700">
                  <a:schemeClr val="accent1">
                    <a:alpha val="40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'Total Savings &amp; Total Costs Gra'!$A$49:$A$65</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'Total Savings &amp; Total Costs Gra'!$E$49:$E$65</c:f>
              <c:numCache>
                <c:formatCode>_("$"* #,##0_);_("$"* \(#,##0\);_("$"* "-"??_);_(@_)</c:formatCode>
                <c:ptCount val="12"/>
                <c:pt idx="0">
                  <c:v>89906869.242148012</c:v>
                </c:pt>
                <c:pt idx="1">
                  <c:v>101082207.359826</c:v>
                </c:pt>
                <c:pt idx="2">
                  <c:v>125876657.09284449</c:v>
                </c:pt>
                <c:pt idx="3">
                  <c:v>108140743.93115999</c:v>
                </c:pt>
                <c:pt idx="4">
                  <c:v>148187780.0663</c:v>
                </c:pt>
                <c:pt idx="5">
                  <c:v>275324178.43513405</c:v>
                </c:pt>
                <c:pt idx="6">
                  <c:v>10656443.900736</c:v>
                </c:pt>
                <c:pt idx="7">
                  <c:v>13937979.912479999</c:v>
                </c:pt>
                <c:pt idx="8">
                  <c:v>22655118.7917495</c:v>
                </c:pt>
                <c:pt idx="9">
                  <c:v>8762926.7912292983</c:v>
                </c:pt>
                <c:pt idx="10">
                  <c:v>10902825.278141551</c:v>
                </c:pt>
                <c:pt idx="11">
                  <c:v>18181772.956774499</c:v>
                </c:pt>
              </c:numCache>
            </c:numRef>
          </c:val>
          <c:smooth val="0"/>
          <c:extLst>
            <c:ext xmlns:c16="http://schemas.microsoft.com/office/drawing/2014/chart" uri="{C3380CC4-5D6E-409C-BE32-E72D297353CC}">
              <c16:uniqueId val="{00000003-AFEB-446C-B857-48B1B6E42DF5}"/>
            </c:ext>
          </c:extLst>
        </c:ser>
        <c:ser>
          <c:idx val="4"/>
          <c:order val="4"/>
          <c:tx>
            <c:strRef>
              <c:f>'Total Savings &amp; Total Costs Gra'!$F$48</c:f>
              <c:strCache>
                <c:ptCount val="1"/>
                <c:pt idx="0">
                  <c:v>Middle Savings</c:v>
                </c:pt>
              </c:strCache>
            </c:strRef>
          </c:tx>
          <c:spPr>
            <a:ln w="34925" cap="rnd">
              <a:solidFill>
                <a:schemeClr val="accent5"/>
              </a:solidFill>
              <a:round/>
            </a:ln>
            <a:effectLst>
              <a:glow rad="139700">
                <a:schemeClr val="accent1">
                  <a:alpha val="40000"/>
                </a:schemeClr>
              </a:glo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glow rad="139700">
                  <a:schemeClr val="accent1">
                    <a:alpha val="40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'Total Savings &amp; Total Costs Gra'!$A$49:$A$65</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'Total Savings &amp; Total Costs Gra'!$F$49:$F$65</c:f>
              <c:numCache>
                <c:formatCode>_("$"* #,##0_);_("$"* \(#,##0\);_("$"* "-"??_);_(@_)</c:formatCode>
                <c:ptCount val="12"/>
                <c:pt idx="0">
                  <c:v>41840739.918875493</c:v>
                </c:pt>
                <c:pt idx="1">
                  <c:v>41541928.309184499</c:v>
                </c:pt>
                <c:pt idx="2">
                  <c:v>40915846.841260493</c:v>
                </c:pt>
                <c:pt idx="3">
                  <c:v>25249645.966814686</c:v>
                </c:pt>
                <c:pt idx="4">
                  <c:v>26599436.120322809</c:v>
                </c:pt>
                <c:pt idx="5">
                  <c:v>29427567.870530311</c:v>
                </c:pt>
                <c:pt idx="6">
                  <c:v>3948633.5234085</c:v>
                </c:pt>
                <c:pt idx="7">
                  <c:v>4159718.7266114997</c:v>
                </c:pt>
                <c:pt idx="8">
                  <c:v>4601992.4857035</c:v>
                </c:pt>
                <c:pt idx="9">
                  <c:v>2909259.9116487</c:v>
                </c:pt>
                <c:pt idx="10">
                  <c:v>3018435.1406419505</c:v>
                </c:pt>
                <c:pt idx="11">
                  <c:v>3247183.2394849495</c:v>
                </c:pt>
              </c:numCache>
            </c:numRef>
          </c:val>
          <c:smooth val="0"/>
          <c:extLst>
            <c:ext xmlns:c16="http://schemas.microsoft.com/office/drawing/2014/chart" uri="{C3380CC4-5D6E-409C-BE32-E72D297353CC}">
              <c16:uniqueId val="{00000004-AFEB-446C-B857-48B1B6E42DF5}"/>
            </c:ext>
          </c:extLst>
        </c:ser>
        <c:ser>
          <c:idx val="5"/>
          <c:order val="5"/>
          <c:tx>
            <c:strRef>
              <c:f>'Total Savings &amp; Total Costs Gra'!$G$48</c:f>
              <c:strCache>
                <c:ptCount val="1"/>
                <c:pt idx="0">
                  <c:v>Lowest Savings</c:v>
                </c:pt>
              </c:strCache>
            </c:strRef>
          </c:tx>
          <c:spPr>
            <a:ln w="34925" cap="rnd">
              <a:solidFill>
                <a:schemeClr val="accent6"/>
              </a:solidFill>
              <a:round/>
            </a:ln>
            <a:effectLst>
              <a:glow rad="139700">
                <a:schemeClr val="accent1">
                  <a:alpha val="40000"/>
                </a:schemeClr>
              </a:glo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glow rad="139700">
                  <a:schemeClr val="accent1">
                    <a:alpha val="40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'Total Savings &amp; Total Costs Gra'!$A$49:$A$65</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'Total Savings &amp; Total Costs Gra'!$G$49:$G$65</c:f>
              <c:numCache>
                <c:formatCode>_("$"* #,##0_);_("$"* \(#,##0\);_("$"* "-"??_);_(@_)</c:formatCode>
                <c:ptCount val="12"/>
                <c:pt idx="0">
                  <c:v>9886483.4371029995</c:v>
                </c:pt>
                <c:pt idx="1">
                  <c:v>4986264.7781929988</c:v>
                </c:pt>
                <c:pt idx="2">
                  <c:v>0</c:v>
                </c:pt>
                <c:pt idx="3">
                  <c:v>0</c:v>
                </c:pt>
                <c:pt idx="4">
                  <c:v>0</c:v>
                </c:pt>
                <c:pt idx="5">
                  <c:v>0</c:v>
                </c:pt>
                <c:pt idx="6">
                  <c:v>446646.82220549998</c:v>
                </c:pt>
                <c:pt idx="7">
                  <c:v>0</c:v>
                </c:pt>
                <c:pt idx="8">
                  <c:v>0</c:v>
                </c:pt>
                <c:pt idx="9">
                  <c:v>66262.728268100182</c:v>
                </c:pt>
                <c:pt idx="10">
                  <c:v>0</c:v>
                </c:pt>
                <c:pt idx="11">
                  <c:v>0</c:v>
                </c:pt>
              </c:numCache>
            </c:numRef>
          </c:val>
          <c:smooth val="0"/>
          <c:extLst>
            <c:ext xmlns:c16="http://schemas.microsoft.com/office/drawing/2014/chart" uri="{C3380CC4-5D6E-409C-BE32-E72D297353CC}">
              <c16:uniqueId val="{00000005-AFEB-446C-B857-48B1B6E42DF5}"/>
            </c:ext>
          </c:extLst>
        </c:ser>
        <c:dLbls>
          <c:showLegendKey val="0"/>
          <c:showVal val="1"/>
          <c:showCatName val="0"/>
          <c:showSerName val="0"/>
          <c:showPercent val="0"/>
          <c:showBubbleSize val="0"/>
        </c:dLbls>
        <c:marker val="1"/>
        <c:smooth val="0"/>
        <c:axId val="35429839"/>
        <c:axId val="35427919"/>
      </c:lineChart>
      <c:catAx>
        <c:axId val="35429839"/>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427919"/>
        <c:crosses val="autoZero"/>
        <c:auto val="1"/>
        <c:lblAlgn val="ctr"/>
        <c:lblOffset val="100"/>
        <c:noMultiLvlLbl val="0"/>
      </c:catAx>
      <c:valAx>
        <c:axId val="35427919"/>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4298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[Confidence Interval Analysis1.xlsm]Total Savings &amp; Total Costs Gra!PivotTable4</c:name>
    <c:fmtId val="10"/>
  </c:pivotSource>
  <c:chart>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a:glow rad="38100">
              <a:schemeClr val="accent1">
                <a:alpha val="40000"/>
              </a:schemeClr>
            </a:glow>
          </a:effectLst>
        </c:spPr>
        <c:marker>
          <c:symbol val="circle"/>
          <c:size val="5"/>
          <c:spPr>
            <a:solidFill>
              <a:schemeClr val="accent4"/>
            </a:solidFill>
            <a:ln w="9525">
              <a:solidFill>
                <a:schemeClr val="accent4"/>
              </a:solidFill>
            </a:ln>
            <a:effectLst>
              <a:glow rad="38100">
                <a:schemeClr val="accent1">
                  <a:alpha val="40000"/>
                </a:schemeClr>
              </a:glow>
            </a:effectLst>
          </c:spPr>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a:glow rad="38100">
              <a:schemeClr val="accent1">
                <a:alpha val="40000"/>
              </a:schemeClr>
            </a:glow>
          </a:effectLst>
        </c:spPr>
        <c:marker>
          <c:symbol val="circle"/>
          <c:size val="5"/>
          <c:spPr>
            <a:solidFill>
              <a:schemeClr val="accent5"/>
            </a:solidFill>
            <a:ln w="9525">
              <a:solidFill>
                <a:schemeClr val="accent5"/>
              </a:solidFill>
            </a:ln>
            <a:effectLst>
              <a:glow rad="38100">
                <a:schemeClr val="accent1">
                  <a:alpha val="40000"/>
                </a:schemeClr>
              </a:glow>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a:glow rad="38100">
              <a:schemeClr val="accent1">
                <a:alpha val="40000"/>
              </a:schemeClr>
            </a:glow>
          </a:effectLst>
        </c:spPr>
        <c:marker>
          <c:symbol val="circle"/>
          <c:size val="5"/>
          <c:spPr>
            <a:solidFill>
              <a:schemeClr val="accent6"/>
            </a:solidFill>
            <a:ln w="9525">
              <a:solidFill>
                <a:schemeClr val="accent6"/>
              </a:solidFill>
            </a:ln>
            <a:effectLst>
              <a:glow rad="38100">
                <a:schemeClr val="accent1">
                  <a:alpha val="40000"/>
                </a:schemeClr>
              </a:glow>
            </a:effectLst>
          </c:spPr>
        </c:marker>
        <c:dLbl>
          <c:idx val="0"/>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a:glow rad="38100">
              <a:schemeClr val="accent1">
                <a:alpha val="40000"/>
              </a:schemeClr>
            </a:glow>
          </a:effectLst>
        </c:spPr>
        <c:marker>
          <c:symbol val="circle"/>
          <c:size val="5"/>
          <c:spPr>
            <a:solidFill>
              <a:schemeClr val="accent4"/>
            </a:solidFill>
            <a:ln w="9525">
              <a:solidFill>
                <a:schemeClr val="accent4"/>
              </a:solidFill>
            </a:ln>
            <a:effectLst>
              <a:glow rad="38100">
                <a:schemeClr val="accent1">
                  <a:alpha val="40000"/>
                </a:schemeClr>
              </a:glow>
            </a:effectLst>
          </c:spPr>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a:glow rad="38100">
              <a:schemeClr val="accent1">
                <a:alpha val="40000"/>
              </a:schemeClr>
            </a:glow>
          </a:effectLst>
        </c:spPr>
        <c:marker>
          <c:symbol val="circle"/>
          <c:size val="5"/>
          <c:spPr>
            <a:solidFill>
              <a:schemeClr val="accent5"/>
            </a:solidFill>
            <a:ln w="9525">
              <a:solidFill>
                <a:schemeClr val="accent5"/>
              </a:solidFill>
            </a:ln>
            <a:effectLst>
              <a:glow rad="38100">
                <a:schemeClr val="accent1">
                  <a:alpha val="40000"/>
                </a:schemeClr>
              </a:glow>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a:glow rad="38100">
              <a:schemeClr val="accent1">
                <a:alpha val="40000"/>
              </a:schemeClr>
            </a:glow>
          </a:effectLst>
        </c:spPr>
        <c:marker>
          <c:symbol val="circle"/>
          <c:size val="5"/>
          <c:spPr>
            <a:solidFill>
              <a:schemeClr val="accent6"/>
            </a:solidFill>
            <a:ln w="9525">
              <a:solidFill>
                <a:schemeClr val="accent6"/>
              </a:solidFill>
            </a:ln>
            <a:effectLst>
              <a:glow rad="38100">
                <a:schemeClr val="accent1">
                  <a:alpha val="40000"/>
                </a:schemeClr>
              </a:glow>
            </a:effectLst>
          </c:spPr>
        </c:marker>
        <c:dLbl>
          <c:idx val="0"/>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Savings &amp; Total Costs Gra'!$B$48</c:f>
              <c:strCache>
                <c:ptCount val="1"/>
                <c:pt idx="0">
                  <c:v>Total Cost of PO Approved after Reciept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'Total Savings &amp; Total Costs Gra'!$A$49:$A$65</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'Total Savings &amp; Total Costs Gra'!$B$49:$B$65</c:f>
              <c:numCache>
                <c:formatCode>_("$"* #,##0_);_("$"* \(#,##0\);_("$"* "-"??_);_(@_)</c:formatCode>
                <c:ptCount val="12"/>
                <c:pt idx="0">
                  <c:v>359627476.96859205</c:v>
                </c:pt>
                <c:pt idx="1">
                  <c:v>404328829.43930399</c:v>
                </c:pt>
                <c:pt idx="2">
                  <c:v>503506628.37137794</c:v>
                </c:pt>
                <c:pt idx="3">
                  <c:v>432562975.72463995</c:v>
                </c:pt>
                <c:pt idx="4">
                  <c:v>592751120.26520002</c:v>
                </c:pt>
                <c:pt idx="5">
                  <c:v>1101296713.7405362</c:v>
                </c:pt>
                <c:pt idx="6">
                  <c:v>42625775.602944002</c:v>
                </c:pt>
                <c:pt idx="7">
                  <c:v>55751919.649919994</c:v>
                </c:pt>
                <c:pt idx="8">
                  <c:v>90620475.166997999</c:v>
                </c:pt>
                <c:pt idx="9">
                  <c:v>35051707.164917193</c:v>
                </c:pt>
                <c:pt idx="10">
                  <c:v>43611301.112566203</c:v>
                </c:pt>
                <c:pt idx="11">
                  <c:v>72727091.827097997</c:v>
                </c:pt>
              </c:numCache>
            </c:numRef>
          </c:val>
          <c:extLst>
            <c:ext xmlns:c16="http://schemas.microsoft.com/office/drawing/2014/chart" uri="{C3380CC4-5D6E-409C-BE32-E72D297353CC}">
              <c16:uniqueId val="{00000000-52FE-4996-97A6-76F1EEF3F4FE}"/>
            </c:ext>
          </c:extLst>
        </c:ser>
        <c:ser>
          <c:idx val="1"/>
          <c:order val="1"/>
          <c:tx>
            <c:strRef>
              <c:f>'Total Savings &amp; Total Costs Gra'!$C$48</c:f>
              <c:strCache>
                <c:ptCount val="1"/>
                <c:pt idx="0">
                  <c:v>Middle Cost of PO Approved after Reciept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'Total Savings &amp; Total Costs Gra'!$A$49:$A$65</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'Total Savings &amp; Total Costs Gra'!$C$49:$C$65</c:f>
              <c:numCache>
                <c:formatCode>_("$"* #,##0_);_("$"* \(#,##0\);_("$"* "-"??_);_(@_)</c:formatCode>
                <c:ptCount val="12"/>
                <c:pt idx="0">
                  <c:v>167362959.67550197</c:v>
                </c:pt>
                <c:pt idx="1">
                  <c:v>166167713.236738</c:v>
                </c:pt>
                <c:pt idx="2">
                  <c:v>163663387.36504197</c:v>
                </c:pt>
                <c:pt idx="3">
                  <c:v>100998583.86725874</c:v>
                </c:pt>
                <c:pt idx="4">
                  <c:v>106397744.48129123</c:v>
                </c:pt>
                <c:pt idx="5">
                  <c:v>117710271.48212123</c:v>
                </c:pt>
                <c:pt idx="6">
                  <c:v>15794534.093634</c:v>
                </c:pt>
                <c:pt idx="7">
                  <c:v>16638874.906445999</c:v>
                </c:pt>
                <c:pt idx="8">
                  <c:v>18407969.942814</c:v>
                </c:pt>
                <c:pt idx="9">
                  <c:v>11637039.6465948</c:v>
                </c:pt>
                <c:pt idx="10">
                  <c:v>12073740.5625678</c:v>
                </c:pt>
                <c:pt idx="11">
                  <c:v>12988732.9579398</c:v>
                </c:pt>
              </c:numCache>
            </c:numRef>
          </c:val>
          <c:extLst>
            <c:ext xmlns:c16="http://schemas.microsoft.com/office/drawing/2014/chart" uri="{C3380CC4-5D6E-409C-BE32-E72D297353CC}">
              <c16:uniqueId val="{00000001-52FE-4996-97A6-76F1EEF3F4FE}"/>
            </c:ext>
          </c:extLst>
        </c:ser>
        <c:ser>
          <c:idx val="2"/>
          <c:order val="2"/>
          <c:tx>
            <c:strRef>
              <c:f>'Total Savings &amp; Total Costs Gra'!$D$48</c:f>
              <c:strCache>
                <c:ptCount val="1"/>
                <c:pt idx="0">
                  <c:v>Lowest PO cost</c:v>
                </c:pt>
              </c:strCache>
            </c:strRef>
          </c:tx>
          <c:spPr>
            <a:solidFill>
              <a:schemeClr val="accent3"/>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2FE-4996-97A6-76F1EEF3F4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'Total Savings &amp; Total Costs Gra'!$A$49:$A$65</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'Total Savings &amp; Total Costs Gra'!$D$49:$D$65</c:f>
              <c:numCache>
                <c:formatCode>_("$"* #,##0_);_("$"* \(#,##0\);_("$"* "-"??_);_(@_)</c:formatCode>
                <c:ptCount val="12"/>
                <c:pt idx="0">
                  <c:v>39545933.748411998</c:v>
                </c:pt>
                <c:pt idx="1">
                  <c:v>19945059.112771995</c:v>
                </c:pt>
                <c:pt idx="2">
                  <c:v>0</c:v>
                </c:pt>
                <c:pt idx="3">
                  <c:v>0</c:v>
                </c:pt>
                <c:pt idx="4">
                  <c:v>0</c:v>
                </c:pt>
                <c:pt idx="5">
                  <c:v>0</c:v>
                </c:pt>
                <c:pt idx="6">
                  <c:v>1786587.2888219999</c:v>
                </c:pt>
                <c:pt idx="7">
                  <c:v>0</c:v>
                </c:pt>
                <c:pt idx="8">
                  <c:v>0</c:v>
                </c:pt>
                <c:pt idx="9">
                  <c:v>265050.91307240073</c:v>
                </c:pt>
                <c:pt idx="10">
                  <c:v>0</c:v>
                </c:pt>
                <c:pt idx="11">
                  <c:v>0</c:v>
                </c:pt>
              </c:numCache>
            </c:numRef>
          </c:val>
          <c:extLst>
            <c:ext xmlns:c16="http://schemas.microsoft.com/office/drawing/2014/chart" uri="{C3380CC4-5D6E-409C-BE32-E72D297353CC}">
              <c16:uniqueId val="{00000002-52FE-4996-97A6-76F1EEF3F4FE}"/>
            </c:ext>
          </c:extLst>
        </c:ser>
        <c:dLbls>
          <c:dLblPos val="inEnd"/>
          <c:showLegendKey val="0"/>
          <c:showVal val="1"/>
          <c:showCatName val="0"/>
          <c:showSerName val="0"/>
          <c:showPercent val="0"/>
          <c:showBubbleSize val="0"/>
        </c:dLbls>
        <c:gapWidth val="100"/>
        <c:axId val="242185279"/>
        <c:axId val="242185759"/>
      </c:barChart>
      <c:lineChart>
        <c:grouping val="standard"/>
        <c:varyColors val="0"/>
        <c:ser>
          <c:idx val="3"/>
          <c:order val="3"/>
          <c:tx>
            <c:strRef>
              <c:f>'Total Savings &amp; Total Costs Gra'!$E$48</c:f>
              <c:strCache>
                <c:ptCount val="1"/>
                <c:pt idx="0">
                  <c:v>Highest Savings</c:v>
                </c:pt>
              </c:strCache>
            </c:strRef>
          </c:tx>
          <c:spPr>
            <a:ln w="28575" cap="rnd">
              <a:solidFill>
                <a:schemeClr val="accent4"/>
              </a:solidFill>
              <a:round/>
            </a:ln>
            <a:effectLst>
              <a:glow rad="38100">
                <a:schemeClr val="accent1">
                  <a:alpha val="40000"/>
                </a:schemeClr>
              </a:glow>
            </a:effectLst>
          </c:spPr>
          <c:marker>
            <c:symbol val="circle"/>
            <c:size val="5"/>
            <c:spPr>
              <a:solidFill>
                <a:schemeClr val="accent4"/>
              </a:solidFill>
              <a:ln w="9525">
                <a:solidFill>
                  <a:schemeClr val="accent4"/>
                </a:solidFill>
              </a:ln>
              <a:effectLst>
                <a:glow rad="38100">
                  <a:schemeClr val="accent1">
                    <a:alpha val="40000"/>
                  </a:schemeClr>
                </a:glow>
              </a:effectLst>
            </c:spPr>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'Total Savings &amp; Total Costs Gra'!$A$49:$A$65</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'Total Savings &amp; Total Costs Gra'!$E$49:$E$65</c:f>
              <c:numCache>
                <c:formatCode>_("$"* #,##0_);_("$"* \(#,##0\);_("$"* "-"??_);_(@_)</c:formatCode>
                <c:ptCount val="12"/>
                <c:pt idx="0">
                  <c:v>89906869.242148012</c:v>
                </c:pt>
                <c:pt idx="1">
                  <c:v>101082207.359826</c:v>
                </c:pt>
                <c:pt idx="2">
                  <c:v>125876657.09284449</c:v>
                </c:pt>
                <c:pt idx="3">
                  <c:v>108140743.93115999</c:v>
                </c:pt>
                <c:pt idx="4">
                  <c:v>148187780.0663</c:v>
                </c:pt>
                <c:pt idx="5">
                  <c:v>275324178.43513405</c:v>
                </c:pt>
                <c:pt idx="6">
                  <c:v>10656443.900736</c:v>
                </c:pt>
                <c:pt idx="7">
                  <c:v>13937979.912479999</c:v>
                </c:pt>
                <c:pt idx="8">
                  <c:v>22655118.7917495</c:v>
                </c:pt>
                <c:pt idx="9">
                  <c:v>8762926.7912292983</c:v>
                </c:pt>
                <c:pt idx="10">
                  <c:v>10902825.278141551</c:v>
                </c:pt>
                <c:pt idx="11">
                  <c:v>18181772.956774499</c:v>
                </c:pt>
              </c:numCache>
            </c:numRef>
          </c:val>
          <c:smooth val="0"/>
          <c:extLst>
            <c:ext xmlns:c16="http://schemas.microsoft.com/office/drawing/2014/chart" uri="{C3380CC4-5D6E-409C-BE32-E72D297353CC}">
              <c16:uniqueId val="{00000003-52FE-4996-97A6-76F1EEF3F4FE}"/>
            </c:ext>
          </c:extLst>
        </c:ser>
        <c:ser>
          <c:idx val="4"/>
          <c:order val="4"/>
          <c:tx>
            <c:strRef>
              <c:f>'Total Savings &amp; Total Costs Gra'!$F$48</c:f>
              <c:strCache>
                <c:ptCount val="1"/>
                <c:pt idx="0">
                  <c:v>Middle Savings</c:v>
                </c:pt>
              </c:strCache>
            </c:strRef>
          </c:tx>
          <c:spPr>
            <a:ln w="28575" cap="rnd">
              <a:solidFill>
                <a:schemeClr val="accent5"/>
              </a:solidFill>
              <a:round/>
            </a:ln>
            <a:effectLst>
              <a:glow rad="38100">
                <a:schemeClr val="accent1">
                  <a:alpha val="40000"/>
                </a:schemeClr>
              </a:glow>
            </a:effectLst>
          </c:spPr>
          <c:marker>
            <c:symbol val="circle"/>
            <c:size val="5"/>
            <c:spPr>
              <a:solidFill>
                <a:schemeClr val="accent5"/>
              </a:solidFill>
              <a:ln w="9525">
                <a:solidFill>
                  <a:schemeClr val="accent5"/>
                </a:solidFill>
              </a:ln>
              <a:effectLst>
                <a:glow rad="38100">
                  <a:schemeClr val="accent1">
                    <a:alpha val="40000"/>
                  </a:schemeClr>
                </a:glow>
              </a:effectLst>
            </c:spPr>
          </c:marker>
          <c:dLbls>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'Total Savings &amp; Total Costs Gra'!$A$49:$A$65</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'Total Savings &amp; Total Costs Gra'!$F$49:$F$65</c:f>
              <c:numCache>
                <c:formatCode>_("$"* #,##0_);_("$"* \(#,##0\);_("$"* "-"??_);_(@_)</c:formatCode>
                <c:ptCount val="12"/>
                <c:pt idx="0">
                  <c:v>41840739.918875493</c:v>
                </c:pt>
                <c:pt idx="1">
                  <c:v>41541928.309184499</c:v>
                </c:pt>
                <c:pt idx="2">
                  <c:v>40915846.841260493</c:v>
                </c:pt>
                <c:pt idx="3">
                  <c:v>25249645.966814686</c:v>
                </c:pt>
                <c:pt idx="4">
                  <c:v>26599436.120322809</c:v>
                </c:pt>
                <c:pt idx="5">
                  <c:v>29427567.870530311</c:v>
                </c:pt>
                <c:pt idx="6">
                  <c:v>3948633.5234085</c:v>
                </c:pt>
                <c:pt idx="7">
                  <c:v>4159718.7266114997</c:v>
                </c:pt>
                <c:pt idx="8">
                  <c:v>4601992.4857035</c:v>
                </c:pt>
                <c:pt idx="9">
                  <c:v>2909259.9116487</c:v>
                </c:pt>
                <c:pt idx="10">
                  <c:v>3018435.1406419505</c:v>
                </c:pt>
                <c:pt idx="11">
                  <c:v>3247183.2394849495</c:v>
                </c:pt>
              </c:numCache>
            </c:numRef>
          </c:val>
          <c:smooth val="0"/>
          <c:extLst>
            <c:ext xmlns:c16="http://schemas.microsoft.com/office/drawing/2014/chart" uri="{C3380CC4-5D6E-409C-BE32-E72D297353CC}">
              <c16:uniqueId val="{00000004-52FE-4996-97A6-76F1EEF3F4FE}"/>
            </c:ext>
          </c:extLst>
        </c:ser>
        <c:ser>
          <c:idx val="5"/>
          <c:order val="5"/>
          <c:tx>
            <c:strRef>
              <c:f>'Total Savings &amp; Total Costs Gra'!$G$48</c:f>
              <c:strCache>
                <c:ptCount val="1"/>
                <c:pt idx="0">
                  <c:v>Lowest Savings</c:v>
                </c:pt>
              </c:strCache>
            </c:strRef>
          </c:tx>
          <c:spPr>
            <a:ln w="28575" cap="rnd">
              <a:solidFill>
                <a:schemeClr val="accent6"/>
              </a:solidFill>
              <a:round/>
            </a:ln>
            <a:effectLst>
              <a:glow rad="38100">
                <a:schemeClr val="accent1">
                  <a:alpha val="40000"/>
                </a:schemeClr>
              </a:glow>
            </a:effectLst>
          </c:spPr>
          <c:marker>
            <c:symbol val="circle"/>
            <c:size val="5"/>
            <c:spPr>
              <a:solidFill>
                <a:schemeClr val="accent6"/>
              </a:solidFill>
              <a:ln w="9525">
                <a:solidFill>
                  <a:schemeClr val="accent6"/>
                </a:solidFill>
              </a:ln>
              <a:effectLst>
                <a:glow rad="38100">
                  <a:schemeClr val="accent1">
                    <a:alpha val="40000"/>
                  </a:schemeClr>
                </a:glow>
              </a:effectLst>
            </c:spPr>
          </c:marker>
          <c:dLbls>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'Total Savings &amp; Total Costs Gra'!$A$49:$A$65</c:f>
              <c:multiLvlStrCache>
                <c:ptCount val="12"/>
                <c:lvl>
                  <c:pt idx="0">
                    <c:v>90%</c:v>
                  </c:pt>
                  <c:pt idx="1">
                    <c:v>95%</c:v>
                  </c:pt>
                  <c:pt idx="2">
                    <c:v>99%</c:v>
                  </c:pt>
                  <c:pt idx="3">
                    <c:v>90%</c:v>
                  </c:pt>
                  <c:pt idx="4">
                    <c:v>95%</c:v>
                  </c:pt>
                  <c:pt idx="5">
                    <c:v>99%</c:v>
                  </c:pt>
                  <c:pt idx="6">
                    <c:v>90%</c:v>
                  </c:pt>
                  <c:pt idx="7">
                    <c:v>95%</c:v>
                  </c:pt>
                  <c:pt idx="8">
                    <c:v>99%</c:v>
                  </c:pt>
                  <c:pt idx="9">
                    <c:v>90%</c:v>
                  </c:pt>
                  <c:pt idx="10">
                    <c:v>95%</c:v>
                  </c:pt>
                  <c:pt idx="11">
                    <c:v>99%</c:v>
                  </c:pt>
                </c:lvl>
                <c:lvl>
                  <c:pt idx="0">
                    <c:v>2021</c:v>
                  </c:pt>
                  <c:pt idx="3">
                    <c:v>2022</c:v>
                  </c:pt>
                  <c:pt idx="6">
                    <c:v>2023</c:v>
                  </c:pt>
                  <c:pt idx="9">
                    <c:v>2024</c:v>
                  </c:pt>
                </c:lvl>
              </c:multiLvlStrCache>
            </c:multiLvlStrRef>
          </c:cat>
          <c:val>
            <c:numRef>
              <c:f>'Total Savings &amp; Total Costs Gra'!$G$49:$G$65</c:f>
              <c:numCache>
                <c:formatCode>_("$"* #,##0_);_("$"* \(#,##0\);_("$"* "-"??_);_(@_)</c:formatCode>
                <c:ptCount val="12"/>
                <c:pt idx="0">
                  <c:v>9886483.4371029995</c:v>
                </c:pt>
                <c:pt idx="1">
                  <c:v>4986264.7781929988</c:v>
                </c:pt>
                <c:pt idx="2">
                  <c:v>0</c:v>
                </c:pt>
                <c:pt idx="3">
                  <c:v>0</c:v>
                </c:pt>
                <c:pt idx="4">
                  <c:v>0</c:v>
                </c:pt>
                <c:pt idx="5">
                  <c:v>0</c:v>
                </c:pt>
                <c:pt idx="6">
                  <c:v>446646.82220549998</c:v>
                </c:pt>
                <c:pt idx="7">
                  <c:v>0</c:v>
                </c:pt>
                <c:pt idx="8">
                  <c:v>0</c:v>
                </c:pt>
                <c:pt idx="9">
                  <c:v>66262.728268100182</c:v>
                </c:pt>
                <c:pt idx="10">
                  <c:v>0</c:v>
                </c:pt>
                <c:pt idx="11">
                  <c:v>0</c:v>
                </c:pt>
              </c:numCache>
            </c:numRef>
          </c:val>
          <c:smooth val="0"/>
          <c:extLst>
            <c:ext xmlns:c16="http://schemas.microsoft.com/office/drawing/2014/chart" uri="{C3380CC4-5D6E-409C-BE32-E72D297353CC}">
              <c16:uniqueId val="{00000005-52FE-4996-97A6-76F1EEF3F4FE}"/>
            </c:ext>
          </c:extLst>
        </c:ser>
        <c:dLbls>
          <c:showLegendKey val="0"/>
          <c:showVal val="0"/>
          <c:showCatName val="0"/>
          <c:showSerName val="0"/>
          <c:showPercent val="0"/>
          <c:showBubbleSize val="0"/>
        </c:dLbls>
        <c:marker val="1"/>
        <c:smooth val="0"/>
        <c:axId val="242185279"/>
        <c:axId val="242185759"/>
      </c:lineChart>
      <c:catAx>
        <c:axId val="242185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5759"/>
        <c:crosses val="autoZero"/>
        <c:auto val="1"/>
        <c:lblAlgn val="ctr"/>
        <c:lblOffset val="100"/>
        <c:noMultiLvlLbl val="0"/>
      </c:catAx>
      <c:valAx>
        <c:axId val="24218575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5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[Confidence Interval Analysis1.xlsm]Total Yearly Savings Graph!PivotTable8</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139700">
              <a:schemeClr val="accent1">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139700">
              <a:schemeClr val="accent1">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139700">
              <a:schemeClr val="accent1">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lumMod val="75000"/>
                <a:alpha val="70000"/>
              </a:schemeClr>
            </a:solidFill>
            <a:round/>
          </a:ln>
          <a:effectLst>
            <a:glow>
              <a:schemeClr val="accent1">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Yearly Savings Graph'!$B$42</c:f>
              <c:strCache>
                <c:ptCount val="1"/>
                <c:pt idx="0">
                  <c:v>Highest Savings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139700">
                <a:schemeClr val="accent1">
                  <a:alpha val="40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'Total Yearly Savings Graph'!$A$43:$A$51</c:f>
              <c:multiLvlStrCache>
                <c:ptCount val="4"/>
                <c:lvl>
                  <c:pt idx="0">
                    <c:v>90%</c:v>
                  </c:pt>
                  <c:pt idx="1">
                    <c:v>90%</c:v>
                  </c:pt>
                  <c:pt idx="2">
                    <c:v>90%</c:v>
                  </c:pt>
                  <c:pt idx="3">
                    <c:v>90%</c:v>
                  </c:pt>
                </c:lvl>
                <c:lvl>
                  <c:pt idx="0">
                    <c:v>2021</c:v>
                  </c:pt>
                  <c:pt idx="1">
                    <c:v>2022</c:v>
                  </c:pt>
                  <c:pt idx="2">
                    <c:v>2023</c:v>
                  </c:pt>
                  <c:pt idx="3">
                    <c:v>2024</c:v>
                  </c:pt>
                </c:lvl>
              </c:multiLvlStrCache>
            </c:multiLvlStrRef>
          </c:cat>
          <c:val>
            <c:numRef>
              <c:f>'Total Yearly Savings Graph'!$B$43:$B$51</c:f>
              <c:numCache>
                <c:formatCode>_("$"* #,##0_);_("$"* \(#,##0\);_("$"* "-"??_);_(@_)</c:formatCode>
                <c:ptCount val="4"/>
                <c:pt idx="0">
                  <c:v>89906869.242148012</c:v>
                </c:pt>
                <c:pt idx="1">
                  <c:v>108140743.93115999</c:v>
                </c:pt>
                <c:pt idx="2">
                  <c:v>10656443.900736</c:v>
                </c:pt>
                <c:pt idx="3">
                  <c:v>8762926.7912292983</c:v>
                </c:pt>
              </c:numCache>
            </c:numRef>
          </c:val>
          <c:extLst>
            <c:ext xmlns:c16="http://schemas.microsoft.com/office/drawing/2014/chart" uri="{C3380CC4-5D6E-409C-BE32-E72D297353CC}">
              <c16:uniqueId val="{00000000-D354-4EDB-B749-DE98FBC2FE30}"/>
            </c:ext>
          </c:extLst>
        </c:ser>
        <c:ser>
          <c:idx val="1"/>
          <c:order val="1"/>
          <c:tx>
            <c:strRef>
              <c:f>'Total Yearly Savings Graph'!$C$42</c:f>
              <c:strCache>
                <c:ptCount val="1"/>
                <c:pt idx="0">
                  <c:v>Middle Savings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glow rad="139700">
                <a:schemeClr val="accent1">
                  <a:alpha val="40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'Total Yearly Savings Graph'!$A$43:$A$51</c:f>
              <c:multiLvlStrCache>
                <c:ptCount val="4"/>
                <c:lvl>
                  <c:pt idx="0">
                    <c:v>90%</c:v>
                  </c:pt>
                  <c:pt idx="1">
                    <c:v>90%</c:v>
                  </c:pt>
                  <c:pt idx="2">
                    <c:v>90%</c:v>
                  </c:pt>
                  <c:pt idx="3">
                    <c:v>90%</c:v>
                  </c:pt>
                </c:lvl>
                <c:lvl>
                  <c:pt idx="0">
                    <c:v>2021</c:v>
                  </c:pt>
                  <c:pt idx="1">
                    <c:v>2022</c:v>
                  </c:pt>
                  <c:pt idx="2">
                    <c:v>2023</c:v>
                  </c:pt>
                  <c:pt idx="3">
                    <c:v>2024</c:v>
                  </c:pt>
                </c:lvl>
              </c:multiLvlStrCache>
            </c:multiLvlStrRef>
          </c:cat>
          <c:val>
            <c:numRef>
              <c:f>'Total Yearly Savings Graph'!$C$43:$C$51</c:f>
              <c:numCache>
                <c:formatCode>_("$"* #,##0_);_("$"* \(#,##0\);_("$"* "-"??_);_(@_)</c:formatCode>
                <c:ptCount val="4"/>
                <c:pt idx="0">
                  <c:v>41840739.918875493</c:v>
                </c:pt>
                <c:pt idx="1">
                  <c:v>25249645.966814686</c:v>
                </c:pt>
                <c:pt idx="2">
                  <c:v>3948633.5234085</c:v>
                </c:pt>
                <c:pt idx="3">
                  <c:v>2909259.9116487</c:v>
                </c:pt>
              </c:numCache>
            </c:numRef>
          </c:val>
          <c:extLst>
            <c:ext xmlns:c16="http://schemas.microsoft.com/office/drawing/2014/chart" uri="{C3380CC4-5D6E-409C-BE32-E72D297353CC}">
              <c16:uniqueId val="{00000001-D354-4EDB-B749-DE98FBC2FE30}"/>
            </c:ext>
          </c:extLst>
        </c:ser>
        <c:ser>
          <c:idx val="2"/>
          <c:order val="2"/>
          <c:tx>
            <c:strRef>
              <c:f>'Total Yearly Savings Graph'!$D$42</c:f>
              <c:strCache>
                <c:ptCount val="1"/>
                <c:pt idx="0">
                  <c:v>Lowest Savings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glow rad="139700">
                <a:schemeClr val="accent1">
                  <a:alpha val="40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'Total Yearly Savings Graph'!$A$43:$A$51</c:f>
              <c:multiLvlStrCache>
                <c:ptCount val="4"/>
                <c:lvl>
                  <c:pt idx="0">
                    <c:v>90%</c:v>
                  </c:pt>
                  <c:pt idx="1">
                    <c:v>90%</c:v>
                  </c:pt>
                  <c:pt idx="2">
                    <c:v>90%</c:v>
                  </c:pt>
                  <c:pt idx="3">
                    <c:v>90%</c:v>
                  </c:pt>
                </c:lvl>
                <c:lvl>
                  <c:pt idx="0">
                    <c:v>2021</c:v>
                  </c:pt>
                  <c:pt idx="1">
                    <c:v>2022</c:v>
                  </c:pt>
                  <c:pt idx="2">
                    <c:v>2023</c:v>
                  </c:pt>
                  <c:pt idx="3">
                    <c:v>2024</c:v>
                  </c:pt>
                </c:lvl>
              </c:multiLvlStrCache>
            </c:multiLvlStrRef>
          </c:cat>
          <c:val>
            <c:numRef>
              <c:f>'Total Yearly Savings Graph'!$D$43:$D$51</c:f>
              <c:numCache>
                <c:formatCode>_("$"* #,##0_);_("$"* \(#,##0\);_("$"* "-"??_);_(@_)</c:formatCode>
                <c:ptCount val="4"/>
                <c:pt idx="0">
                  <c:v>9886483.4371029995</c:v>
                </c:pt>
                <c:pt idx="1">
                  <c:v>0</c:v>
                </c:pt>
                <c:pt idx="2">
                  <c:v>446646.82220549998</c:v>
                </c:pt>
                <c:pt idx="3">
                  <c:v>66262.728268100182</c:v>
                </c:pt>
              </c:numCache>
            </c:numRef>
          </c:val>
          <c:extLst>
            <c:ext xmlns:c16="http://schemas.microsoft.com/office/drawing/2014/chart" uri="{C3380CC4-5D6E-409C-BE32-E72D297353CC}">
              <c16:uniqueId val="{00000002-D354-4EDB-B749-DE98FBC2FE30}"/>
            </c:ext>
          </c:extLst>
        </c:ser>
        <c:dLbls>
          <c:showLegendKey val="0"/>
          <c:showVal val="1"/>
          <c:showCatName val="0"/>
          <c:showSerName val="0"/>
          <c:showPercent val="0"/>
          <c:showBubbleSize val="0"/>
        </c:dLbls>
        <c:gapWidth val="75"/>
        <c:axId val="44177871"/>
        <c:axId val="44183151"/>
      </c:barChart>
      <c:lineChart>
        <c:grouping val="standard"/>
        <c:varyColors val="0"/>
        <c:ser>
          <c:idx val="3"/>
          <c:order val="3"/>
          <c:tx>
            <c:strRef>
              <c:f>'Total Yearly Savings Graph'!$E$42</c:f>
              <c:strCache>
                <c:ptCount val="1"/>
                <c:pt idx="0">
                  <c:v>Middle Cost of PO Approved after Receipt</c:v>
                </c:pt>
              </c:strCache>
            </c:strRef>
          </c:tx>
          <c:spPr>
            <a:ln w="34925" cap="rnd">
              <a:solidFill>
                <a:schemeClr val="accent1">
                  <a:lumMod val="75000"/>
                  <a:alpha val="70000"/>
                </a:schemeClr>
              </a:solidFill>
              <a:round/>
            </a:ln>
            <a:effectLst>
              <a:glow>
                <a:schemeClr val="accent1">
                  <a:alpha val="40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'Total Yearly Savings Graph'!$A$43:$A$51</c:f>
              <c:multiLvlStrCache>
                <c:ptCount val="4"/>
                <c:lvl>
                  <c:pt idx="0">
                    <c:v>90%</c:v>
                  </c:pt>
                  <c:pt idx="1">
                    <c:v>90%</c:v>
                  </c:pt>
                  <c:pt idx="2">
                    <c:v>90%</c:v>
                  </c:pt>
                  <c:pt idx="3">
                    <c:v>90%</c:v>
                  </c:pt>
                </c:lvl>
                <c:lvl>
                  <c:pt idx="0">
                    <c:v>2021</c:v>
                  </c:pt>
                  <c:pt idx="1">
                    <c:v>2022</c:v>
                  </c:pt>
                  <c:pt idx="2">
                    <c:v>2023</c:v>
                  </c:pt>
                  <c:pt idx="3">
                    <c:v>2024</c:v>
                  </c:pt>
                </c:lvl>
              </c:multiLvlStrCache>
            </c:multiLvlStrRef>
          </c:cat>
          <c:val>
            <c:numRef>
              <c:f>'Total Yearly Savings Graph'!$E$43:$E$51</c:f>
              <c:numCache>
                <c:formatCode>_("$"* #,##0_);_("$"* \(#,##0\);_("$"* "-"??_);_(@_)</c:formatCode>
                <c:ptCount val="4"/>
                <c:pt idx="0">
                  <c:v>167362959.67550197</c:v>
                </c:pt>
                <c:pt idx="1">
                  <c:v>100998583.86725874</c:v>
                </c:pt>
                <c:pt idx="2">
                  <c:v>15794534.093634</c:v>
                </c:pt>
                <c:pt idx="3">
                  <c:v>11637039.6465948</c:v>
                </c:pt>
              </c:numCache>
            </c:numRef>
          </c:val>
          <c:smooth val="0"/>
          <c:extLst>
            <c:ext xmlns:c16="http://schemas.microsoft.com/office/drawing/2014/chart" uri="{C3380CC4-5D6E-409C-BE32-E72D297353CC}">
              <c16:uniqueId val="{00000003-D354-4EDB-B749-DE98FBC2FE30}"/>
            </c:ext>
          </c:extLst>
        </c:ser>
        <c:dLbls>
          <c:showLegendKey val="0"/>
          <c:showVal val="1"/>
          <c:showCatName val="0"/>
          <c:showSerName val="0"/>
          <c:showPercent val="0"/>
          <c:showBubbleSize val="0"/>
        </c:dLbls>
        <c:marker val="1"/>
        <c:smooth val="0"/>
        <c:axId val="44177871"/>
        <c:axId val="44183151"/>
      </c:lineChart>
      <c:catAx>
        <c:axId val="441778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83151"/>
        <c:crosses val="autoZero"/>
        <c:auto val="1"/>
        <c:lblAlgn val="ctr"/>
        <c:lblOffset val="100"/>
        <c:noMultiLvlLbl val="0"/>
      </c:catAx>
      <c:valAx>
        <c:axId val="44183151"/>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77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[Confidence Interval Analysis1.xlsm]Total Yearly Savings Graph!PivotTable8</c:name>
    <c:fmtId val="5"/>
  </c:pivotSource>
  <c:chart>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a:glow rad="38100">
              <a:schemeClr val="accent1">
                <a:alpha val="40000"/>
              </a:schemeClr>
            </a:glow>
          </a:effectLst>
        </c:spPr>
        <c:marker>
          <c:symbol val="circle"/>
          <c:size val="5"/>
          <c:spPr>
            <a:solidFill>
              <a:schemeClr val="accent4"/>
            </a:solidFill>
            <a:ln w="9525">
              <a:solidFill>
                <a:schemeClr val="accent4"/>
              </a:solidFill>
            </a:ln>
            <a:effectLst>
              <a:glow rad="38100">
                <a:schemeClr val="accent1">
                  <a:alpha val="40000"/>
                </a:schemeClr>
              </a:glow>
            </a:effectLst>
          </c:spPr>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a:glow rad="38100">
              <a:schemeClr val="accent1">
                <a:alpha val="40000"/>
              </a:schemeClr>
            </a:glow>
          </a:effectLst>
        </c:spPr>
        <c:marker>
          <c:symbol val="circle"/>
          <c:size val="5"/>
          <c:spPr>
            <a:solidFill>
              <a:schemeClr val="accent5"/>
            </a:solidFill>
            <a:ln w="9525">
              <a:solidFill>
                <a:schemeClr val="accent5"/>
              </a:solidFill>
            </a:ln>
            <a:effectLst>
              <a:glow rad="38100">
                <a:schemeClr val="accent1">
                  <a:alpha val="40000"/>
                </a:schemeClr>
              </a:glow>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a:glow rad="38100">
              <a:schemeClr val="accent1">
                <a:alpha val="40000"/>
              </a:schemeClr>
            </a:glow>
          </a:effectLst>
        </c:spPr>
        <c:marker>
          <c:symbol val="circle"/>
          <c:size val="5"/>
          <c:spPr>
            <a:solidFill>
              <a:schemeClr val="accent6"/>
            </a:solidFill>
            <a:ln w="9525">
              <a:solidFill>
                <a:schemeClr val="accent6"/>
              </a:solidFill>
            </a:ln>
            <a:effectLst>
              <a:glow rad="38100">
                <a:schemeClr val="accent1">
                  <a:alpha val="40000"/>
                </a:schemeClr>
              </a:glow>
            </a:effectLst>
          </c:spPr>
        </c:marker>
        <c:dLbl>
          <c:idx val="0"/>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a:glow rad="38100">
              <a:srgbClr val="156082">
                <a:alpha val="40000"/>
              </a:srgbClr>
            </a:glow>
          </a:effectLst>
        </c:spPr>
        <c:marker>
          <c:symbol val="circle"/>
          <c:size val="5"/>
          <c:spPr>
            <a:solidFill>
              <a:schemeClr val="accent1"/>
            </a:solidFill>
            <a:ln w="9525">
              <a:solidFill>
                <a:schemeClr val="accent1"/>
              </a:solidFill>
            </a:ln>
            <a:effectLst>
              <a:glow rad="38100">
                <a:srgbClr val="156082">
                  <a:alpha val="40000"/>
                </a:srgbClr>
              </a:glow>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a:glow rad="38100">
              <a:srgbClr val="156082">
                <a:alpha val="40000"/>
              </a:srgbClr>
            </a:glow>
          </a:effectLst>
        </c:spPr>
        <c:marker>
          <c:symbol val="circle"/>
          <c:size val="5"/>
          <c:spPr>
            <a:solidFill>
              <a:schemeClr val="accent2"/>
            </a:solidFill>
            <a:ln w="9525">
              <a:solidFill>
                <a:schemeClr val="accent2"/>
              </a:solidFill>
            </a:ln>
            <a:effectLst>
              <a:glow rad="38100">
                <a:srgbClr val="156082">
                  <a:alpha val="40000"/>
                </a:srgbClr>
              </a:glow>
            </a:effectLst>
          </c:spPr>
        </c:marker>
        <c:dLbl>
          <c:idx val="0"/>
          <c:spPr>
            <a:solidFill>
              <a:srgbClr val="E9713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a:glow rad="38100">
              <a:srgbClr val="156082">
                <a:alpha val="40000"/>
              </a:srgbClr>
            </a:glow>
          </a:effectLst>
        </c:spPr>
        <c:marker>
          <c:symbol val="circle"/>
          <c:size val="5"/>
          <c:spPr>
            <a:solidFill>
              <a:schemeClr val="accent3"/>
            </a:solidFill>
            <a:ln w="9525">
              <a:solidFill>
                <a:schemeClr val="accent3"/>
              </a:solidFill>
            </a:ln>
            <a:effectLst>
              <a:glow rad="38100">
                <a:srgbClr val="156082">
                  <a:alpha val="40000"/>
                </a:srgbClr>
              </a:glow>
            </a:effectLst>
          </c:spPr>
        </c:marker>
        <c:dLbl>
          <c:idx val="0"/>
          <c:spPr>
            <a:solidFill>
              <a:srgbClr val="196B2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3"/>
            </a:solidFill>
            <a:round/>
          </a:ln>
          <a:effectLst>
            <a:glow rad="38100">
              <a:srgbClr val="156082">
                <a:alpha val="40000"/>
              </a:srgbClr>
            </a:glow>
          </a:effectLst>
        </c:spPr>
        <c:marker>
          <c:symbol val="circle"/>
          <c:size val="5"/>
          <c:spPr>
            <a:solidFill>
              <a:schemeClr val="accent3"/>
            </a:solidFill>
            <a:ln w="9525">
              <a:solidFill>
                <a:schemeClr val="accent3"/>
              </a:solidFill>
            </a:ln>
            <a:effectLst>
              <a:glow rad="38100">
                <a:srgbClr val="156082">
                  <a:alpha val="40000"/>
                </a:srgbClr>
              </a:glow>
            </a:effectLst>
          </c:spPr>
        </c:marker>
        <c:dLbl>
          <c:idx val="0"/>
          <c:spPr>
            <a:solidFill>
              <a:srgbClr val="196B2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F9ED5">
              <a:alpha val="18000"/>
            </a:srgbClr>
          </a:solidFill>
          <a:ln>
            <a:noFill/>
          </a:ln>
          <a:effectLst>
            <a:glow>
              <a:srgbClr val="156082">
                <a:alpha val="40000"/>
              </a:srgbClr>
            </a:glow>
          </a:effectLst>
        </c:spPr>
        <c:marker>
          <c:symbol val="circle"/>
          <c:size val="5"/>
          <c:spPr>
            <a:solidFill>
              <a:schemeClr val="accent4"/>
            </a:solidFill>
            <a:ln w="9525">
              <a:solidFill>
                <a:schemeClr val="accent4"/>
              </a:solidFill>
            </a:ln>
            <a:effectLst>
              <a:glow rad="38100">
                <a:schemeClr val="accent1">
                  <a:alpha val="40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3"/>
          <c:order val="3"/>
          <c:tx>
            <c:strRef>
              <c:f>'Total Yearly Savings Graph'!$E$42</c:f>
              <c:strCache>
                <c:ptCount val="1"/>
                <c:pt idx="0">
                  <c:v>Middle Cost of PO Approved after Receipt</c:v>
                </c:pt>
              </c:strCache>
            </c:strRef>
          </c:tx>
          <c:spPr>
            <a:solidFill>
              <a:srgbClr val="0F9ED5">
                <a:alpha val="18000"/>
              </a:srgbClr>
            </a:solidFill>
            <a:ln>
              <a:noFill/>
            </a:ln>
            <a:effectLst>
              <a:glow>
                <a:srgbClr val="156082">
                  <a:alpha val="40000"/>
                </a:srgb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'Total Yearly Savings Graph'!$A$43:$A$51</c:f>
              <c:multiLvlStrCache>
                <c:ptCount val="4"/>
                <c:lvl>
                  <c:pt idx="0">
                    <c:v>90%</c:v>
                  </c:pt>
                  <c:pt idx="1">
                    <c:v>90%</c:v>
                  </c:pt>
                  <c:pt idx="2">
                    <c:v>90%</c:v>
                  </c:pt>
                  <c:pt idx="3">
                    <c:v>90%</c:v>
                  </c:pt>
                </c:lvl>
                <c:lvl>
                  <c:pt idx="0">
                    <c:v>2021</c:v>
                  </c:pt>
                  <c:pt idx="1">
                    <c:v>2022</c:v>
                  </c:pt>
                  <c:pt idx="2">
                    <c:v>2023</c:v>
                  </c:pt>
                  <c:pt idx="3">
                    <c:v>2024</c:v>
                  </c:pt>
                </c:lvl>
              </c:multiLvlStrCache>
            </c:multiLvlStrRef>
          </c:cat>
          <c:val>
            <c:numRef>
              <c:f>'Total Yearly Savings Graph'!$E$43:$E$51</c:f>
              <c:numCache>
                <c:formatCode>_("$"* #,##0_);_("$"* \(#,##0\);_("$"* "-"??_);_(@_)</c:formatCode>
                <c:ptCount val="4"/>
                <c:pt idx="0">
                  <c:v>167362959.67550197</c:v>
                </c:pt>
                <c:pt idx="1">
                  <c:v>100998583.86725874</c:v>
                </c:pt>
                <c:pt idx="2">
                  <c:v>15794534.093634</c:v>
                </c:pt>
                <c:pt idx="3">
                  <c:v>11637039.6465948</c:v>
                </c:pt>
              </c:numCache>
            </c:numRef>
          </c:val>
          <c:extLst>
            <c:ext xmlns:c16="http://schemas.microsoft.com/office/drawing/2014/chart" uri="{C3380CC4-5D6E-409C-BE32-E72D297353CC}">
              <c16:uniqueId val="{00000003-52FE-4996-97A6-76F1EEF3F4FE}"/>
            </c:ext>
          </c:extLst>
        </c:ser>
        <c:dLbls>
          <c:showLegendKey val="0"/>
          <c:showVal val="0"/>
          <c:showCatName val="0"/>
          <c:showSerName val="0"/>
          <c:showPercent val="0"/>
          <c:showBubbleSize val="0"/>
        </c:dLbls>
        <c:gapWidth val="220"/>
        <c:axId val="242185279"/>
        <c:axId val="242185759"/>
      </c:barChart>
      <c:lineChart>
        <c:grouping val="standard"/>
        <c:varyColors val="0"/>
        <c:ser>
          <c:idx val="0"/>
          <c:order val="0"/>
          <c:tx>
            <c:strRef>
              <c:f>'Total Yearly Savings Graph'!$B$42</c:f>
              <c:strCache>
                <c:ptCount val="1"/>
                <c:pt idx="0">
                  <c:v>Highest Savings</c:v>
                </c:pt>
              </c:strCache>
            </c:strRef>
          </c:tx>
          <c:spPr>
            <a:ln w="28575" cap="rnd">
              <a:solidFill>
                <a:schemeClr val="accent1"/>
              </a:solidFill>
              <a:round/>
            </a:ln>
            <a:effectLst>
              <a:glow rad="38100">
                <a:srgbClr val="156082">
                  <a:alpha val="40000"/>
                </a:srgbClr>
              </a:glow>
            </a:effectLst>
          </c:spPr>
          <c:marker>
            <c:symbol val="circle"/>
            <c:size val="5"/>
            <c:spPr>
              <a:solidFill>
                <a:schemeClr val="accent1"/>
              </a:solidFill>
              <a:ln w="9525">
                <a:solidFill>
                  <a:schemeClr val="accent1"/>
                </a:solidFill>
              </a:ln>
              <a:effectLst>
                <a:glow rad="38100">
                  <a:srgbClr val="156082">
                    <a:alpha val="40000"/>
                  </a:srgbClr>
                </a:glow>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'Total Yearly Savings Graph'!$A$43:$A$51</c:f>
              <c:multiLvlStrCache>
                <c:ptCount val="4"/>
                <c:lvl>
                  <c:pt idx="0">
                    <c:v>90%</c:v>
                  </c:pt>
                  <c:pt idx="1">
                    <c:v>90%</c:v>
                  </c:pt>
                  <c:pt idx="2">
                    <c:v>90%</c:v>
                  </c:pt>
                  <c:pt idx="3">
                    <c:v>90%</c:v>
                  </c:pt>
                </c:lvl>
                <c:lvl>
                  <c:pt idx="0">
                    <c:v>2021</c:v>
                  </c:pt>
                  <c:pt idx="1">
                    <c:v>2022</c:v>
                  </c:pt>
                  <c:pt idx="2">
                    <c:v>2023</c:v>
                  </c:pt>
                  <c:pt idx="3">
                    <c:v>2024</c:v>
                  </c:pt>
                </c:lvl>
              </c:multiLvlStrCache>
            </c:multiLvlStrRef>
          </c:cat>
          <c:val>
            <c:numRef>
              <c:f>'Total Yearly Savings Graph'!$B$43:$B$51</c:f>
              <c:numCache>
                <c:formatCode>_("$"* #,##0_);_("$"* \(#,##0\);_("$"* "-"??_);_(@_)</c:formatCode>
                <c:ptCount val="4"/>
                <c:pt idx="0">
                  <c:v>89906869.242148012</c:v>
                </c:pt>
                <c:pt idx="1">
                  <c:v>108140743.93115999</c:v>
                </c:pt>
                <c:pt idx="2">
                  <c:v>10656443.900736</c:v>
                </c:pt>
                <c:pt idx="3">
                  <c:v>8762926.7912292983</c:v>
                </c:pt>
              </c:numCache>
            </c:numRef>
          </c:val>
          <c:smooth val="0"/>
          <c:extLst>
            <c:ext xmlns:c16="http://schemas.microsoft.com/office/drawing/2014/chart" uri="{C3380CC4-5D6E-409C-BE32-E72D297353CC}">
              <c16:uniqueId val="{00000000-52FE-4996-97A6-76F1EEF3F4FE}"/>
            </c:ext>
          </c:extLst>
        </c:ser>
        <c:ser>
          <c:idx val="1"/>
          <c:order val="1"/>
          <c:tx>
            <c:strRef>
              <c:f>'Total Yearly Savings Graph'!$C$42</c:f>
              <c:strCache>
                <c:ptCount val="1"/>
                <c:pt idx="0">
                  <c:v>Middle Savings</c:v>
                </c:pt>
              </c:strCache>
            </c:strRef>
          </c:tx>
          <c:spPr>
            <a:ln w="28575" cap="rnd">
              <a:solidFill>
                <a:schemeClr val="accent2"/>
              </a:solidFill>
              <a:round/>
            </a:ln>
            <a:effectLst>
              <a:glow rad="38100">
                <a:srgbClr val="156082">
                  <a:alpha val="40000"/>
                </a:srgbClr>
              </a:glow>
            </a:effectLst>
          </c:spPr>
          <c:marker>
            <c:symbol val="circle"/>
            <c:size val="5"/>
            <c:spPr>
              <a:solidFill>
                <a:schemeClr val="accent2"/>
              </a:solidFill>
              <a:ln w="9525">
                <a:solidFill>
                  <a:schemeClr val="accent2"/>
                </a:solidFill>
              </a:ln>
              <a:effectLst>
                <a:glow rad="38100">
                  <a:srgbClr val="156082">
                    <a:alpha val="40000"/>
                  </a:srgbClr>
                </a:glow>
              </a:effectLst>
            </c:spPr>
          </c:marker>
          <c:dLbls>
            <c:spPr>
              <a:solidFill>
                <a:srgbClr val="E9713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'Total Yearly Savings Graph'!$A$43:$A$51</c:f>
              <c:multiLvlStrCache>
                <c:ptCount val="4"/>
                <c:lvl>
                  <c:pt idx="0">
                    <c:v>90%</c:v>
                  </c:pt>
                  <c:pt idx="1">
                    <c:v>90%</c:v>
                  </c:pt>
                  <c:pt idx="2">
                    <c:v>90%</c:v>
                  </c:pt>
                  <c:pt idx="3">
                    <c:v>90%</c:v>
                  </c:pt>
                </c:lvl>
                <c:lvl>
                  <c:pt idx="0">
                    <c:v>2021</c:v>
                  </c:pt>
                  <c:pt idx="1">
                    <c:v>2022</c:v>
                  </c:pt>
                  <c:pt idx="2">
                    <c:v>2023</c:v>
                  </c:pt>
                  <c:pt idx="3">
                    <c:v>2024</c:v>
                  </c:pt>
                </c:lvl>
              </c:multiLvlStrCache>
            </c:multiLvlStrRef>
          </c:cat>
          <c:val>
            <c:numRef>
              <c:f>'Total Yearly Savings Graph'!$C$43:$C$51</c:f>
              <c:numCache>
                <c:formatCode>_("$"* #,##0_);_("$"* \(#,##0\);_("$"* "-"??_);_(@_)</c:formatCode>
                <c:ptCount val="4"/>
                <c:pt idx="0">
                  <c:v>41840739.918875493</c:v>
                </c:pt>
                <c:pt idx="1">
                  <c:v>25249645.966814686</c:v>
                </c:pt>
                <c:pt idx="2">
                  <c:v>3948633.5234085</c:v>
                </c:pt>
                <c:pt idx="3">
                  <c:v>2909259.9116487</c:v>
                </c:pt>
              </c:numCache>
            </c:numRef>
          </c:val>
          <c:smooth val="0"/>
          <c:extLst>
            <c:ext xmlns:c16="http://schemas.microsoft.com/office/drawing/2014/chart" uri="{C3380CC4-5D6E-409C-BE32-E72D297353CC}">
              <c16:uniqueId val="{00000001-52FE-4996-97A6-76F1EEF3F4FE}"/>
            </c:ext>
          </c:extLst>
        </c:ser>
        <c:ser>
          <c:idx val="2"/>
          <c:order val="2"/>
          <c:tx>
            <c:strRef>
              <c:f>'Total Yearly Savings Graph'!$D$42</c:f>
              <c:strCache>
                <c:ptCount val="1"/>
                <c:pt idx="0">
                  <c:v>Lowest Savings</c:v>
                </c:pt>
              </c:strCache>
            </c:strRef>
          </c:tx>
          <c:spPr>
            <a:ln w="28575" cap="rnd">
              <a:solidFill>
                <a:schemeClr val="accent3"/>
              </a:solidFill>
              <a:round/>
            </a:ln>
            <a:effectLst>
              <a:glow rad="38100">
                <a:srgbClr val="156082">
                  <a:alpha val="40000"/>
                </a:srgbClr>
              </a:glow>
            </a:effectLst>
          </c:spPr>
          <c:marker>
            <c:symbol val="circle"/>
            <c:size val="5"/>
            <c:spPr>
              <a:solidFill>
                <a:schemeClr val="accent3"/>
              </a:solidFill>
              <a:ln w="9525">
                <a:solidFill>
                  <a:schemeClr val="accent3"/>
                </a:solidFill>
              </a:ln>
              <a:effectLst>
                <a:glow rad="38100">
                  <a:srgbClr val="156082">
                    <a:alpha val="40000"/>
                  </a:srgbClr>
                </a:glow>
              </a:effectLst>
            </c:spPr>
          </c:marker>
          <c:dLbls>
            <c:spPr>
              <a:solidFill>
                <a:srgbClr val="196B2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'Total Yearly Savings Graph'!$A$43:$A$51</c:f>
              <c:multiLvlStrCache>
                <c:ptCount val="4"/>
                <c:lvl>
                  <c:pt idx="0">
                    <c:v>90%</c:v>
                  </c:pt>
                  <c:pt idx="1">
                    <c:v>90%</c:v>
                  </c:pt>
                  <c:pt idx="2">
                    <c:v>90%</c:v>
                  </c:pt>
                  <c:pt idx="3">
                    <c:v>90%</c:v>
                  </c:pt>
                </c:lvl>
                <c:lvl>
                  <c:pt idx="0">
                    <c:v>2021</c:v>
                  </c:pt>
                  <c:pt idx="1">
                    <c:v>2022</c:v>
                  </c:pt>
                  <c:pt idx="2">
                    <c:v>2023</c:v>
                  </c:pt>
                  <c:pt idx="3">
                    <c:v>2024</c:v>
                  </c:pt>
                </c:lvl>
              </c:multiLvlStrCache>
            </c:multiLvlStrRef>
          </c:cat>
          <c:val>
            <c:numRef>
              <c:f>'Total Yearly Savings Graph'!$D$43:$D$51</c:f>
              <c:numCache>
                <c:formatCode>_("$"* #,##0_);_("$"* \(#,##0\);_("$"* "-"??_);_(@_)</c:formatCode>
                <c:ptCount val="4"/>
                <c:pt idx="0">
                  <c:v>9886483.4371029995</c:v>
                </c:pt>
                <c:pt idx="1">
                  <c:v>0</c:v>
                </c:pt>
                <c:pt idx="2">
                  <c:v>446646.82220549998</c:v>
                </c:pt>
                <c:pt idx="3">
                  <c:v>66262.728268100182</c:v>
                </c:pt>
              </c:numCache>
            </c:numRef>
          </c:val>
          <c:smooth val="0"/>
          <c:extLst>
            <c:ext xmlns:c16="http://schemas.microsoft.com/office/drawing/2014/chart" uri="{C3380CC4-5D6E-409C-BE32-E72D297353CC}">
              <c16:uniqueId val="{00000002-52FE-4996-97A6-76F1EEF3F4FE}"/>
            </c:ext>
          </c:extLst>
        </c:ser>
        <c:dLbls>
          <c:showLegendKey val="0"/>
          <c:showVal val="1"/>
          <c:showCatName val="0"/>
          <c:showSerName val="0"/>
          <c:showPercent val="0"/>
          <c:showBubbleSize val="0"/>
        </c:dLbls>
        <c:marker val="1"/>
        <c:smooth val="0"/>
        <c:axId val="242185279"/>
        <c:axId val="242185759"/>
      </c:lineChart>
      <c:catAx>
        <c:axId val="242185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5759"/>
        <c:crosses val="autoZero"/>
        <c:auto val="1"/>
        <c:lblAlgn val="ctr"/>
        <c:lblOffset val="100"/>
        <c:noMultiLvlLbl val="0"/>
      </c:catAx>
      <c:valAx>
        <c:axId val="24218575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85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[Confidence Interval Analysis1.xlsm]Total Savings Graph!PivotTable3</c:name>
    <c:fmtId val="13"/>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152400">
              <a:schemeClr val="accent1">
                <a:alpha val="40000"/>
              </a:schemeClr>
            </a:glo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152400">
              <a:schemeClr val="accent1">
                <a:alpha val="40000"/>
              </a:schemeClr>
            </a:glo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63500">
              <a:schemeClr val="accent1">
                <a:alpha val="40000"/>
              </a:schemeClr>
            </a:glo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alpha val="70000"/>
              </a:schemeClr>
            </a:solidFill>
            <a:round/>
          </a:ln>
          <a:effectLst>
            <a:glow>
              <a:schemeClr val="accent1"/>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Savings Graph'!$B$33</c:f>
              <c:strCache>
                <c:ptCount val="1"/>
                <c:pt idx="0">
                  <c:v>Likely Highiest Savings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152400">
                <a:schemeClr val="accent1">
                  <a:alpha val="40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'Total Savings Graph'!$A$34:$A$37</c:f>
              <c:strCache>
                <c:ptCount val="3"/>
                <c:pt idx="0">
                  <c:v>90%</c:v>
                </c:pt>
                <c:pt idx="1">
                  <c:v>95%</c:v>
                </c:pt>
                <c:pt idx="2">
                  <c:v>99%</c:v>
                </c:pt>
              </c:strCache>
            </c:strRef>
          </c:cat>
          <c:val>
            <c:numRef>
              <c:f>'Total Savings Graph'!$B$34:$B$37</c:f>
              <c:numCache>
                <c:formatCode>_("$"* #,##0_);_("$"* \(#,##0\);_("$"* "-"??_);_(@_)</c:formatCode>
                <c:ptCount val="3"/>
                <c:pt idx="0">
                  <c:v>142352866.25604603</c:v>
                </c:pt>
                <c:pt idx="1">
                  <c:v>159268796.02697003</c:v>
                </c:pt>
                <c:pt idx="2">
                  <c:v>196341475.70810023</c:v>
                </c:pt>
              </c:numCache>
            </c:numRef>
          </c:val>
          <c:extLst>
            <c:ext xmlns:c16="http://schemas.microsoft.com/office/drawing/2014/chart" uri="{C3380CC4-5D6E-409C-BE32-E72D297353CC}">
              <c16:uniqueId val="{00000000-D5D5-4126-8FA0-29C2DE2C321A}"/>
            </c:ext>
          </c:extLst>
        </c:ser>
        <c:ser>
          <c:idx val="1"/>
          <c:order val="1"/>
          <c:tx>
            <c:strRef>
              <c:f>'Total Savings Graph'!$C$33</c:f>
              <c:strCache>
                <c:ptCount val="1"/>
                <c:pt idx="0">
                  <c:v>Likely Middle Savings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glow rad="152400">
                <a:schemeClr val="accent1">
                  <a:alpha val="40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'Total Savings Graph'!$A$34:$A$37</c:f>
              <c:strCache>
                <c:ptCount val="3"/>
                <c:pt idx="0">
                  <c:v>90%</c:v>
                </c:pt>
                <c:pt idx="1">
                  <c:v>95%</c:v>
                </c:pt>
                <c:pt idx="2">
                  <c:v>99%</c:v>
                </c:pt>
              </c:strCache>
            </c:strRef>
          </c:cat>
          <c:val>
            <c:numRef>
              <c:f>'Total Savings Graph'!$C$34:$C$37</c:f>
              <c:numCache>
                <c:formatCode>_("$"* #,##0_);_("$"* \(#,##0\);_("$"* "-"??_);_(@_)</c:formatCode>
                <c:ptCount val="3"/>
                <c:pt idx="0">
                  <c:v>73889241.109199986</c:v>
                </c:pt>
                <c:pt idx="1">
                  <c:v>74469037.414199993</c:v>
                </c:pt>
                <c:pt idx="2">
                  <c:v>75814164.841800004</c:v>
                </c:pt>
              </c:numCache>
            </c:numRef>
          </c:val>
          <c:extLst>
            <c:ext xmlns:c16="http://schemas.microsoft.com/office/drawing/2014/chart" uri="{C3380CC4-5D6E-409C-BE32-E72D297353CC}">
              <c16:uniqueId val="{00000001-D5D5-4126-8FA0-29C2DE2C321A}"/>
            </c:ext>
          </c:extLst>
        </c:ser>
        <c:ser>
          <c:idx val="2"/>
          <c:order val="2"/>
          <c:tx>
            <c:strRef>
              <c:f>'Total Savings Graph'!$D$33</c:f>
              <c:strCache>
                <c:ptCount val="1"/>
                <c:pt idx="0">
                  <c:v>Likely Lowest Savings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glow rad="63500">
                <a:schemeClr val="accent1">
                  <a:alpha val="40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'Total Savings Graph'!$A$34:$A$37</c:f>
              <c:strCache>
                <c:ptCount val="3"/>
                <c:pt idx="0">
                  <c:v>90%</c:v>
                </c:pt>
                <c:pt idx="1">
                  <c:v>95%</c:v>
                </c:pt>
                <c:pt idx="2">
                  <c:v>99%</c:v>
                </c:pt>
              </c:strCache>
            </c:strRef>
          </c:cat>
          <c:val>
            <c:numRef>
              <c:f>'Total Savings Graph'!$D$34:$D$37</c:f>
              <c:numCache>
                <c:formatCode>_("$"* #,##0_);_("$"* \(#,##0\);_("$"* "-"??_);_(@_)</c:formatCode>
                <c:ptCount val="3"/>
                <c:pt idx="0">
                  <c:v>25885993.160422336</c:v>
                </c:pt>
                <c:pt idx="1">
                  <c:v>18884335.196145311</c:v>
                </c:pt>
                <c:pt idx="2">
                  <c:v>6560865.3179790489</c:v>
                </c:pt>
              </c:numCache>
            </c:numRef>
          </c:val>
          <c:extLst>
            <c:ext xmlns:c16="http://schemas.microsoft.com/office/drawing/2014/chart" uri="{C3380CC4-5D6E-409C-BE32-E72D297353CC}">
              <c16:uniqueId val="{00000002-D5D5-4126-8FA0-29C2DE2C321A}"/>
            </c:ext>
          </c:extLst>
        </c:ser>
        <c:dLbls>
          <c:showLegendKey val="0"/>
          <c:showVal val="1"/>
          <c:showCatName val="0"/>
          <c:showSerName val="0"/>
          <c:showPercent val="0"/>
          <c:showBubbleSize val="0"/>
        </c:dLbls>
        <c:gapWidth val="75"/>
        <c:axId val="663231743"/>
        <c:axId val="663229823"/>
      </c:barChart>
      <c:lineChart>
        <c:grouping val="standard"/>
        <c:varyColors val="0"/>
        <c:ser>
          <c:idx val="3"/>
          <c:order val="3"/>
          <c:tx>
            <c:strRef>
              <c:f>'Total Savings Graph'!$E$33</c:f>
              <c:strCache>
                <c:ptCount val="1"/>
                <c:pt idx="0">
                  <c:v>Middle Cost of Retroactive PO's</c:v>
                </c:pt>
              </c:strCache>
            </c:strRef>
          </c:tx>
          <c:spPr>
            <a:ln w="34925" cap="rnd">
              <a:solidFill>
                <a:schemeClr val="accent1">
                  <a:alpha val="70000"/>
                </a:schemeClr>
              </a:solidFill>
              <a:round/>
            </a:ln>
            <a:effectLst>
              <a:glow>
                <a:schemeClr val="accent1"/>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'Total Savings Graph'!$A$34:$A$37</c:f>
              <c:strCache>
                <c:ptCount val="3"/>
                <c:pt idx="0">
                  <c:v>90%</c:v>
                </c:pt>
                <c:pt idx="1">
                  <c:v>95%</c:v>
                </c:pt>
                <c:pt idx="2">
                  <c:v>99%</c:v>
                </c:pt>
              </c:strCache>
            </c:strRef>
          </c:cat>
          <c:val>
            <c:numRef>
              <c:f>'Total Savings Graph'!$E$34:$E$37</c:f>
              <c:numCache>
                <c:formatCode>_("$"* #,##0_);_("$"* \(#,##0\);_("$"* "-"??_);_(@_)</c:formatCode>
                <c:ptCount val="3"/>
                <c:pt idx="0">
                  <c:v>295556964.43679994</c:v>
                </c:pt>
                <c:pt idx="1">
                  <c:v>297876149.65679997</c:v>
                </c:pt>
                <c:pt idx="2">
                  <c:v>303256659.36720002</c:v>
                </c:pt>
              </c:numCache>
            </c:numRef>
          </c:val>
          <c:smooth val="0"/>
          <c:extLst>
            <c:ext xmlns:c16="http://schemas.microsoft.com/office/drawing/2014/chart" uri="{C3380CC4-5D6E-409C-BE32-E72D297353CC}">
              <c16:uniqueId val="{00000003-D5D5-4126-8FA0-29C2DE2C321A}"/>
            </c:ext>
          </c:extLst>
        </c:ser>
        <c:dLbls>
          <c:showLegendKey val="0"/>
          <c:showVal val="1"/>
          <c:showCatName val="0"/>
          <c:showSerName val="0"/>
          <c:showPercent val="0"/>
          <c:showBubbleSize val="0"/>
        </c:dLbls>
        <c:marker val="1"/>
        <c:smooth val="0"/>
        <c:axId val="663231743"/>
        <c:axId val="663229823"/>
      </c:lineChart>
      <c:catAx>
        <c:axId val="66323174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3229823"/>
        <c:crosses val="autoZero"/>
        <c:auto val="1"/>
        <c:lblAlgn val="ctr"/>
        <c:lblOffset val="100"/>
        <c:noMultiLvlLbl val="0"/>
      </c:catAx>
      <c:valAx>
        <c:axId val="663229823"/>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32317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Scroll" dx="22" fmlaLink="'Confidence Int - Cost Per Oder'!$H$40" inc="5" max="100" page="10" val="2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M$69" inc="5" max="99" page="10" val="25"/>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Total Savings &amp; Total Costs Gra'!$M$69" inc="5" max="99" page="10" val="25"/>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L$39" inc="5" max="99" page="10" val="25"/>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180975</xdr:rowOff>
    </xdr:from>
    <xdr:to>
      <xdr:col>19</xdr:col>
      <xdr:colOff>600074</xdr:colOff>
      <xdr:row>37</xdr:row>
      <xdr:rowOff>171450</xdr:rowOff>
    </xdr:to>
    <xdr:graphicFrame macro="">
      <xdr:nvGraphicFramePr>
        <xdr:cNvPr id="2" name="Chart 1">
          <a:extLst>
            <a:ext uri="{FF2B5EF4-FFF2-40B4-BE49-F238E27FC236}">
              <a16:creationId xmlns:a16="http://schemas.microsoft.com/office/drawing/2014/main" id="{C012872A-7ECE-4B1A-95F4-AB721308BC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9525</xdr:colOff>
      <xdr:row>10</xdr:row>
      <xdr:rowOff>171451</xdr:rowOff>
    </xdr:from>
    <xdr:to>
      <xdr:col>23</xdr:col>
      <xdr:colOff>9525</xdr:colOff>
      <xdr:row>19</xdr:row>
      <xdr:rowOff>38101</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63EE8CF3-CB47-4CDA-8329-BCB169866C94}"/>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2839700" y="2076451"/>
              <a:ext cx="1828800" cy="1581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9525</xdr:colOff>
      <xdr:row>3</xdr:row>
      <xdr:rowOff>0</xdr:rowOff>
    </xdr:from>
    <xdr:to>
      <xdr:col>23</xdr:col>
      <xdr:colOff>9525</xdr:colOff>
      <xdr:row>10</xdr:row>
      <xdr:rowOff>171450</xdr:rowOff>
    </xdr:to>
    <mc:AlternateContent xmlns:mc="http://schemas.openxmlformats.org/markup-compatibility/2006" xmlns:a14="http://schemas.microsoft.com/office/drawing/2010/main">
      <mc:Choice Requires="a14">
        <xdr:graphicFrame macro="">
          <xdr:nvGraphicFramePr>
            <xdr:cNvPr id="4" name="Confidence 1">
              <a:extLst>
                <a:ext uri="{FF2B5EF4-FFF2-40B4-BE49-F238E27FC236}">
                  <a16:creationId xmlns:a16="http://schemas.microsoft.com/office/drawing/2014/main" id="{A9172B53-0624-4290-8738-C73DF5AD48A5}"/>
                </a:ext>
              </a:extLst>
            </xdr:cNvPr>
            <xdr:cNvGraphicFramePr/>
          </xdr:nvGraphicFramePr>
          <xdr:xfrm>
            <a:off x="0" y="0"/>
            <a:ext cx="0" cy="0"/>
          </xdr:xfrm>
          <a:graphic>
            <a:graphicData uri="http://schemas.microsoft.com/office/drawing/2010/slicer">
              <sle:slicer xmlns:sle="http://schemas.microsoft.com/office/drawing/2010/slicer" name="Confidence 1"/>
            </a:graphicData>
          </a:graphic>
        </xdr:graphicFrame>
      </mc:Choice>
      <mc:Fallback xmlns="">
        <xdr:sp macro="" textlink="">
          <xdr:nvSpPr>
            <xdr:cNvPr id="0" name=""/>
            <xdr:cNvSpPr>
              <a:spLocks noTextEdit="1"/>
            </xdr:cNvSpPr>
          </xdr:nvSpPr>
          <xdr:spPr>
            <a:xfrm>
              <a:off x="12839700" y="571500"/>
              <a:ext cx="1828800" cy="1504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28575</xdr:colOff>
      <xdr:row>40</xdr:row>
      <xdr:rowOff>180975</xdr:rowOff>
    </xdr:from>
    <xdr:to>
      <xdr:col>10</xdr:col>
      <xdr:colOff>28575</xdr:colOff>
      <xdr:row>47</xdr:row>
      <xdr:rowOff>171450</xdr:rowOff>
    </xdr:to>
    <mc:AlternateContent xmlns:mc="http://schemas.openxmlformats.org/markup-compatibility/2006" xmlns:sle15="http://schemas.microsoft.com/office/drawing/2012/slicer">
      <mc:Choice Requires="sle15">
        <xdr:graphicFrame macro="">
          <xdr:nvGraphicFramePr>
            <xdr:cNvPr id="8" name="Confidence">
              <a:extLst>
                <a:ext uri="{FF2B5EF4-FFF2-40B4-BE49-F238E27FC236}">
                  <a16:creationId xmlns:a16="http://schemas.microsoft.com/office/drawing/2014/main" id="{9AB6487F-3FFE-983E-AF03-6D23A91B92CB}"/>
                </a:ext>
              </a:extLst>
            </xdr:cNvPr>
            <xdr:cNvGraphicFramePr/>
          </xdr:nvGraphicFramePr>
          <xdr:xfrm>
            <a:off x="0" y="0"/>
            <a:ext cx="0" cy="0"/>
          </xdr:xfrm>
          <a:graphic>
            <a:graphicData uri="http://schemas.microsoft.com/office/drawing/2010/slicer">
              <sle:slicer xmlns:sle="http://schemas.microsoft.com/office/drawing/2010/slicer" name="Confidence"/>
            </a:graphicData>
          </a:graphic>
        </xdr:graphicFrame>
      </mc:Choice>
      <mc:Fallback xmlns="">
        <xdr:sp macro="" textlink="">
          <xdr:nvSpPr>
            <xdr:cNvPr id="0" name=""/>
            <xdr:cNvSpPr>
              <a:spLocks noTextEdit="1"/>
            </xdr:cNvSpPr>
          </xdr:nvSpPr>
          <xdr:spPr>
            <a:xfrm>
              <a:off x="4933950" y="7800975"/>
              <a:ext cx="1828800" cy="1323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59</xdr:row>
      <xdr:rowOff>0</xdr:rowOff>
    </xdr:from>
    <xdr:to>
      <xdr:col>21</xdr:col>
      <xdr:colOff>419099</xdr:colOff>
      <xdr:row>86</xdr:row>
      <xdr:rowOff>95250</xdr:rowOff>
    </xdr:to>
    <xdr:graphicFrame macro="">
      <xdr:nvGraphicFramePr>
        <xdr:cNvPr id="11" name="Chart 10">
          <a:extLst>
            <a:ext uri="{FF2B5EF4-FFF2-40B4-BE49-F238E27FC236}">
              <a16:creationId xmlns:a16="http://schemas.microsoft.com/office/drawing/2014/main" id="{5281C195-BADE-423A-9E77-AD0504F3DB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188334</xdr:rowOff>
    </xdr:from>
    <xdr:to>
      <xdr:col>16</xdr:col>
      <xdr:colOff>9525</xdr:colOff>
      <xdr:row>45</xdr:row>
      <xdr:rowOff>90920</xdr:rowOff>
    </xdr:to>
    <xdr:graphicFrame macro="">
      <xdr:nvGraphicFramePr>
        <xdr:cNvPr id="2" name="Chart 1">
          <a:extLst>
            <a:ext uri="{FF2B5EF4-FFF2-40B4-BE49-F238E27FC236}">
              <a16:creationId xmlns:a16="http://schemas.microsoft.com/office/drawing/2014/main" id="{05595AB2-58AB-50E4-2458-8B0A9033B7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11906</xdr:colOff>
      <xdr:row>10</xdr:row>
      <xdr:rowOff>7144</xdr:rowOff>
    </xdr:from>
    <xdr:to>
      <xdr:col>19</xdr:col>
      <xdr:colOff>11906</xdr:colOff>
      <xdr:row>18</xdr:row>
      <xdr:rowOff>48708</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7503C887-899C-61FE-29C9-E9DF6004941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5251906" y="1912144"/>
              <a:ext cx="1828800" cy="15655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14072</xdr:colOff>
      <xdr:row>3</xdr:row>
      <xdr:rowOff>18833</xdr:rowOff>
    </xdr:from>
    <xdr:to>
      <xdr:col>19</xdr:col>
      <xdr:colOff>14071</xdr:colOff>
      <xdr:row>9</xdr:row>
      <xdr:rowOff>189417</xdr:rowOff>
    </xdr:to>
    <mc:AlternateContent xmlns:mc="http://schemas.openxmlformats.org/markup-compatibility/2006" xmlns:a14="http://schemas.microsoft.com/office/drawing/2010/main">
      <mc:Choice Requires="a14">
        <xdr:graphicFrame macro="">
          <xdr:nvGraphicFramePr>
            <xdr:cNvPr id="4" name="Confidence Level 1">
              <a:extLst>
                <a:ext uri="{FF2B5EF4-FFF2-40B4-BE49-F238E27FC236}">
                  <a16:creationId xmlns:a16="http://schemas.microsoft.com/office/drawing/2014/main" id="{9D96FC8E-29EE-57EE-3A9A-910C29847CA2}"/>
                </a:ext>
              </a:extLst>
            </xdr:cNvPr>
            <xdr:cNvGraphicFramePr/>
          </xdr:nvGraphicFramePr>
          <xdr:xfrm>
            <a:off x="0" y="0"/>
            <a:ext cx="0" cy="0"/>
          </xdr:xfrm>
          <a:graphic>
            <a:graphicData uri="http://schemas.microsoft.com/office/drawing/2010/slicer">
              <sle:slicer xmlns:sle="http://schemas.microsoft.com/office/drawing/2010/slicer" name="Confidence Level 1"/>
            </a:graphicData>
          </a:graphic>
        </xdr:graphicFrame>
      </mc:Choice>
      <mc:Fallback xmlns="">
        <xdr:sp macro="" textlink="">
          <xdr:nvSpPr>
            <xdr:cNvPr id="0" name=""/>
            <xdr:cNvSpPr>
              <a:spLocks noTextEdit="1"/>
            </xdr:cNvSpPr>
          </xdr:nvSpPr>
          <xdr:spPr>
            <a:xfrm>
              <a:off x="15254072" y="590333"/>
              <a:ext cx="1828799" cy="13135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16</xdr:col>
          <xdr:colOff>352425</xdr:colOff>
          <xdr:row>23</xdr:row>
          <xdr:rowOff>114300</xdr:rowOff>
        </xdr:from>
        <xdr:to>
          <xdr:col>18</xdr:col>
          <xdr:colOff>0</xdr:colOff>
          <xdr:row>35</xdr:row>
          <xdr:rowOff>114300</xdr:rowOff>
        </xdr:to>
        <xdr:sp macro="" textlink="">
          <xdr:nvSpPr>
            <xdr:cNvPr id="9219" name="Scroll Bar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161925</xdr:colOff>
          <xdr:row>36</xdr:row>
          <xdr:rowOff>95250</xdr:rowOff>
        </xdr:from>
        <xdr:to>
          <xdr:col>19</xdr:col>
          <xdr:colOff>47625</xdr:colOff>
          <xdr:row>39</xdr:row>
          <xdr:rowOff>95250</xdr:rowOff>
        </xdr:to>
        <xdr:sp macro="" textlink="">
          <xdr:nvSpPr>
            <xdr:cNvPr id="9221" name="Button 5" descr="Refresh Chart"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Refresh Chart</a:t>
              </a:r>
            </a:p>
          </xdr:txBody>
        </xdr:sp>
        <xdr:clientData fPrintsWithSheet="0"/>
      </xdr:twoCellAnchor>
    </mc:Choice>
    <mc:Fallback/>
  </mc:AlternateContent>
  <xdr:twoCellAnchor>
    <xdr:from>
      <xdr:col>0</xdr:col>
      <xdr:colOff>0</xdr:colOff>
      <xdr:row>84</xdr:row>
      <xdr:rowOff>28574</xdr:rowOff>
    </xdr:from>
    <xdr:to>
      <xdr:col>16</xdr:col>
      <xdr:colOff>304800</xdr:colOff>
      <xdr:row>121</xdr:row>
      <xdr:rowOff>123825</xdr:rowOff>
    </xdr:to>
    <xdr:graphicFrame macro="">
      <xdr:nvGraphicFramePr>
        <xdr:cNvPr id="5" name="Chart 4">
          <a:extLst>
            <a:ext uri="{FF2B5EF4-FFF2-40B4-BE49-F238E27FC236}">
              <a16:creationId xmlns:a16="http://schemas.microsoft.com/office/drawing/2014/main" id="{A65C95ED-5C42-2C0C-258A-FBBD8B67BF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xdr:colOff>
      <xdr:row>3</xdr:row>
      <xdr:rowOff>9525</xdr:rowOff>
    </xdr:from>
    <xdr:to>
      <xdr:col>14</xdr:col>
      <xdr:colOff>238126</xdr:colOff>
      <xdr:row>47</xdr:row>
      <xdr:rowOff>9525</xdr:rowOff>
    </xdr:to>
    <xdr:graphicFrame macro="">
      <xdr:nvGraphicFramePr>
        <xdr:cNvPr id="2" name="Chart 1">
          <a:extLst>
            <a:ext uri="{FF2B5EF4-FFF2-40B4-BE49-F238E27FC236}">
              <a16:creationId xmlns:a16="http://schemas.microsoft.com/office/drawing/2014/main" id="{AB6EAACA-90BE-9F5F-5C10-B7E94B734A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19050</xdr:colOff>
      <xdr:row>11</xdr:row>
      <xdr:rowOff>9525</xdr:rowOff>
    </xdr:from>
    <xdr:to>
      <xdr:col>18</xdr:col>
      <xdr:colOff>142875</xdr:colOff>
      <xdr:row>19</xdr:row>
      <xdr:rowOff>133350</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214997E5-2F0C-C68D-524D-3660A4ED748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6544925" y="2105025"/>
              <a:ext cx="1828800" cy="1647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0</xdr:colOff>
      <xdr:row>3</xdr:row>
      <xdr:rowOff>0</xdr:rowOff>
    </xdr:from>
    <xdr:to>
      <xdr:col>18</xdr:col>
      <xdr:colOff>123825</xdr:colOff>
      <xdr:row>10</xdr:row>
      <xdr:rowOff>133350</xdr:rowOff>
    </xdr:to>
    <mc:AlternateContent xmlns:mc="http://schemas.openxmlformats.org/markup-compatibility/2006" xmlns:a14="http://schemas.microsoft.com/office/drawing/2010/main">
      <mc:Choice Requires="a14">
        <xdr:graphicFrame macro="">
          <xdr:nvGraphicFramePr>
            <xdr:cNvPr id="4" name="Confidence 2">
              <a:extLst>
                <a:ext uri="{FF2B5EF4-FFF2-40B4-BE49-F238E27FC236}">
                  <a16:creationId xmlns:a16="http://schemas.microsoft.com/office/drawing/2014/main" id="{869091DE-58CB-3FBB-05AB-E26F7026EA74}"/>
                </a:ext>
              </a:extLst>
            </xdr:cNvPr>
            <xdr:cNvGraphicFramePr/>
          </xdr:nvGraphicFramePr>
          <xdr:xfrm>
            <a:off x="0" y="0"/>
            <a:ext cx="0" cy="0"/>
          </xdr:xfrm>
          <a:graphic>
            <a:graphicData uri="http://schemas.microsoft.com/office/drawing/2010/slicer">
              <sle:slicer xmlns:sle="http://schemas.microsoft.com/office/drawing/2010/slicer" name="Confidence 2"/>
            </a:graphicData>
          </a:graphic>
        </xdr:graphicFrame>
      </mc:Choice>
      <mc:Fallback xmlns="">
        <xdr:sp macro="" textlink="">
          <xdr:nvSpPr>
            <xdr:cNvPr id="0" name=""/>
            <xdr:cNvSpPr>
              <a:spLocks noTextEdit="1"/>
            </xdr:cNvSpPr>
          </xdr:nvSpPr>
          <xdr:spPr>
            <a:xfrm>
              <a:off x="16525875" y="571500"/>
              <a:ext cx="1828800"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15</xdr:col>
          <xdr:colOff>9525</xdr:colOff>
          <xdr:row>25</xdr:row>
          <xdr:rowOff>190500</xdr:rowOff>
        </xdr:from>
        <xdr:to>
          <xdr:col>17</xdr:col>
          <xdr:colOff>438150</xdr:colOff>
          <xdr:row>33</xdr:row>
          <xdr:rowOff>9525</xdr:rowOff>
        </xdr:to>
        <xdr:sp macro="" textlink="">
          <xdr:nvSpPr>
            <xdr:cNvPr id="14337" name="Spinner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9525</xdr:colOff>
          <xdr:row>35</xdr:row>
          <xdr:rowOff>0</xdr:rowOff>
        </xdr:from>
        <xdr:to>
          <xdr:col>17</xdr:col>
          <xdr:colOff>514350</xdr:colOff>
          <xdr:row>37</xdr:row>
          <xdr:rowOff>171450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Refresh Chart</a:t>
              </a:r>
            </a:p>
          </xdr:txBody>
        </xdr:sp>
        <xdr:clientData fPrintsWithSheet="0"/>
      </xdr:twoCellAnchor>
    </mc:Choice>
    <mc:Fallback/>
  </mc:AlternateContent>
  <xdr:twoCellAnchor>
    <xdr:from>
      <xdr:col>0</xdr:col>
      <xdr:colOff>0</xdr:colOff>
      <xdr:row>84</xdr:row>
      <xdr:rowOff>28574</xdr:rowOff>
    </xdr:from>
    <xdr:to>
      <xdr:col>12</xdr:col>
      <xdr:colOff>57149</xdr:colOff>
      <xdr:row>125</xdr:row>
      <xdr:rowOff>190499</xdr:rowOff>
    </xdr:to>
    <xdr:graphicFrame macro="">
      <xdr:nvGraphicFramePr>
        <xdr:cNvPr id="5" name="Chart 4">
          <a:extLst>
            <a:ext uri="{FF2B5EF4-FFF2-40B4-BE49-F238E27FC236}">
              <a16:creationId xmlns:a16="http://schemas.microsoft.com/office/drawing/2014/main" id="{E6B21F5D-0F8C-F873-9434-201B959997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xdr:row>
      <xdr:rowOff>19049</xdr:rowOff>
    </xdr:from>
    <xdr:to>
      <xdr:col>18</xdr:col>
      <xdr:colOff>609599</xdr:colOff>
      <xdr:row>40</xdr:row>
      <xdr:rowOff>95250</xdr:rowOff>
    </xdr:to>
    <xdr:graphicFrame macro="">
      <xdr:nvGraphicFramePr>
        <xdr:cNvPr id="2" name="Chart 1">
          <a:extLst>
            <a:ext uri="{FF2B5EF4-FFF2-40B4-BE49-F238E27FC236}">
              <a16:creationId xmlns:a16="http://schemas.microsoft.com/office/drawing/2014/main" id="{782F461A-0D6F-BD20-4767-729B82298D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19050</xdr:colOff>
      <xdr:row>9</xdr:row>
      <xdr:rowOff>123825</xdr:rowOff>
    </xdr:from>
    <xdr:to>
      <xdr:col>22</xdr:col>
      <xdr:colOff>19050</xdr:colOff>
      <xdr:row>17</xdr:row>
      <xdr:rowOff>171450</xdr:rowOff>
    </xdr:to>
    <mc:AlternateContent xmlns:mc="http://schemas.openxmlformats.org/markup-compatibility/2006" xmlns:a14="http://schemas.microsoft.com/office/drawing/2010/main">
      <mc:Choice Requires="a14">
        <xdr:graphicFrame macro="">
          <xdr:nvGraphicFramePr>
            <xdr:cNvPr id="3" name="Year 3">
              <a:extLst>
                <a:ext uri="{FF2B5EF4-FFF2-40B4-BE49-F238E27FC236}">
                  <a16:creationId xmlns:a16="http://schemas.microsoft.com/office/drawing/2014/main" id="{BB48185D-1173-3B66-B26E-69E30794CB52}"/>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15059025" y="1838325"/>
              <a:ext cx="1828800" cy="1571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9525</xdr:colOff>
      <xdr:row>3</xdr:row>
      <xdr:rowOff>9525</xdr:rowOff>
    </xdr:from>
    <xdr:to>
      <xdr:col>22</xdr:col>
      <xdr:colOff>9525</xdr:colOff>
      <xdr:row>9</xdr:row>
      <xdr:rowOff>114300</xdr:rowOff>
    </xdr:to>
    <mc:AlternateContent xmlns:mc="http://schemas.openxmlformats.org/markup-compatibility/2006" xmlns:a14="http://schemas.microsoft.com/office/drawing/2010/main">
      <mc:Choice Requires="a14">
        <xdr:graphicFrame macro="">
          <xdr:nvGraphicFramePr>
            <xdr:cNvPr id="4" name="Confidence 3">
              <a:extLst>
                <a:ext uri="{FF2B5EF4-FFF2-40B4-BE49-F238E27FC236}">
                  <a16:creationId xmlns:a16="http://schemas.microsoft.com/office/drawing/2014/main" id="{7E439F9D-FD62-6C54-C48E-537707AB1772}"/>
                </a:ext>
              </a:extLst>
            </xdr:cNvPr>
            <xdr:cNvGraphicFramePr/>
          </xdr:nvGraphicFramePr>
          <xdr:xfrm>
            <a:off x="0" y="0"/>
            <a:ext cx="0" cy="0"/>
          </xdr:xfrm>
          <a:graphic>
            <a:graphicData uri="http://schemas.microsoft.com/office/drawing/2010/slicer">
              <sle:slicer xmlns:sle="http://schemas.microsoft.com/office/drawing/2010/slicer" name="Confidence 3"/>
            </a:graphicData>
          </a:graphic>
        </xdr:graphicFrame>
      </mc:Choice>
      <mc:Fallback xmlns="">
        <xdr:sp macro="" textlink="">
          <xdr:nvSpPr>
            <xdr:cNvPr id="0" name=""/>
            <xdr:cNvSpPr>
              <a:spLocks noTextEdit="1"/>
            </xdr:cNvSpPr>
          </xdr:nvSpPr>
          <xdr:spPr>
            <a:xfrm>
              <a:off x="15049500" y="581025"/>
              <a:ext cx="1828800" cy="1247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19</xdr:col>
          <xdr:colOff>123825</xdr:colOff>
          <xdr:row>25</xdr:row>
          <xdr:rowOff>9525</xdr:rowOff>
        </xdr:from>
        <xdr:to>
          <xdr:col>21</xdr:col>
          <xdr:colOff>314325</xdr:colOff>
          <xdr:row>30</xdr:row>
          <xdr:rowOff>104775</xdr:rowOff>
        </xdr:to>
        <xdr:sp macro="" textlink="">
          <xdr:nvSpPr>
            <xdr:cNvPr id="15361" name="Spinner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285750</xdr:colOff>
          <xdr:row>31</xdr:row>
          <xdr:rowOff>180975</xdr:rowOff>
        </xdr:from>
        <xdr:to>
          <xdr:col>21</xdr:col>
          <xdr:colOff>476250</xdr:colOff>
          <xdr:row>35</xdr:row>
          <xdr:rowOff>142875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1" i="0" u="none" strike="noStrike" baseline="0">
                  <a:solidFill>
                    <a:srgbClr val="000000"/>
                  </a:solidFill>
                  <a:latin typeface="Aptos Narrow"/>
                </a:rPr>
                <a:t>Refresh Chart</a:t>
              </a:r>
            </a:p>
          </xdr:txBody>
        </xdr:sp>
        <xdr:clientData fPrintsWithSheet="0"/>
      </xdr:twoCellAnchor>
    </mc:Choice>
    <mc:Fallback/>
  </mc:AlternateContent>
  <xdr:twoCellAnchor>
    <xdr:from>
      <xdr:col>0</xdr:col>
      <xdr:colOff>0</xdr:colOff>
      <xdr:row>59</xdr:row>
      <xdr:rowOff>171449</xdr:rowOff>
    </xdr:from>
    <xdr:to>
      <xdr:col>17</xdr:col>
      <xdr:colOff>9525</xdr:colOff>
      <xdr:row>99</xdr:row>
      <xdr:rowOff>57150</xdr:rowOff>
    </xdr:to>
    <xdr:graphicFrame macro="">
      <xdr:nvGraphicFramePr>
        <xdr:cNvPr id="5" name="Chart 4">
          <a:extLst>
            <a:ext uri="{FF2B5EF4-FFF2-40B4-BE49-F238E27FC236}">
              <a16:creationId xmlns:a16="http://schemas.microsoft.com/office/drawing/2014/main" id="{B1FE278E-9226-3A29-0B11-6F44D1490F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3</xdr:row>
      <xdr:rowOff>19050</xdr:rowOff>
    </xdr:from>
    <xdr:to>
      <xdr:col>10</xdr:col>
      <xdr:colOff>1209675</xdr:colOff>
      <xdr:row>31</xdr:row>
      <xdr:rowOff>9525</xdr:rowOff>
    </xdr:to>
    <xdr:graphicFrame macro="">
      <xdr:nvGraphicFramePr>
        <xdr:cNvPr id="2" name="Chart 1">
          <a:extLst>
            <a:ext uri="{FF2B5EF4-FFF2-40B4-BE49-F238E27FC236}">
              <a16:creationId xmlns:a16="http://schemas.microsoft.com/office/drawing/2014/main" id="{CD9D9C40-BC1B-CF95-D649-7245EC5D5F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85725</xdr:colOff>
      <xdr:row>3</xdr:row>
      <xdr:rowOff>47625</xdr:rowOff>
    </xdr:from>
    <xdr:to>
      <xdr:col>12</xdr:col>
      <xdr:colOff>695325</xdr:colOff>
      <xdr:row>10</xdr:row>
      <xdr:rowOff>95250</xdr:rowOff>
    </xdr:to>
    <mc:AlternateContent xmlns:mc="http://schemas.openxmlformats.org/markup-compatibility/2006">
      <mc:Choice xmlns:a14="http://schemas.microsoft.com/office/drawing/2010/main" Requires="a14">
        <xdr:graphicFrame macro="">
          <xdr:nvGraphicFramePr>
            <xdr:cNvPr id="3" name="Confidence Level">
              <a:extLst>
                <a:ext uri="{FF2B5EF4-FFF2-40B4-BE49-F238E27FC236}">
                  <a16:creationId xmlns:a16="http://schemas.microsoft.com/office/drawing/2014/main" id="{BA24AD90-C32B-9906-BD44-EBA223EB749D}"/>
                </a:ext>
              </a:extLst>
            </xdr:cNvPr>
            <xdr:cNvGraphicFramePr/>
          </xdr:nvGraphicFramePr>
          <xdr:xfrm>
            <a:off x="0" y="0"/>
            <a:ext cx="0" cy="0"/>
          </xdr:xfrm>
          <a:graphic>
            <a:graphicData uri="http://schemas.microsoft.com/office/drawing/2010/slicer">
              <sle:slicer xmlns:sle="http://schemas.microsoft.com/office/drawing/2010/slicer" name="Confidence Level"/>
            </a:graphicData>
          </a:graphic>
        </xdr:graphicFrame>
      </mc:Choice>
      <mc:Fallback>
        <xdr:sp macro="" textlink="">
          <xdr:nvSpPr>
            <xdr:cNvPr id="0" name=""/>
            <xdr:cNvSpPr>
              <a:spLocks noTextEdit="1"/>
            </xdr:cNvSpPr>
          </xdr:nvSpPr>
          <xdr:spPr>
            <a:xfrm>
              <a:off x="12687300" y="619125"/>
              <a:ext cx="1828800" cy="1381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11</xdr:col>
          <xdr:colOff>161925</xdr:colOff>
          <xdr:row>17</xdr:row>
          <xdr:rowOff>152400</xdr:rowOff>
        </xdr:from>
        <xdr:to>
          <xdr:col>12</xdr:col>
          <xdr:colOff>885825</xdr:colOff>
          <xdr:row>23</xdr:row>
          <xdr:rowOff>0</xdr:rowOff>
        </xdr:to>
        <xdr:sp macro="" textlink="">
          <xdr:nvSpPr>
            <xdr:cNvPr id="20481" name="Spinner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523875</xdr:colOff>
          <xdr:row>24</xdr:row>
          <xdr:rowOff>123825</xdr:rowOff>
        </xdr:from>
        <xdr:to>
          <xdr:col>12</xdr:col>
          <xdr:colOff>714375</xdr:colOff>
          <xdr:row>27</xdr:row>
          <xdr:rowOff>95250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Refresh Chart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ody Blanchard" refreshedDate="45831.587357638891" createdVersion="8" refreshedVersion="8" minRefreshableVersion="3" recordCount="12" xr:uid="{958AFAFE-0E3F-404F-910F-FCEE68A945A6}">
  <cacheSource type="worksheet">
    <worksheetSource name="Table2"/>
  </cacheSource>
  <cacheFields count="6">
    <cacheField name="Year" numFmtId="0">
      <sharedItems containsSemiMixedTypes="0" containsString="0" containsNumber="1" containsInteger="1" minValue="2021" maxValue="2024" count="4">
        <n v="2021"/>
        <n v="2022"/>
        <n v="2023"/>
        <n v="2024"/>
      </sharedItems>
    </cacheField>
    <cacheField name="Confidence" numFmtId="9">
      <sharedItems containsSemiMixedTypes="0" containsString="0" containsNumber="1" minValue="0.9" maxValue="0.99" count="3">
        <n v="0.9"/>
        <n v="0.95"/>
        <n v="0.99"/>
      </sharedItems>
    </cacheField>
    <cacheField name="Upper" numFmtId="1">
      <sharedItems containsSemiMixedTypes="0" containsString="0" containsNumber="1" minValue="1187.2533999999998" maxValue="4021.5890999999997" count="12">
        <n v="3711.4824000000003"/>
        <n v="3827.0988000000002"/>
        <n v="4021.5890999999997"/>
        <n v="2563.136"/>
        <n v="2872.48"/>
        <n v="3368.9495000000002"/>
        <n v="3000.0383999999999"/>
        <n v="3362.1119999999996"/>
        <n v="3943.2078000000001"/>
        <n v="1187.2533999999998"/>
        <n v="1287.5189"/>
        <n v="1574.0309999999999"/>
      </sharedItems>
    </cacheField>
    <cacheField name="Mid" numFmtId="1">
      <sharedItems containsSemiMixedTypes="0" containsString="0" containsNumber="1" minValue="768.61059999999998" maxValue="2881.1018999999997" count="12">
        <n v="2881.1018999999997"/>
        <n v="2860.5261"/>
        <n v="2817.4148999999998"/>
        <n v="1627.5084999999999"/>
        <n v="1714.5114999999998"/>
        <n v="1896.8035"/>
        <n v="1904.9274"/>
        <n v="2006.7605999999998"/>
        <n v="2220.1253999999999"/>
        <n v="768.61059999999998"/>
        <n v="797.45410000000004"/>
        <n v="857.88810000000001"/>
      </sharedItems>
    </cacheField>
    <cacheField name="Lower" numFmtId="1">
      <sharedItems containsSemiMixedTypes="0" containsString="0" containsNumber="1" minValue="240.08780000000002" maxValue="2050.7214000000004" count="12">
        <n v="2050.7214000000004"/>
        <n v="1893.9534000000001"/>
        <n v="1613.2406999999998"/>
        <n v="642.85550000000001"/>
        <n v="556.54300000000001"/>
        <n v="425.34800000000001"/>
        <n v="752.43420000000003"/>
        <n v="651.40920000000006"/>
        <n v="497.85120000000001"/>
        <n v="349.96780000000001"/>
        <n v="307.38929999999999"/>
        <n v="240.08780000000002"/>
      </sharedItems>
    </cacheField>
    <cacheField name="Delta" numFmtId="1">
      <sharedItems containsSemiMixedTypes="0" containsString="0" containsNumber="1" minValue="418.64279999999985" maxValue="1723.0824000000002"/>
    </cacheField>
  </cacheFields>
  <extLst>
    <ext xmlns:x14="http://schemas.microsoft.com/office/spreadsheetml/2009/9/main" uri="{725AE2AE-9491-48be-B2B4-4EB974FC3084}">
      <x14:pivotCacheDefinition pivotCacheId="198827709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ody Blanchard" refreshedDate="45835.455200231481" createdVersion="8" refreshedVersion="8" minRefreshableVersion="3" recordCount="12" xr:uid="{74E6B867-CFA2-42C8-80E4-08C34CC1B871}">
  <cacheSource type="worksheet">
    <worksheetSource name="Table9"/>
  </cacheSource>
  <cacheFields count="8">
    <cacheField name="Year" numFmtId="0">
      <sharedItems containsSemiMixedTypes="0" containsString="0" containsNumber="1" containsInteger="1" minValue="2021" maxValue="2024" count="4">
        <n v="2021"/>
        <n v="2022"/>
        <n v="2023"/>
        <n v="2024"/>
      </sharedItems>
    </cacheField>
    <cacheField name="Confidence Level" numFmtId="9">
      <sharedItems containsSemiMixedTypes="0" containsString="0" containsNumber="1" minValue="0.9" maxValue="0.99" count="3">
        <n v="0.9"/>
        <n v="0.95"/>
        <n v="0.99"/>
      </sharedItems>
    </cacheField>
    <cacheField name="Upper" numFmtId="164">
      <sharedItems containsSemiMixedTypes="0" containsString="0" containsNumber="1" minValue="14208.41" maxValue="326896.17749999999"/>
    </cacheField>
    <cacheField name="Middle" numFmtId="164">
      <sharedItems containsSemiMixedTypes="0" containsString="0" containsNumber="1" minValue="8291.41" maxValue="62057.177499999998"/>
    </cacheField>
    <cacheField name="Lower" numFmtId="164">
      <sharedItems containsSemiMixedTypes="0" containsString="0" containsNumber="1" minValue="0" maxValue="19283.91333333333"/>
    </cacheField>
    <cacheField name="Saving - H" numFmtId="164">
      <sharedItems containsSemiMixedTypes="0" containsString="0" containsNumber="1" minValue="2841.6820000000002" maxValue="65379.235499999995"/>
    </cacheField>
    <cacheField name="Saving - M" numFmtId="164">
      <sharedItems containsSemiMixedTypes="0" containsString="0" containsNumber="1" minValue="1658.2820000000002" maxValue="12411.4355"/>
    </cacheField>
    <cacheField name="Savings - L" numFmtId="164">
      <sharedItems containsSemiMixedTypes="0" containsString="0" containsNumber="1" minValue="0" maxValue="3856.782666666666"/>
    </cacheField>
  </cacheFields>
  <extLst>
    <ext xmlns:x14="http://schemas.microsoft.com/office/spreadsheetml/2009/9/main" uri="{725AE2AE-9491-48be-B2B4-4EB974FC3084}">
      <x14:pivotCacheDefinition pivotCacheId="18384849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ody Blanchard" refreshedDate="45835.492129513892" createdVersion="8" refreshedVersion="8" minRefreshableVersion="3" recordCount="3" xr:uid="{D10B0201-E522-4A1E-AFC9-ED5A4EE5A690}">
  <cacheSource type="worksheet">
    <worksheetSource name="Table1"/>
  </cacheSource>
  <cacheFields count="13">
    <cacheField name="Confidence Level" numFmtId="9">
      <sharedItems containsSemiMixedTypes="0" containsString="0" containsNumber="1" minValue="0.9" maxValue="0.99" count="3">
        <n v="0.9"/>
        <n v="0.95"/>
        <n v="0.99"/>
      </sharedItems>
    </cacheField>
    <cacheField name="Upper" numFmtId="164">
      <sharedItems containsSemiMixedTypes="0" containsString="0" containsNumber="1" minValue="64272.01221574645" maxValue="78303.246608347225"/>
    </cacheField>
    <cacheField name="Midline" numFmtId="164">
      <sharedItems containsSemiMixedTypes="0" containsString="0" containsNumber="1" minValue="42167.003999999994" maxValue="42167.004000000001"/>
    </cacheField>
    <cacheField name="Lower" numFmtId="164">
      <sharedItems containsSemiMixedTypes="0" containsString="0" containsNumber="1" minValue="6030.7613916527698" maxValue="20061.995784253537"/>
    </cacheField>
    <cacheField name="Upper#" numFmtId="1">
      <sharedItems containsSemiMixedTypes="0" containsString="0" containsNumber="1" minValue="8859.4" maxValue="10029.800000000001"/>
    </cacheField>
    <cacheField name="Midline#" numFmtId="1">
      <sharedItems containsSemiMixedTypes="0" containsString="0" containsNumber="1" minValue="7009.2" maxValue="7191.8"/>
    </cacheField>
    <cacheField name="Lower#" numFmtId="1">
      <sharedItems containsSemiMixedTypes="0" containsString="0" containsNumber="1" minValue="4351.6000000000004" maxValue="5161.2"/>
    </cacheField>
    <cacheField name="Upper Total" numFmtId="164">
      <sharedItems containsSemiMixedTypes="0" containsString="0" containsNumber="1" minValue="569411465.02418411" maxValue="785365902.83240104"/>
    </cacheField>
    <cacheField name="Middle Total" numFmtId="164">
      <sharedItems containsSemiMixedTypes="0" containsString="0" containsNumber="1" minValue="295556964.43679994" maxValue="303256659.36720002"/>
    </cacheField>
    <cacheField name="Lower Total" numFmtId="164">
      <sharedItems containsSemiMixedTypes="0" containsString="0" containsNumber="1" minValue="26243461.271916196" maxValue="103543972.64168935"/>
    </cacheField>
    <cacheField name="Highiest Savings" numFmtId="164">
      <sharedItems containsSemiMixedTypes="0" containsString="0" containsNumber="1" minValue="142352866.25604603" maxValue="196341475.70810023"/>
    </cacheField>
    <cacheField name="Middle Savings" numFmtId="164">
      <sharedItems containsSemiMixedTypes="0" containsString="0" containsNumber="1" minValue="73889241.109199986" maxValue="75814164.841800004"/>
    </cacheField>
    <cacheField name="Lowest Savings" numFmtId="164">
      <sharedItems containsSemiMixedTypes="0" containsString="0" containsNumber="1" minValue="6560865.3179790489" maxValue="25885993.160422336"/>
    </cacheField>
  </cacheFields>
  <extLst>
    <ext xmlns:x14="http://schemas.microsoft.com/office/spreadsheetml/2009/9/main" uri="{725AE2AE-9491-48be-B2B4-4EB974FC3084}">
      <x14:pivotCacheDefinition pivotCacheId="322548290"/>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ody Blanchard" refreshedDate="45839.632165972223" createdVersion="8" refreshedVersion="8" minRefreshableVersion="3" recordCount="12" xr:uid="{C17DD7A8-30DB-46DE-BA5B-C9AE2152FCE2}">
  <cacheSource type="worksheet">
    <worksheetSource name="InvalidOrdersNumber2"/>
  </cacheSource>
  <cacheFields count="14">
    <cacheField name="Year" numFmtId="0">
      <sharedItems containsSemiMixedTypes="0" containsString="0" containsNumber="1" containsInteger="1" minValue="2021" maxValue="2024" count="4">
        <n v="2021"/>
        <n v="2022"/>
        <n v="2023"/>
        <n v="2024"/>
      </sharedItems>
    </cacheField>
    <cacheField name="Confidence" numFmtId="9">
      <sharedItems containsSemiMixedTypes="0" containsString="0" containsNumber="1" minValue="0.9" maxValue="0.99" count="3">
        <n v="0.9"/>
        <n v="0.95"/>
        <n v="0.99"/>
      </sharedItems>
    </cacheField>
    <cacheField name="Upper" numFmtId="165">
      <sharedItems containsSemiMixedTypes="0" containsString="0" containsNumber="1" minValue="1187.2533999999998" maxValue="4021.5890999999997"/>
    </cacheField>
    <cacheField name="Mid" numFmtId="165">
      <sharedItems containsSemiMixedTypes="0" containsString="0" containsNumber="1" minValue="768.61059999999998" maxValue="2881.1018999999997"/>
    </cacheField>
    <cacheField name="Lower" numFmtId="165">
      <sharedItems containsSemiMixedTypes="0" containsString="0" containsNumber="1" minValue="240.08780000000002" maxValue="2050.7214000000004"/>
    </cacheField>
    <cacheField name="Upper2" numFmtId="164">
      <sharedItems containsSemiMixedTypes="0" containsString="0" containsNumber="1" minValue="14208.41" maxValue="326896.17749999999"/>
    </cacheField>
    <cacheField name="Middle" numFmtId="164">
      <sharedItems containsSemiMixedTypes="0" containsString="0" containsNumber="1" minValue="8291.41" maxValue="62057.177499999998"/>
    </cacheField>
    <cacheField name="Lower2" numFmtId="164">
      <sharedItems containsSemiMixedTypes="0" containsString="0" containsNumber="1" minValue="0" maxValue="19283.91333333333"/>
    </cacheField>
    <cacheField name="Upper Total" numFmtId="164">
      <sharedItems containsSemiMixedTypes="0" containsString="0" containsNumber="1" minValue="35051707.164917193" maxValue="1101296713.7405362"/>
    </cacheField>
    <cacheField name="Mid Total" numFmtId="164">
      <sharedItems containsSemiMixedTypes="0" containsString="0" containsNumber="1" minValue="11637039.6465948" maxValue="167362959.67550197"/>
    </cacheField>
    <cacheField name="Lower Total" numFmtId="164">
      <sharedItems containsSemiMixedTypes="0" containsString="0" containsNumber="1" minValue="0" maxValue="39545933.748411998"/>
    </cacheField>
    <cacheField name="Saving - H" numFmtId="164">
      <sharedItems containsSemiMixedTypes="0" containsString="0" containsNumber="1" minValue="8762926.7912292983" maxValue="275324178.43513405"/>
    </cacheField>
    <cacheField name="Saving - M" numFmtId="164">
      <sharedItems containsSemiMixedTypes="0" containsString="0" containsNumber="1" minValue="2909259.9116487" maxValue="41840739.918875493"/>
    </cacheField>
    <cacheField name="Savings - L" numFmtId="164">
      <sharedItems containsSemiMixedTypes="0" containsString="0" containsNumber="1" minValue="0" maxValue="9886483.4371029995"/>
    </cacheField>
  </cacheFields>
  <extLst>
    <ext xmlns:x14="http://schemas.microsoft.com/office/spreadsheetml/2009/9/main" uri="{725AE2AE-9491-48be-B2B4-4EB974FC3084}">
      <x14:pivotCacheDefinition pivotCacheId="79377922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x v="0"/>
    <x v="0"/>
    <x v="0"/>
    <n v="830.38050000000067"/>
  </r>
  <r>
    <x v="0"/>
    <x v="1"/>
    <x v="1"/>
    <x v="1"/>
    <x v="1"/>
    <n v="966.57270000000017"/>
  </r>
  <r>
    <x v="0"/>
    <x v="2"/>
    <x v="2"/>
    <x v="2"/>
    <x v="2"/>
    <n v="1204.1741999999999"/>
  </r>
  <r>
    <x v="1"/>
    <x v="0"/>
    <x v="3"/>
    <x v="3"/>
    <x v="3"/>
    <n v="935.62750000000005"/>
  </r>
  <r>
    <x v="1"/>
    <x v="1"/>
    <x v="4"/>
    <x v="4"/>
    <x v="4"/>
    <n v="1157.9685000000002"/>
  </r>
  <r>
    <x v="1"/>
    <x v="2"/>
    <x v="5"/>
    <x v="5"/>
    <x v="5"/>
    <n v="1472.1460000000002"/>
  </r>
  <r>
    <x v="2"/>
    <x v="0"/>
    <x v="6"/>
    <x v="6"/>
    <x v="6"/>
    <n v="1095.1109999999999"/>
  </r>
  <r>
    <x v="2"/>
    <x v="1"/>
    <x v="7"/>
    <x v="7"/>
    <x v="7"/>
    <n v="1355.3513999999998"/>
  </r>
  <r>
    <x v="2"/>
    <x v="2"/>
    <x v="8"/>
    <x v="8"/>
    <x v="8"/>
    <n v="1723.0824000000002"/>
  </r>
  <r>
    <x v="3"/>
    <x v="0"/>
    <x v="9"/>
    <x v="9"/>
    <x v="9"/>
    <n v="418.64279999999985"/>
  </r>
  <r>
    <x v="3"/>
    <x v="1"/>
    <x v="10"/>
    <x v="10"/>
    <x v="10"/>
    <n v="490.06479999999999"/>
  </r>
  <r>
    <x v="3"/>
    <x v="2"/>
    <x v="11"/>
    <x v="11"/>
    <x v="11"/>
    <n v="716.1428999999999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96895.91333333333"/>
    <n v="58089.91333333333"/>
    <n v="19283.91333333333"/>
    <n v="19379.182666666668"/>
    <n v="11617.982666666667"/>
    <n v="3856.782666666666"/>
  </r>
  <r>
    <x v="0"/>
    <x v="1"/>
    <n v="105648.91333333333"/>
    <n v="58089.91333333333"/>
    <n v="10530.91333333333"/>
    <n v="21129.782666666666"/>
    <n v="11617.982666666667"/>
    <n v="2106.1826666666661"/>
  </r>
  <r>
    <x v="0"/>
    <x v="2"/>
    <n v="125200.91333333333"/>
    <n v="58089.91333333333"/>
    <n v="0"/>
    <n v="25040.182666666668"/>
    <n v="11617.982666666667"/>
    <n v="0"/>
  </r>
  <r>
    <x v="1"/>
    <x v="0"/>
    <n v="168763.17749999999"/>
    <n v="62057.177499999998"/>
    <n v="0"/>
    <n v="33752.635499999997"/>
    <n v="12411.4355"/>
    <n v="0"/>
  </r>
  <r>
    <x v="1"/>
    <x v="1"/>
    <n v="206355.17749999999"/>
    <n v="62057.177499999998"/>
    <n v="0"/>
    <n v="41271.035499999998"/>
    <n v="12411.4355"/>
    <n v="0"/>
  </r>
  <r>
    <x v="1"/>
    <x v="2"/>
    <n v="326896.17749999999"/>
    <n v="62057.177499999991"/>
    <n v="0"/>
    <n v="65379.235499999995"/>
    <n v="12411.435499999998"/>
    <n v="0"/>
  </r>
  <r>
    <x v="2"/>
    <x v="0"/>
    <n v="14208.41"/>
    <n v="8291.41"/>
    <n v="2374.41"/>
    <n v="2841.6820000000002"/>
    <n v="1658.2820000000002"/>
    <n v="474.88199999999995"/>
  </r>
  <r>
    <x v="2"/>
    <x v="1"/>
    <n v="16582.41"/>
    <n v="8291.41"/>
    <n v="0"/>
    <n v="3316.482"/>
    <n v="1658.2820000000002"/>
    <n v="0"/>
  </r>
  <r>
    <x v="2"/>
    <x v="2"/>
    <n v="22981.41"/>
    <n v="8291.41"/>
    <n v="0"/>
    <n v="4596.2820000000002"/>
    <n v="1658.2820000000002"/>
    <n v="0"/>
  </r>
  <r>
    <x v="3"/>
    <x v="0"/>
    <n v="29523.358"/>
    <n v="15140.358"/>
    <n v="757.35800000000199"/>
    <n v="5904.6716000000006"/>
    <n v="3028.0716000000002"/>
    <n v="151.47160000000039"/>
  </r>
  <r>
    <x v="3"/>
    <x v="1"/>
    <n v="33872.358"/>
    <n v="15140.358"/>
    <n v="0"/>
    <n v="6774.4716000000008"/>
    <n v="3028.0716000000002"/>
    <n v="0"/>
  </r>
  <r>
    <x v="3"/>
    <x v="2"/>
    <n v="46204.358"/>
    <n v="15140.358"/>
    <n v="0"/>
    <n v="9240.8716000000004"/>
    <n v="3028.071600000000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64272.01221574645"/>
    <n v="42167.003999999994"/>
    <n v="20061.995784253537"/>
    <n v="8859.4"/>
    <n v="7009.2"/>
    <n v="5161.2"/>
    <n v="569411465.02418411"/>
    <n v="295556964.43679994"/>
    <n v="103543972.64168935"/>
    <n v="142352866.25604603"/>
    <n v="73889241.109199986"/>
    <n v="25885993.160422336"/>
  </r>
  <r>
    <x v="1"/>
    <n v="68832.809398608399"/>
    <n v="42167.004000000001"/>
    <n v="15501.198601391596"/>
    <n v="9255.4"/>
    <n v="7064.2"/>
    <n v="4873"/>
    <n v="637075184.10788012"/>
    <n v="297876149.65679997"/>
    <n v="75537340.784581244"/>
    <n v="159268796.02697003"/>
    <n v="74469037.414199993"/>
    <n v="18884335.196145311"/>
  </r>
  <r>
    <x v="2"/>
    <n v="78303.246608347225"/>
    <n v="42167.004000000001"/>
    <n v="6030.7613916527698"/>
    <n v="10029.800000000001"/>
    <n v="7191.8"/>
    <n v="4351.6000000000004"/>
    <n v="785365902.83240104"/>
    <n v="303256659.36720002"/>
    <n v="26243461.271916196"/>
    <n v="196341475.70810023"/>
    <n v="75814164.841800004"/>
    <n v="6560865.317979048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3711.4824000000003"/>
    <n v="2881.1018999999997"/>
    <n v="2050.7214000000004"/>
    <n v="96895.91333333333"/>
    <n v="58089.91333333333"/>
    <n v="19283.91333333333"/>
    <n v="359627476.96859205"/>
    <n v="167362959.67550197"/>
    <n v="39545933.748411998"/>
    <n v="89906869.242148012"/>
    <n v="41840739.918875493"/>
    <n v="9886483.4371029995"/>
  </r>
  <r>
    <x v="0"/>
    <x v="1"/>
    <n v="3827.0988000000002"/>
    <n v="2860.5261"/>
    <n v="1893.9534000000001"/>
    <n v="105648.91333333333"/>
    <n v="58089.91333333333"/>
    <n v="10530.91333333333"/>
    <n v="404328829.43930399"/>
    <n v="166167713.236738"/>
    <n v="19945059.112771995"/>
    <n v="101082207.359826"/>
    <n v="41541928.309184499"/>
    <n v="4986264.7781929988"/>
  </r>
  <r>
    <x v="0"/>
    <x v="2"/>
    <n v="4021.5890999999997"/>
    <n v="2817.4148999999998"/>
    <n v="1613.2406999999998"/>
    <n v="125200.91333333333"/>
    <n v="58089.91333333333"/>
    <n v="0"/>
    <n v="503506628.37137794"/>
    <n v="163663387.36504197"/>
    <n v="0"/>
    <n v="125876657.09284449"/>
    <n v="40915846.841260493"/>
    <n v="0"/>
  </r>
  <r>
    <x v="1"/>
    <x v="0"/>
    <n v="2563.136"/>
    <n v="1627.5084999999999"/>
    <n v="642.85550000000001"/>
    <n v="168763.17749999999"/>
    <n v="62057.177499999998"/>
    <n v="0"/>
    <n v="432562975.72463995"/>
    <n v="100998583.86725874"/>
    <n v="0"/>
    <n v="108140743.93115999"/>
    <n v="25249645.966814686"/>
    <n v="0"/>
  </r>
  <r>
    <x v="1"/>
    <x v="1"/>
    <n v="2872.48"/>
    <n v="1714.5114999999998"/>
    <n v="556.54300000000001"/>
    <n v="206355.17749999999"/>
    <n v="62057.177499999998"/>
    <n v="0"/>
    <n v="592751120.26520002"/>
    <n v="106397744.48129123"/>
    <n v="0"/>
    <n v="148187780.0663"/>
    <n v="26599436.120322809"/>
    <n v="0"/>
  </r>
  <r>
    <x v="1"/>
    <x v="2"/>
    <n v="3368.9495000000002"/>
    <n v="1896.8035"/>
    <n v="425.34800000000001"/>
    <n v="326896.17749999999"/>
    <n v="62057.177499999991"/>
    <n v="0"/>
    <n v="1101296713.7405362"/>
    <n v="117710271.48212123"/>
    <n v="0"/>
    <n v="275324178.43513405"/>
    <n v="29427567.870530311"/>
    <n v="0"/>
  </r>
  <r>
    <x v="2"/>
    <x v="0"/>
    <n v="3000.0383999999999"/>
    <n v="1904.9274"/>
    <n v="752.43420000000003"/>
    <n v="14208.41"/>
    <n v="8291.41"/>
    <n v="2374.41"/>
    <n v="42625775.602944002"/>
    <n v="15794534.093634"/>
    <n v="1786587.2888219999"/>
    <n v="10656443.900736"/>
    <n v="3948633.5234085"/>
    <n v="446646.82220549998"/>
  </r>
  <r>
    <x v="2"/>
    <x v="1"/>
    <n v="3362.1119999999996"/>
    <n v="2006.7605999999998"/>
    <n v="651.40920000000006"/>
    <n v="16582.41"/>
    <n v="8291.41"/>
    <n v="0"/>
    <n v="55751919.649919994"/>
    <n v="16638874.906445999"/>
    <n v="0"/>
    <n v="13937979.912479999"/>
    <n v="4159718.7266114997"/>
    <n v="0"/>
  </r>
  <r>
    <x v="2"/>
    <x v="2"/>
    <n v="3943.2078000000001"/>
    <n v="2220.1253999999999"/>
    <n v="497.85120000000001"/>
    <n v="22981.41"/>
    <n v="8291.41"/>
    <n v="0"/>
    <n v="90620475.166997999"/>
    <n v="18407969.942814"/>
    <n v="0"/>
    <n v="22655118.7917495"/>
    <n v="4601992.4857035"/>
    <n v="0"/>
  </r>
  <r>
    <x v="3"/>
    <x v="0"/>
    <n v="1187.2533999999998"/>
    <n v="768.61059999999998"/>
    <n v="349.96780000000001"/>
    <n v="29523.358"/>
    <n v="15140.358"/>
    <n v="757.35800000000199"/>
    <n v="35051707.164917193"/>
    <n v="11637039.6465948"/>
    <n v="265050.91307240073"/>
    <n v="8762926.7912292983"/>
    <n v="2909259.9116487"/>
    <n v="66262.728268100182"/>
  </r>
  <r>
    <x v="3"/>
    <x v="1"/>
    <n v="1287.5189"/>
    <n v="797.45410000000004"/>
    <n v="307.38929999999999"/>
    <n v="33872.358"/>
    <n v="15140.358"/>
    <n v="0"/>
    <n v="43611301.112566203"/>
    <n v="12073740.5625678"/>
    <n v="0"/>
    <n v="10902825.278141551"/>
    <n v="3018435.1406419505"/>
    <n v="0"/>
  </r>
  <r>
    <x v="3"/>
    <x v="2"/>
    <n v="1574.0309999999999"/>
    <n v="857.88810000000001"/>
    <n v="240.08780000000002"/>
    <n v="46204.358"/>
    <n v="15140.358"/>
    <n v="0"/>
    <n v="72727091.827097997"/>
    <n v="12988732.9579398"/>
    <n v="0"/>
    <n v="18181772.956774499"/>
    <n v="3247183.2394849495"/>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175233-5734-4E4F-BFDA-5577C58BAE53}"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A3:D20" firstHeaderRow="0" firstDataRow="1" firstDataCol="1"/>
  <pivotFields count="6">
    <pivotField axis="axisRow" showAll="0">
      <items count="5">
        <item x="0"/>
        <item x="1"/>
        <item x="2"/>
        <item x="3"/>
        <item t="default"/>
      </items>
    </pivotField>
    <pivotField axis="axisRow" numFmtId="9" showAll="0">
      <items count="4">
        <item x="0"/>
        <item x="1"/>
        <item x="2"/>
        <item t="default"/>
      </items>
    </pivotField>
    <pivotField dataField="1" numFmtId="1" showAll="0">
      <items count="13">
        <item x="9"/>
        <item x="10"/>
        <item x="11"/>
        <item x="3"/>
        <item x="4"/>
        <item x="6"/>
        <item x="7"/>
        <item x="5"/>
        <item x="0"/>
        <item x="1"/>
        <item x="8"/>
        <item x="2"/>
        <item t="default"/>
      </items>
    </pivotField>
    <pivotField dataField="1" numFmtId="1" showAll="0">
      <items count="13">
        <item x="9"/>
        <item x="10"/>
        <item x="11"/>
        <item x="3"/>
        <item x="4"/>
        <item x="5"/>
        <item x="6"/>
        <item x="7"/>
        <item x="8"/>
        <item x="2"/>
        <item x="1"/>
        <item x="0"/>
        <item t="default"/>
      </items>
    </pivotField>
    <pivotField dataField="1" numFmtId="1" showAll="0">
      <items count="13">
        <item x="11"/>
        <item x="10"/>
        <item x="9"/>
        <item x="5"/>
        <item x="8"/>
        <item x="4"/>
        <item x="3"/>
        <item x="7"/>
        <item x="6"/>
        <item x="2"/>
        <item x="1"/>
        <item x="0"/>
        <item t="default"/>
      </items>
    </pivotField>
    <pivotField numFmtId="1" showAll="0"/>
  </pivotFields>
  <rowFields count="2">
    <field x="0"/>
    <field x="1"/>
  </rowFields>
  <rowItems count="17">
    <i>
      <x/>
    </i>
    <i r="1">
      <x/>
    </i>
    <i r="1">
      <x v="1"/>
    </i>
    <i r="1">
      <x v="2"/>
    </i>
    <i>
      <x v="1"/>
    </i>
    <i r="1">
      <x/>
    </i>
    <i r="1">
      <x v="1"/>
    </i>
    <i r="1">
      <x v="2"/>
    </i>
    <i>
      <x v="2"/>
    </i>
    <i r="1">
      <x/>
    </i>
    <i r="1">
      <x v="1"/>
    </i>
    <i r="1">
      <x v="2"/>
    </i>
    <i>
      <x v="3"/>
    </i>
    <i r="1">
      <x/>
    </i>
    <i r="1">
      <x v="1"/>
    </i>
    <i r="1">
      <x v="2"/>
    </i>
    <i t="grand">
      <x/>
    </i>
  </rowItems>
  <colFields count="1">
    <field x="-2"/>
  </colFields>
  <colItems count="3">
    <i>
      <x/>
    </i>
    <i i="1">
      <x v="1"/>
    </i>
    <i i="2">
      <x v="2"/>
    </i>
  </colItems>
  <dataFields count="3">
    <dataField name="High" fld="2" baseField="0" baseItem="0" numFmtId="1"/>
    <dataField name="Middle" fld="3" baseField="0" baseItem="0" numFmtId="1"/>
    <dataField name="Low" fld="4" baseField="0" baseItem="0" numFmtId="1"/>
  </dataFields>
  <chartFormats count="19">
    <chartFormat chart="8" format="30" series="1">
      <pivotArea type="data" outline="0" fieldPosition="0">
        <references count="1">
          <reference field="4294967294" count="1" selected="0">
            <x v="0"/>
          </reference>
        </references>
      </pivotArea>
    </chartFormat>
    <chartFormat chart="8" format="31" series="1">
      <pivotArea type="data" outline="0" fieldPosition="0">
        <references count="1">
          <reference field="4294967294" count="1" selected="0">
            <x v="1"/>
          </reference>
        </references>
      </pivotArea>
    </chartFormat>
    <chartFormat chart="8" format="32">
      <pivotArea type="data" outline="0" fieldPosition="0">
        <references count="3">
          <reference field="4294967294" count="1" selected="0">
            <x v="1"/>
          </reference>
          <reference field="0" count="1" selected="0">
            <x v="0"/>
          </reference>
          <reference field="1" count="1" selected="0">
            <x v="0"/>
          </reference>
        </references>
      </pivotArea>
    </chartFormat>
    <chartFormat chart="8" format="33">
      <pivotArea type="data" outline="0" fieldPosition="0">
        <references count="3">
          <reference field="4294967294" count="1" selected="0">
            <x v="1"/>
          </reference>
          <reference field="0" count="1" selected="0">
            <x v="0"/>
          </reference>
          <reference field="1" count="1" selected="0">
            <x v="1"/>
          </reference>
        </references>
      </pivotArea>
    </chartFormat>
    <chartFormat chart="8" format="34">
      <pivotArea type="data" outline="0" fieldPosition="0">
        <references count="3">
          <reference field="4294967294" count="1" selected="0">
            <x v="1"/>
          </reference>
          <reference field="0" count="1" selected="0">
            <x v="0"/>
          </reference>
          <reference field="1" count="1" selected="0">
            <x v="2"/>
          </reference>
        </references>
      </pivotArea>
    </chartFormat>
    <chartFormat chart="8" format="35">
      <pivotArea type="data" outline="0" fieldPosition="0">
        <references count="3">
          <reference field="4294967294" count="1" selected="0">
            <x v="1"/>
          </reference>
          <reference field="0" count="1" selected="0">
            <x v="1"/>
          </reference>
          <reference field="1" count="1" selected="0">
            <x v="0"/>
          </reference>
        </references>
      </pivotArea>
    </chartFormat>
    <chartFormat chart="8" format="36">
      <pivotArea type="data" outline="0" fieldPosition="0">
        <references count="3">
          <reference field="4294967294" count="1" selected="0">
            <x v="1"/>
          </reference>
          <reference field="0" count="1" selected="0">
            <x v="1"/>
          </reference>
          <reference field="1" count="1" selected="0">
            <x v="1"/>
          </reference>
        </references>
      </pivotArea>
    </chartFormat>
    <chartFormat chart="8" format="37">
      <pivotArea type="data" outline="0" fieldPosition="0">
        <references count="3">
          <reference field="4294967294" count="1" selected="0">
            <x v="1"/>
          </reference>
          <reference field="0" count="1" selected="0">
            <x v="1"/>
          </reference>
          <reference field="1" count="1" selected="0">
            <x v="2"/>
          </reference>
        </references>
      </pivotArea>
    </chartFormat>
    <chartFormat chart="8" format="38">
      <pivotArea type="data" outline="0" fieldPosition="0">
        <references count="3">
          <reference field="4294967294" count="1" selected="0">
            <x v="1"/>
          </reference>
          <reference field="0" count="1" selected="0">
            <x v="2"/>
          </reference>
          <reference field="1" count="1" selected="0">
            <x v="0"/>
          </reference>
        </references>
      </pivotArea>
    </chartFormat>
    <chartFormat chart="8" format="39">
      <pivotArea type="data" outline="0" fieldPosition="0">
        <references count="3">
          <reference field="4294967294" count="1" selected="0">
            <x v="1"/>
          </reference>
          <reference field="0" count="1" selected="0">
            <x v="2"/>
          </reference>
          <reference field="1" count="1" selected="0">
            <x v="1"/>
          </reference>
        </references>
      </pivotArea>
    </chartFormat>
    <chartFormat chart="8" format="40">
      <pivotArea type="data" outline="0" fieldPosition="0">
        <references count="3">
          <reference field="4294967294" count="1" selected="0">
            <x v="1"/>
          </reference>
          <reference field="0" count="1" selected="0">
            <x v="2"/>
          </reference>
          <reference field="1" count="1" selected="0">
            <x v="2"/>
          </reference>
        </references>
      </pivotArea>
    </chartFormat>
    <chartFormat chart="8" format="41">
      <pivotArea type="data" outline="0" fieldPosition="0">
        <references count="3">
          <reference field="4294967294" count="1" selected="0">
            <x v="1"/>
          </reference>
          <reference field="0" count="1" selected="0">
            <x v="3"/>
          </reference>
          <reference field="1" count="1" selected="0">
            <x v="0"/>
          </reference>
        </references>
      </pivotArea>
    </chartFormat>
    <chartFormat chart="8" format="42">
      <pivotArea type="data" outline="0" fieldPosition="0">
        <references count="3">
          <reference field="4294967294" count="1" selected="0">
            <x v="1"/>
          </reference>
          <reference field="0" count="1" selected="0">
            <x v="3"/>
          </reference>
          <reference field="1" count="1" selected="0">
            <x v="1"/>
          </reference>
        </references>
      </pivotArea>
    </chartFormat>
    <chartFormat chart="8" format="43">
      <pivotArea type="data" outline="0" fieldPosition="0">
        <references count="3">
          <reference field="4294967294" count="1" selected="0">
            <x v="1"/>
          </reference>
          <reference field="0" count="1" selected="0">
            <x v="3"/>
          </reference>
          <reference field="1" count="1" selected="0">
            <x v="2"/>
          </reference>
        </references>
      </pivotArea>
    </chartFormat>
    <chartFormat chart="8" format="44" series="1">
      <pivotArea type="data" outline="0" fieldPosition="0">
        <references count="1">
          <reference field="4294967294" count="1" selected="0">
            <x v="2"/>
          </reference>
        </references>
      </pivotArea>
    </chartFormat>
    <chartFormat chart="25" format="15" series="1">
      <pivotArea type="data" outline="0" fieldPosition="0">
        <references count="1">
          <reference field="4294967294" count="1" selected="0">
            <x v="0"/>
          </reference>
        </references>
      </pivotArea>
    </chartFormat>
    <chartFormat chart="25" format="16" series="1">
      <pivotArea type="data" outline="0" fieldPosition="0">
        <references count="1">
          <reference field="4294967294" count="1" selected="0">
            <x v="1"/>
          </reference>
        </references>
      </pivotArea>
    </chartFormat>
    <chartFormat chart="25" format="17" series="1">
      <pivotArea type="data" outline="0" fieldPosition="0">
        <references count="1">
          <reference field="4294967294" count="1" selected="0">
            <x v="2"/>
          </reference>
        </references>
      </pivotArea>
    </chartFormat>
    <chartFormat chart="25" format="18">
      <pivotArea type="data" outline="0" fieldPosition="0">
        <references count="3">
          <reference field="4294967294" count="1" selected="0">
            <x v="2"/>
          </reference>
          <reference field="0"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8A53D0-FE15-4258-A147-D4D976CF1D4A}" name="PivotTable18"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49:G66" firstHeaderRow="0" firstDataRow="1" firstDataCol="1"/>
  <pivotFields count="8">
    <pivotField axis="axisRow" showAll="0">
      <items count="5">
        <item x="0"/>
        <item x="1"/>
        <item x="2"/>
        <item x="3"/>
        <item t="default"/>
      </items>
    </pivotField>
    <pivotField axis="axisRow" numFmtId="9" showAll="0">
      <items count="4">
        <item x="0"/>
        <item x="1"/>
        <item x="2"/>
        <item t="default"/>
      </items>
    </pivotField>
    <pivotField dataField="1" numFmtId="164" showAll="0"/>
    <pivotField dataField="1" numFmtId="164" showAll="0"/>
    <pivotField dataField="1" numFmtId="164" showAll="0"/>
    <pivotField dataField="1" numFmtId="164" showAll="0"/>
    <pivotField dataField="1" numFmtId="164" showAll="0"/>
    <pivotField dataField="1" numFmtId="164" showAll="0"/>
  </pivotFields>
  <rowFields count="2">
    <field x="0"/>
    <field x="1"/>
  </rowFields>
  <rowItems count="17">
    <i>
      <x/>
    </i>
    <i r="1">
      <x/>
    </i>
    <i r="1">
      <x v="1"/>
    </i>
    <i r="1">
      <x v="2"/>
    </i>
    <i>
      <x v="1"/>
    </i>
    <i r="1">
      <x/>
    </i>
    <i r="1">
      <x v="1"/>
    </i>
    <i r="1">
      <x v="2"/>
    </i>
    <i>
      <x v="2"/>
    </i>
    <i r="1">
      <x/>
    </i>
    <i r="1">
      <x v="1"/>
    </i>
    <i r="1">
      <x v="2"/>
    </i>
    <i>
      <x v="3"/>
    </i>
    <i r="1">
      <x/>
    </i>
    <i r="1">
      <x v="1"/>
    </i>
    <i r="1">
      <x v="2"/>
    </i>
    <i t="grand">
      <x/>
    </i>
  </rowItems>
  <colFields count="1">
    <field x="-2"/>
  </colFields>
  <colItems count="6">
    <i>
      <x/>
    </i>
    <i i="1">
      <x v="1"/>
    </i>
    <i i="2">
      <x v="2"/>
    </i>
    <i i="3">
      <x v="3"/>
    </i>
    <i i="4">
      <x v="4"/>
    </i>
    <i i="5">
      <x v="5"/>
    </i>
  </colItems>
  <dataFields count="6">
    <dataField name="Likely Order Cost" fld="2" baseField="0" baseItem="0" numFmtId="164"/>
    <dataField name="Midline for Order Cost" fld="3" baseField="0" baseItem="0" numFmtId="164"/>
    <dataField name="Likely Lowest Order Cost" fld="4" baseField="0" baseItem="0" numFmtId="164"/>
    <dataField name="Highest Likely Savings" fld="5" baseField="0" baseItem="0" numFmtId="164"/>
    <dataField name="Middle Likely Savings" fld="6" baseField="0" baseItem="0" numFmtId="164"/>
    <dataField name="Lowest Likely Savings" fld="7" baseField="0" baseItem="0" numFmtId="164"/>
  </dataFields>
  <chartFormats count="1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3"/>
          </reference>
        </references>
      </pivotArea>
    </chartFormat>
    <chartFormat chart="1" format="4" series="1">
      <pivotArea type="data" outline="0" fieldPosition="0">
        <references count="1">
          <reference field="4294967294" count="1" selected="0">
            <x v="4"/>
          </reference>
        </references>
      </pivotArea>
    </chartFormat>
    <chartFormat chart="1" format="5" series="1">
      <pivotArea type="data" outline="0" fieldPosition="0">
        <references count="1">
          <reference field="4294967294" count="1" selected="0">
            <x v="5"/>
          </reference>
        </references>
      </pivotArea>
    </chartFormat>
    <chartFormat chart="13" format="7" series="1">
      <pivotArea type="data" outline="0" fieldPosition="0">
        <references count="1">
          <reference field="4294967294" count="1" selected="0">
            <x v="0"/>
          </reference>
        </references>
      </pivotArea>
    </chartFormat>
    <chartFormat chart="13" format="8" series="1">
      <pivotArea type="data" outline="0" fieldPosition="0">
        <references count="1">
          <reference field="4294967294" count="1" selected="0">
            <x v="1"/>
          </reference>
        </references>
      </pivotArea>
    </chartFormat>
    <chartFormat chart="13" format="9" series="1">
      <pivotArea type="data" outline="0" fieldPosition="0">
        <references count="1">
          <reference field="4294967294" count="1" selected="0">
            <x v="2"/>
          </reference>
        </references>
      </pivotArea>
    </chartFormat>
    <chartFormat chart="13" format="10">
      <pivotArea type="data" outline="0" fieldPosition="0">
        <references count="3">
          <reference field="4294967294" count="1" selected="0">
            <x v="2"/>
          </reference>
          <reference field="0" count="1" selected="0">
            <x v="0"/>
          </reference>
          <reference field="1" count="1" selected="0">
            <x v="0"/>
          </reference>
        </references>
      </pivotArea>
    </chartFormat>
    <chartFormat chart="13" format="11" series="1">
      <pivotArea type="data" outline="0" fieldPosition="0">
        <references count="1">
          <reference field="4294967294" count="1" selected="0">
            <x v="3"/>
          </reference>
        </references>
      </pivotArea>
    </chartFormat>
    <chartFormat chart="13" format="12" series="1">
      <pivotArea type="data" outline="0" fieldPosition="0">
        <references count="1">
          <reference field="4294967294" count="1" selected="0">
            <x v="4"/>
          </reference>
        </references>
      </pivotArea>
    </chartFormat>
    <chartFormat chart="13" format="13"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8C6965-152C-4863-BBD1-FCDB81DDE323}" name="PivotTable4" cacheId="10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48:G65" firstHeaderRow="0" firstDataRow="1" firstDataCol="1"/>
  <pivotFields count="14">
    <pivotField axis="axisRow" showAll="0">
      <items count="5">
        <item x="0"/>
        <item x="1"/>
        <item x="2"/>
        <item x="3"/>
        <item t="default"/>
      </items>
    </pivotField>
    <pivotField axis="axisRow" numFmtId="9" showAll="0">
      <items count="4">
        <item x="0"/>
        <item x="1"/>
        <item x="2"/>
        <item t="default"/>
      </items>
    </pivotField>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dataField="1" numFmtId="164" showAll="0"/>
    <pivotField dataField="1" numFmtId="164" showAll="0"/>
    <pivotField dataField="1" numFmtId="164" showAll="0"/>
    <pivotField dataField="1" numFmtId="164" showAll="0"/>
  </pivotFields>
  <rowFields count="2">
    <field x="0"/>
    <field x="1"/>
  </rowFields>
  <rowItems count="17">
    <i>
      <x/>
    </i>
    <i r="1">
      <x/>
    </i>
    <i r="1">
      <x v="1"/>
    </i>
    <i r="1">
      <x v="2"/>
    </i>
    <i>
      <x v="1"/>
    </i>
    <i r="1">
      <x/>
    </i>
    <i r="1">
      <x v="1"/>
    </i>
    <i r="1">
      <x v="2"/>
    </i>
    <i>
      <x v="2"/>
    </i>
    <i r="1">
      <x/>
    </i>
    <i r="1">
      <x v="1"/>
    </i>
    <i r="1">
      <x v="2"/>
    </i>
    <i>
      <x v="3"/>
    </i>
    <i r="1">
      <x/>
    </i>
    <i r="1">
      <x v="1"/>
    </i>
    <i r="1">
      <x v="2"/>
    </i>
    <i t="grand">
      <x/>
    </i>
  </rowItems>
  <colFields count="1">
    <field x="-2"/>
  </colFields>
  <colItems count="6">
    <i>
      <x/>
    </i>
    <i i="1">
      <x v="1"/>
    </i>
    <i i="2">
      <x v="2"/>
    </i>
    <i i="3">
      <x v="3"/>
    </i>
    <i i="4">
      <x v="4"/>
    </i>
    <i i="5">
      <x v="5"/>
    </i>
  </colItems>
  <dataFields count="6">
    <dataField name="Total Cost of PO Approved after Reciept" fld="8" baseField="0" baseItem="0" numFmtId="164"/>
    <dataField name="Middle Cost of PO Approved after Reciept" fld="9" baseField="0" baseItem="0" numFmtId="164"/>
    <dataField name="Lowest PO cost" fld="10" baseField="0" baseItem="0" numFmtId="164"/>
    <dataField name="Highest Savings" fld="11" baseField="0" baseItem="0" numFmtId="164"/>
    <dataField name="Middle Savings" fld="12" baseField="0" baseItem="0" numFmtId="164"/>
    <dataField name="Lowest Savings" fld="13" baseField="0" baseItem="0" numFmtId="164"/>
  </dataFields>
  <chartFormats count="13">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4" format="4" series="1">
      <pivotArea type="data" outline="0" fieldPosition="0">
        <references count="1">
          <reference field="4294967294" count="1" selected="0">
            <x v="4"/>
          </reference>
        </references>
      </pivotArea>
    </chartFormat>
    <chartFormat chart="4" format="5" series="1">
      <pivotArea type="data" outline="0" fieldPosition="0">
        <references count="1">
          <reference field="4294967294" count="1" selected="0">
            <x v="5"/>
          </reference>
        </references>
      </pivotArea>
    </chartFormat>
    <chartFormat chart="10" format="7" series="1">
      <pivotArea type="data" outline="0" fieldPosition="0">
        <references count="1">
          <reference field="4294967294" count="1" selected="0">
            <x v="0"/>
          </reference>
        </references>
      </pivotArea>
    </chartFormat>
    <chartFormat chart="10" format="8" series="1">
      <pivotArea type="data" outline="0" fieldPosition="0">
        <references count="1">
          <reference field="4294967294" count="1" selected="0">
            <x v="1"/>
          </reference>
        </references>
      </pivotArea>
    </chartFormat>
    <chartFormat chart="10" format="9" series="1">
      <pivotArea type="data" outline="0" fieldPosition="0">
        <references count="1">
          <reference field="4294967294" count="1" selected="0">
            <x v="2"/>
          </reference>
        </references>
      </pivotArea>
    </chartFormat>
    <chartFormat chart="10" format="10">
      <pivotArea type="data" outline="0" fieldPosition="0">
        <references count="3">
          <reference field="4294967294" count="1" selected="0">
            <x v="2"/>
          </reference>
          <reference field="0" count="1" selected="0">
            <x v="0"/>
          </reference>
          <reference field="1" count="1" selected="0">
            <x v="0"/>
          </reference>
        </references>
      </pivotArea>
    </chartFormat>
    <chartFormat chart="10" format="11" series="1">
      <pivotArea type="data" outline="0" fieldPosition="0">
        <references count="1">
          <reference field="4294967294" count="1" selected="0">
            <x v="3"/>
          </reference>
        </references>
      </pivotArea>
    </chartFormat>
    <chartFormat chart="10" format="12" series="1">
      <pivotArea type="data" outline="0" fieldPosition="0">
        <references count="1">
          <reference field="4294967294" count="1" selected="0">
            <x v="4"/>
          </reference>
        </references>
      </pivotArea>
    </chartFormat>
    <chartFormat chart="10" format="13"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69D5A47-5442-41C5-81D0-C0CBF0EE68C7}" name="PivotTable8" cacheId="10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42:E51" firstHeaderRow="0" firstDataRow="1" firstDataCol="1"/>
  <pivotFields count="14">
    <pivotField axis="axisRow" showAll="0">
      <items count="5">
        <item x="0"/>
        <item x="1"/>
        <item x="2"/>
        <item x="3"/>
        <item t="default"/>
      </items>
    </pivotField>
    <pivotField axis="axisRow" numFmtId="9" showAll="0">
      <items count="4">
        <item x="0"/>
        <item h="1" x="1"/>
        <item h="1" x="2"/>
        <item t="default"/>
      </items>
    </pivotField>
    <pivotField numFmtId="165" showAll="0"/>
    <pivotField numFmtId="165" showAll="0"/>
    <pivotField numFmtId="165" showAll="0"/>
    <pivotField numFmtId="164" showAll="0"/>
    <pivotField numFmtId="164" showAll="0"/>
    <pivotField numFmtId="164" showAll="0"/>
    <pivotField numFmtId="164" showAll="0"/>
    <pivotField dataField="1" numFmtId="164" showAll="0"/>
    <pivotField numFmtId="164" showAll="0"/>
    <pivotField dataField="1" numFmtId="164" showAll="0"/>
    <pivotField dataField="1" numFmtId="164" showAll="0"/>
    <pivotField dataField="1" numFmtId="164" showAll="0"/>
  </pivotFields>
  <rowFields count="2">
    <field x="0"/>
    <field x="1"/>
  </rowFields>
  <rowItems count="9">
    <i>
      <x/>
    </i>
    <i r="1">
      <x/>
    </i>
    <i>
      <x v="1"/>
    </i>
    <i r="1">
      <x/>
    </i>
    <i>
      <x v="2"/>
    </i>
    <i r="1">
      <x/>
    </i>
    <i>
      <x v="3"/>
    </i>
    <i r="1">
      <x/>
    </i>
    <i t="grand">
      <x/>
    </i>
  </rowItems>
  <colFields count="1">
    <field x="-2"/>
  </colFields>
  <colItems count="4">
    <i>
      <x/>
    </i>
    <i i="1">
      <x v="1"/>
    </i>
    <i i="2">
      <x v="2"/>
    </i>
    <i i="3">
      <x v="3"/>
    </i>
  </colItems>
  <dataFields count="4">
    <dataField name="Highest Savings" fld="11" baseField="0" baseItem="0" numFmtId="164"/>
    <dataField name="Middle Savings" fld="12" baseField="0" baseItem="0" numFmtId="164"/>
    <dataField name="Lowest Savings" fld="13" baseField="0" baseItem="0" numFmtId="164"/>
    <dataField name="Middle Cost of PO Approved after Receipt" fld="9" baseField="0" baseItem="0" numFmtId="164"/>
  </dataField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7" series="1">
      <pivotArea type="data" outline="0" fieldPosition="0">
        <references count="1">
          <reference field="4294967294" count="1" selected="0">
            <x v="0"/>
          </reference>
        </references>
      </pivotArea>
    </chartFormat>
    <chartFormat chart="5" format="8" series="1">
      <pivotArea type="data" outline="0" fieldPosition="0">
        <references count="1">
          <reference field="4294967294" count="1" selected="0">
            <x v="1"/>
          </reference>
        </references>
      </pivotArea>
    </chartFormat>
    <chartFormat chart="5" format="9" series="1">
      <pivotArea type="data" outline="0" fieldPosition="0">
        <references count="1">
          <reference field="4294967294" count="1" selected="0">
            <x v="2"/>
          </reference>
        </references>
      </pivotArea>
    </chartFormat>
    <chartFormat chart="5" format="10">
      <pivotArea type="data" outline="0" fieldPosition="0">
        <references count="3">
          <reference field="4294967294" count="1" selected="0">
            <x v="2"/>
          </reference>
          <reference field="0" count="1" selected="0">
            <x v="0"/>
          </reference>
          <reference field="1" count="1" selected="0">
            <x v="0"/>
          </reference>
        </references>
      </pivotArea>
    </chartFormat>
    <chartFormat chart="5"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406B5DE-A5B8-4269-A70F-8E30490D66CE}" name="PivotTable3" cacheId="6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3:E37" firstHeaderRow="0" firstDataRow="1" firstDataCol="1"/>
  <pivotFields count="13">
    <pivotField axis="axisRow" numFmtId="9" showAll="0">
      <items count="4">
        <item x="0"/>
        <item x="1"/>
        <item x="2"/>
        <item t="default"/>
      </items>
    </pivotField>
    <pivotField numFmtId="164" showAll="0"/>
    <pivotField numFmtId="164" showAll="0"/>
    <pivotField numFmtId="164" showAll="0"/>
    <pivotField numFmtId="1" showAll="0"/>
    <pivotField numFmtId="1" showAll="0"/>
    <pivotField numFmtId="1" showAll="0"/>
    <pivotField numFmtId="164" showAll="0"/>
    <pivotField dataField="1" numFmtId="164" showAll="0"/>
    <pivotField numFmtId="164" showAll="0"/>
    <pivotField dataField="1" numFmtId="164" showAll="0"/>
    <pivotField dataField="1" numFmtId="164" showAll="0"/>
    <pivotField dataField="1" numFmtId="164" showAll="0"/>
  </pivotFields>
  <rowFields count="1">
    <field x="0"/>
  </rowFields>
  <rowItems count="4">
    <i>
      <x/>
    </i>
    <i>
      <x v="1"/>
    </i>
    <i>
      <x v="2"/>
    </i>
    <i t="grand">
      <x/>
    </i>
  </rowItems>
  <colFields count="1">
    <field x="-2"/>
  </colFields>
  <colItems count="4">
    <i>
      <x/>
    </i>
    <i i="1">
      <x v="1"/>
    </i>
    <i i="2">
      <x v="2"/>
    </i>
    <i i="3">
      <x v="3"/>
    </i>
  </colItems>
  <dataFields count="4">
    <dataField name="Likely Highiest Savings" fld="10" baseField="0" baseItem="0" numFmtId="164"/>
    <dataField name="Likely Middle Savings" fld="11" baseField="0" baseItem="0" numFmtId="164"/>
    <dataField name="Likely Lowest Savings" fld="12" baseField="0" baseItem="0" numFmtId="164"/>
    <dataField name="Middle Cost of Retroactive PO's" fld="8" baseField="0" baseItem="0" numFmtId="164"/>
  </dataFields>
  <chartFormats count="4">
    <chartFormat chart="13"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1"/>
          </reference>
        </references>
      </pivotArea>
    </chartFormat>
    <chartFormat chart="13" format="2" series="1">
      <pivotArea type="data" outline="0" fieldPosition="0">
        <references count="1">
          <reference field="4294967294" count="1" selected="0">
            <x v="2"/>
          </reference>
        </references>
      </pivotArea>
    </chartFormat>
    <chartFormat chart="13"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DE68D45-CA43-4ABA-BACA-3A27F8689404}" sourceName="Year">
  <pivotTables>
    <pivotTable tabId="6" name="PivotTable11"/>
  </pivotTables>
  <data>
    <tabular pivotCacheId="1988277094">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idence" xr10:uid="{420568F1-7610-4E72-AAB7-5FB242F39690}" sourceName="Confidence">
  <pivotTables>
    <pivotTable tabId="6" name="PivotTable11"/>
  </pivotTables>
  <data>
    <tabular pivotCacheId="198827709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44F02A5-DE22-4C07-8C8E-30334FEFA753}" sourceName="Year">
  <pivotTables>
    <pivotTable tabId="14" name="PivotTable18"/>
  </pivotTables>
  <data>
    <tabular pivotCacheId="183848495">
      <items count="4">
        <i x="0" s="1"/>
        <i x="1"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idence_Level1" xr10:uid="{9EED576A-35B6-47F8-B3EC-EF84F95D6FE2}" sourceName="Confidence Level">
  <pivotTables>
    <pivotTable tabId="14" name="PivotTable18"/>
  </pivotTables>
  <data>
    <tabular pivotCacheId="183848495">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29B78330-BEFE-4FEF-94FE-63390B964477}" sourceName="Year">
  <pivotTables>
    <pivotTable tabId="19" name="PivotTable4"/>
  </pivotTables>
  <data>
    <tabular pivotCacheId="793779224">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idence2" xr10:uid="{ED4E3ACA-9C57-4227-8639-6033B5FAD605}" sourceName="Confidence">
  <pivotTables>
    <pivotTable tabId="19" name="PivotTable4"/>
  </pivotTables>
  <data>
    <tabular pivotCacheId="79377922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3" xr10:uid="{E620DF70-3375-40F3-A273-2CA1DF2867A7}" sourceName="Year">
  <pivotTables>
    <pivotTable tabId="20" name="PivotTable8"/>
  </pivotTables>
  <data>
    <tabular pivotCacheId="793779224">
      <items count="4">
        <i x="0" s="1"/>
        <i x="1" s="1"/>
        <i x="2" s="1"/>
        <i x="3"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idence3" xr10:uid="{D6DB377E-5614-4F69-9B56-4493426F9CC9}" sourceName="Confidence">
  <pivotTables>
    <pivotTable tabId="20" name="PivotTable8"/>
  </pivotTables>
  <data>
    <tabular pivotCacheId="793779224">
      <items count="3">
        <i x="0" s="1"/>
        <i x="1"/>
        <i x="2"/>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idence_Level" xr10:uid="{C1BA638F-763E-4184-B903-E1292843543F}" sourceName="Confidence Level">
  <pivotTables>
    <pivotTable tabId="21" name="PivotTable3"/>
  </pivotTables>
  <data>
    <tabular pivotCacheId="322548290">
      <items count="3">
        <i x="0" s="1"/>
        <i x="1" s="1"/>
        <i x="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idence1" xr10:uid="{1CB8BB59-ABE5-4355-B471-CC46FD548D91}" sourceName="Confidence">
  <extLst>
    <x:ext xmlns:x15="http://schemas.microsoft.com/office/spreadsheetml/2010/11/main" uri="{2F2917AC-EB37-4324-AD4E-5DD8C200BD13}">
      <x15:tableSlicerCache tableId="7"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7627A0C3-562E-4D0C-9E56-C100F7043117}" cache="Slicer_Year" caption="Year" style="SlicerStyleDark1" rowHeight="257175"/>
  <slicer name="Confidence 1" xr10:uid="{E52A6582-151B-4CE9-B639-365DA3859C84}" cache="Slicer_Confidence" caption="Confidence" style="SlicerStyleDark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fidence" xr10:uid="{7F8C0ADC-8527-4845-BD95-A720ABE5D6DC}" cache="Slicer_Confidence1" caption="Confidence" style="SlicerStyleDark1"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E608A1F-E6AA-40B3-BC0A-CB7FFFD0B208}" cache="Slicer_Year1" caption="Year" rowHeight="257175"/>
  <slicer name="Confidence Level 1" xr10:uid="{2F2AA125-D40D-4739-941A-02EE5FD3FA72}" cache="Slicer_Confidence_Level1" caption="Confidence Level"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C1ADD30D-E96A-4AA9-9B08-81D8CB784193}" cache="Slicer_Year2" caption="Year" style="SlicerStyleDark1" rowHeight="257175"/>
  <slicer name="Confidence 2" xr10:uid="{08EBA3E7-2120-4233-9FD7-77661673DDFE}" cache="Slicer_Confidence2" caption="Confidence" style="SlicerStyleDark1" rowHeight="25717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99EF2EE2-9B88-4557-B802-747497A513B1}" cache="Slicer_Year3" caption="Year" rowHeight="257175"/>
  <slicer name="Confidence 3" xr10:uid="{A0592797-B4BF-40BF-B860-C078F26F818F}" cache="Slicer_Confidence3" caption="Confidence" rowHeight="257175"/>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fidence Level" xr10:uid="{133D1F37-44C3-4A3E-809E-707928CD8A1E}" cache="Slicer_Confidence_Level" caption="Confidence Level" style="SlicerStyleDark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82160CB-7ADB-4130-BAE3-A5D0333650E3}" name="Table5" displayName="Table5" ref="D25:R37" totalsRowShown="0" dataCellStyle="20% - Accent1">
  <autoFilter ref="D25:R37" xr:uid="{082160CB-7ADB-4130-BAE3-A5D0333650E3}"/>
  <tableColumns count="15">
    <tableColumn id="1" xr3:uid="{3D44EB71-6360-4F4F-BDED-9C58877409FD}" name="Year"/>
    <tableColumn id="2" xr3:uid="{5A594ECF-7248-4FBE-BDE3-F5456E5086F7}" name="Confidence Level" dataDxfId="65" dataCellStyle="20% - Accent1"/>
    <tableColumn id="3" xr3:uid="{6D8D0E0F-EEB5-43F2-9EA7-BB35AFF64C63}" name="Margin of Error" dataDxfId="64" dataCellStyle="20% - Accent1"/>
    <tableColumn id="4" xr3:uid="{58964D0C-892B-4C6A-A96E-87373CEEF9C2}" name="Upper" dataDxfId="63" dataCellStyle="20% - Accent1"/>
    <tableColumn id="5" xr3:uid="{002D9D3C-D4AC-4AC8-8E9A-0D9B8E36BE6F}" name="Middle" dataDxfId="62" dataCellStyle="20% - Accent1"/>
    <tableColumn id="6" xr3:uid="{33E10DDF-A468-4FC8-B2A4-FE205D4519C1}" name="Lower" dataDxfId="61" dataCellStyle="20% - Accent1"/>
    <tableColumn id="7" xr3:uid="{8EC90A2F-1B22-4CFA-A1AD-D964D9667E49}" name="30% - H" dataDxfId="60" dataCellStyle="20% - Accent1">
      <calculatedColumnFormula>0.3*Table5[[#This Row],[Upper]]</calculatedColumnFormula>
    </tableColumn>
    <tableColumn id="10" xr3:uid="{E4285C9B-8D57-48DF-A93D-C051F39B56FF}" name="30% -M" dataDxfId="59" dataCellStyle="20% - Accent1">
      <calculatedColumnFormula>0.3*Table5[[#This Row],[Middle]]</calculatedColumnFormula>
    </tableColumn>
    <tableColumn id="13" xr3:uid="{9D44519A-82FC-4A9D-9162-919F490B1DFA}" name="30% - L" dataDxfId="58" dataCellStyle="20% - Accent1">
      <calculatedColumnFormula>0.3*Table5[[#This Row],[Lower]]</calculatedColumnFormula>
    </tableColumn>
    <tableColumn id="8" xr3:uid="{03C217CD-D659-46EC-A739-0965440EFD73}" name="25% - H" dataDxfId="57" dataCellStyle="20% - Accent1">
      <calculatedColumnFormula>0.25*Table5[[#This Row],[Upper]]</calculatedColumnFormula>
    </tableColumn>
    <tableColumn id="11" xr3:uid="{7E3F31D9-C662-4B99-B623-C315E6FD56E7}" name="25% - M" dataDxfId="56" dataCellStyle="20% - Accent1">
      <calculatedColumnFormula>0.25*Table5[[#This Row],[Middle]]</calculatedColumnFormula>
    </tableColumn>
    <tableColumn id="14" xr3:uid="{B0D5F43E-D8AE-4235-A746-5DB5DD93279C}" name="25% - L" dataDxfId="55" dataCellStyle="20% - Accent1">
      <calculatedColumnFormula>0.25*Table5[[#This Row],[Lower]]</calculatedColumnFormula>
    </tableColumn>
    <tableColumn id="9" xr3:uid="{C3460FC1-BE12-4AEC-B6C4-C7E5D0DEA655}" name="20% - H" dataDxfId="54" dataCellStyle="20% - Accent1">
      <calculatedColumnFormula>0.2*Table5[[#This Row],[Upper]]</calculatedColumnFormula>
    </tableColumn>
    <tableColumn id="12" xr3:uid="{54F266DA-553B-4427-937D-D73F19173D6A}" name="20% - M" dataDxfId="53" dataCellStyle="20% - Accent1">
      <calculatedColumnFormula>0.2*Table5[[#This Row],[Middle]]</calculatedColumnFormula>
    </tableColumn>
    <tableColumn id="15" xr3:uid="{D6B780EA-EBD4-4339-96DB-815134483A5D}" name="20% - L" dataDxfId="52" dataCellStyle="20% - Accent1">
      <calculatedColumnFormula>0.2*Table5[[#This Row],[Lower]]</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329CA8E-C6C2-40DD-8F28-D2A21F2DAFAB}" name="Table9" displayName="Table9" ref="D41:K53" totalsRowShown="0" dataDxfId="51" dataCellStyle="Currency">
  <autoFilter ref="D41:K53" xr:uid="{0329CA8E-C6C2-40DD-8F28-D2A21F2DAFAB}"/>
  <tableColumns count="8">
    <tableColumn id="1" xr3:uid="{9101789B-9C6E-4E8F-ACC7-AB6B13476F6D}" name="Year" dataDxfId="50"/>
    <tableColumn id="2" xr3:uid="{C8252E27-953B-40B0-AA6E-D68B7469B7C5}" name="Confidence Level" dataDxfId="49" dataCellStyle="20% - Accent1"/>
    <tableColumn id="3" xr3:uid="{87E92717-22B9-499A-A1EB-4B54E398FA95}" name="Upper" dataDxfId="48" dataCellStyle="Currency"/>
    <tableColumn id="4" xr3:uid="{F812E1B3-43D2-4CB5-87A4-101AC7778E0F}" name="Middle" dataDxfId="47" dataCellStyle="Currency"/>
    <tableColumn id="5" xr3:uid="{C885B795-4E26-4044-B346-C2BD2778D083}" name="Lower" dataDxfId="46" dataCellStyle="Currency"/>
    <tableColumn id="6" xr3:uid="{37537A90-0A51-458D-BE81-4E566A16B5C6}" name="Saving - H" dataDxfId="45" dataCellStyle="Currency">
      <calculatedColumnFormula>F42*$H$40/100</calculatedColumnFormula>
    </tableColumn>
    <tableColumn id="7" xr3:uid="{8BCFC8DA-D21B-47CA-B735-FB0351C8F767}" name="Saving - M" dataDxfId="44" dataCellStyle="Currency">
      <calculatedColumnFormula>G42*$H$40/100</calculatedColumnFormula>
    </tableColumn>
    <tableColumn id="8" xr3:uid="{BFDB1344-4FFD-42D7-AE2C-E1196EC3C5CA}" name="Savings - L" dataDxfId="43" dataCellStyle="Currency">
      <calculatedColumnFormula>H42*$H$40/100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E9AC227-C469-4384-B084-3F9014406001}" name="InvalidOrders" displayName="InvalidOrders" ref="A1:F13" totalsRowShown="0" dataCellStyle="20% - Accent1">
  <autoFilter ref="A1:F13" xr:uid="{CE9AC227-C469-4384-B084-3F9014406001}"/>
  <tableColumns count="6">
    <tableColumn id="1" xr3:uid="{42488E5D-FD61-490A-9EF8-2F3788EA531F}" name="Year"/>
    <tableColumn id="2" xr3:uid="{3C7F3200-B1F2-4B6F-A17D-306071EA6153}" name="Confidence" dataDxfId="42" dataCellStyle="Percent"/>
    <tableColumn id="3" xr3:uid="{746FA696-69CA-482C-9230-1F7A9B08550B}" name="Upper" dataDxfId="41" dataCellStyle="20% - Accent1"/>
    <tableColumn id="4" xr3:uid="{3078BBB4-13C4-4486-AD8A-50F63AA771E1}" name="Mid" dataDxfId="40" dataCellStyle="20% - Accent1"/>
    <tableColumn id="5" xr3:uid="{46326F7C-7D9D-45FB-9A6C-AEF8299CCEBF}" name="Lower" dataDxfId="39" dataCellStyle="20% - Accent1"/>
    <tableColumn id="6" xr3:uid="{F65153E2-85E9-4907-8986-1288BD8A8361}" name="Delta" dataDxfId="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F1DCFEE-31CD-48DE-B769-A80A7C629AD4}" name="Table258" displayName="Table258" ref="B41:G53" totalsRowShown="0" dataCellStyle="20% - Accent1">
  <autoFilter ref="B41:G53" xr:uid="{2F1DCFEE-31CD-48DE-B769-A80A7C629AD4}"/>
  <tableColumns count="6">
    <tableColumn id="1" xr3:uid="{4BCF03EF-31B4-4AF0-800A-ED7D16FCBB4E}" name="Year"/>
    <tableColumn id="2" xr3:uid="{F166695F-E9FB-43DD-80C7-D9F7CF7F2D75}" name="Confidence" dataDxfId="37" dataCellStyle="Percent"/>
    <tableColumn id="3" xr3:uid="{7B5B8D75-A211-49CA-996B-D2635A3A1667}" name="Upper" dataDxfId="13" dataCellStyle="Currency"/>
    <tableColumn id="4" xr3:uid="{232D048F-1B18-402B-B0E5-781741B12BCE}" name="Mid" dataDxfId="12" dataCellStyle="Currency"/>
    <tableColumn id="5" xr3:uid="{79BF4929-BB7E-4608-86F8-BEFDE0BD20E1}" name="Lower" dataDxfId="11" dataCellStyle="Currency"/>
    <tableColumn id="6" xr3:uid="{9A766E21-B10E-4471-AF3C-76081A67F2D2}" name="Delta" dataDxfId="10" dataCellStyle="Currency"/>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280A912-0482-45BD-BC4B-9C40AADA71ED}" name="SavingsPerOrder" displayName="SavingsPerOrder" ref="A71:H83" totalsRowShown="0" dataDxfId="36" dataCellStyle="Currency">
  <autoFilter ref="A71:H83" xr:uid="{3280A912-0482-45BD-BC4B-9C40AADA71ED}"/>
  <tableColumns count="8">
    <tableColumn id="1" xr3:uid="{6483FB39-5A3F-4ABC-9D0E-B670B058FE9A}" name="Year" dataDxfId="35"/>
    <tableColumn id="2" xr3:uid="{983D6CB5-CEC1-4FE9-BCC1-29769AB448C2}" name="Confidence Level" dataDxfId="34" dataCellStyle="20% - Accent1"/>
    <tableColumn id="3" xr3:uid="{B0AF7BF4-0837-43A4-BEEF-0E8104D73961}" name="Upper" dataDxfId="33" dataCellStyle="Currency"/>
    <tableColumn id="4" xr3:uid="{DB5BC22F-72AC-4D7C-88A1-713C3B8D26CB}" name="Middle" dataDxfId="32" dataCellStyle="Currency"/>
    <tableColumn id="5" xr3:uid="{A973B081-BCF1-49CB-9FEB-E995AEFB9511}" name="Lower" dataDxfId="31" dataCellStyle="Currency"/>
    <tableColumn id="6" xr3:uid="{0D0BEDFD-9948-45B4-B561-84630E01B7B9}" name="Saving - H" dataDxfId="30" dataCellStyle="Currency">
      <calculatedColumnFormula>C72*$Q$21/100</calculatedColumnFormula>
    </tableColumn>
    <tableColumn id="7" xr3:uid="{183719FE-9C84-4FF0-9808-0FDF9885A77D}" name="Saving - M" dataDxfId="29" dataCellStyle="Currency">
      <calculatedColumnFormula>D72*$Q$21/100</calculatedColumnFormula>
    </tableColumn>
    <tableColumn id="8" xr3:uid="{A2DF0F5D-5DB5-413B-B9B9-B925BF2D3E1D}" name="Savings - L" dataDxfId="28" dataCellStyle="Currency">
      <calculatedColumnFormula>E72*$Q$21/100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DB47307-5759-4DCC-A4E0-CFF36F4CB33C}" name="InvalidOrdersNumber2" displayName="InvalidOrdersNumber2" ref="A70:N82" totalsRowShown="0" dataCellStyle="20% - Accent1">
  <autoFilter ref="A70:N82" xr:uid="{ADB47307-5759-4DCC-A4E0-CFF36F4CB33C}"/>
  <tableColumns count="14">
    <tableColumn id="1" xr3:uid="{E9E39BF3-0C97-4313-B7DC-BBDBD4F125CF}" name="Year" dataDxfId="27" dataCellStyle="40% - Accent3"/>
    <tableColumn id="2" xr3:uid="{AF2BF74D-EAD1-4FA3-9CD1-410E5D7D0331}" name="Confidence" dataDxfId="26" dataCellStyle="Percent"/>
    <tableColumn id="3" xr3:uid="{04E855EC-6050-4B7A-AAD2-2D5070014E91}" name="Upper" dataDxfId="25" dataCellStyle="Comma"/>
    <tableColumn id="4" xr3:uid="{49F5C36B-144E-4393-8679-4295641DFE8F}" name="Mid" dataDxfId="24" dataCellStyle="Comma"/>
    <tableColumn id="5" xr3:uid="{1D3A5E50-EC8C-4217-876B-EED497B266EC}" name="Lower" dataDxfId="23" dataCellStyle="Comma"/>
    <tableColumn id="6" xr3:uid="{1EDCCECD-8A45-489C-80EE-B33F363FA070}" name="Upper2" dataDxfId="22" dataCellStyle="40% - Accent3"/>
    <tableColumn id="7" xr3:uid="{C3A83189-F917-4703-8D3D-4802FFC325A0}" name="Middle" dataDxfId="21" dataCellStyle="40% - Accent3"/>
    <tableColumn id="8" xr3:uid="{4211CC8C-403E-482D-A206-909CED84732E}" name="Lower2" dataDxfId="20" dataCellStyle="40% - Accent3"/>
    <tableColumn id="9" xr3:uid="{E765FDCC-8700-4197-BBFE-6AB13A580F6A}" name="Upper Total" dataDxfId="19" dataCellStyle="40% - Accent3">
      <calculatedColumnFormula>InvalidOrdersNumber2[[#This Row],[Upper]]*InvalidOrdersNumber2[[#This Row],[Upper2]]</calculatedColumnFormula>
    </tableColumn>
    <tableColumn id="10" xr3:uid="{201CB39E-4587-4A20-AF0F-A8C6B84C2090}" name="Mid Total" dataDxfId="18" dataCellStyle="40% - Accent3">
      <calculatedColumnFormula>InvalidOrdersNumber2[[#This Row],[Mid]]*InvalidOrdersNumber2[[#This Row],[Middle]]</calculatedColumnFormula>
    </tableColumn>
    <tableColumn id="11" xr3:uid="{7DB64A40-8423-45D2-AD79-0C45A1850076}" name="Lower Total" dataDxfId="17" dataCellStyle="40% - Accent3">
      <calculatedColumnFormula>InvalidOrdersNumber2[[#This Row],[Lower]]*InvalidOrdersNumber2[[#This Row],[Lower2]]</calculatedColumnFormula>
    </tableColumn>
    <tableColumn id="12" xr3:uid="{464D6D26-233B-4A23-BF07-F04D90CFD1DE}" name="Saving - H" dataDxfId="16" dataCellStyle="40% - Accent3">
      <calculatedColumnFormula>I71*$M$69/100</calculatedColumnFormula>
    </tableColumn>
    <tableColumn id="13" xr3:uid="{E832CA27-0325-4824-8957-65B5182A0DBA}" name="Saving - M" dataDxfId="15" dataCellStyle="40% - Accent3">
      <calculatedColumnFormula>J71*$M$69/100</calculatedColumnFormula>
    </tableColumn>
    <tableColumn id="14" xr3:uid="{05FAE6AE-DA0D-48B6-B315-6099A8B15DB9}" name="Savings - L" dataDxfId="14" dataCellStyle="40% - Accent3">
      <calculatedColumnFormula>K71*$M$69/100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6ACA9E-B427-45E5-AF38-CE0C8764C68D}" name="Table1" displayName="Table1" ref="A40:M43" totalsRowShown="0">
  <autoFilter ref="A40:M43" xr:uid="{4E6ACA9E-B427-45E5-AF38-CE0C8764C68D}"/>
  <tableColumns count="13">
    <tableColumn id="1" xr3:uid="{046CB38C-2AB9-4D02-BFCA-7D4A23406C60}" name="Confidence Level" dataCellStyle="Percent"/>
    <tableColumn id="2" xr3:uid="{DEDDD195-42C3-4C55-B42D-2C5B6FD950BB}" name="Upper" dataDxfId="5" dataCellStyle="Currency"/>
    <tableColumn id="3" xr3:uid="{46F0A94F-C497-42F1-A076-8594463512E6}" name="Midline" dataDxfId="4" dataCellStyle="Currency">
      <calculatedColumnFormula>AVERAGE(B41,D41)</calculatedColumnFormula>
    </tableColumn>
    <tableColumn id="4" xr3:uid="{62661B03-D50D-4A18-BF77-8EA15A31D4CF}" name="Lower" dataDxfId="3" dataCellStyle="Currency"/>
    <tableColumn id="5" xr3:uid="{6F293121-D910-4C53-A611-41A76E240AA0}" name="Upper#"/>
    <tableColumn id="6" xr3:uid="{D9C48EC2-3BB2-4986-BB87-BA8658C36AB5}" name="Midline#"/>
    <tableColumn id="7" xr3:uid="{01A7BA73-D6B6-4A88-BCDF-AF1E2328C144}" name="Lower#" dataDxfId="9" dataCellStyle="20% - Accent1"/>
    <tableColumn id="8" xr3:uid="{87F8D431-34EC-4261-9B58-55CE0852E0DE}" name="Upper Total" dataDxfId="8" dataCellStyle="Currency">
      <calculatedColumnFormula>Table1[[#This Row],[Upper]]*Table1[[#This Row],[Upper'#]]</calculatedColumnFormula>
    </tableColumn>
    <tableColumn id="9" xr3:uid="{7CF636A0-2041-4967-8DCF-8E6AD7300391}" name="Middle Total" dataDxfId="7" dataCellStyle="Currency">
      <calculatedColumnFormula>Table1[[#This Row],[Midline]]*Table1[[#This Row],[Midline'#]]</calculatedColumnFormula>
    </tableColumn>
    <tableColumn id="10" xr3:uid="{7438D8F2-E3E7-4E62-A56D-777BC641C88B}" name="Lower Total" dataDxfId="6" dataCellStyle="Currency">
      <calculatedColumnFormula>Table1[[#This Row],[Lower]]*Table1[[#This Row],[Lower'#]]</calculatedColumnFormula>
    </tableColumn>
    <tableColumn id="12" xr3:uid="{7A5B2EE0-445A-4C70-996B-ED03753A6394}" name="Highiest Savings" dataDxfId="2" dataCellStyle="Currency">
      <calculatedColumnFormula>Table1[[#This Row],[Upper Total]]*$L$39/100</calculatedColumnFormula>
    </tableColumn>
    <tableColumn id="13" xr3:uid="{D7B74421-0523-43BC-A39D-BA9D09BEE70E}" name="Middle Savings" dataDxfId="1" dataCellStyle="Currency">
      <calculatedColumnFormula>Table1[[#This Row],[Middle Total]]*$L$39/100</calculatedColumnFormula>
    </tableColumn>
    <tableColumn id="14" xr3:uid="{A681E9F5-627E-484B-89D5-1C0923FD3B07}" name="Lowest Savings" dataDxfId="0" dataCellStyle="Currency">
      <calculatedColumnFormula>Table1[[#This Row],[Lower Total]]*$L$39/100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hyperlink" Target="https://www.statskingdom.com/confidence-interval-calculator.html"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https://www.statskingdom.com/proportion-confidence-interval-calculator.html" TargetMode="Externa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4.xml"/><Relationship Id="rId1" Type="http://schemas.openxmlformats.org/officeDocument/2006/relationships/drawing" Target="../drawings/drawing1.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drawing" Target="../drawings/drawing2.xml"/><Relationship Id="rId7" Type="http://schemas.openxmlformats.org/officeDocument/2006/relationships/table" Target="../tables/table5.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07/relationships/slicer" Target="../slicers/slicer4.xml"/><Relationship Id="rId2" Type="http://schemas.openxmlformats.org/officeDocument/2006/relationships/drawing" Target="../drawings/drawing3.xml"/><Relationship Id="rId1" Type="http://schemas.openxmlformats.org/officeDocument/2006/relationships/pivotTable" Target="../pivotTables/pivotTable3.xml"/><Relationship Id="rId6" Type="http://schemas.openxmlformats.org/officeDocument/2006/relationships/table" Target="../tables/table6.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ivotTable" Target="../pivotTables/pivotTable4.xml"/><Relationship Id="rId6" Type="http://schemas.microsoft.com/office/2007/relationships/slicer" Target="../slicers/slicer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07/relationships/slicer" Target="../slicers/slicer6.xml"/><Relationship Id="rId2" Type="http://schemas.openxmlformats.org/officeDocument/2006/relationships/drawing" Target="../drawings/drawing5.xml"/><Relationship Id="rId1" Type="http://schemas.openxmlformats.org/officeDocument/2006/relationships/pivotTable" Target="../pivotTables/pivotTable5.xml"/><Relationship Id="rId6" Type="http://schemas.openxmlformats.org/officeDocument/2006/relationships/table" Target="../tables/table7.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0268C-336C-4748-B3DA-13677128F012}">
  <sheetPr codeName="Sheet1"/>
  <dimension ref="A1:P80"/>
  <sheetViews>
    <sheetView workbookViewId="0">
      <selection activeCell="P5" sqref="P5"/>
    </sheetView>
  </sheetViews>
  <sheetFormatPr defaultRowHeight="15" x14ac:dyDescent="0.25"/>
  <cols>
    <col min="3" max="3" width="14.28515625" bestFit="1" customWidth="1"/>
    <col min="6" max="6" width="7" customWidth="1"/>
    <col min="7" max="7" width="14.28515625" bestFit="1" customWidth="1"/>
    <col min="9" max="11" width="12.5703125" bestFit="1" customWidth="1"/>
    <col min="12" max="12" width="14.28515625" bestFit="1" customWidth="1"/>
    <col min="13" max="13" width="11.5703125" bestFit="1" customWidth="1"/>
    <col min="14" max="14" width="12.5703125" bestFit="1" customWidth="1"/>
    <col min="15" max="15" width="11.5703125" bestFit="1" customWidth="1"/>
    <col min="16" max="16" width="14.28515625" bestFit="1" customWidth="1"/>
  </cols>
  <sheetData>
    <row r="1" spans="1:16" x14ac:dyDescent="0.25">
      <c r="A1" t="s">
        <v>0</v>
      </c>
      <c r="B1">
        <v>2021</v>
      </c>
      <c r="C1" s="4">
        <v>50</v>
      </c>
      <c r="D1" t="s">
        <v>0</v>
      </c>
    </row>
    <row r="2" spans="1:16" x14ac:dyDescent="0.25">
      <c r="A2" t="s">
        <v>0</v>
      </c>
      <c r="B2">
        <v>2021</v>
      </c>
      <c r="C2" s="4">
        <v>1040.4000000000001</v>
      </c>
      <c r="D2" t="s">
        <v>0</v>
      </c>
      <c r="G2" s="3">
        <f>SUMIF(D1:D80,"N",C1:C80)</f>
        <v>1054175.0999999999</v>
      </c>
      <c r="H2" t="s">
        <v>0</v>
      </c>
    </row>
    <row r="3" spans="1:16" x14ac:dyDescent="0.25">
      <c r="A3" t="s">
        <v>0</v>
      </c>
      <c r="B3">
        <v>2021</v>
      </c>
      <c r="C3" s="4">
        <v>1111.58</v>
      </c>
      <c r="D3" t="s">
        <v>0</v>
      </c>
      <c r="G3" s="3">
        <f>SUMIF(D1:D80,"Y",C1:C80)</f>
        <v>4562583.2699999996</v>
      </c>
      <c r="H3" t="s">
        <v>1</v>
      </c>
    </row>
    <row r="4" spans="1:16" x14ac:dyDescent="0.25">
      <c r="A4" t="s">
        <v>0</v>
      </c>
      <c r="B4">
        <v>2021</v>
      </c>
      <c r="C4" s="4">
        <v>2244.4</v>
      </c>
      <c r="D4" t="s">
        <v>0</v>
      </c>
    </row>
    <row r="5" spans="1:16" x14ac:dyDescent="0.25">
      <c r="A5" t="s">
        <v>1</v>
      </c>
      <c r="B5">
        <v>2021</v>
      </c>
      <c r="C5" s="4">
        <v>3260</v>
      </c>
      <c r="D5" t="s">
        <v>1</v>
      </c>
      <c r="I5">
        <v>2021</v>
      </c>
      <c r="J5">
        <f>COUNT(B1:B20)</f>
        <v>20</v>
      </c>
      <c r="K5">
        <v>2022</v>
      </c>
      <c r="L5">
        <f>COUNT(B21:B40)</f>
        <v>20</v>
      </c>
      <c r="M5">
        <v>2023</v>
      </c>
      <c r="N5">
        <f>COUNT(B41:B60)</f>
        <v>20</v>
      </c>
      <c r="O5">
        <v>2024</v>
      </c>
      <c r="P5">
        <f>COUNT(B61:B80)</f>
        <v>20</v>
      </c>
    </row>
    <row r="6" spans="1:16" x14ac:dyDescent="0.25">
      <c r="A6" t="s">
        <v>0</v>
      </c>
      <c r="B6">
        <v>2021</v>
      </c>
      <c r="C6" s="4">
        <v>11194.81</v>
      </c>
      <c r="D6" t="s">
        <v>0</v>
      </c>
      <c r="I6" t="s">
        <v>0</v>
      </c>
      <c r="J6" t="s">
        <v>1</v>
      </c>
      <c r="K6" t="s">
        <v>0</v>
      </c>
      <c r="L6" t="s">
        <v>1</v>
      </c>
      <c r="M6" t="s">
        <v>0</v>
      </c>
      <c r="N6" t="s">
        <v>1</v>
      </c>
      <c r="O6" t="s">
        <v>0</v>
      </c>
      <c r="P6" t="s">
        <v>1</v>
      </c>
    </row>
    <row r="7" spans="1:16" x14ac:dyDescent="0.25">
      <c r="A7" t="s">
        <v>0</v>
      </c>
      <c r="B7">
        <v>2021</v>
      </c>
      <c r="C7" s="4">
        <v>14890</v>
      </c>
      <c r="D7" t="s">
        <v>0</v>
      </c>
      <c r="I7" s="11">
        <f>SUMIF(D1:D20,"N",C1:C20)</f>
        <v>697078.96</v>
      </c>
      <c r="J7" s="11">
        <f>SUMIF(D1:D20,"Y",C1:C20)</f>
        <v>797163.14</v>
      </c>
      <c r="K7" s="11">
        <f>SUMIF(D21:D40,"N",C21:C40)</f>
        <v>248228.71000000002</v>
      </c>
      <c r="L7" s="11">
        <f>SUMIF(D21:D40,"Y",C21:C40)</f>
        <v>1612774.9400000002</v>
      </c>
      <c r="M7" s="11">
        <f>SUMIF(D41:D60,"N",C41:C60)</f>
        <v>33165.64</v>
      </c>
      <c r="N7" s="11">
        <f>SUMIF(D41:D60,"Y",C41:C60)</f>
        <v>814329.85</v>
      </c>
      <c r="O7" s="11">
        <f>SUMIF(D61:D80,"N",C61:C80)</f>
        <v>75701.790000000008</v>
      </c>
      <c r="P7" s="11">
        <f>SUMIF(D61:D80,"Y",C61:C80)</f>
        <v>1338315.3399999999</v>
      </c>
    </row>
    <row r="8" spans="1:16" x14ac:dyDescent="0.25">
      <c r="A8" t="s">
        <v>1</v>
      </c>
      <c r="B8">
        <v>2021</v>
      </c>
      <c r="C8" s="4">
        <v>21000</v>
      </c>
      <c r="D8" t="s">
        <v>1</v>
      </c>
      <c r="I8">
        <f>COUNTIF(D1:D20, "N")</f>
        <v>12</v>
      </c>
      <c r="K8">
        <f>COUNTIF(D21:D40, "N")</f>
        <v>4</v>
      </c>
      <c r="M8">
        <f>COUNTIF(D41:D60, "N")</f>
        <v>4</v>
      </c>
      <c r="O8">
        <f>COUNTIF(D61:D80, "N")</f>
        <v>5</v>
      </c>
    </row>
    <row r="9" spans="1:16" x14ac:dyDescent="0.25">
      <c r="A9" t="s">
        <v>0</v>
      </c>
      <c r="B9">
        <v>2021</v>
      </c>
      <c r="C9" s="4">
        <v>27493.200000000001</v>
      </c>
      <c r="D9" t="s">
        <v>0</v>
      </c>
    </row>
    <row r="10" spans="1:16" x14ac:dyDescent="0.25">
      <c r="A10" t="s">
        <v>1</v>
      </c>
      <c r="B10">
        <v>2021</v>
      </c>
      <c r="C10" s="4">
        <v>28069</v>
      </c>
      <c r="D10" t="s">
        <v>1</v>
      </c>
    </row>
    <row r="11" spans="1:16" x14ac:dyDescent="0.25">
      <c r="A11" t="s">
        <v>0</v>
      </c>
      <c r="B11">
        <v>2021</v>
      </c>
      <c r="C11" s="4">
        <v>30940</v>
      </c>
      <c r="D11" t="s">
        <v>0</v>
      </c>
    </row>
    <row r="12" spans="1:16" x14ac:dyDescent="0.25">
      <c r="A12" t="s">
        <v>1</v>
      </c>
      <c r="B12">
        <v>2021</v>
      </c>
      <c r="C12" s="4">
        <v>54940.04</v>
      </c>
      <c r="D12" t="s">
        <v>1</v>
      </c>
    </row>
    <row r="13" spans="1:16" x14ac:dyDescent="0.25">
      <c r="A13" t="s">
        <v>1</v>
      </c>
      <c r="B13">
        <v>2021</v>
      </c>
      <c r="C13" s="4">
        <v>58333.34</v>
      </c>
      <c r="D13" t="s">
        <v>1</v>
      </c>
    </row>
    <row r="14" spans="1:16" x14ac:dyDescent="0.25">
      <c r="A14" t="s">
        <v>0</v>
      </c>
      <c r="B14">
        <v>2021</v>
      </c>
      <c r="C14" s="4">
        <v>88910</v>
      </c>
      <c r="D14" t="s">
        <v>0</v>
      </c>
    </row>
    <row r="15" spans="1:16" x14ac:dyDescent="0.25">
      <c r="A15" t="s">
        <v>1</v>
      </c>
      <c r="B15">
        <v>2021</v>
      </c>
      <c r="C15" s="4">
        <v>100000</v>
      </c>
      <c r="D15" t="s">
        <v>1</v>
      </c>
    </row>
    <row r="16" spans="1:16" x14ac:dyDescent="0.25">
      <c r="A16" t="s">
        <v>1</v>
      </c>
      <c r="B16">
        <v>2021</v>
      </c>
      <c r="C16" s="4">
        <v>119560.76</v>
      </c>
      <c r="D16" t="s">
        <v>1</v>
      </c>
    </row>
    <row r="17" spans="1:4" x14ac:dyDescent="0.25">
      <c r="A17" t="s">
        <v>0</v>
      </c>
      <c r="B17">
        <v>2021</v>
      </c>
      <c r="C17" s="4">
        <v>134302.5</v>
      </c>
      <c r="D17" t="s">
        <v>0</v>
      </c>
    </row>
    <row r="18" spans="1:4" x14ac:dyDescent="0.25">
      <c r="A18" t="s">
        <v>0</v>
      </c>
      <c r="B18">
        <v>2021</v>
      </c>
      <c r="C18" s="4">
        <v>187902.07</v>
      </c>
      <c r="D18" t="s">
        <v>0</v>
      </c>
    </row>
    <row r="19" spans="1:4" x14ac:dyDescent="0.25">
      <c r="A19" t="s">
        <v>0</v>
      </c>
      <c r="B19">
        <v>2021</v>
      </c>
      <c r="C19" s="4">
        <v>197000</v>
      </c>
      <c r="D19" t="s">
        <v>0</v>
      </c>
    </row>
    <row r="20" spans="1:4" x14ac:dyDescent="0.25">
      <c r="A20" t="s">
        <v>1</v>
      </c>
      <c r="B20">
        <v>2021</v>
      </c>
      <c r="C20" s="4">
        <v>412000</v>
      </c>
      <c r="D20" t="s">
        <v>1</v>
      </c>
    </row>
    <row r="21" spans="1:4" x14ac:dyDescent="0.25">
      <c r="A21" t="s">
        <v>1</v>
      </c>
      <c r="B21">
        <v>2022</v>
      </c>
      <c r="C21" s="4">
        <v>215.5</v>
      </c>
      <c r="D21" t="s">
        <v>1</v>
      </c>
    </row>
    <row r="22" spans="1:4" x14ac:dyDescent="0.25">
      <c r="A22" t="s">
        <v>1</v>
      </c>
      <c r="B22">
        <v>2022</v>
      </c>
      <c r="C22" s="4">
        <v>1428</v>
      </c>
      <c r="D22" t="s">
        <v>1</v>
      </c>
    </row>
    <row r="23" spans="1:4" x14ac:dyDescent="0.25">
      <c r="A23" t="s">
        <v>0</v>
      </c>
      <c r="B23">
        <v>2022</v>
      </c>
      <c r="C23" s="4">
        <v>9599.23</v>
      </c>
      <c r="D23" t="s">
        <v>0</v>
      </c>
    </row>
    <row r="24" spans="1:4" x14ac:dyDescent="0.25">
      <c r="A24" t="s">
        <v>1</v>
      </c>
      <c r="B24">
        <v>2022</v>
      </c>
      <c r="C24" s="4">
        <v>12620.46</v>
      </c>
      <c r="D24" t="s">
        <v>1</v>
      </c>
    </row>
    <row r="25" spans="1:4" x14ac:dyDescent="0.25">
      <c r="A25" t="s">
        <v>1</v>
      </c>
      <c r="B25">
        <v>2022</v>
      </c>
      <c r="C25" s="4">
        <v>16991.740000000002</v>
      </c>
      <c r="D25" t="s">
        <v>1</v>
      </c>
    </row>
    <row r="26" spans="1:4" x14ac:dyDescent="0.25">
      <c r="A26" t="s">
        <v>0</v>
      </c>
      <c r="B26">
        <v>2022</v>
      </c>
      <c r="C26" s="4">
        <v>20000</v>
      </c>
      <c r="D26" t="s">
        <v>0</v>
      </c>
    </row>
    <row r="27" spans="1:4" x14ac:dyDescent="0.25">
      <c r="A27" t="s">
        <v>0</v>
      </c>
      <c r="B27">
        <v>2022</v>
      </c>
      <c r="C27" s="4">
        <v>20760</v>
      </c>
      <c r="D27" t="s">
        <v>0</v>
      </c>
    </row>
    <row r="28" spans="1:4" x14ac:dyDescent="0.25">
      <c r="A28" t="s">
        <v>1</v>
      </c>
      <c r="B28">
        <v>2022</v>
      </c>
      <c r="C28" s="4">
        <v>22055.57</v>
      </c>
      <c r="D28" t="s">
        <v>1</v>
      </c>
    </row>
    <row r="29" spans="1:4" x14ac:dyDescent="0.25">
      <c r="A29" t="s">
        <v>1</v>
      </c>
      <c r="B29">
        <v>2022</v>
      </c>
      <c r="C29" s="4">
        <v>39778.75</v>
      </c>
      <c r="D29" t="s">
        <v>1</v>
      </c>
    </row>
    <row r="30" spans="1:4" x14ac:dyDescent="0.25">
      <c r="A30" t="s">
        <v>1</v>
      </c>
      <c r="B30">
        <v>2022</v>
      </c>
      <c r="C30" s="4">
        <v>53175.78</v>
      </c>
      <c r="D30" t="s">
        <v>1</v>
      </c>
    </row>
    <row r="31" spans="1:4" x14ac:dyDescent="0.25">
      <c r="A31" t="s">
        <v>1</v>
      </c>
      <c r="B31">
        <v>2022</v>
      </c>
      <c r="C31" s="4">
        <v>57019</v>
      </c>
      <c r="D31" t="s">
        <v>1</v>
      </c>
    </row>
    <row r="32" spans="1:4" x14ac:dyDescent="0.25">
      <c r="A32" t="s">
        <v>1</v>
      </c>
      <c r="B32">
        <v>2022</v>
      </c>
      <c r="C32" s="4">
        <v>57860.6</v>
      </c>
      <c r="D32" t="s">
        <v>1</v>
      </c>
    </row>
    <row r="33" spans="1:4" x14ac:dyDescent="0.25">
      <c r="A33" t="s">
        <v>1</v>
      </c>
      <c r="B33">
        <v>2022</v>
      </c>
      <c r="C33" s="4">
        <v>57900</v>
      </c>
      <c r="D33" t="s">
        <v>1</v>
      </c>
    </row>
    <row r="34" spans="1:4" x14ac:dyDescent="0.25">
      <c r="A34" t="s">
        <v>1</v>
      </c>
      <c r="B34">
        <v>2022</v>
      </c>
      <c r="C34" s="4">
        <v>70109.5</v>
      </c>
      <c r="D34" t="s">
        <v>1</v>
      </c>
    </row>
    <row r="35" spans="1:4" x14ac:dyDescent="0.25">
      <c r="A35" t="s">
        <v>1</v>
      </c>
      <c r="B35">
        <v>2022</v>
      </c>
      <c r="C35" s="4">
        <v>80000</v>
      </c>
      <c r="D35" t="s">
        <v>1</v>
      </c>
    </row>
    <row r="36" spans="1:4" x14ac:dyDescent="0.25">
      <c r="A36" t="s">
        <v>0</v>
      </c>
      <c r="B36">
        <v>2022</v>
      </c>
      <c r="C36" s="4">
        <v>197869.48</v>
      </c>
      <c r="D36" t="s">
        <v>0</v>
      </c>
    </row>
    <row r="37" spans="1:4" x14ac:dyDescent="0.25">
      <c r="A37" t="s">
        <v>1</v>
      </c>
      <c r="B37">
        <v>2022</v>
      </c>
      <c r="C37" s="4">
        <v>199422.16</v>
      </c>
      <c r="D37" t="s">
        <v>1</v>
      </c>
    </row>
    <row r="38" spans="1:4" x14ac:dyDescent="0.25">
      <c r="A38" t="s">
        <v>1</v>
      </c>
      <c r="B38">
        <v>2022</v>
      </c>
      <c r="C38" s="4">
        <v>206376.51</v>
      </c>
      <c r="D38" t="s">
        <v>1</v>
      </c>
    </row>
    <row r="39" spans="1:4" x14ac:dyDescent="0.25">
      <c r="A39" t="s">
        <v>1</v>
      </c>
      <c r="B39">
        <v>2022</v>
      </c>
      <c r="C39" s="4">
        <v>350784.08</v>
      </c>
      <c r="D39" t="s">
        <v>1</v>
      </c>
    </row>
    <row r="40" spans="1:4" x14ac:dyDescent="0.25">
      <c r="A40" t="s">
        <v>1</v>
      </c>
      <c r="B40">
        <v>2022</v>
      </c>
      <c r="C40" s="4">
        <v>387037.29</v>
      </c>
      <c r="D40" t="s">
        <v>1</v>
      </c>
    </row>
    <row r="41" spans="1:4" x14ac:dyDescent="0.25">
      <c r="A41" t="s">
        <v>1</v>
      </c>
      <c r="B41">
        <v>2023</v>
      </c>
      <c r="C41" s="4">
        <v>620.25</v>
      </c>
      <c r="D41" t="s">
        <v>1</v>
      </c>
    </row>
    <row r="42" spans="1:4" x14ac:dyDescent="0.25">
      <c r="A42" t="s">
        <v>1</v>
      </c>
      <c r="B42">
        <v>2023</v>
      </c>
      <c r="C42" s="4">
        <v>1549.38</v>
      </c>
      <c r="D42" t="s">
        <v>1</v>
      </c>
    </row>
    <row r="43" spans="1:4" x14ac:dyDescent="0.25">
      <c r="A43" t="s">
        <v>0</v>
      </c>
      <c r="B43">
        <v>2023</v>
      </c>
      <c r="C43" s="4">
        <v>2647.04</v>
      </c>
      <c r="D43" t="s">
        <v>0</v>
      </c>
    </row>
    <row r="44" spans="1:4" x14ac:dyDescent="0.25">
      <c r="A44" t="s">
        <v>1</v>
      </c>
      <c r="B44">
        <v>2023</v>
      </c>
      <c r="C44" s="4">
        <v>3150</v>
      </c>
      <c r="D44" t="s">
        <v>1</v>
      </c>
    </row>
    <row r="45" spans="1:4" x14ac:dyDescent="0.25">
      <c r="A45" t="s">
        <v>1</v>
      </c>
      <c r="B45">
        <v>2023</v>
      </c>
      <c r="C45" s="4">
        <v>3834.82</v>
      </c>
      <c r="D45" t="s">
        <v>1</v>
      </c>
    </row>
    <row r="46" spans="1:4" x14ac:dyDescent="0.25">
      <c r="A46" t="s">
        <v>1</v>
      </c>
      <c r="B46">
        <v>2023</v>
      </c>
      <c r="C46" s="4">
        <v>4450</v>
      </c>
      <c r="D46" t="s">
        <v>1</v>
      </c>
    </row>
    <row r="47" spans="1:4" x14ac:dyDescent="0.25">
      <c r="A47" t="s">
        <v>1</v>
      </c>
      <c r="B47">
        <v>2023</v>
      </c>
      <c r="C47" s="4">
        <v>5627.15</v>
      </c>
      <c r="D47" t="s">
        <v>1</v>
      </c>
    </row>
    <row r="48" spans="1:4" x14ac:dyDescent="0.25">
      <c r="A48" t="s">
        <v>1</v>
      </c>
      <c r="B48">
        <v>2023</v>
      </c>
      <c r="C48" s="4">
        <v>6424.5</v>
      </c>
      <c r="D48" t="s">
        <v>1</v>
      </c>
    </row>
    <row r="49" spans="1:4" x14ac:dyDescent="0.25">
      <c r="A49" t="s">
        <v>0</v>
      </c>
      <c r="B49">
        <v>2023</v>
      </c>
      <c r="C49" s="4">
        <v>6542.1</v>
      </c>
      <c r="D49" t="s">
        <v>0</v>
      </c>
    </row>
    <row r="50" spans="1:4" x14ac:dyDescent="0.25">
      <c r="A50" t="s">
        <v>0</v>
      </c>
      <c r="B50">
        <v>2023</v>
      </c>
      <c r="C50" s="4">
        <v>9374.07</v>
      </c>
      <c r="D50" t="s">
        <v>0</v>
      </c>
    </row>
    <row r="51" spans="1:4" x14ac:dyDescent="0.25">
      <c r="A51" t="s">
        <v>0</v>
      </c>
      <c r="B51">
        <v>2023</v>
      </c>
      <c r="C51" s="4">
        <v>14602.43</v>
      </c>
      <c r="D51" t="s">
        <v>0</v>
      </c>
    </row>
    <row r="52" spans="1:4" x14ac:dyDescent="0.25">
      <c r="A52" t="s">
        <v>1</v>
      </c>
      <c r="B52">
        <v>2023</v>
      </c>
      <c r="C52" s="4">
        <v>22400</v>
      </c>
      <c r="D52" t="s">
        <v>1</v>
      </c>
    </row>
    <row r="53" spans="1:4" x14ac:dyDescent="0.25">
      <c r="A53" t="s">
        <v>1</v>
      </c>
      <c r="B53">
        <v>2023</v>
      </c>
      <c r="C53" s="4">
        <v>25000</v>
      </c>
      <c r="D53" t="s">
        <v>1</v>
      </c>
    </row>
    <row r="54" spans="1:4" x14ac:dyDescent="0.25">
      <c r="A54" t="s">
        <v>1</v>
      </c>
      <c r="B54">
        <v>2023</v>
      </c>
      <c r="C54" s="4">
        <v>30666</v>
      </c>
      <c r="D54" t="s">
        <v>1</v>
      </c>
    </row>
    <row r="55" spans="1:4" x14ac:dyDescent="0.25">
      <c r="A55" t="s">
        <v>1</v>
      </c>
      <c r="B55">
        <v>2023</v>
      </c>
      <c r="C55" s="4">
        <v>36250</v>
      </c>
      <c r="D55" t="s">
        <v>1</v>
      </c>
    </row>
    <row r="56" spans="1:4" x14ac:dyDescent="0.25">
      <c r="A56" t="s">
        <v>1</v>
      </c>
      <c r="B56">
        <v>2023</v>
      </c>
      <c r="C56" s="4">
        <v>40000</v>
      </c>
      <c r="D56" t="s">
        <v>1</v>
      </c>
    </row>
    <row r="57" spans="1:4" x14ac:dyDescent="0.25">
      <c r="A57" t="s">
        <v>1</v>
      </c>
      <c r="B57">
        <v>2023</v>
      </c>
      <c r="C57" s="4">
        <v>75000</v>
      </c>
      <c r="D57" t="s">
        <v>1</v>
      </c>
    </row>
    <row r="58" spans="1:4" x14ac:dyDescent="0.25">
      <c r="A58" t="s">
        <v>1</v>
      </c>
      <c r="B58">
        <v>2023</v>
      </c>
      <c r="C58" s="4">
        <v>98333</v>
      </c>
      <c r="D58" t="s">
        <v>1</v>
      </c>
    </row>
    <row r="59" spans="1:4" x14ac:dyDescent="0.25">
      <c r="A59" t="s">
        <v>1</v>
      </c>
      <c r="B59">
        <v>2023</v>
      </c>
      <c r="C59" s="4">
        <v>197000</v>
      </c>
      <c r="D59" t="s">
        <v>1</v>
      </c>
    </row>
    <row r="60" spans="1:4" x14ac:dyDescent="0.25">
      <c r="A60" t="s">
        <v>1</v>
      </c>
      <c r="B60">
        <v>2023</v>
      </c>
      <c r="C60" s="4">
        <v>264024.75</v>
      </c>
      <c r="D60" t="s">
        <v>1</v>
      </c>
    </row>
    <row r="61" spans="1:4" x14ac:dyDescent="0.25">
      <c r="A61" t="s">
        <v>1</v>
      </c>
      <c r="B61">
        <v>2024</v>
      </c>
      <c r="C61" s="4">
        <v>320.13</v>
      </c>
      <c r="D61" t="s">
        <v>1</v>
      </c>
    </row>
    <row r="62" spans="1:4" x14ac:dyDescent="0.25">
      <c r="A62" t="s">
        <v>1</v>
      </c>
      <c r="B62">
        <v>2024</v>
      </c>
      <c r="C62" s="4">
        <v>995</v>
      </c>
      <c r="D62" t="s">
        <v>1</v>
      </c>
    </row>
    <row r="63" spans="1:4" x14ac:dyDescent="0.25">
      <c r="A63" t="s">
        <v>1</v>
      </c>
      <c r="B63">
        <v>2024</v>
      </c>
      <c r="C63" s="4">
        <v>1251.6199999999999</v>
      </c>
      <c r="D63" t="s">
        <v>1</v>
      </c>
    </row>
    <row r="64" spans="1:4" x14ac:dyDescent="0.25">
      <c r="A64" t="s">
        <v>1</v>
      </c>
      <c r="B64">
        <v>2024</v>
      </c>
      <c r="C64" s="4">
        <v>1551.8</v>
      </c>
      <c r="D64" t="s">
        <v>1</v>
      </c>
    </row>
    <row r="65" spans="1:4" x14ac:dyDescent="0.25">
      <c r="A65" t="s">
        <v>1</v>
      </c>
      <c r="B65">
        <v>2024</v>
      </c>
      <c r="C65" s="4">
        <v>1706.16</v>
      </c>
      <c r="D65" t="s">
        <v>1</v>
      </c>
    </row>
    <row r="66" spans="1:4" x14ac:dyDescent="0.25">
      <c r="A66" t="s">
        <v>0</v>
      </c>
      <c r="B66">
        <v>2024</v>
      </c>
      <c r="C66" s="4">
        <v>3010</v>
      </c>
      <c r="D66" t="s">
        <v>0</v>
      </c>
    </row>
    <row r="67" spans="1:4" x14ac:dyDescent="0.25">
      <c r="A67" t="s">
        <v>0</v>
      </c>
      <c r="B67">
        <v>2024</v>
      </c>
      <c r="C67" s="4">
        <v>4000</v>
      </c>
      <c r="D67" t="s">
        <v>0</v>
      </c>
    </row>
    <row r="68" spans="1:4" x14ac:dyDescent="0.25">
      <c r="A68" t="s">
        <v>0</v>
      </c>
      <c r="B68">
        <v>2024</v>
      </c>
      <c r="C68" s="4">
        <v>6985.5</v>
      </c>
      <c r="D68" t="s">
        <v>0</v>
      </c>
    </row>
    <row r="69" spans="1:4" x14ac:dyDescent="0.25">
      <c r="A69" t="s">
        <v>1</v>
      </c>
      <c r="B69">
        <v>2024</v>
      </c>
      <c r="C69" s="4">
        <v>8268.5</v>
      </c>
      <c r="D69" t="s">
        <v>1</v>
      </c>
    </row>
    <row r="70" spans="1:4" x14ac:dyDescent="0.25">
      <c r="A70" t="s">
        <v>1</v>
      </c>
      <c r="B70">
        <v>2024</v>
      </c>
      <c r="C70" s="4">
        <v>10000</v>
      </c>
      <c r="D70" t="s">
        <v>1</v>
      </c>
    </row>
    <row r="71" spans="1:4" x14ac:dyDescent="0.25">
      <c r="A71" t="s">
        <v>1</v>
      </c>
      <c r="B71">
        <v>2024</v>
      </c>
      <c r="C71" s="4">
        <v>14610</v>
      </c>
      <c r="D71" t="s">
        <v>1</v>
      </c>
    </row>
    <row r="72" spans="1:4" x14ac:dyDescent="0.25">
      <c r="A72" t="s">
        <v>1</v>
      </c>
      <c r="B72">
        <v>2024</v>
      </c>
      <c r="C72" s="4">
        <v>21081.25</v>
      </c>
      <c r="D72" t="s">
        <v>1</v>
      </c>
    </row>
    <row r="73" spans="1:4" x14ac:dyDescent="0.25">
      <c r="A73" t="s">
        <v>0</v>
      </c>
      <c r="B73">
        <v>2024</v>
      </c>
      <c r="C73" s="4">
        <v>24570.89</v>
      </c>
      <c r="D73" t="s">
        <v>0</v>
      </c>
    </row>
    <row r="74" spans="1:4" x14ac:dyDescent="0.25">
      <c r="A74" t="s">
        <v>1</v>
      </c>
      <c r="B74">
        <v>2024</v>
      </c>
      <c r="C74" s="4">
        <v>25829.78</v>
      </c>
      <c r="D74" t="s">
        <v>1</v>
      </c>
    </row>
    <row r="75" spans="1:4" x14ac:dyDescent="0.25">
      <c r="A75" t="s">
        <v>1</v>
      </c>
      <c r="B75">
        <v>2024</v>
      </c>
      <c r="C75" s="4">
        <v>35967</v>
      </c>
      <c r="D75" t="s">
        <v>1</v>
      </c>
    </row>
    <row r="76" spans="1:4" x14ac:dyDescent="0.25">
      <c r="A76" t="s">
        <v>0</v>
      </c>
      <c r="B76">
        <v>2024</v>
      </c>
      <c r="C76" s="4">
        <v>37135.4</v>
      </c>
      <c r="D76" t="s">
        <v>0</v>
      </c>
    </row>
    <row r="77" spans="1:4" x14ac:dyDescent="0.25">
      <c r="A77" t="s">
        <v>1</v>
      </c>
      <c r="B77">
        <v>2024</v>
      </c>
      <c r="C77" s="4">
        <v>40000</v>
      </c>
      <c r="D77" t="s">
        <v>1</v>
      </c>
    </row>
    <row r="78" spans="1:4" x14ac:dyDescent="0.25">
      <c r="A78" t="s">
        <v>1</v>
      </c>
      <c r="B78">
        <v>2024</v>
      </c>
      <c r="C78" s="4">
        <v>196665.31</v>
      </c>
      <c r="D78" t="s">
        <v>1</v>
      </c>
    </row>
    <row r="79" spans="1:4" x14ac:dyDescent="0.25">
      <c r="A79" t="s">
        <v>1</v>
      </c>
      <c r="B79">
        <v>2024</v>
      </c>
      <c r="C79" s="4">
        <v>406501.68</v>
      </c>
      <c r="D79" t="s">
        <v>1</v>
      </c>
    </row>
    <row r="80" spans="1:4" x14ac:dyDescent="0.25">
      <c r="A80" t="s">
        <v>1</v>
      </c>
      <c r="B80">
        <v>2024</v>
      </c>
      <c r="C80" s="4">
        <v>573567.11</v>
      </c>
      <c r="D80" t="s">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DDCE-F98F-474F-8FEE-618F4E81F5C0}">
  <sheetPr codeName="Sheet2"/>
  <dimension ref="A3:D20"/>
  <sheetViews>
    <sheetView workbookViewId="0">
      <selection activeCell="B14" sqref="B14"/>
    </sheetView>
  </sheetViews>
  <sheetFormatPr defaultRowHeight="15" x14ac:dyDescent="0.25"/>
  <cols>
    <col min="1" max="1" width="13.42578125" bestFit="1" customWidth="1"/>
    <col min="2" max="2" width="6" bestFit="1" customWidth="1"/>
    <col min="3" max="3" width="7.140625" bestFit="1" customWidth="1"/>
    <col min="4" max="4" width="5" bestFit="1" customWidth="1"/>
  </cols>
  <sheetData>
    <row r="3" spans="1:4" x14ac:dyDescent="0.25">
      <c r="A3" s="27" t="s">
        <v>31</v>
      </c>
      <c r="B3" t="s">
        <v>34</v>
      </c>
      <c r="C3" t="s">
        <v>33</v>
      </c>
      <c r="D3" t="s">
        <v>35</v>
      </c>
    </row>
    <row r="4" spans="1:4" x14ac:dyDescent="0.25">
      <c r="A4" s="28">
        <v>2021</v>
      </c>
      <c r="B4" s="16">
        <v>11560.1703</v>
      </c>
      <c r="C4" s="16">
        <v>8559.0429000000004</v>
      </c>
      <c r="D4" s="16">
        <v>5557.915500000001</v>
      </c>
    </row>
    <row r="5" spans="1:4" x14ac:dyDescent="0.25">
      <c r="A5" s="29">
        <v>0.9</v>
      </c>
      <c r="B5" s="16">
        <v>3711.4824000000003</v>
      </c>
      <c r="C5" s="16">
        <v>2881.1018999999997</v>
      </c>
      <c r="D5" s="16">
        <v>2050.7214000000004</v>
      </c>
    </row>
    <row r="6" spans="1:4" x14ac:dyDescent="0.25">
      <c r="A6" s="29">
        <v>0.95</v>
      </c>
      <c r="B6" s="16">
        <v>3827.0988000000002</v>
      </c>
      <c r="C6" s="16">
        <v>2860.5261</v>
      </c>
      <c r="D6" s="16">
        <v>1893.9534000000001</v>
      </c>
    </row>
    <row r="7" spans="1:4" x14ac:dyDescent="0.25">
      <c r="A7" s="29">
        <v>0.99</v>
      </c>
      <c r="B7" s="16">
        <v>4021.5890999999997</v>
      </c>
      <c r="C7" s="16">
        <v>2817.4148999999998</v>
      </c>
      <c r="D7" s="16">
        <v>1613.2406999999998</v>
      </c>
    </row>
    <row r="8" spans="1:4" x14ac:dyDescent="0.25">
      <c r="A8" s="28">
        <v>2022</v>
      </c>
      <c r="B8" s="16">
        <v>8804.5655000000006</v>
      </c>
      <c r="C8" s="16">
        <v>5238.8234999999995</v>
      </c>
      <c r="D8" s="16">
        <v>1624.7465</v>
      </c>
    </row>
    <row r="9" spans="1:4" x14ac:dyDescent="0.25">
      <c r="A9" s="29">
        <v>0.9</v>
      </c>
      <c r="B9" s="16">
        <v>2563.136</v>
      </c>
      <c r="C9" s="16">
        <v>1627.5084999999999</v>
      </c>
      <c r="D9" s="16">
        <v>642.85550000000001</v>
      </c>
    </row>
    <row r="10" spans="1:4" x14ac:dyDescent="0.25">
      <c r="A10" s="29">
        <v>0.95</v>
      </c>
      <c r="B10" s="16">
        <v>2872.48</v>
      </c>
      <c r="C10" s="16">
        <v>1714.5114999999998</v>
      </c>
      <c r="D10" s="16">
        <v>556.54300000000001</v>
      </c>
    </row>
    <row r="11" spans="1:4" x14ac:dyDescent="0.25">
      <c r="A11" s="29">
        <v>0.99</v>
      </c>
      <c r="B11" s="16">
        <v>3368.9495000000002</v>
      </c>
      <c r="C11" s="16">
        <v>1896.8035</v>
      </c>
      <c r="D11" s="16">
        <v>425.34800000000001</v>
      </c>
    </row>
    <row r="12" spans="1:4" x14ac:dyDescent="0.25">
      <c r="A12" s="28">
        <v>2023</v>
      </c>
      <c r="B12" s="16">
        <v>10305.358199999999</v>
      </c>
      <c r="C12" s="16">
        <v>6131.8134</v>
      </c>
      <c r="D12" s="16">
        <v>1901.6946000000003</v>
      </c>
    </row>
    <row r="13" spans="1:4" x14ac:dyDescent="0.25">
      <c r="A13" s="29">
        <v>0.9</v>
      </c>
      <c r="B13" s="16">
        <v>3000.0383999999999</v>
      </c>
      <c r="C13" s="16">
        <v>1904.9274</v>
      </c>
      <c r="D13" s="16">
        <v>752.43420000000003</v>
      </c>
    </row>
    <row r="14" spans="1:4" x14ac:dyDescent="0.25">
      <c r="A14" s="29">
        <v>0.95</v>
      </c>
      <c r="B14" s="16">
        <v>3362.1119999999996</v>
      </c>
      <c r="C14" s="16">
        <v>2006.7605999999998</v>
      </c>
      <c r="D14" s="16">
        <v>651.40920000000006</v>
      </c>
    </row>
    <row r="15" spans="1:4" x14ac:dyDescent="0.25">
      <c r="A15" s="29">
        <v>0.99</v>
      </c>
      <c r="B15" s="16">
        <v>3943.2078000000001</v>
      </c>
      <c r="C15" s="16">
        <v>2220.1253999999999</v>
      </c>
      <c r="D15" s="16">
        <v>497.85120000000001</v>
      </c>
    </row>
    <row r="16" spans="1:4" x14ac:dyDescent="0.25">
      <c r="A16" s="28">
        <v>2024</v>
      </c>
      <c r="B16" s="16">
        <v>4048.8032999999996</v>
      </c>
      <c r="C16" s="16">
        <v>2423.9528</v>
      </c>
      <c r="D16" s="16">
        <v>897.44489999999996</v>
      </c>
    </row>
    <row r="17" spans="1:4" x14ac:dyDescent="0.25">
      <c r="A17" s="29">
        <v>0.9</v>
      </c>
      <c r="B17" s="16">
        <v>1187.2533999999998</v>
      </c>
      <c r="C17" s="16">
        <v>768.61059999999998</v>
      </c>
      <c r="D17" s="16">
        <v>349.96780000000001</v>
      </c>
    </row>
    <row r="18" spans="1:4" x14ac:dyDescent="0.25">
      <c r="A18" s="29">
        <v>0.95</v>
      </c>
      <c r="B18" s="16">
        <v>1287.5189</v>
      </c>
      <c r="C18" s="16">
        <v>797.45410000000004</v>
      </c>
      <c r="D18" s="16">
        <v>307.38929999999999</v>
      </c>
    </row>
    <row r="19" spans="1:4" x14ac:dyDescent="0.25">
      <c r="A19" s="29">
        <v>0.99</v>
      </c>
      <c r="B19" s="16">
        <v>1574.0309999999999</v>
      </c>
      <c r="C19" s="16">
        <v>857.88810000000001</v>
      </c>
      <c r="D19" s="16">
        <v>240.08780000000002</v>
      </c>
    </row>
    <row r="20" spans="1:4" x14ac:dyDescent="0.25">
      <c r="A20" s="28" t="s">
        <v>32</v>
      </c>
      <c r="B20" s="16">
        <v>34718.897300000004</v>
      </c>
      <c r="C20" s="16">
        <v>22353.632600000001</v>
      </c>
      <c r="D20" s="16">
        <v>9981.8014999999996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0BBF8-2131-4045-9D14-F7CFA1B35431}">
  <sheetPr codeName="Sheet6"/>
  <dimension ref="A1:W53"/>
  <sheetViews>
    <sheetView zoomScale="130" zoomScaleNormal="130" workbookViewId="0">
      <selection activeCell="D12" sqref="D12"/>
    </sheetView>
  </sheetViews>
  <sheetFormatPr defaultRowHeight="15" x14ac:dyDescent="0.25"/>
  <cols>
    <col min="1" max="1" width="18" bestFit="1" customWidth="1"/>
    <col min="2" max="2" width="12.28515625" bestFit="1" customWidth="1"/>
    <col min="3" max="3" width="9.42578125" bestFit="1" customWidth="1"/>
    <col min="4" max="4" width="14.5703125" customWidth="1"/>
    <col min="5" max="5" width="17.42578125" customWidth="1"/>
    <col min="6" max="6" width="14.85546875" customWidth="1"/>
    <col min="7" max="8" width="12.28515625" bestFit="1" customWidth="1"/>
    <col min="9" max="9" width="13.140625" bestFit="1" customWidth="1"/>
    <col min="10" max="10" width="12.28515625" bestFit="1" customWidth="1"/>
    <col min="11" max="11" width="11.28515625" customWidth="1"/>
    <col min="12" max="12" width="9.42578125" bestFit="1" customWidth="1"/>
    <col min="13" max="13" width="13" bestFit="1" customWidth="1"/>
    <col min="14" max="14" width="9.42578125" bestFit="1" customWidth="1"/>
    <col min="15" max="15" width="13" bestFit="1" customWidth="1"/>
    <col min="16" max="16" width="10.140625" bestFit="1" customWidth="1"/>
    <col min="17" max="17" width="10" bestFit="1" customWidth="1"/>
  </cols>
  <sheetData>
    <row r="1" spans="1:16" x14ac:dyDescent="0.25">
      <c r="A1" s="1" t="s">
        <v>2</v>
      </c>
      <c r="B1" t="s">
        <v>20</v>
      </c>
      <c r="E1">
        <v>2021</v>
      </c>
      <c r="H1">
        <v>2022</v>
      </c>
      <c r="K1">
        <v>2023</v>
      </c>
      <c r="N1">
        <v>2024</v>
      </c>
    </row>
    <row r="2" spans="1:16" x14ac:dyDescent="0.25">
      <c r="A2" t="s">
        <v>13</v>
      </c>
      <c r="B2" s="5">
        <f>Data!G2/25</f>
        <v>42167.003999999994</v>
      </c>
      <c r="E2" t="s">
        <v>13</v>
      </c>
      <c r="F2" s="16">
        <f>Data!I7/Data!I8</f>
        <v>58089.91333333333</v>
      </c>
      <c r="I2" s="16">
        <f>Data!K7/Data!K8</f>
        <v>62057.177500000005</v>
      </c>
      <c r="L2" s="16">
        <f>Data!M7/Data!M8</f>
        <v>8291.41</v>
      </c>
      <c r="O2" s="16">
        <f>Data!O7/Data!O8</f>
        <v>15140.358000000002</v>
      </c>
    </row>
    <row r="3" spans="1:16" x14ac:dyDescent="0.25">
      <c r="A3" t="s">
        <v>14</v>
      </c>
      <c r="B3" s="3">
        <f>_xlfn.STDEV.S(Data!C1:C4,Data!C6:C7,Data!C9,Data!C11,Data!C14,Data!C17:C19,Data!C23,Data!C26:C27,Data!C36,Data!C43,Data!C49:C51,Data!C66,Data!C67,Data!C68,Data!C73,Data!C76)</f>
        <v>64600.526669432627</v>
      </c>
      <c r="E3" t="s">
        <v>24</v>
      </c>
      <c r="F3" s="16">
        <f>_xlfn.STDEV.S(Data!C1:C4,Data!C6:C7,Data!C9,Data!C11,Data!C14,Data!C17,Data!C18,Data!C19)</f>
        <v>74852.967715768857</v>
      </c>
      <c r="I3" s="16">
        <f>_xlfn.STDEV.S(Data!C23,Data!C26,Data!C27,Data!C36)</f>
        <v>90684.583061284982</v>
      </c>
      <c r="L3" s="16">
        <f>_xlfn.STDEV.S(Data!C43,Data!C49,Data!C50,Data!C51)</f>
        <v>5030.5773124297912</v>
      </c>
      <c r="O3" s="16">
        <f>_xlfn.STDEV.S(Data!C66,Data!C67,Data!C68,Data!C73,Data!C76)</f>
        <v>15087.01160735021</v>
      </c>
    </row>
    <row r="4" spans="1:16" x14ac:dyDescent="0.25">
      <c r="A4" t="s">
        <v>15</v>
      </c>
      <c r="B4">
        <v>24</v>
      </c>
      <c r="E4" t="s">
        <v>25</v>
      </c>
      <c r="F4">
        <v>12</v>
      </c>
      <c r="I4">
        <v>4</v>
      </c>
      <c r="L4">
        <v>4</v>
      </c>
      <c r="O4">
        <v>5</v>
      </c>
    </row>
    <row r="5" spans="1:16" x14ac:dyDescent="0.25">
      <c r="A5" t="s">
        <v>18</v>
      </c>
      <c r="B5" s="5">
        <f>B3/SQRT(25)</f>
        <v>12920.105333886526</v>
      </c>
    </row>
    <row r="6" spans="1:16" x14ac:dyDescent="0.25">
      <c r="A6" t="s">
        <v>17</v>
      </c>
      <c r="B6">
        <v>1.7109000000000001</v>
      </c>
      <c r="C6">
        <v>2.0638999999999998</v>
      </c>
      <c r="D6">
        <v>2.7968999999999999</v>
      </c>
    </row>
    <row r="7" spans="1:16" x14ac:dyDescent="0.25">
      <c r="A7" t="s">
        <v>16</v>
      </c>
      <c r="B7" s="6">
        <v>0.9</v>
      </c>
      <c r="C7" s="7">
        <v>0.95</v>
      </c>
      <c r="D7" s="8">
        <v>0.99</v>
      </c>
      <c r="E7" s="14">
        <v>0.9</v>
      </c>
      <c r="F7" s="7">
        <v>0.95</v>
      </c>
      <c r="G7" s="8">
        <v>0.99</v>
      </c>
      <c r="H7" s="14">
        <v>0.9</v>
      </c>
      <c r="I7" s="7">
        <v>0.95</v>
      </c>
      <c r="J7" s="8">
        <v>0.99</v>
      </c>
      <c r="K7" s="14">
        <v>0.9</v>
      </c>
      <c r="L7" s="7">
        <v>0.95</v>
      </c>
      <c r="M7" s="8">
        <v>0.99</v>
      </c>
      <c r="N7" s="14">
        <v>0.9</v>
      </c>
      <c r="O7" s="7">
        <v>0.95</v>
      </c>
      <c r="P7" s="8">
        <v>0.99</v>
      </c>
    </row>
    <row r="8" spans="1:16" x14ac:dyDescent="0.25">
      <c r="A8" t="s">
        <v>19</v>
      </c>
      <c r="B8" s="12">
        <f>B6*$B$5</f>
        <v>22105.008215746457</v>
      </c>
      <c r="C8" s="12">
        <f>C6*$B$5</f>
        <v>26665.805398608398</v>
      </c>
      <c r="D8" s="12">
        <f>D6*$B$5</f>
        <v>36136.242608347224</v>
      </c>
      <c r="E8" s="15">
        <v>38806</v>
      </c>
      <c r="F8" s="12">
        <v>47559</v>
      </c>
      <c r="G8" s="12">
        <v>67111</v>
      </c>
      <c r="H8" s="15">
        <v>106706</v>
      </c>
      <c r="I8" s="12">
        <v>144298</v>
      </c>
      <c r="J8" s="12">
        <v>264839</v>
      </c>
      <c r="K8" s="15">
        <v>5917</v>
      </c>
      <c r="L8" s="12">
        <v>8291</v>
      </c>
      <c r="M8" s="13">
        <v>14690</v>
      </c>
      <c r="N8" s="15">
        <v>14383</v>
      </c>
      <c r="O8" s="12">
        <v>18732</v>
      </c>
      <c r="P8" s="12">
        <v>31064</v>
      </c>
    </row>
    <row r="9" spans="1:16" x14ac:dyDescent="0.25">
      <c r="A9" t="s">
        <v>10</v>
      </c>
      <c r="B9" s="12">
        <f>$B$2+B8</f>
        <v>64272.01221574645</v>
      </c>
      <c r="C9" s="12">
        <f>$B$2+C8</f>
        <v>68832.809398608399</v>
      </c>
      <c r="D9" s="12">
        <f t="shared" ref="D9" si="0">$B$2+D8</f>
        <v>78303.246608347225</v>
      </c>
      <c r="E9" s="15">
        <f>$F$2+E8</f>
        <v>96895.91333333333</v>
      </c>
      <c r="F9" s="12">
        <f>$F$2+F8</f>
        <v>105648.91333333333</v>
      </c>
      <c r="G9" s="12">
        <f>$F$2+G8</f>
        <v>125200.91333333333</v>
      </c>
      <c r="H9" s="15">
        <f>$I$2+H8</f>
        <v>168763.17749999999</v>
      </c>
      <c r="I9" s="12">
        <f t="shared" ref="I9:J9" si="1">$I$2+I8</f>
        <v>206355.17749999999</v>
      </c>
      <c r="J9" s="12">
        <f t="shared" si="1"/>
        <v>326896.17749999999</v>
      </c>
      <c r="K9" s="15">
        <f>$L$2+K8</f>
        <v>14208.41</v>
      </c>
      <c r="L9" s="12">
        <f>$L$2+L8</f>
        <v>16582.41</v>
      </c>
      <c r="M9" s="13">
        <f>$L$2+M8</f>
        <v>22981.41</v>
      </c>
      <c r="N9" s="15">
        <f>$O$2+N8</f>
        <v>29523.358</v>
      </c>
      <c r="O9" s="12">
        <f>$O$2+O8</f>
        <v>33872.358</v>
      </c>
      <c r="P9" s="12">
        <f>$O$2+P8</f>
        <v>46204.358</v>
      </c>
    </row>
    <row r="10" spans="1:16" x14ac:dyDescent="0.25">
      <c r="A10" t="s">
        <v>12</v>
      </c>
      <c r="B10" s="12">
        <f>$B$2-B8</f>
        <v>20061.995784253537</v>
      </c>
      <c r="C10" s="12">
        <f>$B$2-C8</f>
        <v>15501.198601391596</v>
      </c>
      <c r="D10" s="12">
        <f>$B$2-D8</f>
        <v>6030.7613916527698</v>
      </c>
      <c r="E10" s="15">
        <f>$F$2-E8</f>
        <v>19283.91333333333</v>
      </c>
      <c r="F10" s="12">
        <f t="shared" ref="F10:G10" si="2">$F$2-F8</f>
        <v>10530.91333333333</v>
      </c>
      <c r="G10" s="12">
        <f t="shared" si="2"/>
        <v>-9021.0866666666698</v>
      </c>
      <c r="H10" s="15">
        <f>$I$2-H8</f>
        <v>-44648.822499999995</v>
      </c>
      <c r="I10" s="12">
        <f t="shared" ref="I10:J10" si="3">$I$2-I8</f>
        <v>-82240.822499999995</v>
      </c>
      <c r="J10" s="12">
        <f t="shared" si="3"/>
        <v>-202781.82250000001</v>
      </c>
      <c r="K10" s="15">
        <f>$L$2-K8</f>
        <v>2374.41</v>
      </c>
      <c r="L10" s="12">
        <f>$L$2-L8</f>
        <v>0.40999999999985448</v>
      </c>
      <c r="M10" s="13">
        <f>$L$2-M8</f>
        <v>-6398.59</v>
      </c>
      <c r="N10" s="15">
        <f>$O$2-N8</f>
        <v>757.35800000000199</v>
      </c>
      <c r="O10" s="12">
        <f>$O$2-O8</f>
        <v>-3591.641999999998</v>
      </c>
      <c r="P10" s="12">
        <f>$O$2-P8</f>
        <v>-15923.641999999998</v>
      </c>
    </row>
    <row r="11" spans="1:16" x14ac:dyDescent="0.25">
      <c r="A11" t="s">
        <v>33</v>
      </c>
      <c r="B11">
        <v>42167</v>
      </c>
      <c r="C11">
        <v>42167</v>
      </c>
      <c r="D11">
        <v>42167</v>
      </c>
      <c r="E11" s="37">
        <f>AVERAGE(E9:E10)</f>
        <v>58089.91333333333</v>
      </c>
      <c r="F11" s="37">
        <f t="shared" ref="F11:P11" si="4">AVERAGE(F9:F10)</f>
        <v>58089.91333333333</v>
      </c>
      <c r="G11" s="37">
        <f t="shared" si="4"/>
        <v>58089.91333333333</v>
      </c>
      <c r="H11" s="37">
        <f t="shared" si="4"/>
        <v>62057.177499999998</v>
      </c>
      <c r="I11" s="37">
        <f t="shared" si="4"/>
        <v>62057.177499999998</v>
      </c>
      <c r="J11" s="37">
        <f t="shared" si="4"/>
        <v>62057.177499999991</v>
      </c>
      <c r="K11" s="37">
        <f t="shared" si="4"/>
        <v>8291.41</v>
      </c>
      <c r="L11" s="37">
        <f t="shared" si="4"/>
        <v>8291.41</v>
      </c>
      <c r="M11" s="37">
        <f t="shared" si="4"/>
        <v>8291.41</v>
      </c>
      <c r="N11" s="37">
        <f t="shared" si="4"/>
        <v>15140.358</v>
      </c>
      <c r="O11" s="37">
        <f t="shared" si="4"/>
        <v>15140.358</v>
      </c>
      <c r="P11" s="37">
        <f t="shared" si="4"/>
        <v>15140.358</v>
      </c>
    </row>
    <row r="12" spans="1:16" x14ac:dyDescent="0.25">
      <c r="E12" s="37"/>
      <c r="F12" s="37"/>
      <c r="G12" s="37"/>
      <c r="H12" s="37"/>
      <c r="I12" s="37"/>
      <c r="J12" s="37"/>
      <c r="K12" s="37"/>
      <c r="L12" s="37"/>
      <c r="M12" s="37"/>
      <c r="N12" s="37"/>
      <c r="O12" s="37"/>
      <c r="P12" s="37"/>
    </row>
    <row r="13" spans="1:16" x14ac:dyDescent="0.25">
      <c r="E13">
        <v>2021</v>
      </c>
      <c r="F13">
        <v>2021</v>
      </c>
      <c r="G13">
        <v>2021</v>
      </c>
      <c r="H13">
        <v>2022</v>
      </c>
      <c r="I13">
        <v>2022</v>
      </c>
      <c r="J13">
        <v>2022</v>
      </c>
      <c r="K13">
        <v>2023</v>
      </c>
      <c r="L13">
        <v>2023</v>
      </c>
      <c r="M13">
        <v>2023</v>
      </c>
      <c r="N13">
        <v>2024</v>
      </c>
      <c r="O13">
        <v>2024</v>
      </c>
      <c r="P13">
        <v>2024</v>
      </c>
    </row>
    <row r="14" spans="1:16" x14ac:dyDescent="0.25">
      <c r="A14" t="s">
        <v>16</v>
      </c>
      <c r="B14" s="6">
        <v>0.9</v>
      </c>
      <c r="C14" s="7">
        <v>0.95</v>
      </c>
      <c r="D14" s="8">
        <v>0.99</v>
      </c>
      <c r="E14" s="14">
        <v>0.9</v>
      </c>
      <c r="F14" s="7">
        <v>0.95</v>
      </c>
      <c r="G14" s="8">
        <v>0.99</v>
      </c>
      <c r="H14" s="14">
        <v>0.9</v>
      </c>
      <c r="I14" s="7">
        <v>0.95</v>
      </c>
      <c r="J14" s="8">
        <v>0.99</v>
      </c>
      <c r="K14" s="14">
        <v>0.9</v>
      </c>
      <c r="L14" s="7">
        <v>0.95</v>
      </c>
      <c r="M14" s="8">
        <v>0.99</v>
      </c>
      <c r="N14" s="14">
        <v>0.9</v>
      </c>
      <c r="O14" s="7">
        <v>0.95</v>
      </c>
      <c r="P14" s="8">
        <v>0.99</v>
      </c>
    </row>
    <row r="15" spans="1:16" x14ac:dyDescent="0.25">
      <c r="A15" t="s">
        <v>19</v>
      </c>
      <c r="B15" s="12">
        <v>22105</v>
      </c>
      <c r="C15" s="12">
        <v>26666</v>
      </c>
      <c r="D15" s="12">
        <v>36136</v>
      </c>
      <c r="E15" s="15">
        <v>38806</v>
      </c>
      <c r="F15" s="12">
        <v>47559</v>
      </c>
      <c r="G15" s="12">
        <v>67111</v>
      </c>
      <c r="H15" s="15">
        <v>106706</v>
      </c>
      <c r="I15" s="12">
        <v>144298</v>
      </c>
      <c r="J15" s="12">
        <v>264839</v>
      </c>
      <c r="K15" s="15">
        <v>5917</v>
      </c>
      <c r="L15" s="12">
        <v>8291</v>
      </c>
      <c r="M15" s="13">
        <v>14690</v>
      </c>
      <c r="N15" s="15">
        <v>14383</v>
      </c>
      <c r="O15" s="12">
        <v>18732</v>
      </c>
      <c r="P15" s="12">
        <v>31064</v>
      </c>
    </row>
    <row r="16" spans="1:16" x14ac:dyDescent="0.25">
      <c r="A16" t="s">
        <v>10</v>
      </c>
      <c r="B16" s="12">
        <f>$B$2+B15</f>
        <v>64272.003999999994</v>
      </c>
      <c r="C16" s="12">
        <f>$B$2+C15</f>
        <v>68833.003999999986</v>
      </c>
      <c r="D16" s="12">
        <f t="shared" ref="D16" si="5">$B$2+D15</f>
        <v>78303.003999999986</v>
      </c>
      <c r="E16" s="15">
        <f>$F$2+E15</f>
        <v>96895.91333333333</v>
      </c>
      <c r="F16" s="12">
        <f>$F$2+F15</f>
        <v>105648.91333333333</v>
      </c>
      <c r="G16" s="12">
        <f>$F$2+G15</f>
        <v>125200.91333333333</v>
      </c>
      <c r="H16" s="15">
        <f>$I$2+H15</f>
        <v>168763.17749999999</v>
      </c>
      <c r="I16" s="12">
        <f t="shared" ref="I16" si="6">$I$2+I15</f>
        <v>206355.17749999999</v>
      </c>
      <c r="J16" s="12">
        <f t="shared" ref="J16" si="7">$I$2+J15</f>
        <v>326896.17749999999</v>
      </c>
      <c r="K16" s="15">
        <f>$L$2+K15</f>
        <v>14208.41</v>
      </c>
      <c r="L16" s="12">
        <f>$L$2+L15</f>
        <v>16582.41</v>
      </c>
      <c r="M16" s="13">
        <f>$L$2+M15</f>
        <v>22981.41</v>
      </c>
      <c r="N16" s="15">
        <f>$O$2+N15</f>
        <v>29523.358</v>
      </c>
      <c r="O16" s="12">
        <f>$O$2+O15</f>
        <v>33872.358</v>
      </c>
      <c r="P16" s="12">
        <f>$O$2+P15</f>
        <v>46204.358</v>
      </c>
    </row>
    <row r="17" spans="1:21" x14ac:dyDescent="0.25">
      <c r="A17" t="s">
        <v>12</v>
      </c>
      <c r="B17" s="12">
        <f>$B$2-B15</f>
        <v>20062.003999999994</v>
      </c>
      <c r="C17" s="12">
        <f>$B$2-C15</f>
        <v>15501.003999999994</v>
      </c>
      <c r="D17" s="12">
        <f>$B$2-D15</f>
        <v>6031.0039999999935</v>
      </c>
      <c r="E17" s="15">
        <f>$F$2-E15</f>
        <v>19283.91333333333</v>
      </c>
      <c r="F17" s="12">
        <f t="shared" ref="F17" si="8">$F$2-F15</f>
        <v>10530.91333333333</v>
      </c>
      <c r="G17" s="12">
        <v>0</v>
      </c>
      <c r="H17" s="15">
        <v>0</v>
      </c>
      <c r="I17" s="12">
        <v>0</v>
      </c>
      <c r="J17" s="12">
        <v>0</v>
      </c>
      <c r="K17" s="15">
        <f>$L$2-K15</f>
        <v>2374.41</v>
      </c>
      <c r="L17" s="12">
        <f>$L$2-L15</f>
        <v>0.40999999999985448</v>
      </c>
      <c r="M17" s="13">
        <v>0</v>
      </c>
      <c r="N17" s="15">
        <f>$O$2-N15</f>
        <v>757.35800000000199</v>
      </c>
      <c r="O17" s="12">
        <v>0</v>
      </c>
      <c r="P17" s="12">
        <v>0</v>
      </c>
    </row>
    <row r="19" spans="1:21" x14ac:dyDescent="0.25">
      <c r="D19" t="s">
        <v>30</v>
      </c>
      <c r="E19">
        <v>2021</v>
      </c>
      <c r="F19">
        <v>2021</v>
      </c>
      <c r="G19">
        <v>2021</v>
      </c>
      <c r="H19">
        <v>2022</v>
      </c>
      <c r="I19">
        <v>2022</v>
      </c>
      <c r="J19">
        <v>2022</v>
      </c>
      <c r="K19">
        <v>2023</v>
      </c>
      <c r="L19">
        <v>2023</v>
      </c>
      <c r="M19">
        <v>2023</v>
      </c>
      <c r="N19">
        <v>2024</v>
      </c>
      <c r="O19">
        <v>2024</v>
      </c>
      <c r="P19">
        <v>2024</v>
      </c>
    </row>
    <row r="20" spans="1:21" x14ac:dyDescent="0.25">
      <c r="D20" t="s">
        <v>16</v>
      </c>
      <c r="E20" s="14">
        <v>0.9</v>
      </c>
      <c r="F20" s="7">
        <v>0.95</v>
      </c>
      <c r="G20" s="8">
        <v>0.99</v>
      </c>
      <c r="H20" s="14">
        <v>0.9</v>
      </c>
      <c r="I20" s="7">
        <v>0.95</v>
      </c>
      <c r="J20" s="8">
        <v>0.99</v>
      </c>
      <c r="K20" s="14">
        <v>0.9</v>
      </c>
      <c r="L20" s="7">
        <v>0.95</v>
      </c>
      <c r="M20" s="8">
        <v>0.99</v>
      </c>
      <c r="N20" s="14">
        <v>0.9</v>
      </c>
      <c r="O20" s="7">
        <v>0.95</v>
      </c>
      <c r="P20" s="8">
        <v>0.99</v>
      </c>
    </row>
    <row r="21" spans="1:21" x14ac:dyDescent="0.25">
      <c r="D21" t="s">
        <v>19</v>
      </c>
      <c r="E21" s="15">
        <v>38806</v>
      </c>
      <c r="F21" s="12">
        <v>47559</v>
      </c>
      <c r="G21" s="12">
        <v>67111</v>
      </c>
      <c r="H21" s="15">
        <v>106706</v>
      </c>
      <c r="I21" s="12">
        <v>144298</v>
      </c>
      <c r="J21" s="12">
        <v>264839</v>
      </c>
      <c r="K21" s="15">
        <v>5917</v>
      </c>
      <c r="L21" s="12">
        <v>8291</v>
      </c>
      <c r="M21" s="13">
        <v>14690</v>
      </c>
      <c r="N21" s="15">
        <v>14383</v>
      </c>
      <c r="O21" s="12">
        <v>18732</v>
      </c>
      <c r="P21" s="12">
        <v>31064</v>
      </c>
    </row>
    <row r="22" spans="1:21" x14ac:dyDescent="0.25">
      <c r="D22" t="s">
        <v>10</v>
      </c>
      <c r="E22" s="15">
        <v>96895.91333333333</v>
      </c>
      <c r="F22" s="12">
        <v>105648.91333333333</v>
      </c>
      <c r="G22" s="12">
        <v>125200.91333333333</v>
      </c>
      <c r="H22" s="15">
        <v>168763.17749999999</v>
      </c>
      <c r="I22" s="12">
        <v>206355.17749999999</v>
      </c>
      <c r="J22" s="12">
        <v>326896.17749999999</v>
      </c>
      <c r="K22" s="15">
        <v>14208.41</v>
      </c>
      <c r="L22" s="12">
        <v>16582.41</v>
      </c>
      <c r="M22" s="13">
        <v>22981.41</v>
      </c>
      <c r="N22" s="15">
        <v>29523.358</v>
      </c>
      <c r="O22" s="12">
        <v>33872.358</v>
      </c>
      <c r="P22" s="12">
        <v>46204.358</v>
      </c>
    </row>
    <row r="23" spans="1:21" x14ac:dyDescent="0.25">
      <c r="D23" t="s">
        <v>12</v>
      </c>
      <c r="E23" s="15">
        <v>19283.91333333333</v>
      </c>
      <c r="F23" s="12">
        <v>10530.91333333333</v>
      </c>
      <c r="G23" s="12">
        <v>0</v>
      </c>
      <c r="H23" s="15">
        <v>0</v>
      </c>
      <c r="I23" s="12">
        <v>0</v>
      </c>
      <c r="J23" s="12">
        <v>0</v>
      </c>
      <c r="K23" s="15">
        <v>2374.41</v>
      </c>
      <c r="L23" s="12">
        <v>0.40999999999985448</v>
      </c>
      <c r="M23" s="13">
        <v>0</v>
      </c>
      <c r="N23" s="15">
        <v>757.35800000000199</v>
      </c>
      <c r="O23" s="12">
        <v>0</v>
      </c>
      <c r="P23" s="12">
        <v>0</v>
      </c>
    </row>
    <row r="25" spans="1:21" x14ac:dyDescent="0.25">
      <c r="D25" t="s">
        <v>30</v>
      </c>
      <c r="E25" t="s">
        <v>16</v>
      </c>
      <c r="F25" t="s">
        <v>19</v>
      </c>
      <c r="G25" t="s">
        <v>10</v>
      </c>
      <c r="H25" t="s">
        <v>33</v>
      </c>
      <c r="I25" t="s">
        <v>12</v>
      </c>
      <c r="J25" s="36" t="s">
        <v>37</v>
      </c>
      <c r="K25" s="36" t="s">
        <v>38</v>
      </c>
      <c r="L25" s="36" t="s">
        <v>43</v>
      </c>
      <c r="M25" s="36" t="s">
        <v>39</v>
      </c>
      <c r="N25" s="36" t="s">
        <v>40</v>
      </c>
      <c r="O25" s="36" t="s">
        <v>44</v>
      </c>
      <c r="P25" s="36" t="s">
        <v>41</v>
      </c>
      <c r="Q25" s="36" t="s">
        <v>42</v>
      </c>
      <c r="R25" s="36" t="s">
        <v>45</v>
      </c>
      <c r="S25" s="36"/>
      <c r="T25" s="36"/>
      <c r="U25" s="36"/>
    </row>
    <row r="26" spans="1:21" x14ac:dyDescent="0.25">
      <c r="D26">
        <v>2021</v>
      </c>
      <c r="E26" s="21">
        <v>0.9</v>
      </c>
      <c r="F26" s="12">
        <v>38806</v>
      </c>
      <c r="G26" s="12">
        <v>96895.91333333333</v>
      </c>
      <c r="H26" s="12">
        <v>58089.91333333333</v>
      </c>
      <c r="I26" s="12">
        <v>19283.91333333333</v>
      </c>
      <c r="J26" s="43">
        <f>0.3*Table5[[#This Row],[Upper]]</f>
        <v>29068.773999999998</v>
      </c>
      <c r="K26" s="43">
        <f>0.3*Table5[[#This Row],[Middle]]</f>
        <v>17426.973999999998</v>
      </c>
      <c r="L26" s="43">
        <f>0.3*Table5[[#This Row],[Lower]]</f>
        <v>5785.1739999999991</v>
      </c>
      <c r="M26" s="43">
        <f>0.25*Table5[[#This Row],[Upper]]</f>
        <v>24223.978333333333</v>
      </c>
      <c r="N26" s="43">
        <f>0.25*Table5[[#This Row],[Middle]]</f>
        <v>14522.478333333333</v>
      </c>
      <c r="O26" s="43">
        <f>0.25*Table5[[#This Row],[Lower]]</f>
        <v>4820.9783333333326</v>
      </c>
      <c r="P26" s="43">
        <f>0.2*Table5[[#This Row],[Upper]]</f>
        <v>19379.182666666668</v>
      </c>
      <c r="Q26" s="43">
        <f>0.2*Table5[[#This Row],[Middle]]</f>
        <v>11617.982666666667</v>
      </c>
      <c r="R26" s="43">
        <f>0.2*Table5[[#This Row],[Lower]]</f>
        <v>3856.782666666666</v>
      </c>
    </row>
    <row r="27" spans="1:21" x14ac:dyDescent="0.25">
      <c r="D27">
        <v>2021</v>
      </c>
      <c r="E27" s="21">
        <v>0.95</v>
      </c>
      <c r="F27" s="12">
        <v>47559</v>
      </c>
      <c r="G27" s="12">
        <v>105648.91333333333</v>
      </c>
      <c r="H27" s="12">
        <v>58089.91333333333</v>
      </c>
      <c r="I27" s="12">
        <v>10530.91333333333</v>
      </c>
      <c r="J27" s="12">
        <f>0.3*Table5[[#This Row],[Upper]]</f>
        <v>31694.673999999999</v>
      </c>
      <c r="K27" s="12">
        <f>0.3*Table5[[#This Row],[Middle]]</f>
        <v>17426.973999999998</v>
      </c>
      <c r="L27" s="12">
        <f>0.3*Table5[[#This Row],[Lower]]</f>
        <v>3159.273999999999</v>
      </c>
      <c r="M27" s="12">
        <f>0.25*Table5[[#This Row],[Upper]]</f>
        <v>26412.228333333333</v>
      </c>
      <c r="N27" s="12">
        <f>0.25*Table5[[#This Row],[Middle]]</f>
        <v>14522.478333333333</v>
      </c>
      <c r="O27" s="12">
        <f>0.25*Table5[[#This Row],[Lower]]</f>
        <v>2632.7283333333326</v>
      </c>
      <c r="P27" s="12">
        <f>0.2*Table5[[#This Row],[Upper]]</f>
        <v>21129.782666666666</v>
      </c>
      <c r="Q27" s="12">
        <f>0.2*Table5[[#This Row],[Middle]]</f>
        <v>11617.982666666667</v>
      </c>
      <c r="R27" s="12">
        <f>0.2*Table5[[#This Row],[Lower]]</f>
        <v>2106.1826666666661</v>
      </c>
    </row>
    <row r="28" spans="1:21" x14ac:dyDescent="0.25">
      <c r="D28">
        <v>2021</v>
      </c>
      <c r="E28" s="21">
        <v>0.99</v>
      </c>
      <c r="F28" s="12">
        <v>67111</v>
      </c>
      <c r="G28" s="12">
        <v>125200.91333333333</v>
      </c>
      <c r="H28" s="12">
        <v>58089.91333333333</v>
      </c>
      <c r="I28" s="12">
        <v>0</v>
      </c>
      <c r="J28" s="12">
        <f>0.3*Table5[[#This Row],[Upper]]</f>
        <v>37560.273999999998</v>
      </c>
      <c r="K28" s="12">
        <f>0.3*Table5[[#This Row],[Middle]]</f>
        <v>17426.973999999998</v>
      </c>
      <c r="L28" s="12">
        <f>0.3*Table5[[#This Row],[Lower]]</f>
        <v>0</v>
      </c>
      <c r="M28" s="12">
        <f>0.25*Table5[[#This Row],[Upper]]</f>
        <v>31300.228333333333</v>
      </c>
      <c r="N28" s="12">
        <f>0.25*Table5[[#This Row],[Middle]]</f>
        <v>14522.478333333333</v>
      </c>
      <c r="O28" s="12">
        <f>0.25*Table5[[#This Row],[Lower]]</f>
        <v>0</v>
      </c>
      <c r="P28" s="12">
        <f>0.2*Table5[[#This Row],[Upper]]</f>
        <v>25040.182666666668</v>
      </c>
      <c r="Q28" s="12">
        <f>0.2*Table5[[#This Row],[Middle]]</f>
        <v>11617.982666666667</v>
      </c>
      <c r="R28" s="12">
        <f>0.2*Table5[[#This Row],[Lower]]</f>
        <v>0</v>
      </c>
    </row>
    <row r="29" spans="1:21" x14ac:dyDescent="0.25">
      <c r="D29">
        <v>2022</v>
      </c>
      <c r="E29" s="21">
        <v>0.9</v>
      </c>
      <c r="F29" s="12">
        <v>106706</v>
      </c>
      <c r="G29" s="12">
        <v>168763.17749999999</v>
      </c>
      <c r="H29" s="12">
        <v>62057.177499999998</v>
      </c>
      <c r="I29" s="12">
        <v>0</v>
      </c>
      <c r="J29" s="12">
        <f>0.3*Table5[[#This Row],[Upper]]</f>
        <v>50628.953249999999</v>
      </c>
      <c r="K29" s="12">
        <f>0.3*Table5[[#This Row],[Middle]]</f>
        <v>18617.153249999999</v>
      </c>
      <c r="L29" s="12">
        <f>0.3*Table5[[#This Row],[Lower]]</f>
        <v>0</v>
      </c>
      <c r="M29" s="12">
        <f>0.25*Table5[[#This Row],[Upper]]</f>
        <v>42190.794374999998</v>
      </c>
      <c r="N29" s="12">
        <f>0.25*Table5[[#This Row],[Middle]]</f>
        <v>15514.294374999999</v>
      </c>
      <c r="O29" s="12">
        <f>0.25*Table5[[#This Row],[Lower]]</f>
        <v>0</v>
      </c>
      <c r="P29" s="12">
        <f>0.2*Table5[[#This Row],[Upper]]</f>
        <v>33752.635499999997</v>
      </c>
      <c r="Q29" s="12">
        <f>0.2*Table5[[#This Row],[Middle]]</f>
        <v>12411.4355</v>
      </c>
      <c r="R29" s="12">
        <f>0.2*Table5[[#This Row],[Lower]]</f>
        <v>0</v>
      </c>
    </row>
    <row r="30" spans="1:21" x14ac:dyDescent="0.25">
      <c r="D30">
        <v>2022</v>
      </c>
      <c r="E30" s="21">
        <v>0.95</v>
      </c>
      <c r="F30" s="12">
        <v>144298</v>
      </c>
      <c r="G30" s="12">
        <v>206355.17749999999</v>
      </c>
      <c r="H30" s="12">
        <v>62057.177499999998</v>
      </c>
      <c r="I30" s="12">
        <v>0</v>
      </c>
      <c r="J30" s="12">
        <f>0.3*Table5[[#This Row],[Upper]]</f>
        <v>61906.553249999997</v>
      </c>
      <c r="K30" s="12">
        <f>0.3*Table5[[#This Row],[Middle]]</f>
        <v>18617.153249999999</v>
      </c>
      <c r="L30" s="12">
        <f>0.3*Table5[[#This Row],[Lower]]</f>
        <v>0</v>
      </c>
      <c r="M30" s="12">
        <f>0.25*Table5[[#This Row],[Upper]]</f>
        <v>51588.794374999998</v>
      </c>
      <c r="N30" s="12">
        <f>0.25*Table5[[#This Row],[Middle]]</f>
        <v>15514.294374999999</v>
      </c>
      <c r="O30" s="12">
        <f>0.25*Table5[[#This Row],[Lower]]</f>
        <v>0</v>
      </c>
      <c r="P30" s="12">
        <f>0.2*Table5[[#This Row],[Upper]]</f>
        <v>41271.035499999998</v>
      </c>
      <c r="Q30" s="12">
        <f>0.2*Table5[[#This Row],[Middle]]</f>
        <v>12411.4355</v>
      </c>
      <c r="R30" s="12">
        <f>0.2*Table5[[#This Row],[Lower]]</f>
        <v>0</v>
      </c>
    </row>
    <row r="31" spans="1:21" x14ac:dyDescent="0.25">
      <c r="D31">
        <v>2022</v>
      </c>
      <c r="E31" s="21">
        <v>0.99</v>
      </c>
      <c r="F31" s="12">
        <v>264839</v>
      </c>
      <c r="G31" s="12">
        <v>326896.17749999999</v>
      </c>
      <c r="H31" s="12">
        <v>62057.177499999991</v>
      </c>
      <c r="I31" s="12">
        <v>0</v>
      </c>
      <c r="J31" s="12">
        <f>0.3*Table5[[#This Row],[Upper]]</f>
        <v>98068.85325</v>
      </c>
      <c r="K31" s="12">
        <f>0.3*Table5[[#This Row],[Middle]]</f>
        <v>18617.153249999996</v>
      </c>
      <c r="L31" s="12">
        <f>0.3*Table5[[#This Row],[Lower]]</f>
        <v>0</v>
      </c>
      <c r="M31" s="12">
        <f>0.25*Table5[[#This Row],[Upper]]</f>
        <v>81724.044374999998</v>
      </c>
      <c r="N31" s="12">
        <f>0.25*Table5[[#This Row],[Middle]]</f>
        <v>15514.294374999998</v>
      </c>
      <c r="O31" s="12">
        <f>0.25*Table5[[#This Row],[Lower]]</f>
        <v>0</v>
      </c>
      <c r="P31" s="12">
        <f>0.2*Table5[[#This Row],[Upper]]</f>
        <v>65379.235500000003</v>
      </c>
      <c r="Q31" s="12">
        <f>0.2*Table5[[#This Row],[Middle]]</f>
        <v>12411.4355</v>
      </c>
      <c r="R31" s="12">
        <f>0.2*Table5[[#This Row],[Lower]]</f>
        <v>0</v>
      </c>
    </row>
    <row r="32" spans="1:21" x14ac:dyDescent="0.25">
      <c r="D32">
        <v>2023</v>
      </c>
      <c r="E32" s="21">
        <v>0.9</v>
      </c>
      <c r="F32" s="12">
        <v>5917</v>
      </c>
      <c r="G32" s="12">
        <v>14208.41</v>
      </c>
      <c r="H32" s="12">
        <v>8291.41</v>
      </c>
      <c r="I32" s="12">
        <v>2374.41</v>
      </c>
      <c r="J32" s="12">
        <f>0.3*Table5[[#This Row],[Upper]]</f>
        <v>4262.5230000000001</v>
      </c>
      <c r="K32" s="12">
        <f>0.3*Table5[[#This Row],[Middle]]</f>
        <v>2487.4229999999998</v>
      </c>
      <c r="L32" s="12">
        <f>0.3*Table5[[#This Row],[Lower]]</f>
        <v>712.32299999999998</v>
      </c>
      <c r="M32" s="12">
        <f>0.25*Table5[[#This Row],[Upper]]</f>
        <v>3552.1025</v>
      </c>
      <c r="N32" s="12">
        <f>0.25*Table5[[#This Row],[Middle]]</f>
        <v>2072.8525</v>
      </c>
      <c r="O32" s="12">
        <f>0.25*Table5[[#This Row],[Lower]]</f>
        <v>593.60249999999996</v>
      </c>
      <c r="P32" s="12">
        <f>0.2*Table5[[#This Row],[Upper]]</f>
        <v>2841.6820000000002</v>
      </c>
      <c r="Q32" s="12">
        <f>0.2*Table5[[#This Row],[Middle]]</f>
        <v>1658.2820000000002</v>
      </c>
      <c r="R32" s="12">
        <f>0.2*Table5[[#This Row],[Lower]]</f>
        <v>474.88200000000001</v>
      </c>
    </row>
    <row r="33" spans="4:23" x14ac:dyDescent="0.25">
      <c r="D33">
        <v>2023</v>
      </c>
      <c r="E33" s="21">
        <v>0.95</v>
      </c>
      <c r="F33" s="12">
        <v>8291</v>
      </c>
      <c r="G33" s="12">
        <v>16582.41</v>
      </c>
      <c r="H33" s="12">
        <v>8291.41</v>
      </c>
      <c r="I33" s="12">
        <v>0</v>
      </c>
      <c r="J33" s="12">
        <f>0.3*Table5[[#This Row],[Upper]]</f>
        <v>4974.723</v>
      </c>
      <c r="K33" s="12">
        <f>0.3*Table5[[#This Row],[Middle]]</f>
        <v>2487.4229999999998</v>
      </c>
      <c r="L33" s="12">
        <f>0.3*Table5[[#This Row],[Lower]]</f>
        <v>0</v>
      </c>
      <c r="M33" s="12">
        <f>0.25*Table5[[#This Row],[Upper]]</f>
        <v>4145.6025</v>
      </c>
      <c r="N33" s="12">
        <f>0.25*Table5[[#This Row],[Middle]]</f>
        <v>2072.8525</v>
      </c>
      <c r="O33" s="12">
        <f>0.25*Table5[[#This Row],[Lower]]</f>
        <v>0</v>
      </c>
      <c r="P33" s="12">
        <f>0.2*Table5[[#This Row],[Upper]]</f>
        <v>3316.482</v>
      </c>
      <c r="Q33" s="12">
        <f>0.2*Table5[[#This Row],[Middle]]</f>
        <v>1658.2820000000002</v>
      </c>
      <c r="R33" s="12">
        <f>0.2*Table5[[#This Row],[Lower]]</f>
        <v>0</v>
      </c>
    </row>
    <row r="34" spans="4:23" x14ac:dyDescent="0.25">
      <c r="D34">
        <v>2023</v>
      </c>
      <c r="E34" s="21">
        <v>0.99</v>
      </c>
      <c r="F34" s="12">
        <v>14690</v>
      </c>
      <c r="G34" s="12">
        <v>22981.41</v>
      </c>
      <c r="H34" s="12">
        <v>8291.41</v>
      </c>
      <c r="I34" s="12">
        <v>0</v>
      </c>
      <c r="J34" s="12">
        <f>0.3*Table5[[#This Row],[Upper]]</f>
        <v>6894.4229999999998</v>
      </c>
      <c r="K34" s="12">
        <f>0.3*Table5[[#This Row],[Middle]]</f>
        <v>2487.4229999999998</v>
      </c>
      <c r="L34" s="12">
        <f>0.3*Table5[[#This Row],[Lower]]</f>
        <v>0</v>
      </c>
      <c r="M34" s="12">
        <f>0.25*Table5[[#This Row],[Upper]]</f>
        <v>5745.3525</v>
      </c>
      <c r="N34" s="12">
        <f>0.25*Table5[[#This Row],[Middle]]</f>
        <v>2072.8525</v>
      </c>
      <c r="O34" s="12">
        <f>0.25*Table5[[#This Row],[Lower]]</f>
        <v>0</v>
      </c>
      <c r="P34" s="12">
        <f>0.2*Table5[[#This Row],[Upper]]</f>
        <v>4596.2820000000002</v>
      </c>
      <c r="Q34" s="12">
        <f>0.2*Table5[[#This Row],[Middle]]</f>
        <v>1658.2820000000002</v>
      </c>
      <c r="R34" s="12">
        <f>0.2*Table5[[#This Row],[Lower]]</f>
        <v>0</v>
      </c>
    </row>
    <row r="35" spans="4:23" x14ac:dyDescent="0.25">
      <c r="D35">
        <v>2024</v>
      </c>
      <c r="E35" s="21">
        <v>0.9</v>
      </c>
      <c r="F35" s="12">
        <v>14383</v>
      </c>
      <c r="G35" s="12">
        <v>29523.358</v>
      </c>
      <c r="H35" s="12">
        <v>15140.358</v>
      </c>
      <c r="I35" s="12">
        <v>757.35800000000199</v>
      </c>
      <c r="J35" s="12">
        <f>0.3*Table5[[#This Row],[Upper]]</f>
        <v>8857.0074000000004</v>
      </c>
      <c r="K35" s="12">
        <f>0.3*Table5[[#This Row],[Middle]]</f>
        <v>4542.1073999999999</v>
      </c>
      <c r="L35" s="12">
        <f>0.3*Table5[[#This Row],[Lower]]</f>
        <v>227.2074000000006</v>
      </c>
      <c r="M35" s="12">
        <f>0.25*Table5[[#This Row],[Upper]]</f>
        <v>7380.8395</v>
      </c>
      <c r="N35" s="12">
        <f>0.25*Table5[[#This Row],[Middle]]</f>
        <v>3785.0895</v>
      </c>
      <c r="O35" s="12">
        <f>0.25*Table5[[#This Row],[Lower]]</f>
        <v>189.3395000000005</v>
      </c>
      <c r="P35" s="12">
        <f>0.2*Table5[[#This Row],[Upper]]</f>
        <v>5904.6716000000006</v>
      </c>
      <c r="Q35" s="12">
        <f>0.2*Table5[[#This Row],[Middle]]</f>
        <v>3028.0716000000002</v>
      </c>
      <c r="R35" s="12">
        <f>0.2*Table5[[#This Row],[Lower]]</f>
        <v>151.47160000000039</v>
      </c>
    </row>
    <row r="36" spans="4:23" x14ac:dyDescent="0.25">
      <c r="D36">
        <v>2024</v>
      </c>
      <c r="E36" s="21">
        <v>0.95</v>
      </c>
      <c r="F36" s="12">
        <v>18732</v>
      </c>
      <c r="G36" s="12">
        <v>33872.358</v>
      </c>
      <c r="H36" s="12">
        <v>15140.358</v>
      </c>
      <c r="I36" s="12">
        <v>0</v>
      </c>
      <c r="J36" s="12">
        <f>0.3*Table5[[#This Row],[Upper]]</f>
        <v>10161.707399999999</v>
      </c>
      <c r="K36" s="12">
        <f>0.3*Table5[[#This Row],[Middle]]</f>
        <v>4542.1073999999999</v>
      </c>
      <c r="L36" s="12">
        <f>0.3*Table5[[#This Row],[Lower]]</f>
        <v>0</v>
      </c>
      <c r="M36" s="12">
        <f>0.25*Table5[[#This Row],[Upper]]</f>
        <v>8468.0895</v>
      </c>
      <c r="N36" s="12">
        <f>0.25*Table5[[#This Row],[Middle]]</f>
        <v>3785.0895</v>
      </c>
      <c r="O36" s="12">
        <f>0.25*Table5[[#This Row],[Lower]]</f>
        <v>0</v>
      </c>
      <c r="P36" s="12">
        <f>0.2*Table5[[#This Row],[Upper]]</f>
        <v>6774.4716000000008</v>
      </c>
      <c r="Q36" s="12">
        <f>0.2*Table5[[#This Row],[Middle]]</f>
        <v>3028.0716000000002</v>
      </c>
      <c r="R36" s="12">
        <f>0.2*Table5[[#This Row],[Lower]]</f>
        <v>0</v>
      </c>
    </row>
    <row r="37" spans="4:23" x14ac:dyDescent="0.25">
      <c r="D37">
        <v>2024</v>
      </c>
      <c r="E37" s="21">
        <v>0.99</v>
      </c>
      <c r="F37" s="12">
        <v>31064</v>
      </c>
      <c r="G37" s="12">
        <v>46204.358</v>
      </c>
      <c r="H37" s="12">
        <v>15140.358</v>
      </c>
      <c r="I37" s="12">
        <v>0</v>
      </c>
      <c r="J37" s="44">
        <f>0.3*Table5[[#This Row],[Upper]]</f>
        <v>13861.3074</v>
      </c>
      <c r="K37" s="44">
        <f>0.3*Table5[[#This Row],[Middle]]</f>
        <v>4542.1073999999999</v>
      </c>
      <c r="L37" s="44">
        <f>0.3*Table5[[#This Row],[Lower]]</f>
        <v>0</v>
      </c>
      <c r="M37" s="44">
        <f>0.25*Table5[[#This Row],[Upper]]</f>
        <v>11551.0895</v>
      </c>
      <c r="N37" s="44">
        <f>0.25*Table5[[#This Row],[Middle]]</f>
        <v>3785.0895</v>
      </c>
      <c r="O37" s="44">
        <f>0.25*Table5[[#This Row],[Lower]]</f>
        <v>0</v>
      </c>
      <c r="P37" s="44">
        <f>0.2*Table5[[#This Row],[Upper]]</f>
        <v>9240.8716000000004</v>
      </c>
      <c r="Q37" s="44">
        <f>0.2*Table5[[#This Row],[Middle]]</f>
        <v>3028.0716000000002</v>
      </c>
      <c r="R37" s="44">
        <f>0.2*Table5[[#This Row],[Lower]]</f>
        <v>0</v>
      </c>
    </row>
    <row r="39" spans="4:23" x14ac:dyDescent="0.25">
      <c r="H39" t="s">
        <v>52</v>
      </c>
    </row>
    <row r="40" spans="4:23" x14ac:dyDescent="0.25">
      <c r="G40" t="s">
        <v>49</v>
      </c>
      <c r="H40" s="45">
        <v>20</v>
      </c>
      <c r="L40" s="37"/>
      <c r="M40" s="37"/>
      <c r="N40" s="37"/>
      <c r="O40" s="37"/>
      <c r="P40" s="37"/>
      <c r="Q40" s="37"/>
      <c r="R40" s="37"/>
      <c r="S40" s="37"/>
      <c r="T40" s="37"/>
      <c r="U40" s="37"/>
      <c r="V40" s="37"/>
      <c r="W40" s="37"/>
    </row>
    <row r="41" spans="4:23" x14ac:dyDescent="0.25">
      <c r="D41" t="s">
        <v>30</v>
      </c>
      <c r="E41" t="s">
        <v>16</v>
      </c>
      <c r="F41" t="s">
        <v>10</v>
      </c>
      <c r="G41" t="s">
        <v>33</v>
      </c>
      <c r="H41" t="s">
        <v>12</v>
      </c>
      <c r="I41" t="s">
        <v>46</v>
      </c>
      <c r="J41" t="s">
        <v>47</v>
      </c>
      <c r="K41" t="s">
        <v>48</v>
      </c>
    </row>
    <row r="42" spans="4:23" x14ac:dyDescent="0.25">
      <c r="D42" s="25">
        <v>2021</v>
      </c>
      <c r="E42" s="46">
        <v>0.9</v>
      </c>
      <c r="F42" s="11">
        <v>96895.91333333333</v>
      </c>
      <c r="G42" s="11">
        <v>58089.91333333333</v>
      </c>
      <c r="H42" s="11">
        <v>19283.91333333333</v>
      </c>
      <c r="I42" s="11">
        <f t="shared" ref="I42:I53" si="9">F42*$H$40/100</f>
        <v>19379.182666666668</v>
      </c>
      <c r="J42" s="11">
        <f t="shared" ref="J42:J53" si="10">G42*$H$40/100</f>
        <v>11617.982666666667</v>
      </c>
      <c r="K42" s="11">
        <f t="shared" ref="K42:K53" si="11">H42*$H$40/100</f>
        <v>3856.782666666666</v>
      </c>
    </row>
    <row r="43" spans="4:23" x14ac:dyDescent="0.25">
      <c r="D43" s="26">
        <v>2021</v>
      </c>
      <c r="E43" s="46">
        <v>0.95</v>
      </c>
      <c r="F43" s="11">
        <v>105648.91333333333</v>
      </c>
      <c r="G43" s="11">
        <v>58089.91333333333</v>
      </c>
      <c r="H43" s="11">
        <v>10530.91333333333</v>
      </c>
      <c r="I43" s="11">
        <f t="shared" si="9"/>
        <v>21129.782666666666</v>
      </c>
      <c r="J43" s="11">
        <f t="shared" si="10"/>
        <v>11617.982666666667</v>
      </c>
      <c r="K43" s="11">
        <f t="shared" si="11"/>
        <v>2106.1826666666661</v>
      </c>
    </row>
    <row r="44" spans="4:23" x14ac:dyDescent="0.25">
      <c r="D44" s="25">
        <v>2021</v>
      </c>
      <c r="E44" s="46">
        <v>0.99</v>
      </c>
      <c r="F44" s="11">
        <v>125200.91333333333</v>
      </c>
      <c r="G44" s="11">
        <v>58089.91333333333</v>
      </c>
      <c r="H44" s="11">
        <v>0</v>
      </c>
      <c r="I44" s="11">
        <f t="shared" si="9"/>
        <v>25040.182666666668</v>
      </c>
      <c r="J44" s="11">
        <f t="shared" si="10"/>
        <v>11617.982666666667</v>
      </c>
      <c r="K44" s="11">
        <f t="shared" si="11"/>
        <v>0</v>
      </c>
    </row>
    <row r="45" spans="4:23" x14ac:dyDescent="0.25">
      <c r="D45" s="26">
        <v>2022</v>
      </c>
      <c r="E45" s="46">
        <v>0.9</v>
      </c>
      <c r="F45" s="11">
        <v>168763.17749999999</v>
      </c>
      <c r="G45" s="11">
        <v>62057.177499999998</v>
      </c>
      <c r="H45" s="11">
        <v>0</v>
      </c>
      <c r="I45" s="11">
        <f t="shared" si="9"/>
        <v>33752.635499999997</v>
      </c>
      <c r="J45" s="11">
        <f t="shared" si="10"/>
        <v>12411.4355</v>
      </c>
      <c r="K45" s="11">
        <f t="shared" si="11"/>
        <v>0</v>
      </c>
    </row>
    <row r="46" spans="4:23" x14ac:dyDescent="0.25">
      <c r="D46" s="25">
        <v>2022</v>
      </c>
      <c r="E46" s="46">
        <v>0.95</v>
      </c>
      <c r="F46" s="11">
        <v>206355.17749999999</v>
      </c>
      <c r="G46" s="11">
        <v>62057.177499999998</v>
      </c>
      <c r="H46" s="11">
        <v>0</v>
      </c>
      <c r="I46" s="11">
        <f t="shared" si="9"/>
        <v>41271.035499999998</v>
      </c>
      <c r="J46" s="11">
        <f t="shared" si="10"/>
        <v>12411.4355</v>
      </c>
      <c r="K46" s="11">
        <f t="shared" si="11"/>
        <v>0</v>
      </c>
    </row>
    <row r="47" spans="4:23" x14ac:dyDescent="0.25">
      <c r="D47" s="26">
        <v>2022</v>
      </c>
      <c r="E47" s="46">
        <v>0.99</v>
      </c>
      <c r="F47" s="11">
        <v>326896.17749999999</v>
      </c>
      <c r="G47" s="11">
        <v>62057.177499999991</v>
      </c>
      <c r="H47" s="11">
        <v>0</v>
      </c>
      <c r="I47" s="11">
        <f t="shared" si="9"/>
        <v>65379.235499999995</v>
      </c>
      <c r="J47" s="11">
        <f t="shared" si="10"/>
        <v>12411.435499999998</v>
      </c>
      <c r="K47" s="11">
        <f t="shared" si="11"/>
        <v>0</v>
      </c>
    </row>
    <row r="48" spans="4:23" x14ac:dyDescent="0.25">
      <c r="D48" s="25">
        <v>2023</v>
      </c>
      <c r="E48" s="46">
        <v>0.9</v>
      </c>
      <c r="F48" s="11">
        <v>14208.41</v>
      </c>
      <c r="G48" s="11">
        <v>8291.41</v>
      </c>
      <c r="H48" s="11">
        <v>2374.41</v>
      </c>
      <c r="I48" s="11">
        <f t="shared" si="9"/>
        <v>2841.6820000000002</v>
      </c>
      <c r="J48" s="11">
        <f t="shared" si="10"/>
        <v>1658.2820000000002</v>
      </c>
      <c r="K48" s="11">
        <f t="shared" si="11"/>
        <v>474.88199999999995</v>
      </c>
    </row>
    <row r="49" spans="4:11" x14ac:dyDescent="0.25">
      <c r="D49" s="26">
        <v>2023</v>
      </c>
      <c r="E49" s="46">
        <v>0.95</v>
      </c>
      <c r="F49" s="11">
        <v>16582.41</v>
      </c>
      <c r="G49" s="11">
        <v>8291.41</v>
      </c>
      <c r="H49" s="11">
        <v>0</v>
      </c>
      <c r="I49" s="11">
        <f t="shared" si="9"/>
        <v>3316.482</v>
      </c>
      <c r="J49" s="11">
        <f t="shared" si="10"/>
        <v>1658.2820000000002</v>
      </c>
      <c r="K49" s="11">
        <f t="shared" si="11"/>
        <v>0</v>
      </c>
    </row>
    <row r="50" spans="4:11" x14ac:dyDescent="0.25">
      <c r="D50" s="25">
        <v>2023</v>
      </c>
      <c r="E50" s="46">
        <v>0.99</v>
      </c>
      <c r="F50" s="11">
        <v>22981.41</v>
      </c>
      <c r="G50" s="11">
        <v>8291.41</v>
      </c>
      <c r="H50" s="11">
        <v>0</v>
      </c>
      <c r="I50" s="11">
        <f t="shared" si="9"/>
        <v>4596.2820000000002</v>
      </c>
      <c r="J50" s="11">
        <f t="shared" si="10"/>
        <v>1658.2820000000002</v>
      </c>
      <c r="K50" s="11">
        <f t="shared" si="11"/>
        <v>0</v>
      </c>
    </row>
    <row r="51" spans="4:11" x14ac:dyDescent="0.25">
      <c r="D51" s="26">
        <v>2024</v>
      </c>
      <c r="E51" s="46">
        <v>0.9</v>
      </c>
      <c r="F51" s="11">
        <v>29523.358</v>
      </c>
      <c r="G51" s="11">
        <v>15140.358</v>
      </c>
      <c r="H51" s="11">
        <v>757.35800000000199</v>
      </c>
      <c r="I51" s="11">
        <f t="shared" si="9"/>
        <v>5904.6716000000006</v>
      </c>
      <c r="J51" s="11">
        <f t="shared" si="10"/>
        <v>3028.0716000000002</v>
      </c>
      <c r="K51" s="11">
        <f t="shared" si="11"/>
        <v>151.47160000000039</v>
      </c>
    </row>
    <row r="52" spans="4:11" x14ac:dyDescent="0.25">
      <c r="D52" s="25">
        <v>2024</v>
      </c>
      <c r="E52" s="46">
        <v>0.95</v>
      </c>
      <c r="F52" s="11">
        <v>33872.358</v>
      </c>
      <c r="G52" s="11">
        <v>15140.358</v>
      </c>
      <c r="H52" s="11">
        <v>0</v>
      </c>
      <c r="I52" s="11">
        <f t="shared" si="9"/>
        <v>6774.4716000000008</v>
      </c>
      <c r="J52" s="11">
        <f t="shared" si="10"/>
        <v>3028.0716000000002</v>
      </c>
      <c r="K52" s="11">
        <f t="shared" si="11"/>
        <v>0</v>
      </c>
    </row>
    <row r="53" spans="4:11" x14ac:dyDescent="0.25">
      <c r="D53" s="26">
        <v>2024</v>
      </c>
      <c r="E53" s="46">
        <v>0.99</v>
      </c>
      <c r="F53" s="11">
        <v>46204.358</v>
      </c>
      <c r="G53" s="11">
        <v>15140.358</v>
      </c>
      <c r="H53" s="11">
        <v>0</v>
      </c>
      <c r="I53" s="11">
        <f t="shared" si="9"/>
        <v>9240.8716000000004</v>
      </c>
      <c r="J53" s="11">
        <f t="shared" si="10"/>
        <v>3028.0716000000002</v>
      </c>
      <c r="K53" s="11">
        <f t="shared" si="11"/>
        <v>0</v>
      </c>
    </row>
  </sheetData>
  <phoneticPr fontId="8" type="noConversion"/>
  <hyperlinks>
    <hyperlink ref="A1" r:id="rId1" xr:uid="{BC305DEB-4821-4D8A-BD75-68D9D9A8494D}"/>
  </hyperlinks>
  <pageMargins left="0.7" right="0.7" top="0.75" bottom="0.75" header="0.3" footer="0.3"/>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78C2C-45D4-4313-A289-80D476AE5359}">
  <sheetPr codeName="Sheet3"/>
  <dimension ref="A1:P46"/>
  <sheetViews>
    <sheetView zoomScale="120" zoomScaleNormal="120" workbookViewId="0">
      <selection activeCell="E25" sqref="E25"/>
    </sheetView>
  </sheetViews>
  <sheetFormatPr defaultRowHeight="15" x14ac:dyDescent="0.25"/>
  <cols>
    <col min="1" max="1" width="21.7109375" customWidth="1"/>
    <col min="2" max="2" width="12.42578125" bestFit="1" customWidth="1"/>
    <col min="4" max="4" width="12.28515625" customWidth="1"/>
    <col min="5" max="5" width="12.42578125" customWidth="1"/>
  </cols>
  <sheetData>
    <row r="1" spans="1:6" x14ac:dyDescent="0.25">
      <c r="A1" t="s">
        <v>30</v>
      </c>
      <c r="B1" t="s">
        <v>22</v>
      </c>
      <c r="C1" t="s">
        <v>10</v>
      </c>
      <c r="D1" t="s">
        <v>11</v>
      </c>
      <c r="E1" t="s">
        <v>12</v>
      </c>
      <c r="F1" t="s">
        <v>29</v>
      </c>
    </row>
    <row r="2" spans="1:6" x14ac:dyDescent="0.25">
      <c r="A2">
        <v>2021</v>
      </c>
      <c r="B2" s="24">
        <v>0.9</v>
      </c>
      <c r="C2" s="23">
        <v>3711.4824000000003</v>
      </c>
      <c r="D2" s="23">
        <v>2881.1018999999997</v>
      </c>
      <c r="E2" s="23">
        <v>2050.7214000000004</v>
      </c>
      <c r="F2" s="16">
        <v>830.38050000000067</v>
      </c>
    </row>
    <row r="3" spans="1:6" x14ac:dyDescent="0.25">
      <c r="A3">
        <v>2021</v>
      </c>
      <c r="B3" s="24">
        <v>0.95</v>
      </c>
      <c r="C3" s="23">
        <v>3827.0988000000002</v>
      </c>
      <c r="D3" s="23">
        <v>2860.5261</v>
      </c>
      <c r="E3" s="23">
        <v>1893.9534000000001</v>
      </c>
      <c r="F3" s="16">
        <v>966.57270000000017</v>
      </c>
    </row>
    <row r="4" spans="1:6" x14ac:dyDescent="0.25">
      <c r="A4">
        <v>2021</v>
      </c>
      <c r="B4" s="24">
        <v>0.99</v>
      </c>
      <c r="C4" s="10">
        <v>4021.5890999999997</v>
      </c>
      <c r="D4" s="23">
        <v>2817.4148999999998</v>
      </c>
      <c r="E4" s="10">
        <v>1613.2406999999998</v>
      </c>
      <c r="F4" s="16">
        <v>1204.1741999999999</v>
      </c>
    </row>
    <row r="5" spans="1:6" x14ac:dyDescent="0.25">
      <c r="A5">
        <v>2022</v>
      </c>
      <c r="B5" s="24">
        <v>0.9</v>
      </c>
      <c r="C5" s="10">
        <v>2563.136</v>
      </c>
      <c r="D5" s="23">
        <v>1627.5084999999999</v>
      </c>
      <c r="E5" s="10">
        <v>642.85550000000001</v>
      </c>
      <c r="F5" s="16">
        <v>935.62750000000005</v>
      </c>
    </row>
    <row r="6" spans="1:6" x14ac:dyDescent="0.25">
      <c r="A6">
        <v>2022</v>
      </c>
      <c r="B6" s="24">
        <v>0.95</v>
      </c>
      <c r="C6" s="10">
        <v>2872.48</v>
      </c>
      <c r="D6" s="23">
        <v>1714.5114999999998</v>
      </c>
      <c r="E6" s="10">
        <v>556.54300000000001</v>
      </c>
      <c r="F6" s="16">
        <v>1157.9685000000002</v>
      </c>
    </row>
    <row r="7" spans="1:6" x14ac:dyDescent="0.25">
      <c r="A7">
        <v>2022</v>
      </c>
      <c r="B7" s="24">
        <v>0.99</v>
      </c>
      <c r="C7" s="10">
        <v>3368.9495000000002</v>
      </c>
      <c r="D7" s="23">
        <v>1896.8035</v>
      </c>
      <c r="E7" s="10">
        <v>425.34800000000001</v>
      </c>
      <c r="F7" s="16">
        <v>1472.1460000000002</v>
      </c>
    </row>
    <row r="8" spans="1:6" x14ac:dyDescent="0.25">
      <c r="A8">
        <v>2023</v>
      </c>
      <c r="B8" s="24">
        <v>0.9</v>
      </c>
      <c r="C8" s="10">
        <v>3000.0383999999999</v>
      </c>
      <c r="D8" s="10">
        <v>1904.9274</v>
      </c>
      <c r="E8" s="10">
        <v>752.43420000000003</v>
      </c>
      <c r="F8" s="16">
        <v>1095.1109999999999</v>
      </c>
    </row>
    <row r="9" spans="1:6" x14ac:dyDescent="0.25">
      <c r="A9">
        <v>2023</v>
      </c>
      <c r="B9" s="24">
        <v>0.95</v>
      </c>
      <c r="C9" s="10">
        <v>3362.1119999999996</v>
      </c>
      <c r="D9" s="10">
        <v>2006.7605999999998</v>
      </c>
      <c r="E9" s="10">
        <v>651.40920000000006</v>
      </c>
      <c r="F9" s="16">
        <v>1355.3513999999998</v>
      </c>
    </row>
    <row r="10" spans="1:6" x14ac:dyDescent="0.25">
      <c r="A10">
        <v>2023</v>
      </c>
      <c r="B10" s="24">
        <v>0.99</v>
      </c>
      <c r="C10" s="10">
        <v>3943.2078000000001</v>
      </c>
      <c r="D10" s="10">
        <v>2220.1253999999999</v>
      </c>
      <c r="E10" s="10">
        <v>497.85120000000001</v>
      </c>
      <c r="F10" s="16">
        <v>1723.0824000000002</v>
      </c>
    </row>
    <row r="11" spans="1:6" x14ac:dyDescent="0.25">
      <c r="A11">
        <v>2024</v>
      </c>
      <c r="B11" s="24">
        <v>0.9</v>
      </c>
      <c r="C11" s="10">
        <v>1187.2533999999998</v>
      </c>
      <c r="D11" s="10">
        <v>768.61059999999998</v>
      </c>
      <c r="E11" s="10">
        <v>349.96780000000001</v>
      </c>
      <c r="F11" s="16">
        <v>418.64279999999985</v>
      </c>
    </row>
    <row r="12" spans="1:6" x14ac:dyDescent="0.25">
      <c r="A12">
        <v>2024</v>
      </c>
      <c r="B12" s="24">
        <v>0.95</v>
      </c>
      <c r="C12" s="10">
        <v>1287.5189</v>
      </c>
      <c r="D12" s="10">
        <v>797.45410000000004</v>
      </c>
      <c r="E12" s="10">
        <v>307.38929999999999</v>
      </c>
      <c r="F12" s="16">
        <v>490.06479999999999</v>
      </c>
    </row>
    <row r="13" spans="1:6" x14ac:dyDescent="0.25">
      <c r="A13">
        <v>2024</v>
      </c>
      <c r="B13" s="24">
        <v>0.99</v>
      </c>
      <c r="C13" s="10">
        <v>1574.0309999999999</v>
      </c>
      <c r="D13" s="10">
        <v>857.88810000000001</v>
      </c>
      <c r="E13" s="10">
        <v>240.08780000000002</v>
      </c>
      <c r="F13" s="16">
        <v>716.14289999999994</v>
      </c>
    </row>
    <row r="15" spans="1:6" ht="15" customHeight="1" x14ac:dyDescent="0.25">
      <c r="A15" s="30" t="s">
        <v>36</v>
      </c>
      <c r="B15" s="24">
        <v>0.9</v>
      </c>
      <c r="C15" s="10">
        <v>8859.4</v>
      </c>
      <c r="D15" s="10">
        <v>7009.2</v>
      </c>
      <c r="E15" s="10">
        <v>5161.2</v>
      </c>
      <c r="F15" s="10">
        <f>D15-E15</f>
        <v>1848</v>
      </c>
    </row>
    <row r="16" spans="1:6" x14ac:dyDescent="0.25">
      <c r="A16" s="30"/>
      <c r="B16" s="24">
        <v>0.95</v>
      </c>
      <c r="C16" s="10">
        <v>9255.4</v>
      </c>
      <c r="D16" s="10">
        <v>7064.2</v>
      </c>
      <c r="E16" s="10">
        <v>4873</v>
      </c>
      <c r="F16" s="10">
        <f t="shared" ref="F16:F17" si="0">D16-E16</f>
        <v>2191.1999999999998</v>
      </c>
    </row>
    <row r="17" spans="1:16" x14ac:dyDescent="0.25">
      <c r="A17" s="30"/>
      <c r="B17" s="24">
        <v>0.99</v>
      </c>
      <c r="C17" s="23">
        <v>10029.800000000001</v>
      </c>
      <c r="D17" s="23">
        <v>7191.8</v>
      </c>
      <c r="E17" s="23">
        <v>4351.6000000000004</v>
      </c>
      <c r="F17" s="23">
        <f t="shared" si="0"/>
        <v>2840.2</v>
      </c>
    </row>
    <row r="18" spans="1:16" x14ac:dyDescent="0.25">
      <c r="A18" s="32"/>
      <c r="B18" s="33"/>
      <c r="C18" s="34"/>
      <c r="D18" s="34"/>
      <c r="E18" s="34"/>
      <c r="F18" s="34"/>
      <c r="G18" s="35"/>
      <c r="H18" s="35"/>
      <c r="I18" s="35"/>
      <c r="J18" s="35"/>
      <c r="K18" s="35"/>
      <c r="L18" s="35"/>
      <c r="M18" s="35"/>
      <c r="N18" s="35"/>
      <c r="O18" s="35"/>
      <c r="P18" s="35"/>
    </row>
    <row r="19" spans="1:16" x14ac:dyDescent="0.25">
      <c r="A19" s="31"/>
      <c r="B19" s="31"/>
      <c r="C19" s="31"/>
      <c r="D19" s="31"/>
      <c r="E19" s="31"/>
      <c r="F19" s="31"/>
      <c r="G19" s="31"/>
      <c r="H19" s="31"/>
      <c r="I19" s="31"/>
      <c r="J19" s="31"/>
      <c r="K19" s="31"/>
      <c r="L19" s="31"/>
      <c r="M19" s="31"/>
      <c r="N19" s="31"/>
      <c r="O19" s="31"/>
      <c r="P19" s="31"/>
    </row>
    <row r="20" spans="1:16" x14ac:dyDescent="0.25">
      <c r="A20" s="1" t="s">
        <v>2</v>
      </c>
      <c r="B20" t="s">
        <v>21</v>
      </c>
      <c r="E20">
        <v>2021</v>
      </c>
      <c r="H20">
        <v>2022</v>
      </c>
      <c r="K20">
        <v>2023</v>
      </c>
      <c r="N20">
        <v>2024</v>
      </c>
    </row>
    <row r="21" spans="1:16" ht="15.75" customHeight="1" x14ac:dyDescent="0.25">
      <c r="A21" s="2" t="s">
        <v>3</v>
      </c>
      <c r="E21" t="s">
        <v>26</v>
      </c>
      <c r="F21">
        <f>Data!I8/Data!J5</f>
        <v>0.6</v>
      </c>
      <c r="I21">
        <f>Data!K8/Data!L5</f>
        <v>0.2</v>
      </c>
      <c r="L21">
        <f>Data!M8/Data!N5</f>
        <v>0.2</v>
      </c>
      <c r="O21">
        <f>Data!O8/Data!P5</f>
        <v>0.25</v>
      </c>
    </row>
    <row r="22" spans="1:16" ht="15.75" x14ac:dyDescent="0.25">
      <c r="A22" s="2" t="s">
        <v>4</v>
      </c>
      <c r="E22" t="s">
        <v>28</v>
      </c>
      <c r="F22">
        <v>20</v>
      </c>
      <c r="I22">
        <v>20</v>
      </c>
      <c r="L22">
        <v>20</v>
      </c>
      <c r="O22">
        <v>20</v>
      </c>
    </row>
    <row r="23" spans="1:16" ht="15.75" x14ac:dyDescent="0.25">
      <c r="A23" s="2" t="s">
        <v>5</v>
      </c>
    </row>
    <row r="24" spans="1:16" ht="15.75" x14ac:dyDescent="0.25">
      <c r="A24" s="2" t="s">
        <v>6</v>
      </c>
    </row>
    <row r="25" spans="1:16" ht="15.75" x14ac:dyDescent="0.25">
      <c r="A25" s="2" t="s">
        <v>8</v>
      </c>
      <c r="E25" s="17" t="s">
        <v>27</v>
      </c>
    </row>
    <row r="26" spans="1:16" ht="15.75" x14ac:dyDescent="0.25">
      <c r="A26" s="2" t="s">
        <v>7</v>
      </c>
    </row>
    <row r="27" spans="1:16" ht="15.75" x14ac:dyDescent="0.25">
      <c r="A27" s="2" t="s">
        <v>9</v>
      </c>
      <c r="B27">
        <f>+- 0.08406</f>
        <v>-8.4059999999999996E-2</v>
      </c>
    </row>
    <row r="29" spans="1:16" ht="15.75" x14ac:dyDescent="0.25">
      <c r="A29" s="2" t="s">
        <v>22</v>
      </c>
      <c r="B29" s="6">
        <v>0.9</v>
      </c>
      <c r="C29" s="7">
        <v>0.95</v>
      </c>
      <c r="D29" s="8">
        <v>0.99</v>
      </c>
      <c r="E29" s="14">
        <v>0.9</v>
      </c>
      <c r="F29" s="7">
        <v>0.95</v>
      </c>
      <c r="G29" s="8">
        <v>0.99</v>
      </c>
      <c r="H29" s="14">
        <v>0.9</v>
      </c>
      <c r="I29" s="7">
        <v>0.95</v>
      </c>
      <c r="J29" s="8">
        <v>0.99</v>
      </c>
      <c r="K29" s="14">
        <v>0.9</v>
      </c>
      <c r="L29" s="7">
        <v>0.95</v>
      </c>
      <c r="M29" s="8">
        <v>0.99</v>
      </c>
      <c r="N29" s="14">
        <v>0.9</v>
      </c>
      <c r="O29" s="7">
        <v>0.95</v>
      </c>
      <c r="P29" s="8">
        <v>0.99</v>
      </c>
    </row>
    <row r="30" spans="1:16" ht="15.75" x14ac:dyDescent="0.25">
      <c r="A30" s="2" t="s">
        <v>10</v>
      </c>
      <c r="B30" s="21">
        <v>0.4027</v>
      </c>
      <c r="C30" s="21">
        <v>0.42070000000000002</v>
      </c>
      <c r="D30" s="22">
        <v>0.45590000000000003</v>
      </c>
      <c r="E30" s="20">
        <v>0.75760000000000005</v>
      </c>
      <c r="F30" s="21">
        <v>0.78120000000000001</v>
      </c>
      <c r="G30" s="21">
        <v>0.82089999999999996</v>
      </c>
      <c r="H30" s="18">
        <v>0.37119999999999997</v>
      </c>
      <c r="I30" s="19">
        <v>0.41599999999999998</v>
      </c>
      <c r="J30" s="19">
        <v>0.4879</v>
      </c>
      <c r="K30" s="18">
        <v>0.37119999999999997</v>
      </c>
      <c r="L30" s="19">
        <v>0.41599999999999998</v>
      </c>
      <c r="M30" s="19">
        <v>0.4879</v>
      </c>
      <c r="N30" s="18">
        <v>0.43219999999999997</v>
      </c>
      <c r="O30" s="19">
        <v>0.46870000000000001</v>
      </c>
      <c r="P30" s="19">
        <v>0.57299999999999995</v>
      </c>
    </row>
    <row r="31" spans="1:16" ht="15.75" x14ac:dyDescent="0.25">
      <c r="A31" s="2" t="s">
        <v>11</v>
      </c>
      <c r="B31" s="21">
        <v>0.31859999999999999</v>
      </c>
      <c r="C31" s="21">
        <v>0.3211</v>
      </c>
      <c r="D31" s="22">
        <v>0.32690000000000002</v>
      </c>
      <c r="E31" s="20">
        <v>0.58809999999999996</v>
      </c>
      <c r="F31" s="21">
        <v>0.58389999999999997</v>
      </c>
      <c r="G31" s="21">
        <v>0.57509999999999994</v>
      </c>
      <c r="H31" s="18">
        <v>0.23569999999999999</v>
      </c>
      <c r="I31" s="19">
        <v>0.24829999999999999</v>
      </c>
      <c r="J31" s="19">
        <v>0.2747</v>
      </c>
      <c r="K31" s="18">
        <v>0.23569999999999999</v>
      </c>
      <c r="L31" s="19">
        <v>0.24829999999999999</v>
      </c>
      <c r="M31" s="19">
        <v>0.2747</v>
      </c>
      <c r="N31" s="18">
        <v>0.27979999999999999</v>
      </c>
      <c r="O31" s="19">
        <v>0.2903</v>
      </c>
      <c r="P31" s="19">
        <v>0.31230000000000002</v>
      </c>
    </row>
    <row r="32" spans="1:16" ht="15.75" x14ac:dyDescent="0.25">
      <c r="A32" s="2" t="s">
        <v>12</v>
      </c>
      <c r="B32" s="21">
        <v>0.2346</v>
      </c>
      <c r="C32" s="21">
        <v>0.2215</v>
      </c>
      <c r="D32" s="22">
        <v>0.1978</v>
      </c>
      <c r="E32" s="20">
        <v>0.41860000000000003</v>
      </c>
      <c r="F32" s="21">
        <v>0.3866</v>
      </c>
      <c r="G32" s="21">
        <v>0.32929999999999998</v>
      </c>
      <c r="H32" s="18">
        <v>9.3100000000000002E-2</v>
      </c>
      <c r="I32" s="19">
        <v>8.0600000000000005E-2</v>
      </c>
      <c r="J32" s="19">
        <v>6.1600000000000002E-2</v>
      </c>
      <c r="K32" s="18">
        <v>9.3100000000000002E-2</v>
      </c>
      <c r="L32" s="19">
        <v>8.0600000000000005E-2</v>
      </c>
      <c r="M32" s="19">
        <v>6.1600000000000002E-2</v>
      </c>
      <c r="N32" s="18">
        <v>0.12740000000000001</v>
      </c>
      <c r="O32" s="19">
        <v>0.1119</v>
      </c>
      <c r="P32" s="19">
        <v>8.7400000000000005E-2</v>
      </c>
    </row>
    <row r="34" spans="1:16" ht="15.75" x14ac:dyDescent="0.25">
      <c r="A34" s="2" t="s">
        <v>23</v>
      </c>
      <c r="B34" s="9">
        <v>22000</v>
      </c>
      <c r="E34">
        <v>4899</v>
      </c>
      <c r="H34">
        <v>6905</v>
      </c>
      <c r="K34">
        <v>8082</v>
      </c>
      <c r="N34">
        <v>2747</v>
      </c>
    </row>
    <row r="35" spans="1:16" ht="15.75" x14ac:dyDescent="0.25">
      <c r="A35" s="2" t="s">
        <v>10</v>
      </c>
      <c r="B35" s="10">
        <f>B30*$B$34</f>
        <v>8859.4</v>
      </c>
      <c r="C35" s="10">
        <f t="shared" ref="C35:D35" si="1">C30*$B$34</f>
        <v>9255.4</v>
      </c>
      <c r="D35" s="23">
        <f t="shared" si="1"/>
        <v>10029.800000000001</v>
      </c>
      <c r="E35" s="23">
        <f>E30*$E$34</f>
        <v>3711.4824000000003</v>
      </c>
      <c r="F35" s="23">
        <f>F30*$E$34</f>
        <v>3827.0988000000002</v>
      </c>
      <c r="G35" s="10">
        <f>G30*$E$34</f>
        <v>4021.5890999999997</v>
      </c>
      <c r="H35" s="10">
        <f>H30*$H$34</f>
        <v>2563.136</v>
      </c>
      <c r="I35" s="10">
        <f t="shared" ref="I35:J35" si="2">I30*$H$34</f>
        <v>2872.48</v>
      </c>
      <c r="J35" s="10">
        <f t="shared" si="2"/>
        <v>3368.9495000000002</v>
      </c>
      <c r="K35" s="10">
        <f>K30*$K$34</f>
        <v>3000.0383999999999</v>
      </c>
      <c r="L35" s="10">
        <f>L30*$K$34</f>
        <v>3362.1119999999996</v>
      </c>
      <c r="M35" s="10">
        <f t="shared" ref="M35" si="3">M30*$K$34</f>
        <v>3943.2078000000001</v>
      </c>
      <c r="N35" s="10">
        <f>N30*$N$34</f>
        <v>1187.2533999999998</v>
      </c>
      <c r="O35" s="10">
        <f t="shared" ref="O35:P35" si="4">O30*$N$34</f>
        <v>1287.5189</v>
      </c>
      <c r="P35" s="10">
        <f t="shared" si="4"/>
        <v>1574.0309999999999</v>
      </c>
    </row>
    <row r="36" spans="1:16" ht="15.75" x14ac:dyDescent="0.25">
      <c r="A36" s="2" t="s">
        <v>11</v>
      </c>
      <c r="B36" s="10">
        <f>B31*$B$34</f>
        <v>7009.2</v>
      </c>
      <c r="C36" s="10">
        <f t="shared" ref="C36:D36" si="5">C31*$B$34</f>
        <v>7064.2</v>
      </c>
      <c r="D36" s="23">
        <f t="shared" si="5"/>
        <v>7191.8</v>
      </c>
      <c r="E36" s="23">
        <f>E31*$E$34</f>
        <v>2881.1018999999997</v>
      </c>
      <c r="F36" s="23">
        <f>F31*$E$34</f>
        <v>2860.5261</v>
      </c>
      <c r="G36" s="23">
        <f t="shared" ref="G36" si="6">G31*$E$34</f>
        <v>2817.4148999999998</v>
      </c>
      <c r="H36" s="23">
        <f>H31*$H$34</f>
        <v>1627.5084999999999</v>
      </c>
      <c r="I36" s="23">
        <f t="shared" ref="I36" si="7">I31*$H$34</f>
        <v>1714.5114999999998</v>
      </c>
      <c r="J36" s="23">
        <f>J31*$H$34</f>
        <v>1896.8035</v>
      </c>
      <c r="K36" s="10">
        <f t="shared" ref="K36:L36" si="8">K31*$K$34</f>
        <v>1904.9274</v>
      </c>
      <c r="L36" s="10">
        <f t="shared" si="8"/>
        <v>2006.7605999999998</v>
      </c>
      <c r="M36" s="10">
        <f>M31*$K$34</f>
        <v>2220.1253999999999</v>
      </c>
      <c r="N36" s="10">
        <f>N31*$N$34</f>
        <v>768.61059999999998</v>
      </c>
      <c r="O36" s="10">
        <f t="shared" ref="O36:P36" si="9">O31*$N$34</f>
        <v>797.45410000000004</v>
      </c>
      <c r="P36" s="10">
        <f t="shared" si="9"/>
        <v>857.88810000000001</v>
      </c>
    </row>
    <row r="37" spans="1:16" ht="15.75" x14ac:dyDescent="0.25">
      <c r="A37" s="2" t="s">
        <v>12</v>
      </c>
      <c r="B37" s="10">
        <f>B32*$B$34</f>
        <v>5161.2</v>
      </c>
      <c r="C37" s="10">
        <f>C32*$B$34</f>
        <v>4873</v>
      </c>
      <c r="D37" s="23">
        <f>D32*$B$34</f>
        <v>4351.6000000000004</v>
      </c>
      <c r="E37" s="23">
        <f>E32*$E$34</f>
        <v>2050.7214000000004</v>
      </c>
      <c r="F37" s="23">
        <f>F32*$E$34</f>
        <v>1893.9534000000001</v>
      </c>
      <c r="G37" s="10">
        <f>G32*$E$34</f>
        <v>1613.2406999999998</v>
      </c>
      <c r="H37" s="10">
        <f>H32*$H$34</f>
        <v>642.85550000000001</v>
      </c>
      <c r="I37" s="10">
        <f>I32*$H$34</f>
        <v>556.54300000000001</v>
      </c>
      <c r="J37" s="10">
        <f>J32*$H$34</f>
        <v>425.34800000000001</v>
      </c>
      <c r="K37" s="10">
        <f>K32*$K$34</f>
        <v>752.43420000000003</v>
      </c>
      <c r="L37" s="10">
        <f>L32*$K$34</f>
        <v>651.40920000000006</v>
      </c>
      <c r="M37" s="10">
        <f>M32*$K$34</f>
        <v>497.85120000000001</v>
      </c>
      <c r="N37" s="10">
        <f>N32*$N$34</f>
        <v>349.96780000000001</v>
      </c>
      <c r="O37" s="10">
        <f>O32*$N$34</f>
        <v>307.38929999999999</v>
      </c>
      <c r="P37" s="10">
        <f>P32*$N$34</f>
        <v>240.08780000000002</v>
      </c>
    </row>
    <row r="38" spans="1:16" ht="15.75" x14ac:dyDescent="0.25">
      <c r="A38" s="2" t="s">
        <v>29</v>
      </c>
      <c r="E38" s="16">
        <f>E35-E36</f>
        <v>830.38050000000067</v>
      </c>
      <c r="F38" s="16">
        <f t="shared" ref="F38:P38" si="10">F35-F36</f>
        <v>966.57270000000017</v>
      </c>
      <c r="G38" s="16">
        <f t="shared" si="10"/>
        <v>1204.1741999999999</v>
      </c>
      <c r="H38" s="16">
        <f t="shared" si="10"/>
        <v>935.62750000000005</v>
      </c>
      <c r="I38" s="16">
        <f t="shared" si="10"/>
        <v>1157.9685000000002</v>
      </c>
      <c r="J38" s="16">
        <f t="shared" si="10"/>
        <v>1472.1460000000002</v>
      </c>
      <c r="K38" s="16">
        <f t="shared" si="10"/>
        <v>1095.1109999999999</v>
      </c>
      <c r="L38" s="16">
        <f t="shared" si="10"/>
        <v>1355.3513999999998</v>
      </c>
      <c r="M38" s="16">
        <f t="shared" si="10"/>
        <v>1723.0824000000002</v>
      </c>
      <c r="N38" s="16">
        <f t="shared" si="10"/>
        <v>418.64279999999985</v>
      </c>
      <c r="O38" s="16">
        <f t="shared" si="10"/>
        <v>490.06479999999999</v>
      </c>
      <c r="P38" s="16">
        <f t="shared" si="10"/>
        <v>716.14289999999994</v>
      </c>
    </row>
    <row r="41" spans="1:16" x14ac:dyDescent="0.25">
      <c r="D41" t="s">
        <v>30</v>
      </c>
      <c r="E41">
        <v>2021</v>
      </c>
      <c r="F41">
        <v>2021</v>
      </c>
      <c r="G41">
        <v>2021</v>
      </c>
      <c r="H41">
        <v>2022</v>
      </c>
      <c r="I41">
        <v>2022</v>
      </c>
      <c r="J41">
        <v>2022</v>
      </c>
      <c r="K41">
        <v>2023</v>
      </c>
      <c r="L41">
        <v>2023</v>
      </c>
      <c r="M41">
        <v>2023</v>
      </c>
      <c r="N41">
        <v>2024</v>
      </c>
      <c r="O41">
        <v>2024</v>
      </c>
      <c r="P41">
        <v>2024</v>
      </c>
    </row>
    <row r="42" spans="1:16" x14ac:dyDescent="0.25">
      <c r="D42" t="s">
        <v>22</v>
      </c>
      <c r="E42" s="24">
        <v>0.9</v>
      </c>
      <c r="F42" s="24">
        <v>0.95</v>
      </c>
      <c r="G42" s="24">
        <v>0.99</v>
      </c>
      <c r="H42" s="24">
        <v>0.9</v>
      </c>
      <c r="I42" s="24">
        <v>0.95</v>
      </c>
      <c r="J42" s="24">
        <v>0.99</v>
      </c>
      <c r="K42" s="24">
        <v>0.9</v>
      </c>
      <c r="L42" s="24">
        <v>0.95</v>
      </c>
      <c r="M42" s="24">
        <v>0.99</v>
      </c>
      <c r="N42" s="24">
        <v>0.9</v>
      </c>
      <c r="O42" s="24">
        <v>0.95</v>
      </c>
      <c r="P42" s="24">
        <v>0.99</v>
      </c>
    </row>
    <row r="43" spans="1:16" x14ac:dyDescent="0.25">
      <c r="D43" t="s">
        <v>10</v>
      </c>
      <c r="E43" s="23">
        <v>3711.4824000000003</v>
      </c>
      <c r="F43" s="23">
        <v>3827.0988000000002</v>
      </c>
      <c r="G43" s="10">
        <v>4021.5890999999997</v>
      </c>
      <c r="H43" s="10">
        <v>2563.136</v>
      </c>
      <c r="I43" s="10">
        <v>2872.48</v>
      </c>
      <c r="J43" s="10">
        <v>3368.9495000000002</v>
      </c>
      <c r="K43" s="10">
        <v>3000.0383999999999</v>
      </c>
      <c r="L43" s="10">
        <v>3362.1119999999996</v>
      </c>
      <c r="M43" s="10">
        <v>3943.2078000000001</v>
      </c>
      <c r="N43" s="10">
        <v>1187.2533999999998</v>
      </c>
      <c r="O43" s="10">
        <v>1287.5189</v>
      </c>
      <c r="P43" s="10">
        <v>1574.0309999999999</v>
      </c>
    </row>
    <row r="44" spans="1:16" x14ac:dyDescent="0.25">
      <c r="D44" t="s">
        <v>11</v>
      </c>
      <c r="E44" s="23">
        <v>2881.1018999999997</v>
      </c>
      <c r="F44" s="23">
        <v>2860.5261</v>
      </c>
      <c r="G44" s="23">
        <v>2817.4148999999998</v>
      </c>
      <c r="H44" s="23">
        <v>1627.5084999999999</v>
      </c>
      <c r="I44" s="23">
        <v>1714.5114999999998</v>
      </c>
      <c r="J44" s="23">
        <v>1896.8035</v>
      </c>
      <c r="K44" s="10">
        <v>1904.9274</v>
      </c>
      <c r="L44" s="10">
        <v>2006.7605999999998</v>
      </c>
      <c r="M44" s="10">
        <v>2220.1253999999999</v>
      </c>
      <c r="N44" s="10">
        <v>768.61059999999998</v>
      </c>
      <c r="O44" s="10">
        <v>797.45410000000004</v>
      </c>
      <c r="P44" s="10">
        <v>857.88810000000001</v>
      </c>
    </row>
    <row r="45" spans="1:16" x14ac:dyDescent="0.25">
      <c r="D45" t="s">
        <v>12</v>
      </c>
      <c r="E45" s="23">
        <v>2050.7214000000004</v>
      </c>
      <c r="F45" s="23">
        <v>1893.9534000000001</v>
      </c>
      <c r="G45" s="10">
        <v>1613.2406999999998</v>
      </c>
      <c r="H45" s="10">
        <v>642.85550000000001</v>
      </c>
      <c r="I45" s="10">
        <v>556.54300000000001</v>
      </c>
      <c r="J45" s="10">
        <v>425.34800000000001</v>
      </c>
      <c r="K45" s="10">
        <v>752.43420000000003</v>
      </c>
      <c r="L45" s="10">
        <v>651.40920000000006</v>
      </c>
      <c r="M45" s="10">
        <v>497.85120000000001</v>
      </c>
      <c r="N45" s="10">
        <v>349.96780000000001</v>
      </c>
      <c r="O45" s="10">
        <v>307.38929999999999</v>
      </c>
      <c r="P45" s="10">
        <v>240.08780000000002</v>
      </c>
    </row>
    <row r="46" spans="1:16" x14ac:dyDescent="0.25">
      <c r="D46" t="s">
        <v>29</v>
      </c>
      <c r="E46" s="16">
        <v>830.38050000000067</v>
      </c>
      <c r="F46" s="16">
        <v>966.57270000000017</v>
      </c>
      <c r="G46" s="16">
        <v>1204.1741999999999</v>
      </c>
      <c r="H46" s="16">
        <v>935.62750000000005</v>
      </c>
      <c r="I46" s="16">
        <v>1157.9685000000002</v>
      </c>
      <c r="J46" s="16">
        <v>1472.1460000000002</v>
      </c>
      <c r="K46" s="16">
        <v>1095.1109999999999</v>
      </c>
      <c r="L46" s="16">
        <v>1355.3513999999998</v>
      </c>
      <c r="M46" s="16">
        <v>1723.0824000000002</v>
      </c>
      <c r="N46" s="16">
        <v>418.64279999999985</v>
      </c>
      <c r="O46" s="16">
        <v>490.06479999999999</v>
      </c>
      <c r="P46" s="16">
        <v>716.14289999999994</v>
      </c>
    </row>
  </sheetData>
  <hyperlinks>
    <hyperlink ref="A20" r:id="rId1" xr:uid="{6B5515CD-C10D-49A8-9DD3-5B7253700199}"/>
  </hyperlinks>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4B0BB-87B1-4007-9903-A41C6BF69B2E}">
  <sheetPr codeName="Sheet4"/>
  <dimension ref="A1:W57"/>
  <sheetViews>
    <sheetView showGridLines="0" topLeftCell="A34" zoomScaleNormal="100" workbookViewId="0">
      <selection activeCell="V35" sqref="V35"/>
    </sheetView>
  </sheetViews>
  <sheetFormatPr defaultRowHeight="15" x14ac:dyDescent="0.25"/>
  <cols>
    <col min="2" max="2" width="9" bestFit="1" customWidth="1"/>
    <col min="3" max="3" width="11.7109375" customWidth="1"/>
    <col min="4" max="4" width="11.5703125" bestFit="1" customWidth="1"/>
    <col min="5" max="7" width="10.7109375" bestFit="1" customWidth="1"/>
  </cols>
  <sheetData>
    <row r="1" spans="1:23" ht="15" customHeight="1" x14ac:dyDescent="0.25">
      <c r="A1" s="82" t="s">
        <v>78</v>
      </c>
      <c r="B1" s="82"/>
      <c r="C1" s="82"/>
      <c r="D1" s="82"/>
      <c r="E1" s="82"/>
      <c r="F1" s="82"/>
      <c r="G1" s="82"/>
      <c r="H1" s="82"/>
      <c r="I1" s="82"/>
      <c r="J1" s="82"/>
      <c r="K1" s="82"/>
      <c r="L1" s="82"/>
      <c r="M1" s="82"/>
      <c r="N1" s="82"/>
      <c r="O1" s="82"/>
      <c r="P1" s="82"/>
      <c r="Q1" s="82"/>
      <c r="R1" s="82"/>
      <c r="S1" s="82"/>
      <c r="T1" s="82"/>
      <c r="U1" s="82"/>
      <c r="V1" s="82"/>
      <c r="W1" s="82"/>
    </row>
    <row r="2" spans="1:23" ht="15" customHeight="1" x14ac:dyDescent="0.25">
      <c r="A2" s="82"/>
      <c r="B2" s="82"/>
      <c r="C2" s="82"/>
      <c r="D2" s="82"/>
      <c r="E2" s="82"/>
      <c r="F2" s="82"/>
      <c r="G2" s="82"/>
      <c r="H2" s="82"/>
      <c r="I2" s="82"/>
      <c r="J2" s="82"/>
      <c r="K2" s="82"/>
      <c r="L2" s="82"/>
      <c r="M2" s="82"/>
      <c r="N2" s="82"/>
      <c r="O2" s="82"/>
      <c r="P2" s="82"/>
      <c r="Q2" s="82"/>
      <c r="R2" s="82"/>
      <c r="S2" s="82"/>
      <c r="T2" s="82"/>
      <c r="U2" s="82"/>
      <c r="V2" s="82"/>
      <c r="W2" s="82"/>
    </row>
    <row r="3" spans="1:23" ht="15" customHeight="1" x14ac:dyDescent="0.25">
      <c r="A3" s="82"/>
      <c r="B3" s="82"/>
      <c r="C3" s="82"/>
      <c r="D3" s="82"/>
      <c r="E3" s="82"/>
      <c r="F3" s="82"/>
      <c r="G3" s="82"/>
      <c r="H3" s="82"/>
      <c r="I3" s="82"/>
      <c r="J3" s="82"/>
      <c r="K3" s="82"/>
      <c r="L3" s="82"/>
      <c r="M3" s="82"/>
      <c r="N3" s="82"/>
      <c r="O3" s="82"/>
      <c r="P3" s="82"/>
      <c r="Q3" s="82"/>
      <c r="R3" s="82"/>
      <c r="S3" s="82"/>
      <c r="T3" s="82"/>
      <c r="U3" s="82"/>
      <c r="V3" s="82"/>
      <c r="W3" s="82"/>
    </row>
    <row r="39" spans="1:7" x14ac:dyDescent="0.25">
      <c r="A39" t="s">
        <v>80</v>
      </c>
    </row>
    <row r="41" spans="1:7" x14ac:dyDescent="0.25">
      <c r="B41" t="s">
        <v>30</v>
      </c>
      <c r="C41" t="s">
        <v>22</v>
      </c>
      <c r="D41" t="s">
        <v>10</v>
      </c>
      <c r="E41" t="s">
        <v>11</v>
      </c>
      <c r="F41" t="s">
        <v>12</v>
      </c>
      <c r="G41" t="s">
        <v>29</v>
      </c>
    </row>
    <row r="42" spans="1:7" x14ac:dyDescent="0.25">
      <c r="B42" s="38">
        <v>2021</v>
      </c>
      <c r="C42" s="39">
        <v>0.9</v>
      </c>
      <c r="D42" s="91">
        <v>3711.4824000000003</v>
      </c>
      <c r="E42" s="91">
        <v>2881.1018999999997</v>
      </c>
      <c r="F42" s="91">
        <v>2050.7214000000004</v>
      </c>
      <c r="G42" s="92">
        <v>830.38050000000067</v>
      </c>
    </row>
    <row r="43" spans="1:7" x14ac:dyDescent="0.25">
      <c r="B43" s="38">
        <v>2021</v>
      </c>
      <c r="C43" s="39">
        <v>0.95</v>
      </c>
      <c r="D43" s="91">
        <v>3827.0988000000002</v>
      </c>
      <c r="E43" s="91">
        <v>2860.5261</v>
      </c>
      <c r="F43" s="91">
        <v>1893.9534000000001</v>
      </c>
      <c r="G43" s="92">
        <v>966.57270000000017</v>
      </c>
    </row>
    <row r="44" spans="1:7" x14ac:dyDescent="0.25">
      <c r="B44" s="38">
        <v>2021</v>
      </c>
      <c r="C44" s="39">
        <v>0.99</v>
      </c>
      <c r="D44" s="92">
        <v>4021.5890999999997</v>
      </c>
      <c r="E44" s="91">
        <v>2817.4148999999998</v>
      </c>
      <c r="F44" s="91">
        <v>1613.2406999999998</v>
      </c>
      <c r="G44" s="92">
        <v>1204.1741999999999</v>
      </c>
    </row>
    <row r="45" spans="1:7" x14ac:dyDescent="0.25">
      <c r="B45" s="40">
        <v>2022</v>
      </c>
      <c r="C45" s="41">
        <v>0.9</v>
      </c>
      <c r="D45" s="93">
        <v>2563.136</v>
      </c>
      <c r="E45" s="94">
        <v>1627.5084999999999</v>
      </c>
      <c r="F45" s="94">
        <v>642.85550000000001</v>
      </c>
      <c r="G45" s="95">
        <v>935.62750000000005</v>
      </c>
    </row>
    <row r="46" spans="1:7" x14ac:dyDescent="0.25">
      <c r="B46" s="40">
        <v>2022</v>
      </c>
      <c r="C46" s="41">
        <v>0.95</v>
      </c>
      <c r="D46" s="93">
        <v>2872.48</v>
      </c>
      <c r="E46" s="94">
        <v>1714.5114999999998</v>
      </c>
      <c r="F46" s="94">
        <v>556.54300000000001</v>
      </c>
      <c r="G46" s="95">
        <v>1157.9685000000002</v>
      </c>
    </row>
    <row r="47" spans="1:7" x14ac:dyDescent="0.25">
      <c r="B47" s="40">
        <v>2022</v>
      </c>
      <c r="C47" s="41">
        <v>0.99</v>
      </c>
      <c r="D47" s="93">
        <v>3368.9495000000002</v>
      </c>
      <c r="E47" s="94">
        <v>1896.8035</v>
      </c>
      <c r="F47" s="94">
        <v>425.34800000000001</v>
      </c>
      <c r="G47" s="95">
        <v>1472.1460000000002</v>
      </c>
    </row>
    <row r="48" spans="1:7" x14ac:dyDescent="0.25">
      <c r="B48" s="38">
        <v>2023</v>
      </c>
      <c r="C48" s="39">
        <v>0.9</v>
      </c>
      <c r="D48" s="92">
        <v>3000.0383999999999</v>
      </c>
      <c r="E48" s="92">
        <v>1904.9274</v>
      </c>
      <c r="F48" s="91">
        <v>752.43420000000003</v>
      </c>
      <c r="G48" s="92">
        <v>1095.1109999999999</v>
      </c>
    </row>
    <row r="49" spans="1:7" x14ac:dyDescent="0.25">
      <c r="B49" s="38">
        <v>2023</v>
      </c>
      <c r="C49" s="39">
        <v>0.95</v>
      </c>
      <c r="D49" s="92">
        <v>3362.1119999999996</v>
      </c>
      <c r="E49" s="92">
        <v>2006.7605999999998</v>
      </c>
      <c r="F49" s="91">
        <v>651.40920000000006</v>
      </c>
      <c r="G49" s="92">
        <v>1355.3513999999998</v>
      </c>
    </row>
    <row r="50" spans="1:7" x14ac:dyDescent="0.25">
      <c r="B50" s="38">
        <v>2023</v>
      </c>
      <c r="C50" s="39">
        <v>0.99</v>
      </c>
      <c r="D50" s="92">
        <v>3943.2078000000001</v>
      </c>
      <c r="E50" s="92">
        <v>2220.1253999999999</v>
      </c>
      <c r="F50" s="91">
        <v>497.85120000000001</v>
      </c>
      <c r="G50" s="92">
        <v>1723.0824000000002</v>
      </c>
    </row>
    <row r="51" spans="1:7" x14ac:dyDescent="0.25">
      <c r="B51" s="40">
        <v>2024</v>
      </c>
      <c r="C51" s="41">
        <v>0.9</v>
      </c>
      <c r="D51" s="93">
        <v>1187.2533999999998</v>
      </c>
      <c r="E51" s="93">
        <v>768.61059999999998</v>
      </c>
      <c r="F51" s="94">
        <v>349.96780000000001</v>
      </c>
      <c r="G51" s="95">
        <v>418.64279999999985</v>
      </c>
    </row>
    <row r="52" spans="1:7" x14ac:dyDescent="0.25">
      <c r="B52" s="40">
        <v>2024</v>
      </c>
      <c r="C52" s="41">
        <v>0.95</v>
      </c>
      <c r="D52" s="93">
        <v>1287.5189</v>
      </c>
      <c r="E52" s="93">
        <v>797.45410000000004</v>
      </c>
      <c r="F52" s="94">
        <v>307.38929999999999</v>
      </c>
      <c r="G52" s="95">
        <v>490.06479999999999</v>
      </c>
    </row>
    <row r="53" spans="1:7" x14ac:dyDescent="0.25">
      <c r="B53" s="40">
        <v>2024</v>
      </c>
      <c r="C53" s="41">
        <v>0.99</v>
      </c>
      <c r="D53" s="93">
        <v>1574.0309999999999</v>
      </c>
      <c r="E53" s="93">
        <v>857.88810000000001</v>
      </c>
      <c r="F53" s="94">
        <v>240.08780000000002</v>
      </c>
      <c r="G53" s="95">
        <v>716.14289999999994</v>
      </c>
    </row>
    <row r="54" spans="1:7" x14ac:dyDescent="0.25">
      <c r="D54" s="16"/>
      <c r="E54" s="16"/>
      <c r="F54" s="16"/>
      <c r="G54" s="16"/>
    </row>
    <row r="55" spans="1:7" ht="15" customHeight="1" x14ac:dyDescent="0.25">
      <c r="A55" s="83" t="s">
        <v>36</v>
      </c>
      <c r="B55" s="83"/>
      <c r="C55" s="24">
        <v>0.9</v>
      </c>
      <c r="D55" s="96">
        <v>8859.4</v>
      </c>
      <c r="E55" s="96">
        <v>7009.2</v>
      </c>
      <c r="F55" s="96">
        <v>5161.2</v>
      </c>
      <c r="G55" s="96">
        <f>E55-F55</f>
        <v>1848</v>
      </c>
    </row>
    <row r="56" spans="1:7" x14ac:dyDescent="0.25">
      <c r="A56" s="83"/>
      <c r="B56" s="83"/>
      <c r="C56" s="24">
        <v>0.95</v>
      </c>
      <c r="D56" s="96">
        <v>9255.4</v>
      </c>
      <c r="E56" s="96">
        <v>7064.2</v>
      </c>
      <c r="F56" s="96">
        <v>4873</v>
      </c>
      <c r="G56" s="96">
        <f t="shared" ref="G56:G57" si="0">E56-F56</f>
        <v>2191.1999999999998</v>
      </c>
    </row>
    <row r="57" spans="1:7" x14ac:dyDescent="0.25">
      <c r="A57" s="83"/>
      <c r="B57" s="83"/>
      <c r="C57" s="24">
        <v>0.99</v>
      </c>
      <c r="D57" s="97">
        <v>10029.800000000001</v>
      </c>
      <c r="E57" s="97">
        <v>7191.8</v>
      </c>
      <c r="F57" s="97">
        <v>4351.6000000000004</v>
      </c>
      <c r="G57" s="97">
        <f t="shared" si="0"/>
        <v>2840.2</v>
      </c>
    </row>
  </sheetData>
  <mergeCells count="2">
    <mergeCell ref="A1:W3"/>
    <mergeCell ref="A55:B57"/>
  </mergeCells>
  <pageMargins left="0.7" right="0.7" top="0.75" bottom="0.75" header="0.3" footer="0.3"/>
  <drawing r:id="rId1"/>
  <tableParts count="1">
    <tablePart r:id="rId2"/>
  </tableParts>
  <extLst>
    <ext xmlns:x14="http://schemas.microsoft.com/office/spreadsheetml/2009/9/main" uri="{A8765BA9-456A-4dab-B4F3-ACF838C121DE}">
      <x14:slicerList>
        <x14:slicer r:id="rId3"/>
      </x14:slicerList>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63AEB-4E29-4A55-BFBB-F1FEBE0546AF}">
  <sheetPr codeName="Sheet5"/>
  <dimension ref="A1:S83"/>
  <sheetViews>
    <sheetView zoomScale="90" zoomScaleNormal="90" workbookViewId="0">
      <selection activeCell="A47" sqref="A47"/>
    </sheetView>
  </sheetViews>
  <sheetFormatPr defaultRowHeight="15" x14ac:dyDescent="0.25"/>
  <cols>
    <col min="1" max="1" width="13.42578125" bestFit="1" customWidth="1"/>
    <col min="2" max="2" width="16.7109375" bestFit="1" customWidth="1"/>
    <col min="3" max="3" width="21.42578125" bestFit="1" customWidth="1"/>
    <col min="4" max="4" width="23.85546875" bestFit="1" customWidth="1"/>
    <col min="5" max="5" width="21.42578125" bestFit="1" customWidth="1"/>
    <col min="6" max="6" width="20.42578125" bestFit="1" customWidth="1"/>
    <col min="7" max="7" width="20.7109375" bestFit="1" customWidth="1"/>
    <col min="8" max="8" width="12.140625" bestFit="1" customWidth="1"/>
    <col min="9" max="9" width="12.28515625" bestFit="1" customWidth="1"/>
    <col min="10" max="10" width="12.7109375" bestFit="1" customWidth="1"/>
  </cols>
  <sheetData>
    <row r="1" spans="1:19" ht="15" customHeight="1" x14ac:dyDescent="0.25">
      <c r="A1" s="82" t="s">
        <v>79</v>
      </c>
      <c r="B1" s="82"/>
      <c r="C1" s="82"/>
      <c r="D1" s="82"/>
      <c r="E1" s="82"/>
      <c r="F1" s="82"/>
      <c r="G1" s="82"/>
      <c r="H1" s="82"/>
      <c r="I1" s="82"/>
      <c r="J1" s="82"/>
      <c r="K1" s="82"/>
      <c r="L1" s="82"/>
      <c r="M1" s="82"/>
      <c r="N1" s="82"/>
      <c r="O1" s="82"/>
      <c r="P1" s="82"/>
      <c r="Q1" s="82"/>
      <c r="R1" s="82"/>
      <c r="S1" s="82"/>
    </row>
    <row r="2" spans="1:19" ht="15" customHeight="1" x14ac:dyDescent="0.25">
      <c r="A2" s="82"/>
      <c r="B2" s="82"/>
      <c r="C2" s="82"/>
      <c r="D2" s="82"/>
      <c r="E2" s="82"/>
      <c r="F2" s="82"/>
      <c r="G2" s="82"/>
      <c r="H2" s="82"/>
      <c r="I2" s="82"/>
      <c r="J2" s="82"/>
      <c r="K2" s="82"/>
      <c r="L2" s="82"/>
      <c r="M2" s="82"/>
      <c r="N2" s="82"/>
      <c r="O2" s="82"/>
      <c r="P2" s="82"/>
      <c r="Q2" s="82"/>
      <c r="R2" s="82"/>
      <c r="S2" s="82"/>
    </row>
    <row r="3" spans="1:19" ht="15" customHeight="1" x14ac:dyDescent="0.25">
      <c r="A3" s="82"/>
      <c r="B3" s="82"/>
      <c r="C3" s="82"/>
      <c r="D3" s="82"/>
      <c r="E3" s="82"/>
      <c r="F3" s="82"/>
      <c r="G3" s="82"/>
      <c r="H3" s="82"/>
      <c r="I3" s="82"/>
      <c r="J3" s="82"/>
      <c r="K3" s="82"/>
      <c r="L3" s="82"/>
      <c r="M3" s="82"/>
      <c r="N3" s="82"/>
      <c r="O3" s="82"/>
      <c r="P3" s="82"/>
      <c r="Q3" s="82"/>
      <c r="R3" s="82"/>
      <c r="S3" s="82"/>
    </row>
    <row r="20" spans="17:18" ht="16.5" thickBot="1" x14ac:dyDescent="0.3">
      <c r="Q20" s="47" t="s">
        <v>49</v>
      </c>
    </row>
    <row r="21" spans="17:18" x14ac:dyDescent="0.25">
      <c r="Q21" s="84">
        <f>'Confidence Int - Cost Per Oder'!H40</f>
        <v>20</v>
      </c>
      <c r="R21" s="85"/>
    </row>
    <row r="22" spans="17:18" x14ac:dyDescent="0.25">
      <c r="Q22" s="86"/>
      <c r="R22" s="87"/>
    </row>
    <row r="23" spans="17:18" ht="15.75" thickBot="1" x14ac:dyDescent="0.3">
      <c r="Q23" s="88"/>
      <c r="R23" s="89"/>
    </row>
    <row r="39" spans="1:8" x14ac:dyDescent="0.25">
      <c r="H39">
        <v>50</v>
      </c>
    </row>
    <row r="47" spans="1:8" x14ac:dyDescent="0.25">
      <c r="A47" t="s">
        <v>80</v>
      </c>
    </row>
    <row r="48" spans="1:8" x14ac:dyDescent="0.25">
      <c r="A48" t="s">
        <v>51</v>
      </c>
    </row>
    <row r="49" spans="1:7" x14ac:dyDescent="0.25">
      <c r="A49" s="27" t="s">
        <v>31</v>
      </c>
      <c r="B49" t="s">
        <v>56</v>
      </c>
      <c r="C49" t="s">
        <v>57</v>
      </c>
      <c r="D49" t="s">
        <v>58</v>
      </c>
      <c r="E49" t="s">
        <v>53</v>
      </c>
      <c r="F49" t="s">
        <v>54</v>
      </c>
      <c r="G49" t="s">
        <v>55</v>
      </c>
    </row>
    <row r="50" spans="1:7" x14ac:dyDescent="0.25">
      <c r="A50" s="28">
        <v>2021</v>
      </c>
      <c r="B50" s="37">
        <v>327745.74</v>
      </c>
      <c r="C50" s="37">
        <v>174269.74</v>
      </c>
      <c r="D50" s="37">
        <v>29814.82666666666</v>
      </c>
      <c r="E50" s="37">
        <v>65549.148000000001</v>
      </c>
      <c r="F50" s="37">
        <v>34853.948000000004</v>
      </c>
      <c r="G50" s="37">
        <v>5962.9653333333317</v>
      </c>
    </row>
    <row r="51" spans="1:7" x14ac:dyDescent="0.25">
      <c r="A51" s="29">
        <v>0.9</v>
      </c>
      <c r="B51" s="37">
        <v>96895.91333333333</v>
      </c>
      <c r="C51" s="37">
        <v>58089.91333333333</v>
      </c>
      <c r="D51" s="37">
        <v>19283.91333333333</v>
      </c>
      <c r="E51" s="37">
        <v>19379.182666666668</v>
      </c>
      <c r="F51" s="37">
        <v>11617.982666666667</v>
      </c>
      <c r="G51" s="37">
        <v>3856.782666666666</v>
      </c>
    </row>
    <row r="52" spans="1:7" x14ac:dyDescent="0.25">
      <c r="A52" s="29">
        <v>0.95</v>
      </c>
      <c r="B52" s="37">
        <v>105648.91333333333</v>
      </c>
      <c r="C52" s="37">
        <v>58089.91333333333</v>
      </c>
      <c r="D52" s="37">
        <v>10530.91333333333</v>
      </c>
      <c r="E52" s="37">
        <v>21129.782666666666</v>
      </c>
      <c r="F52" s="37">
        <v>11617.982666666667</v>
      </c>
      <c r="G52" s="37">
        <v>2106.1826666666661</v>
      </c>
    </row>
    <row r="53" spans="1:7" x14ac:dyDescent="0.25">
      <c r="A53" s="29">
        <v>0.99</v>
      </c>
      <c r="B53" s="37">
        <v>125200.91333333333</v>
      </c>
      <c r="C53" s="37">
        <v>58089.91333333333</v>
      </c>
      <c r="D53" s="37">
        <v>0</v>
      </c>
      <c r="E53" s="37">
        <v>25040.182666666668</v>
      </c>
      <c r="F53" s="37">
        <v>11617.982666666667</v>
      </c>
      <c r="G53" s="37">
        <v>0</v>
      </c>
    </row>
    <row r="54" spans="1:7" x14ac:dyDescent="0.25">
      <c r="A54" s="28">
        <v>2022</v>
      </c>
      <c r="B54" s="37">
        <v>702014.53249999997</v>
      </c>
      <c r="C54" s="37">
        <v>186171.53249999997</v>
      </c>
      <c r="D54" s="37">
        <v>0</v>
      </c>
      <c r="E54" s="37">
        <v>140402.90649999998</v>
      </c>
      <c r="F54" s="37">
        <v>37234.306499999999</v>
      </c>
      <c r="G54" s="37">
        <v>0</v>
      </c>
    </row>
    <row r="55" spans="1:7" x14ac:dyDescent="0.25">
      <c r="A55" s="29">
        <v>0.9</v>
      </c>
      <c r="B55" s="37">
        <v>168763.17749999999</v>
      </c>
      <c r="C55" s="37">
        <v>62057.177499999998</v>
      </c>
      <c r="D55" s="37">
        <v>0</v>
      </c>
      <c r="E55" s="37">
        <v>33752.635499999997</v>
      </c>
      <c r="F55" s="37">
        <v>12411.4355</v>
      </c>
      <c r="G55" s="37">
        <v>0</v>
      </c>
    </row>
    <row r="56" spans="1:7" x14ac:dyDescent="0.25">
      <c r="A56" s="29">
        <v>0.95</v>
      </c>
      <c r="B56" s="37">
        <v>206355.17749999999</v>
      </c>
      <c r="C56" s="37">
        <v>62057.177499999998</v>
      </c>
      <c r="D56" s="37">
        <v>0</v>
      </c>
      <c r="E56" s="37">
        <v>41271.035499999998</v>
      </c>
      <c r="F56" s="37">
        <v>12411.4355</v>
      </c>
      <c r="G56" s="37">
        <v>0</v>
      </c>
    </row>
    <row r="57" spans="1:7" x14ac:dyDescent="0.25">
      <c r="A57" s="29">
        <v>0.99</v>
      </c>
      <c r="B57" s="37">
        <v>326896.17749999999</v>
      </c>
      <c r="C57" s="37">
        <v>62057.177499999991</v>
      </c>
      <c r="D57" s="37">
        <v>0</v>
      </c>
      <c r="E57" s="37">
        <v>65379.235499999995</v>
      </c>
      <c r="F57" s="37">
        <v>12411.435499999998</v>
      </c>
      <c r="G57" s="37">
        <v>0</v>
      </c>
    </row>
    <row r="58" spans="1:7" x14ac:dyDescent="0.25">
      <c r="A58" s="28">
        <v>2023</v>
      </c>
      <c r="B58" s="37">
        <v>53772.229999999996</v>
      </c>
      <c r="C58" s="37">
        <v>24874.23</v>
      </c>
      <c r="D58" s="37">
        <v>2374.41</v>
      </c>
      <c r="E58" s="37">
        <v>10754.446</v>
      </c>
      <c r="F58" s="37">
        <v>4974.8460000000005</v>
      </c>
      <c r="G58" s="37">
        <v>474.88199999999995</v>
      </c>
    </row>
    <row r="59" spans="1:7" x14ac:dyDescent="0.25">
      <c r="A59" s="29">
        <v>0.9</v>
      </c>
      <c r="B59" s="37">
        <v>14208.41</v>
      </c>
      <c r="C59" s="37">
        <v>8291.41</v>
      </c>
      <c r="D59" s="37">
        <v>2374.41</v>
      </c>
      <c r="E59" s="37">
        <v>2841.6820000000002</v>
      </c>
      <c r="F59" s="37">
        <v>1658.2820000000002</v>
      </c>
      <c r="G59" s="37">
        <v>474.88199999999995</v>
      </c>
    </row>
    <row r="60" spans="1:7" x14ac:dyDescent="0.25">
      <c r="A60" s="29">
        <v>0.95</v>
      </c>
      <c r="B60" s="37">
        <v>16582.41</v>
      </c>
      <c r="C60" s="37">
        <v>8291.41</v>
      </c>
      <c r="D60" s="37">
        <v>0</v>
      </c>
      <c r="E60" s="37">
        <v>3316.482</v>
      </c>
      <c r="F60" s="37">
        <v>1658.2820000000002</v>
      </c>
      <c r="G60" s="37">
        <v>0</v>
      </c>
    </row>
    <row r="61" spans="1:7" x14ac:dyDescent="0.25">
      <c r="A61" s="29">
        <v>0.99</v>
      </c>
      <c r="B61" s="37">
        <v>22981.41</v>
      </c>
      <c r="C61" s="37">
        <v>8291.41</v>
      </c>
      <c r="D61" s="37">
        <v>0</v>
      </c>
      <c r="E61" s="37">
        <v>4596.2820000000002</v>
      </c>
      <c r="F61" s="37">
        <v>1658.2820000000002</v>
      </c>
      <c r="G61" s="37">
        <v>0</v>
      </c>
    </row>
    <row r="62" spans="1:7" x14ac:dyDescent="0.25">
      <c r="A62" s="28">
        <v>2024</v>
      </c>
      <c r="B62" s="37">
        <v>109600.07399999999</v>
      </c>
      <c r="C62" s="37">
        <v>45421.074000000001</v>
      </c>
      <c r="D62" s="37">
        <v>757.35800000000199</v>
      </c>
      <c r="E62" s="37">
        <v>21920.014800000004</v>
      </c>
      <c r="F62" s="37">
        <v>9084.2148000000016</v>
      </c>
      <c r="G62" s="37">
        <v>151.47160000000039</v>
      </c>
    </row>
    <row r="63" spans="1:7" x14ac:dyDescent="0.25">
      <c r="A63" s="29">
        <v>0.9</v>
      </c>
      <c r="B63" s="37">
        <v>29523.358</v>
      </c>
      <c r="C63" s="37">
        <v>15140.358</v>
      </c>
      <c r="D63" s="37">
        <v>757.35800000000199</v>
      </c>
      <c r="E63" s="37">
        <v>5904.6716000000006</v>
      </c>
      <c r="F63" s="37">
        <v>3028.0716000000002</v>
      </c>
      <c r="G63" s="37">
        <v>151.47160000000039</v>
      </c>
    </row>
    <row r="64" spans="1:7" x14ac:dyDescent="0.25">
      <c r="A64" s="29">
        <v>0.95</v>
      </c>
      <c r="B64" s="37">
        <v>33872.358</v>
      </c>
      <c r="C64" s="37">
        <v>15140.358</v>
      </c>
      <c r="D64" s="37">
        <v>0</v>
      </c>
      <c r="E64" s="37">
        <v>6774.4716000000008</v>
      </c>
      <c r="F64" s="37">
        <v>3028.0716000000002</v>
      </c>
      <c r="G64" s="37">
        <v>0</v>
      </c>
    </row>
    <row r="65" spans="1:8" x14ac:dyDescent="0.25">
      <c r="A65" s="29">
        <v>0.99</v>
      </c>
      <c r="B65" s="37">
        <v>46204.358</v>
      </c>
      <c r="C65" s="37">
        <v>15140.358</v>
      </c>
      <c r="D65" s="37">
        <v>0</v>
      </c>
      <c r="E65" s="37">
        <v>9240.8716000000004</v>
      </c>
      <c r="F65" s="37">
        <v>3028.0716000000002</v>
      </c>
      <c r="G65" s="37">
        <v>0</v>
      </c>
    </row>
    <row r="66" spans="1:8" x14ac:dyDescent="0.25">
      <c r="A66" s="28" t="s">
        <v>32</v>
      </c>
      <c r="B66" s="37">
        <v>1193132.5765</v>
      </c>
      <c r="C66" s="37">
        <v>430736.57649999991</v>
      </c>
      <c r="D66" s="37">
        <v>32946.594666666664</v>
      </c>
      <c r="E66" s="37">
        <v>238626.51529999997</v>
      </c>
      <c r="F66" s="37">
        <v>86147.315300000002</v>
      </c>
      <c r="G66" s="37">
        <v>6589.3189333333321</v>
      </c>
    </row>
    <row r="69" spans="1:8" x14ac:dyDescent="0.25">
      <c r="B69" t="s">
        <v>49</v>
      </c>
      <c r="C69" s="60">
        <f>F72/C72*100</f>
        <v>20</v>
      </c>
    </row>
    <row r="70" spans="1:8" x14ac:dyDescent="0.25">
      <c r="A70" t="s">
        <v>50</v>
      </c>
    </row>
    <row r="71" spans="1:8" x14ac:dyDescent="0.25">
      <c r="A71" t="s">
        <v>30</v>
      </c>
      <c r="B71" t="s">
        <v>16</v>
      </c>
      <c r="C71" t="s">
        <v>10</v>
      </c>
      <c r="D71" t="s">
        <v>33</v>
      </c>
      <c r="E71" t="s">
        <v>12</v>
      </c>
      <c r="F71" t="s">
        <v>46</v>
      </c>
      <c r="G71" t="s">
        <v>47</v>
      </c>
      <c r="H71" t="s">
        <v>48</v>
      </c>
    </row>
    <row r="72" spans="1:8" x14ac:dyDescent="0.25">
      <c r="A72" s="48">
        <v>2021</v>
      </c>
      <c r="B72" s="49">
        <v>0.9</v>
      </c>
      <c r="C72" s="50">
        <v>96895.91333333333</v>
      </c>
      <c r="D72" s="50">
        <v>58089.91333333333</v>
      </c>
      <c r="E72" s="50">
        <v>19283.91333333333</v>
      </c>
      <c r="F72" s="50">
        <f t="shared" ref="F72:F83" si="0">C72*$Q$21/100</f>
        <v>19379.182666666668</v>
      </c>
      <c r="G72" s="50">
        <f t="shared" ref="G72:G83" si="1">D72*$Q$21/100</f>
        <v>11617.982666666667</v>
      </c>
      <c r="H72" s="50">
        <f t="shared" ref="H72:H83" si="2">E72*$Q$21/100</f>
        <v>3856.782666666666</v>
      </c>
    </row>
    <row r="73" spans="1:8" x14ac:dyDescent="0.25">
      <c r="A73" s="54">
        <v>2021</v>
      </c>
      <c r="B73" s="55">
        <v>0.95</v>
      </c>
      <c r="C73" s="56">
        <v>105648.91333333333</v>
      </c>
      <c r="D73" s="56">
        <v>58089.91333333333</v>
      </c>
      <c r="E73" s="56">
        <v>10530.91333333333</v>
      </c>
      <c r="F73" s="56">
        <f t="shared" si="0"/>
        <v>21129.782666666666</v>
      </c>
      <c r="G73" s="56">
        <f t="shared" si="1"/>
        <v>11617.982666666667</v>
      </c>
      <c r="H73" s="56">
        <f t="shared" si="2"/>
        <v>2106.1826666666661</v>
      </c>
    </row>
    <row r="74" spans="1:8" x14ac:dyDescent="0.25">
      <c r="A74" s="48">
        <v>2021</v>
      </c>
      <c r="B74" s="49">
        <v>0.99</v>
      </c>
      <c r="C74" s="50">
        <v>125200.91333333333</v>
      </c>
      <c r="D74" s="50">
        <v>58089.91333333333</v>
      </c>
      <c r="E74" s="50">
        <v>0</v>
      </c>
      <c r="F74" s="50">
        <f t="shared" si="0"/>
        <v>25040.182666666668</v>
      </c>
      <c r="G74" s="50">
        <f t="shared" si="1"/>
        <v>11617.982666666667</v>
      </c>
      <c r="H74" s="50">
        <f t="shared" si="2"/>
        <v>0</v>
      </c>
    </row>
    <row r="75" spans="1:8" x14ac:dyDescent="0.25">
      <c r="A75" s="51">
        <v>2022</v>
      </c>
      <c r="B75" s="52">
        <v>0.9</v>
      </c>
      <c r="C75" s="53">
        <v>168763.17749999999</v>
      </c>
      <c r="D75" s="53">
        <v>62057.177499999998</v>
      </c>
      <c r="E75" s="53">
        <v>0</v>
      </c>
      <c r="F75" s="53">
        <f t="shared" si="0"/>
        <v>33752.635499999997</v>
      </c>
      <c r="G75" s="53">
        <f t="shared" si="1"/>
        <v>12411.4355</v>
      </c>
      <c r="H75" s="53">
        <f t="shared" si="2"/>
        <v>0</v>
      </c>
    </row>
    <row r="76" spans="1:8" x14ac:dyDescent="0.25">
      <c r="A76" s="57">
        <v>2022</v>
      </c>
      <c r="B76" s="58">
        <v>0.95</v>
      </c>
      <c r="C76" s="59">
        <v>206355.17749999999</v>
      </c>
      <c r="D76" s="59">
        <v>62057.177499999998</v>
      </c>
      <c r="E76" s="59">
        <v>0</v>
      </c>
      <c r="F76" s="59">
        <f t="shared" si="0"/>
        <v>41271.035499999998</v>
      </c>
      <c r="G76" s="59">
        <f t="shared" si="1"/>
        <v>12411.4355</v>
      </c>
      <c r="H76" s="59">
        <f t="shared" si="2"/>
        <v>0</v>
      </c>
    </row>
    <row r="77" spans="1:8" x14ac:dyDescent="0.25">
      <c r="A77" s="51">
        <v>2022</v>
      </c>
      <c r="B77" s="52">
        <v>0.99</v>
      </c>
      <c r="C77" s="53">
        <v>326896.17749999999</v>
      </c>
      <c r="D77" s="53">
        <v>62057.177499999991</v>
      </c>
      <c r="E77" s="53">
        <v>0</v>
      </c>
      <c r="F77" s="53">
        <f t="shared" si="0"/>
        <v>65379.235499999995</v>
      </c>
      <c r="G77" s="53">
        <f t="shared" si="1"/>
        <v>12411.435499999998</v>
      </c>
      <c r="H77" s="53">
        <f t="shared" si="2"/>
        <v>0</v>
      </c>
    </row>
    <row r="78" spans="1:8" x14ac:dyDescent="0.25">
      <c r="A78" s="48">
        <v>2023</v>
      </c>
      <c r="B78" s="49">
        <v>0.9</v>
      </c>
      <c r="C78" s="50">
        <v>14208.41</v>
      </c>
      <c r="D78" s="50">
        <v>8291.41</v>
      </c>
      <c r="E78" s="50">
        <v>2374.41</v>
      </c>
      <c r="F78" s="50">
        <f t="shared" si="0"/>
        <v>2841.6820000000002</v>
      </c>
      <c r="G78" s="50">
        <f t="shared" si="1"/>
        <v>1658.2820000000002</v>
      </c>
      <c r="H78" s="50">
        <f t="shared" si="2"/>
        <v>474.88199999999995</v>
      </c>
    </row>
    <row r="79" spans="1:8" x14ac:dyDescent="0.25">
      <c r="A79" s="54">
        <v>2023</v>
      </c>
      <c r="B79" s="55">
        <v>0.95</v>
      </c>
      <c r="C79" s="56">
        <v>16582.41</v>
      </c>
      <c r="D79" s="56">
        <v>8291.41</v>
      </c>
      <c r="E79" s="56">
        <v>0</v>
      </c>
      <c r="F79" s="56">
        <f t="shared" si="0"/>
        <v>3316.482</v>
      </c>
      <c r="G79" s="56">
        <f t="shared" si="1"/>
        <v>1658.2820000000002</v>
      </c>
      <c r="H79" s="56">
        <f t="shared" si="2"/>
        <v>0</v>
      </c>
    </row>
    <row r="80" spans="1:8" x14ac:dyDescent="0.25">
      <c r="A80" s="48">
        <v>2023</v>
      </c>
      <c r="B80" s="49">
        <v>0.99</v>
      </c>
      <c r="C80" s="50">
        <v>22981.41</v>
      </c>
      <c r="D80" s="50">
        <v>8291.41</v>
      </c>
      <c r="E80" s="50">
        <v>0</v>
      </c>
      <c r="F80" s="50">
        <f t="shared" si="0"/>
        <v>4596.2820000000002</v>
      </c>
      <c r="G80" s="50">
        <f t="shared" si="1"/>
        <v>1658.2820000000002</v>
      </c>
      <c r="H80" s="50">
        <f t="shared" si="2"/>
        <v>0</v>
      </c>
    </row>
    <row r="81" spans="1:8" x14ac:dyDescent="0.25">
      <c r="A81" s="51">
        <v>2024</v>
      </c>
      <c r="B81" s="52">
        <v>0.9</v>
      </c>
      <c r="C81" s="53">
        <v>29523.358</v>
      </c>
      <c r="D81" s="53">
        <v>15140.358</v>
      </c>
      <c r="E81" s="53">
        <v>757.35800000000199</v>
      </c>
      <c r="F81" s="53">
        <f t="shared" si="0"/>
        <v>5904.6716000000006</v>
      </c>
      <c r="G81" s="53">
        <f t="shared" si="1"/>
        <v>3028.0716000000002</v>
      </c>
      <c r="H81" s="53">
        <f t="shared" si="2"/>
        <v>151.47160000000039</v>
      </c>
    </row>
    <row r="82" spans="1:8" x14ac:dyDescent="0.25">
      <c r="A82" s="57">
        <v>2024</v>
      </c>
      <c r="B82" s="58">
        <v>0.95</v>
      </c>
      <c r="C82" s="59">
        <v>33872.358</v>
      </c>
      <c r="D82" s="59">
        <v>15140.358</v>
      </c>
      <c r="E82" s="59">
        <v>0</v>
      </c>
      <c r="F82" s="59">
        <f t="shared" si="0"/>
        <v>6774.4716000000008</v>
      </c>
      <c r="G82" s="59">
        <f t="shared" si="1"/>
        <v>3028.0716000000002</v>
      </c>
      <c r="H82" s="59">
        <f t="shared" si="2"/>
        <v>0</v>
      </c>
    </row>
    <row r="83" spans="1:8" x14ac:dyDescent="0.25">
      <c r="A83" s="51">
        <v>2024</v>
      </c>
      <c r="B83" s="52">
        <v>0.99</v>
      </c>
      <c r="C83" s="53">
        <v>46204.358</v>
      </c>
      <c r="D83" s="53">
        <v>15140.358</v>
      </c>
      <c r="E83" s="53">
        <v>0</v>
      </c>
      <c r="F83" s="53">
        <f t="shared" si="0"/>
        <v>9240.8716000000004</v>
      </c>
      <c r="G83" s="53">
        <f t="shared" si="1"/>
        <v>3028.0716000000002</v>
      </c>
      <c r="H83" s="53">
        <f t="shared" si="2"/>
        <v>0</v>
      </c>
    </row>
  </sheetData>
  <mergeCells count="2">
    <mergeCell ref="Q21:R23"/>
    <mergeCell ref="A1:S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19" r:id="rId5" name="Scroll Bar 3">
              <controlPr defaultSize="0" autoPict="0">
                <anchor moveWithCells="1">
                  <from>
                    <xdr:col>16</xdr:col>
                    <xdr:colOff>352425</xdr:colOff>
                    <xdr:row>23</xdr:row>
                    <xdr:rowOff>114300</xdr:rowOff>
                  </from>
                  <to>
                    <xdr:col>18</xdr:col>
                    <xdr:colOff>0</xdr:colOff>
                    <xdr:row>35</xdr:row>
                    <xdr:rowOff>114300</xdr:rowOff>
                  </to>
                </anchor>
              </controlPr>
            </control>
          </mc:Choice>
        </mc:AlternateContent>
        <mc:AlternateContent xmlns:mc="http://schemas.openxmlformats.org/markup-compatibility/2006">
          <mc:Choice Requires="x14">
            <control shapeId="9221" r:id="rId6" name="Button 5">
              <controlPr defaultSize="0" print="0" autoFill="0" autoPict="0" macro="[0]!Refresh" altText="Refresh Chart">
                <anchor moveWithCells="1" sizeWithCells="1">
                  <from>
                    <xdr:col>16</xdr:col>
                    <xdr:colOff>161925</xdr:colOff>
                    <xdr:row>36</xdr:row>
                    <xdr:rowOff>95250</xdr:rowOff>
                  </from>
                  <to>
                    <xdr:col>19</xdr:col>
                    <xdr:colOff>47625</xdr:colOff>
                    <xdr:row>39</xdr:row>
                    <xdr:rowOff>95250</xdr:rowOff>
                  </to>
                </anchor>
              </controlPr>
            </control>
          </mc:Choice>
        </mc:AlternateContent>
      </controls>
    </mc:Choice>
  </mc:AlternateContent>
  <tableParts count="1">
    <tablePart r:id="rId7"/>
  </tableParts>
  <extLst>
    <ext xmlns:x14="http://schemas.microsoft.com/office/spreadsheetml/2009/9/main" uri="{A8765BA9-456A-4dab-B4F3-ACF838C121DE}">
      <x14:slicerList>
        <x14:slicer r:id="rId8"/>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CEA4E-FD5B-4325-8605-D26018750E9B}">
  <dimension ref="A1:S83"/>
  <sheetViews>
    <sheetView topLeftCell="C67" zoomScale="90" zoomScaleNormal="90" workbookViewId="0">
      <selection activeCell="A70" sqref="A70:N82"/>
    </sheetView>
  </sheetViews>
  <sheetFormatPr defaultRowHeight="15" x14ac:dyDescent="0.25"/>
  <cols>
    <col min="1" max="1" width="13.42578125" bestFit="1" customWidth="1"/>
    <col min="2" max="2" width="37.42578125" bestFit="1" customWidth="1"/>
    <col min="3" max="3" width="39.28515625" bestFit="1" customWidth="1"/>
    <col min="4" max="4" width="14.85546875" bestFit="1" customWidth="1"/>
    <col min="5" max="5" width="15.42578125" bestFit="1" customWidth="1"/>
    <col min="6" max="6" width="14.5703125" bestFit="1" customWidth="1"/>
    <col min="7" max="7" width="14.85546875" bestFit="1" customWidth="1"/>
    <col min="8" max="8" width="12.5703125" customWidth="1"/>
    <col min="9" max="9" width="24.42578125" customWidth="1"/>
    <col min="10" max="10" width="14.5703125" bestFit="1" customWidth="1"/>
    <col min="11" max="11" width="13.5703125" bestFit="1" customWidth="1"/>
    <col min="12" max="12" width="24" customWidth="1"/>
    <col min="13" max="13" width="13.28515625" bestFit="1" customWidth="1"/>
    <col min="14" max="14" width="12.7109375" bestFit="1" customWidth="1"/>
    <col min="15" max="15" width="3.85546875" customWidth="1"/>
    <col min="16" max="16" width="7.28515625" customWidth="1"/>
    <col min="19" max="19" width="12.5703125" customWidth="1"/>
  </cols>
  <sheetData>
    <row r="1" spans="1:19" x14ac:dyDescent="0.25">
      <c r="A1" s="82" t="s">
        <v>89</v>
      </c>
      <c r="B1" s="82"/>
      <c r="C1" s="82"/>
      <c r="D1" s="82"/>
      <c r="E1" s="82"/>
      <c r="F1" s="82"/>
      <c r="G1" s="82"/>
      <c r="H1" s="82"/>
      <c r="I1" s="82"/>
      <c r="J1" s="82"/>
      <c r="K1" s="82"/>
      <c r="L1" s="82"/>
      <c r="M1" s="82"/>
      <c r="N1" s="82"/>
      <c r="O1" s="82"/>
      <c r="P1" s="82"/>
      <c r="Q1" s="82"/>
      <c r="R1" s="82"/>
      <c r="S1" s="82"/>
    </row>
    <row r="2" spans="1:19" x14ac:dyDescent="0.25">
      <c r="A2" s="82"/>
      <c r="B2" s="82"/>
      <c r="C2" s="82"/>
      <c r="D2" s="82"/>
      <c r="E2" s="82"/>
      <c r="F2" s="82"/>
      <c r="G2" s="82"/>
      <c r="H2" s="82"/>
      <c r="I2" s="82"/>
      <c r="J2" s="82"/>
      <c r="K2" s="82"/>
      <c r="L2" s="82"/>
      <c r="M2" s="82"/>
      <c r="N2" s="82"/>
      <c r="O2" s="82"/>
      <c r="P2" s="82"/>
      <c r="Q2" s="82"/>
      <c r="R2" s="82"/>
      <c r="S2" s="82"/>
    </row>
    <row r="3" spans="1:19" x14ac:dyDescent="0.25">
      <c r="A3" s="82"/>
      <c r="B3" s="82"/>
      <c r="C3" s="82"/>
      <c r="D3" s="82"/>
      <c r="E3" s="82"/>
      <c r="F3" s="82"/>
      <c r="G3" s="82"/>
      <c r="H3" s="82"/>
      <c r="I3" s="82"/>
      <c r="J3" s="82"/>
      <c r="K3" s="82"/>
      <c r="L3" s="82"/>
      <c r="M3" s="82"/>
      <c r="N3" s="82"/>
      <c r="O3" s="82"/>
      <c r="P3" s="82"/>
      <c r="Q3" s="82"/>
      <c r="R3" s="82"/>
      <c r="S3" s="82"/>
    </row>
    <row r="21" spans="16:18" x14ac:dyDescent="0.25">
      <c r="P21" t="s">
        <v>75</v>
      </c>
    </row>
    <row r="22" spans="16:18" x14ac:dyDescent="0.25">
      <c r="P22" s="90">
        <f>M69</f>
        <v>25</v>
      </c>
      <c r="Q22" s="90"/>
    </row>
    <row r="23" spans="16:18" x14ac:dyDescent="0.25">
      <c r="P23" s="90"/>
      <c r="Q23" s="90"/>
    </row>
    <row r="24" spans="16:18" x14ac:dyDescent="0.25">
      <c r="P24" s="90"/>
      <c r="Q24" s="90"/>
    </row>
    <row r="25" spans="16:18" x14ac:dyDescent="0.25">
      <c r="P25" s="90"/>
      <c r="Q25" s="90"/>
      <c r="R25" t="s">
        <v>69</v>
      </c>
    </row>
    <row r="48" spans="1:8" x14ac:dyDescent="0.25">
      <c r="A48" s="27" t="s">
        <v>31</v>
      </c>
      <c r="B48" t="s">
        <v>70</v>
      </c>
      <c r="C48" t="s">
        <v>76</v>
      </c>
      <c r="D48" t="s">
        <v>71</v>
      </c>
      <c r="E48" t="s">
        <v>72</v>
      </c>
      <c r="F48" t="s">
        <v>73</v>
      </c>
      <c r="G48" t="s">
        <v>74</v>
      </c>
      <c r="H48" t="s">
        <v>80</v>
      </c>
    </row>
    <row r="49" spans="1:7" x14ac:dyDescent="0.25">
      <c r="A49" s="28">
        <v>2021</v>
      </c>
      <c r="B49" s="37">
        <v>1267462934.779274</v>
      </c>
      <c r="C49" s="37">
        <v>497194060.27728194</v>
      </c>
      <c r="D49" s="37">
        <v>59490992.861183994</v>
      </c>
      <c r="E49" s="37">
        <v>316865733.6948185</v>
      </c>
      <c r="F49" s="37">
        <v>124298515.06932048</v>
      </c>
      <c r="G49" s="37">
        <v>14872748.215295998</v>
      </c>
    </row>
    <row r="50" spans="1:7" x14ac:dyDescent="0.25">
      <c r="A50" s="29">
        <v>0.9</v>
      </c>
      <c r="B50" s="37">
        <v>359627476.96859205</v>
      </c>
      <c r="C50" s="37">
        <v>167362959.67550197</v>
      </c>
      <c r="D50" s="37">
        <v>39545933.748411998</v>
      </c>
      <c r="E50" s="37">
        <v>89906869.242148012</v>
      </c>
      <c r="F50" s="37">
        <v>41840739.918875493</v>
      </c>
      <c r="G50" s="37">
        <v>9886483.4371029995</v>
      </c>
    </row>
    <row r="51" spans="1:7" x14ac:dyDescent="0.25">
      <c r="A51" s="29">
        <v>0.95</v>
      </c>
      <c r="B51" s="37">
        <v>404328829.43930399</v>
      </c>
      <c r="C51" s="37">
        <v>166167713.236738</v>
      </c>
      <c r="D51" s="37">
        <v>19945059.112771995</v>
      </c>
      <c r="E51" s="37">
        <v>101082207.359826</v>
      </c>
      <c r="F51" s="37">
        <v>41541928.309184499</v>
      </c>
      <c r="G51" s="37">
        <v>4986264.7781929988</v>
      </c>
    </row>
    <row r="52" spans="1:7" x14ac:dyDescent="0.25">
      <c r="A52" s="29">
        <v>0.99</v>
      </c>
      <c r="B52" s="37">
        <v>503506628.37137794</v>
      </c>
      <c r="C52" s="37">
        <v>163663387.36504197</v>
      </c>
      <c r="D52" s="37">
        <v>0</v>
      </c>
      <c r="E52" s="37">
        <v>125876657.09284449</v>
      </c>
      <c r="F52" s="37">
        <v>40915846.841260493</v>
      </c>
      <c r="G52" s="37">
        <v>0</v>
      </c>
    </row>
    <row r="53" spans="1:7" x14ac:dyDescent="0.25">
      <c r="A53" s="28">
        <v>2022</v>
      </c>
      <c r="B53" s="37">
        <v>2126610809.7303762</v>
      </c>
      <c r="C53" s="37">
        <v>325106599.83067119</v>
      </c>
      <c r="D53" s="37">
        <v>0</v>
      </c>
      <c r="E53" s="37">
        <v>531652702.43259406</v>
      </c>
      <c r="F53" s="37">
        <v>81276649.957667798</v>
      </c>
      <c r="G53" s="37">
        <v>0</v>
      </c>
    </row>
    <row r="54" spans="1:7" x14ac:dyDescent="0.25">
      <c r="A54" s="29">
        <v>0.9</v>
      </c>
      <c r="B54" s="37">
        <v>432562975.72463995</v>
      </c>
      <c r="C54" s="37">
        <v>100998583.86725874</v>
      </c>
      <c r="D54" s="37">
        <v>0</v>
      </c>
      <c r="E54" s="37">
        <v>108140743.93115999</v>
      </c>
      <c r="F54" s="37">
        <v>25249645.966814686</v>
      </c>
      <c r="G54" s="37">
        <v>0</v>
      </c>
    </row>
    <row r="55" spans="1:7" x14ac:dyDescent="0.25">
      <c r="A55" s="29">
        <v>0.95</v>
      </c>
      <c r="B55" s="37">
        <v>592751120.26520002</v>
      </c>
      <c r="C55" s="37">
        <v>106397744.48129123</v>
      </c>
      <c r="D55" s="37">
        <v>0</v>
      </c>
      <c r="E55" s="37">
        <v>148187780.0663</v>
      </c>
      <c r="F55" s="37">
        <v>26599436.120322809</v>
      </c>
      <c r="G55" s="37">
        <v>0</v>
      </c>
    </row>
    <row r="56" spans="1:7" x14ac:dyDescent="0.25">
      <c r="A56" s="29">
        <v>0.99</v>
      </c>
      <c r="B56" s="37">
        <v>1101296713.7405362</v>
      </c>
      <c r="C56" s="37">
        <v>117710271.48212123</v>
      </c>
      <c r="D56" s="37">
        <v>0</v>
      </c>
      <c r="E56" s="37">
        <v>275324178.43513405</v>
      </c>
      <c r="F56" s="37">
        <v>29427567.870530311</v>
      </c>
      <c r="G56" s="37">
        <v>0</v>
      </c>
    </row>
    <row r="57" spans="1:7" x14ac:dyDescent="0.25">
      <c r="A57" s="28">
        <v>2023</v>
      </c>
      <c r="B57" s="37">
        <v>188998170.419862</v>
      </c>
      <c r="C57" s="37">
        <v>50841378.942893997</v>
      </c>
      <c r="D57" s="37">
        <v>1786587.2888219999</v>
      </c>
      <c r="E57" s="37">
        <v>47249542.604965501</v>
      </c>
      <c r="F57" s="37">
        <v>12710344.735723499</v>
      </c>
      <c r="G57" s="37">
        <v>446646.82220549998</v>
      </c>
    </row>
    <row r="58" spans="1:7" x14ac:dyDescent="0.25">
      <c r="A58" s="29">
        <v>0.9</v>
      </c>
      <c r="B58" s="37">
        <v>42625775.602944002</v>
      </c>
      <c r="C58" s="37">
        <v>15794534.093634</v>
      </c>
      <c r="D58" s="37">
        <v>1786587.2888219999</v>
      </c>
      <c r="E58" s="37">
        <v>10656443.900736</v>
      </c>
      <c r="F58" s="37">
        <v>3948633.5234085</v>
      </c>
      <c r="G58" s="37">
        <v>446646.82220549998</v>
      </c>
    </row>
    <row r="59" spans="1:7" x14ac:dyDescent="0.25">
      <c r="A59" s="29">
        <v>0.95</v>
      </c>
      <c r="B59" s="37">
        <v>55751919.649919994</v>
      </c>
      <c r="C59" s="37">
        <v>16638874.906445999</v>
      </c>
      <c r="D59" s="37">
        <v>0</v>
      </c>
      <c r="E59" s="37">
        <v>13937979.912479999</v>
      </c>
      <c r="F59" s="37">
        <v>4159718.7266114997</v>
      </c>
      <c r="G59" s="37">
        <v>0</v>
      </c>
    </row>
    <row r="60" spans="1:7" x14ac:dyDescent="0.25">
      <c r="A60" s="29">
        <v>0.99</v>
      </c>
      <c r="B60" s="37">
        <v>90620475.166997999</v>
      </c>
      <c r="C60" s="37">
        <v>18407969.942814</v>
      </c>
      <c r="D60" s="37">
        <v>0</v>
      </c>
      <c r="E60" s="37">
        <v>22655118.7917495</v>
      </c>
      <c r="F60" s="37">
        <v>4601992.4857035</v>
      </c>
      <c r="G60" s="37">
        <v>0</v>
      </c>
    </row>
    <row r="61" spans="1:7" x14ac:dyDescent="0.25">
      <c r="A61" s="28">
        <v>2024</v>
      </c>
      <c r="B61" s="37">
        <v>151390100.10458142</v>
      </c>
      <c r="C61" s="37">
        <v>36699513.167102396</v>
      </c>
      <c r="D61" s="37">
        <v>265050.91307240073</v>
      </c>
      <c r="E61" s="37">
        <v>37847525.026145354</v>
      </c>
      <c r="F61" s="37">
        <v>9174878.2917755991</v>
      </c>
      <c r="G61" s="37">
        <v>66262.728268100182</v>
      </c>
    </row>
    <row r="62" spans="1:7" x14ac:dyDescent="0.25">
      <c r="A62" s="29">
        <v>0.9</v>
      </c>
      <c r="B62" s="37">
        <v>35051707.164917193</v>
      </c>
      <c r="C62" s="37">
        <v>11637039.6465948</v>
      </c>
      <c r="D62" s="37">
        <v>265050.91307240073</v>
      </c>
      <c r="E62" s="37">
        <v>8762926.7912292983</v>
      </c>
      <c r="F62" s="37">
        <v>2909259.9116487</v>
      </c>
      <c r="G62" s="37">
        <v>66262.728268100182</v>
      </c>
    </row>
    <row r="63" spans="1:7" x14ac:dyDescent="0.25">
      <c r="A63" s="29">
        <v>0.95</v>
      </c>
      <c r="B63" s="37">
        <v>43611301.112566203</v>
      </c>
      <c r="C63" s="37">
        <v>12073740.5625678</v>
      </c>
      <c r="D63" s="37">
        <v>0</v>
      </c>
      <c r="E63" s="37">
        <v>10902825.278141551</v>
      </c>
      <c r="F63" s="37">
        <v>3018435.1406419505</v>
      </c>
      <c r="G63" s="37">
        <v>0</v>
      </c>
    </row>
    <row r="64" spans="1:7" x14ac:dyDescent="0.25">
      <c r="A64" s="29">
        <v>0.99</v>
      </c>
      <c r="B64" s="37">
        <v>72727091.827097997</v>
      </c>
      <c r="C64" s="37">
        <v>12988732.9579398</v>
      </c>
      <c r="D64" s="37">
        <v>0</v>
      </c>
      <c r="E64" s="37">
        <v>18181772.956774499</v>
      </c>
      <c r="F64" s="37">
        <v>3247183.2394849495</v>
      </c>
      <c r="G64" s="37">
        <v>0</v>
      </c>
    </row>
    <row r="65" spans="1:14" x14ac:dyDescent="0.25">
      <c r="A65" s="28" t="s">
        <v>32</v>
      </c>
      <c r="B65" s="37">
        <v>3734462015.0340929</v>
      </c>
      <c r="C65" s="37">
        <v>909841552.21794939</v>
      </c>
      <c r="D65" s="37">
        <v>61542631.063078396</v>
      </c>
      <c r="E65" s="37">
        <v>933615503.75852323</v>
      </c>
      <c r="F65" s="37">
        <v>227460388.05448735</v>
      </c>
      <c r="G65" s="37">
        <v>15385657.765769599</v>
      </c>
    </row>
    <row r="69" spans="1:14" x14ac:dyDescent="0.25">
      <c r="L69" t="s">
        <v>49</v>
      </c>
      <c r="M69" s="60">
        <v>25</v>
      </c>
    </row>
    <row r="70" spans="1:14" x14ac:dyDescent="0.25">
      <c r="A70" t="s">
        <v>30</v>
      </c>
      <c r="B70" t="s">
        <v>22</v>
      </c>
      <c r="C70" t="s">
        <v>10</v>
      </c>
      <c r="D70" t="s">
        <v>11</v>
      </c>
      <c r="E70" t="s">
        <v>12</v>
      </c>
      <c r="F70" t="s">
        <v>59</v>
      </c>
      <c r="G70" t="s">
        <v>33</v>
      </c>
      <c r="H70" t="s">
        <v>60</v>
      </c>
      <c r="I70" s="69" t="s">
        <v>61</v>
      </c>
      <c r="J70" t="s">
        <v>62</v>
      </c>
      <c r="K70" t="s">
        <v>63</v>
      </c>
      <c r="L70" s="69" t="s">
        <v>46</v>
      </c>
      <c r="M70" t="s">
        <v>47</v>
      </c>
      <c r="N70" t="s">
        <v>48</v>
      </c>
    </row>
    <row r="71" spans="1:14" x14ac:dyDescent="0.25">
      <c r="A71" s="61">
        <v>2021</v>
      </c>
      <c r="B71" s="74">
        <v>0.9</v>
      </c>
      <c r="C71" s="78">
        <v>3711.4824000000003</v>
      </c>
      <c r="D71" s="65">
        <v>2881.1018999999997</v>
      </c>
      <c r="E71" s="65">
        <v>2050.7214000000004</v>
      </c>
      <c r="F71" s="70">
        <v>96895.91333333333</v>
      </c>
      <c r="G71" s="50">
        <v>58089.91333333333</v>
      </c>
      <c r="H71" s="50">
        <v>19283.91333333333</v>
      </c>
      <c r="I71" s="70">
        <f>InvalidOrdersNumber2[[#This Row],[Upper]]*InvalidOrdersNumber2[[#This Row],[Upper2]]</f>
        <v>359627476.96859205</v>
      </c>
      <c r="J71" s="50">
        <f>InvalidOrdersNumber2[[#This Row],[Mid]]*InvalidOrdersNumber2[[#This Row],[Middle]]</f>
        <v>167362959.67550197</v>
      </c>
      <c r="K71" s="50">
        <f>InvalidOrdersNumber2[[#This Row],[Lower]]*InvalidOrdersNumber2[[#This Row],[Lower2]]</f>
        <v>39545933.748411998</v>
      </c>
      <c r="L71" s="70">
        <f t="shared" ref="L71:L82" si="0">I71*$M$69/100</f>
        <v>89906869.242148012</v>
      </c>
      <c r="M71" s="50">
        <f t="shared" ref="M71:M82" si="1">J71*$M$69/100</f>
        <v>41840739.918875493</v>
      </c>
      <c r="N71" s="50">
        <f t="shared" ref="N71:N82" si="2">K71*$M$69/100</f>
        <v>9886483.4371029995</v>
      </c>
    </row>
    <row r="72" spans="1:14" x14ac:dyDescent="0.25">
      <c r="A72" s="62">
        <v>2021</v>
      </c>
      <c r="B72" s="75">
        <v>0.95</v>
      </c>
      <c r="C72" s="79">
        <v>3827.0988000000002</v>
      </c>
      <c r="D72" s="66">
        <v>2860.5261</v>
      </c>
      <c r="E72" s="66">
        <v>1893.9534000000001</v>
      </c>
      <c r="F72" s="71">
        <v>105648.91333333333</v>
      </c>
      <c r="G72" s="56">
        <v>58089.91333333333</v>
      </c>
      <c r="H72" s="56">
        <v>10530.91333333333</v>
      </c>
      <c r="I72" s="71">
        <f>InvalidOrdersNumber2[[#This Row],[Upper]]*InvalidOrdersNumber2[[#This Row],[Upper2]]</f>
        <v>404328829.43930399</v>
      </c>
      <c r="J72" s="56">
        <f>InvalidOrdersNumber2[[#This Row],[Mid]]*InvalidOrdersNumber2[[#This Row],[Middle]]</f>
        <v>166167713.236738</v>
      </c>
      <c r="K72" s="56">
        <f>InvalidOrdersNumber2[[#This Row],[Lower]]*InvalidOrdersNumber2[[#This Row],[Lower2]]</f>
        <v>19945059.112771995</v>
      </c>
      <c r="L72" s="71">
        <f t="shared" si="0"/>
        <v>101082207.359826</v>
      </c>
      <c r="M72" s="56">
        <f t="shared" si="1"/>
        <v>41541928.309184499</v>
      </c>
      <c r="N72" s="56">
        <f t="shared" si="2"/>
        <v>4986264.7781929988</v>
      </c>
    </row>
    <row r="73" spans="1:14" x14ac:dyDescent="0.25">
      <c r="A73" s="61">
        <v>2021</v>
      </c>
      <c r="B73" s="74">
        <v>0.99</v>
      </c>
      <c r="C73" s="78">
        <v>4021.5890999999997</v>
      </c>
      <c r="D73" s="65">
        <v>2817.4148999999998</v>
      </c>
      <c r="E73" s="65">
        <v>1613.2406999999998</v>
      </c>
      <c r="F73" s="70">
        <v>125200.91333333333</v>
      </c>
      <c r="G73" s="50">
        <v>58089.91333333333</v>
      </c>
      <c r="H73" s="50">
        <v>0</v>
      </c>
      <c r="I73" s="70">
        <f>InvalidOrdersNumber2[[#This Row],[Upper]]*InvalidOrdersNumber2[[#This Row],[Upper2]]</f>
        <v>503506628.37137794</v>
      </c>
      <c r="J73" s="50">
        <f>InvalidOrdersNumber2[[#This Row],[Mid]]*InvalidOrdersNumber2[[#This Row],[Middle]]</f>
        <v>163663387.36504197</v>
      </c>
      <c r="K73" s="50">
        <f>InvalidOrdersNumber2[[#This Row],[Lower]]*InvalidOrdersNumber2[[#This Row],[Lower2]]</f>
        <v>0</v>
      </c>
      <c r="L73" s="70">
        <f t="shared" si="0"/>
        <v>125876657.09284449</v>
      </c>
      <c r="M73" s="50">
        <f t="shared" si="1"/>
        <v>40915846.841260493</v>
      </c>
      <c r="N73" s="50">
        <f t="shared" si="2"/>
        <v>0</v>
      </c>
    </row>
    <row r="74" spans="1:14" x14ac:dyDescent="0.25">
      <c r="A74" s="63">
        <v>2022</v>
      </c>
      <c r="B74" s="76">
        <v>0.9</v>
      </c>
      <c r="C74" s="80">
        <v>2563.136</v>
      </c>
      <c r="D74" s="67">
        <v>1627.5084999999999</v>
      </c>
      <c r="E74" s="67">
        <v>642.85550000000001</v>
      </c>
      <c r="F74" s="72">
        <v>168763.17749999999</v>
      </c>
      <c r="G74" s="53">
        <v>62057.177499999998</v>
      </c>
      <c r="H74" s="53">
        <v>0</v>
      </c>
      <c r="I74" s="72">
        <f>InvalidOrdersNumber2[[#This Row],[Upper]]*InvalidOrdersNumber2[[#This Row],[Upper2]]</f>
        <v>432562975.72463995</v>
      </c>
      <c r="J74" s="53">
        <f>InvalidOrdersNumber2[[#This Row],[Mid]]*InvalidOrdersNumber2[[#This Row],[Middle]]</f>
        <v>100998583.86725874</v>
      </c>
      <c r="K74" s="53">
        <f>InvalidOrdersNumber2[[#This Row],[Lower]]*InvalidOrdersNumber2[[#This Row],[Lower2]]</f>
        <v>0</v>
      </c>
      <c r="L74" s="72">
        <f t="shared" si="0"/>
        <v>108140743.93115999</v>
      </c>
      <c r="M74" s="53">
        <f t="shared" si="1"/>
        <v>25249645.966814686</v>
      </c>
      <c r="N74" s="53">
        <f t="shared" si="2"/>
        <v>0</v>
      </c>
    </row>
    <row r="75" spans="1:14" x14ac:dyDescent="0.25">
      <c r="A75" s="64">
        <v>2022</v>
      </c>
      <c r="B75" s="77">
        <v>0.95</v>
      </c>
      <c r="C75" s="81">
        <v>2872.48</v>
      </c>
      <c r="D75" s="68">
        <v>1714.5114999999998</v>
      </c>
      <c r="E75" s="68">
        <v>556.54300000000001</v>
      </c>
      <c r="F75" s="73">
        <v>206355.17749999999</v>
      </c>
      <c r="G75" s="59">
        <v>62057.177499999998</v>
      </c>
      <c r="H75" s="59">
        <v>0</v>
      </c>
      <c r="I75" s="73">
        <f>InvalidOrdersNumber2[[#This Row],[Upper]]*InvalidOrdersNumber2[[#This Row],[Upper2]]</f>
        <v>592751120.26520002</v>
      </c>
      <c r="J75" s="59">
        <f>InvalidOrdersNumber2[[#This Row],[Mid]]*InvalidOrdersNumber2[[#This Row],[Middle]]</f>
        <v>106397744.48129123</v>
      </c>
      <c r="K75" s="59">
        <f>InvalidOrdersNumber2[[#This Row],[Lower]]*InvalidOrdersNumber2[[#This Row],[Lower2]]</f>
        <v>0</v>
      </c>
      <c r="L75" s="73">
        <f t="shared" si="0"/>
        <v>148187780.0663</v>
      </c>
      <c r="M75" s="59">
        <f t="shared" si="1"/>
        <v>26599436.120322809</v>
      </c>
      <c r="N75" s="59">
        <f t="shared" si="2"/>
        <v>0</v>
      </c>
    </row>
    <row r="76" spans="1:14" x14ac:dyDescent="0.25">
      <c r="A76" s="63">
        <v>2022</v>
      </c>
      <c r="B76" s="76">
        <v>0.99</v>
      </c>
      <c r="C76" s="80">
        <v>3368.9495000000002</v>
      </c>
      <c r="D76" s="67">
        <v>1896.8035</v>
      </c>
      <c r="E76" s="67">
        <v>425.34800000000001</v>
      </c>
      <c r="F76" s="72">
        <v>326896.17749999999</v>
      </c>
      <c r="G76" s="53">
        <v>62057.177499999991</v>
      </c>
      <c r="H76" s="53">
        <v>0</v>
      </c>
      <c r="I76" s="72">
        <f>InvalidOrdersNumber2[[#This Row],[Upper]]*InvalidOrdersNumber2[[#This Row],[Upper2]]</f>
        <v>1101296713.7405362</v>
      </c>
      <c r="J76" s="53">
        <f>InvalidOrdersNumber2[[#This Row],[Mid]]*InvalidOrdersNumber2[[#This Row],[Middle]]</f>
        <v>117710271.48212123</v>
      </c>
      <c r="K76" s="53">
        <f>InvalidOrdersNumber2[[#This Row],[Lower]]*InvalidOrdersNumber2[[#This Row],[Lower2]]</f>
        <v>0</v>
      </c>
      <c r="L76" s="72">
        <f t="shared" si="0"/>
        <v>275324178.43513405</v>
      </c>
      <c r="M76" s="53">
        <f t="shared" si="1"/>
        <v>29427567.870530311</v>
      </c>
      <c r="N76" s="53">
        <f t="shared" si="2"/>
        <v>0</v>
      </c>
    </row>
    <row r="77" spans="1:14" x14ac:dyDescent="0.25">
      <c r="A77" s="61">
        <v>2023</v>
      </c>
      <c r="B77" s="74">
        <v>0.9</v>
      </c>
      <c r="C77" s="78">
        <v>3000.0383999999999</v>
      </c>
      <c r="D77" s="65">
        <v>1904.9274</v>
      </c>
      <c r="E77" s="65">
        <v>752.43420000000003</v>
      </c>
      <c r="F77" s="70">
        <v>14208.41</v>
      </c>
      <c r="G77" s="50">
        <v>8291.41</v>
      </c>
      <c r="H77" s="50">
        <v>2374.41</v>
      </c>
      <c r="I77" s="70">
        <f>InvalidOrdersNumber2[[#This Row],[Upper]]*InvalidOrdersNumber2[[#This Row],[Upper2]]</f>
        <v>42625775.602944002</v>
      </c>
      <c r="J77" s="50">
        <f>InvalidOrdersNumber2[[#This Row],[Mid]]*InvalidOrdersNumber2[[#This Row],[Middle]]</f>
        <v>15794534.093634</v>
      </c>
      <c r="K77" s="50">
        <f>InvalidOrdersNumber2[[#This Row],[Lower]]*InvalidOrdersNumber2[[#This Row],[Lower2]]</f>
        <v>1786587.2888219999</v>
      </c>
      <c r="L77" s="70">
        <f t="shared" si="0"/>
        <v>10656443.900736</v>
      </c>
      <c r="M77" s="50">
        <f t="shared" si="1"/>
        <v>3948633.5234085</v>
      </c>
      <c r="N77" s="50">
        <f t="shared" si="2"/>
        <v>446646.82220549998</v>
      </c>
    </row>
    <row r="78" spans="1:14" x14ac:dyDescent="0.25">
      <c r="A78" s="62">
        <v>2023</v>
      </c>
      <c r="B78" s="75">
        <v>0.95</v>
      </c>
      <c r="C78" s="79">
        <v>3362.1119999999996</v>
      </c>
      <c r="D78" s="66">
        <v>2006.7605999999998</v>
      </c>
      <c r="E78" s="66">
        <v>651.40920000000006</v>
      </c>
      <c r="F78" s="71">
        <v>16582.41</v>
      </c>
      <c r="G78" s="56">
        <v>8291.41</v>
      </c>
      <c r="H78" s="56">
        <v>0</v>
      </c>
      <c r="I78" s="71">
        <f>InvalidOrdersNumber2[[#This Row],[Upper]]*InvalidOrdersNumber2[[#This Row],[Upper2]]</f>
        <v>55751919.649919994</v>
      </c>
      <c r="J78" s="56">
        <f>InvalidOrdersNumber2[[#This Row],[Mid]]*InvalidOrdersNumber2[[#This Row],[Middle]]</f>
        <v>16638874.906445999</v>
      </c>
      <c r="K78" s="56">
        <f>InvalidOrdersNumber2[[#This Row],[Lower]]*InvalidOrdersNumber2[[#This Row],[Lower2]]</f>
        <v>0</v>
      </c>
      <c r="L78" s="71">
        <f t="shared" si="0"/>
        <v>13937979.912479999</v>
      </c>
      <c r="M78" s="56">
        <f t="shared" si="1"/>
        <v>4159718.7266114997</v>
      </c>
      <c r="N78" s="56">
        <f t="shared" si="2"/>
        <v>0</v>
      </c>
    </row>
    <row r="79" spans="1:14" x14ac:dyDescent="0.25">
      <c r="A79" s="61">
        <v>2023</v>
      </c>
      <c r="B79" s="74">
        <v>0.99</v>
      </c>
      <c r="C79" s="78">
        <v>3943.2078000000001</v>
      </c>
      <c r="D79" s="65">
        <v>2220.1253999999999</v>
      </c>
      <c r="E79" s="65">
        <v>497.85120000000001</v>
      </c>
      <c r="F79" s="70">
        <v>22981.41</v>
      </c>
      <c r="G79" s="50">
        <v>8291.41</v>
      </c>
      <c r="H79" s="50">
        <v>0</v>
      </c>
      <c r="I79" s="70">
        <f>InvalidOrdersNumber2[[#This Row],[Upper]]*InvalidOrdersNumber2[[#This Row],[Upper2]]</f>
        <v>90620475.166997999</v>
      </c>
      <c r="J79" s="50">
        <f>InvalidOrdersNumber2[[#This Row],[Mid]]*InvalidOrdersNumber2[[#This Row],[Middle]]</f>
        <v>18407969.942814</v>
      </c>
      <c r="K79" s="50">
        <f>InvalidOrdersNumber2[[#This Row],[Lower]]*InvalidOrdersNumber2[[#This Row],[Lower2]]</f>
        <v>0</v>
      </c>
      <c r="L79" s="70">
        <f t="shared" si="0"/>
        <v>22655118.7917495</v>
      </c>
      <c r="M79" s="50">
        <f t="shared" si="1"/>
        <v>4601992.4857035</v>
      </c>
      <c r="N79" s="50">
        <f t="shared" si="2"/>
        <v>0</v>
      </c>
    </row>
    <row r="80" spans="1:14" x14ac:dyDescent="0.25">
      <c r="A80" s="63">
        <v>2024</v>
      </c>
      <c r="B80" s="76">
        <v>0.9</v>
      </c>
      <c r="C80" s="80">
        <v>1187.2533999999998</v>
      </c>
      <c r="D80" s="67">
        <v>768.61059999999998</v>
      </c>
      <c r="E80" s="67">
        <v>349.96780000000001</v>
      </c>
      <c r="F80" s="72">
        <v>29523.358</v>
      </c>
      <c r="G80" s="53">
        <v>15140.358</v>
      </c>
      <c r="H80" s="53">
        <v>757.35800000000199</v>
      </c>
      <c r="I80" s="72">
        <f>InvalidOrdersNumber2[[#This Row],[Upper]]*InvalidOrdersNumber2[[#This Row],[Upper2]]</f>
        <v>35051707.164917193</v>
      </c>
      <c r="J80" s="53">
        <f>InvalidOrdersNumber2[[#This Row],[Mid]]*InvalidOrdersNumber2[[#This Row],[Middle]]</f>
        <v>11637039.6465948</v>
      </c>
      <c r="K80" s="53">
        <f>InvalidOrdersNumber2[[#This Row],[Lower]]*InvalidOrdersNumber2[[#This Row],[Lower2]]</f>
        <v>265050.91307240073</v>
      </c>
      <c r="L80" s="72">
        <f t="shared" si="0"/>
        <v>8762926.7912292983</v>
      </c>
      <c r="M80" s="53">
        <f t="shared" si="1"/>
        <v>2909259.9116487</v>
      </c>
      <c r="N80" s="53">
        <f t="shared" si="2"/>
        <v>66262.728268100182</v>
      </c>
    </row>
    <row r="81" spans="1:14" x14ac:dyDescent="0.25">
      <c r="A81" s="64">
        <v>2024</v>
      </c>
      <c r="B81" s="77">
        <v>0.95</v>
      </c>
      <c r="C81" s="81">
        <v>1287.5189</v>
      </c>
      <c r="D81" s="68">
        <v>797.45410000000004</v>
      </c>
      <c r="E81" s="68">
        <v>307.38929999999999</v>
      </c>
      <c r="F81" s="73">
        <v>33872.358</v>
      </c>
      <c r="G81" s="59">
        <v>15140.358</v>
      </c>
      <c r="H81" s="59">
        <v>0</v>
      </c>
      <c r="I81" s="73">
        <f>InvalidOrdersNumber2[[#This Row],[Upper]]*InvalidOrdersNumber2[[#This Row],[Upper2]]</f>
        <v>43611301.112566203</v>
      </c>
      <c r="J81" s="59">
        <f>InvalidOrdersNumber2[[#This Row],[Mid]]*InvalidOrdersNumber2[[#This Row],[Middle]]</f>
        <v>12073740.5625678</v>
      </c>
      <c r="K81" s="59">
        <f>InvalidOrdersNumber2[[#This Row],[Lower]]*InvalidOrdersNumber2[[#This Row],[Lower2]]</f>
        <v>0</v>
      </c>
      <c r="L81" s="73">
        <f t="shared" si="0"/>
        <v>10902825.278141551</v>
      </c>
      <c r="M81" s="59">
        <f t="shared" si="1"/>
        <v>3018435.1406419505</v>
      </c>
      <c r="N81" s="59">
        <f t="shared" si="2"/>
        <v>0</v>
      </c>
    </row>
    <row r="82" spans="1:14" x14ac:dyDescent="0.25">
      <c r="A82" s="63">
        <v>2024</v>
      </c>
      <c r="B82" s="76">
        <v>0.99</v>
      </c>
      <c r="C82" s="80">
        <v>1574.0309999999999</v>
      </c>
      <c r="D82" s="67">
        <v>857.88810000000001</v>
      </c>
      <c r="E82" s="67">
        <v>240.08780000000002</v>
      </c>
      <c r="F82" s="72">
        <v>46204.358</v>
      </c>
      <c r="G82" s="53">
        <v>15140.358</v>
      </c>
      <c r="H82" s="53">
        <v>0</v>
      </c>
      <c r="I82" s="72">
        <f>InvalidOrdersNumber2[[#This Row],[Upper]]*InvalidOrdersNumber2[[#This Row],[Upper2]]</f>
        <v>72727091.827097997</v>
      </c>
      <c r="J82" s="53">
        <f>InvalidOrdersNumber2[[#This Row],[Mid]]*InvalidOrdersNumber2[[#This Row],[Middle]]</f>
        <v>12988732.9579398</v>
      </c>
      <c r="K82" s="53">
        <f>InvalidOrdersNumber2[[#This Row],[Lower]]*InvalidOrdersNumber2[[#This Row],[Lower2]]</f>
        <v>0</v>
      </c>
      <c r="L82" s="72">
        <f t="shared" si="0"/>
        <v>18181772.956774499</v>
      </c>
      <c r="M82" s="53">
        <f t="shared" si="1"/>
        <v>3247183.2394849495</v>
      </c>
      <c r="N82" s="53">
        <f t="shared" si="2"/>
        <v>0</v>
      </c>
    </row>
    <row r="83" spans="1:14" x14ac:dyDescent="0.25">
      <c r="C83" t="s">
        <v>64</v>
      </c>
      <c r="F83" t="s">
        <v>66</v>
      </c>
      <c r="I83" t="s">
        <v>65</v>
      </c>
      <c r="L83" t="s">
        <v>67</v>
      </c>
    </row>
  </sheetData>
  <mergeCells count="2">
    <mergeCell ref="A1:S3"/>
    <mergeCell ref="P22:Q25"/>
  </mergeCells>
  <phoneticPr fontId="8" type="noConversion"/>
  <conditionalFormatting sqref="J71:J82">
    <cfRule type="dataBar" priority="3">
      <dataBar>
        <cfvo type="min"/>
        <cfvo type="max"/>
        <color rgb="FF638EC6"/>
      </dataBar>
      <extLst>
        <ext xmlns:x14="http://schemas.microsoft.com/office/spreadsheetml/2009/9/main" uri="{B025F937-C7B1-47D3-B67F-A62EFF666E3E}">
          <x14:id>{278EDD94-B93F-424C-B35A-34D8917AFA96}</x14:id>
        </ext>
      </extLst>
    </cfRule>
  </conditionalFormatting>
  <conditionalFormatting sqref="M71:M82">
    <cfRule type="dataBar" priority="2">
      <dataBar>
        <cfvo type="min"/>
        <cfvo type="max"/>
        <color rgb="FF638EC6"/>
      </dataBar>
      <extLst>
        <ext xmlns:x14="http://schemas.microsoft.com/office/spreadsheetml/2009/9/main" uri="{B025F937-C7B1-47D3-B67F-A62EFF666E3E}">
          <x14:id>{353435A3-B871-4BFB-8509-B841CBFDDAA6}</x14:id>
        </ext>
      </extLst>
    </cfRule>
  </conditionalFormatting>
  <conditionalFormatting sqref="D71:D82">
    <cfRule type="dataBar" priority="1">
      <dataBar>
        <cfvo type="min"/>
        <cfvo type="max"/>
        <color rgb="FF638EC6"/>
      </dataBar>
      <extLst>
        <ext xmlns:x14="http://schemas.microsoft.com/office/spreadsheetml/2009/9/main" uri="{B025F937-C7B1-47D3-B67F-A62EFF666E3E}">
          <x14:id>{FA527174-EC6C-4F42-8F43-66036FDCE177}</x14:id>
        </ext>
      </extLst>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4337" r:id="rId4" name="Spinner 1">
              <controlPr defaultSize="0" autoPict="0">
                <anchor moveWithCells="1" sizeWithCells="1">
                  <from>
                    <xdr:col>15</xdr:col>
                    <xdr:colOff>9525</xdr:colOff>
                    <xdr:row>25</xdr:row>
                    <xdr:rowOff>190500</xdr:rowOff>
                  </from>
                  <to>
                    <xdr:col>17</xdr:col>
                    <xdr:colOff>438150</xdr:colOff>
                    <xdr:row>33</xdr:row>
                    <xdr:rowOff>9525</xdr:rowOff>
                  </to>
                </anchor>
              </controlPr>
            </control>
          </mc:Choice>
        </mc:AlternateContent>
        <mc:AlternateContent xmlns:mc="http://schemas.openxmlformats.org/markup-compatibility/2006">
          <mc:Choice Requires="x14">
            <control shapeId="14338" r:id="rId5" name="Button 2">
              <controlPr defaultSize="0" print="0" autoFill="0" autoPict="0" macro="[0]!Refresh">
                <anchor moveWithCells="1" sizeWithCells="1">
                  <from>
                    <xdr:col>15</xdr:col>
                    <xdr:colOff>9525</xdr:colOff>
                    <xdr:row>35</xdr:row>
                    <xdr:rowOff>0</xdr:rowOff>
                  </from>
                  <to>
                    <xdr:col>17</xdr:col>
                    <xdr:colOff>514350</xdr:colOff>
                    <xdr:row>37</xdr:row>
                    <xdr:rowOff>171450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278EDD94-B93F-424C-B35A-34D8917AFA96}">
            <x14:dataBar minLength="0" maxLength="100" gradient="0">
              <x14:cfvo type="autoMin"/>
              <x14:cfvo type="autoMax"/>
              <x14:negativeFillColor rgb="FFFF0000"/>
              <x14:axisColor rgb="FF000000"/>
            </x14:dataBar>
          </x14:cfRule>
          <xm:sqref>J71:J82</xm:sqref>
        </x14:conditionalFormatting>
        <x14:conditionalFormatting xmlns:xm="http://schemas.microsoft.com/office/excel/2006/main">
          <x14:cfRule type="dataBar" id="{353435A3-B871-4BFB-8509-B841CBFDDAA6}">
            <x14:dataBar minLength="0" maxLength="100" gradient="0">
              <x14:cfvo type="autoMin"/>
              <x14:cfvo type="autoMax"/>
              <x14:negativeFillColor rgb="FFFF0000"/>
              <x14:axisColor rgb="FF000000"/>
            </x14:dataBar>
          </x14:cfRule>
          <xm:sqref>M71:M82</xm:sqref>
        </x14:conditionalFormatting>
        <x14:conditionalFormatting xmlns:xm="http://schemas.microsoft.com/office/excel/2006/main">
          <x14:cfRule type="dataBar" id="{FA527174-EC6C-4F42-8F43-66036FDCE177}">
            <x14:dataBar minLength="0" maxLength="100" gradient="0">
              <x14:cfvo type="autoMin"/>
              <x14:cfvo type="autoMax"/>
              <x14:negativeFillColor rgb="FFFF0000"/>
              <x14:axisColor rgb="FF000000"/>
            </x14:dataBar>
          </x14:cfRule>
          <xm:sqref>D71:D82</xm:sqref>
        </x14:conditionalFormatting>
      </x14:conditionalFormattings>
    </ext>
    <ext xmlns:x14="http://schemas.microsoft.com/office/spreadsheetml/2009/9/main" uri="{A8765BA9-456A-4dab-B4F3-ACF838C121DE}">
      <x14:slicerList>
        <x14:slicer r:id="rId7"/>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639B4-72F6-42E7-B3D8-6A85A2B42CFE}">
  <dimension ref="A1:N13"/>
  <sheetViews>
    <sheetView workbookViewId="0">
      <selection activeCell="N19" sqref="N19"/>
    </sheetView>
  </sheetViews>
  <sheetFormatPr defaultRowHeight="15" x14ac:dyDescent="0.25"/>
  <cols>
    <col min="6" max="6" width="10" bestFit="1" customWidth="1"/>
    <col min="9" max="9" width="15.28515625" bestFit="1" customWidth="1"/>
    <col min="10" max="10" width="13.7109375" bestFit="1" customWidth="1"/>
    <col min="11" max="11" width="13.5703125" bestFit="1" customWidth="1"/>
    <col min="12" max="12" width="13.7109375" bestFit="1" customWidth="1"/>
    <col min="13" max="13" width="12.28515625" bestFit="1" customWidth="1"/>
    <col min="14" max="14" width="12.7109375" bestFit="1" customWidth="1"/>
  </cols>
  <sheetData>
    <row r="1" spans="1:14" x14ac:dyDescent="0.25">
      <c r="A1" t="s">
        <v>30</v>
      </c>
      <c r="B1" t="s">
        <v>22</v>
      </c>
      <c r="C1" t="s">
        <v>10</v>
      </c>
      <c r="D1" t="s">
        <v>11</v>
      </c>
      <c r="E1" t="s">
        <v>12</v>
      </c>
      <c r="F1" t="s">
        <v>59</v>
      </c>
      <c r="G1" t="s">
        <v>33</v>
      </c>
      <c r="H1" t="s">
        <v>60</v>
      </c>
      <c r="I1" s="69" t="s">
        <v>61</v>
      </c>
      <c r="J1" t="s">
        <v>62</v>
      </c>
      <c r="K1" t="s">
        <v>63</v>
      </c>
      <c r="L1" s="69" t="s">
        <v>46</v>
      </c>
      <c r="M1" t="s">
        <v>47</v>
      </c>
      <c r="N1" t="s">
        <v>48</v>
      </c>
    </row>
    <row r="2" spans="1:14" x14ac:dyDescent="0.25">
      <c r="A2" s="61">
        <v>2021</v>
      </c>
      <c r="B2" s="74">
        <v>0.9</v>
      </c>
      <c r="C2" s="78">
        <v>3711.4824000000003</v>
      </c>
      <c r="D2" s="65">
        <v>2881.1018999999997</v>
      </c>
      <c r="E2" s="65">
        <v>2050.7214000000004</v>
      </c>
      <c r="F2" s="70">
        <v>96895.91333333333</v>
      </c>
      <c r="G2" s="50">
        <v>58089.91333333333</v>
      </c>
      <c r="H2" s="50">
        <v>19283.91333333333</v>
      </c>
      <c r="I2" s="70">
        <v>359627476.96859205</v>
      </c>
      <c r="J2" s="50">
        <v>167362959.67550197</v>
      </c>
      <c r="K2" s="50">
        <v>39545933.748411998</v>
      </c>
      <c r="L2" s="70">
        <v>89906869.242148012</v>
      </c>
      <c r="M2" s="50">
        <v>41840739.918875493</v>
      </c>
      <c r="N2" s="50">
        <v>9886483.4371029995</v>
      </c>
    </row>
    <row r="3" spans="1:14" x14ac:dyDescent="0.25">
      <c r="A3" s="62">
        <v>2021</v>
      </c>
      <c r="B3" s="75">
        <v>0.95</v>
      </c>
      <c r="C3" s="79">
        <v>3827.0988000000002</v>
      </c>
      <c r="D3" s="66">
        <v>2860.5261</v>
      </c>
      <c r="E3" s="66">
        <v>1893.9534000000001</v>
      </c>
      <c r="F3" s="71">
        <v>105648.91333333333</v>
      </c>
      <c r="G3" s="56">
        <v>58089.91333333333</v>
      </c>
      <c r="H3" s="56">
        <v>10530.91333333333</v>
      </c>
      <c r="I3" s="71">
        <v>404328829.43930399</v>
      </c>
      <c r="J3" s="56">
        <v>166167713.236738</v>
      </c>
      <c r="K3" s="56">
        <v>19945059.112771995</v>
      </c>
      <c r="L3" s="71">
        <v>101082207.359826</v>
      </c>
      <c r="M3" s="56">
        <v>41541928.309184499</v>
      </c>
      <c r="N3" s="56">
        <v>4986264.7781929988</v>
      </c>
    </row>
    <row r="4" spans="1:14" x14ac:dyDescent="0.25">
      <c r="A4" s="61">
        <v>2021</v>
      </c>
      <c r="B4" s="74">
        <v>0.99</v>
      </c>
      <c r="C4" s="78">
        <v>4021.5890999999997</v>
      </c>
      <c r="D4" s="65">
        <v>2817.4148999999998</v>
      </c>
      <c r="E4" s="65">
        <v>1613.2406999999998</v>
      </c>
      <c r="F4" s="70">
        <v>125200.91333333333</v>
      </c>
      <c r="G4" s="50">
        <v>58089.91333333333</v>
      </c>
      <c r="H4" s="50">
        <v>0</v>
      </c>
      <c r="I4" s="70">
        <v>503506628.37137794</v>
      </c>
      <c r="J4" s="50">
        <v>163663387.36504197</v>
      </c>
      <c r="K4" s="50">
        <v>0</v>
      </c>
      <c r="L4" s="70">
        <v>125876657.09284449</v>
      </c>
      <c r="M4" s="50">
        <v>40915846.841260493</v>
      </c>
      <c r="N4" s="50">
        <v>0</v>
      </c>
    </row>
    <row r="5" spans="1:14" x14ac:dyDescent="0.25">
      <c r="A5" s="63">
        <v>2022</v>
      </c>
      <c r="B5" s="76">
        <v>0.9</v>
      </c>
      <c r="C5" s="80">
        <v>2563.136</v>
      </c>
      <c r="D5" s="67">
        <v>1627.5084999999999</v>
      </c>
      <c r="E5" s="67">
        <v>642.85550000000001</v>
      </c>
      <c r="F5" s="72">
        <v>168763.17749999999</v>
      </c>
      <c r="G5" s="53">
        <v>62057.177499999998</v>
      </c>
      <c r="H5" s="53">
        <v>0</v>
      </c>
      <c r="I5" s="72">
        <v>432562975.72463995</v>
      </c>
      <c r="J5" s="53">
        <v>100998583.86725874</v>
      </c>
      <c r="K5" s="53">
        <v>0</v>
      </c>
      <c r="L5" s="72">
        <v>108140743.93115999</v>
      </c>
      <c r="M5" s="53">
        <v>25249645.966814686</v>
      </c>
      <c r="N5" s="53">
        <v>0</v>
      </c>
    </row>
    <row r="6" spans="1:14" x14ac:dyDescent="0.25">
      <c r="A6" s="64">
        <v>2022</v>
      </c>
      <c r="B6" s="77">
        <v>0.95</v>
      </c>
      <c r="C6" s="81">
        <v>2872.48</v>
      </c>
      <c r="D6" s="68">
        <v>1714.5114999999998</v>
      </c>
      <c r="E6" s="68">
        <v>556.54300000000001</v>
      </c>
      <c r="F6" s="73">
        <v>206355.17749999999</v>
      </c>
      <c r="G6" s="59">
        <v>62057.177499999998</v>
      </c>
      <c r="H6" s="59">
        <v>0</v>
      </c>
      <c r="I6" s="73">
        <v>592751120.26520002</v>
      </c>
      <c r="J6" s="59">
        <v>106397744.48129123</v>
      </c>
      <c r="K6" s="59">
        <v>0</v>
      </c>
      <c r="L6" s="73">
        <v>148187780.0663</v>
      </c>
      <c r="M6" s="59">
        <v>26599436.120322809</v>
      </c>
      <c r="N6" s="59">
        <v>0</v>
      </c>
    </row>
    <row r="7" spans="1:14" x14ac:dyDescent="0.25">
      <c r="A7" s="63">
        <v>2022</v>
      </c>
      <c r="B7" s="76">
        <v>0.99</v>
      </c>
      <c r="C7" s="80">
        <v>3368.9495000000002</v>
      </c>
      <c r="D7" s="67">
        <v>1896.8035</v>
      </c>
      <c r="E7" s="67">
        <v>425.34800000000001</v>
      </c>
      <c r="F7" s="72">
        <v>326896.17749999999</v>
      </c>
      <c r="G7" s="53">
        <v>62057.177499999991</v>
      </c>
      <c r="H7" s="53">
        <v>0</v>
      </c>
      <c r="I7" s="72">
        <v>1101296713.7405362</v>
      </c>
      <c r="J7" s="53">
        <v>117710271.48212123</v>
      </c>
      <c r="K7" s="53">
        <v>0</v>
      </c>
      <c r="L7" s="72">
        <v>275324178.43513405</v>
      </c>
      <c r="M7" s="53">
        <v>29427567.870530311</v>
      </c>
      <c r="N7" s="53">
        <v>0</v>
      </c>
    </row>
    <row r="8" spans="1:14" x14ac:dyDescent="0.25">
      <c r="A8" s="61">
        <v>2023</v>
      </c>
      <c r="B8" s="74">
        <v>0.9</v>
      </c>
      <c r="C8" s="78">
        <v>3000.0383999999999</v>
      </c>
      <c r="D8" s="65">
        <v>1904.9274</v>
      </c>
      <c r="E8" s="65">
        <v>752.43420000000003</v>
      </c>
      <c r="F8" s="70">
        <v>14208.41</v>
      </c>
      <c r="G8" s="50">
        <v>8291.41</v>
      </c>
      <c r="H8" s="50">
        <v>2374.41</v>
      </c>
      <c r="I8" s="70">
        <v>42625775.602944002</v>
      </c>
      <c r="J8" s="50">
        <v>15794534.093634</v>
      </c>
      <c r="K8" s="50">
        <v>1786587.2888219999</v>
      </c>
      <c r="L8" s="70">
        <v>10656443.900736</v>
      </c>
      <c r="M8" s="50">
        <v>3948633.5234085</v>
      </c>
      <c r="N8" s="50">
        <v>446646.82220549998</v>
      </c>
    </row>
    <row r="9" spans="1:14" x14ac:dyDescent="0.25">
      <c r="A9" s="62">
        <v>2023</v>
      </c>
      <c r="B9" s="75">
        <v>0.95</v>
      </c>
      <c r="C9" s="79">
        <v>3362.1119999999996</v>
      </c>
      <c r="D9" s="66">
        <v>2006.7605999999998</v>
      </c>
      <c r="E9" s="66">
        <v>651.40920000000006</v>
      </c>
      <c r="F9" s="71">
        <v>16582.41</v>
      </c>
      <c r="G9" s="56">
        <v>8291.41</v>
      </c>
      <c r="H9" s="56">
        <v>0</v>
      </c>
      <c r="I9" s="71">
        <v>55751919.649919994</v>
      </c>
      <c r="J9" s="56">
        <v>16638874.906445999</v>
      </c>
      <c r="K9" s="56">
        <v>0</v>
      </c>
      <c r="L9" s="71">
        <v>13937979.912479999</v>
      </c>
      <c r="M9" s="56">
        <v>4159718.7266114997</v>
      </c>
      <c r="N9" s="56">
        <v>0</v>
      </c>
    </row>
    <row r="10" spans="1:14" x14ac:dyDescent="0.25">
      <c r="A10" s="61">
        <v>2023</v>
      </c>
      <c r="B10" s="74">
        <v>0.99</v>
      </c>
      <c r="C10" s="78">
        <v>3943.2078000000001</v>
      </c>
      <c r="D10" s="65">
        <v>2220.1253999999999</v>
      </c>
      <c r="E10" s="65">
        <v>497.85120000000001</v>
      </c>
      <c r="F10" s="70">
        <v>22981.41</v>
      </c>
      <c r="G10" s="50">
        <v>8291.41</v>
      </c>
      <c r="H10" s="50">
        <v>0</v>
      </c>
      <c r="I10" s="70">
        <v>90620475.166997999</v>
      </c>
      <c r="J10" s="50">
        <v>18407969.942814</v>
      </c>
      <c r="K10" s="50">
        <v>0</v>
      </c>
      <c r="L10" s="70">
        <v>22655118.7917495</v>
      </c>
      <c r="M10" s="50">
        <v>4601992.4857035</v>
      </c>
      <c r="N10" s="50">
        <v>0</v>
      </c>
    </row>
    <row r="11" spans="1:14" x14ac:dyDescent="0.25">
      <c r="A11" s="63">
        <v>2024</v>
      </c>
      <c r="B11" s="76">
        <v>0.9</v>
      </c>
      <c r="C11" s="80">
        <v>1187.2533999999998</v>
      </c>
      <c r="D11" s="67">
        <v>768.61059999999998</v>
      </c>
      <c r="E11" s="67">
        <v>349.96780000000001</v>
      </c>
      <c r="F11" s="72">
        <v>29523.358</v>
      </c>
      <c r="G11" s="53">
        <v>15140.358</v>
      </c>
      <c r="H11" s="53">
        <v>757.35800000000199</v>
      </c>
      <c r="I11" s="72">
        <v>35051707.164917193</v>
      </c>
      <c r="J11" s="53">
        <v>11637039.6465948</v>
      </c>
      <c r="K11" s="53">
        <v>265050.91307240073</v>
      </c>
      <c r="L11" s="72">
        <v>8762926.7912292983</v>
      </c>
      <c r="M11" s="53">
        <v>2909259.9116487</v>
      </c>
      <c r="N11" s="53">
        <v>66262.728268100182</v>
      </c>
    </row>
    <row r="12" spans="1:14" x14ac:dyDescent="0.25">
      <c r="A12" s="64">
        <v>2024</v>
      </c>
      <c r="B12" s="77">
        <v>0.95</v>
      </c>
      <c r="C12" s="81">
        <v>1287.5189</v>
      </c>
      <c r="D12" s="68">
        <v>797.45410000000004</v>
      </c>
      <c r="E12" s="68">
        <v>307.38929999999999</v>
      </c>
      <c r="F12" s="73">
        <v>33872.358</v>
      </c>
      <c r="G12" s="59">
        <v>15140.358</v>
      </c>
      <c r="H12" s="59">
        <v>0</v>
      </c>
      <c r="I12" s="73">
        <v>43611301.112566203</v>
      </c>
      <c r="J12" s="59">
        <v>12073740.5625678</v>
      </c>
      <c r="K12" s="59">
        <v>0</v>
      </c>
      <c r="L12" s="73">
        <v>10902825.278141551</v>
      </c>
      <c r="M12" s="59">
        <v>3018435.1406419505</v>
      </c>
      <c r="N12" s="59">
        <v>0</v>
      </c>
    </row>
    <row r="13" spans="1:14" x14ac:dyDescent="0.25">
      <c r="A13" s="63">
        <v>2024</v>
      </c>
      <c r="B13" s="76">
        <v>0.99</v>
      </c>
      <c r="C13" s="80">
        <v>1574.0309999999999</v>
      </c>
      <c r="D13" s="67">
        <v>857.88810000000001</v>
      </c>
      <c r="E13" s="67">
        <v>240.08780000000002</v>
      </c>
      <c r="F13" s="72">
        <v>46204.358</v>
      </c>
      <c r="G13" s="53">
        <v>15140.358</v>
      </c>
      <c r="H13" s="53">
        <v>0</v>
      </c>
      <c r="I13" s="72">
        <v>72727091.827097997</v>
      </c>
      <c r="J13" s="53">
        <v>12988732.9579398</v>
      </c>
      <c r="K13" s="53">
        <v>0</v>
      </c>
      <c r="L13" s="72">
        <v>18181772.956774499</v>
      </c>
      <c r="M13" s="53">
        <v>3247183.2394849495</v>
      </c>
      <c r="N13" s="53">
        <v>0</v>
      </c>
    </row>
  </sheetData>
  <conditionalFormatting sqref="J2:J13">
    <cfRule type="dataBar" priority="3">
      <dataBar>
        <cfvo type="min"/>
        <cfvo type="max"/>
        <color rgb="FF638EC6"/>
      </dataBar>
      <extLst>
        <ext xmlns:x14="http://schemas.microsoft.com/office/spreadsheetml/2009/9/main" uri="{B025F937-C7B1-47D3-B67F-A62EFF666E3E}">
          <x14:id>{B868A01F-1A49-4B38-A360-8155669D974A}</x14:id>
        </ext>
      </extLst>
    </cfRule>
  </conditionalFormatting>
  <conditionalFormatting sqref="M2:M13">
    <cfRule type="dataBar" priority="2">
      <dataBar>
        <cfvo type="min"/>
        <cfvo type="max"/>
        <color rgb="FF638EC6"/>
      </dataBar>
      <extLst>
        <ext xmlns:x14="http://schemas.microsoft.com/office/spreadsheetml/2009/9/main" uri="{B025F937-C7B1-47D3-B67F-A62EFF666E3E}">
          <x14:id>{74A85AC8-CEBA-4D7B-A418-EB24F68813BA}</x14:id>
        </ext>
      </extLst>
    </cfRule>
  </conditionalFormatting>
  <conditionalFormatting sqref="D2:D13">
    <cfRule type="dataBar" priority="1">
      <dataBar>
        <cfvo type="min"/>
        <cfvo type="max"/>
        <color rgb="FF638EC6"/>
      </dataBar>
      <extLst>
        <ext xmlns:x14="http://schemas.microsoft.com/office/spreadsheetml/2009/9/main" uri="{B025F937-C7B1-47D3-B67F-A62EFF666E3E}">
          <x14:id>{D1CF0D7F-2DF5-48D2-B224-B6E10DD01836}</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868A01F-1A49-4B38-A360-8155669D974A}">
            <x14:dataBar minLength="0" maxLength="100" gradient="0">
              <x14:cfvo type="autoMin"/>
              <x14:cfvo type="autoMax"/>
              <x14:negativeFillColor rgb="FFFF0000"/>
              <x14:axisColor rgb="FF000000"/>
            </x14:dataBar>
          </x14:cfRule>
          <xm:sqref>J2:J13</xm:sqref>
        </x14:conditionalFormatting>
        <x14:conditionalFormatting xmlns:xm="http://schemas.microsoft.com/office/excel/2006/main">
          <x14:cfRule type="dataBar" id="{74A85AC8-CEBA-4D7B-A418-EB24F68813BA}">
            <x14:dataBar minLength="0" maxLength="100" gradient="0">
              <x14:cfvo type="autoMin"/>
              <x14:cfvo type="autoMax"/>
              <x14:negativeFillColor rgb="FFFF0000"/>
              <x14:axisColor rgb="FF000000"/>
            </x14:dataBar>
          </x14:cfRule>
          <xm:sqref>M2:M13</xm:sqref>
        </x14:conditionalFormatting>
        <x14:conditionalFormatting xmlns:xm="http://schemas.microsoft.com/office/excel/2006/main">
          <x14:cfRule type="dataBar" id="{D1CF0D7F-2DF5-48D2-B224-B6E10DD01836}">
            <x14:dataBar minLength="0" maxLength="100" gradient="0">
              <x14:cfvo type="autoMin"/>
              <x14:cfvo type="autoMax"/>
              <x14:negativeFillColor rgb="FFFF0000"/>
              <x14:axisColor rgb="FF000000"/>
            </x14:dataBar>
          </x14:cfRule>
          <xm:sqref>D2:D13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55BD2-B441-40FD-B46E-1521C74BD1CC}">
  <dimension ref="A1:V51"/>
  <sheetViews>
    <sheetView workbookViewId="0">
      <selection sqref="A1:S3"/>
    </sheetView>
  </sheetViews>
  <sheetFormatPr defaultRowHeight="15" x14ac:dyDescent="0.25"/>
  <cols>
    <col min="1" max="1" width="13.42578125" bestFit="1" customWidth="1"/>
    <col min="2" max="2" width="15.42578125" bestFit="1" customWidth="1"/>
    <col min="3" max="3" width="14.5703125" bestFit="1" customWidth="1"/>
    <col min="4" max="4" width="14.85546875" bestFit="1" customWidth="1"/>
    <col min="5" max="5" width="39.28515625" bestFit="1" customWidth="1"/>
  </cols>
  <sheetData>
    <row r="1" spans="1:19" x14ac:dyDescent="0.25">
      <c r="A1" s="82" t="s">
        <v>88</v>
      </c>
      <c r="B1" s="82"/>
      <c r="C1" s="82"/>
      <c r="D1" s="82"/>
      <c r="E1" s="82"/>
      <c r="F1" s="82"/>
      <c r="G1" s="82"/>
      <c r="H1" s="82"/>
      <c r="I1" s="82"/>
      <c r="J1" s="82"/>
      <c r="K1" s="82"/>
      <c r="L1" s="82"/>
      <c r="M1" s="82"/>
      <c r="N1" s="82"/>
      <c r="O1" s="82"/>
      <c r="P1" s="82"/>
      <c r="Q1" s="82"/>
      <c r="R1" s="82"/>
      <c r="S1" s="82"/>
    </row>
    <row r="2" spans="1:19" x14ac:dyDescent="0.25">
      <c r="A2" s="82"/>
      <c r="B2" s="82"/>
      <c r="C2" s="82"/>
      <c r="D2" s="82"/>
      <c r="E2" s="82"/>
      <c r="F2" s="82"/>
      <c r="G2" s="82"/>
      <c r="H2" s="82"/>
      <c r="I2" s="82"/>
      <c r="J2" s="82"/>
      <c r="K2" s="82"/>
      <c r="L2" s="82"/>
      <c r="M2" s="82"/>
      <c r="N2" s="82"/>
      <c r="O2" s="82"/>
      <c r="P2" s="82"/>
      <c r="Q2" s="82"/>
      <c r="R2" s="82"/>
      <c r="S2" s="82"/>
    </row>
    <row r="3" spans="1:19" x14ac:dyDescent="0.25">
      <c r="A3" s="82"/>
      <c r="B3" s="82"/>
      <c r="C3" s="82"/>
      <c r="D3" s="82"/>
      <c r="E3" s="82"/>
      <c r="F3" s="82"/>
      <c r="G3" s="82"/>
      <c r="H3" s="82"/>
      <c r="I3" s="82"/>
      <c r="J3" s="82"/>
      <c r="K3" s="82"/>
      <c r="L3" s="82"/>
      <c r="M3" s="82"/>
      <c r="N3" s="82"/>
      <c r="O3" s="82"/>
      <c r="P3" s="82"/>
      <c r="Q3" s="82"/>
      <c r="R3" s="82"/>
      <c r="S3" s="82"/>
    </row>
    <row r="20" spans="20:22" x14ac:dyDescent="0.25">
      <c r="T20" t="s">
        <v>75</v>
      </c>
    </row>
    <row r="21" spans="20:22" x14ac:dyDescent="0.25">
      <c r="T21" s="90">
        <f>'Total Savings &amp; Total Costs Gra'!M69</f>
        <v>25</v>
      </c>
      <c r="U21" s="90"/>
    </row>
    <row r="22" spans="20:22" x14ac:dyDescent="0.25">
      <c r="T22" s="90"/>
      <c r="U22" s="90"/>
    </row>
    <row r="23" spans="20:22" x14ac:dyDescent="0.25">
      <c r="T23" s="90"/>
      <c r="U23" s="90"/>
    </row>
    <row r="24" spans="20:22" x14ac:dyDescent="0.25">
      <c r="T24" s="90"/>
      <c r="U24" s="90"/>
      <c r="V24" t="s">
        <v>69</v>
      </c>
    </row>
    <row r="42" spans="1:12" x14ac:dyDescent="0.25">
      <c r="A42" s="27" t="s">
        <v>31</v>
      </c>
      <c r="B42" t="s">
        <v>72</v>
      </c>
      <c r="C42" t="s">
        <v>73</v>
      </c>
      <c r="D42" t="s">
        <v>74</v>
      </c>
      <c r="E42" t="s">
        <v>77</v>
      </c>
      <c r="L42" t="s">
        <v>80</v>
      </c>
    </row>
    <row r="43" spans="1:12" x14ac:dyDescent="0.25">
      <c r="A43" s="28">
        <v>2021</v>
      </c>
      <c r="B43" s="37">
        <v>89906869.242148012</v>
      </c>
      <c r="C43" s="37">
        <v>41840739.918875493</v>
      </c>
      <c r="D43" s="37">
        <v>9886483.4371029995</v>
      </c>
      <c r="E43" s="37">
        <v>167362959.67550197</v>
      </c>
    </row>
    <row r="44" spans="1:12" x14ac:dyDescent="0.25">
      <c r="A44" s="29">
        <v>0.9</v>
      </c>
      <c r="B44" s="37">
        <v>89906869.242148012</v>
      </c>
      <c r="C44" s="37">
        <v>41840739.918875493</v>
      </c>
      <c r="D44" s="37">
        <v>9886483.4371029995</v>
      </c>
      <c r="E44" s="37">
        <v>167362959.67550197</v>
      </c>
    </row>
    <row r="45" spans="1:12" x14ac:dyDescent="0.25">
      <c r="A45" s="28">
        <v>2022</v>
      </c>
      <c r="B45" s="37">
        <v>108140743.93115999</v>
      </c>
      <c r="C45" s="37">
        <v>25249645.966814686</v>
      </c>
      <c r="D45" s="37">
        <v>0</v>
      </c>
      <c r="E45" s="37">
        <v>100998583.86725874</v>
      </c>
    </row>
    <row r="46" spans="1:12" x14ac:dyDescent="0.25">
      <c r="A46" s="29">
        <v>0.9</v>
      </c>
      <c r="B46" s="37">
        <v>108140743.93115999</v>
      </c>
      <c r="C46" s="37">
        <v>25249645.966814686</v>
      </c>
      <c r="D46" s="37">
        <v>0</v>
      </c>
      <c r="E46" s="37">
        <v>100998583.86725874</v>
      </c>
    </row>
    <row r="47" spans="1:12" x14ac:dyDescent="0.25">
      <c r="A47" s="28">
        <v>2023</v>
      </c>
      <c r="B47" s="37">
        <v>10656443.900736</v>
      </c>
      <c r="C47" s="37">
        <v>3948633.5234085</v>
      </c>
      <c r="D47" s="37">
        <v>446646.82220549998</v>
      </c>
      <c r="E47" s="37">
        <v>15794534.093634</v>
      </c>
    </row>
    <row r="48" spans="1:12" x14ac:dyDescent="0.25">
      <c r="A48" s="29">
        <v>0.9</v>
      </c>
      <c r="B48" s="37">
        <v>10656443.900736</v>
      </c>
      <c r="C48" s="37">
        <v>3948633.5234085</v>
      </c>
      <c r="D48" s="37">
        <v>446646.82220549998</v>
      </c>
      <c r="E48" s="37">
        <v>15794534.093634</v>
      </c>
    </row>
    <row r="49" spans="1:5" x14ac:dyDescent="0.25">
      <c r="A49" s="28">
        <v>2024</v>
      </c>
      <c r="B49" s="37">
        <v>8762926.7912292983</v>
      </c>
      <c r="C49" s="37">
        <v>2909259.9116487</v>
      </c>
      <c r="D49" s="37">
        <v>66262.728268100182</v>
      </c>
      <c r="E49" s="37">
        <v>11637039.6465948</v>
      </c>
    </row>
    <row r="50" spans="1:5" x14ac:dyDescent="0.25">
      <c r="A50" s="29">
        <v>0.9</v>
      </c>
      <c r="B50" s="37">
        <v>8762926.7912292983</v>
      </c>
      <c r="C50" s="37">
        <v>2909259.9116487</v>
      </c>
      <c r="D50" s="37">
        <v>66262.728268100182</v>
      </c>
      <c r="E50" s="37">
        <v>11637039.6465948</v>
      </c>
    </row>
    <row r="51" spans="1:5" x14ac:dyDescent="0.25">
      <c r="A51" s="28" t="s">
        <v>32</v>
      </c>
      <c r="B51" s="37">
        <v>217466983.86527333</v>
      </c>
      <c r="C51" s="37">
        <v>73948279.32074739</v>
      </c>
      <c r="D51" s="37">
        <v>10399392.9875766</v>
      </c>
      <c r="E51" s="37">
        <v>295793117.28298956</v>
      </c>
    </row>
  </sheetData>
  <mergeCells count="2">
    <mergeCell ref="A1:S3"/>
    <mergeCell ref="T21:U24"/>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Spinner 1">
              <controlPr defaultSize="0" autoPict="0">
                <anchor moveWithCells="1" sizeWithCells="1">
                  <from>
                    <xdr:col>19</xdr:col>
                    <xdr:colOff>123825</xdr:colOff>
                    <xdr:row>25</xdr:row>
                    <xdr:rowOff>9525</xdr:rowOff>
                  </from>
                  <to>
                    <xdr:col>21</xdr:col>
                    <xdr:colOff>314325</xdr:colOff>
                    <xdr:row>30</xdr:row>
                    <xdr:rowOff>104775</xdr:rowOff>
                  </to>
                </anchor>
              </controlPr>
            </control>
          </mc:Choice>
        </mc:AlternateContent>
        <mc:AlternateContent xmlns:mc="http://schemas.openxmlformats.org/markup-compatibility/2006">
          <mc:Choice Requires="x14">
            <control shapeId="15362" r:id="rId5" name="Button 2">
              <controlPr defaultSize="0" print="0" autoFill="0" autoPict="0" macro="[0]!Refresh">
                <anchor moveWithCells="1" sizeWithCells="1">
                  <from>
                    <xdr:col>19</xdr:col>
                    <xdr:colOff>285750</xdr:colOff>
                    <xdr:row>31</xdr:row>
                    <xdr:rowOff>180975</xdr:rowOff>
                  </from>
                  <to>
                    <xdr:col>21</xdr:col>
                    <xdr:colOff>476250</xdr:colOff>
                    <xdr:row>35</xdr:row>
                    <xdr:rowOff>142875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3A3E3-3E69-464E-B7C6-DEAAF6A566D9}">
  <dimension ref="A1:M43"/>
  <sheetViews>
    <sheetView tabSelected="1" workbookViewId="0">
      <selection activeCell="J34" sqref="J34"/>
    </sheetView>
  </sheetViews>
  <sheetFormatPr defaultRowHeight="15" x14ac:dyDescent="0.25"/>
  <cols>
    <col min="1" max="1" width="13.42578125" bestFit="1" customWidth="1"/>
    <col min="2" max="2" width="22" bestFit="1" customWidth="1"/>
    <col min="3" max="3" width="20.42578125" bestFit="1" customWidth="1"/>
    <col min="4" max="4" width="20.7109375" bestFit="1" customWidth="1"/>
    <col min="5" max="5" width="30.140625" bestFit="1" customWidth="1"/>
    <col min="6" max="6" width="11" bestFit="1" customWidth="1"/>
    <col min="7" max="7" width="9.7109375" bestFit="1" customWidth="1"/>
    <col min="8" max="8" width="15.28515625" bestFit="1" customWidth="1"/>
    <col min="9" max="9" width="14.28515625" bestFit="1" customWidth="1"/>
    <col min="10" max="10" width="13.7109375" bestFit="1" customWidth="1"/>
    <col min="11" max="12" width="18.28515625" bestFit="1" customWidth="1"/>
    <col min="13" max="13" width="17.140625" bestFit="1" customWidth="1"/>
  </cols>
  <sheetData>
    <row r="1" spans="1:13" ht="15" customHeight="1" x14ac:dyDescent="0.25">
      <c r="A1" s="82" t="s">
        <v>68</v>
      </c>
      <c r="B1" s="82"/>
      <c r="C1" s="82"/>
      <c r="D1" s="82"/>
      <c r="E1" s="82"/>
      <c r="F1" s="82"/>
      <c r="G1" s="82"/>
      <c r="H1" s="82"/>
      <c r="I1" s="82"/>
      <c r="J1" s="82"/>
      <c r="K1" s="82"/>
      <c r="L1" s="82"/>
      <c r="M1" s="82"/>
    </row>
    <row r="2" spans="1:13" ht="15" customHeight="1" x14ac:dyDescent="0.25">
      <c r="A2" s="82"/>
      <c r="B2" s="82"/>
      <c r="C2" s="82"/>
      <c r="D2" s="82"/>
      <c r="E2" s="82"/>
      <c r="F2" s="82"/>
      <c r="G2" s="82"/>
      <c r="H2" s="82"/>
      <c r="I2" s="82"/>
      <c r="J2" s="82"/>
      <c r="K2" s="82"/>
      <c r="L2" s="82"/>
      <c r="M2" s="82"/>
    </row>
    <row r="3" spans="1:13" ht="15" customHeight="1" x14ac:dyDescent="0.25">
      <c r="A3" s="82"/>
      <c r="B3" s="82"/>
      <c r="C3" s="82"/>
      <c r="D3" s="82"/>
      <c r="E3" s="82"/>
      <c r="F3" s="82"/>
      <c r="G3" s="82"/>
      <c r="H3" s="82"/>
      <c r="I3" s="82"/>
      <c r="J3" s="82"/>
      <c r="K3" s="82"/>
      <c r="L3" s="82"/>
      <c r="M3" s="82"/>
    </row>
    <row r="12" spans="1:13" x14ac:dyDescent="0.25">
      <c r="L12" t="s">
        <v>75</v>
      </c>
    </row>
    <row r="13" spans="1:13" x14ac:dyDescent="0.25">
      <c r="L13" s="103">
        <f>L39</f>
        <v>25</v>
      </c>
    </row>
    <row r="14" spans="1:13" x14ac:dyDescent="0.25">
      <c r="L14" s="103"/>
    </row>
    <row r="15" spans="1:13" x14ac:dyDescent="0.25">
      <c r="L15" s="103"/>
    </row>
    <row r="16" spans="1:13" x14ac:dyDescent="0.25">
      <c r="L16" s="103"/>
      <c r="M16" t="s">
        <v>69</v>
      </c>
    </row>
    <row r="33" spans="1:13" x14ac:dyDescent="0.25">
      <c r="A33" s="27" t="s">
        <v>31</v>
      </c>
      <c r="B33" t="s">
        <v>92</v>
      </c>
      <c r="C33" t="s">
        <v>93</v>
      </c>
      <c r="D33" t="s">
        <v>94</v>
      </c>
      <c r="E33" t="s">
        <v>95</v>
      </c>
      <c r="G33" s="102" t="s">
        <v>90</v>
      </c>
      <c r="H33" s="101" t="s">
        <v>91</v>
      </c>
    </row>
    <row r="34" spans="1:13" x14ac:dyDescent="0.25">
      <c r="A34" s="100">
        <v>0.9</v>
      </c>
      <c r="B34" s="37">
        <v>142352866.25604603</v>
      </c>
      <c r="C34" s="37">
        <v>73889241.109199986</v>
      </c>
      <c r="D34" s="37">
        <v>25885993.160422336</v>
      </c>
      <c r="E34" s="37">
        <v>295556964.43679994</v>
      </c>
    </row>
    <row r="35" spans="1:13" x14ac:dyDescent="0.25">
      <c r="A35" s="100">
        <v>0.95</v>
      </c>
      <c r="B35" s="37">
        <v>159268796.02697003</v>
      </c>
      <c r="C35" s="37">
        <v>74469037.414199993</v>
      </c>
      <c r="D35" s="37">
        <v>18884335.196145311</v>
      </c>
      <c r="E35" s="37">
        <v>297876149.65679997</v>
      </c>
    </row>
    <row r="36" spans="1:13" x14ac:dyDescent="0.25">
      <c r="A36" s="100">
        <v>0.99</v>
      </c>
      <c r="B36" s="37">
        <v>196341475.70810023</v>
      </c>
      <c r="C36" s="37">
        <v>75814164.841800004</v>
      </c>
      <c r="D36" s="37">
        <v>6560865.3179790489</v>
      </c>
      <c r="E36" s="37">
        <v>303256659.36720002</v>
      </c>
    </row>
    <row r="37" spans="1:13" x14ac:dyDescent="0.25">
      <c r="A37" s="100" t="s">
        <v>32</v>
      </c>
      <c r="B37" s="37">
        <v>497963137.99111629</v>
      </c>
      <c r="C37" s="37">
        <v>224172443.36519998</v>
      </c>
      <c r="D37" s="37">
        <v>51331193.674546704</v>
      </c>
      <c r="E37" s="37">
        <v>896689773.46079993</v>
      </c>
    </row>
    <row r="39" spans="1:13" x14ac:dyDescent="0.25">
      <c r="K39" t="s">
        <v>86</v>
      </c>
      <c r="L39">
        <v>25</v>
      </c>
      <c r="M39" t="s">
        <v>69</v>
      </c>
    </row>
    <row r="40" spans="1:13" x14ac:dyDescent="0.25">
      <c r="A40" t="s">
        <v>16</v>
      </c>
      <c r="B40" t="s">
        <v>10</v>
      </c>
      <c r="C40" t="s">
        <v>81</v>
      </c>
      <c r="D40" t="s">
        <v>12</v>
      </c>
      <c r="E40" t="s">
        <v>82</v>
      </c>
      <c r="F40" t="s">
        <v>83</v>
      </c>
      <c r="G40" t="s">
        <v>84</v>
      </c>
      <c r="H40" t="s">
        <v>61</v>
      </c>
      <c r="I40" t="s">
        <v>85</v>
      </c>
      <c r="J40" t="s">
        <v>63</v>
      </c>
      <c r="K40" t="s">
        <v>87</v>
      </c>
      <c r="L40" t="s">
        <v>73</v>
      </c>
      <c r="M40" t="s">
        <v>74</v>
      </c>
    </row>
    <row r="41" spans="1:13" x14ac:dyDescent="0.25">
      <c r="A41" s="24">
        <v>0.9</v>
      </c>
      <c r="B41" s="11">
        <v>64272.01221574645</v>
      </c>
      <c r="C41" s="11">
        <f>AVERAGE(B41,D41)</f>
        <v>42167.003999999994</v>
      </c>
      <c r="D41" s="11">
        <v>20061.995784253537</v>
      </c>
      <c r="E41" s="10">
        <v>8859.4</v>
      </c>
      <c r="F41" s="10">
        <v>7009.2</v>
      </c>
      <c r="G41" s="10">
        <v>5161.2</v>
      </c>
      <c r="H41" s="98">
        <f>Table1[[#This Row],[Upper]]*Table1[[#This Row],[Upper'#]]</f>
        <v>569411465.02418411</v>
      </c>
      <c r="I41" s="98">
        <f>Table1[[#This Row],[Midline]]*Table1[[#This Row],[Midline'#]]</f>
        <v>295556964.43679994</v>
      </c>
      <c r="J41" s="98">
        <f>Table1[[#This Row],[Lower]]*Table1[[#This Row],[Lower'#]]</f>
        <v>103543972.64168935</v>
      </c>
      <c r="K41" s="98">
        <f>Table1[[#This Row],[Upper Total]]*$L$39/100</f>
        <v>142352866.25604603</v>
      </c>
      <c r="L41" s="98">
        <f>Table1[[#This Row],[Middle Total]]*$L$39/100</f>
        <v>73889241.109199986</v>
      </c>
      <c r="M41" s="98">
        <f>Table1[[#This Row],[Lower Total]]*$L$39/100</f>
        <v>25885993.160422336</v>
      </c>
    </row>
    <row r="42" spans="1:13" x14ac:dyDescent="0.25">
      <c r="A42" s="24">
        <v>0.95</v>
      </c>
      <c r="B42" s="11">
        <v>68832.809398608399</v>
      </c>
      <c r="C42" s="11">
        <f t="shared" ref="C42:C43" si="0">AVERAGE(B42,D42)</f>
        <v>42167.004000000001</v>
      </c>
      <c r="D42" s="11">
        <v>15501.198601391596</v>
      </c>
      <c r="E42" s="10">
        <v>9255.4</v>
      </c>
      <c r="F42" s="10">
        <v>7064.2</v>
      </c>
      <c r="G42" s="10">
        <v>4873</v>
      </c>
      <c r="H42" s="42">
        <f>Table1[[#This Row],[Upper]]*Table1[[#This Row],[Upper'#]]</f>
        <v>637075184.10788012</v>
      </c>
      <c r="I42" s="42">
        <f>Table1[[#This Row],[Midline]]*Table1[[#This Row],[Midline'#]]</f>
        <v>297876149.65679997</v>
      </c>
      <c r="J42" s="42">
        <f>Table1[[#This Row],[Lower]]*Table1[[#This Row],[Lower'#]]</f>
        <v>75537340.784581244</v>
      </c>
      <c r="K42" s="42">
        <f>Table1[[#This Row],[Upper Total]]*$L$39/100</f>
        <v>159268796.02697003</v>
      </c>
      <c r="L42" s="42">
        <f>Table1[[#This Row],[Middle Total]]*$L$39/100</f>
        <v>74469037.414199993</v>
      </c>
      <c r="M42" s="42">
        <f>Table1[[#This Row],[Lower Total]]*$L$39/100</f>
        <v>18884335.196145311</v>
      </c>
    </row>
    <row r="43" spans="1:13" x14ac:dyDescent="0.25">
      <c r="A43" s="24">
        <v>0.99</v>
      </c>
      <c r="B43" s="11">
        <v>78303.246608347225</v>
      </c>
      <c r="C43" s="11">
        <f t="shared" si="0"/>
        <v>42167.004000000001</v>
      </c>
      <c r="D43" s="11">
        <v>6030.7613916527698</v>
      </c>
      <c r="E43" s="23">
        <v>10029.800000000001</v>
      </c>
      <c r="F43" s="23">
        <v>7191.8</v>
      </c>
      <c r="G43" s="23">
        <v>4351.6000000000004</v>
      </c>
      <c r="H43" s="99">
        <f>Table1[[#This Row],[Upper]]*Table1[[#This Row],[Upper'#]]</f>
        <v>785365902.83240104</v>
      </c>
      <c r="I43" s="99">
        <f>Table1[[#This Row],[Midline]]*Table1[[#This Row],[Midline'#]]</f>
        <v>303256659.36720002</v>
      </c>
      <c r="J43" s="99">
        <f>Table1[[#This Row],[Lower]]*Table1[[#This Row],[Lower'#]]</f>
        <v>26243461.271916196</v>
      </c>
      <c r="K43" s="99">
        <f>Table1[[#This Row],[Upper Total]]*$L$39/100</f>
        <v>196341475.70810023</v>
      </c>
      <c r="L43" s="99">
        <f>Table1[[#This Row],[Middle Total]]*$L$39/100</f>
        <v>75814164.841800004</v>
      </c>
      <c r="M43" s="99">
        <f>Table1[[#This Row],[Lower Total]]*$L$39/100</f>
        <v>6560865.3179790489</v>
      </c>
    </row>
  </sheetData>
  <mergeCells count="2">
    <mergeCell ref="A1:M3"/>
    <mergeCell ref="L13:L16"/>
  </mergeCells>
  <phoneticPr fontId="8"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81" r:id="rId4" name="Spinner 1">
              <controlPr defaultSize="0" autoPict="0">
                <anchor moveWithCells="1" sizeWithCells="1">
                  <from>
                    <xdr:col>11</xdr:col>
                    <xdr:colOff>161925</xdr:colOff>
                    <xdr:row>17</xdr:row>
                    <xdr:rowOff>152400</xdr:rowOff>
                  </from>
                  <to>
                    <xdr:col>12</xdr:col>
                    <xdr:colOff>885825</xdr:colOff>
                    <xdr:row>23</xdr:row>
                    <xdr:rowOff>0</xdr:rowOff>
                  </to>
                </anchor>
              </controlPr>
            </control>
          </mc:Choice>
        </mc:AlternateContent>
        <mc:AlternateContent xmlns:mc="http://schemas.openxmlformats.org/markup-compatibility/2006">
          <mc:Choice Requires="x14">
            <control shapeId="20482" r:id="rId5" name="Button 2">
              <controlPr defaultSize="0" print="0" autoFill="0" autoPict="0" macro="[0]!Refresh">
                <anchor moveWithCells="1" sizeWithCells="1">
                  <from>
                    <xdr:col>11</xdr:col>
                    <xdr:colOff>523875</xdr:colOff>
                    <xdr:row>24</xdr:row>
                    <xdr:rowOff>123825</xdr:rowOff>
                  </from>
                  <to>
                    <xdr:col>12</xdr:col>
                    <xdr:colOff>714375</xdr:colOff>
                    <xdr:row>27</xdr:row>
                    <xdr:rowOff>95250</xdr:rowOff>
                  </to>
                </anchor>
              </controlPr>
            </control>
          </mc:Choice>
        </mc:AlternateContent>
      </controls>
    </mc:Choice>
  </mc:AlternateContent>
  <tableParts count="1">
    <tablePart r:id="rId6"/>
  </tableParts>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vt:lpstr>
      <vt:lpstr>Invalid PO Pivot Table</vt:lpstr>
      <vt:lpstr>Confidence Int - Cost Per Oder</vt:lpstr>
      <vt:lpstr>Confidence Intervals - PO</vt:lpstr>
      <vt:lpstr># Retroactive PO Graph &amp; Table</vt:lpstr>
      <vt:lpstr>Savings Per Order Graph</vt:lpstr>
      <vt:lpstr>Total Savings &amp; Total Costs Gra</vt:lpstr>
      <vt:lpstr>BiTable</vt:lpstr>
      <vt:lpstr>Total Yearly Savings Graph</vt:lpstr>
      <vt:lpstr>Total Savings Graph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Brody Blanchard</dc:creator>
  <cp:lastModifiedBy>Brody Blanchard</cp:lastModifiedBy>
  <dcterms:created xsi:type="dcterms:W3CDTF">2025-06-18T18:54:28Z</dcterms:created>
  <dcterms:modified xsi:type="dcterms:W3CDTF">2025-07-01T22:30:58Z</dcterms:modified>
</cp:coreProperties>
</file>