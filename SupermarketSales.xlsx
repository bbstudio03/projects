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tus/Documents/Education/OLD/Business Analytics/W4/"/>
    </mc:Choice>
  </mc:AlternateContent>
  <xr:revisionPtr revIDLastSave="0" documentId="13_ncr:1_{5096B273-BCB4-E34C-98DF-C7D0C2DB6B93}" xr6:coauthVersionLast="47" xr6:coauthVersionMax="47" xr10:uidLastSave="{00000000-0000-0000-0000-000000000000}"/>
  <bookViews>
    <workbookView xWindow="-36160" yWindow="-1040" windowWidth="33400" windowHeight="14240" activeTab="2" xr2:uid="{7B3BFDF8-2E34-4326-A634-FF9AAE941DF2}"/>
  </bookViews>
  <sheets>
    <sheet name="F24 Category example supermarke" sheetId="1" r:id="rId1"/>
    <sheet name="Pivot GI by Date" sheetId="3" r:id="rId2"/>
    <sheet name="Pivot GI by Age" sheetId="4" r:id="rId3"/>
    <sheet name="Dictionaries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" l="1"/>
  <c r="S1" i="1"/>
  <c r="T1" i="1"/>
  <c r="U1" i="1"/>
  <c r="R2" i="1"/>
  <c r="S2" i="1"/>
  <c r="T2" i="1"/>
  <c r="U2" i="1"/>
  <c r="R3" i="1"/>
  <c r="S3" i="1"/>
  <c r="T3" i="1"/>
  <c r="U3" i="1"/>
  <c r="Q3" i="1"/>
  <c r="Q2" i="1"/>
  <c r="Q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F16" i="1"/>
  <c r="F29" i="1"/>
  <c r="F64" i="1"/>
  <c r="F65" i="1"/>
  <c r="F69" i="1"/>
  <c r="F88" i="1"/>
  <c r="F101" i="1"/>
  <c r="F113" i="1"/>
  <c r="F124" i="1"/>
  <c r="F125" i="1"/>
  <c r="F129" i="1"/>
  <c r="F148" i="1"/>
  <c r="F149" i="1"/>
  <c r="F153" i="1"/>
  <c r="F160" i="1"/>
  <c r="F173" i="1"/>
  <c r="F184" i="1"/>
  <c r="F208" i="1"/>
  <c r="F209" i="1"/>
  <c r="F213" i="1"/>
  <c r="F233" i="1"/>
  <c r="F244" i="1"/>
  <c r="F245" i="1"/>
  <c r="F257" i="1"/>
  <c r="F268" i="1"/>
  <c r="F292" i="1"/>
  <c r="F293" i="1"/>
  <c r="F297" i="1"/>
  <c r="F304" i="1"/>
  <c r="F328" i="1"/>
  <c r="F329" i="1"/>
  <c r="F333" i="1"/>
  <c r="F352" i="1"/>
  <c r="F353" i="1"/>
  <c r="F357" i="1"/>
  <c r="F377" i="1"/>
  <c r="F388" i="1"/>
  <c r="F389" i="1"/>
  <c r="F401" i="1"/>
  <c r="F410" i="1"/>
  <c r="F413" i="1"/>
  <c r="F425" i="1"/>
  <c r="F436" i="1"/>
  <c r="F437" i="1"/>
  <c r="F441" i="1"/>
  <c r="F446" i="1"/>
  <c r="F472" i="1"/>
  <c r="F473" i="1"/>
  <c r="F477" i="1"/>
  <c r="F496" i="1"/>
  <c r="F520" i="1"/>
  <c r="F521" i="1"/>
  <c r="F532" i="1"/>
  <c r="F533" i="1"/>
  <c r="F557" i="1"/>
  <c r="F569" i="1"/>
  <c r="F580" i="1"/>
  <c r="F581" i="1"/>
  <c r="F605" i="1"/>
  <c r="F616" i="1"/>
  <c r="F617" i="1"/>
  <c r="F621" i="1"/>
  <c r="F638" i="1"/>
  <c r="F641" i="1"/>
  <c r="F664" i="1"/>
  <c r="F665" i="1"/>
  <c r="F676" i="1"/>
  <c r="F689" i="1"/>
  <c r="F700" i="1"/>
  <c r="F701" i="1"/>
  <c r="F705" i="1"/>
  <c r="F713" i="1"/>
  <c r="F736" i="1"/>
  <c r="F749" i="1"/>
  <c r="F760" i="1"/>
  <c r="F761" i="1"/>
  <c r="F808" i="1"/>
  <c r="F809" i="1"/>
  <c r="F818" i="1"/>
  <c r="F821" i="1"/>
  <c r="F844" i="1"/>
  <c r="F845" i="1"/>
  <c r="F849" i="1"/>
  <c r="F857" i="1"/>
  <c r="F868" i="1"/>
  <c r="F880" i="1"/>
  <c r="F893" i="1"/>
  <c r="F928" i="1"/>
  <c r="F929" i="1"/>
  <c r="F933" i="1"/>
  <c r="F952" i="1"/>
  <c r="F977" i="1"/>
  <c r="F988" i="1"/>
  <c r="F989" i="1"/>
  <c r="F993" i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E65" i="1"/>
  <c r="E66" i="1"/>
  <c r="F66" i="1" s="1"/>
  <c r="E67" i="1"/>
  <c r="F67" i="1" s="1"/>
  <c r="E68" i="1"/>
  <c r="F68" i="1" s="1"/>
  <c r="E69" i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E125" i="1"/>
  <c r="E126" i="1"/>
  <c r="F126" i="1" s="1"/>
  <c r="E127" i="1"/>
  <c r="F127" i="1" s="1"/>
  <c r="E128" i="1"/>
  <c r="F128" i="1" s="1"/>
  <c r="E129" i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E149" i="1"/>
  <c r="E150" i="1"/>
  <c r="F150" i="1" s="1"/>
  <c r="E151" i="1"/>
  <c r="F151" i="1" s="1"/>
  <c r="E152" i="1"/>
  <c r="F152" i="1" s="1"/>
  <c r="E153" i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E209" i="1"/>
  <c r="E210" i="1"/>
  <c r="F210" i="1" s="1"/>
  <c r="E211" i="1"/>
  <c r="F211" i="1" s="1"/>
  <c r="E212" i="1"/>
  <c r="F212" i="1" s="1"/>
  <c r="E213" i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E245" i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E293" i="1"/>
  <c r="E294" i="1"/>
  <c r="F294" i="1" s="1"/>
  <c r="E295" i="1"/>
  <c r="F295" i="1" s="1"/>
  <c r="E296" i="1"/>
  <c r="F296" i="1" s="1"/>
  <c r="E297" i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E329" i="1"/>
  <c r="E330" i="1"/>
  <c r="F330" i="1" s="1"/>
  <c r="E331" i="1"/>
  <c r="F331" i="1" s="1"/>
  <c r="E332" i="1"/>
  <c r="F332" i="1" s="1"/>
  <c r="E333" i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E353" i="1"/>
  <c r="E354" i="1"/>
  <c r="F354" i="1" s="1"/>
  <c r="E355" i="1"/>
  <c r="F355" i="1" s="1"/>
  <c r="E356" i="1"/>
  <c r="F356" i="1" s="1"/>
  <c r="E357" i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E389" i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E411" i="1"/>
  <c r="F411" i="1" s="1"/>
  <c r="E412" i="1"/>
  <c r="F412" i="1" s="1"/>
  <c r="E413" i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E437" i="1"/>
  <c r="E438" i="1"/>
  <c r="F438" i="1" s="1"/>
  <c r="E439" i="1"/>
  <c r="F439" i="1" s="1"/>
  <c r="E440" i="1"/>
  <c r="F440" i="1" s="1"/>
  <c r="E441" i="1"/>
  <c r="E442" i="1"/>
  <c r="F442" i="1" s="1"/>
  <c r="E443" i="1"/>
  <c r="F443" i="1" s="1"/>
  <c r="E444" i="1"/>
  <c r="F444" i="1" s="1"/>
  <c r="E445" i="1"/>
  <c r="F445" i="1" s="1"/>
  <c r="E446" i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E473" i="1"/>
  <c r="E474" i="1"/>
  <c r="F474" i="1" s="1"/>
  <c r="E475" i="1"/>
  <c r="F475" i="1" s="1"/>
  <c r="E476" i="1"/>
  <c r="F476" i="1" s="1"/>
  <c r="E477" i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E521" i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E533" i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E581" i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E617" i="1"/>
  <c r="E618" i="1"/>
  <c r="F618" i="1" s="1"/>
  <c r="E619" i="1"/>
  <c r="F619" i="1" s="1"/>
  <c r="E620" i="1"/>
  <c r="F620" i="1" s="1"/>
  <c r="E621" i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E639" i="1"/>
  <c r="F639" i="1" s="1"/>
  <c r="E640" i="1"/>
  <c r="F640" i="1" s="1"/>
  <c r="E641" i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E665" i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E701" i="1"/>
  <c r="E702" i="1"/>
  <c r="F702" i="1" s="1"/>
  <c r="E703" i="1"/>
  <c r="F703" i="1" s="1"/>
  <c r="E704" i="1"/>
  <c r="F704" i="1" s="1"/>
  <c r="E705" i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E761" i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E809" i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E819" i="1"/>
  <c r="F819" i="1" s="1"/>
  <c r="E820" i="1"/>
  <c r="F820" i="1" s="1"/>
  <c r="E821" i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E845" i="1"/>
  <c r="E846" i="1"/>
  <c r="F846" i="1" s="1"/>
  <c r="E847" i="1"/>
  <c r="F847" i="1" s="1"/>
  <c r="E848" i="1"/>
  <c r="F848" i="1" s="1"/>
  <c r="E849" i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E929" i="1"/>
  <c r="E930" i="1"/>
  <c r="F930" i="1" s="1"/>
  <c r="E931" i="1"/>
  <c r="F931" i="1" s="1"/>
  <c r="E932" i="1"/>
  <c r="F932" i="1" s="1"/>
  <c r="E933" i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E989" i="1"/>
  <c r="E990" i="1"/>
  <c r="F990" i="1" s="1"/>
  <c r="E991" i="1"/>
  <c r="F991" i="1" s="1"/>
  <c r="E992" i="1"/>
  <c r="F992" i="1" s="1"/>
  <c r="E993" i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D4" i="3" l="1" a="1"/>
  <c r="D4" i="3" l="1"/>
  <c r="E4" i="3" s="1"/>
  <c r="E5" i="3"/>
  <c r="E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<sst xmlns="http://schemas.openxmlformats.org/spreadsheetml/2006/main" count="7067" uniqueCount="1081">
  <si>
    <t>Invoice ID</t>
  </si>
  <si>
    <t>Branch</t>
  </si>
  <si>
    <t>City</t>
  </si>
  <si>
    <t>Customer type</t>
  </si>
  <si>
    <t>Gender</t>
  </si>
  <si>
    <t>Age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</si>
  <si>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</si>
  <si>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</si>
  <si>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</si>
  <si>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</si>
  <si>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</si>
  <si>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</si>
  <si>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</si>
  <si>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</si>
  <si>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</si>
  <si>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</si>
  <si>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</si>
  <si>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</si>
  <si>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</si>
  <si>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</si>
  <si>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</si>
  <si>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</si>
  <si>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</si>
  <si>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</si>
  <si>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</si>
  <si>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</si>
  <si>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</si>
  <si>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</si>
  <si>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</si>
  <si>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</si>
  <si>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</si>
  <si>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</si>
  <si>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</si>
  <si>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</si>
  <si>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</si>
  <si>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</si>
  <si>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</si>
  <si>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</si>
  <si>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</si>
  <si>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</si>
  <si>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</si>
  <si>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</si>
  <si>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</si>
  <si>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</si>
  <si>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</si>
  <si>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</si>
  <si>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</si>
  <si>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</si>
  <si>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</si>
  <si>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</si>
  <si>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</si>
  <si>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</si>
  <si>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</si>
  <si>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</si>
  <si>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</si>
  <si>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</si>
  <si>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</si>
  <si>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</si>
  <si>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</si>
  <si>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</si>
  <si>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</si>
  <si>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</si>
  <si>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</si>
  <si>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</si>
  <si>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</si>
  <si>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</si>
  <si>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</si>
  <si>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</si>
  <si>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</si>
  <si>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</si>
  <si>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</si>
  <si>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</si>
  <si>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</si>
  <si>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</si>
  <si>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</si>
  <si>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</si>
  <si>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</si>
  <si>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</si>
  <si>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</si>
  <si>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</si>
  <si>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</si>
  <si>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</si>
  <si>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</si>
  <si>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</si>
  <si>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</si>
  <si>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</si>
  <si>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</si>
  <si>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</si>
  <si>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</si>
  <si>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</si>
  <si>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</si>
  <si>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</si>
  <si>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</si>
  <si>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</si>
  <si>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</si>
  <si>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</si>
  <si>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</si>
  <si>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</si>
  <si>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</si>
  <si>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</si>
  <si>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</si>
  <si>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</si>
  <si>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</si>
  <si>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</si>
  <si>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</si>
  <si>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</si>
  <si>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</si>
  <si>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</si>
  <si>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</si>
  <si>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</si>
  <si>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</si>
  <si>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</si>
  <si>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</si>
  <si>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</si>
  <si>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</si>
  <si>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</si>
  <si>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</si>
  <si>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</si>
  <si>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</si>
  <si>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</si>
  <si>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</si>
  <si>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</si>
  <si>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</si>
  <si>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</si>
  <si>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</si>
  <si>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</si>
  <si>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</si>
  <si>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</si>
  <si>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</si>
  <si>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</si>
  <si>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</si>
  <si>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</si>
  <si>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</si>
  <si>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</si>
  <si>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</si>
  <si>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</si>
  <si>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</si>
  <si>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</si>
  <si>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</si>
  <si>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</si>
  <si>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</si>
  <si>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</si>
  <si>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</si>
  <si>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</si>
  <si>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</si>
  <si>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</si>
  <si>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</si>
  <si>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</si>
  <si>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</si>
  <si>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</si>
  <si>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</si>
  <si>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</si>
  <si>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</si>
  <si>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</si>
  <si>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</si>
  <si>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</si>
  <si>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</si>
  <si>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</si>
  <si>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</si>
  <si>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</si>
  <si>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</si>
  <si>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</si>
  <si>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</si>
  <si>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</si>
  <si>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</si>
  <si>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</si>
  <si>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</si>
  <si>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</si>
  <si>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</si>
  <si>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</si>
  <si>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</si>
  <si>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</si>
  <si>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</si>
  <si>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</si>
  <si>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</si>
  <si>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</si>
  <si>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</si>
  <si>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</si>
  <si>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</si>
  <si>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</si>
  <si>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</si>
  <si>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</si>
  <si>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</si>
  <si>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</si>
  <si>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</si>
  <si>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</si>
  <si>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</si>
  <si>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</si>
  <si>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</si>
  <si>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</si>
  <si>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</si>
  <si>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</si>
  <si>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</si>
  <si>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</si>
  <si>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</si>
  <si>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</si>
  <si>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</si>
  <si>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</si>
  <si>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</si>
  <si>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</si>
  <si>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</si>
  <si>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</si>
  <si>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</si>
  <si>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</si>
  <si>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</si>
  <si>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</si>
  <si>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</si>
  <si>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</si>
  <si>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</si>
  <si>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</si>
  <si>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</si>
  <si>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</si>
  <si>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</si>
  <si>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</si>
  <si>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</si>
  <si>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</si>
  <si>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</si>
  <si>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</si>
  <si>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</si>
  <si>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</si>
  <si>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</si>
  <si>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</si>
  <si>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</si>
  <si>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</si>
  <si>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</si>
  <si>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</si>
  <si>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</si>
  <si>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</si>
  <si>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</si>
  <si>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</si>
  <si>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</si>
  <si>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</si>
  <si>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</si>
  <si>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</si>
  <si>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</si>
  <si>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</si>
  <si>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</si>
  <si>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</si>
  <si>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</si>
  <si>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</si>
  <si>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</si>
  <si>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</si>
  <si>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</si>
  <si>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</si>
  <si>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</si>
  <si>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</si>
  <si>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</si>
  <si>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</si>
  <si>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</si>
  <si>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</si>
  <si>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</si>
  <si>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</si>
  <si>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</si>
  <si>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</si>
  <si>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</si>
  <si>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</si>
  <si>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</si>
  <si>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</si>
  <si>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</si>
  <si>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</si>
  <si>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</si>
  <si>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</si>
  <si>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</si>
  <si>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</si>
  <si>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</si>
  <si>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</si>
  <si>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</si>
  <si>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</si>
  <si>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</si>
  <si>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</si>
  <si>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</si>
  <si>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</si>
  <si>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</si>
  <si>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</si>
  <si>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</si>
  <si>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</si>
  <si>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</si>
  <si>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</si>
  <si>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</si>
  <si>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</si>
  <si>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</si>
  <si>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</si>
  <si>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</si>
  <si>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</si>
  <si>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</si>
  <si>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</si>
  <si>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</si>
  <si>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</si>
  <si>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</si>
  <si>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</si>
  <si>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</si>
  <si>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</si>
  <si>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</si>
  <si>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</si>
  <si>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</si>
  <si>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</si>
  <si>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</si>
  <si>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</si>
  <si>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</si>
  <si>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</si>
  <si>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</si>
  <si>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</si>
  <si>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</si>
  <si>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</si>
  <si>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</si>
  <si>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</si>
  <si>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</si>
  <si>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</si>
  <si>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</si>
  <si>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</si>
  <si>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</si>
  <si>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</si>
  <si>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</si>
  <si>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</si>
  <si>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</si>
  <si>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</si>
  <si>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</si>
  <si>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</si>
  <si>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</si>
  <si>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</si>
  <si>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</si>
  <si>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</si>
  <si>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</si>
  <si>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</si>
  <si>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</si>
  <si>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</si>
  <si>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</si>
  <si>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</si>
  <si>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</si>
  <si>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</si>
  <si>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</si>
  <si>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</si>
  <si>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</si>
  <si>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</si>
  <si>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</si>
  <si>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</si>
  <si>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</si>
  <si>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</si>
  <si>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</si>
  <si>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</si>
  <si>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</si>
  <si>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</si>
  <si>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</si>
  <si>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</si>
  <si>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</si>
  <si>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</si>
  <si>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</si>
  <si>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</si>
  <si>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</si>
  <si>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</si>
  <si>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</si>
  <si>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</si>
  <si>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</si>
  <si>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</si>
  <si>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</si>
  <si>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</si>
  <si>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</si>
  <si>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</si>
  <si>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</si>
  <si>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</si>
  <si>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</si>
  <si>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</si>
  <si>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</si>
  <si>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</si>
  <si>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</si>
  <si>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</si>
  <si>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</si>
  <si>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</si>
  <si>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</si>
  <si>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</si>
  <si>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</si>
  <si>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</si>
  <si>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</si>
  <si>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</si>
  <si>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</si>
  <si>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</si>
  <si>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</si>
  <si>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</si>
  <si>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</si>
  <si>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</si>
  <si>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</si>
  <si>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</si>
  <si>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</si>
  <si>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</si>
  <si>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</si>
  <si>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</si>
  <si>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</si>
  <si>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</si>
  <si>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</si>
  <si>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</si>
  <si>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</si>
  <si>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</si>
  <si>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</si>
  <si>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</si>
  <si>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</si>
  <si>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</si>
  <si>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</si>
  <si>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</si>
  <si>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</si>
  <si>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</si>
  <si>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</si>
  <si>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</si>
  <si>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</si>
  <si>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</si>
  <si>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</si>
  <si>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</si>
  <si>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</si>
  <si>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</si>
  <si>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</si>
  <si>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</si>
  <si>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</si>
  <si>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</si>
  <si>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</si>
  <si>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</si>
  <si>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</si>
  <si>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</si>
  <si>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</si>
  <si>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</si>
  <si>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</si>
  <si>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</si>
  <si>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</si>
  <si>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</si>
  <si>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</si>
  <si>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</si>
  <si>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</si>
  <si>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</si>
  <si>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</si>
  <si>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</si>
  <si>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</si>
  <si>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</si>
  <si>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</si>
  <si>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</si>
  <si>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</si>
  <si>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</si>
  <si>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</si>
  <si>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</si>
  <si>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</si>
  <si>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</si>
  <si>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</si>
  <si>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</si>
  <si>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</si>
  <si>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</si>
  <si>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</si>
  <si>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</si>
  <si>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</si>
  <si>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</si>
  <si>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</si>
  <si>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</si>
  <si>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</si>
  <si>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</si>
  <si>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</si>
  <si>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</si>
  <si>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</si>
  <si>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</si>
  <si>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</si>
  <si>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</si>
  <si>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</si>
  <si>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</si>
  <si>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</si>
  <si>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</si>
  <si>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</si>
  <si>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</si>
  <si>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</si>
  <si>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</si>
  <si>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</si>
  <si>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</si>
  <si>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</si>
  <si>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</si>
  <si>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</si>
  <si>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</si>
  <si>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</si>
  <si>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</si>
  <si>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</si>
  <si>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</si>
  <si>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</si>
  <si>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</si>
  <si>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</si>
  <si>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</si>
  <si>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</si>
  <si>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</si>
  <si>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</si>
  <si>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</si>
  <si>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</si>
  <si>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</si>
  <si>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</si>
  <si>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</si>
  <si>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</si>
  <si>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</si>
  <si>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</si>
  <si>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</si>
  <si>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</si>
  <si>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</si>
  <si>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</si>
  <si>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</si>
  <si>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</si>
  <si>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</si>
  <si>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</si>
  <si>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</si>
  <si>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</si>
  <si>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</si>
  <si>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</si>
  <si>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</si>
  <si>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</si>
  <si>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</si>
  <si>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</si>
  <si>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</si>
  <si>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</si>
  <si>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</si>
  <si>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</si>
  <si>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</si>
  <si>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</si>
  <si>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</si>
  <si>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</si>
  <si>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</si>
  <si>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</si>
  <si>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</si>
  <si>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</si>
  <si>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</si>
  <si>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</si>
  <si>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</si>
  <si>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</si>
  <si>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</si>
  <si>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</si>
  <si>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</si>
  <si>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</si>
  <si>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</si>
  <si>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</si>
  <si>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</si>
  <si>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</si>
  <si>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</si>
  <si>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</si>
  <si>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</si>
  <si>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</si>
  <si>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</si>
  <si>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</si>
  <si>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</si>
  <si>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</si>
  <si>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</si>
  <si>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</si>
  <si>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</si>
  <si>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</si>
  <si>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</si>
  <si>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</si>
  <si>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</si>
  <si>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</si>
  <si>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</si>
  <si>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</si>
  <si>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</si>
  <si>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</si>
  <si>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</si>
  <si>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</si>
  <si>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</si>
  <si>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</si>
  <si>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</si>
  <si>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</si>
  <si>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</si>
  <si>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</si>
  <si>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</si>
  <si>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</si>
  <si>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</si>
  <si>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</si>
  <si>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</si>
  <si>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</si>
  <si>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</si>
  <si>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</si>
  <si>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</si>
  <si>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</si>
  <si>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</si>
  <si>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</si>
  <si>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</si>
  <si>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</si>
  <si>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</si>
  <si>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</si>
  <si>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</si>
  <si>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</si>
  <si>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</si>
  <si>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</si>
  <si>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</si>
  <si>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</si>
  <si>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</si>
  <si>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</si>
  <si>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</si>
  <si>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</si>
  <si>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</si>
  <si>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</si>
  <si>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</si>
  <si>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</si>
  <si>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</si>
  <si>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</si>
  <si>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</si>
  <si>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</si>
  <si>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</si>
  <si>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</si>
  <si>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</si>
  <si>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</si>
  <si>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</si>
  <si>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</si>
  <si>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</si>
  <si>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</si>
  <si>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</si>
  <si>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</si>
  <si>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</si>
  <si>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</si>
  <si>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</si>
  <si>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</si>
  <si>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</si>
  <si>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</si>
  <si>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</si>
  <si>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</si>
  <si>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</si>
  <si>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</si>
  <si>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</si>
  <si>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</si>
  <si>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</si>
  <si>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</si>
  <si>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</si>
  <si>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</si>
  <si>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</si>
  <si>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</si>
  <si>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</si>
  <si>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</si>
  <si>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</si>
  <si>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</si>
  <si>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</si>
  <si>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</si>
  <si>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</si>
  <si>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</si>
  <si>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</si>
  <si>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</si>
  <si>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</si>
  <si>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</si>
  <si>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</si>
  <si>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</si>
  <si>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</si>
  <si>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</si>
  <si>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</si>
  <si>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</si>
  <si>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</si>
  <si>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</si>
  <si>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</si>
  <si>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</si>
  <si>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</si>
  <si>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</si>
  <si>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</si>
  <si>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</si>
  <si>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</si>
  <si>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</si>
  <si>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</si>
  <si>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</si>
  <si>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</si>
  <si>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</si>
  <si>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</si>
  <si>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</si>
  <si>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</si>
  <si>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</si>
  <si>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</si>
  <si>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</si>
  <si>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</si>
  <si>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</si>
  <si>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</si>
  <si>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</si>
  <si>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</si>
  <si>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</si>
  <si>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</si>
  <si>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</si>
  <si>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</si>
  <si>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</si>
  <si>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</si>
  <si>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</si>
  <si>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</si>
  <si>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</si>
  <si>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</si>
  <si>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</si>
  <si>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</si>
  <si>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</si>
  <si>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</si>
  <si>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</si>
  <si>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</si>
  <si>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</si>
  <si>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</si>
  <si>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</si>
  <si>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</si>
  <si>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</si>
  <si>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</si>
  <si>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</si>
  <si>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</si>
  <si>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</si>
  <si>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</si>
  <si>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</si>
  <si>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</si>
  <si>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</si>
  <si>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</si>
  <si>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</si>
  <si>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</si>
  <si>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</si>
  <si>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</si>
  <si>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</si>
  <si>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</si>
  <si>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</si>
  <si>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</si>
  <si>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</si>
  <si>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</si>
  <si>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</si>
  <si>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</si>
  <si>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</si>
  <si>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</si>
  <si>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</si>
  <si>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</si>
  <si>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</si>
  <si>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</si>
  <si>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</si>
  <si>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</si>
  <si>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</si>
  <si>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</si>
  <si>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</si>
  <si>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</si>
  <si>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</si>
  <si>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</si>
  <si>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</si>
  <si>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</si>
  <si>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</si>
  <si>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</si>
  <si>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</si>
  <si>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</si>
  <si>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</si>
  <si>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</si>
  <si>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</si>
  <si>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</si>
  <si>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</si>
  <si>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</si>
  <si>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</si>
  <si>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</si>
  <si>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</si>
  <si>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</si>
  <si>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</si>
  <si>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</si>
  <si>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</si>
  <si>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</si>
  <si>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</si>
  <si>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</si>
  <si>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</si>
  <si>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</si>
  <si>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</si>
  <si>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</si>
  <si>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</si>
  <si>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</si>
  <si>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</si>
  <si>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</si>
  <si>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</si>
  <si>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</si>
  <si>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</si>
  <si>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</si>
  <si>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</si>
  <si>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</si>
  <si>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</si>
  <si>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</si>
  <si>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</si>
  <si>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</si>
  <si>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</si>
  <si>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</si>
  <si>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</si>
  <si>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</si>
  <si>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</si>
  <si>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</si>
  <si>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</si>
  <si>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</si>
  <si>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</si>
  <si>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</si>
  <si>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</si>
  <si>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</si>
  <si>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</si>
  <si>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</si>
  <si>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</si>
  <si>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</si>
  <si>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</si>
  <si>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</si>
  <si>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</si>
  <si>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</si>
  <si>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</si>
  <si>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</si>
  <si>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</si>
  <si>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</si>
  <si>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</si>
  <si>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</si>
  <si>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</si>
  <si>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</si>
  <si>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</si>
  <si>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</si>
  <si>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</si>
  <si>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</si>
  <si>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</si>
  <si>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</si>
  <si>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</si>
  <si>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</si>
  <si>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</si>
  <si>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</si>
  <si>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</si>
  <si>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</si>
  <si>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</si>
  <si>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</si>
  <si>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</si>
  <si>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</si>
  <si>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</si>
  <si>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</si>
  <si>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</si>
  <si>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</si>
  <si>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</si>
  <si>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</si>
  <si>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</si>
  <si>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</si>
  <si>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</si>
  <si>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</si>
  <si>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</si>
  <si>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</si>
  <si>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</si>
  <si>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</si>
  <si>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</si>
  <si>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</si>
  <si>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</si>
  <si>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</si>
  <si>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</si>
  <si>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</si>
  <si>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</si>
  <si>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</si>
  <si>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</si>
  <si>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</si>
  <si>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</si>
  <si>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</si>
  <si>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</si>
  <si>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</si>
  <si>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</si>
  <si>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</si>
  <si>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</si>
  <si>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</si>
  <si>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</si>
  <si>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</si>
  <si>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</si>
  <si>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</si>
  <si>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</si>
  <si>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</si>
  <si>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</si>
  <si>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</si>
  <si>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</si>
  <si>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</si>
  <si>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</si>
  <si>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</si>
  <si>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</si>
  <si>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</si>
  <si>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</si>
  <si>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</si>
  <si>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</si>
  <si>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</si>
  <si>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</si>
  <si>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</si>
  <si>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</si>
  <si>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</si>
  <si>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</si>
  <si>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</si>
  <si>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</si>
  <si>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</si>
  <si>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</si>
  <si>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</si>
  <si>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</si>
  <si>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</si>
  <si>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</si>
  <si>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</si>
  <si>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</si>
  <si>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</si>
  <si>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</si>
  <si>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</si>
  <si>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</si>
  <si>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</si>
  <si>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</si>
  <si>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</si>
  <si>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</si>
  <si>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</si>
  <si>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</si>
  <si>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</si>
  <si>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</si>
  <si>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</si>
  <si>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</si>
  <si>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</si>
  <si>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</si>
  <si>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</si>
  <si>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</si>
  <si>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</si>
  <si>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</si>
  <si>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</si>
  <si>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</si>
  <si>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</si>
  <si>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</si>
  <si>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</si>
  <si>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</si>
  <si>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</si>
  <si>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</si>
  <si>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</si>
  <si>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</si>
  <si>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</si>
  <si>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</si>
  <si>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</si>
  <si>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</si>
  <si>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</si>
  <si>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</si>
  <si>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</si>
  <si>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</si>
  <si>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</si>
  <si>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</si>
  <si>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</si>
  <si>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</si>
  <si>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</si>
  <si>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</si>
  <si>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</si>
  <si>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</si>
  <si>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</si>
  <si>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</si>
  <si>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</si>
  <si>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</si>
  <si>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</si>
  <si>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</si>
  <si>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</si>
  <si>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</si>
  <si>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</si>
  <si>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</si>
  <si>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</si>
  <si>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</si>
  <si>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</si>
  <si>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</si>
  <si>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</si>
  <si>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</si>
  <si>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</si>
  <si>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</si>
  <si>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</si>
  <si>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</si>
  <si>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</si>
  <si>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</si>
  <si>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</si>
  <si>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</si>
  <si>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</si>
  <si>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</si>
  <si>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</si>
  <si>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</si>
  <si>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</si>
  <si>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</si>
  <si>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</si>
  <si>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</si>
  <si>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</si>
  <si>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</si>
  <si>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</si>
  <si>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</si>
  <si>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</si>
  <si>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</si>
  <si>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</si>
  <si>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</si>
  <si>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</si>
  <si>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</si>
  <si>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</si>
  <si>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</si>
  <si>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</si>
  <si>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</si>
  <si>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</si>
  <si>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</si>
  <si>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</si>
  <si>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</si>
  <si>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</si>
  <si>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</si>
  <si>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</si>
  <si>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</si>
  <si>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</si>
  <si>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</si>
  <si>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</si>
  <si>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</si>
  <si>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</si>
  <si>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</si>
  <si>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</si>
  <si>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</si>
  <si>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</si>
  <si>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</si>
  <si>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</si>
  <si>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</si>
  <si>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</si>
  <si>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</si>
  <si>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</si>
  <si>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</si>
  <si>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</si>
  <si>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</si>
  <si>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</si>
  <si>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</si>
  <si>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</si>
  <si>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</si>
  <si>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</si>
  <si>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</si>
  <si>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</si>
  <si>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</si>
  <si>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</si>
  <si>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</si>
  <si>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</si>
  <si>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</si>
  <si>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</si>
  <si>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</si>
  <si>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</si>
  <si>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</si>
  <si>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</si>
  <si>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</si>
  <si>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</si>
  <si>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</si>
  <si>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</si>
  <si>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</si>
  <si>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</si>
  <si>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</si>
  <si>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</si>
  <si>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</si>
  <si>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</si>
  <si>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</si>
  <si>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</si>
  <si>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</si>
  <si>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</si>
  <si>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</si>
  <si>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</si>
  <si>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</si>
  <si>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</si>
  <si>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</si>
  <si>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</si>
  <si>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</si>
  <si>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</si>
  <si>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</si>
  <si>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</si>
  <si>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</si>
  <si>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</si>
  <si>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</si>
  <si>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</si>
  <si>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</si>
  <si>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</si>
  <si>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</si>
  <si>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</si>
  <si>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</si>
  <si>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</si>
  <si>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</si>
  <si>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Month</t>
  </si>
  <si>
    <t>MonthName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</si>
  <si>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</si>
  <si>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</si>
  <si>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</si>
  <si>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</si>
  <si>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</si>
  <si>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</si>
  <si>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</si>
  <si>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</si>
  <si>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</si>
  <si>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</si>
  <si>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</si>
  <si>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</si>
  <si>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Age Category</t>
  </si>
  <si>
    <t>Row Labels</t>
  </si>
  <si>
    <t>Grand Total</t>
  </si>
  <si>
    <t>Jan</t>
  </si>
  <si>
    <t>Feb</t>
  </si>
  <si>
    <t>Mar</t>
  </si>
  <si>
    <t>Sum of gross income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</si>
  <si>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</si>
  <si>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</si>
  <si>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</si>
  <si>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</si>
  <si>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</si>
  <si>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</si>
  <si>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</si>
  <si>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</si>
  <si>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</si>
  <si>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</si>
  <si>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</si>
  <si>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</si>
  <si>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</si>
  <si>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</si>
  <si>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85-90</t>
  </si>
  <si>
    <t>Time Categories</t>
  </si>
  <si>
    <t>Morning</t>
  </si>
  <si>
    <t>Afternoon</t>
  </si>
  <si>
    <t>Evening</t>
  </si>
  <si>
    <t>Otherwise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</si>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</sst>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25" formatCode="h:mm"/>
    </dxf>
    <dxf>
      <numFmt numFmtId="25" formatCode="h:mm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Hansen" refreshedDate="45555.483365277774" createdVersion="8" refreshedVersion="8" minRefreshableVersion="3" recordCount="1000" xr:uid="{32D0A201-C8AA-44F7-B911-5B7A4581D996}">
  <cacheSource type="worksheet">
    <worksheetSource name="Table1"/>
  </cacheSource>
  <cacheFields count="23">
    <cacheField name="Invoice ID" numFmtId="0">
      <sharedItems/>
    </cacheField>
    <cacheField name="Date" numFmtId="14">
      <sharedItems containsSemiMixedTypes="0" containsNonDate="0" containsDate="1" containsString="0" minDate="2019-01-01T00:00:00" maxDate="2019-03-31T00:00:00" count="89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</sharedItems>
      <fieldGroup par="22"/>
    </cacheField>
    <cacheField name="Time" numFmtId="20">
      <sharedItems containsSemiMixedTypes="0" containsNonDate="0" containsDate="1" containsString="0" minDate="1899-12-30T10:00:00" maxDate="1899-12-30T20:59:00"/>
    </cacheField>
    <cacheField name="Month" numFmtId="0">
      <sharedItems containsSemiMixedTypes="0" containsString="0" containsNumber="1" containsInteger="1" minValue="1" maxValue="3"/>
    </cacheField>
    <cacheField name="MonthName" numFmtId="0">
      <sharedItems/>
    </cacheField>
    <cacheField name="Branch" numFmtId="0">
      <sharedItems/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5" maxValue="90" count="76">
        <n v="17"/>
        <n v="38"/>
        <n v="55"/>
        <n v="39"/>
        <n v="42"/>
        <n v="79"/>
        <n v="45"/>
        <n v="78"/>
        <n v="63"/>
        <n v="33"/>
        <n v="23"/>
        <n v="89"/>
        <n v="40"/>
        <n v="84"/>
        <n v="71"/>
        <n v="48"/>
        <n v="16"/>
        <n v="74"/>
        <n v="52"/>
        <n v="41"/>
        <n v="19"/>
        <n v="27"/>
        <n v="22"/>
        <n v="26"/>
        <n v="60"/>
        <n v="67"/>
        <n v="36"/>
        <n v="77"/>
        <n v="32"/>
        <n v="66"/>
        <n v="81"/>
        <n v="73"/>
        <n v="30"/>
        <n v="44"/>
        <n v="72"/>
        <n v="56"/>
        <n v="87"/>
        <n v="24"/>
        <n v="20"/>
        <n v="25"/>
        <n v="53"/>
        <n v="88"/>
        <n v="64"/>
        <n v="31"/>
        <n v="34"/>
        <n v="49"/>
        <n v="62"/>
        <n v="28"/>
        <n v="90"/>
        <n v="58"/>
        <n v="29"/>
        <n v="43"/>
        <n v="35"/>
        <n v="70"/>
        <n v="50"/>
        <n v="86"/>
        <n v="15"/>
        <n v="75"/>
        <n v="46"/>
        <n v="37"/>
        <n v="76"/>
        <n v="61"/>
        <n v="51"/>
        <n v="21"/>
        <n v="59"/>
        <n v="85"/>
        <n v="18"/>
        <n v="69"/>
        <n v="47"/>
        <n v="57"/>
        <n v="80"/>
        <n v="83"/>
        <n v="68"/>
        <n v="54"/>
        <n v="82"/>
        <n v="65"/>
      </sharedItems>
      <fieldGroup base="9">
        <rangePr startNum="15" endNum="90" groupInterval="5"/>
        <groupItems count="17">
          <s v="&lt;15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90"/>
          <s v="&gt;90"/>
        </groupItems>
      </fieldGroup>
    </cacheField>
    <cacheField name="Age Category" numFmtId="0">
      <sharedItems/>
    </cacheField>
    <cacheField name="Product line" numFmtId="0">
      <sharedItems/>
    </cacheField>
    <cacheField name="Payment" numFmtId="0">
      <sharedItems/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ys (Date)" numFmtId="0" databaseField="0">
      <fieldGroup base="1">
        <rangePr groupBy="days" startDate="2019-01-01T00:00:00" endDate="2019-03-31T00:00:00"/>
        <groupItems count="368">
          <s v="&lt;1/1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19"/>
        </groupItems>
      </fieldGroup>
    </cacheField>
    <cacheField name="Months (Date)" numFmtId="0" databaseField="0">
      <fieldGroup base="1">
        <rangePr groupBy="months" startDate="2019-01-01T00:00:00" endDate="2019-03-31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d v="1899-12-30T13:08:00"/>
    <n v="1"/>
    <s v="January"/>
    <s v="A"/>
    <s v="Yangon"/>
    <s v="Member"/>
    <s v="Female"/>
    <x v="0"/>
    <s v="&lt;20"/>
    <s v="Health and beauty"/>
    <s v="Ewallet"/>
    <n v="74.69"/>
    <n v="7"/>
    <n v="26.141500000000001"/>
    <n v="548.97149999999999"/>
    <n v="522.83000000000004"/>
    <n v="4.7619047620000003"/>
    <n v="26.141500000000001"/>
    <n v="9.1"/>
  </r>
  <r>
    <s v="226-31-3081"/>
    <x v="1"/>
    <d v="1899-12-30T10:29:00"/>
    <n v="3"/>
    <s v="March"/>
    <s v="C"/>
    <s v="Naypyitaw"/>
    <s v="Normal"/>
    <s v="Female"/>
    <x v="1"/>
    <s v="20-70"/>
    <s v="Electronic accessories"/>
    <s v="Cash"/>
    <n v="15.28"/>
    <n v="5"/>
    <n v="3.82"/>
    <n v="80.22"/>
    <n v="76.400000000000006"/>
    <n v="4.7619047620000003"/>
    <n v="3.82"/>
    <n v="9.6"/>
  </r>
  <r>
    <s v="631-41-3108"/>
    <x v="2"/>
    <d v="1899-12-30T13:23:00"/>
    <n v="3"/>
    <s v="March"/>
    <s v="A"/>
    <s v="Yangon"/>
    <s v="Normal"/>
    <s v="Male"/>
    <x v="2"/>
    <s v="20-70"/>
    <s v="Home and lifestyle"/>
    <s v="Credit card"/>
    <n v="46.33"/>
    <n v="7"/>
    <n v="16.215499999999999"/>
    <n v="340.52550000000002"/>
    <n v="324.31"/>
    <n v="4.7619047620000003"/>
    <n v="16.215499999999999"/>
    <n v="7.4"/>
  </r>
  <r>
    <s v="123-19-1176"/>
    <x v="3"/>
    <d v="1899-12-30T20:33:00"/>
    <n v="1"/>
    <s v="January"/>
    <s v="A"/>
    <s v="Yangon"/>
    <s v="Member"/>
    <s v="Male"/>
    <x v="3"/>
    <s v="20-70"/>
    <s v="Health and beauty"/>
    <s v="Ewallet"/>
    <n v="58.22"/>
    <n v="8"/>
    <n v="23.288"/>
    <n v="489.048"/>
    <n v="465.76"/>
    <n v="4.7619047620000003"/>
    <n v="23.288"/>
    <n v="8.4"/>
  </r>
  <r>
    <s v="373-73-7910"/>
    <x v="4"/>
    <d v="1899-12-30T10:37:00"/>
    <n v="2"/>
    <s v="February"/>
    <s v="A"/>
    <s v="Yangon"/>
    <s v="Normal"/>
    <s v="Male"/>
    <x v="4"/>
    <s v="20-70"/>
    <s v="Sports and travel"/>
    <s v="Ewallet"/>
    <n v="86.31"/>
    <n v="7"/>
    <n v="30.208500000000001"/>
    <n v="634.37850000000003"/>
    <n v="604.16999999999996"/>
    <n v="4.7619047620000003"/>
    <n v="30.208500000000001"/>
    <n v="5.3"/>
  </r>
  <r>
    <s v="699-14-3026"/>
    <x v="5"/>
    <d v="1899-12-30T18:30:00"/>
    <n v="3"/>
    <s v="March"/>
    <s v="C"/>
    <s v="Naypyitaw"/>
    <s v="Normal"/>
    <s v="Male"/>
    <x v="5"/>
    <s v="&gt;70"/>
    <s v="Electronic accessories"/>
    <s v="Ewallet"/>
    <n v="85.39"/>
    <n v="7"/>
    <n v="29.886500000000002"/>
    <n v="627.61649999999997"/>
    <n v="597.73"/>
    <n v="4.7619047620000003"/>
    <n v="29.886500000000002"/>
    <n v="4.0999999999999996"/>
  </r>
  <r>
    <s v="355-53-5943"/>
    <x v="6"/>
    <d v="1899-12-30T14:36:00"/>
    <n v="2"/>
    <s v="February"/>
    <s v="A"/>
    <s v="Yangon"/>
    <s v="Member"/>
    <s v="Female"/>
    <x v="6"/>
    <s v="20-70"/>
    <s v="Electronic accessories"/>
    <s v="Ewallet"/>
    <n v="68.84"/>
    <n v="6"/>
    <n v="20.652000000000001"/>
    <n v="433.69200000000001"/>
    <n v="413.04"/>
    <n v="4.7619047620000003"/>
    <n v="20.652000000000001"/>
    <n v="5.8"/>
  </r>
  <r>
    <s v="315-22-5665"/>
    <x v="7"/>
    <d v="1899-12-30T11:38:00"/>
    <n v="2"/>
    <s v="February"/>
    <s v="C"/>
    <s v="Naypyitaw"/>
    <s v="Normal"/>
    <s v="Female"/>
    <x v="7"/>
    <s v="&gt;70"/>
    <s v="Home and lifestyle"/>
    <s v="Ewallet"/>
    <n v="73.56"/>
    <n v="10"/>
    <n v="36.78"/>
    <n v="772.38"/>
    <n v="735.6"/>
    <n v="4.7619047620000003"/>
    <n v="36.78"/>
    <n v="8"/>
  </r>
  <r>
    <s v="665-32-9167"/>
    <x v="8"/>
    <d v="1899-12-30T17:15:00"/>
    <n v="1"/>
    <s v="January"/>
    <s v="A"/>
    <s v="Yangon"/>
    <s v="Member"/>
    <s v="Female"/>
    <x v="8"/>
    <s v="20-70"/>
    <s v="Health and beauty"/>
    <s v="Credit card"/>
    <n v="36.26"/>
    <n v="2"/>
    <n v="3.6259999999999999"/>
    <n v="76.146000000000001"/>
    <n v="72.52"/>
    <n v="4.7619047620000003"/>
    <n v="3.6259999999999999"/>
    <n v="7.2"/>
  </r>
  <r>
    <s v="692-92-5582"/>
    <x v="9"/>
    <d v="1899-12-30T13:27:00"/>
    <n v="2"/>
    <s v="February"/>
    <s v="B"/>
    <s v="Mandalay"/>
    <s v="Member"/>
    <s v="Female"/>
    <x v="9"/>
    <s v="20-70"/>
    <s v="Food and beverages"/>
    <s v="Credit card"/>
    <n v="54.84"/>
    <n v="3"/>
    <n v="8.2260000000000009"/>
    <n v="172.74600000000001"/>
    <n v="164.52"/>
    <n v="4.7619047620000003"/>
    <n v="8.2260000000000009"/>
    <n v="5.9"/>
  </r>
  <r>
    <s v="351-62-0822"/>
    <x v="10"/>
    <d v="1899-12-30T18:07:00"/>
    <n v="2"/>
    <s v="February"/>
    <s v="B"/>
    <s v="Mandalay"/>
    <s v="Member"/>
    <s v="Female"/>
    <x v="10"/>
    <s v="20-70"/>
    <s v="Fashion accessories"/>
    <s v="Ewallet"/>
    <n v="14.48"/>
    <n v="4"/>
    <n v="2.8959999999999999"/>
    <n v="60.816000000000003"/>
    <n v="57.92"/>
    <n v="4.7619047620000003"/>
    <n v="2.8959999999999999"/>
    <n v="4.5"/>
  </r>
  <r>
    <s v="529-56-3974"/>
    <x v="11"/>
    <d v="1899-12-30T17:03:00"/>
    <n v="3"/>
    <s v="March"/>
    <s v="B"/>
    <s v="Mandalay"/>
    <s v="Member"/>
    <s v="Male"/>
    <x v="11"/>
    <s v="&gt;70"/>
    <s v="Electronic accessories"/>
    <s v="Cash"/>
    <n v="25.51"/>
    <n v="4"/>
    <n v="5.1020000000000003"/>
    <n v="107.142"/>
    <n v="102.04"/>
    <n v="4.7619047620000003"/>
    <n v="5.1020000000000003"/>
    <n v="6.8"/>
  </r>
  <r>
    <s v="365-64-0515"/>
    <x v="12"/>
    <d v="1899-12-30T10:25:00"/>
    <n v="2"/>
    <s v="February"/>
    <s v="A"/>
    <s v="Yangon"/>
    <s v="Normal"/>
    <s v="Female"/>
    <x v="12"/>
    <s v="20-70"/>
    <s v="Electronic accessories"/>
    <s v="Ewallet"/>
    <n v="46.95"/>
    <n v="5"/>
    <n v="11.737500000000001"/>
    <n v="246.48750000000001"/>
    <n v="234.75"/>
    <n v="4.7619047620000003"/>
    <n v="11.737500000000001"/>
    <n v="7.1"/>
  </r>
  <r>
    <s v="252-56-2699"/>
    <x v="13"/>
    <d v="1899-12-30T16:48:00"/>
    <n v="2"/>
    <s v="February"/>
    <s v="A"/>
    <s v="Yangon"/>
    <s v="Normal"/>
    <s v="Male"/>
    <x v="13"/>
    <s v="&gt;70"/>
    <s v="Food and beverages"/>
    <s v="Ewallet"/>
    <n v="43.19"/>
    <n v="10"/>
    <n v="21.594999999999999"/>
    <n v="453.495"/>
    <n v="431.9"/>
    <n v="4.7619047620000003"/>
    <n v="21.594999999999999"/>
    <n v="8.1999999999999993"/>
  </r>
  <r>
    <s v="829-34-3910"/>
    <x v="14"/>
    <d v="1899-12-30T19:21:00"/>
    <n v="3"/>
    <s v="March"/>
    <s v="A"/>
    <s v="Yangon"/>
    <s v="Normal"/>
    <s v="Female"/>
    <x v="14"/>
    <s v="&gt;70"/>
    <s v="Health and beauty"/>
    <s v="Cash"/>
    <n v="71.38"/>
    <n v="10"/>
    <n v="35.69"/>
    <n v="749.49"/>
    <n v="713.8"/>
    <n v="4.7619047620000003"/>
    <n v="35.69"/>
    <n v="5.7"/>
  </r>
  <r>
    <s v="299-46-1805"/>
    <x v="15"/>
    <d v="1899-12-30T16:19:00"/>
    <n v="1"/>
    <s v="January"/>
    <s v="B"/>
    <s v="Mandalay"/>
    <s v="Member"/>
    <s v="Female"/>
    <x v="12"/>
    <s v="20-70"/>
    <s v="Sports and travel"/>
    <s v="Cash"/>
    <n v="93.72"/>
    <n v="6"/>
    <n v="28.116"/>
    <n v="590.43600000000004"/>
    <n v="562.32000000000005"/>
    <n v="4.7619047620000003"/>
    <n v="28.116"/>
    <n v="4.5"/>
  </r>
  <r>
    <s v="656-95-9349"/>
    <x v="16"/>
    <d v="1899-12-30T11:03:00"/>
    <n v="3"/>
    <s v="March"/>
    <s v="A"/>
    <s v="Yangon"/>
    <s v="Member"/>
    <s v="Female"/>
    <x v="15"/>
    <s v="20-70"/>
    <s v="Health and beauty"/>
    <s v="Credit card"/>
    <n v="68.930000000000007"/>
    <n v="7"/>
    <n v="24.125499999999999"/>
    <n v="506.63549999999998"/>
    <n v="482.51"/>
    <n v="4.7619047620000003"/>
    <n v="24.125499999999999"/>
    <n v="4.5999999999999996"/>
  </r>
  <r>
    <s v="765-26-6951"/>
    <x v="17"/>
    <d v="1899-12-30T10:39:00"/>
    <n v="1"/>
    <s v="January"/>
    <s v="A"/>
    <s v="Yangon"/>
    <s v="Normal"/>
    <s v="Male"/>
    <x v="10"/>
    <s v="20-70"/>
    <s v="Sports and travel"/>
    <s v="Credit card"/>
    <n v="72.61"/>
    <n v="6"/>
    <n v="21.783000000000001"/>
    <n v="457.44299999999998"/>
    <n v="435.66"/>
    <n v="4.7619047620000003"/>
    <n v="21.783000000000001"/>
    <n v="6.9"/>
  </r>
  <r>
    <s v="329-62-1586"/>
    <x v="18"/>
    <d v="1899-12-30T18:00:00"/>
    <n v="1"/>
    <s v="January"/>
    <s v="A"/>
    <s v="Yangon"/>
    <s v="Normal"/>
    <s v="Male"/>
    <x v="16"/>
    <s v="&lt;20"/>
    <s v="Food and beverages"/>
    <s v="Credit card"/>
    <n v="54.67"/>
    <n v="3"/>
    <n v="8.2004999999999999"/>
    <n v="172.2105"/>
    <n v="164.01"/>
    <n v="4.7619047620000003"/>
    <n v="8.2004999999999999"/>
    <n v="8.6"/>
  </r>
  <r>
    <s v="319-50-3348"/>
    <x v="16"/>
    <d v="1899-12-30T15:30:00"/>
    <n v="3"/>
    <s v="March"/>
    <s v="B"/>
    <s v="Mandalay"/>
    <s v="Normal"/>
    <s v="Female"/>
    <x v="17"/>
    <s v="&gt;70"/>
    <s v="Home and lifestyle"/>
    <s v="Ewallet"/>
    <n v="40.299999999999997"/>
    <n v="2"/>
    <n v="4.03"/>
    <n v="84.63"/>
    <n v="80.599999999999994"/>
    <n v="4.7619047620000003"/>
    <n v="4.03"/>
    <n v="4.4000000000000004"/>
  </r>
  <r>
    <s v="300-71-4605"/>
    <x v="6"/>
    <d v="1899-12-30T11:24:00"/>
    <n v="2"/>
    <s v="February"/>
    <s v="C"/>
    <s v="Naypyitaw"/>
    <s v="Member"/>
    <s v="Male"/>
    <x v="11"/>
    <s v="&gt;70"/>
    <s v="Electronic accessories"/>
    <s v="Ewallet"/>
    <n v="86.04"/>
    <n v="5"/>
    <n v="21.51"/>
    <n v="451.71"/>
    <n v="430.2"/>
    <n v="4.7619047620000003"/>
    <n v="21.51"/>
    <n v="4.8"/>
  </r>
  <r>
    <s v="371-85-5789"/>
    <x v="19"/>
    <d v="1899-12-30T10:40:00"/>
    <n v="3"/>
    <s v="March"/>
    <s v="B"/>
    <s v="Mandalay"/>
    <s v="Normal"/>
    <s v="Male"/>
    <x v="15"/>
    <s v="20-70"/>
    <s v="Health and beauty"/>
    <s v="Ewallet"/>
    <n v="87.98"/>
    <n v="3"/>
    <n v="13.196999999999999"/>
    <n v="277.137"/>
    <n v="263.94"/>
    <n v="4.7619047620000003"/>
    <n v="13.196999999999999"/>
    <n v="5.0999999999999996"/>
  </r>
  <r>
    <s v="273-16-6619"/>
    <x v="20"/>
    <d v="1899-12-30T12:20:00"/>
    <n v="3"/>
    <s v="March"/>
    <s v="B"/>
    <s v="Mandalay"/>
    <s v="Normal"/>
    <s v="Male"/>
    <x v="3"/>
    <s v="20-70"/>
    <s v="Home and lifestyle"/>
    <s v="Credit card"/>
    <n v="33.200000000000003"/>
    <n v="2"/>
    <n v="3.32"/>
    <n v="69.72"/>
    <n v="66.400000000000006"/>
    <n v="4.7619047620000003"/>
    <n v="3.32"/>
    <n v="4.4000000000000004"/>
  </r>
  <r>
    <s v="636-48-8204"/>
    <x v="21"/>
    <d v="1899-12-30T11:15:00"/>
    <n v="2"/>
    <s v="February"/>
    <s v="A"/>
    <s v="Yangon"/>
    <s v="Normal"/>
    <s v="Male"/>
    <x v="18"/>
    <s v="20-70"/>
    <s v="Electronic accessories"/>
    <s v="Ewallet"/>
    <n v="34.56"/>
    <n v="5"/>
    <n v="8.64"/>
    <n v="181.44"/>
    <n v="172.8"/>
    <n v="4.7619047620000003"/>
    <n v="8.64"/>
    <n v="9.9"/>
  </r>
  <r>
    <s v="549-59-1358"/>
    <x v="22"/>
    <d v="1899-12-30T17:36:00"/>
    <n v="3"/>
    <s v="March"/>
    <s v="A"/>
    <s v="Yangon"/>
    <s v="Member"/>
    <s v="Male"/>
    <x v="19"/>
    <s v="20-70"/>
    <s v="Sports and travel"/>
    <s v="Ewallet"/>
    <n v="88.63"/>
    <n v="3"/>
    <n v="13.294499999999999"/>
    <n v="279.18450000000001"/>
    <n v="265.89"/>
    <n v="4.7619047620000003"/>
    <n v="13.294499999999999"/>
    <n v="6"/>
  </r>
  <r>
    <s v="227-03-5010"/>
    <x v="23"/>
    <d v="1899-12-30T19:20:00"/>
    <n v="3"/>
    <s v="March"/>
    <s v="A"/>
    <s v="Yangon"/>
    <s v="Member"/>
    <s v="Female"/>
    <x v="20"/>
    <s v="&lt;20"/>
    <s v="Home and lifestyle"/>
    <s v="Credit card"/>
    <n v="52.59"/>
    <n v="8"/>
    <n v="21.036000000000001"/>
    <n v="441.75599999999997"/>
    <n v="420.72"/>
    <n v="4.7619047620000003"/>
    <n v="21.036000000000001"/>
    <n v="8.5"/>
  </r>
  <r>
    <s v="649-29-6775"/>
    <x v="4"/>
    <d v="1899-12-30T15:31:00"/>
    <n v="2"/>
    <s v="February"/>
    <s v="B"/>
    <s v="Mandalay"/>
    <s v="Normal"/>
    <s v="Male"/>
    <x v="21"/>
    <s v="20-70"/>
    <s v="Fashion accessories"/>
    <s v="Cash"/>
    <n v="33.520000000000003"/>
    <n v="1"/>
    <n v="1.6759999999999999"/>
    <n v="35.195999999999998"/>
    <n v="33.520000000000003"/>
    <n v="4.7619047620000003"/>
    <n v="1.6759999999999999"/>
    <n v="6.7"/>
  </r>
  <r>
    <s v="189-17-4241"/>
    <x v="24"/>
    <d v="1899-12-30T12:17:00"/>
    <n v="3"/>
    <s v="March"/>
    <s v="A"/>
    <s v="Yangon"/>
    <s v="Normal"/>
    <s v="Female"/>
    <x v="22"/>
    <s v="20-70"/>
    <s v="Fashion accessories"/>
    <s v="Credit card"/>
    <n v="87.67"/>
    <n v="2"/>
    <n v="8.7669999999999995"/>
    <n v="184.107"/>
    <n v="175.34"/>
    <n v="4.7619047620000003"/>
    <n v="8.7669999999999995"/>
    <n v="7.7"/>
  </r>
  <r>
    <s v="145-94-9061"/>
    <x v="25"/>
    <d v="1899-12-30T19:48:00"/>
    <n v="1"/>
    <s v="January"/>
    <s v="B"/>
    <s v="Mandalay"/>
    <s v="Normal"/>
    <s v="Female"/>
    <x v="23"/>
    <s v="20-70"/>
    <s v="Food and beverages"/>
    <s v="Cash"/>
    <n v="88.36"/>
    <n v="5"/>
    <n v="22.09"/>
    <n v="463.89"/>
    <n v="441.8"/>
    <n v="4.7619047620000003"/>
    <n v="22.09"/>
    <n v="9.6"/>
  </r>
  <r>
    <s v="848-62-7243"/>
    <x v="20"/>
    <d v="1899-12-30T15:36:00"/>
    <n v="3"/>
    <s v="March"/>
    <s v="A"/>
    <s v="Yangon"/>
    <s v="Normal"/>
    <s v="Male"/>
    <x v="24"/>
    <s v="20-70"/>
    <s v="Health and beauty"/>
    <s v="Cash"/>
    <n v="24.89"/>
    <n v="9"/>
    <n v="11.2005"/>
    <n v="235.2105"/>
    <n v="224.01"/>
    <n v="4.7619047620000003"/>
    <n v="11.2005"/>
    <n v="7.4"/>
  </r>
  <r>
    <s v="871-79-8483"/>
    <x v="6"/>
    <d v="1899-12-30T19:39:00"/>
    <n v="2"/>
    <s v="February"/>
    <s v="B"/>
    <s v="Mandalay"/>
    <s v="Normal"/>
    <s v="Male"/>
    <x v="25"/>
    <s v="20-70"/>
    <s v="Fashion accessories"/>
    <s v="Credit card"/>
    <n v="94.13"/>
    <n v="5"/>
    <n v="23.532499999999999"/>
    <n v="494.1825"/>
    <n v="470.65"/>
    <n v="4.7619047620000003"/>
    <n v="23.532499999999999"/>
    <n v="4.8"/>
  </r>
  <r>
    <s v="149-71-6266"/>
    <x v="26"/>
    <d v="1899-12-30T12:43:00"/>
    <n v="1"/>
    <s v="January"/>
    <s v="B"/>
    <s v="Mandalay"/>
    <s v="Member"/>
    <s v="Male"/>
    <x v="26"/>
    <s v="20-70"/>
    <s v="Sports and travel"/>
    <s v="Cash"/>
    <n v="78.069999999999993"/>
    <n v="9"/>
    <n v="35.131500000000003"/>
    <n v="737.76149999999996"/>
    <n v="702.63"/>
    <n v="4.7619047620000003"/>
    <n v="35.131500000000003"/>
    <n v="4.5"/>
  </r>
  <r>
    <s v="640-49-2076"/>
    <x v="8"/>
    <d v="1899-12-30T14:49:00"/>
    <n v="1"/>
    <s v="January"/>
    <s v="B"/>
    <s v="Mandalay"/>
    <s v="Normal"/>
    <s v="Male"/>
    <x v="27"/>
    <s v="&gt;70"/>
    <s v="Sports and travel"/>
    <s v="Cash"/>
    <n v="83.78"/>
    <n v="8"/>
    <n v="33.512"/>
    <n v="703.75199999999995"/>
    <n v="670.24"/>
    <n v="4.7619047620000003"/>
    <n v="33.512"/>
    <n v="5.0999999999999996"/>
  </r>
  <r>
    <s v="595-11-5460"/>
    <x v="20"/>
    <d v="1899-12-30T10:12:00"/>
    <n v="3"/>
    <s v="March"/>
    <s v="A"/>
    <s v="Yangon"/>
    <s v="Normal"/>
    <s v="Male"/>
    <x v="12"/>
    <s v="20-70"/>
    <s v="Health and beauty"/>
    <s v="Credit card"/>
    <n v="96.58"/>
    <n v="2"/>
    <n v="9.6579999999999995"/>
    <n v="202.81800000000001"/>
    <n v="193.16"/>
    <n v="4.7619047620000003"/>
    <n v="9.6579999999999995"/>
    <n v="5.0999999999999996"/>
  </r>
  <r>
    <s v="183-56-6882"/>
    <x v="10"/>
    <d v="1899-12-30T10:42:00"/>
    <n v="2"/>
    <s v="February"/>
    <s v="C"/>
    <s v="Naypyitaw"/>
    <s v="Member"/>
    <s v="Female"/>
    <x v="28"/>
    <s v="20-70"/>
    <s v="Food and beverages"/>
    <s v="Ewallet"/>
    <n v="99.42"/>
    <n v="4"/>
    <n v="19.884"/>
    <n v="417.56400000000002"/>
    <n v="397.68"/>
    <n v="4.7619047620000003"/>
    <n v="19.884"/>
    <n v="7.5"/>
  </r>
  <r>
    <s v="232-16-2483"/>
    <x v="27"/>
    <d v="1899-12-30T12:28:00"/>
    <n v="1"/>
    <s v="January"/>
    <s v="C"/>
    <s v="Naypyitaw"/>
    <s v="Member"/>
    <s v="Female"/>
    <x v="29"/>
    <s v="20-70"/>
    <s v="Sports and travel"/>
    <s v="Ewallet"/>
    <n v="68.12"/>
    <n v="1"/>
    <n v="3.4060000000000001"/>
    <n v="71.525999999999996"/>
    <n v="68.12"/>
    <n v="4.7619047620000003"/>
    <n v="3.4060000000000001"/>
    <n v="6.8"/>
  </r>
  <r>
    <s v="129-29-8530"/>
    <x v="24"/>
    <d v="1899-12-30T19:15:00"/>
    <n v="3"/>
    <s v="March"/>
    <s v="A"/>
    <s v="Yangon"/>
    <s v="Member"/>
    <s v="Male"/>
    <x v="30"/>
    <s v="&gt;70"/>
    <s v="Sports and travel"/>
    <s v="Ewallet"/>
    <n v="62.62"/>
    <n v="5"/>
    <n v="15.654999999999999"/>
    <n v="328.755"/>
    <n v="313.10000000000002"/>
    <n v="4.7619047620000003"/>
    <n v="15.654999999999999"/>
    <n v="7"/>
  </r>
  <r>
    <s v="272-65-1806"/>
    <x v="15"/>
    <d v="1899-12-30T17:17:00"/>
    <n v="1"/>
    <s v="January"/>
    <s v="A"/>
    <s v="Yangon"/>
    <s v="Normal"/>
    <s v="Female"/>
    <x v="31"/>
    <s v="&gt;70"/>
    <s v="Electronic accessories"/>
    <s v="Ewallet"/>
    <n v="60.88"/>
    <n v="9"/>
    <n v="27.396000000000001"/>
    <n v="575.31600000000003"/>
    <n v="547.91999999999996"/>
    <n v="4.7619047620000003"/>
    <n v="27.396000000000001"/>
    <n v="4.7"/>
  </r>
  <r>
    <s v="333-73-7901"/>
    <x v="28"/>
    <d v="1899-12-30T13:24:00"/>
    <n v="3"/>
    <s v="March"/>
    <s v="C"/>
    <s v="Naypyitaw"/>
    <s v="Normal"/>
    <s v="Female"/>
    <x v="32"/>
    <s v="20-70"/>
    <s v="Health and beauty"/>
    <s v="Ewallet"/>
    <n v="54.92"/>
    <n v="8"/>
    <n v="21.968"/>
    <n v="461.32799999999997"/>
    <n v="439.36"/>
    <n v="4.7619047620000003"/>
    <n v="21.968"/>
    <n v="7.6"/>
  </r>
  <r>
    <s v="777-82-7220"/>
    <x v="2"/>
    <d v="1899-12-30T13:01:00"/>
    <n v="3"/>
    <s v="March"/>
    <s v="B"/>
    <s v="Mandalay"/>
    <s v="Member"/>
    <s v="Male"/>
    <x v="31"/>
    <s v="&gt;70"/>
    <s v="Home and lifestyle"/>
    <s v="Cash"/>
    <n v="30.12"/>
    <n v="8"/>
    <n v="12.048"/>
    <n v="253.00800000000001"/>
    <n v="240.96"/>
    <n v="4.7619047620000003"/>
    <n v="12.048"/>
    <n v="7.7"/>
  </r>
  <r>
    <s v="280-35-5823"/>
    <x v="29"/>
    <d v="1899-12-30T18:45:00"/>
    <n v="1"/>
    <s v="January"/>
    <s v="B"/>
    <s v="Mandalay"/>
    <s v="Member"/>
    <s v="Female"/>
    <x v="26"/>
    <s v="20-70"/>
    <s v="Home and lifestyle"/>
    <s v="Ewallet"/>
    <n v="86.72"/>
    <n v="1"/>
    <n v="4.3360000000000003"/>
    <n v="91.055999999999997"/>
    <n v="86.72"/>
    <n v="4.7619047620000003"/>
    <n v="4.3360000000000003"/>
    <n v="7.9"/>
  </r>
  <r>
    <s v="554-53-8700"/>
    <x v="30"/>
    <d v="1899-12-30T10:11:00"/>
    <n v="2"/>
    <s v="February"/>
    <s v="C"/>
    <s v="Naypyitaw"/>
    <s v="Member"/>
    <s v="Male"/>
    <x v="33"/>
    <s v="20-70"/>
    <s v="Home and lifestyle"/>
    <s v="Cash"/>
    <n v="56.11"/>
    <n v="2"/>
    <n v="5.6109999999999998"/>
    <n v="117.831"/>
    <n v="112.22"/>
    <n v="4.7619047620000003"/>
    <n v="5.6109999999999998"/>
    <n v="6.3"/>
  </r>
  <r>
    <s v="354-25-5821"/>
    <x v="4"/>
    <d v="1899-12-30T13:03:00"/>
    <n v="2"/>
    <s v="February"/>
    <s v="B"/>
    <s v="Mandalay"/>
    <s v="Member"/>
    <s v="Female"/>
    <x v="34"/>
    <s v="&gt;70"/>
    <s v="Sports and travel"/>
    <s v="Cash"/>
    <n v="69.12"/>
    <n v="6"/>
    <n v="20.736000000000001"/>
    <n v="435.45600000000002"/>
    <n v="414.72"/>
    <n v="4.7619047620000003"/>
    <n v="20.736000000000001"/>
    <n v="5.6"/>
  </r>
  <r>
    <s v="228-96-1411"/>
    <x v="31"/>
    <d v="1899-12-30T20:39:00"/>
    <n v="3"/>
    <s v="March"/>
    <s v="C"/>
    <s v="Naypyitaw"/>
    <s v="Member"/>
    <s v="Female"/>
    <x v="35"/>
    <s v="20-70"/>
    <s v="Food and beverages"/>
    <s v="Cash"/>
    <n v="98.7"/>
    <n v="8"/>
    <n v="39.479999999999997"/>
    <n v="829.08"/>
    <n v="789.6"/>
    <n v="4.7619047620000003"/>
    <n v="39.479999999999997"/>
    <n v="7.6"/>
  </r>
  <r>
    <s v="617-15-4209"/>
    <x v="32"/>
    <d v="1899-12-30T19:47:00"/>
    <n v="3"/>
    <s v="March"/>
    <s v="C"/>
    <s v="Naypyitaw"/>
    <s v="Member"/>
    <s v="Male"/>
    <x v="0"/>
    <s v="&lt;20"/>
    <s v="Health and beauty"/>
    <s v="Cash"/>
    <n v="15.37"/>
    <n v="2"/>
    <n v="1.5369999999999999"/>
    <n v="32.277000000000001"/>
    <n v="30.74"/>
    <n v="4.7619047620000003"/>
    <n v="1.5369999999999999"/>
    <n v="7.2"/>
  </r>
  <r>
    <s v="132-32-9879"/>
    <x v="11"/>
    <d v="1899-12-30T18:00:00"/>
    <n v="3"/>
    <s v="March"/>
    <s v="B"/>
    <s v="Mandalay"/>
    <s v="Member"/>
    <s v="Female"/>
    <x v="22"/>
    <s v="20-70"/>
    <s v="Electronic accessories"/>
    <s v="Cash"/>
    <n v="93.96"/>
    <n v="4"/>
    <n v="18.792000000000002"/>
    <n v="394.63200000000001"/>
    <n v="375.84"/>
    <n v="4.7619047620000003"/>
    <n v="18.792000000000002"/>
    <n v="9.5"/>
  </r>
  <r>
    <s v="370-41-7321"/>
    <x v="33"/>
    <d v="1899-12-30T17:24:00"/>
    <n v="2"/>
    <s v="February"/>
    <s v="B"/>
    <s v="Mandalay"/>
    <s v="Member"/>
    <s v="Male"/>
    <x v="36"/>
    <s v="&gt;70"/>
    <s v="Health and beauty"/>
    <s v="Credit card"/>
    <n v="56.69"/>
    <n v="9"/>
    <n v="25.5105"/>
    <n v="535.72050000000002"/>
    <n v="510.21"/>
    <n v="4.7619047620000003"/>
    <n v="25.5105"/>
    <n v="8.4"/>
  </r>
  <r>
    <s v="727-46-3608"/>
    <x v="10"/>
    <d v="1899-12-30T15:47:00"/>
    <n v="2"/>
    <s v="February"/>
    <s v="B"/>
    <s v="Mandalay"/>
    <s v="Member"/>
    <s v="Female"/>
    <x v="11"/>
    <s v="&gt;70"/>
    <s v="Food and beverages"/>
    <s v="Ewallet"/>
    <n v="20.010000000000002"/>
    <n v="9"/>
    <n v="9.0045000000000002"/>
    <n v="189.09450000000001"/>
    <n v="180.09"/>
    <n v="4.7619047620000003"/>
    <n v="9.0045000000000002"/>
    <n v="4.0999999999999996"/>
  </r>
  <r>
    <s v="669-54-1719"/>
    <x v="34"/>
    <d v="1899-12-30T12:45:00"/>
    <n v="2"/>
    <s v="February"/>
    <s v="B"/>
    <s v="Mandalay"/>
    <s v="Member"/>
    <s v="Male"/>
    <x v="2"/>
    <s v="20-70"/>
    <s v="Electronic accessories"/>
    <s v="Credit card"/>
    <n v="18.93"/>
    <n v="6"/>
    <n v="5.6790000000000003"/>
    <n v="119.259"/>
    <n v="113.58"/>
    <n v="4.7619047620000003"/>
    <n v="5.6790000000000003"/>
    <n v="8.1"/>
  </r>
  <r>
    <s v="574-22-5561"/>
    <x v="35"/>
    <d v="1899-12-30T17:08:00"/>
    <n v="3"/>
    <s v="March"/>
    <s v="C"/>
    <s v="Naypyitaw"/>
    <s v="Member"/>
    <s v="Female"/>
    <x v="37"/>
    <s v="20-70"/>
    <s v="Fashion accessories"/>
    <s v="Ewallet"/>
    <n v="82.63"/>
    <n v="10"/>
    <n v="41.314999999999998"/>
    <n v="867.61500000000001"/>
    <n v="826.3"/>
    <n v="4.7619047620000003"/>
    <n v="41.314999999999998"/>
    <n v="7.9"/>
  </r>
  <r>
    <s v="326-78-5178"/>
    <x v="36"/>
    <d v="1899-12-30T10:19:00"/>
    <n v="2"/>
    <s v="February"/>
    <s v="C"/>
    <s v="Naypyitaw"/>
    <s v="Member"/>
    <s v="Male"/>
    <x v="38"/>
    <s v="20-70"/>
    <s v="Food and beverages"/>
    <s v="Cash"/>
    <n v="91.4"/>
    <n v="7"/>
    <n v="31.99"/>
    <n v="671.79"/>
    <n v="639.79999999999995"/>
    <n v="4.7619047620000003"/>
    <n v="31.99"/>
    <n v="9.5"/>
  </r>
  <r>
    <s v="162-48-8011"/>
    <x v="34"/>
    <d v="1899-12-30T15:10:00"/>
    <n v="2"/>
    <s v="February"/>
    <s v="A"/>
    <s v="Yangon"/>
    <s v="Member"/>
    <s v="Female"/>
    <x v="33"/>
    <s v="20-70"/>
    <s v="Food and beverages"/>
    <s v="Cash"/>
    <n v="44.59"/>
    <n v="5"/>
    <n v="11.147500000000001"/>
    <n v="234.0975"/>
    <n v="222.95"/>
    <n v="4.7619047620000003"/>
    <n v="11.147500000000001"/>
    <n v="8.5"/>
  </r>
  <r>
    <s v="616-24-2851"/>
    <x v="23"/>
    <d v="1899-12-30T14:42:00"/>
    <n v="3"/>
    <s v="March"/>
    <s v="B"/>
    <s v="Mandalay"/>
    <s v="Member"/>
    <s v="Female"/>
    <x v="39"/>
    <s v="20-70"/>
    <s v="Fashion accessories"/>
    <s v="Ewallet"/>
    <n v="17.87"/>
    <n v="4"/>
    <n v="3.5739999999999998"/>
    <n v="75.054000000000002"/>
    <n v="71.48"/>
    <n v="4.7619047620000003"/>
    <n v="3.5739999999999998"/>
    <n v="6.5"/>
  </r>
  <r>
    <s v="778-71-5554"/>
    <x v="25"/>
    <d v="1899-12-30T15:46:00"/>
    <n v="1"/>
    <s v="January"/>
    <s v="C"/>
    <s v="Naypyitaw"/>
    <s v="Member"/>
    <s v="Male"/>
    <x v="12"/>
    <s v="20-70"/>
    <s v="Fashion accessories"/>
    <s v="Credit card"/>
    <n v="15.43"/>
    <n v="1"/>
    <n v="0.77149999999999996"/>
    <n v="16.201499999999999"/>
    <n v="15.43"/>
    <n v="4.7619047620000003"/>
    <n v="0.77149999999999996"/>
    <n v="6.1"/>
  </r>
  <r>
    <s v="242-55-6721"/>
    <x v="37"/>
    <d v="1899-12-30T11:49:00"/>
    <n v="3"/>
    <s v="March"/>
    <s v="B"/>
    <s v="Mandalay"/>
    <s v="Normal"/>
    <s v="Male"/>
    <x v="40"/>
    <s v="20-70"/>
    <s v="Home and lifestyle"/>
    <s v="Ewallet"/>
    <n v="16.16"/>
    <n v="2"/>
    <n v="1.6160000000000001"/>
    <n v="33.936"/>
    <n v="32.32"/>
    <n v="4.7619047620000003"/>
    <n v="1.6160000000000001"/>
    <n v="6.5"/>
  </r>
  <r>
    <s v="399-46-5918"/>
    <x v="38"/>
    <d v="1899-12-30T19:01:00"/>
    <n v="2"/>
    <s v="February"/>
    <s v="C"/>
    <s v="Naypyitaw"/>
    <s v="Normal"/>
    <s v="Female"/>
    <x v="41"/>
    <s v="&gt;70"/>
    <s v="Electronic accessories"/>
    <s v="Cash"/>
    <n v="85.98"/>
    <n v="8"/>
    <n v="34.392000000000003"/>
    <n v="722.23199999999997"/>
    <n v="687.84"/>
    <n v="4.7619047620000003"/>
    <n v="34.392000000000003"/>
    <n v="8.1999999999999993"/>
  </r>
  <r>
    <s v="106-35-6779"/>
    <x v="39"/>
    <d v="1899-12-30T11:26:00"/>
    <n v="3"/>
    <s v="March"/>
    <s v="A"/>
    <s v="Yangon"/>
    <s v="Member"/>
    <s v="Male"/>
    <x v="42"/>
    <s v="20-70"/>
    <s v="Home and lifestyle"/>
    <s v="Cash"/>
    <n v="44.34"/>
    <n v="2"/>
    <n v="4.4340000000000002"/>
    <n v="93.114000000000004"/>
    <n v="88.68"/>
    <n v="4.7619047620000003"/>
    <n v="4.4340000000000002"/>
    <n v="5.8"/>
  </r>
  <r>
    <s v="635-40-6220"/>
    <x v="13"/>
    <d v="1899-12-30T11:28:00"/>
    <n v="2"/>
    <s v="February"/>
    <s v="A"/>
    <s v="Yangon"/>
    <s v="Normal"/>
    <s v="Male"/>
    <x v="20"/>
    <s v="&lt;20"/>
    <s v="Health and beauty"/>
    <s v="Ewallet"/>
    <n v="89.6"/>
    <n v="8"/>
    <n v="35.840000000000003"/>
    <n v="752.64"/>
    <n v="716.8"/>
    <n v="4.7619047620000003"/>
    <n v="35.840000000000003"/>
    <n v="6.6"/>
  </r>
  <r>
    <s v="817-48-8732"/>
    <x v="40"/>
    <d v="1899-12-30T15:55:00"/>
    <n v="1"/>
    <s v="January"/>
    <s v="A"/>
    <s v="Yangon"/>
    <s v="Member"/>
    <s v="Female"/>
    <x v="18"/>
    <s v="20-70"/>
    <s v="Home and lifestyle"/>
    <s v="Cash"/>
    <n v="72.349999999999994"/>
    <n v="10"/>
    <n v="36.174999999999997"/>
    <n v="759.67499999999995"/>
    <n v="723.5"/>
    <n v="4.7619047620000003"/>
    <n v="36.174999999999997"/>
    <n v="5.4"/>
  </r>
  <r>
    <s v="120-06-4233"/>
    <x v="41"/>
    <d v="1899-12-30T20:36:00"/>
    <n v="3"/>
    <s v="March"/>
    <s v="C"/>
    <s v="Naypyitaw"/>
    <s v="Normal"/>
    <s v="Male"/>
    <x v="43"/>
    <s v="20-70"/>
    <s v="Electronic accessories"/>
    <s v="Cash"/>
    <n v="30.61"/>
    <n v="6"/>
    <n v="9.1829999999999998"/>
    <n v="192.84299999999999"/>
    <n v="183.66"/>
    <n v="4.7619047620000003"/>
    <n v="9.1829999999999998"/>
    <n v="9.3000000000000007"/>
  </r>
  <r>
    <s v="285-68-5083"/>
    <x v="42"/>
    <d v="1899-12-30T17:47:00"/>
    <n v="2"/>
    <s v="February"/>
    <s v="C"/>
    <s v="Naypyitaw"/>
    <s v="Member"/>
    <s v="Female"/>
    <x v="44"/>
    <s v="20-70"/>
    <s v="Sports and travel"/>
    <s v="Credit card"/>
    <n v="24.74"/>
    <n v="3"/>
    <n v="3.7109999999999999"/>
    <n v="77.930999999999997"/>
    <n v="74.22"/>
    <n v="4.7619047620000003"/>
    <n v="3.7109999999999999"/>
    <n v="10"/>
  </r>
  <r>
    <s v="803-83-5989"/>
    <x v="7"/>
    <d v="1899-12-30T10:55:00"/>
    <n v="2"/>
    <s v="February"/>
    <s v="C"/>
    <s v="Naypyitaw"/>
    <s v="Normal"/>
    <s v="Male"/>
    <x v="45"/>
    <s v="20-70"/>
    <s v="Home and lifestyle"/>
    <s v="Ewallet"/>
    <n v="55.73"/>
    <n v="6"/>
    <n v="16.719000000000001"/>
    <n v="351.09899999999999"/>
    <n v="334.38"/>
    <n v="4.7619047620000003"/>
    <n v="16.719000000000001"/>
    <n v="7"/>
  </r>
  <r>
    <s v="347-34-2234"/>
    <x v="36"/>
    <d v="1899-12-30T13:40:00"/>
    <n v="2"/>
    <s v="February"/>
    <s v="B"/>
    <s v="Mandalay"/>
    <s v="Member"/>
    <s v="Female"/>
    <x v="46"/>
    <s v="20-70"/>
    <s v="Sports and travel"/>
    <s v="Ewallet"/>
    <n v="55.07"/>
    <n v="9"/>
    <n v="24.781500000000001"/>
    <n v="520.41150000000005"/>
    <n v="495.63"/>
    <n v="4.7619047620000003"/>
    <n v="24.781500000000001"/>
    <n v="10"/>
  </r>
  <r>
    <s v="199-75-8169"/>
    <x v="43"/>
    <d v="1899-12-30T12:27:00"/>
    <n v="3"/>
    <s v="March"/>
    <s v="A"/>
    <s v="Yangon"/>
    <s v="Member"/>
    <s v="Male"/>
    <x v="13"/>
    <s v="&gt;70"/>
    <s v="Sports and travel"/>
    <s v="Credit card"/>
    <n v="15.81"/>
    <n v="10"/>
    <n v="7.9050000000000002"/>
    <n v="166.005"/>
    <n v="158.1"/>
    <n v="4.7619047620000003"/>
    <n v="7.9050000000000002"/>
    <n v="8.6"/>
  </r>
  <r>
    <s v="853-23-2453"/>
    <x v="44"/>
    <d v="1899-12-30T14:35:00"/>
    <n v="2"/>
    <s v="February"/>
    <s v="B"/>
    <s v="Mandalay"/>
    <s v="Member"/>
    <s v="Male"/>
    <x v="6"/>
    <s v="20-70"/>
    <s v="Health and beauty"/>
    <s v="Cash"/>
    <n v="75.739999999999995"/>
    <n v="4"/>
    <n v="15.148"/>
    <n v="318.108"/>
    <n v="302.95999999999998"/>
    <n v="4.7619047620000003"/>
    <n v="15.148"/>
    <n v="7.6"/>
  </r>
  <r>
    <s v="877-22-3308"/>
    <x v="45"/>
    <d v="1899-12-30T16:40:00"/>
    <n v="3"/>
    <s v="March"/>
    <s v="A"/>
    <s v="Yangon"/>
    <s v="Member"/>
    <s v="Male"/>
    <x v="8"/>
    <s v="20-70"/>
    <s v="Health and beauty"/>
    <s v="Cash"/>
    <n v="15.87"/>
    <n v="10"/>
    <n v="7.9349999999999996"/>
    <n v="166.63499999999999"/>
    <n v="158.69999999999999"/>
    <n v="4.7619047620000003"/>
    <n v="7.9349999999999996"/>
    <n v="5.8"/>
  </r>
  <r>
    <s v="838-78-4295"/>
    <x v="34"/>
    <d v="1899-12-30T15:43:00"/>
    <n v="2"/>
    <s v="February"/>
    <s v="C"/>
    <s v="Naypyitaw"/>
    <s v="Normal"/>
    <s v="Female"/>
    <x v="25"/>
    <s v="20-70"/>
    <s v="Health and beauty"/>
    <s v="Ewallet"/>
    <n v="33.47"/>
    <n v="2"/>
    <n v="3.347"/>
    <n v="70.287000000000006"/>
    <n v="66.94"/>
    <n v="4.7619047620000003"/>
    <n v="3.347"/>
    <n v="6.7"/>
  </r>
  <r>
    <s v="109-28-2512"/>
    <x v="27"/>
    <d v="1899-12-30T15:01:00"/>
    <n v="1"/>
    <s v="January"/>
    <s v="B"/>
    <s v="Mandalay"/>
    <s v="Member"/>
    <s v="Female"/>
    <x v="47"/>
    <s v="20-70"/>
    <s v="Fashion accessories"/>
    <s v="Ewallet"/>
    <n v="97.61"/>
    <n v="6"/>
    <n v="29.283000000000001"/>
    <n v="614.94299999999998"/>
    <n v="585.66"/>
    <n v="4.7619047620000003"/>
    <n v="29.283000000000001"/>
    <n v="9.9"/>
  </r>
  <r>
    <s v="232-11-3025"/>
    <x v="46"/>
    <d v="1899-12-30T10:04:00"/>
    <n v="1"/>
    <s v="January"/>
    <s v="A"/>
    <s v="Yangon"/>
    <s v="Normal"/>
    <s v="Male"/>
    <x v="46"/>
    <s v="20-70"/>
    <s v="Sports and travel"/>
    <s v="Cash"/>
    <n v="78.77"/>
    <n v="10"/>
    <n v="39.384999999999998"/>
    <n v="827.08500000000004"/>
    <n v="787.7"/>
    <n v="4.7619047620000003"/>
    <n v="39.384999999999998"/>
    <n v="6.4"/>
  </r>
  <r>
    <s v="382-03-4532"/>
    <x v="30"/>
    <d v="1899-12-30T18:50:00"/>
    <n v="2"/>
    <s v="February"/>
    <s v="A"/>
    <s v="Yangon"/>
    <s v="Member"/>
    <s v="Female"/>
    <x v="14"/>
    <s v="&gt;70"/>
    <s v="Health and beauty"/>
    <s v="Cash"/>
    <n v="18.329999999999998"/>
    <n v="1"/>
    <n v="0.91649999999999998"/>
    <n v="19.246500000000001"/>
    <n v="18.329999999999998"/>
    <n v="4.7619047620000003"/>
    <n v="0.91649999999999998"/>
    <n v="4.3"/>
  </r>
  <r>
    <s v="393-65-2792"/>
    <x v="47"/>
    <d v="1899-12-30T12:46:00"/>
    <n v="1"/>
    <s v="January"/>
    <s v="C"/>
    <s v="Naypyitaw"/>
    <s v="Normal"/>
    <s v="Male"/>
    <x v="48"/>
    <s v="&gt;70"/>
    <s v="Food and beverages"/>
    <s v="Credit card"/>
    <n v="89.48"/>
    <n v="10"/>
    <n v="44.74"/>
    <n v="939.54"/>
    <n v="894.8"/>
    <n v="4.7619047620000003"/>
    <n v="44.74"/>
    <n v="9.6"/>
  </r>
  <r>
    <s v="796-12-2025"/>
    <x v="48"/>
    <d v="1899-12-30T16:19:00"/>
    <n v="2"/>
    <s v="February"/>
    <s v="C"/>
    <s v="Naypyitaw"/>
    <s v="Normal"/>
    <s v="Male"/>
    <x v="38"/>
    <s v="20-70"/>
    <s v="Fashion accessories"/>
    <s v="Cash"/>
    <n v="62.12"/>
    <n v="10"/>
    <n v="31.06"/>
    <n v="652.26"/>
    <n v="621.20000000000005"/>
    <n v="4.7619047620000003"/>
    <n v="31.06"/>
    <n v="5.9"/>
  </r>
  <r>
    <s v="510-95-6347"/>
    <x v="19"/>
    <d v="1899-12-30T18:17:00"/>
    <n v="3"/>
    <s v="March"/>
    <s v="B"/>
    <s v="Mandalay"/>
    <s v="Member"/>
    <s v="Female"/>
    <x v="49"/>
    <s v="20-70"/>
    <s v="Food and beverages"/>
    <s v="Ewallet"/>
    <n v="48.52"/>
    <n v="3"/>
    <n v="7.2779999999999996"/>
    <n v="152.83799999999999"/>
    <n v="145.56"/>
    <n v="4.7619047620000003"/>
    <n v="7.2779999999999996"/>
    <n v="4"/>
  </r>
  <r>
    <s v="841-35-6630"/>
    <x v="11"/>
    <d v="1899-12-30T18:21:00"/>
    <n v="3"/>
    <s v="March"/>
    <s v="C"/>
    <s v="Naypyitaw"/>
    <s v="Normal"/>
    <s v="Female"/>
    <x v="38"/>
    <s v="20-70"/>
    <s v="Electronic accessories"/>
    <s v="Cash"/>
    <n v="75.91"/>
    <n v="6"/>
    <n v="22.773"/>
    <n v="478.233"/>
    <n v="455.46"/>
    <n v="4.7619047620000003"/>
    <n v="22.773"/>
    <n v="8.6999999999999993"/>
  </r>
  <r>
    <s v="287-21-9091"/>
    <x v="49"/>
    <d v="1899-12-30T10:55:00"/>
    <n v="1"/>
    <s v="January"/>
    <s v="A"/>
    <s v="Yangon"/>
    <s v="Normal"/>
    <s v="Male"/>
    <x v="43"/>
    <s v="20-70"/>
    <s v="Home and lifestyle"/>
    <s v="Ewallet"/>
    <n v="74.67"/>
    <n v="9"/>
    <n v="33.601500000000001"/>
    <n v="705.63149999999996"/>
    <n v="672.03"/>
    <n v="4.7619047620000003"/>
    <n v="33.601500000000001"/>
    <n v="9.4"/>
  </r>
  <r>
    <s v="732-94-0499"/>
    <x v="50"/>
    <d v="1899-12-30T17:04:00"/>
    <n v="1"/>
    <s v="January"/>
    <s v="C"/>
    <s v="Naypyitaw"/>
    <s v="Normal"/>
    <s v="Female"/>
    <x v="48"/>
    <s v="&gt;70"/>
    <s v="Electronic accessories"/>
    <s v="Credit card"/>
    <n v="41.65"/>
    <n v="10"/>
    <n v="20.824999999999999"/>
    <n v="437.32499999999999"/>
    <n v="416.5"/>
    <n v="4.7619047620000003"/>
    <n v="20.824999999999999"/>
    <n v="5.4"/>
  </r>
  <r>
    <s v="263-10-3913"/>
    <x v="51"/>
    <d v="1899-12-30T14:20:00"/>
    <n v="1"/>
    <s v="January"/>
    <s v="C"/>
    <s v="Naypyitaw"/>
    <s v="Member"/>
    <s v="Male"/>
    <x v="29"/>
    <s v="20-70"/>
    <s v="Fashion accessories"/>
    <s v="Credit card"/>
    <n v="49.04"/>
    <n v="9"/>
    <n v="22.068000000000001"/>
    <n v="463.428"/>
    <n v="441.36"/>
    <n v="4.7619047620000003"/>
    <n v="22.068000000000001"/>
    <n v="8.6"/>
  </r>
  <r>
    <s v="381-20-0914"/>
    <x v="52"/>
    <d v="1899-12-30T15:48:00"/>
    <n v="1"/>
    <s v="January"/>
    <s v="A"/>
    <s v="Yangon"/>
    <s v="Member"/>
    <s v="Female"/>
    <x v="50"/>
    <s v="20-70"/>
    <s v="Fashion accessories"/>
    <s v="Credit card"/>
    <n v="20.010000000000002"/>
    <n v="9"/>
    <n v="9.0045000000000002"/>
    <n v="189.09450000000001"/>
    <n v="180.09"/>
    <n v="4.7619047620000003"/>
    <n v="9.0045000000000002"/>
    <n v="5.7"/>
  </r>
  <r>
    <s v="829-49-1914"/>
    <x v="19"/>
    <d v="1899-12-30T16:24:00"/>
    <n v="3"/>
    <s v="March"/>
    <s v="C"/>
    <s v="Naypyitaw"/>
    <s v="Member"/>
    <s v="Female"/>
    <x v="51"/>
    <s v="20-70"/>
    <s v="Food and beverages"/>
    <s v="Ewallet"/>
    <n v="78.31"/>
    <n v="10"/>
    <n v="39.155000000000001"/>
    <n v="822.255"/>
    <n v="783.1"/>
    <n v="4.7619047620000003"/>
    <n v="39.155000000000001"/>
    <n v="6.6"/>
  </r>
  <r>
    <s v="756-01-7507"/>
    <x v="49"/>
    <d v="1899-12-30T18:56:00"/>
    <n v="1"/>
    <s v="January"/>
    <s v="C"/>
    <s v="Naypyitaw"/>
    <s v="Normal"/>
    <s v="Female"/>
    <x v="51"/>
    <s v="20-70"/>
    <s v="Health and beauty"/>
    <s v="Cash"/>
    <n v="20.38"/>
    <n v="5"/>
    <n v="5.0949999999999998"/>
    <n v="106.995"/>
    <n v="101.9"/>
    <n v="4.7619047620000003"/>
    <n v="5.0949999999999998"/>
    <n v="6"/>
  </r>
  <r>
    <s v="870-72-4431"/>
    <x v="18"/>
    <d v="1899-12-30T14:42:00"/>
    <n v="1"/>
    <s v="January"/>
    <s v="C"/>
    <s v="Naypyitaw"/>
    <s v="Normal"/>
    <s v="Female"/>
    <x v="51"/>
    <s v="20-70"/>
    <s v="Health and beauty"/>
    <s v="Credit card"/>
    <n v="99.19"/>
    <n v="6"/>
    <n v="29.757000000000001"/>
    <n v="624.89700000000005"/>
    <n v="595.14"/>
    <n v="4.7619047620000003"/>
    <n v="29.757000000000001"/>
    <n v="5.5"/>
  </r>
  <r>
    <s v="847-38-7188"/>
    <x v="53"/>
    <d v="1899-12-30T19:56:00"/>
    <n v="1"/>
    <s v="January"/>
    <s v="B"/>
    <s v="Mandalay"/>
    <s v="Normal"/>
    <s v="Female"/>
    <x v="29"/>
    <s v="20-70"/>
    <s v="Food and beverages"/>
    <s v="Ewallet"/>
    <n v="96.68"/>
    <n v="3"/>
    <n v="14.502000000000001"/>
    <n v="304.54199999999997"/>
    <n v="290.04000000000002"/>
    <n v="4.7619047620000003"/>
    <n v="14.502000000000001"/>
    <n v="6.4"/>
  </r>
  <r>
    <s v="480-63-2856"/>
    <x v="54"/>
    <d v="1899-12-30T18:37:00"/>
    <n v="1"/>
    <s v="January"/>
    <s v="C"/>
    <s v="Naypyitaw"/>
    <s v="Normal"/>
    <s v="Male"/>
    <x v="5"/>
    <s v="&gt;70"/>
    <s v="Food and beverages"/>
    <s v="Ewallet"/>
    <n v="19.25"/>
    <n v="8"/>
    <n v="7.7"/>
    <n v="161.69999999999999"/>
    <n v="154"/>
    <n v="4.7619047620000003"/>
    <n v="7.7"/>
    <n v="6.6"/>
  </r>
  <r>
    <s v="787-56-0757"/>
    <x v="55"/>
    <d v="1899-12-30T18:45:00"/>
    <n v="2"/>
    <s v="February"/>
    <s v="C"/>
    <s v="Naypyitaw"/>
    <s v="Member"/>
    <s v="Female"/>
    <x v="52"/>
    <s v="20-70"/>
    <s v="Food and beverages"/>
    <s v="Credit card"/>
    <n v="80.36"/>
    <n v="4"/>
    <n v="16.071999999999999"/>
    <n v="337.512"/>
    <n v="321.44"/>
    <n v="4.7619047620000003"/>
    <n v="16.071999999999999"/>
    <n v="8.3000000000000007"/>
  </r>
  <r>
    <s v="360-39-5055"/>
    <x v="11"/>
    <d v="1899-12-30T10:17:00"/>
    <n v="3"/>
    <s v="March"/>
    <s v="C"/>
    <s v="Naypyitaw"/>
    <s v="Member"/>
    <s v="Male"/>
    <x v="26"/>
    <s v="20-70"/>
    <s v="Sports and travel"/>
    <s v="Cash"/>
    <n v="48.91"/>
    <n v="5"/>
    <n v="12.227499999999999"/>
    <n v="256.77749999999997"/>
    <n v="244.55"/>
    <n v="4.7619047620000003"/>
    <n v="12.227499999999999"/>
    <n v="6.6"/>
  </r>
  <r>
    <s v="730-50-9884"/>
    <x v="19"/>
    <d v="1899-12-30T14:31:00"/>
    <n v="3"/>
    <s v="March"/>
    <s v="C"/>
    <s v="Naypyitaw"/>
    <s v="Normal"/>
    <s v="Female"/>
    <x v="3"/>
    <s v="20-70"/>
    <s v="Sports and travel"/>
    <s v="Ewallet"/>
    <n v="83.06"/>
    <n v="7"/>
    <n v="29.071000000000002"/>
    <n v="610.49099999999999"/>
    <n v="581.41999999999996"/>
    <n v="4.7619047620000003"/>
    <n v="29.071000000000002"/>
    <n v="4"/>
  </r>
  <r>
    <s v="362-58-8315"/>
    <x v="5"/>
    <d v="1899-12-30T10:23:00"/>
    <n v="3"/>
    <s v="March"/>
    <s v="C"/>
    <s v="Naypyitaw"/>
    <s v="Normal"/>
    <s v="Male"/>
    <x v="40"/>
    <s v="20-70"/>
    <s v="Fashion accessories"/>
    <s v="Cash"/>
    <n v="76.52"/>
    <n v="5"/>
    <n v="19.13"/>
    <n v="401.73"/>
    <n v="382.6"/>
    <n v="4.7619047620000003"/>
    <n v="19.13"/>
    <n v="9.9"/>
  </r>
  <r>
    <s v="633-44-8566"/>
    <x v="39"/>
    <d v="1899-12-30T20:35:00"/>
    <n v="3"/>
    <s v="March"/>
    <s v="A"/>
    <s v="Yangon"/>
    <s v="Member"/>
    <s v="Male"/>
    <x v="12"/>
    <s v="20-70"/>
    <s v="Food and beverages"/>
    <s v="Credit card"/>
    <n v="49.38"/>
    <n v="7"/>
    <n v="17.283000000000001"/>
    <n v="362.94299999999998"/>
    <n v="345.66"/>
    <n v="4.7619047620000003"/>
    <n v="17.283000000000001"/>
    <n v="7.3"/>
  </r>
  <r>
    <s v="504-35-8843"/>
    <x v="56"/>
    <d v="1899-12-30T16:57:00"/>
    <n v="1"/>
    <s v="January"/>
    <s v="A"/>
    <s v="Yangon"/>
    <s v="Normal"/>
    <s v="Male"/>
    <x v="24"/>
    <s v="20-70"/>
    <s v="Sports and travel"/>
    <s v="Cash"/>
    <n v="42.47"/>
    <n v="1"/>
    <n v="2.1234999999999999"/>
    <n v="44.593499999999999"/>
    <n v="42.47"/>
    <n v="4.7619047620000003"/>
    <n v="2.1234999999999999"/>
    <n v="5.7"/>
  </r>
  <r>
    <s v="318-68-5053"/>
    <x v="33"/>
    <d v="1899-12-30T17:55:00"/>
    <n v="2"/>
    <s v="February"/>
    <s v="B"/>
    <s v="Mandalay"/>
    <s v="Normal"/>
    <s v="Female"/>
    <x v="12"/>
    <s v="20-70"/>
    <s v="Health and beauty"/>
    <s v="Cash"/>
    <n v="76.989999999999995"/>
    <n v="6"/>
    <n v="23.097000000000001"/>
    <n v="485.03699999999998"/>
    <n v="461.94"/>
    <n v="4.7619047620000003"/>
    <n v="23.097000000000001"/>
    <n v="6.1"/>
  </r>
  <r>
    <s v="565-80-5980"/>
    <x v="54"/>
    <d v="1899-12-30T10:25:00"/>
    <n v="1"/>
    <s v="January"/>
    <s v="C"/>
    <s v="Naypyitaw"/>
    <s v="Member"/>
    <s v="Female"/>
    <x v="53"/>
    <s v="20-70"/>
    <s v="Home and lifestyle"/>
    <s v="Cash"/>
    <n v="47.38"/>
    <n v="4"/>
    <n v="9.4760000000000009"/>
    <n v="198.99600000000001"/>
    <n v="189.52"/>
    <n v="4.7619047620000003"/>
    <n v="9.4760000000000009"/>
    <n v="7.1"/>
  </r>
  <r>
    <s v="225-32-0908"/>
    <x v="53"/>
    <d v="1899-12-30T19:54:00"/>
    <n v="1"/>
    <s v="January"/>
    <s v="C"/>
    <s v="Naypyitaw"/>
    <s v="Normal"/>
    <s v="Female"/>
    <x v="36"/>
    <s v="&gt;70"/>
    <s v="Sports and travel"/>
    <s v="Ewallet"/>
    <n v="44.86"/>
    <n v="10"/>
    <n v="22.43"/>
    <n v="471.03"/>
    <n v="448.6"/>
    <n v="4.7619047620000003"/>
    <n v="22.43"/>
    <n v="8.1999999999999993"/>
  </r>
  <r>
    <s v="873-51-0671"/>
    <x v="8"/>
    <d v="1899-12-30T16:42:00"/>
    <n v="1"/>
    <s v="January"/>
    <s v="A"/>
    <s v="Yangon"/>
    <s v="Member"/>
    <s v="Female"/>
    <x v="38"/>
    <s v="20-70"/>
    <s v="Sports and travel"/>
    <s v="Ewallet"/>
    <n v="21.98"/>
    <n v="7"/>
    <n v="7.6929999999999996"/>
    <n v="161.553"/>
    <n v="153.86000000000001"/>
    <n v="4.7619047620000003"/>
    <n v="7.6929999999999996"/>
    <n v="5.0999999999999996"/>
  </r>
  <r>
    <s v="152-08-9985"/>
    <x v="41"/>
    <d v="1899-12-30T12:09:00"/>
    <n v="3"/>
    <s v="March"/>
    <s v="B"/>
    <s v="Mandalay"/>
    <s v="Member"/>
    <s v="Male"/>
    <x v="21"/>
    <s v="20-70"/>
    <s v="Health and beauty"/>
    <s v="Credit card"/>
    <n v="64.36"/>
    <n v="9"/>
    <n v="28.962"/>
    <n v="608.202"/>
    <n v="579.24"/>
    <n v="4.7619047620000003"/>
    <n v="28.962"/>
    <n v="8.6"/>
  </r>
  <r>
    <s v="512-91-0811"/>
    <x v="10"/>
    <d v="1899-12-30T20:05:00"/>
    <n v="2"/>
    <s v="February"/>
    <s v="C"/>
    <s v="Naypyitaw"/>
    <s v="Normal"/>
    <s v="Male"/>
    <x v="38"/>
    <s v="20-70"/>
    <s v="Health and beauty"/>
    <s v="Credit card"/>
    <n v="89.75"/>
    <n v="1"/>
    <n v="4.4874999999999998"/>
    <n v="94.237499999999997"/>
    <n v="89.75"/>
    <n v="4.7619047620000003"/>
    <n v="4.4874999999999998"/>
    <n v="6.6"/>
  </r>
  <r>
    <s v="594-34-4444"/>
    <x v="1"/>
    <d v="1899-12-30T20:38:00"/>
    <n v="3"/>
    <s v="March"/>
    <s v="A"/>
    <s v="Yangon"/>
    <s v="Normal"/>
    <s v="Male"/>
    <x v="2"/>
    <s v="20-70"/>
    <s v="Electronic accessories"/>
    <s v="Ewallet"/>
    <n v="97.16"/>
    <n v="1"/>
    <n v="4.8579999999999997"/>
    <n v="102.018"/>
    <n v="97.16"/>
    <n v="4.7619047620000003"/>
    <n v="4.8579999999999997"/>
    <n v="7.2"/>
  </r>
  <r>
    <s v="766-85-7061"/>
    <x v="14"/>
    <d v="1899-12-30T10:25:00"/>
    <n v="3"/>
    <s v="March"/>
    <s v="B"/>
    <s v="Mandalay"/>
    <s v="Normal"/>
    <s v="Male"/>
    <x v="16"/>
    <s v="&lt;20"/>
    <s v="Health and beauty"/>
    <s v="Ewallet"/>
    <n v="87.87"/>
    <n v="10"/>
    <n v="43.935000000000002"/>
    <n v="922.63499999999999"/>
    <n v="878.7"/>
    <n v="4.7619047620000003"/>
    <n v="43.935000000000002"/>
    <n v="5.0999999999999996"/>
  </r>
  <r>
    <s v="871-39-9221"/>
    <x v="57"/>
    <d v="1899-12-30T13:11:00"/>
    <n v="2"/>
    <s v="February"/>
    <s v="C"/>
    <s v="Naypyitaw"/>
    <s v="Normal"/>
    <s v="Female"/>
    <x v="1"/>
    <s v="20-70"/>
    <s v="Electronic accessories"/>
    <s v="Cash"/>
    <n v="12.45"/>
    <n v="6"/>
    <n v="3.7349999999999999"/>
    <n v="78.435000000000002"/>
    <n v="74.7"/>
    <n v="4.7619047620000003"/>
    <n v="3.7349999999999999"/>
    <n v="4.0999999999999996"/>
  </r>
  <r>
    <s v="865-92-6136"/>
    <x v="28"/>
    <d v="1899-12-30T10:16:00"/>
    <n v="3"/>
    <s v="March"/>
    <s v="A"/>
    <s v="Yangon"/>
    <s v="Normal"/>
    <s v="Male"/>
    <x v="54"/>
    <s v="20-70"/>
    <s v="Food and beverages"/>
    <s v="Ewallet"/>
    <n v="52.75"/>
    <n v="3"/>
    <n v="7.9124999999999996"/>
    <n v="166.16249999999999"/>
    <n v="158.25"/>
    <n v="4.7619047620000003"/>
    <n v="7.9124999999999996"/>
    <n v="9.3000000000000007"/>
  </r>
  <r>
    <s v="733-01-9107"/>
    <x v="19"/>
    <d v="1899-12-30T18:14:00"/>
    <n v="3"/>
    <s v="March"/>
    <s v="B"/>
    <s v="Mandalay"/>
    <s v="Normal"/>
    <s v="Male"/>
    <x v="55"/>
    <s v="&gt;70"/>
    <s v="Home and lifestyle"/>
    <s v="Cash"/>
    <n v="82.7"/>
    <n v="6"/>
    <n v="24.81"/>
    <n v="521.01"/>
    <n v="496.2"/>
    <n v="4.7619047620000003"/>
    <n v="24.81"/>
    <n v="7.4"/>
  </r>
  <r>
    <s v="163-56-7055"/>
    <x v="58"/>
    <d v="1899-12-30T19:20:00"/>
    <n v="3"/>
    <s v="March"/>
    <s v="C"/>
    <s v="Naypyitaw"/>
    <s v="Member"/>
    <s v="Male"/>
    <x v="14"/>
    <s v="&gt;70"/>
    <s v="Fashion accessories"/>
    <s v="Cash"/>
    <n v="48.71"/>
    <n v="1"/>
    <n v="2.4355000000000002"/>
    <n v="51.145499999999998"/>
    <n v="48.71"/>
    <n v="4.7619047620000003"/>
    <n v="2.4355000000000002"/>
    <n v="4.0999999999999996"/>
  </r>
  <r>
    <s v="189-98-2939"/>
    <x v="59"/>
    <d v="1899-12-30T13:22:00"/>
    <n v="3"/>
    <s v="March"/>
    <s v="C"/>
    <s v="Naypyitaw"/>
    <s v="Normal"/>
    <s v="Male"/>
    <x v="56"/>
    <s v="&lt;20"/>
    <s v="Fashion accessories"/>
    <s v="Cash"/>
    <n v="78.55"/>
    <n v="9"/>
    <n v="35.347499999999997"/>
    <n v="742.29750000000001"/>
    <n v="706.95"/>
    <n v="4.7619047620000003"/>
    <n v="35.347499999999997"/>
    <n v="7.2"/>
  </r>
  <r>
    <s v="551-21-3069"/>
    <x v="60"/>
    <d v="1899-12-30T11:27:00"/>
    <n v="2"/>
    <s v="February"/>
    <s v="C"/>
    <s v="Naypyitaw"/>
    <s v="Normal"/>
    <s v="Female"/>
    <x v="22"/>
    <s v="20-70"/>
    <s v="Electronic accessories"/>
    <s v="Cash"/>
    <n v="23.07"/>
    <n v="9"/>
    <n v="10.381500000000001"/>
    <n v="218.01150000000001"/>
    <n v="207.63"/>
    <n v="4.7619047620000003"/>
    <n v="10.381500000000001"/>
    <n v="4.9000000000000004"/>
  </r>
  <r>
    <s v="212-62-1842"/>
    <x v="61"/>
    <d v="1899-12-30T16:44:00"/>
    <n v="3"/>
    <s v="March"/>
    <s v="A"/>
    <s v="Yangon"/>
    <s v="Normal"/>
    <s v="Male"/>
    <x v="4"/>
    <s v="20-70"/>
    <s v="Food and beverages"/>
    <s v="Cash"/>
    <n v="58.26"/>
    <n v="6"/>
    <n v="17.478000000000002"/>
    <n v="367.03800000000001"/>
    <n v="349.56"/>
    <n v="4.7619047620000003"/>
    <n v="17.478000000000002"/>
    <n v="9.9"/>
  </r>
  <r>
    <s v="716-39-1409"/>
    <x v="35"/>
    <d v="1899-12-30T18:19:00"/>
    <n v="3"/>
    <s v="March"/>
    <s v="B"/>
    <s v="Mandalay"/>
    <s v="Normal"/>
    <s v="Male"/>
    <x v="4"/>
    <s v="20-70"/>
    <s v="Health and beauty"/>
    <s v="Cash"/>
    <n v="30.35"/>
    <n v="7"/>
    <n v="10.6225"/>
    <n v="223.07249999999999"/>
    <n v="212.45"/>
    <n v="4.7619047620000003"/>
    <n v="10.6225"/>
    <n v="8"/>
  </r>
  <r>
    <s v="704-48-3927"/>
    <x v="52"/>
    <d v="1899-12-30T14:50:00"/>
    <n v="1"/>
    <s v="January"/>
    <s v="A"/>
    <s v="Yangon"/>
    <s v="Member"/>
    <s v="Male"/>
    <x v="57"/>
    <s v="&gt;70"/>
    <s v="Electronic accessories"/>
    <s v="Ewallet"/>
    <n v="88.67"/>
    <n v="10"/>
    <n v="44.335000000000001"/>
    <n v="931.03499999999997"/>
    <n v="886.7"/>
    <n v="4.7619047620000003"/>
    <n v="44.335000000000001"/>
    <n v="7.3"/>
  </r>
  <r>
    <s v="628-34-3388"/>
    <x v="0"/>
    <d v="1899-12-30T20:54:00"/>
    <n v="1"/>
    <s v="January"/>
    <s v="C"/>
    <s v="Naypyitaw"/>
    <s v="Normal"/>
    <s v="Male"/>
    <x v="54"/>
    <s v="20-70"/>
    <s v="Fashion accessories"/>
    <s v="Credit card"/>
    <n v="27.38"/>
    <n v="6"/>
    <n v="8.2140000000000004"/>
    <n v="172.494"/>
    <n v="164.28"/>
    <n v="4.7619047620000003"/>
    <n v="8.2140000000000004"/>
    <n v="7.9"/>
  </r>
  <r>
    <s v="630-74-5166"/>
    <x v="23"/>
    <d v="1899-12-30T20:19:00"/>
    <n v="3"/>
    <s v="March"/>
    <s v="A"/>
    <s v="Yangon"/>
    <s v="Normal"/>
    <s v="Male"/>
    <x v="40"/>
    <s v="20-70"/>
    <s v="Sports and travel"/>
    <s v="Cash"/>
    <n v="62.13"/>
    <n v="6"/>
    <n v="18.638999999999999"/>
    <n v="391.41899999999998"/>
    <n v="372.78"/>
    <n v="4.7619047620000003"/>
    <n v="18.638999999999999"/>
    <n v="7.4"/>
  </r>
  <r>
    <s v="588-01-7461"/>
    <x v="62"/>
    <d v="1899-12-30T10:43:00"/>
    <n v="3"/>
    <s v="March"/>
    <s v="C"/>
    <s v="Naypyitaw"/>
    <s v="Normal"/>
    <s v="Female"/>
    <x v="58"/>
    <s v="20-70"/>
    <s v="Food and beverages"/>
    <s v="Cash"/>
    <n v="33.979999999999997"/>
    <n v="9"/>
    <n v="15.291"/>
    <n v="321.11099999999999"/>
    <n v="305.82"/>
    <n v="4.7619047620000003"/>
    <n v="15.291"/>
    <n v="4.2"/>
  </r>
  <r>
    <s v="861-77-0145"/>
    <x v="2"/>
    <d v="1899-12-30T14:30:00"/>
    <n v="3"/>
    <s v="March"/>
    <s v="C"/>
    <s v="Naypyitaw"/>
    <s v="Member"/>
    <s v="Male"/>
    <x v="59"/>
    <s v="20-70"/>
    <s v="Electronic accessories"/>
    <s v="Cash"/>
    <n v="81.97"/>
    <n v="10"/>
    <n v="40.984999999999999"/>
    <n v="860.68499999999995"/>
    <n v="819.7"/>
    <n v="4.7619047620000003"/>
    <n v="40.984999999999999"/>
    <n v="9.1999999999999993"/>
  </r>
  <r>
    <s v="479-26-8945"/>
    <x v="63"/>
    <d v="1899-12-30T11:32:00"/>
    <n v="2"/>
    <s v="February"/>
    <s v="B"/>
    <s v="Mandalay"/>
    <s v="Member"/>
    <s v="Female"/>
    <x v="18"/>
    <s v="20-70"/>
    <s v="Sports and travel"/>
    <s v="Ewallet"/>
    <n v="16.489999999999998"/>
    <n v="2"/>
    <n v="1.649"/>
    <n v="34.628999999999998"/>
    <n v="32.979999999999997"/>
    <n v="4.7619047620000003"/>
    <n v="1.649"/>
    <n v="4.5999999999999996"/>
  </r>
  <r>
    <s v="210-67-5886"/>
    <x v="63"/>
    <d v="1899-12-30T10:41:00"/>
    <n v="2"/>
    <s v="February"/>
    <s v="C"/>
    <s v="Naypyitaw"/>
    <s v="Member"/>
    <s v="Female"/>
    <x v="11"/>
    <s v="&gt;70"/>
    <s v="Health and beauty"/>
    <s v="Credit card"/>
    <n v="98.21"/>
    <n v="3"/>
    <n v="14.7315"/>
    <n v="309.36149999999998"/>
    <n v="294.63"/>
    <n v="4.7619047620000003"/>
    <n v="14.7315"/>
    <n v="7.8"/>
  </r>
  <r>
    <s v="227-78-1148"/>
    <x v="42"/>
    <d v="1899-12-30T12:44:00"/>
    <n v="2"/>
    <s v="February"/>
    <s v="B"/>
    <s v="Mandalay"/>
    <s v="Normal"/>
    <s v="Female"/>
    <x v="42"/>
    <s v="20-70"/>
    <s v="Fashion accessories"/>
    <s v="Cash"/>
    <n v="72.84"/>
    <n v="7"/>
    <n v="25.494"/>
    <n v="535.37400000000002"/>
    <n v="509.88"/>
    <n v="4.7619047620000003"/>
    <n v="25.494"/>
    <n v="8.4"/>
  </r>
  <r>
    <s v="645-44-1170"/>
    <x v="64"/>
    <d v="1899-12-30T20:07:00"/>
    <n v="1"/>
    <s v="January"/>
    <s v="A"/>
    <s v="Yangon"/>
    <s v="Member"/>
    <s v="Male"/>
    <x v="42"/>
    <s v="20-70"/>
    <s v="Home and lifestyle"/>
    <s v="Ewallet"/>
    <n v="58.07"/>
    <n v="9"/>
    <n v="26.131499999999999"/>
    <n v="548.76149999999996"/>
    <n v="522.63"/>
    <n v="4.7619047620000003"/>
    <n v="26.131499999999999"/>
    <n v="4.3"/>
  </r>
  <r>
    <s v="237-01-6122"/>
    <x v="60"/>
    <d v="1899-12-30T20:31:00"/>
    <n v="2"/>
    <s v="February"/>
    <s v="C"/>
    <s v="Naypyitaw"/>
    <s v="Member"/>
    <s v="Female"/>
    <x v="46"/>
    <s v="20-70"/>
    <s v="Home and lifestyle"/>
    <s v="Credit card"/>
    <n v="80.790000000000006"/>
    <n v="9"/>
    <n v="36.355499999999999"/>
    <n v="763.46550000000002"/>
    <n v="727.11"/>
    <n v="4.7619047620000003"/>
    <n v="36.355499999999999"/>
    <n v="9.5"/>
  </r>
  <r>
    <s v="225-98-1496"/>
    <x v="22"/>
    <d v="1899-12-30T13:01:00"/>
    <n v="3"/>
    <s v="March"/>
    <s v="C"/>
    <s v="Naypyitaw"/>
    <s v="Normal"/>
    <s v="Female"/>
    <x v="59"/>
    <s v="20-70"/>
    <s v="Fashion accessories"/>
    <s v="Credit card"/>
    <n v="27.02"/>
    <n v="3"/>
    <n v="4.0529999999999999"/>
    <n v="85.113"/>
    <n v="81.06"/>
    <n v="4.7619047620000003"/>
    <n v="4.0529999999999999"/>
    <n v="7.1"/>
  </r>
  <r>
    <s v="291-32-1427"/>
    <x v="19"/>
    <d v="1899-12-30T12:29:00"/>
    <n v="3"/>
    <s v="March"/>
    <s v="B"/>
    <s v="Mandalay"/>
    <s v="Member"/>
    <s v="Male"/>
    <x v="34"/>
    <s v="&gt;70"/>
    <s v="Fashion accessories"/>
    <s v="Ewallet"/>
    <n v="21.94"/>
    <n v="5"/>
    <n v="5.4850000000000003"/>
    <n v="115.185"/>
    <n v="109.7"/>
    <n v="4.7619047620000003"/>
    <n v="5.4850000000000003"/>
    <n v="5.3"/>
  </r>
  <r>
    <s v="659-65-8956"/>
    <x v="65"/>
    <d v="1899-12-30T15:26:00"/>
    <n v="1"/>
    <s v="January"/>
    <s v="B"/>
    <s v="Mandalay"/>
    <s v="Member"/>
    <s v="Male"/>
    <x v="33"/>
    <s v="20-70"/>
    <s v="Fashion accessories"/>
    <s v="Ewallet"/>
    <n v="51.36"/>
    <n v="1"/>
    <n v="2.5680000000000001"/>
    <n v="53.927999999999997"/>
    <n v="51.36"/>
    <n v="4.7619047620000003"/>
    <n v="2.5680000000000001"/>
    <n v="5.2"/>
  </r>
  <r>
    <s v="642-32-2990"/>
    <x v="30"/>
    <d v="1899-12-30T20:48:00"/>
    <n v="2"/>
    <s v="February"/>
    <s v="A"/>
    <s v="Yangon"/>
    <s v="Normal"/>
    <s v="Female"/>
    <x v="2"/>
    <s v="20-70"/>
    <s v="Food and beverages"/>
    <s v="Ewallet"/>
    <n v="10.96"/>
    <n v="10"/>
    <n v="5.48"/>
    <n v="115.08"/>
    <n v="109.6"/>
    <n v="4.7619047620000003"/>
    <n v="5.48"/>
    <n v="6"/>
  </r>
  <r>
    <s v="378-24-2715"/>
    <x v="40"/>
    <d v="1899-12-30T20:38:00"/>
    <n v="1"/>
    <s v="January"/>
    <s v="B"/>
    <s v="Mandalay"/>
    <s v="Normal"/>
    <s v="Male"/>
    <x v="60"/>
    <s v="&gt;70"/>
    <s v="Home and lifestyle"/>
    <s v="Ewallet"/>
    <n v="53.44"/>
    <n v="2"/>
    <n v="5.3440000000000003"/>
    <n v="112.224"/>
    <n v="106.88"/>
    <n v="4.7619047620000003"/>
    <n v="5.3440000000000003"/>
    <n v="4.0999999999999996"/>
  </r>
  <r>
    <s v="638-60-7125"/>
    <x v="44"/>
    <d v="1899-12-30T17:03:00"/>
    <n v="2"/>
    <s v="February"/>
    <s v="A"/>
    <s v="Yangon"/>
    <s v="Normal"/>
    <s v="Female"/>
    <x v="48"/>
    <s v="&gt;70"/>
    <s v="Electronic accessories"/>
    <s v="Credit card"/>
    <n v="99.56"/>
    <n v="8"/>
    <n v="39.823999999999998"/>
    <n v="836.30399999999997"/>
    <n v="796.48"/>
    <n v="4.7619047620000003"/>
    <n v="39.823999999999998"/>
    <n v="5.2"/>
  </r>
  <r>
    <s v="659-36-1684"/>
    <x v="52"/>
    <d v="1899-12-30T12:02:00"/>
    <n v="1"/>
    <s v="January"/>
    <s v="C"/>
    <s v="Naypyitaw"/>
    <s v="Member"/>
    <s v="Male"/>
    <x v="53"/>
    <s v="20-70"/>
    <s v="Sports and travel"/>
    <s v="Credit card"/>
    <n v="57.12"/>
    <n v="7"/>
    <n v="19.992000000000001"/>
    <n v="419.83199999999999"/>
    <n v="399.84"/>
    <n v="4.7619047620000003"/>
    <n v="19.992000000000001"/>
    <n v="6.5"/>
  </r>
  <r>
    <s v="219-22-9386"/>
    <x v="11"/>
    <d v="1899-12-30T17:26:00"/>
    <n v="3"/>
    <s v="March"/>
    <s v="B"/>
    <s v="Mandalay"/>
    <s v="Member"/>
    <s v="Male"/>
    <x v="61"/>
    <s v="20-70"/>
    <s v="Sports and travel"/>
    <s v="Credit card"/>
    <n v="99.96"/>
    <n v="9"/>
    <n v="44.981999999999999"/>
    <n v="944.62199999999996"/>
    <n v="899.64"/>
    <n v="4.7619047620000003"/>
    <n v="44.981999999999999"/>
    <n v="4.2"/>
  </r>
  <r>
    <s v="336-78-2147"/>
    <x v="45"/>
    <d v="1899-12-30T19:52:00"/>
    <n v="3"/>
    <s v="March"/>
    <s v="C"/>
    <s v="Naypyitaw"/>
    <s v="Member"/>
    <s v="Male"/>
    <x v="25"/>
    <s v="20-70"/>
    <s v="Home and lifestyle"/>
    <s v="Credit card"/>
    <n v="63.91"/>
    <n v="8"/>
    <n v="25.564"/>
    <n v="536.84400000000005"/>
    <n v="511.28"/>
    <n v="4.7619047620000003"/>
    <n v="25.564"/>
    <n v="4.5999999999999996"/>
  </r>
  <r>
    <s v="268-27-6179"/>
    <x v="11"/>
    <d v="1899-12-30T14:57:00"/>
    <n v="3"/>
    <s v="March"/>
    <s v="B"/>
    <s v="Mandalay"/>
    <s v="Member"/>
    <s v="Female"/>
    <x v="62"/>
    <s v="20-70"/>
    <s v="Fashion accessories"/>
    <s v="Ewallet"/>
    <n v="56.47"/>
    <n v="8"/>
    <n v="22.588000000000001"/>
    <n v="474.34800000000001"/>
    <n v="451.76"/>
    <n v="4.7619047620000003"/>
    <n v="22.588000000000001"/>
    <n v="7.3"/>
  </r>
  <r>
    <s v="668-90-8900"/>
    <x v="24"/>
    <d v="1899-12-30T18:44:00"/>
    <n v="3"/>
    <s v="March"/>
    <s v="A"/>
    <s v="Yangon"/>
    <s v="Normal"/>
    <s v="Female"/>
    <x v="63"/>
    <s v="20-70"/>
    <s v="Home and lifestyle"/>
    <s v="Credit card"/>
    <n v="93.69"/>
    <n v="7"/>
    <n v="32.791499999999999"/>
    <n v="688.62149999999997"/>
    <n v="655.83"/>
    <n v="4.7619047620000003"/>
    <n v="32.791499999999999"/>
    <n v="4.5"/>
  </r>
  <r>
    <s v="870-54-3162"/>
    <x v="3"/>
    <d v="1899-12-30T13:26:00"/>
    <n v="1"/>
    <s v="January"/>
    <s v="A"/>
    <s v="Yangon"/>
    <s v="Normal"/>
    <s v="Female"/>
    <x v="26"/>
    <s v="20-70"/>
    <s v="Sports and travel"/>
    <s v="Cash"/>
    <n v="32.25"/>
    <n v="5"/>
    <n v="8.0625"/>
    <n v="169.3125"/>
    <n v="161.25"/>
    <n v="4.7619047620000003"/>
    <n v="8.0625"/>
    <n v="9"/>
  </r>
  <r>
    <s v="189-08-9157"/>
    <x v="66"/>
    <d v="1899-12-30T16:17:00"/>
    <n v="1"/>
    <s v="January"/>
    <s v="C"/>
    <s v="Naypyitaw"/>
    <s v="Normal"/>
    <s v="Female"/>
    <x v="44"/>
    <s v="20-70"/>
    <s v="Fashion accessories"/>
    <s v="Credit card"/>
    <n v="31.73"/>
    <n v="9"/>
    <n v="14.278499999999999"/>
    <n v="299.8485"/>
    <n v="285.57"/>
    <n v="4.7619047620000003"/>
    <n v="14.278499999999999"/>
    <n v="5.9"/>
  </r>
  <r>
    <s v="663-86-9076"/>
    <x v="66"/>
    <d v="1899-12-30T15:57:00"/>
    <n v="1"/>
    <s v="January"/>
    <s v="C"/>
    <s v="Naypyitaw"/>
    <s v="Member"/>
    <s v="Female"/>
    <x v="3"/>
    <s v="20-70"/>
    <s v="Food and beverages"/>
    <s v="Ewallet"/>
    <n v="68.540000000000006"/>
    <n v="8"/>
    <n v="27.416"/>
    <n v="575.73599999999999"/>
    <n v="548.32000000000005"/>
    <n v="4.7619047620000003"/>
    <n v="27.416"/>
    <n v="8.5"/>
  </r>
  <r>
    <s v="549-84-7482"/>
    <x v="4"/>
    <d v="1899-12-30T11:15:00"/>
    <n v="2"/>
    <s v="February"/>
    <s v="B"/>
    <s v="Mandalay"/>
    <s v="Normal"/>
    <s v="Female"/>
    <x v="11"/>
    <s v="&gt;70"/>
    <s v="Sports and travel"/>
    <s v="Ewallet"/>
    <n v="90.28"/>
    <n v="9"/>
    <n v="40.625999999999998"/>
    <n v="853.14599999999996"/>
    <n v="812.52"/>
    <n v="4.7619047620000003"/>
    <n v="40.625999999999998"/>
    <n v="7.2"/>
  </r>
  <r>
    <s v="191-10-6171"/>
    <x v="25"/>
    <d v="1899-12-30T13:18:00"/>
    <n v="1"/>
    <s v="January"/>
    <s v="B"/>
    <s v="Mandalay"/>
    <s v="Normal"/>
    <s v="Female"/>
    <x v="42"/>
    <s v="20-70"/>
    <s v="Fashion accessories"/>
    <s v="Cash"/>
    <n v="39.619999999999997"/>
    <n v="7"/>
    <n v="13.867000000000001"/>
    <n v="291.20699999999999"/>
    <n v="277.33999999999997"/>
    <n v="4.7619047620000003"/>
    <n v="13.867000000000001"/>
    <n v="7.5"/>
  </r>
  <r>
    <s v="802-70-5316"/>
    <x v="43"/>
    <d v="1899-12-30T20:34:00"/>
    <n v="3"/>
    <s v="March"/>
    <s v="A"/>
    <s v="Yangon"/>
    <s v="Member"/>
    <s v="Female"/>
    <x v="15"/>
    <s v="20-70"/>
    <s v="Sports and travel"/>
    <s v="Cash"/>
    <n v="92.13"/>
    <n v="6"/>
    <n v="27.638999999999999"/>
    <n v="580.41899999999998"/>
    <n v="552.78"/>
    <n v="4.7619047620000003"/>
    <n v="27.638999999999999"/>
    <n v="8.3000000000000007"/>
  </r>
  <r>
    <s v="695-51-0018"/>
    <x v="34"/>
    <d v="1899-12-30T18:36:00"/>
    <n v="2"/>
    <s v="February"/>
    <s v="B"/>
    <s v="Mandalay"/>
    <s v="Normal"/>
    <s v="Female"/>
    <x v="62"/>
    <s v="20-70"/>
    <s v="Sports and travel"/>
    <s v="Cash"/>
    <n v="34.840000000000003"/>
    <n v="4"/>
    <n v="6.968"/>
    <n v="146.328"/>
    <n v="139.36000000000001"/>
    <n v="4.7619047620000003"/>
    <n v="6.968"/>
    <n v="7.4"/>
  </r>
  <r>
    <s v="590-83-4591"/>
    <x v="21"/>
    <d v="1899-12-30T14:40:00"/>
    <n v="2"/>
    <s v="February"/>
    <s v="B"/>
    <s v="Mandalay"/>
    <s v="Member"/>
    <s v="Male"/>
    <x v="11"/>
    <s v="&gt;70"/>
    <s v="Electronic accessories"/>
    <s v="Credit card"/>
    <n v="87.45"/>
    <n v="6"/>
    <n v="26.234999999999999"/>
    <n v="550.93499999999995"/>
    <n v="524.70000000000005"/>
    <n v="4.7619047620000003"/>
    <n v="26.234999999999999"/>
    <n v="8.8000000000000007"/>
  </r>
  <r>
    <s v="483-71-1164"/>
    <x v="1"/>
    <d v="1899-12-30T16:43:00"/>
    <n v="3"/>
    <s v="March"/>
    <s v="C"/>
    <s v="Naypyitaw"/>
    <s v="Normal"/>
    <s v="Female"/>
    <x v="64"/>
    <s v="20-70"/>
    <s v="Health and beauty"/>
    <s v="Ewallet"/>
    <n v="81.3"/>
    <n v="6"/>
    <n v="24.39"/>
    <n v="512.19000000000005"/>
    <n v="487.8"/>
    <n v="4.7619047620000003"/>
    <n v="24.39"/>
    <n v="5.3"/>
  </r>
  <r>
    <s v="597-78-7908"/>
    <x v="67"/>
    <d v="1899-12-30T19:39:00"/>
    <n v="2"/>
    <s v="February"/>
    <s v="C"/>
    <s v="Naypyitaw"/>
    <s v="Normal"/>
    <s v="Male"/>
    <x v="47"/>
    <s v="20-70"/>
    <s v="Fashion accessories"/>
    <s v="Cash"/>
    <n v="90.22"/>
    <n v="3"/>
    <n v="13.532999999999999"/>
    <n v="284.19299999999998"/>
    <n v="270.66000000000003"/>
    <n v="4.7619047620000003"/>
    <n v="13.532999999999999"/>
    <n v="6.2"/>
  </r>
  <r>
    <s v="700-81-1757"/>
    <x v="68"/>
    <d v="1899-12-30T20:59:00"/>
    <n v="1"/>
    <s v="January"/>
    <s v="A"/>
    <s v="Yangon"/>
    <s v="Normal"/>
    <s v="Female"/>
    <x v="65"/>
    <s v="&gt;70"/>
    <s v="Electronic accessories"/>
    <s v="Credit card"/>
    <n v="26.31"/>
    <n v="5"/>
    <n v="6.5774999999999997"/>
    <n v="138.1275"/>
    <n v="131.55000000000001"/>
    <n v="4.7619047620000003"/>
    <n v="6.5774999999999997"/>
    <n v="8.8000000000000007"/>
  </r>
  <r>
    <s v="354-39-5160"/>
    <x v="67"/>
    <d v="1899-12-30T15:39:00"/>
    <n v="2"/>
    <s v="February"/>
    <s v="A"/>
    <s v="Yangon"/>
    <s v="Member"/>
    <s v="Female"/>
    <x v="32"/>
    <s v="20-70"/>
    <s v="Home and lifestyle"/>
    <s v="Cash"/>
    <n v="34.42"/>
    <n v="6"/>
    <n v="10.326000000000001"/>
    <n v="216.846"/>
    <n v="206.52"/>
    <n v="4.7619047620000003"/>
    <n v="10.326000000000001"/>
    <n v="9.8000000000000007"/>
  </r>
  <r>
    <s v="241-72-9525"/>
    <x v="69"/>
    <d v="1899-12-30T12:21:00"/>
    <n v="2"/>
    <s v="February"/>
    <s v="B"/>
    <s v="Mandalay"/>
    <s v="Normal"/>
    <s v="Male"/>
    <x v="62"/>
    <s v="20-70"/>
    <s v="Sports and travel"/>
    <s v="Cash"/>
    <n v="51.91"/>
    <n v="10"/>
    <n v="25.954999999999998"/>
    <n v="545.05499999999995"/>
    <n v="519.1"/>
    <n v="4.7619047620000003"/>
    <n v="25.954999999999998"/>
    <n v="8.1999999999999993"/>
  </r>
  <r>
    <s v="575-30-8091"/>
    <x v="32"/>
    <d v="1899-12-30T19:25:00"/>
    <n v="3"/>
    <s v="March"/>
    <s v="A"/>
    <s v="Yangon"/>
    <s v="Normal"/>
    <s v="Male"/>
    <x v="60"/>
    <s v="&gt;70"/>
    <s v="Sports and travel"/>
    <s v="Ewallet"/>
    <n v="72.5"/>
    <n v="8"/>
    <n v="29"/>
    <n v="609"/>
    <n v="580"/>
    <n v="4.7619047620000003"/>
    <n v="29"/>
    <n v="9.1999999999999993"/>
  </r>
  <r>
    <s v="731-81-9469"/>
    <x v="54"/>
    <d v="1899-12-30T13:00:00"/>
    <n v="1"/>
    <s v="January"/>
    <s v="C"/>
    <s v="Naypyitaw"/>
    <s v="Member"/>
    <s v="Female"/>
    <x v="6"/>
    <s v="20-70"/>
    <s v="Sports and travel"/>
    <s v="Credit card"/>
    <n v="89.8"/>
    <n v="10"/>
    <n v="44.9"/>
    <n v="942.9"/>
    <n v="898"/>
    <n v="4.7619047620000003"/>
    <n v="44.9"/>
    <n v="5.4"/>
  </r>
  <r>
    <s v="280-17-4359"/>
    <x v="25"/>
    <d v="1899-12-30T13:48:00"/>
    <n v="1"/>
    <s v="January"/>
    <s v="C"/>
    <s v="Naypyitaw"/>
    <s v="Member"/>
    <s v="Male"/>
    <x v="11"/>
    <s v="&gt;70"/>
    <s v="Health and beauty"/>
    <s v="Cash"/>
    <n v="90.5"/>
    <n v="10"/>
    <n v="45.25"/>
    <n v="950.25"/>
    <n v="905"/>
    <n v="4.7619047620000003"/>
    <n v="45.25"/>
    <n v="8.1"/>
  </r>
  <r>
    <s v="338-65-2210"/>
    <x v="63"/>
    <d v="1899-12-30T19:57:00"/>
    <n v="2"/>
    <s v="February"/>
    <s v="C"/>
    <s v="Naypyitaw"/>
    <s v="Member"/>
    <s v="Female"/>
    <x v="28"/>
    <s v="20-70"/>
    <s v="Health and beauty"/>
    <s v="Cash"/>
    <n v="68.599999999999994"/>
    <n v="10"/>
    <n v="34.299999999999997"/>
    <n v="720.3"/>
    <n v="686"/>
    <n v="4.7619047620000003"/>
    <n v="34.299999999999997"/>
    <n v="9.1"/>
  </r>
  <r>
    <s v="488-25-4221"/>
    <x v="70"/>
    <d v="1899-12-30T10:36:00"/>
    <n v="2"/>
    <s v="February"/>
    <s v="C"/>
    <s v="Naypyitaw"/>
    <s v="Member"/>
    <s v="Female"/>
    <x v="66"/>
    <s v="&lt;20"/>
    <s v="Food and beverages"/>
    <s v="Credit card"/>
    <n v="30.41"/>
    <n v="1"/>
    <n v="1.5205"/>
    <n v="31.930499999999999"/>
    <n v="30.41"/>
    <n v="4.7619047620000003"/>
    <n v="1.5205"/>
    <n v="8.4"/>
  </r>
  <r>
    <s v="239-10-7476"/>
    <x v="18"/>
    <d v="1899-12-30T16:37:00"/>
    <n v="1"/>
    <s v="January"/>
    <s v="A"/>
    <s v="Yangon"/>
    <s v="Normal"/>
    <s v="Female"/>
    <x v="63"/>
    <s v="20-70"/>
    <s v="Home and lifestyle"/>
    <s v="Ewallet"/>
    <n v="77.95"/>
    <n v="6"/>
    <n v="23.385000000000002"/>
    <n v="491.08499999999998"/>
    <n v="467.7"/>
    <n v="4.7619047620000003"/>
    <n v="23.385000000000002"/>
    <n v="8"/>
  </r>
  <r>
    <s v="458-41-1477"/>
    <x v="1"/>
    <d v="1899-12-30T17:11:00"/>
    <n v="3"/>
    <s v="March"/>
    <s v="C"/>
    <s v="Naypyitaw"/>
    <s v="Normal"/>
    <s v="Female"/>
    <x v="33"/>
    <s v="20-70"/>
    <s v="Health and beauty"/>
    <s v="Credit card"/>
    <n v="46.26"/>
    <n v="6"/>
    <n v="13.878"/>
    <n v="291.43799999999999"/>
    <n v="277.56"/>
    <n v="4.7619047620000003"/>
    <n v="13.878"/>
    <n v="9.5"/>
  </r>
  <r>
    <s v="685-64-1609"/>
    <x v="34"/>
    <d v="1899-12-30T12:28:00"/>
    <n v="2"/>
    <s v="February"/>
    <s v="A"/>
    <s v="Yangon"/>
    <s v="Member"/>
    <s v="Female"/>
    <x v="12"/>
    <s v="20-70"/>
    <s v="Fashion accessories"/>
    <s v="Ewallet"/>
    <n v="30.14"/>
    <n v="10"/>
    <n v="15.07"/>
    <n v="316.47000000000003"/>
    <n v="301.39999999999998"/>
    <n v="4.7619047620000003"/>
    <n v="15.07"/>
    <n v="9.1999999999999993"/>
  </r>
  <r>
    <s v="568-90-5112"/>
    <x v="35"/>
    <d v="1899-12-30T12:46:00"/>
    <n v="3"/>
    <s v="March"/>
    <s v="C"/>
    <s v="Naypyitaw"/>
    <s v="Normal"/>
    <s v="Male"/>
    <x v="46"/>
    <s v="20-70"/>
    <s v="Health and beauty"/>
    <s v="Credit card"/>
    <n v="66.14"/>
    <n v="4"/>
    <n v="13.228"/>
    <n v="277.78800000000001"/>
    <n v="264.56"/>
    <n v="4.7619047620000003"/>
    <n v="13.228"/>
    <n v="5.6"/>
  </r>
  <r>
    <s v="262-47-2794"/>
    <x v="43"/>
    <d v="1899-12-30T15:07:00"/>
    <n v="3"/>
    <s v="March"/>
    <s v="B"/>
    <s v="Mandalay"/>
    <s v="Member"/>
    <s v="Male"/>
    <x v="5"/>
    <s v="&gt;70"/>
    <s v="Home and lifestyle"/>
    <s v="Credit card"/>
    <n v="71.86"/>
    <n v="8"/>
    <n v="28.744"/>
    <n v="603.62400000000002"/>
    <n v="574.88"/>
    <n v="4.7619047620000003"/>
    <n v="28.744"/>
    <n v="6.2"/>
  </r>
  <r>
    <s v="238-49-0436"/>
    <x v="39"/>
    <d v="1899-12-30T13:48:00"/>
    <n v="3"/>
    <s v="March"/>
    <s v="A"/>
    <s v="Yangon"/>
    <s v="Normal"/>
    <s v="Male"/>
    <x v="36"/>
    <s v="&gt;70"/>
    <s v="Health and beauty"/>
    <s v="Credit card"/>
    <n v="32.46"/>
    <n v="8"/>
    <n v="12.984"/>
    <n v="272.66399999999999"/>
    <n v="259.68"/>
    <n v="4.7619047620000003"/>
    <n v="12.984"/>
    <n v="4.9000000000000004"/>
  </r>
  <r>
    <s v="608-96-3517"/>
    <x v="28"/>
    <d v="1899-12-30T19:20:00"/>
    <n v="3"/>
    <s v="March"/>
    <s v="B"/>
    <s v="Mandalay"/>
    <s v="Member"/>
    <s v="Female"/>
    <x v="37"/>
    <s v="20-70"/>
    <s v="Fashion accessories"/>
    <s v="Credit card"/>
    <n v="91.54"/>
    <n v="4"/>
    <n v="18.308"/>
    <n v="384.46800000000002"/>
    <n v="366.16"/>
    <n v="4.7619047620000003"/>
    <n v="18.308"/>
    <n v="4.8"/>
  </r>
  <r>
    <s v="584-86-7256"/>
    <x v="16"/>
    <d v="1899-12-30T16:07:00"/>
    <n v="3"/>
    <s v="March"/>
    <s v="C"/>
    <s v="Naypyitaw"/>
    <s v="Member"/>
    <s v="Male"/>
    <x v="51"/>
    <s v="20-70"/>
    <s v="Sports and travel"/>
    <s v="Credit card"/>
    <n v="34.56"/>
    <n v="7"/>
    <n v="12.096"/>
    <n v="254.01599999999999"/>
    <n v="241.92"/>
    <n v="4.7619047620000003"/>
    <n v="12.096"/>
    <n v="7.3"/>
  </r>
  <r>
    <s v="746-94-0204"/>
    <x v="71"/>
    <d v="1899-12-30T11:56:00"/>
    <n v="1"/>
    <s v="January"/>
    <s v="A"/>
    <s v="Yangon"/>
    <s v="Normal"/>
    <s v="Male"/>
    <x v="67"/>
    <s v="20-70"/>
    <s v="Fashion accessories"/>
    <s v="Credit card"/>
    <n v="83.24"/>
    <n v="9"/>
    <n v="37.457999999999998"/>
    <n v="786.61800000000005"/>
    <n v="749.16"/>
    <n v="4.7619047620000003"/>
    <n v="37.457999999999998"/>
    <n v="7.4"/>
  </r>
  <r>
    <s v="214-17-6927"/>
    <x v="13"/>
    <d v="1899-12-30T18:23:00"/>
    <n v="2"/>
    <s v="February"/>
    <s v="C"/>
    <s v="Naypyitaw"/>
    <s v="Normal"/>
    <s v="Female"/>
    <x v="64"/>
    <s v="20-70"/>
    <s v="Food and beverages"/>
    <s v="Ewallet"/>
    <n v="16.48"/>
    <n v="6"/>
    <n v="4.944"/>
    <n v="103.824"/>
    <n v="98.88"/>
    <n v="4.7619047620000003"/>
    <n v="4.944"/>
    <n v="9.9"/>
  </r>
  <r>
    <s v="400-89-4171"/>
    <x v="26"/>
    <d v="1899-12-30T13:05:00"/>
    <n v="1"/>
    <s v="January"/>
    <s v="C"/>
    <s v="Naypyitaw"/>
    <s v="Normal"/>
    <s v="Female"/>
    <x v="48"/>
    <s v="&gt;70"/>
    <s v="Sports and travel"/>
    <s v="Cash"/>
    <n v="80.97"/>
    <n v="8"/>
    <n v="32.387999999999998"/>
    <n v="680.14800000000002"/>
    <n v="647.76"/>
    <n v="4.7619047620000003"/>
    <n v="32.387999999999998"/>
    <n v="9.3000000000000007"/>
  </r>
  <r>
    <s v="782-95-9291"/>
    <x v="9"/>
    <d v="1899-12-30T15:55:00"/>
    <n v="2"/>
    <s v="February"/>
    <s v="A"/>
    <s v="Yangon"/>
    <s v="Member"/>
    <s v="Male"/>
    <x v="24"/>
    <s v="20-70"/>
    <s v="Food and beverages"/>
    <s v="Credit card"/>
    <n v="92.29"/>
    <n v="5"/>
    <n v="23.072500000000002"/>
    <n v="484.52249999999998"/>
    <n v="461.45"/>
    <n v="4.7619047620000003"/>
    <n v="23.072500000000002"/>
    <n v="9"/>
  </r>
  <r>
    <s v="279-74-2924"/>
    <x v="72"/>
    <d v="1899-12-30T19:40:00"/>
    <n v="1"/>
    <s v="January"/>
    <s v="B"/>
    <s v="Mandalay"/>
    <s v="Member"/>
    <s v="Male"/>
    <x v="47"/>
    <s v="20-70"/>
    <s v="Electronic accessories"/>
    <s v="Cash"/>
    <n v="72.17"/>
    <n v="1"/>
    <n v="3.6084999999999998"/>
    <n v="75.778499999999994"/>
    <n v="72.17"/>
    <n v="4.7619047620000003"/>
    <n v="3.6084999999999998"/>
    <n v="6.1"/>
  </r>
  <r>
    <s v="307-85-2293"/>
    <x v="37"/>
    <d v="1899-12-30T13:58:00"/>
    <n v="3"/>
    <s v="March"/>
    <s v="B"/>
    <s v="Mandalay"/>
    <s v="Normal"/>
    <s v="Male"/>
    <x v="47"/>
    <s v="20-70"/>
    <s v="Home and lifestyle"/>
    <s v="Ewallet"/>
    <n v="50.28"/>
    <n v="5"/>
    <n v="12.57"/>
    <n v="263.97000000000003"/>
    <n v="251.4"/>
    <n v="4.7619047620000003"/>
    <n v="12.57"/>
    <n v="9.6999999999999993"/>
  </r>
  <r>
    <s v="743-04-1105"/>
    <x v="73"/>
    <d v="1899-12-30T14:43:00"/>
    <n v="3"/>
    <s v="March"/>
    <s v="B"/>
    <s v="Mandalay"/>
    <s v="Member"/>
    <s v="Male"/>
    <x v="36"/>
    <s v="&gt;70"/>
    <s v="Health and beauty"/>
    <s v="Ewallet"/>
    <n v="97.22"/>
    <n v="9"/>
    <n v="43.749000000000002"/>
    <n v="918.72900000000004"/>
    <n v="874.98"/>
    <n v="4.7619047620000003"/>
    <n v="43.749000000000002"/>
    <n v="6"/>
  </r>
  <r>
    <s v="423-57-2993"/>
    <x v="39"/>
    <d v="1899-12-30T19:18:00"/>
    <n v="3"/>
    <s v="March"/>
    <s v="B"/>
    <s v="Mandalay"/>
    <s v="Normal"/>
    <s v="Male"/>
    <x v="66"/>
    <s v="&lt;20"/>
    <s v="Sports and travel"/>
    <s v="Ewallet"/>
    <n v="93.39"/>
    <n v="6"/>
    <n v="28.016999999999999"/>
    <n v="588.35699999999997"/>
    <n v="560.34"/>
    <n v="4.7619047620000003"/>
    <n v="28.016999999999999"/>
    <n v="10"/>
  </r>
  <r>
    <s v="894-41-5205"/>
    <x v="64"/>
    <d v="1899-12-30T19:39:00"/>
    <n v="1"/>
    <s v="January"/>
    <s v="C"/>
    <s v="Naypyitaw"/>
    <s v="Normal"/>
    <s v="Female"/>
    <x v="52"/>
    <s v="20-70"/>
    <s v="Food and beverages"/>
    <s v="Credit card"/>
    <n v="43.18"/>
    <n v="8"/>
    <n v="17.271999999999998"/>
    <n v="362.71199999999999"/>
    <n v="345.44"/>
    <n v="4.7619047620000003"/>
    <n v="17.271999999999998"/>
    <n v="8.3000000000000007"/>
  </r>
  <r>
    <s v="275-28-0149"/>
    <x v="6"/>
    <d v="1899-12-30T16:21:00"/>
    <n v="2"/>
    <s v="February"/>
    <s v="A"/>
    <s v="Yangon"/>
    <s v="Normal"/>
    <s v="Male"/>
    <x v="67"/>
    <s v="20-70"/>
    <s v="Sports and travel"/>
    <s v="Cash"/>
    <n v="63.69"/>
    <n v="1"/>
    <n v="3.1844999999999999"/>
    <n v="66.874499999999998"/>
    <n v="63.69"/>
    <n v="4.7619047620000003"/>
    <n v="3.1844999999999999"/>
    <n v="6"/>
  </r>
  <r>
    <s v="101-17-6199"/>
    <x v="45"/>
    <d v="1899-12-30T19:44:00"/>
    <n v="3"/>
    <s v="March"/>
    <s v="A"/>
    <s v="Yangon"/>
    <s v="Normal"/>
    <s v="Male"/>
    <x v="20"/>
    <s v="&lt;20"/>
    <s v="Food and beverages"/>
    <s v="Credit card"/>
    <n v="45.79"/>
    <n v="7"/>
    <n v="16.026499999999999"/>
    <n v="336.55650000000003"/>
    <n v="320.52999999999997"/>
    <n v="4.7619047620000003"/>
    <n v="16.026499999999999"/>
    <n v="7"/>
  </r>
  <r>
    <s v="423-80-0988"/>
    <x v="74"/>
    <d v="1899-12-30T19:42:00"/>
    <n v="1"/>
    <s v="January"/>
    <s v="C"/>
    <s v="Naypyitaw"/>
    <s v="Normal"/>
    <s v="Male"/>
    <x v="56"/>
    <s v="&lt;20"/>
    <s v="Sports and travel"/>
    <s v="Ewallet"/>
    <n v="76.400000000000006"/>
    <n v="2"/>
    <n v="7.64"/>
    <n v="160.44"/>
    <n v="152.80000000000001"/>
    <n v="4.7619047620000003"/>
    <n v="7.64"/>
    <n v="6.5"/>
  </r>
  <r>
    <s v="548-46-9322"/>
    <x v="9"/>
    <d v="1899-12-30T15:24:00"/>
    <n v="2"/>
    <s v="February"/>
    <s v="B"/>
    <s v="Mandalay"/>
    <s v="Normal"/>
    <s v="Male"/>
    <x v="46"/>
    <s v="20-70"/>
    <s v="Food and beverages"/>
    <s v="Credit card"/>
    <n v="39.9"/>
    <n v="10"/>
    <n v="19.95"/>
    <n v="418.95"/>
    <n v="399"/>
    <n v="4.7619047620000003"/>
    <n v="19.95"/>
    <n v="5.9"/>
  </r>
  <r>
    <s v="505-02-0892"/>
    <x v="6"/>
    <d v="1899-12-30T14:12:00"/>
    <n v="2"/>
    <s v="February"/>
    <s v="B"/>
    <s v="Mandalay"/>
    <s v="Member"/>
    <s v="Male"/>
    <x v="54"/>
    <s v="20-70"/>
    <s v="Health and beauty"/>
    <s v="Ewallet"/>
    <n v="42.57"/>
    <n v="8"/>
    <n v="17.027999999999999"/>
    <n v="357.58800000000002"/>
    <n v="340.56"/>
    <n v="4.7619047620000003"/>
    <n v="17.027999999999999"/>
    <n v="5.6"/>
  </r>
  <r>
    <s v="234-65-2137"/>
    <x v="65"/>
    <d v="1899-12-30T13:32:00"/>
    <n v="1"/>
    <s v="January"/>
    <s v="C"/>
    <s v="Naypyitaw"/>
    <s v="Normal"/>
    <s v="Male"/>
    <x v="25"/>
    <s v="20-70"/>
    <s v="Home and lifestyle"/>
    <s v="Cash"/>
    <n v="95.58"/>
    <n v="10"/>
    <n v="47.79"/>
    <n v="1003.59"/>
    <n v="955.8"/>
    <n v="4.7619047620000003"/>
    <n v="47.79"/>
    <n v="4.8"/>
  </r>
  <r>
    <s v="687-47-8271"/>
    <x v="4"/>
    <d v="1899-12-30T16:20:00"/>
    <n v="2"/>
    <s v="February"/>
    <s v="A"/>
    <s v="Yangon"/>
    <s v="Normal"/>
    <s v="Male"/>
    <x v="0"/>
    <s v="&lt;20"/>
    <s v="Fashion accessories"/>
    <s v="Credit card"/>
    <n v="98.98"/>
    <n v="10"/>
    <n v="49.49"/>
    <n v="1039.29"/>
    <n v="989.8"/>
    <n v="4.7619047620000003"/>
    <n v="49.49"/>
    <n v="8.6999999999999993"/>
  </r>
  <r>
    <s v="796-32-9050"/>
    <x v="64"/>
    <d v="1899-12-30T16:31:00"/>
    <n v="1"/>
    <s v="January"/>
    <s v="A"/>
    <s v="Yangon"/>
    <s v="Normal"/>
    <s v="Male"/>
    <x v="56"/>
    <s v="&lt;20"/>
    <s v="Food and beverages"/>
    <s v="Cash"/>
    <n v="51.28"/>
    <n v="6"/>
    <n v="15.384"/>
    <n v="323.06400000000002"/>
    <n v="307.68"/>
    <n v="4.7619047620000003"/>
    <n v="15.384"/>
    <n v="6.5"/>
  </r>
  <r>
    <s v="105-31-1824"/>
    <x v="60"/>
    <d v="1899-12-30T15:10:00"/>
    <n v="2"/>
    <s v="February"/>
    <s v="A"/>
    <s v="Yangon"/>
    <s v="Member"/>
    <s v="Male"/>
    <x v="1"/>
    <s v="20-70"/>
    <s v="Sports and travel"/>
    <s v="Credit card"/>
    <n v="69.52"/>
    <n v="7"/>
    <n v="24.332000000000001"/>
    <n v="510.97199999999998"/>
    <n v="486.64"/>
    <n v="4.7619047620000003"/>
    <n v="24.332000000000001"/>
    <n v="8.5"/>
  </r>
  <r>
    <s v="249-42-3782"/>
    <x v="75"/>
    <d v="1899-12-30T11:36:00"/>
    <n v="1"/>
    <s v="January"/>
    <s v="A"/>
    <s v="Yangon"/>
    <s v="Normal"/>
    <s v="Male"/>
    <x v="44"/>
    <s v="20-70"/>
    <s v="Health and beauty"/>
    <s v="Ewallet"/>
    <n v="70.010000000000005"/>
    <n v="5"/>
    <n v="17.502500000000001"/>
    <n v="367.55250000000001"/>
    <n v="350.05"/>
    <n v="4.7619047620000003"/>
    <n v="17.502500000000001"/>
    <n v="5.5"/>
  </r>
  <r>
    <s v="316-55-4634"/>
    <x v="53"/>
    <d v="1899-12-30T12:45:00"/>
    <n v="1"/>
    <s v="January"/>
    <s v="B"/>
    <s v="Mandalay"/>
    <s v="Member"/>
    <s v="Male"/>
    <x v="23"/>
    <s v="20-70"/>
    <s v="Food and beverages"/>
    <s v="Credit card"/>
    <n v="80.05"/>
    <n v="5"/>
    <n v="20.012499999999999"/>
    <n v="420.26249999999999"/>
    <n v="400.25"/>
    <n v="4.7619047620000003"/>
    <n v="20.012499999999999"/>
    <n v="9.4"/>
  </r>
  <r>
    <s v="733-33-4967"/>
    <x v="2"/>
    <d v="1899-12-30T19:17:00"/>
    <n v="3"/>
    <s v="March"/>
    <s v="C"/>
    <s v="Naypyitaw"/>
    <s v="Normal"/>
    <s v="Male"/>
    <x v="68"/>
    <s v="20-70"/>
    <s v="Electronic accessories"/>
    <s v="Cash"/>
    <n v="20.85"/>
    <n v="8"/>
    <n v="8.34"/>
    <n v="175.14"/>
    <n v="166.8"/>
    <n v="4.7619047620000003"/>
    <n v="8.34"/>
    <n v="6.3"/>
  </r>
  <r>
    <s v="608-27-6295"/>
    <x v="64"/>
    <d v="1899-12-30T17:34:00"/>
    <n v="1"/>
    <s v="January"/>
    <s v="B"/>
    <s v="Mandalay"/>
    <s v="Member"/>
    <s v="Male"/>
    <x v="41"/>
    <s v="&gt;70"/>
    <s v="Electronic accessories"/>
    <s v="Credit card"/>
    <n v="52.89"/>
    <n v="6"/>
    <n v="15.867000000000001"/>
    <n v="333.20699999999999"/>
    <n v="317.33999999999997"/>
    <n v="4.7619047620000003"/>
    <n v="15.867000000000001"/>
    <n v="9.8000000000000007"/>
  </r>
  <r>
    <s v="414-12-7047"/>
    <x v="68"/>
    <d v="1899-12-30T12:04:00"/>
    <n v="1"/>
    <s v="January"/>
    <s v="B"/>
    <s v="Mandalay"/>
    <s v="Normal"/>
    <s v="Male"/>
    <x v="19"/>
    <s v="20-70"/>
    <s v="Food and beverages"/>
    <s v="Ewallet"/>
    <n v="19.79"/>
    <n v="8"/>
    <n v="7.9160000000000004"/>
    <n v="166.23599999999999"/>
    <n v="158.32"/>
    <n v="4.7619047620000003"/>
    <n v="7.9160000000000004"/>
    <n v="8.6999999999999993"/>
  </r>
  <r>
    <s v="827-26-2100"/>
    <x v="76"/>
    <d v="1899-12-30T16:21:00"/>
    <n v="3"/>
    <s v="March"/>
    <s v="A"/>
    <s v="Yangon"/>
    <s v="Member"/>
    <s v="Male"/>
    <x v="2"/>
    <s v="20-70"/>
    <s v="Home and lifestyle"/>
    <s v="Ewallet"/>
    <n v="33.840000000000003"/>
    <n v="9"/>
    <n v="15.228"/>
    <n v="319.78800000000001"/>
    <n v="304.56"/>
    <n v="4.7619047620000003"/>
    <n v="15.228"/>
    <n v="8.8000000000000007"/>
  </r>
  <r>
    <s v="175-54-2529"/>
    <x v="2"/>
    <d v="1899-12-30T17:01:00"/>
    <n v="3"/>
    <s v="March"/>
    <s v="A"/>
    <s v="Yangon"/>
    <s v="Member"/>
    <s v="Male"/>
    <x v="44"/>
    <s v="20-70"/>
    <s v="Food and beverages"/>
    <s v="Credit card"/>
    <n v="22.17"/>
    <n v="8"/>
    <n v="8.8680000000000003"/>
    <n v="186.22800000000001"/>
    <n v="177.36"/>
    <n v="4.7619047620000003"/>
    <n v="8.8680000000000003"/>
    <n v="9.6"/>
  </r>
  <r>
    <s v="139-52-2867"/>
    <x v="77"/>
    <d v="1899-12-30T10:50:00"/>
    <n v="2"/>
    <s v="February"/>
    <s v="C"/>
    <s v="Naypyitaw"/>
    <s v="Normal"/>
    <s v="Female"/>
    <x v="67"/>
    <s v="20-70"/>
    <s v="Fashion accessories"/>
    <s v="Credit card"/>
    <n v="22.51"/>
    <n v="7"/>
    <n v="7.8784999999999998"/>
    <n v="165.4485"/>
    <n v="157.57"/>
    <n v="4.7619047620000003"/>
    <n v="7.8784999999999998"/>
    <n v="4.8"/>
  </r>
  <r>
    <s v="407-63-8975"/>
    <x v="28"/>
    <d v="1899-12-30T19:16:00"/>
    <n v="3"/>
    <s v="March"/>
    <s v="A"/>
    <s v="Yangon"/>
    <s v="Normal"/>
    <s v="Male"/>
    <x v="50"/>
    <s v="20-70"/>
    <s v="Food and beverages"/>
    <s v="Ewallet"/>
    <n v="73.88"/>
    <n v="6"/>
    <n v="22.164000000000001"/>
    <n v="465.44400000000002"/>
    <n v="443.28"/>
    <n v="4.7619047620000003"/>
    <n v="22.164000000000001"/>
    <n v="4.4000000000000004"/>
  </r>
  <r>
    <s v="342-65-4817"/>
    <x v="26"/>
    <d v="1899-12-30T16:47:00"/>
    <n v="1"/>
    <s v="January"/>
    <s v="C"/>
    <s v="Naypyitaw"/>
    <s v="Member"/>
    <s v="Male"/>
    <x v="48"/>
    <s v="&gt;70"/>
    <s v="Health and beauty"/>
    <s v="Ewallet"/>
    <n v="86.8"/>
    <n v="3"/>
    <n v="13.02"/>
    <n v="273.42"/>
    <n v="260.39999999999998"/>
    <n v="4.7619047620000003"/>
    <n v="13.02"/>
    <n v="9.9"/>
  </r>
  <r>
    <s v="130-98-8941"/>
    <x v="57"/>
    <d v="1899-12-30T10:00:00"/>
    <n v="2"/>
    <s v="February"/>
    <s v="C"/>
    <s v="Naypyitaw"/>
    <s v="Normal"/>
    <s v="Male"/>
    <x v="15"/>
    <s v="20-70"/>
    <s v="Fashion accessories"/>
    <s v="Cash"/>
    <n v="64.260000000000005"/>
    <n v="7"/>
    <n v="22.491"/>
    <n v="472.31099999999998"/>
    <n v="449.82"/>
    <n v="4.7619047620000003"/>
    <n v="22.491"/>
    <n v="5.7"/>
  </r>
  <r>
    <s v="434-83-9547"/>
    <x v="54"/>
    <d v="1899-12-30T11:51:00"/>
    <n v="1"/>
    <s v="January"/>
    <s v="C"/>
    <s v="Naypyitaw"/>
    <s v="Member"/>
    <s v="Male"/>
    <x v="39"/>
    <s v="20-70"/>
    <s v="Food and beverages"/>
    <s v="Cash"/>
    <n v="38.47"/>
    <n v="8"/>
    <n v="15.388"/>
    <n v="323.14800000000002"/>
    <n v="307.76"/>
    <n v="4.7619047620000003"/>
    <n v="15.388"/>
    <n v="7.7"/>
  </r>
  <r>
    <s v="851-28-6367"/>
    <x v="28"/>
    <d v="1899-12-30T10:55:00"/>
    <n v="3"/>
    <s v="March"/>
    <s v="A"/>
    <s v="Yangon"/>
    <s v="Member"/>
    <s v="Male"/>
    <x v="69"/>
    <s v="20-70"/>
    <s v="Sports and travel"/>
    <s v="Ewallet"/>
    <n v="15.5"/>
    <n v="10"/>
    <n v="7.75"/>
    <n v="162.75"/>
    <n v="155"/>
    <n v="4.7619047620000003"/>
    <n v="7.75"/>
    <n v="8"/>
  </r>
  <r>
    <s v="824-88-3614"/>
    <x v="25"/>
    <d v="1899-12-30T15:00:00"/>
    <n v="1"/>
    <s v="January"/>
    <s v="C"/>
    <s v="Naypyitaw"/>
    <s v="Normal"/>
    <s v="Male"/>
    <x v="2"/>
    <s v="20-70"/>
    <s v="Health and beauty"/>
    <s v="Ewallet"/>
    <n v="34.31"/>
    <n v="8"/>
    <n v="13.724"/>
    <n v="288.20400000000001"/>
    <n v="274.48"/>
    <n v="4.7619047620000003"/>
    <n v="13.724"/>
    <n v="5.7"/>
  </r>
  <r>
    <s v="586-25-0848"/>
    <x v="31"/>
    <d v="1899-12-30T11:19:00"/>
    <n v="3"/>
    <s v="March"/>
    <s v="A"/>
    <s v="Yangon"/>
    <s v="Normal"/>
    <s v="Female"/>
    <x v="43"/>
    <s v="20-70"/>
    <s v="Sports and travel"/>
    <s v="Credit card"/>
    <n v="12.34"/>
    <n v="7"/>
    <n v="4.319"/>
    <n v="90.698999999999998"/>
    <n v="86.38"/>
    <n v="4.7619047620000003"/>
    <n v="4.319"/>
    <n v="6.7"/>
  </r>
  <r>
    <s v="895-66-0685"/>
    <x v="19"/>
    <d v="1899-12-30T19:46:00"/>
    <n v="3"/>
    <s v="March"/>
    <s v="B"/>
    <s v="Mandalay"/>
    <s v="Member"/>
    <s v="Male"/>
    <x v="40"/>
    <s v="20-70"/>
    <s v="Food and beverages"/>
    <s v="Ewallet"/>
    <n v="18.079999999999998"/>
    <n v="3"/>
    <n v="2.7120000000000002"/>
    <n v="56.951999999999998"/>
    <n v="54.24"/>
    <n v="4.7619047620000003"/>
    <n v="2.7120000000000002"/>
    <n v="8"/>
  </r>
  <r>
    <s v="305-14-0245"/>
    <x v="2"/>
    <d v="1899-12-30T19:00:00"/>
    <n v="3"/>
    <s v="March"/>
    <s v="B"/>
    <s v="Mandalay"/>
    <s v="Member"/>
    <s v="Female"/>
    <x v="5"/>
    <s v="&gt;70"/>
    <s v="Home and lifestyle"/>
    <s v="Ewallet"/>
    <n v="94.49"/>
    <n v="8"/>
    <n v="37.795999999999999"/>
    <n v="793.71600000000001"/>
    <n v="755.92"/>
    <n v="4.7619047620000003"/>
    <n v="37.795999999999999"/>
    <n v="7.5"/>
  </r>
  <r>
    <s v="732-04-5373"/>
    <x v="4"/>
    <d v="1899-12-30T10:53:00"/>
    <n v="2"/>
    <s v="February"/>
    <s v="B"/>
    <s v="Mandalay"/>
    <s v="Member"/>
    <s v="Male"/>
    <x v="44"/>
    <s v="20-70"/>
    <s v="Home and lifestyle"/>
    <s v="Cash"/>
    <n v="46.47"/>
    <n v="4"/>
    <n v="9.2940000000000005"/>
    <n v="195.17400000000001"/>
    <n v="185.88"/>
    <n v="4.7619047620000003"/>
    <n v="9.2940000000000005"/>
    <n v="7"/>
  </r>
  <r>
    <s v="400-60-7251"/>
    <x v="34"/>
    <d v="1899-12-30T12:50:00"/>
    <n v="2"/>
    <s v="February"/>
    <s v="A"/>
    <s v="Yangon"/>
    <s v="Normal"/>
    <s v="Male"/>
    <x v="27"/>
    <s v="&gt;70"/>
    <s v="Home and lifestyle"/>
    <s v="Ewallet"/>
    <n v="74.069999999999993"/>
    <n v="1"/>
    <n v="3.7035"/>
    <n v="77.773499999999999"/>
    <n v="74.069999999999993"/>
    <n v="4.7619047620000003"/>
    <n v="3.7035"/>
    <n v="9.9"/>
  </r>
  <r>
    <s v="593-65-1552"/>
    <x v="26"/>
    <d v="1899-12-30T20:50:00"/>
    <n v="1"/>
    <s v="January"/>
    <s v="C"/>
    <s v="Naypyitaw"/>
    <s v="Normal"/>
    <s v="Female"/>
    <x v="54"/>
    <s v="20-70"/>
    <s v="Home and lifestyle"/>
    <s v="Credit card"/>
    <n v="69.81"/>
    <n v="4"/>
    <n v="13.962"/>
    <n v="293.202"/>
    <n v="279.24"/>
    <n v="4.7619047620000003"/>
    <n v="13.962"/>
    <n v="5.9"/>
  </r>
  <r>
    <s v="284-34-9626"/>
    <x v="48"/>
    <d v="1899-12-30T10:39:00"/>
    <n v="2"/>
    <s v="February"/>
    <s v="B"/>
    <s v="Mandalay"/>
    <s v="Normal"/>
    <s v="Female"/>
    <x v="16"/>
    <s v="&lt;20"/>
    <s v="Home and lifestyle"/>
    <s v="Credit card"/>
    <n v="77.040000000000006"/>
    <n v="3"/>
    <n v="11.555999999999999"/>
    <n v="242.67599999999999"/>
    <n v="231.12"/>
    <n v="4.7619047620000003"/>
    <n v="11.555999999999999"/>
    <n v="7.2"/>
  </r>
  <r>
    <s v="437-58-8131"/>
    <x v="15"/>
    <d v="1899-12-30T13:41:00"/>
    <n v="1"/>
    <s v="January"/>
    <s v="B"/>
    <s v="Mandalay"/>
    <s v="Normal"/>
    <s v="Female"/>
    <x v="6"/>
    <s v="20-70"/>
    <s v="Fashion accessories"/>
    <s v="Ewallet"/>
    <n v="73.52"/>
    <n v="2"/>
    <n v="7.3520000000000003"/>
    <n v="154.392"/>
    <n v="147.04"/>
    <n v="4.7619047620000003"/>
    <n v="7.3520000000000003"/>
    <n v="4.5999999999999996"/>
  </r>
  <r>
    <s v="286-43-6208"/>
    <x v="32"/>
    <d v="1899-12-30T19:08:00"/>
    <n v="3"/>
    <s v="March"/>
    <s v="C"/>
    <s v="Naypyitaw"/>
    <s v="Normal"/>
    <s v="Female"/>
    <x v="62"/>
    <s v="20-70"/>
    <s v="Food and beverages"/>
    <s v="Cash"/>
    <n v="87.8"/>
    <n v="9"/>
    <n v="39.51"/>
    <n v="829.71"/>
    <n v="790.2"/>
    <n v="4.7619047620000003"/>
    <n v="39.51"/>
    <n v="9.1999999999999993"/>
  </r>
  <r>
    <s v="641-43-2399"/>
    <x v="53"/>
    <d v="1899-12-30T20:23:00"/>
    <n v="1"/>
    <s v="January"/>
    <s v="B"/>
    <s v="Mandalay"/>
    <s v="Normal"/>
    <s v="Male"/>
    <x v="38"/>
    <s v="20-70"/>
    <s v="Home and lifestyle"/>
    <s v="Ewallet"/>
    <n v="25.55"/>
    <n v="4"/>
    <n v="5.1100000000000003"/>
    <n v="107.31"/>
    <n v="102.2"/>
    <n v="4.7619047620000003"/>
    <n v="5.1100000000000003"/>
    <n v="5.7"/>
  </r>
  <r>
    <s v="831-07-6050"/>
    <x v="35"/>
    <d v="1899-12-30T11:30:00"/>
    <n v="3"/>
    <s v="March"/>
    <s v="A"/>
    <s v="Yangon"/>
    <s v="Normal"/>
    <s v="Male"/>
    <x v="9"/>
    <s v="20-70"/>
    <s v="Electronic accessories"/>
    <s v="Credit card"/>
    <n v="32.71"/>
    <n v="5"/>
    <n v="8.1775000000000002"/>
    <n v="171.72749999999999"/>
    <n v="163.55000000000001"/>
    <n v="4.7619047620000003"/>
    <n v="8.1775000000000002"/>
    <n v="9.9"/>
  </r>
  <r>
    <s v="556-86-3144"/>
    <x v="50"/>
    <d v="1899-12-30T19:30:00"/>
    <n v="1"/>
    <s v="January"/>
    <s v="C"/>
    <s v="Naypyitaw"/>
    <s v="Member"/>
    <s v="Female"/>
    <x v="18"/>
    <s v="20-70"/>
    <s v="Fashion accessories"/>
    <s v="Cash"/>
    <n v="74.290000000000006"/>
    <n v="1"/>
    <n v="3.7145000000000001"/>
    <n v="78.004499999999993"/>
    <n v="74.290000000000006"/>
    <n v="4.7619047620000003"/>
    <n v="3.7145000000000001"/>
    <n v="5"/>
  </r>
  <r>
    <s v="848-24-9445"/>
    <x v="58"/>
    <d v="1899-12-30T18:03:00"/>
    <n v="3"/>
    <s v="March"/>
    <s v="C"/>
    <s v="Naypyitaw"/>
    <s v="Member"/>
    <s v="Male"/>
    <x v="54"/>
    <s v="20-70"/>
    <s v="Health and beauty"/>
    <s v="Cash"/>
    <n v="43.7"/>
    <n v="2"/>
    <n v="4.37"/>
    <n v="91.77"/>
    <n v="87.4"/>
    <n v="4.7619047620000003"/>
    <n v="4.37"/>
    <n v="4.9000000000000004"/>
  </r>
  <r>
    <s v="856-22-8149"/>
    <x v="28"/>
    <d v="1899-12-30T10:13:00"/>
    <n v="3"/>
    <s v="March"/>
    <s v="A"/>
    <s v="Yangon"/>
    <s v="Normal"/>
    <s v="Female"/>
    <x v="5"/>
    <s v="&gt;70"/>
    <s v="Home and lifestyle"/>
    <s v="Ewallet"/>
    <n v="25.29"/>
    <n v="1"/>
    <n v="1.2645"/>
    <n v="26.554500000000001"/>
    <n v="25.29"/>
    <n v="4.7619047620000003"/>
    <n v="1.2645"/>
    <n v="6.1"/>
  </r>
  <r>
    <s v="699-01-4164"/>
    <x v="41"/>
    <d v="1899-12-30T19:58:00"/>
    <n v="3"/>
    <s v="March"/>
    <s v="C"/>
    <s v="Naypyitaw"/>
    <s v="Normal"/>
    <s v="Male"/>
    <x v="8"/>
    <s v="20-70"/>
    <s v="Health and beauty"/>
    <s v="Credit card"/>
    <n v="41.5"/>
    <n v="4"/>
    <n v="8.3000000000000007"/>
    <n v="174.3"/>
    <n v="166"/>
    <n v="4.7619047620000003"/>
    <n v="8.3000000000000007"/>
    <n v="8.1999999999999993"/>
  </r>
  <r>
    <s v="420-11-4919"/>
    <x v="21"/>
    <d v="1899-12-30T19:57:00"/>
    <n v="2"/>
    <s v="February"/>
    <s v="C"/>
    <s v="Naypyitaw"/>
    <s v="Member"/>
    <s v="Female"/>
    <x v="59"/>
    <s v="20-70"/>
    <s v="Food and beverages"/>
    <s v="Credit card"/>
    <n v="71.39"/>
    <n v="5"/>
    <n v="17.8475"/>
    <n v="374.79750000000001"/>
    <n v="356.95"/>
    <n v="4.7619047620000003"/>
    <n v="17.8475"/>
    <n v="5.5"/>
  </r>
  <r>
    <s v="606-80-4905"/>
    <x v="71"/>
    <d v="1899-12-30T10:01:00"/>
    <n v="1"/>
    <s v="January"/>
    <s v="C"/>
    <s v="Naypyitaw"/>
    <s v="Member"/>
    <s v="Female"/>
    <x v="55"/>
    <s v="&gt;70"/>
    <s v="Sports and travel"/>
    <s v="Credit card"/>
    <n v="19.149999999999999"/>
    <n v="6"/>
    <n v="5.7450000000000001"/>
    <n v="120.645"/>
    <n v="114.9"/>
    <n v="4.7619047620000003"/>
    <n v="5.7450000000000001"/>
    <n v="6.8"/>
  </r>
  <r>
    <s v="542-41-0513"/>
    <x v="20"/>
    <d v="1899-12-30T11:57:00"/>
    <n v="3"/>
    <s v="March"/>
    <s v="B"/>
    <s v="Mandalay"/>
    <s v="Member"/>
    <s v="Female"/>
    <x v="30"/>
    <s v="&gt;70"/>
    <s v="Electronic accessories"/>
    <s v="Cash"/>
    <n v="57.49"/>
    <n v="4"/>
    <n v="11.497999999999999"/>
    <n v="241.458"/>
    <n v="229.96"/>
    <n v="4.7619047620000003"/>
    <n v="11.497999999999999"/>
    <n v="6.6"/>
  </r>
  <r>
    <s v="426-39-2418"/>
    <x v="78"/>
    <d v="1899-12-30T10:02:00"/>
    <n v="1"/>
    <s v="January"/>
    <s v="C"/>
    <s v="Naypyitaw"/>
    <s v="Normal"/>
    <s v="Male"/>
    <x v="35"/>
    <s v="20-70"/>
    <s v="Electronic accessories"/>
    <s v="Cash"/>
    <n v="61.41"/>
    <n v="7"/>
    <n v="21.493500000000001"/>
    <n v="451.36349999999999"/>
    <n v="429.87"/>
    <n v="4.7619047620000003"/>
    <n v="21.493500000000001"/>
    <n v="9.8000000000000007"/>
  </r>
  <r>
    <s v="875-46-5808"/>
    <x v="10"/>
    <d v="1899-12-30T14:51:00"/>
    <n v="2"/>
    <s v="February"/>
    <s v="B"/>
    <s v="Mandalay"/>
    <s v="Member"/>
    <s v="Male"/>
    <x v="58"/>
    <s v="20-70"/>
    <s v="Health and beauty"/>
    <s v="Ewallet"/>
    <n v="25.9"/>
    <n v="10"/>
    <n v="12.95"/>
    <n v="271.95"/>
    <n v="259"/>
    <n v="4.7619047620000003"/>
    <n v="12.95"/>
    <n v="8.6999999999999993"/>
  </r>
  <r>
    <s v="394-43-4238"/>
    <x v="42"/>
    <d v="1899-12-30T12:42:00"/>
    <n v="2"/>
    <s v="February"/>
    <s v="B"/>
    <s v="Mandalay"/>
    <s v="Member"/>
    <s v="Male"/>
    <x v="70"/>
    <s v="&gt;70"/>
    <s v="Home and lifestyle"/>
    <s v="Credit card"/>
    <n v="17.77"/>
    <n v="5"/>
    <n v="4.4424999999999999"/>
    <n v="93.292500000000004"/>
    <n v="88.85"/>
    <n v="4.7619047620000003"/>
    <n v="4.4424999999999999"/>
    <n v="5.4"/>
  </r>
  <r>
    <s v="749-24-1565"/>
    <x v="75"/>
    <d v="1899-12-30T12:02:00"/>
    <n v="1"/>
    <s v="January"/>
    <s v="A"/>
    <s v="Yangon"/>
    <s v="Normal"/>
    <s v="Female"/>
    <x v="47"/>
    <s v="20-70"/>
    <s v="Health and beauty"/>
    <s v="Ewallet"/>
    <n v="23.03"/>
    <n v="9"/>
    <n v="10.3635"/>
    <n v="217.6335"/>
    <n v="207.27"/>
    <n v="4.7619047620000003"/>
    <n v="10.3635"/>
    <n v="7.9"/>
  </r>
  <r>
    <s v="672-51-8681"/>
    <x v="72"/>
    <d v="1899-12-30T18:19:00"/>
    <n v="1"/>
    <s v="January"/>
    <s v="C"/>
    <s v="Naypyitaw"/>
    <s v="Member"/>
    <s v="Female"/>
    <x v="18"/>
    <s v="20-70"/>
    <s v="Electronic accessories"/>
    <s v="Credit card"/>
    <n v="66.650000000000006"/>
    <n v="9"/>
    <n v="29.9925"/>
    <n v="629.84249999999997"/>
    <n v="599.85"/>
    <n v="4.7619047620000003"/>
    <n v="29.9925"/>
    <n v="9.6999999999999993"/>
  </r>
  <r>
    <s v="263-87-5680"/>
    <x v="79"/>
    <d v="1899-12-30T17:38:00"/>
    <n v="3"/>
    <s v="March"/>
    <s v="C"/>
    <s v="Naypyitaw"/>
    <s v="Member"/>
    <s v="Female"/>
    <x v="67"/>
    <s v="20-70"/>
    <s v="Home and lifestyle"/>
    <s v="Ewallet"/>
    <n v="28.53"/>
    <n v="10"/>
    <n v="14.265000000000001"/>
    <n v="299.565"/>
    <n v="285.3"/>
    <n v="4.7619047620000003"/>
    <n v="14.265000000000001"/>
    <n v="7.8"/>
  </r>
  <r>
    <s v="573-58-9734"/>
    <x v="61"/>
    <d v="1899-12-30T13:41:00"/>
    <n v="3"/>
    <s v="March"/>
    <s v="B"/>
    <s v="Mandalay"/>
    <s v="Normal"/>
    <s v="Female"/>
    <x v="0"/>
    <s v="&lt;20"/>
    <s v="Fashion accessories"/>
    <s v="Ewallet"/>
    <n v="30.37"/>
    <n v="3"/>
    <n v="4.5555000000000003"/>
    <n v="95.665499999999994"/>
    <n v="91.11"/>
    <n v="4.7619047620000003"/>
    <n v="4.5555000000000003"/>
    <n v="5.0999999999999996"/>
  </r>
  <r>
    <s v="817-69-8206"/>
    <x v="22"/>
    <d v="1899-12-30T19:42:00"/>
    <n v="3"/>
    <s v="March"/>
    <s v="B"/>
    <s v="Mandalay"/>
    <s v="Normal"/>
    <s v="Female"/>
    <x v="3"/>
    <s v="20-70"/>
    <s v="Electronic accessories"/>
    <s v="Credit card"/>
    <n v="99.73"/>
    <n v="9"/>
    <n v="44.878500000000003"/>
    <n v="942.44849999999997"/>
    <n v="897.57"/>
    <n v="4.7619047620000003"/>
    <n v="44.878500000000003"/>
    <n v="6.5"/>
  </r>
  <r>
    <s v="888-02-0338"/>
    <x v="25"/>
    <d v="1899-12-30T20:24:00"/>
    <n v="1"/>
    <s v="January"/>
    <s v="A"/>
    <s v="Yangon"/>
    <s v="Normal"/>
    <s v="Male"/>
    <x v="44"/>
    <s v="20-70"/>
    <s v="Electronic accessories"/>
    <s v="Ewallet"/>
    <n v="26.23"/>
    <n v="9"/>
    <n v="11.8035"/>
    <n v="247.87350000000001"/>
    <n v="236.07"/>
    <n v="4.7619047620000003"/>
    <n v="11.8035"/>
    <n v="5.9"/>
  </r>
  <r>
    <s v="677-11-0152"/>
    <x v="65"/>
    <d v="1899-12-30T18:08:00"/>
    <n v="1"/>
    <s v="January"/>
    <s v="C"/>
    <s v="Naypyitaw"/>
    <s v="Normal"/>
    <s v="Female"/>
    <x v="35"/>
    <s v="20-70"/>
    <s v="Food and beverages"/>
    <s v="Cash"/>
    <n v="93.26"/>
    <n v="9"/>
    <n v="41.966999999999999"/>
    <n v="881.30700000000002"/>
    <n v="839.34"/>
    <n v="4.7619047620000003"/>
    <n v="41.966999999999999"/>
    <n v="8.8000000000000007"/>
  </r>
  <r>
    <s v="142-63-6033"/>
    <x v="80"/>
    <d v="1899-12-30T19:17:00"/>
    <n v="3"/>
    <s v="March"/>
    <s v="B"/>
    <s v="Mandalay"/>
    <s v="Normal"/>
    <s v="Male"/>
    <x v="42"/>
    <s v="20-70"/>
    <s v="Home and lifestyle"/>
    <s v="Ewallet"/>
    <n v="92.36"/>
    <n v="5"/>
    <n v="23.09"/>
    <n v="484.89"/>
    <n v="461.8"/>
    <n v="4.7619047620000003"/>
    <n v="23.09"/>
    <n v="4.9000000000000004"/>
  </r>
  <r>
    <s v="656-16-1063"/>
    <x v="72"/>
    <d v="1899-12-30T13:24:00"/>
    <n v="1"/>
    <s v="January"/>
    <s v="B"/>
    <s v="Mandalay"/>
    <s v="Normal"/>
    <s v="Male"/>
    <x v="22"/>
    <s v="20-70"/>
    <s v="Sports and travel"/>
    <s v="Credit card"/>
    <n v="46.42"/>
    <n v="3"/>
    <n v="6.9630000000000001"/>
    <n v="146.22300000000001"/>
    <n v="139.26"/>
    <n v="4.7619047620000003"/>
    <n v="6.9630000000000001"/>
    <n v="4.4000000000000004"/>
  </r>
  <r>
    <s v="891-58-8335"/>
    <x v="16"/>
    <d v="1899-12-30T15:53:00"/>
    <n v="3"/>
    <s v="March"/>
    <s v="B"/>
    <s v="Mandalay"/>
    <s v="Member"/>
    <s v="Female"/>
    <x v="66"/>
    <s v="&lt;20"/>
    <s v="Sports and travel"/>
    <s v="Cash"/>
    <n v="29.61"/>
    <n v="7"/>
    <n v="10.3635"/>
    <n v="217.6335"/>
    <n v="207.27"/>
    <n v="4.7619047620000003"/>
    <n v="10.3635"/>
    <n v="6.5"/>
  </r>
  <r>
    <s v="802-43-8934"/>
    <x v="23"/>
    <d v="1899-12-30T15:05:00"/>
    <n v="3"/>
    <s v="March"/>
    <s v="A"/>
    <s v="Yangon"/>
    <s v="Normal"/>
    <s v="Male"/>
    <x v="55"/>
    <s v="&gt;70"/>
    <s v="Home and lifestyle"/>
    <s v="Credit card"/>
    <n v="18.28"/>
    <n v="1"/>
    <n v="0.91400000000000003"/>
    <n v="19.193999999999999"/>
    <n v="18.28"/>
    <n v="4.7619047620000003"/>
    <n v="0.91400000000000003"/>
    <n v="8.3000000000000007"/>
  </r>
  <r>
    <s v="560-30-5617"/>
    <x v="62"/>
    <d v="1899-12-30T18:27:00"/>
    <n v="3"/>
    <s v="March"/>
    <s v="B"/>
    <s v="Mandalay"/>
    <s v="Normal"/>
    <s v="Female"/>
    <x v="71"/>
    <s v="&gt;70"/>
    <s v="Sports and travel"/>
    <s v="Cash"/>
    <n v="24.77"/>
    <n v="5"/>
    <n v="6.1924999999999999"/>
    <n v="130.04249999999999"/>
    <n v="123.85"/>
    <n v="4.7619047620000003"/>
    <n v="6.1924999999999999"/>
    <n v="8.5"/>
  </r>
  <r>
    <s v="319-74-2561"/>
    <x v="81"/>
    <d v="1899-12-30T16:55:00"/>
    <n v="2"/>
    <s v="February"/>
    <s v="A"/>
    <s v="Yangon"/>
    <s v="Member"/>
    <s v="Female"/>
    <x v="27"/>
    <s v="&gt;70"/>
    <s v="Electronic accessories"/>
    <s v="Cash"/>
    <n v="94.64"/>
    <n v="3"/>
    <n v="14.196"/>
    <n v="298.11599999999999"/>
    <n v="283.92"/>
    <n v="4.7619047620000003"/>
    <n v="14.196"/>
    <n v="5.5"/>
  </r>
  <r>
    <s v="549-03-9315"/>
    <x v="12"/>
    <d v="1899-12-30T12:58:00"/>
    <n v="2"/>
    <s v="February"/>
    <s v="B"/>
    <s v="Mandalay"/>
    <s v="Normal"/>
    <s v="Male"/>
    <x v="32"/>
    <s v="20-70"/>
    <s v="Fashion accessories"/>
    <s v="Ewallet"/>
    <n v="94.87"/>
    <n v="8"/>
    <n v="37.948"/>
    <n v="796.90800000000002"/>
    <n v="758.96"/>
    <n v="4.7619047620000003"/>
    <n v="37.948"/>
    <n v="8.6999999999999993"/>
  </r>
  <r>
    <s v="790-29-1172"/>
    <x v="24"/>
    <d v="1899-12-30T18:59:00"/>
    <n v="3"/>
    <s v="March"/>
    <s v="B"/>
    <s v="Mandalay"/>
    <s v="Normal"/>
    <s v="Female"/>
    <x v="44"/>
    <s v="20-70"/>
    <s v="Food and beverages"/>
    <s v="Credit card"/>
    <n v="57.34"/>
    <n v="3"/>
    <n v="8.6010000000000009"/>
    <n v="180.62100000000001"/>
    <n v="172.02"/>
    <n v="4.7619047620000003"/>
    <n v="8.6010000000000009"/>
    <n v="7.9"/>
  </r>
  <r>
    <s v="239-36-3640"/>
    <x v="82"/>
    <d v="1899-12-30T13:44:00"/>
    <n v="1"/>
    <s v="January"/>
    <s v="B"/>
    <s v="Mandalay"/>
    <s v="Normal"/>
    <s v="Male"/>
    <x v="27"/>
    <s v="&gt;70"/>
    <s v="Electronic accessories"/>
    <s v="Ewallet"/>
    <n v="45.35"/>
    <n v="6"/>
    <n v="13.605"/>
    <n v="285.70499999999998"/>
    <n v="272.10000000000002"/>
    <n v="4.7619047620000003"/>
    <n v="13.605"/>
    <n v="6.1"/>
  </r>
  <r>
    <s v="468-01-2051"/>
    <x v="43"/>
    <d v="1899-12-30T13:46:00"/>
    <n v="3"/>
    <s v="March"/>
    <s v="B"/>
    <s v="Mandalay"/>
    <s v="Normal"/>
    <s v="Male"/>
    <x v="16"/>
    <s v="&lt;20"/>
    <s v="Food and beverages"/>
    <s v="Ewallet"/>
    <n v="62.08"/>
    <n v="7"/>
    <n v="21.728000000000002"/>
    <n v="456.28800000000001"/>
    <n v="434.56"/>
    <n v="4.7619047620000003"/>
    <n v="21.728000000000002"/>
    <n v="5.4"/>
  </r>
  <r>
    <s v="389-25-3394"/>
    <x v="21"/>
    <d v="1899-12-30T18:06:00"/>
    <n v="2"/>
    <s v="February"/>
    <s v="C"/>
    <s v="Naypyitaw"/>
    <s v="Normal"/>
    <s v="Male"/>
    <x v="52"/>
    <s v="20-70"/>
    <s v="Electronic accessories"/>
    <s v="Cash"/>
    <n v="11.81"/>
    <n v="5"/>
    <n v="2.9525000000000001"/>
    <n v="62.002499999999998"/>
    <n v="59.05"/>
    <n v="4.7619047620000003"/>
    <n v="2.9525000000000001"/>
    <n v="9.4"/>
  </r>
  <r>
    <s v="279-62-1445"/>
    <x v="81"/>
    <d v="1899-12-30T12:38:00"/>
    <n v="2"/>
    <s v="February"/>
    <s v="C"/>
    <s v="Naypyitaw"/>
    <s v="Member"/>
    <s v="Female"/>
    <x v="35"/>
    <s v="20-70"/>
    <s v="Fashion accessories"/>
    <s v="Cash"/>
    <n v="12.54"/>
    <n v="1"/>
    <n v="0.627"/>
    <n v="13.167"/>
    <n v="12.54"/>
    <n v="4.7619047620000003"/>
    <n v="0.627"/>
    <n v="8.1999999999999993"/>
  </r>
  <r>
    <s v="213-72-6612"/>
    <x v="80"/>
    <d v="1899-12-30T15:56:00"/>
    <n v="3"/>
    <s v="March"/>
    <s v="A"/>
    <s v="Yangon"/>
    <s v="Normal"/>
    <s v="Male"/>
    <x v="47"/>
    <s v="20-70"/>
    <s v="Food and beverages"/>
    <s v="Cash"/>
    <n v="43.25"/>
    <n v="2"/>
    <n v="4.3250000000000002"/>
    <n v="90.825000000000003"/>
    <n v="86.5"/>
    <n v="4.7619047620000003"/>
    <n v="4.3250000000000002"/>
    <n v="6.2"/>
  </r>
  <r>
    <s v="746-68-6593"/>
    <x v="83"/>
    <d v="1899-12-30T14:29:00"/>
    <n v="1"/>
    <s v="January"/>
    <s v="C"/>
    <s v="Naypyitaw"/>
    <s v="Member"/>
    <s v="Female"/>
    <x v="12"/>
    <s v="20-70"/>
    <s v="Sports and travel"/>
    <s v="Credit card"/>
    <n v="87.16"/>
    <n v="2"/>
    <n v="8.7159999999999993"/>
    <n v="183.036"/>
    <n v="174.32"/>
    <n v="4.7619047620000003"/>
    <n v="8.7159999999999993"/>
    <n v="9.6999999999999993"/>
  </r>
  <r>
    <s v="836-82-5858"/>
    <x v="53"/>
    <d v="1899-12-30T19:14:00"/>
    <n v="1"/>
    <s v="January"/>
    <s v="B"/>
    <s v="Mandalay"/>
    <s v="Member"/>
    <s v="Male"/>
    <x v="35"/>
    <s v="20-70"/>
    <s v="Health and beauty"/>
    <s v="Ewallet"/>
    <n v="69.37"/>
    <n v="9"/>
    <n v="31.2165"/>
    <n v="655.54650000000004"/>
    <n v="624.33000000000004"/>
    <n v="4.7619047620000003"/>
    <n v="31.2165"/>
    <n v="4"/>
  </r>
  <r>
    <s v="583-72-1480"/>
    <x v="82"/>
    <d v="1899-12-30T16:24:00"/>
    <n v="1"/>
    <s v="January"/>
    <s v="C"/>
    <s v="Naypyitaw"/>
    <s v="Member"/>
    <s v="Male"/>
    <x v="45"/>
    <s v="20-70"/>
    <s v="Electronic accessories"/>
    <s v="Ewallet"/>
    <n v="37.06"/>
    <n v="4"/>
    <n v="7.4119999999999999"/>
    <n v="155.65199999999999"/>
    <n v="148.24"/>
    <n v="4.7619047620000003"/>
    <n v="7.4119999999999999"/>
    <n v="9.6999999999999993"/>
  </r>
  <r>
    <s v="466-61-5506"/>
    <x v="84"/>
    <d v="1899-12-30T10:52:00"/>
    <n v="2"/>
    <s v="February"/>
    <s v="B"/>
    <s v="Mandalay"/>
    <s v="Member"/>
    <s v="Female"/>
    <x v="18"/>
    <s v="20-70"/>
    <s v="Electronic accessories"/>
    <s v="Cash"/>
    <n v="90.7"/>
    <n v="6"/>
    <n v="27.21"/>
    <n v="571.41"/>
    <n v="544.20000000000005"/>
    <n v="4.7619047620000003"/>
    <n v="27.21"/>
    <n v="5.3"/>
  </r>
  <r>
    <s v="721-86-6247"/>
    <x v="16"/>
    <d v="1899-12-30T12:55:00"/>
    <n v="3"/>
    <s v="March"/>
    <s v="A"/>
    <s v="Yangon"/>
    <s v="Normal"/>
    <s v="Female"/>
    <x v="35"/>
    <s v="20-70"/>
    <s v="Home and lifestyle"/>
    <s v="Ewallet"/>
    <n v="63.42"/>
    <n v="8"/>
    <n v="25.367999999999999"/>
    <n v="532.72799999999995"/>
    <n v="507.36"/>
    <n v="4.7619047620000003"/>
    <n v="25.367999999999999"/>
    <n v="7.4"/>
  </r>
  <r>
    <s v="289-65-5721"/>
    <x v="53"/>
    <d v="1899-12-30T19:28:00"/>
    <n v="1"/>
    <s v="January"/>
    <s v="B"/>
    <s v="Mandalay"/>
    <s v="Normal"/>
    <s v="Female"/>
    <x v="30"/>
    <s v="&gt;70"/>
    <s v="Fashion accessories"/>
    <s v="Cash"/>
    <n v="81.37"/>
    <n v="2"/>
    <n v="8.1370000000000005"/>
    <n v="170.87700000000001"/>
    <n v="162.74"/>
    <n v="4.7619047620000003"/>
    <n v="8.1370000000000005"/>
    <n v="6.5"/>
  </r>
  <r>
    <s v="545-46-3100"/>
    <x v="41"/>
    <d v="1899-12-30T13:52:00"/>
    <n v="3"/>
    <s v="March"/>
    <s v="B"/>
    <s v="Mandalay"/>
    <s v="Member"/>
    <s v="Female"/>
    <x v="47"/>
    <s v="20-70"/>
    <s v="Electronic accessories"/>
    <s v="Credit card"/>
    <n v="10.59"/>
    <n v="3"/>
    <n v="1.5885"/>
    <n v="33.358499999999999"/>
    <n v="31.77"/>
    <n v="4.7619047620000003"/>
    <n v="1.5885"/>
    <n v="8.6999999999999993"/>
  </r>
  <r>
    <s v="418-02-5978"/>
    <x v="48"/>
    <d v="1899-12-30T10:54:00"/>
    <n v="2"/>
    <s v="February"/>
    <s v="B"/>
    <s v="Mandalay"/>
    <s v="Normal"/>
    <s v="Female"/>
    <x v="37"/>
    <s v="20-70"/>
    <s v="Health and beauty"/>
    <s v="Cash"/>
    <n v="84.09"/>
    <n v="9"/>
    <n v="37.840499999999999"/>
    <n v="794.65049999999997"/>
    <n v="756.81"/>
    <n v="4.7619047620000003"/>
    <n v="37.840499999999999"/>
    <n v="8"/>
  </r>
  <r>
    <s v="269-04-5750"/>
    <x v="81"/>
    <d v="1899-12-30T18:31:00"/>
    <n v="2"/>
    <s v="February"/>
    <s v="B"/>
    <s v="Mandalay"/>
    <s v="Member"/>
    <s v="Male"/>
    <x v="5"/>
    <s v="&gt;70"/>
    <s v="Fashion accessories"/>
    <s v="Cash"/>
    <n v="73.819999999999993"/>
    <n v="4"/>
    <n v="14.763999999999999"/>
    <n v="310.04399999999998"/>
    <n v="295.27999999999997"/>
    <n v="4.7619047620000003"/>
    <n v="14.763999999999999"/>
    <n v="6.7"/>
  </r>
  <r>
    <s v="157-13-5295"/>
    <x v="11"/>
    <d v="1899-12-30T18:24:00"/>
    <n v="3"/>
    <s v="March"/>
    <s v="A"/>
    <s v="Yangon"/>
    <s v="Member"/>
    <s v="Male"/>
    <x v="38"/>
    <s v="20-70"/>
    <s v="Health and beauty"/>
    <s v="Ewallet"/>
    <n v="51.94"/>
    <n v="10"/>
    <n v="25.97"/>
    <n v="545.37"/>
    <n v="519.4"/>
    <n v="4.7619047620000003"/>
    <n v="25.97"/>
    <n v="6.5"/>
  </r>
  <r>
    <s v="645-78-8093"/>
    <x v="40"/>
    <d v="1899-12-30T18:09:00"/>
    <n v="1"/>
    <s v="January"/>
    <s v="A"/>
    <s v="Yangon"/>
    <s v="Normal"/>
    <s v="Female"/>
    <x v="27"/>
    <s v="&gt;70"/>
    <s v="Sports and travel"/>
    <s v="Ewallet"/>
    <n v="93.14"/>
    <n v="2"/>
    <n v="9.3140000000000001"/>
    <n v="195.59399999999999"/>
    <n v="186.28"/>
    <n v="4.7619047620000003"/>
    <n v="9.3140000000000001"/>
    <n v="4.0999999999999996"/>
  </r>
  <r>
    <s v="211-30-9270"/>
    <x v="26"/>
    <d v="1899-12-30T15:16:00"/>
    <n v="1"/>
    <s v="January"/>
    <s v="C"/>
    <s v="Naypyitaw"/>
    <s v="Normal"/>
    <s v="Male"/>
    <x v="21"/>
    <s v="20-70"/>
    <s v="Health and beauty"/>
    <s v="Credit card"/>
    <n v="17.41"/>
    <n v="5"/>
    <n v="4.3525"/>
    <n v="91.402500000000003"/>
    <n v="87.05"/>
    <n v="4.7619047620000003"/>
    <n v="4.3525"/>
    <n v="4.9000000000000004"/>
  </r>
  <r>
    <s v="755-12-3214"/>
    <x v="19"/>
    <d v="1899-12-30T17:07:00"/>
    <n v="3"/>
    <s v="March"/>
    <s v="C"/>
    <s v="Naypyitaw"/>
    <s v="Member"/>
    <s v="Female"/>
    <x v="27"/>
    <s v="&gt;70"/>
    <s v="Fashion accessories"/>
    <s v="Credit card"/>
    <n v="44.22"/>
    <n v="5"/>
    <n v="11.055"/>
    <n v="232.155"/>
    <n v="221.1"/>
    <n v="4.7619047620000003"/>
    <n v="11.055"/>
    <n v="8.6"/>
  </r>
  <r>
    <s v="346-84-3103"/>
    <x v="22"/>
    <d v="1899-12-30T19:26:00"/>
    <n v="3"/>
    <s v="March"/>
    <s v="B"/>
    <s v="Mandalay"/>
    <s v="Member"/>
    <s v="Female"/>
    <x v="24"/>
    <s v="20-70"/>
    <s v="Electronic accessories"/>
    <s v="Cash"/>
    <n v="13.22"/>
    <n v="5"/>
    <n v="3.3050000000000002"/>
    <n v="69.405000000000001"/>
    <n v="66.099999999999994"/>
    <n v="4.7619047620000003"/>
    <n v="3.3050000000000002"/>
    <n v="4.3"/>
  </r>
  <r>
    <s v="478-06-7835"/>
    <x v="83"/>
    <d v="1899-12-30T11:20:00"/>
    <n v="1"/>
    <s v="January"/>
    <s v="A"/>
    <s v="Yangon"/>
    <s v="Normal"/>
    <s v="Male"/>
    <x v="21"/>
    <s v="20-70"/>
    <s v="Fashion accessories"/>
    <s v="Ewallet"/>
    <n v="89.69"/>
    <n v="1"/>
    <n v="4.4844999999999997"/>
    <n v="94.174499999999995"/>
    <n v="89.69"/>
    <n v="4.7619047620000003"/>
    <n v="4.4844999999999997"/>
    <n v="4.9000000000000004"/>
  </r>
  <r>
    <s v="540-11-4336"/>
    <x v="83"/>
    <d v="1899-12-30T16:49:00"/>
    <n v="1"/>
    <s v="January"/>
    <s v="A"/>
    <s v="Yangon"/>
    <s v="Normal"/>
    <s v="Male"/>
    <x v="18"/>
    <s v="20-70"/>
    <s v="Food and beverages"/>
    <s v="Credit card"/>
    <n v="24.94"/>
    <n v="9"/>
    <n v="11.223000000000001"/>
    <n v="235.68299999999999"/>
    <n v="224.46"/>
    <n v="4.7619047620000003"/>
    <n v="11.223000000000001"/>
    <n v="5.6"/>
  </r>
  <r>
    <s v="448-81-5016"/>
    <x v="16"/>
    <d v="1899-12-30T12:01:00"/>
    <n v="3"/>
    <s v="March"/>
    <s v="A"/>
    <s v="Yangon"/>
    <s v="Normal"/>
    <s v="Male"/>
    <x v="72"/>
    <s v="20-70"/>
    <s v="Health and beauty"/>
    <s v="Credit card"/>
    <n v="59.77"/>
    <n v="2"/>
    <n v="5.9770000000000003"/>
    <n v="125.517"/>
    <n v="119.54"/>
    <n v="4.7619047620000003"/>
    <n v="5.9770000000000003"/>
    <n v="5.8"/>
  </r>
  <r>
    <s v="142-72-4741"/>
    <x v="38"/>
    <d v="1899-12-30T18:37:00"/>
    <n v="2"/>
    <s v="February"/>
    <s v="C"/>
    <s v="Naypyitaw"/>
    <s v="Member"/>
    <s v="Male"/>
    <x v="72"/>
    <s v="20-70"/>
    <s v="Fashion accessories"/>
    <s v="Credit card"/>
    <n v="93.2"/>
    <n v="2"/>
    <n v="9.32"/>
    <n v="195.72"/>
    <n v="186.4"/>
    <n v="4.7619047620000003"/>
    <n v="9.32"/>
    <n v="6"/>
  </r>
  <r>
    <s v="217-58-1179"/>
    <x v="0"/>
    <d v="1899-12-30T11:25:00"/>
    <n v="1"/>
    <s v="January"/>
    <s v="A"/>
    <s v="Yangon"/>
    <s v="Member"/>
    <s v="Male"/>
    <x v="30"/>
    <s v="&gt;70"/>
    <s v="Home and lifestyle"/>
    <s v="Cash"/>
    <n v="62.65"/>
    <n v="4"/>
    <n v="12.53"/>
    <n v="263.13"/>
    <n v="250.6"/>
    <n v="4.7619047620000003"/>
    <n v="12.53"/>
    <n v="4.2"/>
  </r>
  <r>
    <s v="376-02-8238"/>
    <x v="30"/>
    <d v="1899-12-30T18:42:00"/>
    <n v="2"/>
    <s v="February"/>
    <s v="B"/>
    <s v="Mandalay"/>
    <s v="Normal"/>
    <s v="Male"/>
    <x v="37"/>
    <s v="20-70"/>
    <s v="Home and lifestyle"/>
    <s v="Credit card"/>
    <n v="93.87"/>
    <n v="8"/>
    <n v="37.548000000000002"/>
    <n v="788.50800000000004"/>
    <n v="750.96"/>
    <n v="4.7619047620000003"/>
    <n v="37.548000000000002"/>
    <n v="8.3000000000000007"/>
  </r>
  <r>
    <s v="530-90-9855"/>
    <x v="17"/>
    <d v="1899-12-30T14:47:00"/>
    <n v="1"/>
    <s v="January"/>
    <s v="A"/>
    <s v="Yangon"/>
    <s v="Member"/>
    <s v="Male"/>
    <x v="49"/>
    <s v="20-70"/>
    <s v="Home and lifestyle"/>
    <s v="Cash"/>
    <n v="47.59"/>
    <n v="8"/>
    <n v="19.036000000000001"/>
    <n v="399.75599999999997"/>
    <n v="380.72"/>
    <n v="4.7619047620000003"/>
    <n v="19.036000000000001"/>
    <n v="5.7"/>
  </r>
  <r>
    <s v="866-05-7563"/>
    <x v="57"/>
    <d v="1899-12-30T19:43:00"/>
    <n v="2"/>
    <s v="February"/>
    <s v="B"/>
    <s v="Mandalay"/>
    <s v="Member"/>
    <s v="Female"/>
    <x v="53"/>
    <s v="20-70"/>
    <s v="Electronic accessories"/>
    <s v="Cash"/>
    <n v="81.400000000000006"/>
    <n v="3"/>
    <n v="12.21"/>
    <n v="256.41000000000003"/>
    <n v="244.2"/>
    <n v="4.7619047620000003"/>
    <n v="12.21"/>
    <n v="4.8"/>
  </r>
  <r>
    <s v="604-70-6476"/>
    <x v="54"/>
    <d v="1899-12-30T14:04:00"/>
    <n v="1"/>
    <s v="January"/>
    <s v="A"/>
    <s v="Yangon"/>
    <s v="Member"/>
    <s v="Male"/>
    <x v="1"/>
    <s v="20-70"/>
    <s v="Fashion accessories"/>
    <s v="Ewallet"/>
    <n v="17.940000000000001"/>
    <n v="5"/>
    <n v="4.4850000000000003"/>
    <n v="94.185000000000002"/>
    <n v="89.7"/>
    <n v="4.7619047620000003"/>
    <n v="4.4850000000000003"/>
    <n v="6.8"/>
  </r>
  <r>
    <s v="799-71-1548"/>
    <x v="27"/>
    <d v="1899-12-30T16:11:00"/>
    <n v="1"/>
    <s v="January"/>
    <s v="A"/>
    <s v="Yangon"/>
    <s v="Member"/>
    <s v="Male"/>
    <x v="34"/>
    <s v="&gt;70"/>
    <s v="Electronic accessories"/>
    <s v="Credit card"/>
    <n v="77.72"/>
    <n v="4"/>
    <n v="15.544"/>
    <n v="326.42399999999998"/>
    <n v="310.88"/>
    <n v="4.7619047620000003"/>
    <n v="15.544"/>
    <n v="8.8000000000000007"/>
  </r>
  <r>
    <s v="785-13-7708"/>
    <x v="78"/>
    <d v="1899-12-30T19:06:00"/>
    <n v="1"/>
    <s v="January"/>
    <s v="B"/>
    <s v="Mandalay"/>
    <s v="Normal"/>
    <s v="Male"/>
    <x v="73"/>
    <s v="20-70"/>
    <s v="Food and beverages"/>
    <s v="Credit card"/>
    <n v="73.06"/>
    <n v="7"/>
    <n v="25.571000000000002"/>
    <n v="536.99099999999999"/>
    <n v="511.42"/>
    <n v="4.7619047620000003"/>
    <n v="25.571000000000002"/>
    <n v="4.2"/>
  </r>
  <r>
    <s v="845-51-0542"/>
    <x v="30"/>
    <d v="1899-12-30T15:34:00"/>
    <n v="2"/>
    <s v="February"/>
    <s v="B"/>
    <s v="Mandalay"/>
    <s v="Member"/>
    <s v="Male"/>
    <x v="28"/>
    <s v="20-70"/>
    <s v="Food and beverages"/>
    <s v="Ewallet"/>
    <n v="46.55"/>
    <n v="9"/>
    <n v="20.947500000000002"/>
    <n v="439.89749999999998"/>
    <n v="418.95"/>
    <n v="4.7619047620000003"/>
    <n v="20.947500000000002"/>
    <n v="6.4"/>
  </r>
  <r>
    <s v="662-47-5456"/>
    <x v="85"/>
    <d v="1899-12-30T19:06:00"/>
    <n v="3"/>
    <s v="March"/>
    <s v="C"/>
    <s v="Naypyitaw"/>
    <s v="Member"/>
    <s v="Male"/>
    <x v="52"/>
    <s v="20-70"/>
    <s v="Fashion accessories"/>
    <s v="Credit card"/>
    <n v="35.19"/>
    <n v="10"/>
    <n v="17.594999999999999"/>
    <n v="369.495"/>
    <n v="351.9"/>
    <n v="4.7619047620000003"/>
    <n v="17.594999999999999"/>
    <n v="8.4"/>
  </r>
  <r>
    <s v="883-17-4236"/>
    <x v="22"/>
    <d v="1899-12-30T19:44:00"/>
    <n v="3"/>
    <s v="March"/>
    <s v="C"/>
    <s v="Naypyitaw"/>
    <s v="Normal"/>
    <s v="Female"/>
    <x v="74"/>
    <s v="&gt;70"/>
    <s v="Sports and travel"/>
    <s v="Credit card"/>
    <n v="14.39"/>
    <n v="2"/>
    <n v="1.4390000000000001"/>
    <n v="30.219000000000001"/>
    <n v="28.78"/>
    <n v="4.7619047620000003"/>
    <n v="1.4390000000000001"/>
    <n v="7.2"/>
  </r>
  <r>
    <s v="290-68-2984"/>
    <x v="32"/>
    <d v="1899-12-30T11:22:00"/>
    <n v="3"/>
    <s v="March"/>
    <s v="A"/>
    <s v="Yangon"/>
    <s v="Normal"/>
    <s v="Male"/>
    <x v="64"/>
    <s v="20-70"/>
    <s v="Home and lifestyle"/>
    <s v="Cash"/>
    <n v="23.75"/>
    <n v="4"/>
    <n v="4.75"/>
    <n v="99.75"/>
    <n v="95"/>
    <n v="4.7619047620000003"/>
    <n v="4.75"/>
    <n v="5.2"/>
  </r>
  <r>
    <s v="704-11-6354"/>
    <x v="47"/>
    <d v="1899-12-30T11:23:00"/>
    <n v="1"/>
    <s v="January"/>
    <s v="A"/>
    <s v="Yangon"/>
    <s v="Member"/>
    <s v="Male"/>
    <x v="51"/>
    <s v="20-70"/>
    <s v="Home and lifestyle"/>
    <s v="Cash"/>
    <n v="58.9"/>
    <n v="8"/>
    <n v="23.56"/>
    <n v="494.76"/>
    <n v="471.2"/>
    <n v="4.7619047620000003"/>
    <n v="23.56"/>
    <n v="8.9"/>
  </r>
  <r>
    <s v="110-48-7033"/>
    <x v="71"/>
    <d v="1899-12-30T14:12:00"/>
    <n v="1"/>
    <s v="January"/>
    <s v="B"/>
    <s v="Mandalay"/>
    <s v="Member"/>
    <s v="Male"/>
    <x v="11"/>
    <s v="&gt;70"/>
    <s v="Fashion accessories"/>
    <s v="Cash"/>
    <n v="32.619999999999997"/>
    <n v="4"/>
    <n v="6.524"/>
    <n v="137.00399999999999"/>
    <n v="130.47999999999999"/>
    <n v="4.7619047620000003"/>
    <n v="6.524"/>
    <n v="9"/>
  </r>
  <r>
    <s v="366-93-0948"/>
    <x v="82"/>
    <d v="1899-12-30T10:46:00"/>
    <n v="1"/>
    <s v="January"/>
    <s v="A"/>
    <s v="Yangon"/>
    <s v="Member"/>
    <s v="Male"/>
    <x v="55"/>
    <s v="&gt;70"/>
    <s v="Electronic accessories"/>
    <s v="Credit card"/>
    <n v="66.349999999999994"/>
    <n v="1"/>
    <n v="3.3174999999999999"/>
    <n v="69.667500000000004"/>
    <n v="66.349999999999994"/>
    <n v="4.7619047620000003"/>
    <n v="3.3174999999999999"/>
    <n v="9.6999999999999993"/>
  </r>
  <r>
    <s v="729-09-9681"/>
    <x v="63"/>
    <d v="1899-12-30T10:16:00"/>
    <n v="2"/>
    <s v="February"/>
    <s v="A"/>
    <s v="Yangon"/>
    <s v="Member"/>
    <s v="Male"/>
    <x v="48"/>
    <s v="&gt;70"/>
    <s v="Home and lifestyle"/>
    <s v="Ewallet"/>
    <n v="25.91"/>
    <n v="6"/>
    <n v="7.7729999999999997"/>
    <n v="163.233"/>
    <n v="155.46"/>
    <n v="4.7619047620000003"/>
    <n v="7.7729999999999997"/>
    <n v="8.6999999999999993"/>
  </r>
  <r>
    <s v="151-16-1484"/>
    <x v="77"/>
    <d v="1899-12-30T12:38:00"/>
    <n v="2"/>
    <s v="February"/>
    <s v="A"/>
    <s v="Yangon"/>
    <s v="Member"/>
    <s v="Male"/>
    <x v="67"/>
    <s v="20-70"/>
    <s v="Electronic accessories"/>
    <s v="Ewallet"/>
    <n v="32.25"/>
    <n v="4"/>
    <n v="6.45"/>
    <n v="135.44999999999999"/>
    <n v="129"/>
    <n v="4.7619047620000003"/>
    <n v="6.45"/>
    <n v="6.5"/>
  </r>
  <r>
    <s v="380-94-4661"/>
    <x v="13"/>
    <d v="1899-12-30T13:05:00"/>
    <n v="2"/>
    <s v="February"/>
    <s v="C"/>
    <s v="Naypyitaw"/>
    <s v="Member"/>
    <s v="Male"/>
    <x v="74"/>
    <s v="&gt;70"/>
    <s v="Electronic accessories"/>
    <s v="Credit card"/>
    <n v="65.94"/>
    <n v="4"/>
    <n v="13.188000000000001"/>
    <n v="276.94799999999998"/>
    <n v="263.76"/>
    <n v="4.7619047620000003"/>
    <n v="13.188000000000001"/>
    <n v="6.9"/>
  </r>
  <r>
    <s v="850-41-9669"/>
    <x v="35"/>
    <d v="1899-12-30T13:25:00"/>
    <n v="3"/>
    <s v="March"/>
    <s v="A"/>
    <s v="Yangon"/>
    <s v="Normal"/>
    <s v="Female"/>
    <x v="46"/>
    <s v="20-70"/>
    <s v="Electronic accessories"/>
    <s v="Ewallet"/>
    <n v="75.06"/>
    <n v="9"/>
    <n v="33.777000000000001"/>
    <n v="709.31700000000001"/>
    <n v="675.54"/>
    <n v="4.7619047620000003"/>
    <n v="33.777000000000001"/>
    <n v="6.2"/>
  </r>
  <r>
    <s v="821-07-3596"/>
    <x v="37"/>
    <d v="1899-12-30T14:53:00"/>
    <n v="3"/>
    <s v="March"/>
    <s v="C"/>
    <s v="Naypyitaw"/>
    <s v="Normal"/>
    <s v="Female"/>
    <x v="67"/>
    <s v="20-70"/>
    <s v="Fashion accessories"/>
    <s v="Ewallet"/>
    <n v="16.45"/>
    <n v="4"/>
    <n v="3.29"/>
    <n v="69.09"/>
    <n v="65.8"/>
    <n v="4.7619047620000003"/>
    <n v="3.29"/>
    <n v="5.6"/>
  </r>
  <r>
    <s v="655-85-5130"/>
    <x v="45"/>
    <d v="1899-12-30T19:22:00"/>
    <n v="3"/>
    <s v="March"/>
    <s v="B"/>
    <s v="Mandalay"/>
    <s v="Member"/>
    <s v="Female"/>
    <x v="26"/>
    <s v="20-70"/>
    <s v="Fashion accessories"/>
    <s v="Cash"/>
    <n v="38.299999999999997"/>
    <n v="4"/>
    <n v="7.66"/>
    <n v="160.86000000000001"/>
    <n v="153.19999999999999"/>
    <n v="4.7619047620000003"/>
    <n v="7.66"/>
    <n v="5.7"/>
  </r>
  <r>
    <s v="447-15-7839"/>
    <x v="57"/>
    <d v="1899-12-30T11:00:00"/>
    <n v="2"/>
    <s v="February"/>
    <s v="A"/>
    <s v="Yangon"/>
    <s v="Member"/>
    <s v="Female"/>
    <x v="21"/>
    <s v="20-70"/>
    <s v="Sports and travel"/>
    <s v="Cash"/>
    <n v="22.24"/>
    <n v="10"/>
    <n v="11.12"/>
    <n v="233.52"/>
    <n v="222.4"/>
    <n v="4.7619047620000003"/>
    <n v="11.12"/>
    <n v="4.2"/>
  </r>
  <r>
    <s v="154-74-7179"/>
    <x v="84"/>
    <d v="1899-12-30T19:24:00"/>
    <n v="2"/>
    <s v="February"/>
    <s v="B"/>
    <s v="Mandalay"/>
    <s v="Normal"/>
    <s v="Male"/>
    <x v="35"/>
    <s v="20-70"/>
    <s v="Sports and travel"/>
    <s v="Ewallet"/>
    <n v="54.45"/>
    <n v="1"/>
    <n v="2.7225000000000001"/>
    <n v="57.172499999999999"/>
    <n v="54.45"/>
    <n v="4.7619047620000003"/>
    <n v="2.7225000000000001"/>
    <n v="7.9"/>
  </r>
  <r>
    <s v="253-12-6086"/>
    <x v="41"/>
    <d v="1899-12-30T12:43:00"/>
    <n v="3"/>
    <s v="March"/>
    <s v="A"/>
    <s v="Yangon"/>
    <s v="Member"/>
    <s v="Female"/>
    <x v="10"/>
    <s v="20-70"/>
    <s v="Sports and travel"/>
    <s v="Credit card"/>
    <n v="98.4"/>
    <n v="7"/>
    <n v="34.44"/>
    <n v="723.24"/>
    <n v="688.8"/>
    <n v="4.7619047620000003"/>
    <n v="34.44"/>
    <n v="8.6999999999999993"/>
  </r>
  <r>
    <s v="808-65-0703"/>
    <x v="86"/>
    <d v="1899-12-30T17:22:00"/>
    <n v="3"/>
    <s v="March"/>
    <s v="C"/>
    <s v="Naypyitaw"/>
    <s v="Normal"/>
    <s v="Male"/>
    <x v="1"/>
    <s v="20-70"/>
    <s v="Home and lifestyle"/>
    <s v="Credit card"/>
    <n v="35.47"/>
    <n v="4"/>
    <n v="7.0940000000000003"/>
    <n v="148.97399999999999"/>
    <n v="141.88"/>
    <n v="4.7619047620000003"/>
    <n v="7.0940000000000003"/>
    <n v="6.9"/>
  </r>
  <r>
    <s v="571-94-0759"/>
    <x v="66"/>
    <d v="1899-12-30T20:55:00"/>
    <n v="1"/>
    <s v="January"/>
    <s v="B"/>
    <s v="Mandalay"/>
    <s v="Member"/>
    <s v="Female"/>
    <x v="62"/>
    <s v="20-70"/>
    <s v="Food and beverages"/>
    <s v="Cash"/>
    <n v="74.599999999999994"/>
    <n v="10"/>
    <n v="37.299999999999997"/>
    <n v="783.3"/>
    <n v="746"/>
    <n v="4.7619047620000003"/>
    <n v="37.299999999999997"/>
    <n v="9.5"/>
  </r>
  <r>
    <s v="144-51-6085"/>
    <x v="0"/>
    <d v="1899-12-30T16:05:00"/>
    <n v="1"/>
    <s v="January"/>
    <s v="A"/>
    <s v="Yangon"/>
    <s v="Member"/>
    <s v="Male"/>
    <x v="25"/>
    <s v="20-70"/>
    <s v="Home and lifestyle"/>
    <s v="Credit card"/>
    <n v="70.739999999999995"/>
    <n v="4"/>
    <n v="14.148"/>
    <n v="297.108"/>
    <n v="282.95999999999998"/>
    <n v="4.7619047620000003"/>
    <n v="14.148"/>
    <n v="4.4000000000000004"/>
  </r>
  <r>
    <s v="731-14-2199"/>
    <x v="72"/>
    <d v="1899-12-30T13:34:00"/>
    <n v="1"/>
    <s v="January"/>
    <s v="A"/>
    <s v="Yangon"/>
    <s v="Member"/>
    <s v="Female"/>
    <x v="4"/>
    <s v="20-70"/>
    <s v="Home and lifestyle"/>
    <s v="Ewallet"/>
    <n v="35.54"/>
    <n v="10"/>
    <n v="17.77"/>
    <n v="373.17"/>
    <n v="355.4"/>
    <n v="4.7619047620000003"/>
    <n v="17.77"/>
    <n v="7"/>
  </r>
  <r>
    <s v="783-09-1637"/>
    <x v="43"/>
    <d v="1899-12-30T18:13:00"/>
    <n v="3"/>
    <s v="March"/>
    <s v="B"/>
    <s v="Mandalay"/>
    <s v="Normal"/>
    <s v="Female"/>
    <x v="41"/>
    <s v="&gt;70"/>
    <s v="Sports and travel"/>
    <s v="Ewallet"/>
    <n v="67.430000000000007"/>
    <n v="5"/>
    <n v="16.857500000000002"/>
    <n v="354.00749999999999"/>
    <n v="337.15"/>
    <n v="4.7619047620000003"/>
    <n v="16.857500000000002"/>
    <n v="6.3"/>
  </r>
  <r>
    <s v="687-15-1097"/>
    <x v="75"/>
    <d v="1899-12-30T19:17:00"/>
    <n v="1"/>
    <s v="January"/>
    <s v="C"/>
    <s v="Naypyitaw"/>
    <s v="Member"/>
    <s v="Female"/>
    <x v="6"/>
    <s v="20-70"/>
    <s v="Health and beauty"/>
    <s v="Cash"/>
    <n v="21.12"/>
    <n v="2"/>
    <n v="2.1120000000000001"/>
    <n v="44.351999999999997"/>
    <n v="42.24"/>
    <n v="4.7619047620000003"/>
    <n v="2.1120000000000001"/>
    <n v="9.6999999999999993"/>
  </r>
  <r>
    <s v="126-54-1082"/>
    <x v="27"/>
    <d v="1899-12-30T11:44:00"/>
    <n v="1"/>
    <s v="January"/>
    <s v="A"/>
    <s v="Yangon"/>
    <s v="Member"/>
    <s v="Female"/>
    <x v="38"/>
    <s v="20-70"/>
    <s v="Home and lifestyle"/>
    <s v="Credit card"/>
    <n v="21.54"/>
    <n v="9"/>
    <n v="9.6929999999999996"/>
    <n v="203.553"/>
    <n v="193.86"/>
    <n v="4.7619047620000003"/>
    <n v="9.6929999999999996"/>
    <n v="8.8000000000000007"/>
  </r>
  <r>
    <s v="633-91-1052"/>
    <x v="3"/>
    <d v="1899-12-30T15:51:00"/>
    <n v="1"/>
    <s v="January"/>
    <s v="A"/>
    <s v="Yangon"/>
    <s v="Normal"/>
    <s v="Female"/>
    <x v="30"/>
    <s v="&gt;70"/>
    <s v="Home and lifestyle"/>
    <s v="Cash"/>
    <n v="12.03"/>
    <n v="2"/>
    <n v="1.2030000000000001"/>
    <n v="25.263000000000002"/>
    <n v="24.06"/>
    <n v="4.7619047620000003"/>
    <n v="1.2030000000000001"/>
    <n v="5.0999999999999996"/>
  </r>
  <r>
    <s v="477-24-6490"/>
    <x v="84"/>
    <d v="1899-12-30T16:52:00"/>
    <n v="2"/>
    <s v="February"/>
    <s v="B"/>
    <s v="Mandalay"/>
    <s v="Normal"/>
    <s v="Female"/>
    <x v="17"/>
    <s v="&gt;70"/>
    <s v="Health and beauty"/>
    <s v="Ewallet"/>
    <n v="99.71"/>
    <n v="6"/>
    <n v="29.913"/>
    <n v="628.173"/>
    <n v="598.26"/>
    <n v="4.7619047620000003"/>
    <n v="29.913"/>
    <n v="7.9"/>
  </r>
  <r>
    <s v="566-19-5475"/>
    <x v="27"/>
    <d v="1899-12-30T20:52:00"/>
    <n v="1"/>
    <s v="January"/>
    <s v="B"/>
    <s v="Mandalay"/>
    <s v="Normal"/>
    <s v="Male"/>
    <x v="38"/>
    <s v="20-70"/>
    <s v="Fashion accessories"/>
    <s v="Cash"/>
    <n v="47.97"/>
    <n v="7"/>
    <n v="16.7895"/>
    <n v="352.5795"/>
    <n v="335.79"/>
    <n v="4.7619047620000003"/>
    <n v="16.7895"/>
    <n v="6.2"/>
  </r>
  <r>
    <s v="526-86-8552"/>
    <x v="27"/>
    <d v="1899-12-30T17:36:00"/>
    <n v="1"/>
    <s v="January"/>
    <s v="C"/>
    <s v="Naypyitaw"/>
    <s v="Member"/>
    <s v="Female"/>
    <x v="28"/>
    <s v="20-70"/>
    <s v="Home and lifestyle"/>
    <s v="Cash"/>
    <n v="21.82"/>
    <n v="10"/>
    <n v="10.91"/>
    <n v="229.11"/>
    <n v="218.2"/>
    <n v="4.7619047620000003"/>
    <n v="10.91"/>
    <n v="7.1"/>
  </r>
  <r>
    <s v="376-56-3573"/>
    <x v="30"/>
    <d v="1899-12-30T13:23:00"/>
    <n v="2"/>
    <s v="February"/>
    <s v="C"/>
    <s v="Naypyitaw"/>
    <s v="Normal"/>
    <s v="Female"/>
    <x v="6"/>
    <s v="20-70"/>
    <s v="Fashion accessories"/>
    <s v="Ewallet"/>
    <n v="95.42"/>
    <n v="4"/>
    <n v="19.084"/>
    <n v="400.76400000000001"/>
    <n v="381.68"/>
    <n v="4.7619047620000003"/>
    <n v="19.084"/>
    <n v="6.4"/>
  </r>
  <r>
    <s v="537-72-0426"/>
    <x v="80"/>
    <d v="1899-12-30T16:28:00"/>
    <n v="3"/>
    <s v="March"/>
    <s v="C"/>
    <s v="Naypyitaw"/>
    <s v="Member"/>
    <s v="Male"/>
    <x v="67"/>
    <s v="20-70"/>
    <s v="Fashion accessories"/>
    <s v="Cash"/>
    <n v="70.989999999999995"/>
    <n v="10"/>
    <n v="35.494999999999997"/>
    <n v="745.39499999999998"/>
    <n v="709.9"/>
    <n v="4.7619047620000003"/>
    <n v="35.494999999999997"/>
    <n v="5.7"/>
  </r>
  <r>
    <s v="828-61-5674"/>
    <x v="80"/>
    <d v="1899-12-30T19:57:00"/>
    <n v="3"/>
    <s v="March"/>
    <s v="A"/>
    <s v="Yangon"/>
    <s v="Member"/>
    <s v="Male"/>
    <x v="23"/>
    <s v="20-70"/>
    <s v="Sports and travel"/>
    <s v="Credit card"/>
    <n v="44.02"/>
    <n v="10"/>
    <n v="22.01"/>
    <n v="462.21"/>
    <n v="440.2"/>
    <n v="4.7619047620000003"/>
    <n v="22.01"/>
    <n v="9.6"/>
  </r>
  <r>
    <s v="136-08-6195"/>
    <x v="42"/>
    <d v="1899-12-30T17:01:00"/>
    <n v="2"/>
    <s v="February"/>
    <s v="A"/>
    <s v="Yangon"/>
    <s v="Normal"/>
    <s v="Female"/>
    <x v="18"/>
    <s v="20-70"/>
    <s v="Home and lifestyle"/>
    <s v="Credit card"/>
    <n v="69.959999999999994"/>
    <n v="8"/>
    <n v="27.984000000000002"/>
    <n v="587.66399999999999"/>
    <n v="559.67999999999995"/>
    <n v="4.7619047620000003"/>
    <n v="27.984000000000002"/>
    <n v="6.4"/>
  </r>
  <r>
    <s v="523-38-0215"/>
    <x v="43"/>
    <d v="1899-12-30T13:29:00"/>
    <n v="3"/>
    <s v="March"/>
    <s v="C"/>
    <s v="Naypyitaw"/>
    <s v="Normal"/>
    <s v="Male"/>
    <x v="1"/>
    <s v="20-70"/>
    <s v="Home and lifestyle"/>
    <s v="Credit card"/>
    <n v="37"/>
    <n v="1"/>
    <n v="1.85"/>
    <n v="38.85"/>
    <n v="37"/>
    <n v="4.7619047620000003"/>
    <n v="1.85"/>
    <n v="7.9"/>
  </r>
  <r>
    <s v="490-29-1201"/>
    <x v="47"/>
    <d v="1899-12-30T11:09:00"/>
    <n v="1"/>
    <s v="January"/>
    <s v="A"/>
    <s v="Yangon"/>
    <s v="Normal"/>
    <s v="Female"/>
    <x v="65"/>
    <s v="&gt;70"/>
    <s v="Sports and travel"/>
    <s v="Cash"/>
    <n v="15.34"/>
    <n v="1"/>
    <n v="0.76700000000000002"/>
    <n v="16.106999999999999"/>
    <n v="15.34"/>
    <n v="4.7619047620000003"/>
    <n v="0.76700000000000002"/>
    <n v="6.5"/>
  </r>
  <r>
    <s v="667-92-0055"/>
    <x v="31"/>
    <d v="1899-12-30T15:02:00"/>
    <n v="3"/>
    <s v="March"/>
    <s v="A"/>
    <s v="Yangon"/>
    <s v="Member"/>
    <s v="Male"/>
    <x v="58"/>
    <s v="20-70"/>
    <s v="Health and beauty"/>
    <s v="Ewallet"/>
    <n v="99.83"/>
    <n v="6"/>
    <n v="29.949000000000002"/>
    <n v="628.92899999999997"/>
    <n v="598.98"/>
    <n v="4.7619047620000003"/>
    <n v="29.949000000000002"/>
    <n v="8.5"/>
  </r>
  <r>
    <s v="565-17-3836"/>
    <x v="41"/>
    <d v="1899-12-30T14:21:00"/>
    <n v="3"/>
    <s v="March"/>
    <s v="A"/>
    <s v="Yangon"/>
    <s v="Member"/>
    <s v="Female"/>
    <x v="57"/>
    <s v="&gt;70"/>
    <s v="Health and beauty"/>
    <s v="Cash"/>
    <n v="47.67"/>
    <n v="4"/>
    <n v="9.5340000000000007"/>
    <n v="200.214"/>
    <n v="190.68"/>
    <n v="4.7619047620000003"/>
    <n v="9.5340000000000007"/>
    <n v="9.1"/>
  </r>
  <r>
    <s v="498-41-1961"/>
    <x v="9"/>
    <d v="1899-12-30T18:01:00"/>
    <n v="2"/>
    <s v="February"/>
    <s v="B"/>
    <s v="Mandalay"/>
    <s v="Normal"/>
    <s v="Male"/>
    <x v="47"/>
    <s v="20-70"/>
    <s v="Health and beauty"/>
    <s v="Cash"/>
    <n v="66.680000000000007"/>
    <n v="5"/>
    <n v="16.670000000000002"/>
    <n v="350.07"/>
    <n v="333.4"/>
    <n v="4.7619047620000003"/>
    <n v="16.670000000000002"/>
    <n v="7.6"/>
  </r>
  <r>
    <s v="593-95-4461"/>
    <x v="62"/>
    <d v="1899-12-30T14:49:00"/>
    <n v="3"/>
    <s v="March"/>
    <s v="C"/>
    <s v="Naypyitaw"/>
    <s v="Member"/>
    <s v="Male"/>
    <x v="33"/>
    <s v="20-70"/>
    <s v="Home and lifestyle"/>
    <s v="Cash"/>
    <n v="74.86"/>
    <n v="1"/>
    <n v="3.7429999999999999"/>
    <n v="78.602999999999994"/>
    <n v="74.86"/>
    <n v="4.7619047620000003"/>
    <n v="3.7429999999999999"/>
    <n v="6.9"/>
  </r>
  <r>
    <s v="226-71-3580"/>
    <x v="82"/>
    <d v="1899-12-30T12:02:00"/>
    <n v="1"/>
    <s v="January"/>
    <s v="C"/>
    <s v="Naypyitaw"/>
    <s v="Normal"/>
    <s v="Female"/>
    <x v="54"/>
    <s v="20-70"/>
    <s v="Sports and travel"/>
    <s v="Cash"/>
    <n v="23.75"/>
    <n v="9"/>
    <n v="10.6875"/>
    <n v="224.4375"/>
    <n v="213.75"/>
    <n v="4.7619047620000003"/>
    <n v="10.6875"/>
    <n v="9.5"/>
  </r>
  <r>
    <s v="283-79-9594"/>
    <x v="25"/>
    <d v="1899-12-30T13:30:00"/>
    <n v="1"/>
    <s v="January"/>
    <s v="B"/>
    <s v="Mandalay"/>
    <s v="Normal"/>
    <s v="Female"/>
    <x v="47"/>
    <s v="20-70"/>
    <s v="Food and beverages"/>
    <s v="Credit card"/>
    <n v="48.51"/>
    <n v="7"/>
    <n v="16.9785"/>
    <n v="356.54849999999999"/>
    <n v="339.57"/>
    <n v="4.7619047620000003"/>
    <n v="16.9785"/>
    <n v="5.2"/>
  </r>
  <r>
    <s v="430-60-3493"/>
    <x v="36"/>
    <d v="1899-12-30T14:38:00"/>
    <n v="2"/>
    <s v="February"/>
    <s v="A"/>
    <s v="Yangon"/>
    <s v="Member"/>
    <s v="Female"/>
    <x v="13"/>
    <s v="&gt;70"/>
    <s v="Home and lifestyle"/>
    <s v="Cash"/>
    <n v="94.88"/>
    <n v="7"/>
    <n v="33.207999999999998"/>
    <n v="697.36800000000005"/>
    <n v="664.16"/>
    <n v="4.7619047620000003"/>
    <n v="33.207999999999998"/>
    <n v="4.2"/>
  </r>
  <r>
    <s v="139-20-0155"/>
    <x v="46"/>
    <d v="1899-12-30T17:37:00"/>
    <n v="1"/>
    <s v="January"/>
    <s v="B"/>
    <s v="Mandalay"/>
    <s v="Member"/>
    <s v="Male"/>
    <x v="44"/>
    <s v="20-70"/>
    <s v="Electronic accessories"/>
    <s v="Credit card"/>
    <n v="40.299999999999997"/>
    <n v="10"/>
    <n v="20.149999999999999"/>
    <n v="423.15"/>
    <n v="403"/>
    <n v="4.7619047620000003"/>
    <n v="20.149999999999999"/>
    <n v="7"/>
  </r>
  <r>
    <s v="558-80-4082"/>
    <x v="86"/>
    <d v="1899-12-30T17:20:00"/>
    <n v="3"/>
    <s v="March"/>
    <s v="C"/>
    <s v="Naypyitaw"/>
    <s v="Normal"/>
    <s v="Male"/>
    <x v="52"/>
    <s v="20-70"/>
    <s v="Electronic accessories"/>
    <s v="Ewallet"/>
    <n v="27.85"/>
    <n v="7"/>
    <n v="9.7475000000000005"/>
    <n v="204.69749999999999"/>
    <n v="194.95"/>
    <n v="4.7619047620000003"/>
    <n v="9.7475000000000005"/>
    <n v="6"/>
  </r>
  <r>
    <s v="278-97-7759"/>
    <x v="67"/>
    <d v="1899-12-30T20:29:00"/>
    <n v="2"/>
    <s v="February"/>
    <s v="A"/>
    <s v="Yangon"/>
    <s v="Member"/>
    <s v="Female"/>
    <x v="33"/>
    <s v="20-70"/>
    <s v="Electronic accessories"/>
    <s v="Cash"/>
    <n v="62.48"/>
    <n v="1"/>
    <n v="3.1240000000000001"/>
    <n v="65.603999999999999"/>
    <n v="62.48"/>
    <n v="4.7619047620000003"/>
    <n v="3.1240000000000001"/>
    <n v="4.7"/>
  </r>
  <r>
    <s v="316-68-6352"/>
    <x v="18"/>
    <d v="1899-12-30T10:00:00"/>
    <n v="1"/>
    <s v="January"/>
    <s v="A"/>
    <s v="Yangon"/>
    <s v="Member"/>
    <s v="Female"/>
    <x v="41"/>
    <s v="&gt;70"/>
    <s v="Food and beverages"/>
    <s v="Cash"/>
    <n v="36.36"/>
    <n v="2"/>
    <n v="3.6360000000000001"/>
    <n v="76.355999999999995"/>
    <n v="72.72"/>
    <n v="4.7619047620000003"/>
    <n v="3.6360000000000001"/>
    <n v="7.1"/>
  </r>
  <r>
    <s v="585-03-5943"/>
    <x v="45"/>
    <d v="1899-12-30T11:46:00"/>
    <n v="3"/>
    <s v="March"/>
    <s v="B"/>
    <s v="Mandalay"/>
    <s v="Normal"/>
    <s v="Male"/>
    <x v="50"/>
    <s v="20-70"/>
    <s v="Health and beauty"/>
    <s v="Ewallet"/>
    <n v="18.11"/>
    <n v="10"/>
    <n v="9.0549999999999997"/>
    <n v="190.155"/>
    <n v="181.1"/>
    <n v="4.7619047620000003"/>
    <n v="9.0549999999999997"/>
    <n v="5.9"/>
  </r>
  <r>
    <s v="211-05-0490"/>
    <x v="2"/>
    <d v="1899-12-30T13:42:00"/>
    <n v="3"/>
    <s v="March"/>
    <s v="C"/>
    <s v="Naypyitaw"/>
    <s v="Member"/>
    <s v="Female"/>
    <x v="28"/>
    <s v="20-70"/>
    <s v="Electronic accessories"/>
    <s v="Cash"/>
    <n v="51.92"/>
    <n v="5"/>
    <n v="12.98"/>
    <n v="272.58"/>
    <n v="259.60000000000002"/>
    <n v="4.7619047620000003"/>
    <n v="12.98"/>
    <n v="7.5"/>
  </r>
  <r>
    <s v="727-75-6477"/>
    <x v="14"/>
    <d v="1899-12-30T14:44:00"/>
    <n v="3"/>
    <s v="March"/>
    <s v="C"/>
    <s v="Naypyitaw"/>
    <s v="Normal"/>
    <s v="Male"/>
    <x v="29"/>
    <s v="20-70"/>
    <s v="Electronic accessories"/>
    <s v="Cash"/>
    <n v="28.84"/>
    <n v="4"/>
    <n v="5.7679999999999998"/>
    <n v="121.128"/>
    <n v="115.36"/>
    <n v="4.7619047620000003"/>
    <n v="5.7679999999999998"/>
    <n v="6.4"/>
  </r>
  <r>
    <s v="744-02-5987"/>
    <x v="8"/>
    <d v="1899-12-30T14:16:00"/>
    <n v="1"/>
    <s v="January"/>
    <s v="A"/>
    <s v="Yangon"/>
    <s v="Member"/>
    <s v="Male"/>
    <x v="58"/>
    <s v="20-70"/>
    <s v="Home and lifestyle"/>
    <s v="Ewallet"/>
    <n v="78.38"/>
    <n v="6"/>
    <n v="23.513999999999999"/>
    <n v="493.79399999999998"/>
    <n v="470.28"/>
    <n v="4.7619047620000003"/>
    <n v="23.513999999999999"/>
    <n v="5.8"/>
  </r>
  <r>
    <s v="307-83-9164"/>
    <x v="25"/>
    <d v="1899-12-30T15:54:00"/>
    <n v="1"/>
    <s v="January"/>
    <s v="A"/>
    <s v="Yangon"/>
    <s v="Member"/>
    <s v="Male"/>
    <x v="33"/>
    <s v="20-70"/>
    <s v="Home and lifestyle"/>
    <s v="Cash"/>
    <n v="60.01"/>
    <n v="4"/>
    <n v="12.002000000000001"/>
    <n v="252.042"/>
    <n v="240.04"/>
    <n v="4.7619047620000003"/>
    <n v="12.002000000000001"/>
    <n v="4.5"/>
  </r>
  <r>
    <s v="779-06-0012"/>
    <x v="64"/>
    <d v="1899-12-30T10:21:00"/>
    <n v="1"/>
    <s v="January"/>
    <s v="C"/>
    <s v="Naypyitaw"/>
    <s v="Member"/>
    <s v="Female"/>
    <x v="35"/>
    <s v="20-70"/>
    <s v="Home and lifestyle"/>
    <s v="Cash"/>
    <n v="88.61"/>
    <n v="1"/>
    <n v="4.4305000000000003"/>
    <n v="93.040499999999994"/>
    <n v="88.61"/>
    <n v="4.7619047620000003"/>
    <n v="4.4305000000000003"/>
    <n v="7.7"/>
  </r>
  <r>
    <s v="446-47-6729"/>
    <x v="56"/>
    <d v="1899-12-30T18:09:00"/>
    <n v="1"/>
    <s v="January"/>
    <s v="C"/>
    <s v="Naypyitaw"/>
    <s v="Normal"/>
    <s v="Male"/>
    <x v="59"/>
    <s v="20-70"/>
    <s v="Fashion accessories"/>
    <s v="Credit card"/>
    <n v="99.82"/>
    <n v="2"/>
    <n v="9.9819999999999993"/>
    <n v="209.62200000000001"/>
    <n v="199.64"/>
    <n v="4.7619047620000003"/>
    <n v="9.9819999999999993"/>
    <n v="6.7"/>
  </r>
  <r>
    <s v="573-10-3877"/>
    <x v="41"/>
    <d v="1899-12-30T16:46:00"/>
    <n v="3"/>
    <s v="March"/>
    <s v="B"/>
    <s v="Mandalay"/>
    <s v="Member"/>
    <s v="Male"/>
    <x v="45"/>
    <s v="20-70"/>
    <s v="Health and beauty"/>
    <s v="Credit card"/>
    <n v="39.01"/>
    <n v="1"/>
    <n v="1.9504999999999999"/>
    <n v="40.960500000000003"/>
    <n v="39.01"/>
    <n v="4.7619047620000003"/>
    <n v="1.9504999999999999"/>
    <n v="4.7"/>
  </r>
  <r>
    <s v="735-06-4124"/>
    <x v="6"/>
    <d v="1899-12-30T15:31:00"/>
    <n v="2"/>
    <s v="February"/>
    <s v="C"/>
    <s v="Naypyitaw"/>
    <s v="Normal"/>
    <s v="Male"/>
    <x v="38"/>
    <s v="20-70"/>
    <s v="Food and beverages"/>
    <s v="Cash"/>
    <n v="48.61"/>
    <n v="1"/>
    <n v="2.4304999999999999"/>
    <n v="51.040500000000002"/>
    <n v="48.61"/>
    <n v="4.7619047620000003"/>
    <n v="2.4304999999999999"/>
    <n v="4.4000000000000004"/>
  </r>
  <r>
    <s v="439-54-7422"/>
    <x v="79"/>
    <d v="1899-12-30T17:15:00"/>
    <n v="3"/>
    <s v="March"/>
    <s v="A"/>
    <s v="Yangon"/>
    <s v="Normal"/>
    <s v="Female"/>
    <x v="46"/>
    <s v="20-70"/>
    <s v="Electronic accessories"/>
    <s v="Credit card"/>
    <n v="51.19"/>
    <n v="4"/>
    <n v="10.238"/>
    <n v="214.99799999999999"/>
    <n v="204.76"/>
    <n v="4.7619047620000003"/>
    <n v="10.238"/>
    <n v="4.7"/>
  </r>
  <r>
    <s v="396-90-2219"/>
    <x v="55"/>
    <d v="1899-12-30T12:29:00"/>
    <n v="2"/>
    <s v="February"/>
    <s v="B"/>
    <s v="Mandalay"/>
    <s v="Normal"/>
    <s v="Female"/>
    <x v="9"/>
    <s v="20-70"/>
    <s v="Electronic accessories"/>
    <s v="Cash"/>
    <n v="14.96"/>
    <n v="8"/>
    <n v="5.984"/>
    <n v="125.664"/>
    <n v="119.68"/>
    <n v="4.7619047620000003"/>
    <n v="5.984"/>
    <n v="8.6"/>
  </r>
  <r>
    <s v="411-77-0180"/>
    <x v="58"/>
    <d v="1899-12-30T20:14:00"/>
    <n v="3"/>
    <s v="March"/>
    <s v="A"/>
    <s v="Yangon"/>
    <s v="Member"/>
    <s v="Male"/>
    <x v="4"/>
    <s v="20-70"/>
    <s v="Electronic accessories"/>
    <s v="Ewallet"/>
    <n v="72.2"/>
    <n v="7"/>
    <n v="25.27"/>
    <n v="530.66999999999996"/>
    <n v="505.4"/>
    <n v="4.7619047620000003"/>
    <n v="25.27"/>
    <n v="4.3"/>
  </r>
  <r>
    <s v="286-01-5402"/>
    <x v="73"/>
    <d v="1899-12-30T13:22:00"/>
    <n v="3"/>
    <s v="March"/>
    <s v="A"/>
    <s v="Yangon"/>
    <s v="Normal"/>
    <s v="Female"/>
    <x v="60"/>
    <s v="&gt;70"/>
    <s v="Sports and travel"/>
    <s v="Cash"/>
    <n v="40.229999999999997"/>
    <n v="7"/>
    <n v="14.080500000000001"/>
    <n v="295.69049999999999"/>
    <n v="281.61"/>
    <n v="4.7619047620000003"/>
    <n v="14.080500000000001"/>
    <n v="9.6"/>
  </r>
  <r>
    <s v="803-17-8013"/>
    <x v="21"/>
    <d v="1899-12-30T17:09:00"/>
    <n v="2"/>
    <s v="February"/>
    <s v="A"/>
    <s v="Yangon"/>
    <s v="Member"/>
    <s v="Female"/>
    <x v="70"/>
    <s v="&gt;70"/>
    <s v="Home and lifestyle"/>
    <s v="Cash"/>
    <n v="88.79"/>
    <n v="8"/>
    <n v="35.515999999999998"/>
    <n v="745.83600000000001"/>
    <n v="710.32"/>
    <n v="4.7619047620000003"/>
    <n v="35.515999999999998"/>
    <n v="4.0999999999999996"/>
  </r>
  <r>
    <s v="512-98-1403"/>
    <x v="76"/>
    <d v="1899-12-30T10:40:00"/>
    <n v="3"/>
    <s v="March"/>
    <s v="A"/>
    <s v="Yangon"/>
    <s v="Member"/>
    <s v="Female"/>
    <x v="70"/>
    <s v="&gt;70"/>
    <s v="Electronic accessories"/>
    <s v="Ewallet"/>
    <n v="26.48"/>
    <n v="3"/>
    <n v="3.972"/>
    <n v="83.412000000000006"/>
    <n v="79.44"/>
    <n v="4.7619047620000003"/>
    <n v="3.972"/>
    <n v="4.7"/>
  </r>
  <r>
    <s v="848-42-2560"/>
    <x v="19"/>
    <d v="1899-12-30T17:43:00"/>
    <n v="3"/>
    <s v="March"/>
    <s v="A"/>
    <s v="Yangon"/>
    <s v="Normal"/>
    <s v="Female"/>
    <x v="35"/>
    <s v="20-70"/>
    <s v="Fashion accessories"/>
    <s v="Cash"/>
    <n v="81.91"/>
    <n v="2"/>
    <n v="8.1910000000000007"/>
    <n v="172.011"/>
    <n v="163.82"/>
    <n v="4.7619047620000003"/>
    <n v="8.1910000000000007"/>
    <n v="7.8"/>
  </r>
  <r>
    <s v="532-59-7201"/>
    <x v="82"/>
    <d v="1899-12-30T14:04:00"/>
    <n v="1"/>
    <s v="January"/>
    <s v="B"/>
    <s v="Mandalay"/>
    <s v="Member"/>
    <s v="Male"/>
    <x v="55"/>
    <s v="&gt;70"/>
    <s v="Sports and travel"/>
    <s v="Cash"/>
    <n v="79.930000000000007"/>
    <n v="6"/>
    <n v="23.978999999999999"/>
    <n v="503.55900000000003"/>
    <n v="479.58"/>
    <n v="4.7619047620000003"/>
    <n v="23.978999999999999"/>
    <n v="5.5"/>
  </r>
  <r>
    <s v="181-94-6432"/>
    <x v="63"/>
    <d v="1899-12-30T19:05:00"/>
    <n v="2"/>
    <s v="February"/>
    <s v="C"/>
    <s v="Naypyitaw"/>
    <s v="Member"/>
    <s v="Male"/>
    <x v="42"/>
    <s v="20-70"/>
    <s v="Fashion accessories"/>
    <s v="Ewallet"/>
    <n v="69.33"/>
    <n v="2"/>
    <n v="6.9329999999999998"/>
    <n v="145.59299999999999"/>
    <n v="138.66"/>
    <n v="4.7619047620000003"/>
    <n v="6.9329999999999998"/>
    <n v="9.6999999999999993"/>
  </r>
  <r>
    <s v="870-76-1733"/>
    <x v="60"/>
    <d v="1899-12-30T10:08:00"/>
    <n v="2"/>
    <s v="February"/>
    <s v="A"/>
    <s v="Yangon"/>
    <s v="Member"/>
    <s v="Female"/>
    <x v="3"/>
    <s v="20-70"/>
    <s v="Food and beverages"/>
    <s v="Credit card"/>
    <n v="14.23"/>
    <n v="5"/>
    <n v="3.5575000000000001"/>
    <n v="74.707499999999996"/>
    <n v="71.150000000000006"/>
    <n v="4.7619047620000003"/>
    <n v="3.5575000000000001"/>
    <n v="4.4000000000000004"/>
  </r>
  <r>
    <s v="423-64-4619"/>
    <x v="37"/>
    <d v="1899-12-30T13:12:00"/>
    <n v="3"/>
    <s v="March"/>
    <s v="A"/>
    <s v="Yangon"/>
    <s v="Member"/>
    <s v="Female"/>
    <x v="69"/>
    <s v="20-70"/>
    <s v="Health and beauty"/>
    <s v="Cash"/>
    <n v="15.55"/>
    <n v="9"/>
    <n v="6.9974999999999996"/>
    <n v="146.94749999999999"/>
    <n v="139.94999999999999"/>
    <n v="4.7619047620000003"/>
    <n v="6.9974999999999996"/>
    <n v="5"/>
  </r>
  <r>
    <s v="227-07-4446"/>
    <x v="34"/>
    <d v="1899-12-30T20:51:00"/>
    <n v="2"/>
    <s v="February"/>
    <s v="C"/>
    <s v="Naypyitaw"/>
    <s v="Member"/>
    <s v="Female"/>
    <x v="15"/>
    <s v="20-70"/>
    <s v="Electronic accessories"/>
    <s v="Cash"/>
    <n v="78.13"/>
    <n v="10"/>
    <n v="39.064999999999998"/>
    <n v="820.36500000000001"/>
    <n v="781.3"/>
    <n v="4.7619047620000003"/>
    <n v="39.064999999999998"/>
    <n v="4.4000000000000004"/>
  </r>
  <r>
    <s v="174-36-3675"/>
    <x v="44"/>
    <d v="1899-12-30T17:29:00"/>
    <n v="2"/>
    <s v="February"/>
    <s v="C"/>
    <s v="Naypyitaw"/>
    <s v="Member"/>
    <s v="Male"/>
    <x v="39"/>
    <s v="20-70"/>
    <s v="Food and beverages"/>
    <s v="Cash"/>
    <n v="99.37"/>
    <n v="2"/>
    <n v="9.9369999999999994"/>
    <n v="208.67699999999999"/>
    <n v="198.74"/>
    <n v="4.7619047620000003"/>
    <n v="9.9369999999999994"/>
    <n v="5.2"/>
  </r>
  <r>
    <s v="428-83-5800"/>
    <x v="57"/>
    <d v="1899-12-30T10:25:00"/>
    <n v="2"/>
    <s v="February"/>
    <s v="C"/>
    <s v="Naypyitaw"/>
    <s v="Member"/>
    <s v="Female"/>
    <x v="17"/>
    <s v="&gt;70"/>
    <s v="Food and beverages"/>
    <s v="Cash"/>
    <n v="21.08"/>
    <n v="3"/>
    <n v="3.1619999999999999"/>
    <n v="66.402000000000001"/>
    <n v="63.24"/>
    <n v="4.7619047620000003"/>
    <n v="3.1619999999999999"/>
    <n v="7.3"/>
  </r>
  <r>
    <s v="603-07-0961"/>
    <x v="8"/>
    <d v="1899-12-30T11:34:00"/>
    <n v="1"/>
    <s v="January"/>
    <s v="C"/>
    <s v="Naypyitaw"/>
    <s v="Member"/>
    <s v="Male"/>
    <x v="64"/>
    <s v="20-70"/>
    <s v="Electronic accessories"/>
    <s v="Cash"/>
    <n v="74.790000000000006"/>
    <n v="5"/>
    <n v="18.697500000000002"/>
    <n v="392.64749999999998"/>
    <n v="373.95"/>
    <n v="4.7619047620000003"/>
    <n v="18.697500000000002"/>
    <n v="4.9000000000000004"/>
  </r>
  <r>
    <s v="704-20-4138"/>
    <x v="16"/>
    <d v="1899-12-30T18:58:00"/>
    <n v="3"/>
    <s v="March"/>
    <s v="C"/>
    <s v="Naypyitaw"/>
    <s v="Member"/>
    <s v="Female"/>
    <x v="62"/>
    <s v="20-70"/>
    <s v="Health and beauty"/>
    <s v="Credit card"/>
    <n v="29.67"/>
    <n v="7"/>
    <n v="10.384499999999999"/>
    <n v="218.0745"/>
    <n v="207.69"/>
    <n v="4.7619047620000003"/>
    <n v="10.384499999999999"/>
    <n v="8.1"/>
  </r>
  <r>
    <s v="787-15-1757"/>
    <x v="67"/>
    <d v="1899-12-30T16:28:00"/>
    <n v="2"/>
    <s v="February"/>
    <s v="C"/>
    <s v="Naypyitaw"/>
    <s v="Member"/>
    <s v="Male"/>
    <x v="58"/>
    <s v="20-70"/>
    <s v="Health and beauty"/>
    <s v="Ewallet"/>
    <n v="44.07"/>
    <n v="4"/>
    <n v="8.8140000000000001"/>
    <n v="185.09399999999999"/>
    <n v="176.28"/>
    <n v="4.7619047620000003"/>
    <n v="8.8140000000000001"/>
    <n v="8.4"/>
  </r>
  <r>
    <s v="649-11-3678"/>
    <x v="84"/>
    <d v="1899-12-30T20:26:00"/>
    <n v="2"/>
    <s v="February"/>
    <s v="C"/>
    <s v="Naypyitaw"/>
    <s v="Normal"/>
    <s v="Female"/>
    <x v="27"/>
    <s v="&gt;70"/>
    <s v="Food and beverages"/>
    <s v="Cash"/>
    <n v="22.93"/>
    <n v="9"/>
    <n v="10.3185"/>
    <n v="216.6885"/>
    <n v="206.37"/>
    <n v="4.7619047620000003"/>
    <n v="10.3185"/>
    <n v="5.5"/>
  </r>
  <r>
    <s v="622-20-1945"/>
    <x v="68"/>
    <d v="1899-12-30T15:08:00"/>
    <n v="1"/>
    <s v="January"/>
    <s v="C"/>
    <s v="Naypyitaw"/>
    <s v="Normal"/>
    <s v="Female"/>
    <x v="53"/>
    <s v="20-70"/>
    <s v="Health and beauty"/>
    <s v="Cash"/>
    <n v="39.42"/>
    <n v="1"/>
    <n v="1.9710000000000001"/>
    <n v="41.390999999999998"/>
    <n v="39.42"/>
    <n v="4.7619047620000003"/>
    <n v="1.9710000000000001"/>
    <n v="8.4"/>
  </r>
  <r>
    <s v="372-94-8041"/>
    <x v="42"/>
    <d v="1899-12-30T18:03:00"/>
    <n v="2"/>
    <s v="February"/>
    <s v="A"/>
    <s v="Yangon"/>
    <s v="Normal"/>
    <s v="Male"/>
    <x v="54"/>
    <s v="20-70"/>
    <s v="Health and beauty"/>
    <s v="Ewallet"/>
    <n v="15.26"/>
    <n v="6"/>
    <n v="4.5780000000000003"/>
    <n v="96.138000000000005"/>
    <n v="91.56"/>
    <n v="4.7619047620000003"/>
    <n v="4.5780000000000003"/>
    <n v="9.8000000000000007"/>
  </r>
  <r>
    <s v="563-91-7120"/>
    <x v="1"/>
    <d v="1899-12-30T13:21:00"/>
    <n v="3"/>
    <s v="March"/>
    <s v="A"/>
    <s v="Yangon"/>
    <s v="Normal"/>
    <s v="Female"/>
    <x v="11"/>
    <s v="&gt;70"/>
    <s v="Fashion accessories"/>
    <s v="Cash"/>
    <n v="61.77"/>
    <n v="5"/>
    <n v="15.442500000000001"/>
    <n v="324.29250000000002"/>
    <n v="308.85000000000002"/>
    <n v="4.7619047620000003"/>
    <n v="15.442500000000001"/>
    <n v="6.7"/>
  </r>
  <r>
    <s v="746-54-5508"/>
    <x v="29"/>
    <d v="1899-12-30T12:48:00"/>
    <n v="1"/>
    <s v="January"/>
    <s v="A"/>
    <s v="Yangon"/>
    <s v="Normal"/>
    <s v="Male"/>
    <x v="41"/>
    <s v="&gt;70"/>
    <s v="Home and lifestyle"/>
    <s v="Credit card"/>
    <n v="21.52"/>
    <n v="6"/>
    <n v="6.4560000000000004"/>
    <n v="135.57599999999999"/>
    <n v="129.12"/>
    <n v="4.7619047620000003"/>
    <n v="6.4560000000000004"/>
    <n v="9.4"/>
  </r>
  <r>
    <s v="276-54-0879"/>
    <x v="41"/>
    <d v="1899-12-30T19:53:00"/>
    <n v="3"/>
    <s v="March"/>
    <s v="B"/>
    <s v="Mandalay"/>
    <s v="Normal"/>
    <s v="Male"/>
    <x v="59"/>
    <s v="20-70"/>
    <s v="Sports and travel"/>
    <s v="Ewallet"/>
    <n v="97.74"/>
    <n v="4"/>
    <n v="19.547999999999998"/>
    <n v="410.50799999999998"/>
    <n v="390.96"/>
    <n v="4.7619047620000003"/>
    <n v="19.547999999999998"/>
    <n v="6.4"/>
  </r>
  <r>
    <s v="815-11-1168"/>
    <x v="11"/>
    <d v="1899-12-30T19:09:00"/>
    <n v="3"/>
    <s v="March"/>
    <s v="A"/>
    <s v="Yangon"/>
    <s v="Member"/>
    <s v="Male"/>
    <x v="38"/>
    <s v="20-70"/>
    <s v="Food and beverages"/>
    <s v="Cash"/>
    <n v="99.78"/>
    <n v="5"/>
    <n v="24.945"/>
    <n v="523.84500000000003"/>
    <n v="498.9"/>
    <n v="4.7619047620000003"/>
    <n v="24.945"/>
    <n v="5.4"/>
  </r>
  <r>
    <s v="719-76-3868"/>
    <x v="41"/>
    <d v="1899-12-30T16:30:00"/>
    <n v="3"/>
    <s v="March"/>
    <s v="C"/>
    <s v="Naypyitaw"/>
    <s v="Member"/>
    <s v="Male"/>
    <x v="0"/>
    <s v="&lt;20"/>
    <s v="Food and beverages"/>
    <s v="Cash"/>
    <n v="94.26"/>
    <n v="4"/>
    <n v="18.852"/>
    <n v="395.892"/>
    <n v="377.04"/>
    <n v="4.7619047620000003"/>
    <n v="18.852"/>
    <n v="8.6"/>
  </r>
  <r>
    <s v="730-61-8757"/>
    <x v="25"/>
    <d v="1899-12-30T10:11:00"/>
    <n v="1"/>
    <s v="January"/>
    <s v="B"/>
    <s v="Mandalay"/>
    <s v="Member"/>
    <s v="Male"/>
    <x v="50"/>
    <s v="20-70"/>
    <s v="Health and beauty"/>
    <s v="Credit card"/>
    <n v="51.13"/>
    <n v="4"/>
    <n v="10.226000000000001"/>
    <n v="214.74600000000001"/>
    <n v="204.52"/>
    <n v="4.7619047620000003"/>
    <n v="10.226000000000001"/>
    <n v="4"/>
  </r>
  <r>
    <s v="340-66-0321"/>
    <x v="5"/>
    <d v="1899-12-30T13:07:00"/>
    <n v="3"/>
    <s v="March"/>
    <s v="A"/>
    <s v="Yangon"/>
    <s v="Member"/>
    <s v="Male"/>
    <x v="12"/>
    <s v="20-70"/>
    <s v="Electronic accessories"/>
    <s v="Cash"/>
    <n v="36.36"/>
    <n v="4"/>
    <n v="7.2720000000000002"/>
    <n v="152.71199999999999"/>
    <n v="145.44"/>
    <n v="4.7619047620000003"/>
    <n v="7.2720000000000002"/>
    <n v="7.6"/>
  </r>
  <r>
    <s v="868-81-1752"/>
    <x v="13"/>
    <d v="1899-12-30T18:48:00"/>
    <n v="2"/>
    <s v="February"/>
    <s v="B"/>
    <s v="Mandalay"/>
    <s v="Normal"/>
    <s v="Male"/>
    <x v="69"/>
    <s v="20-70"/>
    <s v="Home and lifestyle"/>
    <s v="Cash"/>
    <n v="22.02"/>
    <n v="9"/>
    <n v="9.9090000000000007"/>
    <n v="208.089"/>
    <n v="198.18"/>
    <n v="4.7619047620000003"/>
    <n v="9.9090000000000007"/>
    <n v="6.8"/>
  </r>
  <r>
    <s v="634-97-8956"/>
    <x v="21"/>
    <d v="1899-12-30T17:27:00"/>
    <n v="2"/>
    <s v="February"/>
    <s v="A"/>
    <s v="Yangon"/>
    <s v="Normal"/>
    <s v="Male"/>
    <x v="73"/>
    <s v="20-70"/>
    <s v="Food and beverages"/>
    <s v="Credit card"/>
    <n v="32.9"/>
    <n v="3"/>
    <n v="4.9349999999999996"/>
    <n v="103.63500000000001"/>
    <n v="98.7"/>
    <n v="4.7619047620000003"/>
    <n v="4.9349999999999996"/>
    <n v="9.1"/>
  </r>
  <r>
    <s v="566-71-1091"/>
    <x v="36"/>
    <d v="1899-12-30T15:59:00"/>
    <n v="2"/>
    <s v="February"/>
    <s v="A"/>
    <s v="Yangon"/>
    <s v="Normal"/>
    <s v="Male"/>
    <x v="6"/>
    <s v="20-70"/>
    <s v="Fashion accessories"/>
    <s v="Cash"/>
    <n v="77.02"/>
    <n v="5"/>
    <n v="19.254999999999999"/>
    <n v="404.35500000000002"/>
    <n v="385.1"/>
    <n v="4.7619047620000003"/>
    <n v="19.254999999999999"/>
    <n v="5.5"/>
  </r>
  <r>
    <s v="442-48-3607"/>
    <x v="86"/>
    <d v="1899-12-30T11:21:00"/>
    <n v="3"/>
    <s v="March"/>
    <s v="A"/>
    <s v="Yangon"/>
    <s v="Member"/>
    <s v="Male"/>
    <x v="33"/>
    <s v="20-70"/>
    <s v="Food and beverages"/>
    <s v="Credit card"/>
    <n v="23.48"/>
    <n v="2"/>
    <n v="2.3479999999999999"/>
    <n v="49.308"/>
    <n v="46.96"/>
    <n v="4.7619047620000003"/>
    <n v="2.3479999999999999"/>
    <n v="7.9"/>
  </r>
  <r>
    <s v="835-16-0096"/>
    <x v="62"/>
    <d v="1899-12-30T13:48:00"/>
    <n v="3"/>
    <s v="March"/>
    <s v="C"/>
    <s v="Naypyitaw"/>
    <s v="Member"/>
    <s v="Male"/>
    <x v="41"/>
    <s v="&gt;70"/>
    <s v="Sports and travel"/>
    <s v="Ewallet"/>
    <n v="14.7"/>
    <n v="5"/>
    <n v="3.6749999999999998"/>
    <n v="77.174999999999997"/>
    <n v="73.5"/>
    <n v="4.7619047620000003"/>
    <n v="3.6749999999999998"/>
    <n v="8.5"/>
  </r>
  <r>
    <s v="527-09-6272"/>
    <x v="76"/>
    <d v="1899-12-30T10:17:00"/>
    <n v="3"/>
    <s v="March"/>
    <s v="A"/>
    <s v="Yangon"/>
    <s v="Member"/>
    <s v="Female"/>
    <x v="13"/>
    <s v="&gt;70"/>
    <s v="Electronic accessories"/>
    <s v="Credit card"/>
    <n v="28.45"/>
    <n v="5"/>
    <n v="7.1124999999999998"/>
    <n v="149.36250000000001"/>
    <n v="142.25"/>
    <n v="4.7619047620000003"/>
    <n v="7.1124999999999998"/>
    <n v="9.1"/>
  </r>
  <r>
    <s v="898-04-2717"/>
    <x v="35"/>
    <d v="1899-12-30T15:49:00"/>
    <n v="3"/>
    <s v="March"/>
    <s v="A"/>
    <s v="Yangon"/>
    <s v="Normal"/>
    <s v="Male"/>
    <x v="37"/>
    <s v="20-70"/>
    <s v="Fashion accessories"/>
    <s v="Ewallet"/>
    <n v="76.400000000000006"/>
    <n v="9"/>
    <n v="34.380000000000003"/>
    <n v="721.98"/>
    <n v="687.6"/>
    <n v="4.7619047620000003"/>
    <n v="34.380000000000003"/>
    <n v="7.5"/>
  </r>
  <r>
    <s v="692-27-8933"/>
    <x v="7"/>
    <d v="1899-12-30T13:02:00"/>
    <n v="2"/>
    <s v="February"/>
    <s v="B"/>
    <s v="Mandalay"/>
    <s v="Normal"/>
    <s v="Female"/>
    <x v="27"/>
    <s v="&gt;70"/>
    <s v="Sports and travel"/>
    <s v="Cash"/>
    <n v="57.95"/>
    <n v="6"/>
    <n v="17.385000000000002"/>
    <n v="365.08499999999998"/>
    <n v="347.7"/>
    <n v="4.7619047620000003"/>
    <n v="17.385000000000002"/>
    <n v="5.2"/>
  </r>
  <r>
    <s v="633-09-3463"/>
    <x v="61"/>
    <d v="1899-12-30T12:58:00"/>
    <n v="3"/>
    <s v="March"/>
    <s v="C"/>
    <s v="Naypyitaw"/>
    <s v="Normal"/>
    <s v="Female"/>
    <x v="59"/>
    <s v="20-70"/>
    <s v="Electronic accessories"/>
    <s v="Credit card"/>
    <n v="47.65"/>
    <n v="3"/>
    <n v="7.1475"/>
    <n v="150.0975"/>
    <n v="142.94999999999999"/>
    <n v="4.7619047620000003"/>
    <n v="7.1475"/>
    <n v="9.5"/>
  </r>
  <r>
    <s v="374-17-3652"/>
    <x v="63"/>
    <d v="1899-12-30T15:26:00"/>
    <n v="2"/>
    <s v="February"/>
    <s v="B"/>
    <s v="Mandalay"/>
    <s v="Member"/>
    <s v="Female"/>
    <x v="27"/>
    <s v="&gt;70"/>
    <s v="Food and beverages"/>
    <s v="Credit card"/>
    <n v="42.82"/>
    <n v="9"/>
    <n v="19.268999999999998"/>
    <n v="404.649"/>
    <n v="385.38"/>
    <n v="4.7619047620000003"/>
    <n v="19.268999999999998"/>
    <n v="8.9"/>
  </r>
  <r>
    <s v="378-07-7001"/>
    <x v="34"/>
    <d v="1899-12-30T18:23:00"/>
    <n v="2"/>
    <s v="February"/>
    <s v="B"/>
    <s v="Mandalay"/>
    <s v="Member"/>
    <s v="Male"/>
    <x v="51"/>
    <s v="20-70"/>
    <s v="Electronic accessories"/>
    <s v="Credit card"/>
    <n v="48.09"/>
    <n v="3"/>
    <n v="7.2134999999999998"/>
    <n v="151.48349999999999"/>
    <n v="144.27000000000001"/>
    <n v="4.7619047620000003"/>
    <n v="7.2134999999999998"/>
    <n v="7.8"/>
  </r>
  <r>
    <s v="433-75-6987"/>
    <x v="19"/>
    <d v="1899-12-30T19:06:00"/>
    <n v="3"/>
    <s v="March"/>
    <s v="B"/>
    <s v="Mandalay"/>
    <s v="Member"/>
    <s v="Female"/>
    <x v="55"/>
    <s v="&gt;70"/>
    <s v="Health and beauty"/>
    <s v="Ewallet"/>
    <n v="55.97"/>
    <n v="7"/>
    <n v="19.589500000000001"/>
    <n v="411.37950000000001"/>
    <n v="391.79"/>
    <n v="4.7619047620000003"/>
    <n v="19.589500000000001"/>
    <n v="8.9"/>
  </r>
  <r>
    <s v="873-95-4984"/>
    <x v="42"/>
    <d v="1899-12-30T20:21:00"/>
    <n v="2"/>
    <s v="February"/>
    <s v="B"/>
    <s v="Mandalay"/>
    <s v="Member"/>
    <s v="Female"/>
    <x v="31"/>
    <s v="&gt;70"/>
    <s v="Health and beauty"/>
    <s v="Cash"/>
    <n v="76.900000000000006"/>
    <n v="7"/>
    <n v="26.914999999999999"/>
    <n v="565.21500000000003"/>
    <n v="538.29999999999995"/>
    <n v="4.7619047620000003"/>
    <n v="26.914999999999999"/>
    <n v="7.7"/>
  </r>
  <r>
    <s v="416-13-5917"/>
    <x v="74"/>
    <d v="1899-12-30T16:24:00"/>
    <n v="1"/>
    <s v="January"/>
    <s v="C"/>
    <s v="Naypyitaw"/>
    <s v="Normal"/>
    <s v="Female"/>
    <x v="35"/>
    <s v="20-70"/>
    <s v="Food and beverages"/>
    <s v="Ewallet"/>
    <n v="97.03"/>
    <n v="5"/>
    <n v="24.2575"/>
    <n v="509.40750000000003"/>
    <n v="485.15"/>
    <n v="4.7619047620000003"/>
    <n v="24.2575"/>
    <n v="9.3000000000000007"/>
  </r>
  <r>
    <s v="150-89-8043"/>
    <x v="44"/>
    <d v="1899-12-30T15:04:00"/>
    <n v="2"/>
    <s v="February"/>
    <s v="A"/>
    <s v="Yangon"/>
    <s v="Normal"/>
    <s v="Male"/>
    <x v="70"/>
    <s v="&gt;70"/>
    <s v="Sports and travel"/>
    <s v="Cash"/>
    <n v="44.65"/>
    <n v="3"/>
    <n v="6.6974999999999998"/>
    <n v="140.64750000000001"/>
    <n v="133.94999999999999"/>
    <n v="4.7619047620000003"/>
    <n v="6.6974999999999998"/>
    <n v="6.2"/>
  </r>
  <r>
    <s v="135-84-8019"/>
    <x v="33"/>
    <d v="1899-12-30T16:10:00"/>
    <n v="2"/>
    <s v="February"/>
    <s v="A"/>
    <s v="Yangon"/>
    <s v="Normal"/>
    <s v="Female"/>
    <x v="29"/>
    <s v="20-70"/>
    <s v="Fashion accessories"/>
    <s v="Ewallet"/>
    <n v="77.930000000000007"/>
    <n v="9"/>
    <n v="35.0685"/>
    <n v="736.43849999999998"/>
    <n v="701.37"/>
    <n v="4.7619047620000003"/>
    <n v="35.0685"/>
    <n v="7.6"/>
  </r>
  <r>
    <s v="441-94-7118"/>
    <x v="87"/>
    <d v="1899-12-30T12:14:00"/>
    <n v="2"/>
    <s v="February"/>
    <s v="A"/>
    <s v="Yangon"/>
    <s v="Member"/>
    <s v="Male"/>
    <x v="48"/>
    <s v="&gt;70"/>
    <s v="Electronic accessories"/>
    <s v="Cash"/>
    <n v="71.95"/>
    <n v="1"/>
    <n v="3.5975000000000001"/>
    <n v="75.547499999999999"/>
    <n v="71.95"/>
    <n v="4.7619047620000003"/>
    <n v="3.5975000000000001"/>
    <n v="7.3"/>
  </r>
  <r>
    <s v="725-96-3778"/>
    <x v="40"/>
    <d v="1899-12-30T10:13:00"/>
    <n v="1"/>
    <s v="January"/>
    <s v="C"/>
    <s v="Naypyitaw"/>
    <s v="Member"/>
    <s v="Female"/>
    <x v="64"/>
    <s v="20-70"/>
    <s v="Home and lifestyle"/>
    <s v="Cash"/>
    <n v="89.25"/>
    <n v="8"/>
    <n v="35.700000000000003"/>
    <n v="749.7"/>
    <n v="714"/>
    <n v="4.7619047620000003"/>
    <n v="35.700000000000003"/>
    <n v="4.7"/>
  </r>
  <r>
    <s v="531-80-1784"/>
    <x v="61"/>
    <d v="1899-12-30T17:38:00"/>
    <n v="3"/>
    <s v="March"/>
    <s v="A"/>
    <s v="Yangon"/>
    <s v="Normal"/>
    <s v="Male"/>
    <x v="23"/>
    <s v="20-70"/>
    <s v="Electronic accessories"/>
    <s v="Cash"/>
    <n v="26.02"/>
    <n v="7"/>
    <n v="9.1069999999999993"/>
    <n v="191.24700000000001"/>
    <n v="182.14"/>
    <n v="4.7619047620000003"/>
    <n v="9.1069999999999993"/>
    <n v="5.0999999999999996"/>
  </r>
  <r>
    <s v="400-45-1220"/>
    <x v="33"/>
    <d v="1899-12-30T11:06:00"/>
    <n v="2"/>
    <s v="February"/>
    <s v="B"/>
    <s v="Mandalay"/>
    <s v="Normal"/>
    <s v="Female"/>
    <x v="46"/>
    <s v="20-70"/>
    <s v="Health and beauty"/>
    <s v="Credit card"/>
    <n v="13.5"/>
    <n v="10"/>
    <n v="6.75"/>
    <n v="141.75"/>
    <n v="135"/>
    <n v="4.7619047620000003"/>
    <n v="6.75"/>
    <n v="4.8"/>
  </r>
  <r>
    <s v="860-79-0874"/>
    <x v="42"/>
    <d v="1899-12-30T14:53:00"/>
    <n v="2"/>
    <s v="February"/>
    <s v="C"/>
    <s v="Naypyitaw"/>
    <s v="Member"/>
    <s v="Female"/>
    <x v="6"/>
    <s v="20-70"/>
    <s v="Fashion accessories"/>
    <s v="Credit card"/>
    <n v="99.3"/>
    <n v="10"/>
    <n v="49.65"/>
    <n v="1042.6500000000001"/>
    <n v="993"/>
    <n v="4.7619047620000003"/>
    <n v="49.65"/>
    <n v="6.6"/>
  </r>
  <r>
    <s v="834-61-8124"/>
    <x v="53"/>
    <d v="1899-12-30T18:22:00"/>
    <n v="1"/>
    <s v="January"/>
    <s v="A"/>
    <s v="Yangon"/>
    <s v="Normal"/>
    <s v="Male"/>
    <x v="44"/>
    <s v="20-70"/>
    <s v="Electronic accessories"/>
    <s v="Cash"/>
    <n v="51.69"/>
    <n v="7"/>
    <n v="18.0915"/>
    <n v="379.92149999999998"/>
    <n v="361.83"/>
    <n v="4.7619047620000003"/>
    <n v="18.0915"/>
    <n v="5.5"/>
  </r>
  <r>
    <s v="115-99-4379"/>
    <x v="86"/>
    <d v="1899-12-30T19:02:00"/>
    <n v="3"/>
    <s v="March"/>
    <s v="B"/>
    <s v="Mandalay"/>
    <s v="Member"/>
    <s v="Female"/>
    <x v="6"/>
    <s v="20-70"/>
    <s v="Fashion accessories"/>
    <s v="Credit card"/>
    <n v="54.73"/>
    <n v="7"/>
    <n v="19.1555"/>
    <n v="402.26549999999997"/>
    <n v="383.11"/>
    <n v="4.7619047620000003"/>
    <n v="19.1555"/>
    <n v="8.5"/>
  </r>
  <r>
    <s v="565-67-6697"/>
    <x v="22"/>
    <d v="1899-12-30T14:16:00"/>
    <n v="3"/>
    <s v="March"/>
    <s v="B"/>
    <s v="Mandalay"/>
    <s v="Member"/>
    <s v="Male"/>
    <x v="28"/>
    <s v="20-70"/>
    <s v="Home and lifestyle"/>
    <s v="Cash"/>
    <n v="27"/>
    <n v="9"/>
    <n v="12.15"/>
    <n v="255.15"/>
    <n v="243"/>
    <n v="4.7619047620000003"/>
    <n v="12.15"/>
    <n v="4.8"/>
  </r>
  <r>
    <s v="320-49-6392"/>
    <x v="31"/>
    <d v="1899-12-30T15:44:00"/>
    <n v="3"/>
    <s v="March"/>
    <s v="C"/>
    <s v="Naypyitaw"/>
    <s v="Normal"/>
    <s v="Female"/>
    <x v="27"/>
    <s v="&gt;70"/>
    <s v="Electronic accessories"/>
    <s v="Cash"/>
    <n v="30.24"/>
    <n v="1"/>
    <n v="1.512"/>
    <n v="31.751999999999999"/>
    <n v="30.24"/>
    <n v="4.7619047620000003"/>
    <n v="1.512"/>
    <n v="8.4"/>
  </r>
  <r>
    <s v="889-04-9723"/>
    <x v="27"/>
    <d v="1899-12-30T12:20:00"/>
    <n v="1"/>
    <s v="January"/>
    <s v="B"/>
    <s v="Mandalay"/>
    <s v="Member"/>
    <s v="Female"/>
    <x v="49"/>
    <s v="20-70"/>
    <s v="Food and beverages"/>
    <s v="Credit card"/>
    <n v="89.14"/>
    <n v="4"/>
    <n v="17.827999999999999"/>
    <n v="374.38799999999998"/>
    <n v="356.56"/>
    <n v="4.7619047620000003"/>
    <n v="17.827999999999999"/>
    <n v="7.8"/>
  </r>
  <r>
    <s v="632-90-0281"/>
    <x v="1"/>
    <d v="1899-12-30T20:01:00"/>
    <n v="3"/>
    <s v="March"/>
    <s v="C"/>
    <s v="Naypyitaw"/>
    <s v="Normal"/>
    <s v="Female"/>
    <x v="62"/>
    <s v="20-70"/>
    <s v="Fashion accessories"/>
    <s v="Credit card"/>
    <n v="37.549999999999997"/>
    <n v="10"/>
    <n v="18.774999999999999"/>
    <n v="394.27499999999998"/>
    <n v="375.5"/>
    <n v="4.7619047620000003"/>
    <n v="18.774999999999999"/>
    <n v="9.3000000000000007"/>
  </r>
  <r>
    <s v="554-42-2417"/>
    <x v="51"/>
    <d v="1899-12-30T13:45:00"/>
    <n v="1"/>
    <s v="January"/>
    <s v="C"/>
    <s v="Naypyitaw"/>
    <s v="Normal"/>
    <s v="Female"/>
    <x v="29"/>
    <s v="20-70"/>
    <s v="Sports and travel"/>
    <s v="Cash"/>
    <n v="95.44"/>
    <n v="10"/>
    <n v="47.72"/>
    <n v="1002.12"/>
    <n v="954.4"/>
    <n v="4.7619047620000003"/>
    <n v="47.72"/>
    <n v="5.2"/>
  </r>
  <r>
    <s v="453-63-6187"/>
    <x v="59"/>
    <d v="1899-12-30T15:40:00"/>
    <n v="3"/>
    <s v="March"/>
    <s v="B"/>
    <s v="Mandalay"/>
    <s v="Normal"/>
    <s v="Male"/>
    <x v="59"/>
    <s v="20-70"/>
    <s v="Electronic accessories"/>
    <s v="Ewallet"/>
    <n v="27.5"/>
    <n v="3"/>
    <n v="4.125"/>
    <n v="86.625"/>
    <n v="82.5"/>
    <n v="4.7619047620000003"/>
    <n v="4.125"/>
    <n v="6.5"/>
  </r>
  <r>
    <s v="578-80-7669"/>
    <x v="32"/>
    <d v="1899-12-30T16:58:00"/>
    <n v="3"/>
    <s v="March"/>
    <s v="B"/>
    <s v="Mandalay"/>
    <s v="Normal"/>
    <s v="Male"/>
    <x v="35"/>
    <s v="20-70"/>
    <s v="Sports and travel"/>
    <s v="Cash"/>
    <n v="74.97"/>
    <n v="1"/>
    <n v="3.7484999999999999"/>
    <n v="78.718500000000006"/>
    <n v="74.97"/>
    <n v="4.7619047620000003"/>
    <n v="3.7484999999999999"/>
    <n v="5.6"/>
  </r>
  <r>
    <s v="612-36-5536"/>
    <x v="21"/>
    <d v="1899-12-30T11:12:00"/>
    <n v="2"/>
    <s v="February"/>
    <s v="A"/>
    <s v="Yangon"/>
    <s v="Member"/>
    <s v="Male"/>
    <x v="38"/>
    <s v="20-70"/>
    <s v="Food and beverages"/>
    <s v="Credit card"/>
    <n v="80.959999999999994"/>
    <n v="8"/>
    <n v="32.384"/>
    <n v="680.06399999999996"/>
    <n v="647.67999999999995"/>
    <n v="4.7619047620000003"/>
    <n v="32.384"/>
    <n v="7.4"/>
  </r>
  <r>
    <s v="605-72-4132"/>
    <x v="33"/>
    <d v="1899-12-30T15:12:00"/>
    <n v="2"/>
    <s v="February"/>
    <s v="C"/>
    <s v="Naypyitaw"/>
    <s v="Normal"/>
    <s v="Female"/>
    <x v="35"/>
    <s v="20-70"/>
    <s v="Food and beverages"/>
    <s v="Cash"/>
    <n v="94.47"/>
    <n v="8"/>
    <n v="37.787999999999997"/>
    <n v="793.548"/>
    <n v="755.76"/>
    <n v="4.7619047620000003"/>
    <n v="37.787999999999997"/>
    <n v="9.1"/>
  </r>
  <r>
    <s v="471-41-2823"/>
    <x v="37"/>
    <d v="1899-12-30T20:37:00"/>
    <n v="3"/>
    <s v="March"/>
    <s v="C"/>
    <s v="Naypyitaw"/>
    <s v="Normal"/>
    <s v="Male"/>
    <x v="22"/>
    <s v="20-70"/>
    <s v="Food and beverages"/>
    <s v="Ewallet"/>
    <n v="99.79"/>
    <n v="2"/>
    <n v="9.9789999999999992"/>
    <n v="209.559"/>
    <n v="199.58"/>
    <n v="4.7619047620000003"/>
    <n v="9.9789999999999992"/>
    <n v="8"/>
  </r>
  <r>
    <s v="462-67-9126"/>
    <x v="18"/>
    <d v="1899-12-30T17:44:00"/>
    <n v="1"/>
    <s v="January"/>
    <s v="A"/>
    <s v="Yangon"/>
    <s v="Normal"/>
    <s v="Male"/>
    <x v="73"/>
    <s v="20-70"/>
    <s v="Home and lifestyle"/>
    <s v="Cash"/>
    <n v="73.22"/>
    <n v="6"/>
    <n v="21.966000000000001"/>
    <n v="461.286"/>
    <n v="439.32"/>
    <n v="4.7619047620000003"/>
    <n v="21.966000000000001"/>
    <n v="7.2"/>
  </r>
  <r>
    <s v="272-27-9238"/>
    <x v="88"/>
    <d v="1899-12-30T16:23:00"/>
    <n v="2"/>
    <s v="February"/>
    <s v="C"/>
    <s v="Naypyitaw"/>
    <s v="Normal"/>
    <s v="Female"/>
    <x v="39"/>
    <s v="20-70"/>
    <s v="Food and beverages"/>
    <s v="Cash"/>
    <n v="41.24"/>
    <n v="4"/>
    <n v="8.2479999999999993"/>
    <n v="173.208"/>
    <n v="164.96"/>
    <n v="4.7619047620000003"/>
    <n v="8.2479999999999993"/>
    <n v="7.1"/>
  </r>
  <r>
    <s v="834-25-9262"/>
    <x v="47"/>
    <d v="1899-12-30T12:12:00"/>
    <n v="1"/>
    <s v="January"/>
    <s v="C"/>
    <s v="Naypyitaw"/>
    <s v="Normal"/>
    <s v="Female"/>
    <x v="39"/>
    <s v="20-70"/>
    <s v="Fashion accessories"/>
    <s v="Cash"/>
    <n v="81.680000000000007"/>
    <n v="4"/>
    <n v="16.335999999999999"/>
    <n v="343.05599999999998"/>
    <n v="326.72000000000003"/>
    <n v="4.7619047620000003"/>
    <n v="16.335999999999999"/>
    <n v="9.1"/>
  </r>
  <r>
    <s v="122-61-9553"/>
    <x v="86"/>
    <d v="1899-12-30T19:33:00"/>
    <n v="3"/>
    <s v="March"/>
    <s v="C"/>
    <s v="Naypyitaw"/>
    <s v="Normal"/>
    <s v="Female"/>
    <x v="21"/>
    <s v="20-70"/>
    <s v="Electronic accessories"/>
    <s v="Cash"/>
    <n v="51.32"/>
    <n v="9"/>
    <n v="23.094000000000001"/>
    <n v="484.97399999999999"/>
    <n v="461.88"/>
    <n v="4.7619047620000003"/>
    <n v="23.094000000000001"/>
    <n v="5.6"/>
  </r>
  <r>
    <s v="468-88-0009"/>
    <x v="62"/>
    <d v="1899-12-30T10:29:00"/>
    <n v="3"/>
    <s v="March"/>
    <s v="A"/>
    <s v="Yangon"/>
    <s v="Member"/>
    <s v="Male"/>
    <x v="39"/>
    <s v="20-70"/>
    <s v="Home and lifestyle"/>
    <s v="Cash"/>
    <n v="65.94"/>
    <n v="4"/>
    <n v="13.188000000000001"/>
    <n v="276.94799999999998"/>
    <n v="263.76"/>
    <n v="4.7619047620000003"/>
    <n v="13.188000000000001"/>
    <n v="6"/>
  </r>
  <r>
    <s v="613-59-9758"/>
    <x v="3"/>
    <d v="1899-12-30T14:28:00"/>
    <n v="1"/>
    <s v="January"/>
    <s v="C"/>
    <s v="Naypyitaw"/>
    <s v="Normal"/>
    <s v="Female"/>
    <x v="38"/>
    <s v="20-70"/>
    <s v="Sports and travel"/>
    <s v="Cash"/>
    <n v="14.36"/>
    <n v="10"/>
    <n v="7.18"/>
    <n v="150.78"/>
    <n v="143.6"/>
    <n v="4.7619047620000003"/>
    <n v="7.18"/>
    <n v="5.4"/>
  </r>
  <r>
    <s v="254-31-0042"/>
    <x v="43"/>
    <d v="1899-12-30T12:46:00"/>
    <n v="3"/>
    <s v="March"/>
    <s v="A"/>
    <s v="Yangon"/>
    <s v="Member"/>
    <s v="Male"/>
    <x v="47"/>
    <s v="20-70"/>
    <s v="Electronic accessories"/>
    <s v="Credit card"/>
    <n v="21.5"/>
    <n v="9"/>
    <n v="9.6750000000000007"/>
    <n v="203.17500000000001"/>
    <n v="193.5"/>
    <n v="4.7619047620000003"/>
    <n v="9.6750000000000007"/>
    <n v="7.8"/>
  </r>
  <r>
    <s v="201-86-2184"/>
    <x v="30"/>
    <d v="1899-12-30T19:40:00"/>
    <n v="2"/>
    <s v="February"/>
    <s v="B"/>
    <s v="Mandalay"/>
    <s v="Member"/>
    <s v="Female"/>
    <x v="72"/>
    <s v="20-70"/>
    <s v="Electronic accessories"/>
    <s v="Cash"/>
    <n v="26.26"/>
    <n v="7"/>
    <n v="9.1910000000000007"/>
    <n v="193.011"/>
    <n v="183.82"/>
    <n v="4.7619047620000003"/>
    <n v="9.1910000000000007"/>
    <n v="9.9"/>
  </r>
  <r>
    <s v="261-12-8671"/>
    <x v="25"/>
    <d v="1899-12-30T19:39:00"/>
    <n v="1"/>
    <s v="January"/>
    <s v="B"/>
    <s v="Mandalay"/>
    <s v="Normal"/>
    <s v="Female"/>
    <x v="38"/>
    <s v="20-70"/>
    <s v="Fashion accessories"/>
    <s v="Credit card"/>
    <n v="60.96"/>
    <n v="2"/>
    <n v="6.0960000000000001"/>
    <n v="128.01599999999999"/>
    <n v="121.92"/>
    <n v="4.7619047620000003"/>
    <n v="6.0960000000000001"/>
    <n v="4.9000000000000004"/>
  </r>
  <r>
    <s v="730-70-9830"/>
    <x v="86"/>
    <d v="1899-12-30T17:54:00"/>
    <n v="3"/>
    <s v="March"/>
    <s v="C"/>
    <s v="Naypyitaw"/>
    <s v="Normal"/>
    <s v="Female"/>
    <x v="45"/>
    <s v="20-70"/>
    <s v="Home and lifestyle"/>
    <s v="Ewallet"/>
    <n v="70.11"/>
    <n v="6"/>
    <n v="21.033000000000001"/>
    <n v="441.69299999999998"/>
    <n v="420.66"/>
    <n v="4.7619047620000003"/>
    <n v="21.033000000000001"/>
    <n v="5.2"/>
  </r>
  <r>
    <s v="382-25-8917"/>
    <x v="71"/>
    <d v="1899-12-30T12:25:00"/>
    <n v="1"/>
    <s v="January"/>
    <s v="C"/>
    <s v="Naypyitaw"/>
    <s v="Normal"/>
    <s v="Male"/>
    <x v="23"/>
    <s v="20-70"/>
    <s v="Fashion accessories"/>
    <s v="Cash"/>
    <n v="42.08"/>
    <n v="6"/>
    <n v="12.624000000000001"/>
    <n v="265.10399999999998"/>
    <n v="252.48"/>
    <n v="4.7619047620000003"/>
    <n v="12.624000000000001"/>
    <n v="8.9"/>
  </r>
  <r>
    <s v="422-29-8786"/>
    <x v="75"/>
    <d v="1899-12-30T16:47:00"/>
    <n v="1"/>
    <s v="January"/>
    <s v="A"/>
    <s v="Yangon"/>
    <s v="Normal"/>
    <s v="Female"/>
    <x v="1"/>
    <s v="20-70"/>
    <s v="Home and lifestyle"/>
    <s v="Credit card"/>
    <n v="67.09"/>
    <n v="5"/>
    <n v="16.772500000000001"/>
    <n v="352.22250000000003"/>
    <n v="335.45"/>
    <n v="4.7619047620000003"/>
    <n v="16.772500000000001"/>
    <n v="9.1"/>
  </r>
  <r>
    <s v="667-23-5919"/>
    <x v="78"/>
    <d v="1899-12-30T12:52:00"/>
    <n v="1"/>
    <s v="January"/>
    <s v="A"/>
    <s v="Yangon"/>
    <s v="Member"/>
    <s v="Female"/>
    <x v="3"/>
    <s v="20-70"/>
    <s v="Fashion accessories"/>
    <s v="Ewallet"/>
    <n v="96.7"/>
    <n v="5"/>
    <n v="24.175000000000001"/>
    <n v="507.67500000000001"/>
    <n v="483.5"/>
    <n v="4.7619047620000003"/>
    <n v="24.175000000000001"/>
    <n v="7"/>
  </r>
  <r>
    <s v="843-01-4703"/>
    <x v="0"/>
    <d v="1899-12-30T19:50:00"/>
    <n v="1"/>
    <s v="January"/>
    <s v="B"/>
    <s v="Mandalay"/>
    <s v="Member"/>
    <s v="Female"/>
    <x v="15"/>
    <s v="20-70"/>
    <s v="Home and lifestyle"/>
    <s v="Credit card"/>
    <n v="35.380000000000003"/>
    <n v="9"/>
    <n v="15.920999999999999"/>
    <n v="334.34100000000001"/>
    <n v="318.42"/>
    <n v="4.7619047620000003"/>
    <n v="15.920999999999999"/>
    <n v="9.6"/>
  </r>
  <r>
    <s v="743-88-1662"/>
    <x v="70"/>
    <d v="1899-12-30T18:17:00"/>
    <n v="2"/>
    <s v="February"/>
    <s v="C"/>
    <s v="Naypyitaw"/>
    <s v="Normal"/>
    <s v="Male"/>
    <x v="69"/>
    <s v="20-70"/>
    <s v="Sports and travel"/>
    <s v="Ewallet"/>
    <n v="95.49"/>
    <n v="7"/>
    <n v="33.421500000000002"/>
    <n v="701.85149999999999"/>
    <n v="668.43"/>
    <n v="4.7619047620000003"/>
    <n v="33.421500000000002"/>
    <n v="8.6999999999999993"/>
  </r>
  <r>
    <s v="595-86-2894"/>
    <x v="10"/>
    <d v="1899-12-30T17:20:00"/>
    <n v="2"/>
    <s v="February"/>
    <s v="C"/>
    <s v="Naypyitaw"/>
    <s v="Member"/>
    <s v="Male"/>
    <x v="44"/>
    <s v="20-70"/>
    <s v="Fashion accessories"/>
    <s v="Ewallet"/>
    <n v="96.98"/>
    <n v="4"/>
    <n v="19.396000000000001"/>
    <n v="407.31599999999997"/>
    <n v="387.92"/>
    <n v="4.7619047620000003"/>
    <n v="19.396000000000001"/>
    <n v="9.4"/>
  </r>
  <r>
    <s v="182-69-8360"/>
    <x v="74"/>
    <d v="1899-12-30T13:32:00"/>
    <n v="1"/>
    <s v="January"/>
    <s v="B"/>
    <s v="Mandalay"/>
    <s v="Normal"/>
    <s v="Female"/>
    <x v="72"/>
    <s v="20-70"/>
    <s v="Electronic accessories"/>
    <s v="Credit card"/>
    <n v="23.65"/>
    <n v="4"/>
    <n v="4.7300000000000004"/>
    <n v="99.33"/>
    <n v="94.6"/>
    <n v="4.7619047620000003"/>
    <n v="4.7300000000000004"/>
    <n v="4"/>
  </r>
  <r>
    <s v="289-15-7034"/>
    <x v="83"/>
    <d v="1899-12-30T10:37:00"/>
    <n v="1"/>
    <s v="January"/>
    <s v="A"/>
    <s v="Yangon"/>
    <s v="Member"/>
    <s v="Male"/>
    <x v="5"/>
    <s v="&gt;70"/>
    <s v="Sports and travel"/>
    <s v="Credit card"/>
    <n v="82.33"/>
    <n v="4"/>
    <n v="16.466000000000001"/>
    <n v="345.786"/>
    <n v="329.32"/>
    <n v="4.7619047620000003"/>
    <n v="16.466000000000001"/>
    <n v="7.5"/>
  </r>
  <r>
    <s v="462-78-5240"/>
    <x v="35"/>
    <d v="1899-12-30T14:35:00"/>
    <n v="3"/>
    <s v="March"/>
    <s v="C"/>
    <s v="Naypyitaw"/>
    <s v="Normal"/>
    <s v="Female"/>
    <x v="13"/>
    <s v="&gt;70"/>
    <s v="Electronic accessories"/>
    <s v="Cash"/>
    <n v="26.61"/>
    <n v="2"/>
    <n v="2.661"/>
    <n v="55.881"/>
    <n v="53.22"/>
    <n v="4.7619047620000003"/>
    <n v="2.661"/>
    <n v="4.2"/>
  </r>
  <r>
    <s v="868-52-7573"/>
    <x v="78"/>
    <d v="1899-12-30T12:09:00"/>
    <n v="1"/>
    <s v="January"/>
    <s v="B"/>
    <s v="Mandalay"/>
    <s v="Normal"/>
    <s v="Female"/>
    <x v="60"/>
    <s v="&gt;70"/>
    <s v="Food and beverages"/>
    <s v="Cash"/>
    <n v="99.69"/>
    <n v="5"/>
    <n v="24.922499999999999"/>
    <n v="523.37249999999995"/>
    <n v="498.45"/>
    <n v="4.7619047620000003"/>
    <n v="24.922499999999999"/>
    <n v="9.9"/>
  </r>
  <r>
    <s v="153-58-4872"/>
    <x v="59"/>
    <d v="1899-12-30T15:32:00"/>
    <n v="3"/>
    <s v="March"/>
    <s v="C"/>
    <s v="Naypyitaw"/>
    <s v="Member"/>
    <s v="Female"/>
    <x v="13"/>
    <s v="&gt;70"/>
    <s v="Food and beverages"/>
    <s v="Ewallet"/>
    <n v="74.89"/>
    <n v="4"/>
    <n v="14.978"/>
    <n v="314.53800000000001"/>
    <n v="299.56"/>
    <n v="4.7619047620000003"/>
    <n v="14.978"/>
    <n v="4.2"/>
  </r>
  <r>
    <s v="662-72-2873"/>
    <x v="47"/>
    <d v="1899-12-30T13:58:00"/>
    <n v="1"/>
    <s v="January"/>
    <s v="A"/>
    <s v="Yangon"/>
    <s v="Normal"/>
    <s v="Female"/>
    <x v="34"/>
    <s v="&gt;70"/>
    <s v="Food and beverages"/>
    <s v="Ewallet"/>
    <n v="40.94"/>
    <n v="5"/>
    <n v="10.234999999999999"/>
    <n v="214.935"/>
    <n v="204.7"/>
    <n v="4.7619047620000003"/>
    <n v="10.234999999999999"/>
    <n v="9.9"/>
  </r>
  <r>
    <s v="525-88-7307"/>
    <x v="82"/>
    <d v="1899-12-30T13:19:00"/>
    <n v="1"/>
    <s v="January"/>
    <s v="B"/>
    <s v="Mandalay"/>
    <s v="Member"/>
    <s v="Male"/>
    <x v="14"/>
    <s v="&gt;70"/>
    <s v="Sports and travel"/>
    <s v="Cash"/>
    <n v="75.819999999999993"/>
    <n v="1"/>
    <n v="3.7909999999999999"/>
    <n v="79.611000000000004"/>
    <n v="75.819999999999993"/>
    <n v="4.7619047620000003"/>
    <n v="3.7909999999999999"/>
    <n v="5.8"/>
  </r>
  <r>
    <s v="689-16-9784"/>
    <x v="16"/>
    <d v="1899-12-30T13:37:00"/>
    <n v="3"/>
    <s v="March"/>
    <s v="C"/>
    <s v="Naypyitaw"/>
    <s v="Normal"/>
    <s v="Male"/>
    <x v="60"/>
    <s v="&gt;70"/>
    <s v="Food and beverages"/>
    <s v="Cash"/>
    <n v="46.77"/>
    <n v="6"/>
    <n v="14.031000000000001"/>
    <n v="294.65100000000001"/>
    <n v="280.62"/>
    <n v="4.7619047620000003"/>
    <n v="14.031000000000001"/>
    <n v="6"/>
  </r>
  <r>
    <s v="725-56-0833"/>
    <x v="9"/>
    <d v="1899-12-30T16:49:00"/>
    <n v="2"/>
    <s v="February"/>
    <s v="A"/>
    <s v="Yangon"/>
    <s v="Normal"/>
    <s v="Female"/>
    <x v="36"/>
    <s v="&gt;70"/>
    <s v="Health and beauty"/>
    <s v="Credit card"/>
    <n v="32.32"/>
    <n v="10"/>
    <n v="16.16"/>
    <n v="339.36"/>
    <n v="323.2"/>
    <n v="4.7619047620000003"/>
    <n v="16.16"/>
    <n v="10"/>
  </r>
  <r>
    <s v="394-41-0748"/>
    <x v="3"/>
    <d v="1899-12-30T14:55:00"/>
    <n v="1"/>
    <s v="January"/>
    <s v="C"/>
    <s v="Naypyitaw"/>
    <s v="Member"/>
    <s v="Female"/>
    <x v="37"/>
    <s v="20-70"/>
    <s v="Fashion accessories"/>
    <s v="Ewallet"/>
    <n v="54.07"/>
    <n v="9"/>
    <n v="24.331499999999998"/>
    <n v="510.9615"/>
    <n v="486.63"/>
    <n v="4.7619047620000003"/>
    <n v="24.331499999999998"/>
    <n v="9.5"/>
  </r>
  <r>
    <s v="596-42-3999"/>
    <x v="24"/>
    <d v="1899-12-30T14:04:00"/>
    <n v="3"/>
    <s v="March"/>
    <s v="B"/>
    <s v="Mandalay"/>
    <s v="Normal"/>
    <s v="Male"/>
    <x v="62"/>
    <s v="20-70"/>
    <s v="Food and beverages"/>
    <s v="Credit card"/>
    <n v="18.22"/>
    <n v="7"/>
    <n v="6.3769999999999998"/>
    <n v="133.917"/>
    <n v="127.54"/>
    <n v="4.7619047620000003"/>
    <n v="6.3769999999999998"/>
    <n v="6.6"/>
  </r>
  <r>
    <s v="541-89-9860"/>
    <x v="42"/>
    <d v="1899-12-30T12:31:00"/>
    <n v="2"/>
    <s v="February"/>
    <s v="C"/>
    <s v="Naypyitaw"/>
    <s v="Member"/>
    <s v="Female"/>
    <x v="5"/>
    <s v="&gt;70"/>
    <s v="Fashion accessories"/>
    <s v="Cash"/>
    <n v="80.48"/>
    <n v="3"/>
    <n v="12.071999999999999"/>
    <n v="253.512"/>
    <n v="241.44"/>
    <n v="4.7619047620000003"/>
    <n v="12.071999999999999"/>
    <n v="8.1"/>
  </r>
  <r>
    <s v="173-82-9529"/>
    <x v="53"/>
    <d v="1899-12-30T14:51:00"/>
    <n v="1"/>
    <s v="January"/>
    <s v="B"/>
    <s v="Mandalay"/>
    <s v="Normal"/>
    <s v="Female"/>
    <x v="16"/>
    <s v="&lt;20"/>
    <s v="Fashion accessories"/>
    <s v="Cash"/>
    <n v="37.950000000000003"/>
    <n v="10"/>
    <n v="18.975000000000001"/>
    <n v="398.47500000000002"/>
    <n v="379.5"/>
    <n v="4.7619047620000003"/>
    <n v="18.975000000000001"/>
    <n v="9.6999999999999993"/>
  </r>
  <r>
    <s v="563-36-9814"/>
    <x v="77"/>
    <d v="1899-12-30T18:27:00"/>
    <n v="2"/>
    <s v="February"/>
    <s v="A"/>
    <s v="Yangon"/>
    <s v="Member"/>
    <s v="Male"/>
    <x v="46"/>
    <s v="20-70"/>
    <s v="Electronic accessories"/>
    <s v="Ewallet"/>
    <n v="76.819999999999993"/>
    <n v="1"/>
    <n v="3.8410000000000002"/>
    <n v="80.661000000000001"/>
    <n v="76.819999999999993"/>
    <n v="4.7619047620000003"/>
    <n v="3.8410000000000002"/>
    <n v="7.2"/>
  </r>
  <r>
    <s v="308-47-4913"/>
    <x v="11"/>
    <d v="1899-12-30T12:45:00"/>
    <n v="3"/>
    <s v="March"/>
    <s v="A"/>
    <s v="Yangon"/>
    <s v="Member"/>
    <s v="Female"/>
    <x v="10"/>
    <s v="20-70"/>
    <s v="Sports and travel"/>
    <s v="Credit card"/>
    <n v="52.26"/>
    <n v="10"/>
    <n v="26.13"/>
    <n v="548.73"/>
    <n v="522.6"/>
    <n v="4.7619047620000003"/>
    <n v="26.13"/>
    <n v="6.2"/>
  </r>
  <r>
    <s v="885-17-6250"/>
    <x v="43"/>
    <d v="1899-12-30T10:36:00"/>
    <n v="3"/>
    <s v="March"/>
    <s v="A"/>
    <s v="Yangon"/>
    <s v="Normal"/>
    <s v="Female"/>
    <x v="55"/>
    <s v="&gt;70"/>
    <s v="Health and beauty"/>
    <s v="Ewallet"/>
    <n v="79.739999999999995"/>
    <n v="1"/>
    <n v="3.9870000000000001"/>
    <n v="83.727000000000004"/>
    <n v="79.739999999999995"/>
    <n v="4.7619047620000003"/>
    <n v="3.9870000000000001"/>
    <n v="7.3"/>
  </r>
  <r>
    <s v="726-27-2396"/>
    <x v="46"/>
    <d v="1899-12-30T20:36:00"/>
    <n v="1"/>
    <s v="January"/>
    <s v="A"/>
    <s v="Yangon"/>
    <s v="Normal"/>
    <s v="Female"/>
    <x v="38"/>
    <s v="20-70"/>
    <s v="Health and beauty"/>
    <s v="Ewallet"/>
    <n v="77.5"/>
    <n v="5"/>
    <n v="19.375"/>
    <n v="406.875"/>
    <n v="387.5"/>
    <n v="4.7619047620000003"/>
    <n v="19.375"/>
    <n v="4.3"/>
  </r>
  <r>
    <s v="316-01-3952"/>
    <x v="45"/>
    <d v="1899-12-30T14:16:00"/>
    <n v="3"/>
    <s v="March"/>
    <s v="A"/>
    <s v="Yangon"/>
    <s v="Normal"/>
    <s v="Female"/>
    <x v="75"/>
    <s v="20-70"/>
    <s v="Food and beverages"/>
    <s v="Ewallet"/>
    <n v="54.27"/>
    <n v="5"/>
    <n v="13.567500000000001"/>
    <n v="284.91750000000002"/>
    <n v="271.35000000000002"/>
    <n v="4.7619047620000003"/>
    <n v="13.567500000000001"/>
    <n v="4.5999999999999996"/>
  </r>
  <r>
    <s v="760-54-1821"/>
    <x v="20"/>
    <d v="1899-12-30T10:26:00"/>
    <n v="3"/>
    <s v="March"/>
    <s v="B"/>
    <s v="Mandalay"/>
    <s v="Normal"/>
    <s v="Male"/>
    <x v="62"/>
    <s v="20-70"/>
    <s v="Home and lifestyle"/>
    <s v="Cash"/>
    <n v="13.59"/>
    <n v="9"/>
    <n v="6.1154999999999999"/>
    <n v="128.4255"/>
    <n v="122.31"/>
    <n v="4.7619047620000003"/>
    <n v="6.1154999999999999"/>
    <n v="5.8"/>
  </r>
  <r>
    <s v="793-10-3222"/>
    <x v="19"/>
    <d v="1899-12-30T13:30:00"/>
    <n v="3"/>
    <s v="March"/>
    <s v="B"/>
    <s v="Mandalay"/>
    <s v="Member"/>
    <s v="Female"/>
    <x v="2"/>
    <s v="20-70"/>
    <s v="Health and beauty"/>
    <s v="Credit card"/>
    <n v="41.06"/>
    <n v="6"/>
    <n v="12.318"/>
    <n v="258.678"/>
    <n v="246.36"/>
    <n v="4.7619047620000003"/>
    <n v="12.318"/>
    <n v="8.3000000000000007"/>
  </r>
  <r>
    <s v="346-12-3257"/>
    <x v="31"/>
    <d v="1899-12-30T16:28:00"/>
    <n v="3"/>
    <s v="March"/>
    <s v="B"/>
    <s v="Mandalay"/>
    <s v="Member"/>
    <s v="Male"/>
    <x v="9"/>
    <s v="20-70"/>
    <s v="Electronic accessories"/>
    <s v="Cash"/>
    <n v="19.239999999999998"/>
    <n v="9"/>
    <n v="8.6579999999999995"/>
    <n v="181.81800000000001"/>
    <n v="173.16"/>
    <n v="4.7619047620000003"/>
    <n v="8.6579999999999995"/>
    <n v="8"/>
  </r>
  <r>
    <s v="110-05-6330"/>
    <x v="5"/>
    <d v="1899-12-30T20:18:00"/>
    <n v="3"/>
    <s v="March"/>
    <s v="C"/>
    <s v="Naypyitaw"/>
    <s v="Normal"/>
    <s v="Female"/>
    <x v="0"/>
    <s v="&lt;20"/>
    <s v="Food and beverages"/>
    <s v="Credit card"/>
    <n v="39.43"/>
    <n v="6"/>
    <n v="11.829000000000001"/>
    <n v="248.40899999999999"/>
    <n v="236.58"/>
    <n v="4.7619047620000003"/>
    <n v="11.829000000000001"/>
    <n v="9.4"/>
  </r>
  <r>
    <s v="651-61-0874"/>
    <x v="41"/>
    <d v="1899-12-30T20:04:00"/>
    <n v="3"/>
    <s v="March"/>
    <s v="C"/>
    <s v="Naypyitaw"/>
    <s v="Normal"/>
    <s v="Male"/>
    <x v="33"/>
    <s v="20-70"/>
    <s v="Home and lifestyle"/>
    <s v="Credit card"/>
    <n v="46.22"/>
    <n v="4"/>
    <n v="9.2439999999999998"/>
    <n v="194.124"/>
    <n v="184.88"/>
    <n v="4.7619047620000003"/>
    <n v="9.2439999999999998"/>
    <n v="6.2"/>
  </r>
  <r>
    <s v="236-86-3015"/>
    <x v="87"/>
    <d v="1899-12-30T13:38:00"/>
    <n v="2"/>
    <s v="February"/>
    <s v="C"/>
    <s v="Naypyitaw"/>
    <s v="Member"/>
    <s v="Male"/>
    <x v="37"/>
    <s v="20-70"/>
    <s v="Home and lifestyle"/>
    <s v="Ewallet"/>
    <n v="13.98"/>
    <n v="1"/>
    <n v="0.69899999999999995"/>
    <n v="14.679"/>
    <n v="13.98"/>
    <n v="4.7619047620000003"/>
    <n v="0.69899999999999995"/>
    <n v="9.8000000000000007"/>
  </r>
  <r>
    <s v="831-64-0259"/>
    <x v="70"/>
    <d v="1899-12-30T10:43:00"/>
    <n v="2"/>
    <s v="February"/>
    <s v="B"/>
    <s v="Mandalay"/>
    <s v="Normal"/>
    <s v="Female"/>
    <x v="54"/>
    <s v="20-70"/>
    <s v="Fashion accessories"/>
    <s v="Ewallet"/>
    <n v="39.75"/>
    <n v="5"/>
    <n v="9.9375"/>
    <n v="208.6875"/>
    <n v="198.75"/>
    <n v="4.7619047620000003"/>
    <n v="9.9375"/>
    <n v="9.6"/>
  </r>
  <r>
    <s v="587-03-7455"/>
    <x v="69"/>
    <d v="1899-12-30T17:30:00"/>
    <n v="2"/>
    <s v="February"/>
    <s v="C"/>
    <s v="Naypyitaw"/>
    <s v="Member"/>
    <s v="Female"/>
    <x v="6"/>
    <s v="20-70"/>
    <s v="Fashion accessories"/>
    <s v="Ewallet"/>
    <n v="97.79"/>
    <n v="7"/>
    <n v="34.226500000000001"/>
    <n v="718.75649999999996"/>
    <n v="684.53"/>
    <n v="4.7619047620000003"/>
    <n v="34.226500000000001"/>
    <n v="4.9000000000000004"/>
  </r>
  <r>
    <s v="882-40-4577"/>
    <x v="64"/>
    <d v="1899-12-30T15:28:00"/>
    <n v="1"/>
    <s v="January"/>
    <s v="A"/>
    <s v="Yangon"/>
    <s v="Member"/>
    <s v="Male"/>
    <x v="44"/>
    <s v="20-70"/>
    <s v="Sports and travel"/>
    <s v="Credit card"/>
    <n v="67.260000000000005"/>
    <n v="4"/>
    <n v="13.452"/>
    <n v="282.49200000000002"/>
    <n v="269.04000000000002"/>
    <n v="4.7619047620000003"/>
    <n v="13.452"/>
    <n v="8"/>
  </r>
  <r>
    <s v="732-67-5346"/>
    <x v="83"/>
    <d v="1899-12-30T19:07:00"/>
    <n v="1"/>
    <s v="January"/>
    <s v="A"/>
    <s v="Yangon"/>
    <s v="Normal"/>
    <s v="Male"/>
    <x v="62"/>
    <s v="20-70"/>
    <s v="Food and beverages"/>
    <s v="Credit card"/>
    <n v="13.79"/>
    <n v="5"/>
    <n v="3.4474999999999998"/>
    <n v="72.397499999999994"/>
    <n v="68.95"/>
    <n v="4.7619047620000003"/>
    <n v="3.4474999999999998"/>
    <n v="7.8"/>
  </r>
  <r>
    <s v="725-32-9708"/>
    <x v="72"/>
    <d v="1899-12-30T19:01:00"/>
    <n v="1"/>
    <s v="January"/>
    <s v="B"/>
    <s v="Mandalay"/>
    <s v="Member"/>
    <s v="Female"/>
    <x v="4"/>
    <s v="20-70"/>
    <s v="Fashion accessories"/>
    <s v="Cash"/>
    <n v="68.709999999999994"/>
    <n v="4"/>
    <n v="13.742000000000001"/>
    <n v="288.58199999999999"/>
    <n v="274.83999999999997"/>
    <n v="4.7619047620000003"/>
    <n v="13.742000000000001"/>
    <n v="4.0999999999999996"/>
  </r>
  <r>
    <s v="256-08-8343"/>
    <x v="31"/>
    <d v="1899-12-30T19:48:00"/>
    <n v="3"/>
    <s v="March"/>
    <s v="A"/>
    <s v="Yangon"/>
    <s v="Normal"/>
    <s v="Female"/>
    <x v="30"/>
    <s v="&gt;70"/>
    <s v="Home and lifestyle"/>
    <s v="Ewallet"/>
    <n v="56.53"/>
    <n v="4"/>
    <n v="11.305999999999999"/>
    <n v="237.42599999999999"/>
    <n v="226.12"/>
    <n v="4.7619047620000003"/>
    <n v="11.305999999999999"/>
    <n v="5.5"/>
  </r>
  <r>
    <s v="372-26-1506"/>
    <x v="26"/>
    <d v="1899-12-30T19:24:00"/>
    <n v="1"/>
    <s v="January"/>
    <s v="C"/>
    <s v="Naypyitaw"/>
    <s v="Normal"/>
    <s v="Female"/>
    <x v="23"/>
    <s v="20-70"/>
    <s v="Fashion accessories"/>
    <s v="Ewallet"/>
    <n v="23.82"/>
    <n v="5"/>
    <n v="5.9550000000000001"/>
    <n v="125.05500000000001"/>
    <n v="119.1"/>
    <n v="4.7619047620000003"/>
    <n v="5.9550000000000001"/>
    <n v="5.4"/>
  </r>
  <r>
    <s v="244-08-0162"/>
    <x v="56"/>
    <d v="1899-12-30T13:00:00"/>
    <n v="1"/>
    <s v="January"/>
    <s v="B"/>
    <s v="Mandalay"/>
    <s v="Normal"/>
    <s v="Female"/>
    <x v="46"/>
    <s v="20-70"/>
    <s v="Health and beauty"/>
    <s v="Cash"/>
    <n v="34.21"/>
    <n v="10"/>
    <n v="17.105"/>
    <n v="359.20499999999998"/>
    <n v="342.1"/>
    <n v="4.7619047620000003"/>
    <n v="17.105"/>
    <n v="5.0999999999999996"/>
  </r>
  <r>
    <s v="569-71-4390"/>
    <x v="25"/>
    <d v="1899-12-30T14:29:00"/>
    <n v="1"/>
    <s v="January"/>
    <s v="B"/>
    <s v="Mandalay"/>
    <s v="Normal"/>
    <s v="Male"/>
    <x v="42"/>
    <s v="20-70"/>
    <s v="Sports and travel"/>
    <s v="Ewallet"/>
    <n v="21.87"/>
    <n v="2"/>
    <n v="2.1869999999999998"/>
    <n v="45.927"/>
    <n v="43.74"/>
    <n v="4.7619047620000003"/>
    <n v="2.1869999999999998"/>
    <n v="6.9"/>
  </r>
  <r>
    <s v="132-23-6451"/>
    <x v="72"/>
    <d v="1899-12-30T13:21:00"/>
    <n v="1"/>
    <s v="January"/>
    <s v="A"/>
    <s v="Yangon"/>
    <s v="Member"/>
    <s v="Male"/>
    <x v="31"/>
    <s v="&gt;70"/>
    <s v="Health and beauty"/>
    <s v="Cash"/>
    <n v="20.97"/>
    <n v="5"/>
    <n v="5.2424999999999997"/>
    <n v="110.0925"/>
    <n v="104.85"/>
    <n v="4.7619047620000003"/>
    <n v="5.2424999999999997"/>
    <n v="7.8"/>
  </r>
  <r>
    <s v="696-90-2548"/>
    <x v="24"/>
    <d v="1899-12-30T18:55:00"/>
    <n v="3"/>
    <s v="March"/>
    <s v="A"/>
    <s v="Yangon"/>
    <s v="Normal"/>
    <s v="Male"/>
    <x v="65"/>
    <s v="&gt;70"/>
    <s v="Sports and travel"/>
    <s v="Ewallet"/>
    <n v="25.84"/>
    <n v="3"/>
    <n v="3.8759999999999999"/>
    <n v="81.396000000000001"/>
    <n v="77.52"/>
    <n v="4.7619047620000003"/>
    <n v="3.8759999999999999"/>
    <n v="6.6"/>
  </r>
  <r>
    <s v="472-15-9636"/>
    <x v="23"/>
    <d v="1899-12-30T19:36:00"/>
    <n v="3"/>
    <s v="March"/>
    <s v="A"/>
    <s v="Yangon"/>
    <s v="Normal"/>
    <s v="Male"/>
    <x v="75"/>
    <s v="20-70"/>
    <s v="Home and lifestyle"/>
    <s v="Ewallet"/>
    <n v="50.93"/>
    <n v="8"/>
    <n v="20.372"/>
    <n v="427.81200000000001"/>
    <n v="407.44"/>
    <n v="4.7619047620000003"/>
    <n v="20.372"/>
    <n v="9.1999999999999993"/>
  </r>
  <r>
    <s v="268-03-6164"/>
    <x v="25"/>
    <d v="1899-12-30T16:28:00"/>
    <n v="1"/>
    <s v="January"/>
    <s v="B"/>
    <s v="Mandalay"/>
    <s v="Normal"/>
    <s v="Male"/>
    <x v="15"/>
    <s v="20-70"/>
    <s v="Health and beauty"/>
    <s v="Ewallet"/>
    <n v="96.11"/>
    <n v="1"/>
    <n v="4.8055000000000003"/>
    <n v="100.91549999999999"/>
    <n v="96.11"/>
    <n v="4.7619047620000003"/>
    <n v="4.8055000000000003"/>
    <n v="7.8"/>
  </r>
  <r>
    <s v="750-57-9686"/>
    <x v="66"/>
    <d v="1899-12-30T13:48:00"/>
    <n v="1"/>
    <s v="January"/>
    <s v="C"/>
    <s v="Naypyitaw"/>
    <s v="Normal"/>
    <s v="Female"/>
    <x v="12"/>
    <s v="20-70"/>
    <s v="Home and lifestyle"/>
    <s v="Credit card"/>
    <n v="45.38"/>
    <n v="4"/>
    <n v="9.0760000000000005"/>
    <n v="190.596"/>
    <n v="181.52"/>
    <n v="4.7619047620000003"/>
    <n v="9.0760000000000005"/>
    <n v="8.6999999999999993"/>
  </r>
  <r>
    <s v="186-09-3669"/>
    <x v="49"/>
    <d v="1899-12-30T10:57:00"/>
    <n v="1"/>
    <s v="January"/>
    <s v="C"/>
    <s v="Naypyitaw"/>
    <s v="Member"/>
    <s v="Female"/>
    <x v="60"/>
    <s v="&gt;70"/>
    <s v="Health and beauty"/>
    <s v="Ewallet"/>
    <n v="81.510000000000005"/>
    <n v="1"/>
    <n v="4.0754999999999999"/>
    <n v="85.585499999999996"/>
    <n v="81.510000000000005"/>
    <n v="4.7619047620000003"/>
    <n v="4.0754999999999999"/>
    <n v="9.1999999999999993"/>
  </r>
  <r>
    <s v="848-07-1692"/>
    <x v="52"/>
    <d v="1899-12-30T17:13:00"/>
    <n v="1"/>
    <s v="January"/>
    <s v="B"/>
    <s v="Mandalay"/>
    <s v="Normal"/>
    <s v="Female"/>
    <x v="4"/>
    <s v="20-70"/>
    <s v="Health and beauty"/>
    <s v="Ewallet"/>
    <n v="57.22"/>
    <n v="2"/>
    <n v="5.7220000000000004"/>
    <n v="120.16200000000001"/>
    <n v="114.44"/>
    <n v="4.7619047620000003"/>
    <n v="5.7220000000000004"/>
    <n v="8.3000000000000007"/>
  </r>
  <r>
    <s v="745-71-3520"/>
    <x v="87"/>
    <d v="1899-12-30T10:23:00"/>
    <n v="2"/>
    <s v="February"/>
    <s v="A"/>
    <s v="Yangon"/>
    <s v="Member"/>
    <s v="Female"/>
    <x v="54"/>
    <s v="20-70"/>
    <s v="Electronic accessories"/>
    <s v="Cash"/>
    <n v="25.22"/>
    <n v="7"/>
    <n v="8.827"/>
    <n v="185.36699999999999"/>
    <n v="176.54"/>
    <n v="4.7619047620000003"/>
    <n v="8.827"/>
    <n v="8.1999999999999993"/>
  </r>
  <r>
    <s v="266-76-6436"/>
    <x v="61"/>
    <d v="1899-12-30T13:57:00"/>
    <n v="3"/>
    <s v="March"/>
    <s v="C"/>
    <s v="Naypyitaw"/>
    <s v="Member"/>
    <s v="Female"/>
    <x v="15"/>
    <s v="20-70"/>
    <s v="Food and beverages"/>
    <s v="Ewallet"/>
    <n v="38.6"/>
    <n v="3"/>
    <n v="5.79"/>
    <n v="121.59"/>
    <n v="115.8"/>
    <n v="4.7619047620000003"/>
    <n v="5.79"/>
    <n v="7.5"/>
  </r>
  <r>
    <s v="740-22-2500"/>
    <x v="54"/>
    <d v="1899-12-30T13:29:00"/>
    <n v="1"/>
    <s v="January"/>
    <s v="C"/>
    <s v="Naypyitaw"/>
    <s v="Normal"/>
    <s v="Female"/>
    <x v="60"/>
    <s v="&gt;70"/>
    <s v="Electronic accessories"/>
    <s v="Cash"/>
    <n v="84.05"/>
    <n v="3"/>
    <n v="12.6075"/>
    <n v="264.75749999999999"/>
    <n v="252.15"/>
    <n v="4.7619047620000003"/>
    <n v="12.6075"/>
    <n v="9.8000000000000007"/>
  </r>
  <r>
    <s v="271-88-8734"/>
    <x v="4"/>
    <d v="1899-12-30T13:00:00"/>
    <n v="2"/>
    <s v="February"/>
    <s v="C"/>
    <s v="Naypyitaw"/>
    <s v="Member"/>
    <s v="Female"/>
    <x v="36"/>
    <s v="&gt;70"/>
    <s v="Fashion accessories"/>
    <s v="Credit card"/>
    <n v="97.21"/>
    <n v="10"/>
    <n v="48.604999999999997"/>
    <n v="1020.705"/>
    <n v="972.1"/>
    <n v="4.7619047620000003"/>
    <n v="48.604999999999997"/>
    <n v="8.6999999999999993"/>
  </r>
  <r>
    <s v="301-81-8610"/>
    <x v="35"/>
    <d v="1899-12-30T19:42:00"/>
    <n v="3"/>
    <s v="March"/>
    <s v="B"/>
    <s v="Mandalay"/>
    <s v="Member"/>
    <s v="Male"/>
    <x v="31"/>
    <s v="&gt;70"/>
    <s v="Fashion accessories"/>
    <s v="Credit card"/>
    <n v="25.42"/>
    <n v="8"/>
    <n v="10.167999999999999"/>
    <n v="213.52799999999999"/>
    <n v="203.36"/>
    <n v="4.7619047620000003"/>
    <n v="10.167999999999999"/>
    <n v="6.7"/>
  </r>
  <r>
    <s v="489-64-4354"/>
    <x v="11"/>
    <d v="1899-12-30T15:36:00"/>
    <n v="3"/>
    <s v="March"/>
    <s v="C"/>
    <s v="Naypyitaw"/>
    <s v="Normal"/>
    <s v="Male"/>
    <x v="18"/>
    <s v="20-70"/>
    <s v="Fashion accessories"/>
    <s v="Cash"/>
    <n v="16.28"/>
    <n v="1"/>
    <n v="0.81399999999999995"/>
    <n v="17.094000000000001"/>
    <n v="16.28"/>
    <n v="4.7619047620000003"/>
    <n v="0.81399999999999995"/>
    <n v="5"/>
  </r>
  <r>
    <s v="198-84-7132"/>
    <x v="56"/>
    <d v="1899-12-30T13:40:00"/>
    <n v="1"/>
    <s v="January"/>
    <s v="B"/>
    <s v="Mandalay"/>
    <s v="Member"/>
    <s v="Male"/>
    <x v="7"/>
    <s v="&gt;70"/>
    <s v="Fashion accessories"/>
    <s v="Cash"/>
    <n v="40.61"/>
    <n v="9"/>
    <n v="18.2745"/>
    <n v="383.7645"/>
    <n v="365.49"/>
    <n v="4.7619047620000003"/>
    <n v="18.2745"/>
    <n v="7"/>
  </r>
  <r>
    <s v="269-10-8440"/>
    <x v="18"/>
    <d v="1899-12-30T18:01:00"/>
    <n v="1"/>
    <s v="January"/>
    <s v="A"/>
    <s v="Yangon"/>
    <s v="Member"/>
    <s v="Male"/>
    <x v="1"/>
    <s v="20-70"/>
    <s v="Health and beauty"/>
    <s v="Cash"/>
    <n v="53.17"/>
    <n v="7"/>
    <n v="18.609500000000001"/>
    <n v="390.79950000000002"/>
    <n v="372.19"/>
    <n v="4.7619047620000003"/>
    <n v="18.609500000000001"/>
    <n v="8.9"/>
  </r>
  <r>
    <s v="650-98-6268"/>
    <x v="80"/>
    <d v="1899-12-30T13:53:00"/>
    <n v="3"/>
    <s v="March"/>
    <s v="B"/>
    <s v="Mandalay"/>
    <s v="Member"/>
    <s v="Female"/>
    <x v="30"/>
    <s v="&gt;70"/>
    <s v="Food and beverages"/>
    <s v="Credit card"/>
    <n v="20.87"/>
    <n v="3"/>
    <n v="3.1305000000000001"/>
    <n v="65.740499999999997"/>
    <n v="62.61"/>
    <n v="4.7619047620000003"/>
    <n v="3.1305000000000001"/>
    <n v="8"/>
  </r>
  <r>
    <s v="741-73-3559"/>
    <x v="33"/>
    <d v="1899-12-30T17:27:00"/>
    <n v="2"/>
    <s v="February"/>
    <s v="B"/>
    <s v="Mandalay"/>
    <s v="Normal"/>
    <s v="Male"/>
    <x v="36"/>
    <s v="&gt;70"/>
    <s v="Sports and travel"/>
    <s v="Cash"/>
    <n v="67.27"/>
    <n v="5"/>
    <n v="16.817499999999999"/>
    <n v="353.16750000000002"/>
    <n v="336.35"/>
    <n v="4.7619047620000003"/>
    <n v="16.817499999999999"/>
    <n v="6.9"/>
  </r>
  <r>
    <s v="325-77-6186"/>
    <x v="1"/>
    <d v="1899-12-30T10:53:00"/>
    <n v="3"/>
    <s v="March"/>
    <s v="A"/>
    <s v="Yangon"/>
    <s v="Member"/>
    <s v="Female"/>
    <x v="22"/>
    <s v="20-70"/>
    <s v="Home and lifestyle"/>
    <s v="Ewallet"/>
    <n v="90.65"/>
    <n v="10"/>
    <n v="45.325000000000003"/>
    <n v="951.82500000000005"/>
    <n v="906.5"/>
    <n v="4.7619047620000003"/>
    <n v="45.325000000000003"/>
    <n v="7.3"/>
  </r>
  <r>
    <s v="286-75-7818"/>
    <x v="82"/>
    <d v="1899-12-30T19:48:00"/>
    <n v="1"/>
    <s v="January"/>
    <s v="B"/>
    <s v="Mandalay"/>
    <s v="Normal"/>
    <s v="Male"/>
    <x v="7"/>
    <s v="&gt;70"/>
    <s v="Fashion accessories"/>
    <s v="Credit card"/>
    <n v="69.08"/>
    <n v="2"/>
    <n v="6.9080000000000004"/>
    <n v="145.06800000000001"/>
    <n v="138.16"/>
    <n v="4.7619047620000003"/>
    <n v="6.9080000000000004"/>
    <n v="6.9"/>
  </r>
  <r>
    <s v="574-57-9721"/>
    <x v="1"/>
    <d v="1899-12-30T16:53:00"/>
    <n v="3"/>
    <s v="March"/>
    <s v="C"/>
    <s v="Naypyitaw"/>
    <s v="Normal"/>
    <s v="Male"/>
    <x v="21"/>
    <s v="20-70"/>
    <s v="Food and beverages"/>
    <s v="Ewallet"/>
    <n v="43.27"/>
    <n v="2"/>
    <n v="4.327"/>
    <n v="90.867000000000004"/>
    <n v="86.54"/>
    <n v="4.7619047620000003"/>
    <n v="4.327"/>
    <n v="5.7"/>
  </r>
  <r>
    <s v="459-50-7686"/>
    <x v="50"/>
    <d v="1899-12-30T19:14:00"/>
    <n v="1"/>
    <s v="January"/>
    <s v="A"/>
    <s v="Yangon"/>
    <s v="Normal"/>
    <s v="Female"/>
    <x v="9"/>
    <s v="20-70"/>
    <s v="Electronic accessories"/>
    <s v="Ewallet"/>
    <n v="23.46"/>
    <n v="6"/>
    <n v="7.0380000000000003"/>
    <n v="147.798"/>
    <n v="140.76"/>
    <n v="4.7619047620000003"/>
    <n v="7.0380000000000003"/>
    <n v="6.4"/>
  </r>
  <r>
    <s v="616-87-0016"/>
    <x v="11"/>
    <d v="1899-12-30T14:36:00"/>
    <n v="3"/>
    <s v="March"/>
    <s v="B"/>
    <s v="Mandalay"/>
    <s v="Normal"/>
    <s v="Male"/>
    <x v="33"/>
    <s v="20-70"/>
    <s v="Fashion accessories"/>
    <s v="Credit card"/>
    <n v="95.54"/>
    <n v="7"/>
    <n v="33.439"/>
    <n v="702.21900000000005"/>
    <n v="668.78"/>
    <n v="4.7619047620000003"/>
    <n v="33.439"/>
    <n v="9.6"/>
  </r>
  <r>
    <s v="837-55-7229"/>
    <x v="70"/>
    <d v="1899-12-30T18:19:00"/>
    <n v="2"/>
    <s v="February"/>
    <s v="B"/>
    <s v="Mandalay"/>
    <s v="Normal"/>
    <s v="Female"/>
    <x v="21"/>
    <s v="20-70"/>
    <s v="Fashion accessories"/>
    <s v="Credit card"/>
    <n v="47.44"/>
    <n v="1"/>
    <n v="2.3719999999999999"/>
    <n v="49.811999999999998"/>
    <n v="47.44"/>
    <n v="4.7619047620000003"/>
    <n v="2.3719999999999999"/>
    <n v="6.8"/>
  </r>
  <r>
    <s v="751-69-0068"/>
    <x v="35"/>
    <d v="1899-12-30T19:09:00"/>
    <n v="3"/>
    <s v="March"/>
    <s v="C"/>
    <s v="Naypyitaw"/>
    <s v="Normal"/>
    <s v="Male"/>
    <x v="10"/>
    <s v="20-70"/>
    <s v="Sports and travel"/>
    <s v="Ewallet"/>
    <n v="99.24"/>
    <n v="9"/>
    <n v="44.658000000000001"/>
    <n v="937.81799999999998"/>
    <n v="893.16"/>
    <n v="4.7619047620000003"/>
    <n v="44.658000000000001"/>
    <n v="9"/>
  </r>
  <r>
    <s v="257-73-1380"/>
    <x v="40"/>
    <d v="1899-12-30T16:51:00"/>
    <n v="1"/>
    <s v="January"/>
    <s v="C"/>
    <s v="Naypyitaw"/>
    <s v="Member"/>
    <s v="Male"/>
    <x v="26"/>
    <s v="20-70"/>
    <s v="Sports and travel"/>
    <s v="Ewallet"/>
    <n v="82.93"/>
    <n v="4"/>
    <n v="16.585999999999999"/>
    <n v="348.30599999999998"/>
    <n v="331.72"/>
    <n v="4.7619047620000003"/>
    <n v="16.585999999999999"/>
    <n v="9.6"/>
  </r>
  <r>
    <s v="345-08-4992"/>
    <x v="1"/>
    <d v="1899-12-30T15:37:00"/>
    <n v="3"/>
    <s v="March"/>
    <s v="A"/>
    <s v="Yangon"/>
    <s v="Normal"/>
    <s v="Male"/>
    <x v="11"/>
    <s v="&gt;70"/>
    <s v="Home and lifestyle"/>
    <s v="Credit card"/>
    <n v="33.99"/>
    <n v="6"/>
    <n v="10.196999999999999"/>
    <n v="214.137"/>
    <n v="203.94"/>
    <n v="4.7619047620000003"/>
    <n v="10.196999999999999"/>
    <n v="7.7"/>
  </r>
  <r>
    <s v="549-96-4200"/>
    <x v="1"/>
    <d v="1899-12-30T20:15:00"/>
    <n v="3"/>
    <s v="March"/>
    <s v="C"/>
    <s v="Naypyitaw"/>
    <s v="Member"/>
    <s v="Male"/>
    <x v="13"/>
    <s v="&gt;70"/>
    <s v="Food and beverages"/>
    <s v="Ewallet"/>
    <n v="17.04"/>
    <n v="4"/>
    <n v="3.4079999999999999"/>
    <n v="71.567999999999998"/>
    <n v="68.16"/>
    <n v="4.7619047620000003"/>
    <n v="3.4079999999999999"/>
    <n v="7"/>
  </r>
  <r>
    <s v="810-60-6344"/>
    <x v="13"/>
    <d v="1899-12-30T14:38:00"/>
    <n v="2"/>
    <s v="February"/>
    <s v="C"/>
    <s v="Naypyitaw"/>
    <s v="Normal"/>
    <s v="Female"/>
    <x v="64"/>
    <s v="20-70"/>
    <s v="Electronic accessories"/>
    <s v="Credit card"/>
    <n v="40.86"/>
    <n v="8"/>
    <n v="16.344000000000001"/>
    <n v="343.22399999999999"/>
    <n v="326.88"/>
    <n v="4.7619047620000003"/>
    <n v="16.344000000000001"/>
    <n v="6.5"/>
  </r>
  <r>
    <s v="450-28-2866"/>
    <x v="15"/>
    <d v="1899-12-30T19:25:00"/>
    <n v="1"/>
    <s v="January"/>
    <s v="C"/>
    <s v="Naypyitaw"/>
    <s v="Member"/>
    <s v="Male"/>
    <x v="30"/>
    <s v="&gt;70"/>
    <s v="Food and beverages"/>
    <s v="Cash"/>
    <n v="17.440000000000001"/>
    <n v="5"/>
    <n v="4.3600000000000003"/>
    <n v="91.56"/>
    <n v="87.2"/>
    <n v="4.7619047620000003"/>
    <n v="4.3600000000000003"/>
    <n v="8.1"/>
  </r>
  <r>
    <s v="394-30-3170"/>
    <x v="23"/>
    <d v="1899-12-30T19:35:00"/>
    <n v="3"/>
    <s v="March"/>
    <s v="B"/>
    <s v="Mandalay"/>
    <s v="Member"/>
    <s v="Female"/>
    <x v="57"/>
    <s v="&gt;70"/>
    <s v="Sports and travel"/>
    <s v="Credit card"/>
    <n v="88.43"/>
    <n v="8"/>
    <n v="35.372"/>
    <n v="742.81200000000001"/>
    <n v="707.44"/>
    <n v="4.7619047620000003"/>
    <n v="35.372"/>
    <n v="4.3"/>
  </r>
  <r>
    <s v="138-17-5109"/>
    <x v="15"/>
    <d v="1899-12-30T15:42:00"/>
    <n v="1"/>
    <s v="January"/>
    <s v="A"/>
    <s v="Yangon"/>
    <s v="Member"/>
    <s v="Female"/>
    <x v="52"/>
    <s v="20-70"/>
    <s v="Home and lifestyle"/>
    <s v="Credit card"/>
    <n v="89.21"/>
    <n v="9"/>
    <n v="40.144500000000001"/>
    <n v="843.03449999999998"/>
    <n v="802.89"/>
    <n v="4.7619047620000003"/>
    <n v="40.144500000000001"/>
    <n v="6.5"/>
  </r>
  <r>
    <s v="192-98-7397"/>
    <x v="66"/>
    <d v="1899-12-30T14:11:00"/>
    <n v="1"/>
    <s v="January"/>
    <s v="C"/>
    <s v="Naypyitaw"/>
    <s v="Normal"/>
    <s v="Male"/>
    <x v="2"/>
    <s v="20-70"/>
    <s v="Fashion accessories"/>
    <s v="Ewallet"/>
    <n v="12.78"/>
    <n v="1"/>
    <n v="0.63900000000000001"/>
    <n v="13.419"/>
    <n v="12.78"/>
    <n v="4.7619047620000003"/>
    <n v="0.63900000000000001"/>
    <n v="9.5"/>
  </r>
  <r>
    <s v="301-11-9629"/>
    <x v="15"/>
    <d v="1899-12-30T10:43:00"/>
    <n v="1"/>
    <s v="January"/>
    <s v="A"/>
    <s v="Yangon"/>
    <s v="Normal"/>
    <s v="Female"/>
    <x v="58"/>
    <s v="20-70"/>
    <s v="Sports and travel"/>
    <s v="Cash"/>
    <n v="19.100000000000001"/>
    <n v="7"/>
    <n v="6.6849999999999996"/>
    <n v="140.38499999999999"/>
    <n v="133.69999999999999"/>
    <n v="4.7619047620000003"/>
    <n v="6.6849999999999996"/>
    <n v="9.6999999999999993"/>
  </r>
  <r>
    <s v="390-80-5128"/>
    <x v="26"/>
    <d v="1899-12-30T17:58:00"/>
    <n v="1"/>
    <s v="January"/>
    <s v="B"/>
    <s v="Mandalay"/>
    <s v="Member"/>
    <s v="Female"/>
    <x v="29"/>
    <s v="20-70"/>
    <s v="Health and beauty"/>
    <s v="Credit card"/>
    <n v="19.149999999999999"/>
    <n v="1"/>
    <n v="0.95750000000000002"/>
    <n v="20.107500000000002"/>
    <n v="19.149999999999999"/>
    <n v="4.7619047620000003"/>
    <n v="0.95750000000000002"/>
    <n v="9.5"/>
  </r>
  <r>
    <s v="235-46-8343"/>
    <x v="44"/>
    <d v="1899-12-30T11:26:00"/>
    <n v="2"/>
    <s v="February"/>
    <s v="C"/>
    <s v="Naypyitaw"/>
    <s v="Member"/>
    <s v="Male"/>
    <x v="33"/>
    <s v="20-70"/>
    <s v="Food and beverages"/>
    <s v="Credit card"/>
    <n v="27.66"/>
    <n v="10"/>
    <n v="13.83"/>
    <n v="290.43"/>
    <n v="276.60000000000002"/>
    <n v="4.7619047620000003"/>
    <n v="13.83"/>
    <n v="8.9"/>
  </r>
  <r>
    <s v="453-12-7053"/>
    <x v="24"/>
    <d v="1899-12-30T17:38:00"/>
    <n v="3"/>
    <s v="March"/>
    <s v="C"/>
    <s v="Naypyitaw"/>
    <s v="Normal"/>
    <s v="Male"/>
    <x v="67"/>
    <s v="20-70"/>
    <s v="Fashion accessories"/>
    <s v="Credit card"/>
    <n v="45.74"/>
    <n v="3"/>
    <n v="6.8609999999999998"/>
    <n v="144.08099999999999"/>
    <n v="137.22"/>
    <n v="4.7619047620000003"/>
    <n v="6.8609999999999998"/>
    <n v="6.5"/>
  </r>
  <r>
    <s v="296-11-7041"/>
    <x v="52"/>
    <d v="1899-12-30T20:07:00"/>
    <n v="1"/>
    <s v="January"/>
    <s v="B"/>
    <s v="Mandalay"/>
    <s v="Member"/>
    <s v="Female"/>
    <x v="6"/>
    <s v="20-70"/>
    <s v="Health and beauty"/>
    <s v="Credit card"/>
    <n v="27.07"/>
    <n v="1"/>
    <n v="1.3534999999999999"/>
    <n v="28.423500000000001"/>
    <n v="27.07"/>
    <n v="4.7619047620000003"/>
    <n v="1.3534999999999999"/>
    <n v="5.3"/>
  </r>
  <r>
    <s v="449-27-2918"/>
    <x v="58"/>
    <d v="1899-12-30T11:02:00"/>
    <n v="3"/>
    <s v="March"/>
    <s v="B"/>
    <s v="Mandalay"/>
    <s v="Member"/>
    <s v="Female"/>
    <x v="20"/>
    <s v="&lt;20"/>
    <s v="Sports and travel"/>
    <s v="Credit card"/>
    <n v="39.119999999999997"/>
    <n v="1"/>
    <n v="1.956"/>
    <n v="41.076000000000001"/>
    <n v="39.119999999999997"/>
    <n v="4.7619047620000003"/>
    <n v="1.956"/>
    <n v="9.6"/>
  </r>
  <r>
    <s v="891-01-7034"/>
    <x v="17"/>
    <d v="1899-12-30T19:07:00"/>
    <n v="1"/>
    <s v="January"/>
    <s v="B"/>
    <s v="Mandalay"/>
    <s v="Normal"/>
    <s v="Female"/>
    <x v="19"/>
    <s v="20-70"/>
    <s v="Electronic accessories"/>
    <s v="Cash"/>
    <n v="74.709999999999994"/>
    <n v="6"/>
    <n v="22.413"/>
    <n v="470.673"/>
    <n v="448.26"/>
    <n v="4.7619047620000003"/>
    <n v="22.413"/>
    <n v="6.7"/>
  </r>
  <r>
    <s v="744-09-5786"/>
    <x v="56"/>
    <d v="1899-12-30T18:50:00"/>
    <n v="1"/>
    <s v="January"/>
    <s v="B"/>
    <s v="Mandalay"/>
    <s v="Normal"/>
    <s v="Male"/>
    <x v="24"/>
    <s v="20-70"/>
    <s v="Electronic accessories"/>
    <s v="Cash"/>
    <n v="22.01"/>
    <n v="6"/>
    <n v="6.6029999999999998"/>
    <n v="138.66300000000001"/>
    <n v="132.06"/>
    <n v="4.7619047620000003"/>
    <n v="6.6029999999999998"/>
    <n v="7.6"/>
  </r>
  <r>
    <s v="727-17-0390"/>
    <x v="32"/>
    <d v="1899-12-30T12:43:00"/>
    <n v="3"/>
    <s v="March"/>
    <s v="A"/>
    <s v="Yangon"/>
    <s v="Normal"/>
    <s v="Female"/>
    <x v="68"/>
    <s v="20-70"/>
    <s v="Food and beverages"/>
    <s v="Ewallet"/>
    <n v="63.61"/>
    <n v="5"/>
    <n v="15.9025"/>
    <n v="333.95249999999999"/>
    <n v="318.05"/>
    <n v="4.7619047620000003"/>
    <n v="15.9025"/>
    <n v="4.8"/>
  </r>
  <r>
    <s v="568-88-3448"/>
    <x v="2"/>
    <d v="1899-12-30T15:09:00"/>
    <n v="3"/>
    <s v="March"/>
    <s v="A"/>
    <s v="Yangon"/>
    <s v="Normal"/>
    <s v="Male"/>
    <x v="17"/>
    <s v="&gt;70"/>
    <s v="Health and beauty"/>
    <s v="Ewallet"/>
    <n v="25"/>
    <n v="1"/>
    <n v="1.25"/>
    <n v="26.25"/>
    <n v="25"/>
    <n v="4.7619047620000003"/>
    <n v="1.25"/>
    <n v="5.5"/>
  </r>
  <r>
    <s v="187-83-5490"/>
    <x v="82"/>
    <d v="1899-12-30T13:47:00"/>
    <n v="1"/>
    <s v="January"/>
    <s v="A"/>
    <s v="Yangon"/>
    <s v="Member"/>
    <s v="Male"/>
    <x v="34"/>
    <s v="&gt;70"/>
    <s v="Electronic accessories"/>
    <s v="Cash"/>
    <n v="20.77"/>
    <n v="4"/>
    <n v="4.1539999999999999"/>
    <n v="87.233999999999995"/>
    <n v="83.08"/>
    <n v="4.7619047620000003"/>
    <n v="4.1539999999999999"/>
    <n v="4.7"/>
  </r>
  <r>
    <s v="767-54-1907"/>
    <x v="77"/>
    <d v="1899-12-30T16:59:00"/>
    <n v="2"/>
    <s v="February"/>
    <s v="B"/>
    <s v="Mandalay"/>
    <s v="Member"/>
    <s v="Female"/>
    <x v="32"/>
    <s v="20-70"/>
    <s v="Fashion accessories"/>
    <s v="Cash"/>
    <n v="29.56"/>
    <n v="5"/>
    <n v="7.39"/>
    <n v="155.19"/>
    <n v="147.80000000000001"/>
    <n v="4.7619047620000003"/>
    <n v="7.39"/>
    <n v="6.9"/>
  </r>
  <r>
    <s v="710-46-4433"/>
    <x v="42"/>
    <d v="1899-12-30T14:15:00"/>
    <n v="2"/>
    <s v="February"/>
    <s v="B"/>
    <s v="Mandalay"/>
    <s v="Member"/>
    <s v="Female"/>
    <x v="13"/>
    <s v="&gt;70"/>
    <s v="Food and beverages"/>
    <s v="Credit card"/>
    <n v="77.400000000000006"/>
    <n v="9"/>
    <n v="34.83"/>
    <n v="731.43"/>
    <n v="696.6"/>
    <n v="4.7619047620000003"/>
    <n v="34.83"/>
    <n v="4.5"/>
  </r>
  <r>
    <s v="533-33-5337"/>
    <x v="13"/>
    <d v="1899-12-30T20:24:00"/>
    <n v="2"/>
    <s v="February"/>
    <s v="B"/>
    <s v="Mandalay"/>
    <s v="Normal"/>
    <s v="Male"/>
    <x v="58"/>
    <s v="20-70"/>
    <s v="Electronic accessories"/>
    <s v="Cash"/>
    <n v="79.39"/>
    <n v="10"/>
    <n v="39.695"/>
    <n v="833.59500000000003"/>
    <n v="793.9"/>
    <n v="4.7619047620000003"/>
    <n v="39.695"/>
    <n v="6.2"/>
  </r>
  <r>
    <s v="325-90-8763"/>
    <x v="3"/>
    <d v="1899-12-30T13:58:00"/>
    <n v="1"/>
    <s v="January"/>
    <s v="C"/>
    <s v="Naypyitaw"/>
    <s v="Member"/>
    <s v="Female"/>
    <x v="55"/>
    <s v="&gt;70"/>
    <s v="Electronic accessories"/>
    <s v="Cash"/>
    <n v="46.57"/>
    <n v="10"/>
    <n v="23.285"/>
    <n v="488.98500000000001"/>
    <n v="465.7"/>
    <n v="4.7619047620000003"/>
    <n v="23.285"/>
    <n v="7.6"/>
  </r>
  <r>
    <s v="729-46-7422"/>
    <x v="55"/>
    <d v="1899-12-30T16:52:00"/>
    <n v="2"/>
    <s v="February"/>
    <s v="C"/>
    <s v="Naypyitaw"/>
    <s v="Normal"/>
    <s v="Male"/>
    <x v="47"/>
    <s v="20-70"/>
    <s v="Food and beverages"/>
    <s v="Credit card"/>
    <n v="35.89"/>
    <n v="1"/>
    <n v="1.7945"/>
    <n v="37.6845"/>
    <n v="35.89"/>
    <n v="4.7619047620000003"/>
    <n v="1.7945"/>
    <n v="7.9"/>
  </r>
  <r>
    <s v="639-76-1242"/>
    <x v="36"/>
    <d v="1899-12-30T15:19:00"/>
    <n v="2"/>
    <s v="February"/>
    <s v="C"/>
    <s v="Naypyitaw"/>
    <s v="Normal"/>
    <s v="Male"/>
    <x v="4"/>
    <s v="20-70"/>
    <s v="Food and beverages"/>
    <s v="Cash"/>
    <n v="40.520000000000003"/>
    <n v="5"/>
    <n v="10.130000000000001"/>
    <n v="212.73"/>
    <n v="202.6"/>
    <n v="4.7619047620000003"/>
    <n v="10.130000000000001"/>
    <n v="4.5"/>
  </r>
  <r>
    <s v="234-03-4040"/>
    <x v="2"/>
    <d v="1899-12-30T12:25:00"/>
    <n v="3"/>
    <s v="March"/>
    <s v="B"/>
    <s v="Mandalay"/>
    <s v="Member"/>
    <s v="Female"/>
    <x v="54"/>
    <s v="20-70"/>
    <s v="Food and beverages"/>
    <s v="Credit card"/>
    <n v="73.05"/>
    <n v="10"/>
    <n v="36.524999999999999"/>
    <n v="767.02499999999998"/>
    <n v="730.5"/>
    <n v="4.7619047620000003"/>
    <n v="36.524999999999999"/>
    <n v="8.6999999999999993"/>
  </r>
  <r>
    <s v="326-71-2155"/>
    <x v="36"/>
    <d v="1899-12-30T10:02:00"/>
    <n v="2"/>
    <s v="February"/>
    <s v="C"/>
    <s v="Naypyitaw"/>
    <s v="Normal"/>
    <s v="Female"/>
    <x v="23"/>
    <s v="20-70"/>
    <s v="Sports and travel"/>
    <s v="Cash"/>
    <n v="73.95"/>
    <n v="4"/>
    <n v="14.79"/>
    <n v="310.58999999999997"/>
    <n v="295.8"/>
    <n v="4.7619047620000003"/>
    <n v="14.79"/>
    <n v="6.1"/>
  </r>
  <r>
    <s v="320-32-8842"/>
    <x v="85"/>
    <d v="1899-12-30T18:58:00"/>
    <n v="3"/>
    <s v="March"/>
    <s v="C"/>
    <s v="Naypyitaw"/>
    <s v="Member"/>
    <s v="Female"/>
    <x v="44"/>
    <s v="20-70"/>
    <s v="Food and beverages"/>
    <s v="Cash"/>
    <n v="22.62"/>
    <n v="1"/>
    <n v="1.131"/>
    <n v="23.751000000000001"/>
    <n v="22.62"/>
    <n v="4.7619047620000003"/>
    <n v="1.131"/>
    <n v="6.4"/>
  </r>
  <r>
    <s v="470-32-9057"/>
    <x v="61"/>
    <d v="1899-12-30T15:31:00"/>
    <n v="3"/>
    <s v="March"/>
    <s v="A"/>
    <s v="Yangon"/>
    <s v="Member"/>
    <s v="Male"/>
    <x v="55"/>
    <s v="&gt;70"/>
    <s v="Food and beverages"/>
    <s v="Credit card"/>
    <n v="51.34"/>
    <n v="5"/>
    <n v="12.835000000000001"/>
    <n v="269.53500000000003"/>
    <n v="256.7"/>
    <n v="4.7619047620000003"/>
    <n v="12.835000000000001"/>
    <n v="9.1"/>
  </r>
  <r>
    <s v="878-30-2331"/>
    <x v="22"/>
    <d v="1899-12-30T11:22:00"/>
    <n v="3"/>
    <s v="March"/>
    <s v="C"/>
    <s v="Naypyitaw"/>
    <s v="Member"/>
    <s v="Female"/>
    <x v="44"/>
    <s v="20-70"/>
    <s v="Sports and travel"/>
    <s v="Credit card"/>
    <n v="54.55"/>
    <n v="10"/>
    <n v="27.274999999999999"/>
    <n v="572.77499999999998"/>
    <n v="545.5"/>
    <n v="4.7619047620000003"/>
    <n v="27.274999999999999"/>
    <n v="7.1"/>
  </r>
  <r>
    <s v="440-59-5691"/>
    <x v="4"/>
    <d v="1899-12-30T13:12:00"/>
    <n v="2"/>
    <s v="February"/>
    <s v="C"/>
    <s v="Naypyitaw"/>
    <s v="Member"/>
    <s v="Female"/>
    <x v="54"/>
    <s v="20-70"/>
    <s v="Health and beauty"/>
    <s v="Credit card"/>
    <n v="37.15"/>
    <n v="7"/>
    <n v="13.0025"/>
    <n v="273.05250000000001"/>
    <n v="260.05"/>
    <n v="4.7619047620000003"/>
    <n v="13.0025"/>
    <n v="7.7"/>
  </r>
  <r>
    <s v="554-53-3790"/>
    <x v="23"/>
    <d v="1899-12-30T18:33:00"/>
    <n v="3"/>
    <s v="March"/>
    <s v="B"/>
    <s v="Mandalay"/>
    <s v="Normal"/>
    <s v="Male"/>
    <x v="44"/>
    <s v="20-70"/>
    <s v="Sports and travel"/>
    <s v="Cash"/>
    <n v="37.020000000000003"/>
    <n v="6"/>
    <n v="11.106"/>
    <n v="233.226"/>
    <n v="222.12"/>
    <n v="4.7619047620000003"/>
    <n v="11.106"/>
    <n v="4.5"/>
  </r>
  <r>
    <s v="746-19-0921"/>
    <x v="57"/>
    <d v="1899-12-30T10:02:00"/>
    <n v="2"/>
    <s v="February"/>
    <s v="C"/>
    <s v="Naypyitaw"/>
    <s v="Normal"/>
    <s v="Male"/>
    <x v="51"/>
    <s v="20-70"/>
    <s v="Food and beverages"/>
    <s v="Ewallet"/>
    <n v="21.58"/>
    <n v="1"/>
    <n v="1.079"/>
    <n v="22.658999999999999"/>
    <n v="21.58"/>
    <n v="4.7619047620000003"/>
    <n v="1.079"/>
    <n v="7.2"/>
  </r>
  <r>
    <s v="233-34-0817"/>
    <x v="42"/>
    <d v="1899-12-30T11:21:00"/>
    <n v="2"/>
    <s v="February"/>
    <s v="C"/>
    <s v="Naypyitaw"/>
    <s v="Member"/>
    <s v="Female"/>
    <x v="28"/>
    <s v="20-70"/>
    <s v="Electronic accessories"/>
    <s v="Cash"/>
    <n v="98.84"/>
    <n v="1"/>
    <n v="4.9420000000000002"/>
    <n v="103.782"/>
    <n v="98.84"/>
    <n v="4.7619047620000003"/>
    <n v="4.9420000000000002"/>
    <n v="8.4"/>
  </r>
  <r>
    <s v="767-05-1286"/>
    <x v="54"/>
    <d v="1899-12-30T12:10:00"/>
    <n v="1"/>
    <s v="January"/>
    <s v="C"/>
    <s v="Naypyitaw"/>
    <s v="Member"/>
    <s v="Female"/>
    <x v="70"/>
    <s v="&gt;70"/>
    <s v="Home and lifestyle"/>
    <s v="Ewallet"/>
    <n v="83.77"/>
    <n v="6"/>
    <n v="25.131"/>
    <n v="527.75099999999998"/>
    <n v="502.62"/>
    <n v="4.7619047620000003"/>
    <n v="25.131"/>
    <n v="5.4"/>
  </r>
  <r>
    <s v="340-21-9136"/>
    <x v="25"/>
    <d v="1899-12-30T11:40:00"/>
    <n v="1"/>
    <s v="January"/>
    <s v="A"/>
    <s v="Yangon"/>
    <s v="Member"/>
    <s v="Female"/>
    <x v="47"/>
    <s v="20-70"/>
    <s v="Sports and travel"/>
    <s v="Cash"/>
    <n v="40.049999999999997"/>
    <n v="4"/>
    <n v="8.01"/>
    <n v="168.21"/>
    <n v="160.19999999999999"/>
    <n v="4.7619047620000003"/>
    <n v="8.01"/>
    <n v="9.6999999999999993"/>
  </r>
  <r>
    <s v="405-31-3305"/>
    <x v="30"/>
    <d v="1899-12-30T18:31:00"/>
    <n v="2"/>
    <s v="February"/>
    <s v="A"/>
    <s v="Yangon"/>
    <s v="Member"/>
    <s v="Male"/>
    <x v="51"/>
    <s v="20-70"/>
    <s v="Fashion accessories"/>
    <s v="Credit card"/>
    <n v="43.13"/>
    <n v="10"/>
    <n v="21.565000000000001"/>
    <n v="452.86500000000001"/>
    <n v="431.3"/>
    <n v="4.7619047620000003"/>
    <n v="21.565000000000001"/>
    <n v="5.5"/>
  </r>
  <r>
    <s v="731-59-7531"/>
    <x v="73"/>
    <d v="1899-12-30T17:58:00"/>
    <n v="3"/>
    <s v="March"/>
    <s v="B"/>
    <s v="Mandalay"/>
    <s v="Member"/>
    <s v="Male"/>
    <x v="22"/>
    <s v="20-70"/>
    <s v="Health and beauty"/>
    <s v="Cash"/>
    <n v="72.569999999999993"/>
    <n v="8"/>
    <n v="29.027999999999999"/>
    <n v="609.58799999999997"/>
    <n v="580.55999999999995"/>
    <n v="4.7619047620000003"/>
    <n v="29.027999999999999"/>
    <n v="4.5999999999999996"/>
  </r>
  <r>
    <s v="676-39-6028"/>
    <x v="73"/>
    <d v="1899-12-30T17:04:00"/>
    <n v="3"/>
    <s v="March"/>
    <s v="A"/>
    <s v="Yangon"/>
    <s v="Member"/>
    <s v="Female"/>
    <x v="75"/>
    <s v="20-70"/>
    <s v="Electronic accessories"/>
    <s v="Cash"/>
    <n v="64.44"/>
    <n v="5"/>
    <n v="16.11"/>
    <n v="338.31"/>
    <n v="322.2"/>
    <n v="4.7619047620000003"/>
    <n v="16.11"/>
    <n v="6.6"/>
  </r>
  <r>
    <s v="502-05-1910"/>
    <x v="6"/>
    <d v="1899-12-30T20:35:00"/>
    <n v="2"/>
    <s v="February"/>
    <s v="A"/>
    <s v="Yangon"/>
    <s v="Normal"/>
    <s v="Male"/>
    <x v="55"/>
    <s v="&gt;70"/>
    <s v="Health and beauty"/>
    <s v="Credit card"/>
    <n v="65.180000000000007"/>
    <n v="3"/>
    <n v="9.7769999999999992"/>
    <n v="205.31700000000001"/>
    <n v="195.54"/>
    <n v="4.7619047620000003"/>
    <n v="9.7769999999999992"/>
    <n v="6.3"/>
  </r>
  <r>
    <s v="485-30-8700"/>
    <x v="79"/>
    <d v="1899-12-30T16:10:00"/>
    <n v="3"/>
    <s v="March"/>
    <s v="A"/>
    <s v="Yangon"/>
    <s v="Normal"/>
    <s v="Female"/>
    <x v="51"/>
    <s v="20-70"/>
    <s v="Sports and travel"/>
    <s v="Credit card"/>
    <n v="33.26"/>
    <n v="5"/>
    <n v="8.3149999999999995"/>
    <n v="174.61500000000001"/>
    <n v="166.3"/>
    <n v="4.7619047620000003"/>
    <n v="8.3149999999999995"/>
    <n v="4.2"/>
  </r>
  <r>
    <s v="598-47-9715"/>
    <x v="37"/>
    <d v="1899-12-30T16:54:00"/>
    <n v="3"/>
    <s v="March"/>
    <s v="C"/>
    <s v="Naypyitaw"/>
    <s v="Normal"/>
    <s v="Male"/>
    <x v="51"/>
    <s v="20-70"/>
    <s v="Electronic accessories"/>
    <s v="Ewallet"/>
    <n v="84.07"/>
    <n v="4"/>
    <n v="16.814"/>
    <n v="353.09399999999999"/>
    <n v="336.28"/>
    <n v="4.7619047620000003"/>
    <n v="16.814"/>
    <n v="4.4000000000000004"/>
  </r>
  <r>
    <s v="701-69-8742"/>
    <x v="32"/>
    <d v="1899-12-30T10:11:00"/>
    <n v="3"/>
    <s v="March"/>
    <s v="B"/>
    <s v="Mandalay"/>
    <s v="Normal"/>
    <s v="Male"/>
    <x v="22"/>
    <s v="20-70"/>
    <s v="Sports and travel"/>
    <s v="Ewallet"/>
    <n v="34.369999999999997"/>
    <n v="10"/>
    <n v="17.184999999999999"/>
    <n v="360.88499999999999"/>
    <n v="343.7"/>
    <n v="4.7619047620000003"/>
    <n v="17.184999999999999"/>
    <n v="6.7"/>
  </r>
  <r>
    <s v="575-67-1508"/>
    <x v="71"/>
    <d v="1899-12-30T11:26:00"/>
    <n v="1"/>
    <s v="January"/>
    <s v="A"/>
    <s v="Yangon"/>
    <s v="Normal"/>
    <s v="Male"/>
    <x v="69"/>
    <s v="20-70"/>
    <s v="Electronic accessories"/>
    <s v="Ewallet"/>
    <n v="38.6"/>
    <n v="1"/>
    <n v="1.93"/>
    <n v="40.53"/>
    <n v="38.6"/>
    <n v="4.7619047620000003"/>
    <n v="1.93"/>
    <n v="6.7"/>
  </r>
  <r>
    <s v="541-08-3113"/>
    <x v="30"/>
    <d v="1899-12-30T20:29:00"/>
    <n v="2"/>
    <s v="February"/>
    <s v="C"/>
    <s v="Naypyitaw"/>
    <s v="Normal"/>
    <s v="Male"/>
    <x v="31"/>
    <s v="&gt;70"/>
    <s v="Food and beverages"/>
    <s v="Cash"/>
    <n v="65.97"/>
    <n v="8"/>
    <n v="26.388000000000002"/>
    <n v="554.14800000000002"/>
    <n v="527.76"/>
    <n v="4.7619047620000003"/>
    <n v="26.388000000000002"/>
    <n v="8.4"/>
  </r>
  <r>
    <s v="246-11-3901"/>
    <x v="42"/>
    <d v="1899-12-30T12:12:00"/>
    <n v="2"/>
    <s v="February"/>
    <s v="C"/>
    <s v="Naypyitaw"/>
    <s v="Normal"/>
    <s v="Female"/>
    <x v="44"/>
    <s v="20-70"/>
    <s v="Electronic accessories"/>
    <s v="Cash"/>
    <n v="32.799999999999997"/>
    <n v="10"/>
    <n v="16.399999999999999"/>
    <n v="344.4"/>
    <n v="328"/>
    <n v="4.7619047620000003"/>
    <n v="16.399999999999999"/>
    <n v="6.2"/>
  </r>
  <r>
    <s v="674-15-9296"/>
    <x v="66"/>
    <d v="1899-12-30T13:05:00"/>
    <n v="1"/>
    <s v="January"/>
    <s v="A"/>
    <s v="Yangon"/>
    <s v="Normal"/>
    <s v="Male"/>
    <x v="2"/>
    <s v="20-70"/>
    <s v="Sports and travel"/>
    <s v="Ewallet"/>
    <n v="37.14"/>
    <n v="5"/>
    <n v="9.2850000000000001"/>
    <n v="194.98500000000001"/>
    <n v="185.7"/>
    <n v="4.7619047620000003"/>
    <n v="9.2850000000000001"/>
    <n v="5"/>
  </r>
  <r>
    <s v="305-18-3552"/>
    <x v="12"/>
    <d v="1899-12-30T16:19:00"/>
    <n v="2"/>
    <s v="February"/>
    <s v="B"/>
    <s v="Mandalay"/>
    <s v="Member"/>
    <s v="Male"/>
    <x v="23"/>
    <s v="20-70"/>
    <s v="Home and lifestyle"/>
    <s v="Cash"/>
    <n v="60.38"/>
    <n v="10"/>
    <n v="30.19"/>
    <n v="633.99"/>
    <n v="603.79999999999995"/>
    <n v="4.7619047620000003"/>
    <n v="30.19"/>
    <n v="6"/>
  </r>
  <r>
    <s v="493-65-6248"/>
    <x v="17"/>
    <d v="1899-12-30T19:48:00"/>
    <n v="1"/>
    <s v="January"/>
    <s v="C"/>
    <s v="Naypyitaw"/>
    <s v="Member"/>
    <s v="Female"/>
    <x v="35"/>
    <s v="20-70"/>
    <s v="Sports and travel"/>
    <s v="Credit card"/>
    <n v="36.979999999999997"/>
    <n v="10"/>
    <n v="18.489999999999998"/>
    <n v="388.29"/>
    <n v="369.8"/>
    <n v="4.7619047620000003"/>
    <n v="18.489999999999998"/>
    <n v="7"/>
  </r>
  <r>
    <s v="438-01-4015"/>
    <x v="76"/>
    <d v="1899-12-30T15:25:00"/>
    <n v="3"/>
    <s v="March"/>
    <s v="B"/>
    <s v="Mandalay"/>
    <s v="Member"/>
    <s v="Female"/>
    <x v="51"/>
    <s v="20-70"/>
    <s v="Sports and travel"/>
    <s v="Ewallet"/>
    <n v="49.49"/>
    <n v="4"/>
    <n v="9.8979999999999997"/>
    <n v="207.858"/>
    <n v="197.96"/>
    <n v="4.7619047620000003"/>
    <n v="9.8979999999999997"/>
    <n v="6.6"/>
  </r>
  <r>
    <s v="709-58-4068"/>
    <x v="38"/>
    <d v="1899-12-30T14:42:00"/>
    <n v="2"/>
    <s v="February"/>
    <s v="B"/>
    <s v="Mandalay"/>
    <s v="Normal"/>
    <s v="Female"/>
    <x v="47"/>
    <s v="20-70"/>
    <s v="Fashion accessories"/>
    <s v="Cash"/>
    <n v="41.09"/>
    <n v="10"/>
    <n v="20.545000000000002"/>
    <n v="431.44499999999999"/>
    <n v="410.9"/>
    <n v="4.7619047620000003"/>
    <n v="20.545000000000002"/>
    <n v="7.3"/>
  </r>
  <r>
    <s v="795-49-7276"/>
    <x v="28"/>
    <d v="1899-12-30T18:59:00"/>
    <n v="3"/>
    <s v="March"/>
    <s v="A"/>
    <s v="Yangon"/>
    <s v="Normal"/>
    <s v="Male"/>
    <x v="61"/>
    <s v="20-70"/>
    <s v="Fashion accessories"/>
    <s v="Ewallet"/>
    <n v="37.15"/>
    <n v="4"/>
    <n v="7.43"/>
    <n v="156.03"/>
    <n v="148.6"/>
    <n v="4.7619047620000003"/>
    <n v="7.43"/>
    <n v="8.3000000000000007"/>
  </r>
  <r>
    <s v="556-72-8512"/>
    <x v="74"/>
    <d v="1899-12-30T20:47:00"/>
    <n v="1"/>
    <s v="January"/>
    <s v="C"/>
    <s v="Naypyitaw"/>
    <s v="Normal"/>
    <s v="Male"/>
    <x v="52"/>
    <s v="20-70"/>
    <s v="Home and lifestyle"/>
    <s v="Cash"/>
    <n v="22.96"/>
    <n v="1"/>
    <n v="1.1479999999999999"/>
    <n v="24.108000000000001"/>
    <n v="22.96"/>
    <n v="4.7619047620000003"/>
    <n v="1.1479999999999999"/>
    <n v="4.3"/>
  </r>
  <r>
    <s v="627-95-3243"/>
    <x v="87"/>
    <d v="1899-12-30T13:21:00"/>
    <n v="2"/>
    <s v="February"/>
    <s v="B"/>
    <s v="Mandalay"/>
    <s v="Member"/>
    <s v="Female"/>
    <x v="27"/>
    <s v="&gt;70"/>
    <s v="Home and lifestyle"/>
    <s v="Ewallet"/>
    <n v="77.680000000000007"/>
    <n v="9"/>
    <n v="34.956000000000003"/>
    <n v="734.07600000000002"/>
    <n v="699.12"/>
    <n v="4.7619047620000003"/>
    <n v="34.956000000000003"/>
    <n v="9.8000000000000007"/>
  </r>
  <r>
    <s v="686-41-0932"/>
    <x v="45"/>
    <d v="1899-12-30T19:48:00"/>
    <n v="3"/>
    <s v="March"/>
    <s v="B"/>
    <s v="Mandalay"/>
    <s v="Normal"/>
    <s v="Female"/>
    <x v="29"/>
    <s v="20-70"/>
    <s v="Fashion accessories"/>
    <s v="Ewallet"/>
    <n v="34.700000000000003"/>
    <n v="2"/>
    <n v="3.47"/>
    <n v="72.87"/>
    <n v="69.400000000000006"/>
    <n v="4.7619047620000003"/>
    <n v="3.47"/>
    <n v="8.1999999999999993"/>
  </r>
  <r>
    <s v="510-09-5628"/>
    <x v="20"/>
    <d v="1899-12-30T18:20:00"/>
    <n v="3"/>
    <s v="March"/>
    <s v="A"/>
    <s v="Yangon"/>
    <s v="Member"/>
    <s v="Female"/>
    <x v="28"/>
    <s v="20-70"/>
    <s v="Fashion accessories"/>
    <s v="Credit card"/>
    <n v="19.66"/>
    <n v="10"/>
    <n v="9.83"/>
    <n v="206.43"/>
    <n v="196.6"/>
    <n v="4.7619047620000003"/>
    <n v="9.83"/>
    <n v="7.2"/>
  </r>
  <r>
    <s v="608-04-3797"/>
    <x v="19"/>
    <d v="1899-12-30T20:24:00"/>
    <n v="3"/>
    <s v="March"/>
    <s v="B"/>
    <s v="Mandalay"/>
    <s v="Member"/>
    <s v="Female"/>
    <x v="41"/>
    <s v="&gt;70"/>
    <s v="Health and beauty"/>
    <s v="Ewallet"/>
    <n v="25.32"/>
    <n v="8"/>
    <n v="10.128"/>
    <n v="212.68799999999999"/>
    <n v="202.56"/>
    <n v="4.7619047620000003"/>
    <n v="10.128"/>
    <n v="8.6999999999999993"/>
  </r>
  <r>
    <s v="148-82-2527"/>
    <x v="19"/>
    <d v="1899-12-30T13:44:00"/>
    <n v="3"/>
    <s v="March"/>
    <s v="C"/>
    <s v="Naypyitaw"/>
    <s v="Member"/>
    <s v="Female"/>
    <x v="72"/>
    <s v="20-70"/>
    <s v="Home and lifestyle"/>
    <s v="Credit card"/>
    <n v="12.12"/>
    <n v="10"/>
    <n v="6.06"/>
    <n v="127.26"/>
    <n v="121.2"/>
    <n v="4.7619047620000003"/>
    <n v="6.06"/>
    <n v="8.4"/>
  </r>
  <r>
    <s v="437-53-3084"/>
    <x v="84"/>
    <d v="1899-12-30T11:48:00"/>
    <n v="2"/>
    <s v="February"/>
    <s v="B"/>
    <s v="Mandalay"/>
    <s v="Normal"/>
    <s v="Male"/>
    <x v="29"/>
    <s v="20-70"/>
    <s v="Fashion accessories"/>
    <s v="Ewallet"/>
    <n v="99.89"/>
    <n v="2"/>
    <n v="9.9890000000000008"/>
    <n v="209.76900000000001"/>
    <n v="199.78"/>
    <n v="4.7619047620000003"/>
    <n v="9.9890000000000008"/>
    <n v="7.1"/>
  </r>
  <r>
    <s v="632-32-4574"/>
    <x v="80"/>
    <d v="1899-12-30T14:14:00"/>
    <n v="3"/>
    <s v="March"/>
    <s v="B"/>
    <s v="Mandalay"/>
    <s v="Normal"/>
    <s v="Male"/>
    <x v="51"/>
    <s v="20-70"/>
    <s v="Sports and travel"/>
    <s v="Cash"/>
    <n v="75.92"/>
    <n v="8"/>
    <n v="30.367999999999999"/>
    <n v="637.72799999999995"/>
    <n v="607.36"/>
    <n v="4.7619047620000003"/>
    <n v="30.367999999999999"/>
    <n v="5.5"/>
  </r>
  <r>
    <s v="556-97-7101"/>
    <x v="17"/>
    <d v="1899-12-30T15:51:00"/>
    <n v="1"/>
    <s v="January"/>
    <s v="C"/>
    <s v="Naypyitaw"/>
    <s v="Normal"/>
    <s v="Female"/>
    <x v="11"/>
    <s v="&gt;70"/>
    <s v="Electronic accessories"/>
    <s v="Cash"/>
    <n v="63.22"/>
    <n v="2"/>
    <n v="6.3220000000000001"/>
    <n v="132.762"/>
    <n v="126.44"/>
    <n v="4.7619047620000003"/>
    <n v="6.3220000000000001"/>
    <n v="8.5"/>
  </r>
  <r>
    <s v="862-59-8517"/>
    <x v="3"/>
    <d v="1899-12-30T11:17:00"/>
    <n v="1"/>
    <s v="January"/>
    <s v="C"/>
    <s v="Naypyitaw"/>
    <s v="Normal"/>
    <s v="Female"/>
    <x v="28"/>
    <s v="20-70"/>
    <s v="Food and beverages"/>
    <s v="Cash"/>
    <n v="90.24"/>
    <n v="6"/>
    <n v="27.071999999999999"/>
    <n v="568.51199999999994"/>
    <n v="541.44000000000005"/>
    <n v="4.7619047620000003"/>
    <n v="27.071999999999999"/>
    <n v="6.2"/>
  </r>
  <r>
    <s v="401-18-8016"/>
    <x v="18"/>
    <d v="1899-12-30T17:36:00"/>
    <n v="1"/>
    <s v="January"/>
    <s v="B"/>
    <s v="Mandalay"/>
    <s v="Member"/>
    <s v="Female"/>
    <x v="59"/>
    <s v="20-70"/>
    <s v="Sports and travel"/>
    <s v="Cash"/>
    <n v="98.13"/>
    <n v="1"/>
    <n v="4.9065000000000003"/>
    <n v="103.0365"/>
    <n v="98.13"/>
    <n v="4.7619047620000003"/>
    <n v="4.9065000000000003"/>
    <n v="8.9"/>
  </r>
  <r>
    <s v="420-18-8989"/>
    <x v="30"/>
    <d v="1899-12-30T15:47:00"/>
    <n v="2"/>
    <s v="February"/>
    <s v="A"/>
    <s v="Yangon"/>
    <s v="Member"/>
    <s v="Female"/>
    <x v="15"/>
    <s v="20-70"/>
    <s v="Sports and travel"/>
    <s v="Cash"/>
    <n v="51.52"/>
    <n v="8"/>
    <n v="20.608000000000001"/>
    <n v="432.76799999999997"/>
    <n v="412.16"/>
    <n v="4.7619047620000003"/>
    <n v="20.608000000000001"/>
    <n v="9.6"/>
  </r>
  <r>
    <s v="277-63-2961"/>
    <x v="36"/>
    <d v="1899-12-30T15:53:00"/>
    <n v="2"/>
    <s v="February"/>
    <s v="B"/>
    <s v="Mandalay"/>
    <s v="Member"/>
    <s v="Male"/>
    <x v="25"/>
    <s v="20-70"/>
    <s v="Sports and travel"/>
    <s v="Credit card"/>
    <n v="73.97"/>
    <n v="1"/>
    <n v="3.6985000000000001"/>
    <n v="77.668499999999995"/>
    <n v="73.97"/>
    <n v="4.7619047620000003"/>
    <n v="3.6985000000000001"/>
    <n v="5.4"/>
  </r>
  <r>
    <s v="573-98-8548"/>
    <x v="0"/>
    <d v="1899-12-30T12:40:00"/>
    <n v="1"/>
    <s v="January"/>
    <s v="C"/>
    <s v="Naypyitaw"/>
    <s v="Member"/>
    <s v="Female"/>
    <x v="19"/>
    <s v="20-70"/>
    <s v="Fashion accessories"/>
    <s v="Ewallet"/>
    <n v="31.9"/>
    <n v="1"/>
    <n v="1.595"/>
    <n v="33.494999999999997"/>
    <n v="31.9"/>
    <n v="4.7619047620000003"/>
    <n v="1.595"/>
    <n v="9.1"/>
  </r>
  <r>
    <s v="620-02-2046"/>
    <x v="3"/>
    <d v="1899-12-30T19:48:00"/>
    <n v="1"/>
    <s v="January"/>
    <s v="C"/>
    <s v="Naypyitaw"/>
    <s v="Normal"/>
    <s v="Male"/>
    <x v="15"/>
    <s v="20-70"/>
    <s v="Home and lifestyle"/>
    <s v="Ewallet"/>
    <n v="69.400000000000006"/>
    <n v="2"/>
    <n v="6.94"/>
    <n v="145.74"/>
    <n v="138.80000000000001"/>
    <n v="4.7619047620000003"/>
    <n v="6.94"/>
    <n v="9"/>
  </r>
  <r>
    <s v="282-35-2475"/>
    <x v="5"/>
    <d v="1899-12-30T17:53:00"/>
    <n v="3"/>
    <s v="March"/>
    <s v="B"/>
    <s v="Mandalay"/>
    <s v="Normal"/>
    <s v="Female"/>
    <x v="4"/>
    <s v="20-70"/>
    <s v="Sports and travel"/>
    <s v="Cash"/>
    <n v="93.31"/>
    <n v="2"/>
    <n v="9.3309999999999995"/>
    <n v="195.95099999999999"/>
    <n v="186.62"/>
    <n v="4.7619047620000003"/>
    <n v="9.3309999999999995"/>
    <n v="6.3"/>
  </r>
  <r>
    <s v="511-54-3087"/>
    <x v="6"/>
    <d v="1899-12-30T16:36:00"/>
    <n v="2"/>
    <s v="February"/>
    <s v="B"/>
    <s v="Mandalay"/>
    <s v="Normal"/>
    <s v="Male"/>
    <x v="33"/>
    <s v="20-70"/>
    <s v="Sports and travel"/>
    <s v="Credit card"/>
    <n v="88.45"/>
    <n v="1"/>
    <n v="4.4225000000000003"/>
    <n v="92.872500000000002"/>
    <n v="88.45"/>
    <n v="4.7619047620000003"/>
    <n v="4.4225000000000003"/>
    <n v="9.5"/>
  </r>
  <r>
    <s v="726-29-6793"/>
    <x v="26"/>
    <d v="1899-12-30T20:54:00"/>
    <n v="1"/>
    <s v="January"/>
    <s v="A"/>
    <s v="Yangon"/>
    <s v="Member"/>
    <s v="Male"/>
    <x v="68"/>
    <s v="20-70"/>
    <s v="Electronic accessories"/>
    <s v="Ewallet"/>
    <n v="24.18"/>
    <n v="8"/>
    <n v="9.6720000000000006"/>
    <n v="203.11199999999999"/>
    <n v="193.44"/>
    <n v="4.7619047620000003"/>
    <n v="9.6720000000000006"/>
    <n v="9.8000000000000007"/>
  </r>
  <r>
    <s v="387-49-4215"/>
    <x v="66"/>
    <d v="1899-12-30T12:50:00"/>
    <n v="1"/>
    <s v="January"/>
    <s v="B"/>
    <s v="Mandalay"/>
    <s v="Member"/>
    <s v="Female"/>
    <x v="51"/>
    <s v="20-70"/>
    <s v="Sports and travel"/>
    <s v="Cash"/>
    <n v="48.5"/>
    <n v="3"/>
    <n v="7.2750000000000004"/>
    <n v="152.77500000000001"/>
    <n v="145.5"/>
    <n v="4.7619047620000003"/>
    <n v="7.2750000000000004"/>
    <n v="6.7"/>
  </r>
  <r>
    <s v="862-17-9201"/>
    <x v="71"/>
    <d v="1899-12-30T10:48:00"/>
    <n v="1"/>
    <s v="January"/>
    <s v="B"/>
    <s v="Mandalay"/>
    <s v="Normal"/>
    <s v="Female"/>
    <x v="32"/>
    <s v="20-70"/>
    <s v="Food and beverages"/>
    <s v="Credit card"/>
    <n v="84.05"/>
    <n v="6"/>
    <n v="25.215"/>
    <n v="529.51499999999999"/>
    <n v="504.3"/>
    <n v="4.7619047620000003"/>
    <n v="25.215"/>
    <n v="7.7"/>
  </r>
  <r>
    <s v="291-21-5991"/>
    <x v="14"/>
    <d v="1899-12-30T14:28:00"/>
    <n v="3"/>
    <s v="March"/>
    <s v="B"/>
    <s v="Mandalay"/>
    <s v="Member"/>
    <s v="Male"/>
    <x v="8"/>
    <s v="20-70"/>
    <s v="Health and beauty"/>
    <s v="Cash"/>
    <n v="61.29"/>
    <n v="5"/>
    <n v="15.3225"/>
    <n v="321.77249999999998"/>
    <n v="306.45"/>
    <n v="4.7619047620000003"/>
    <n v="15.3225"/>
    <n v="7"/>
  </r>
  <r>
    <s v="602-80-9671"/>
    <x v="57"/>
    <d v="1899-12-30T17:15:00"/>
    <n v="2"/>
    <s v="February"/>
    <s v="C"/>
    <s v="Naypyitaw"/>
    <s v="Member"/>
    <s v="Female"/>
    <x v="52"/>
    <s v="20-70"/>
    <s v="Home and lifestyle"/>
    <s v="Credit card"/>
    <n v="15.95"/>
    <n v="6"/>
    <n v="4.7850000000000001"/>
    <n v="100.485"/>
    <n v="95.7"/>
    <n v="4.7619047620000003"/>
    <n v="4.7850000000000001"/>
    <n v="5.0999999999999996"/>
  </r>
  <r>
    <s v="347-72-6115"/>
    <x v="65"/>
    <d v="1899-12-30T18:03:00"/>
    <n v="1"/>
    <s v="January"/>
    <s v="B"/>
    <s v="Mandalay"/>
    <s v="Member"/>
    <s v="Female"/>
    <x v="46"/>
    <s v="20-70"/>
    <s v="Sports and travel"/>
    <s v="Credit card"/>
    <n v="90.74"/>
    <n v="7"/>
    <n v="31.759"/>
    <n v="666.93899999999996"/>
    <n v="635.17999999999995"/>
    <n v="4.7619047620000003"/>
    <n v="31.759"/>
    <n v="6.2"/>
  </r>
  <r>
    <s v="209-61-0206"/>
    <x v="0"/>
    <d v="1899-12-30T17:29:00"/>
    <n v="1"/>
    <s v="January"/>
    <s v="A"/>
    <s v="Yangon"/>
    <s v="Normal"/>
    <s v="Female"/>
    <x v="57"/>
    <s v="&gt;70"/>
    <s v="Home and lifestyle"/>
    <s v="Ewallet"/>
    <n v="42.91"/>
    <n v="5"/>
    <n v="10.727499999999999"/>
    <n v="225.2775"/>
    <n v="214.55"/>
    <n v="4.7619047620000003"/>
    <n v="10.727499999999999"/>
    <n v="6.1"/>
  </r>
  <r>
    <s v="595-27-4851"/>
    <x v="3"/>
    <d v="1899-12-30T18:05:00"/>
    <n v="1"/>
    <s v="January"/>
    <s v="A"/>
    <s v="Yangon"/>
    <s v="Normal"/>
    <s v="Female"/>
    <x v="74"/>
    <s v="&gt;70"/>
    <s v="Fashion accessories"/>
    <s v="Ewallet"/>
    <n v="54.28"/>
    <n v="7"/>
    <n v="18.998000000000001"/>
    <n v="398.95800000000003"/>
    <n v="379.96"/>
    <n v="4.7619047620000003"/>
    <n v="18.998000000000001"/>
    <n v="9.3000000000000007"/>
  </r>
  <r>
    <s v="189-52-0236"/>
    <x v="86"/>
    <d v="1899-12-30T12:07:00"/>
    <n v="3"/>
    <s v="March"/>
    <s v="A"/>
    <s v="Yangon"/>
    <s v="Normal"/>
    <s v="Male"/>
    <x v="46"/>
    <s v="20-70"/>
    <s v="Electronic accessories"/>
    <s v="Cash"/>
    <n v="99.55"/>
    <n v="7"/>
    <n v="34.842500000000001"/>
    <n v="731.6925"/>
    <n v="696.85"/>
    <n v="4.7619047620000003"/>
    <n v="34.842500000000001"/>
    <n v="7.6"/>
  </r>
  <r>
    <s v="503-07-0930"/>
    <x v="55"/>
    <d v="1899-12-30T19:49:00"/>
    <n v="2"/>
    <s v="February"/>
    <s v="C"/>
    <s v="Naypyitaw"/>
    <s v="Member"/>
    <s v="Male"/>
    <x v="29"/>
    <s v="20-70"/>
    <s v="Sports and travel"/>
    <s v="Credit card"/>
    <n v="58.39"/>
    <n v="7"/>
    <n v="20.436499999999999"/>
    <n v="429.16649999999998"/>
    <n v="408.73"/>
    <n v="4.7619047620000003"/>
    <n v="20.436499999999999"/>
    <n v="8.1999999999999993"/>
  </r>
  <r>
    <s v="413-20-6708"/>
    <x v="79"/>
    <d v="1899-12-30T15:52:00"/>
    <n v="3"/>
    <s v="March"/>
    <s v="C"/>
    <s v="Naypyitaw"/>
    <s v="Member"/>
    <s v="Female"/>
    <x v="60"/>
    <s v="&gt;70"/>
    <s v="Fashion accessories"/>
    <s v="Ewallet"/>
    <n v="51.47"/>
    <n v="1"/>
    <n v="2.5735000000000001"/>
    <n v="54.043500000000002"/>
    <n v="51.47"/>
    <n v="4.7619047620000003"/>
    <n v="2.5735000000000001"/>
    <n v="8.5"/>
  </r>
  <r>
    <s v="425-85-2085"/>
    <x v="14"/>
    <d v="1899-12-30T16:48:00"/>
    <n v="3"/>
    <s v="March"/>
    <s v="B"/>
    <s v="Mandalay"/>
    <s v="Member"/>
    <s v="Male"/>
    <x v="13"/>
    <s v="&gt;70"/>
    <s v="Health and beauty"/>
    <s v="Ewallet"/>
    <n v="54.86"/>
    <n v="5"/>
    <n v="13.715"/>
    <n v="288.01499999999999"/>
    <n v="274.3"/>
    <n v="4.7619047620000003"/>
    <n v="13.715"/>
    <n v="9.8000000000000007"/>
  </r>
  <r>
    <s v="521-18-7827"/>
    <x v="49"/>
    <d v="1899-12-30T20:46:00"/>
    <n v="1"/>
    <s v="January"/>
    <s v="C"/>
    <s v="Naypyitaw"/>
    <s v="Member"/>
    <s v="Male"/>
    <x v="15"/>
    <s v="20-70"/>
    <s v="Home and lifestyle"/>
    <s v="Credit card"/>
    <n v="39.39"/>
    <n v="5"/>
    <n v="9.8475000000000001"/>
    <n v="206.79750000000001"/>
    <n v="196.95"/>
    <n v="4.7619047620000003"/>
    <n v="9.8475000000000001"/>
    <n v="8.6999999999999993"/>
  </r>
  <r>
    <s v="220-28-1851"/>
    <x v="59"/>
    <d v="1899-12-30T18:14:00"/>
    <n v="3"/>
    <s v="March"/>
    <s v="A"/>
    <s v="Yangon"/>
    <s v="Normal"/>
    <s v="Male"/>
    <x v="8"/>
    <s v="20-70"/>
    <s v="Home and lifestyle"/>
    <s v="Ewallet"/>
    <n v="34.729999999999997"/>
    <n v="2"/>
    <n v="3.4729999999999999"/>
    <n v="72.933000000000007"/>
    <n v="69.459999999999994"/>
    <n v="4.7619047620000003"/>
    <n v="3.4729999999999999"/>
    <n v="9.6999999999999993"/>
  </r>
  <r>
    <s v="600-38-9738"/>
    <x v="29"/>
    <d v="1899-12-30T15:05:00"/>
    <n v="1"/>
    <s v="January"/>
    <s v="C"/>
    <s v="Naypyitaw"/>
    <s v="Member"/>
    <s v="Male"/>
    <x v="67"/>
    <s v="20-70"/>
    <s v="Sports and travel"/>
    <s v="Credit card"/>
    <n v="71.92"/>
    <n v="5"/>
    <n v="17.98"/>
    <n v="377.58"/>
    <n v="359.6"/>
    <n v="4.7619047620000003"/>
    <n v="17.98"/>
    <n v="4.3"/>
  </r>
  <r>
    <s v="734-91-1155"/>
    <x v="58"/>
    <d v="1899-12-30T10:34:00"/>
    <n v="3"/>
    <s v="March"/>
    <s v="B"/>
    <s v="Mandalay"/>
    <s v="Normal"/>
    <s v="Female"/>
    <x v="74"/>
    <s v="&gt;70"/>
    <s v="Electronic accessories"/>
    <s v="Credit card"/>
    <n v="45.71"/>
    <n v="3"/>
    <n v="6.8564999999999996"/>
    <n v="143.98650000000001"/>
    <n v="137.13"/>
    <n v="4.7619047620000003"/>
    <n v="6.8564999999999996"/>
    <n v="7.7"/>
  </r>
  <r>
    <s v="451-28-5717"/>
    <x v="80"/>
    <d v="1899-12-30T11:23:00"/>
    <n v="3"/>
    <s v="March"/>
    <s v="C"/>
    <s v="Naypyitaw"/>
    <s v="Member"/>
    <s v="Female"/>
    <x v="62"/>
    <s v="20-70"/>
    <s v="Home and lifestyle"/>
    <s v="Cash"/>
    <n v="83.17"/>
    <n v="6"/>
    <n v="24.951000000000001"/>
    <n v="523.971"/>
    <n v="499.02"/>
    <n v="4.7619047620000003"/>
    <n v="24.951000000000001"/>
    <n v="7.3"/>
  </r>
  <r>
    <s v="609-81-8548"/>
    <x v="10"/>
    <d v="1899-12-30T13:55:00"/>
    <n v="2"/>
    <s v="February"/>
    <s v="A"/>
    <s v="Yangon"/>
    <s v="Member"/>
    <s v="Female"/>
    <x v="24"/>
    <s v="20-70"/>
    <s v="Home and lifestyle"/>
    <s v="Credit card"/>
    <n v="37.44"/>
    <n v="6"/>
    <n v="11.231999999999999"/>
    <n v="235.87200000000001"/>
    <n v="224.64"/>
    <n v="4.7619047620000003"/>
    <n v="11.231999999999999"/>
    <n v="5.9"/>
  </r>
  <r>
    <s v="133-14-7229"/>
    <x v="17"/>
    <d v="1899-12-30T11:43:00"/>
    <n v="1"/>
    <s v="January"/>
    <s v="C"/>
    <s v="Naypyitaw"/>
    <s v="Normal"/>
    <s v="Male"/>
    <x v="54"/>
    <s v="20-70"/>
    <s v="Health and beauty"/>
    <s v="Cash"/>
    <n v="62.87"/>
    <n v="2"/>
    <n v="6.2869999999999999"/>
    <n v="132.02699999999999"/>
    <n v="125.74"/>
    <n v="4.7619047620000003"/>
    <n v="6.2869999999999999"/>
    <n v="5"/>
  </r>
  <r>
    <s v="534-01-4457"/>
    <x v="3"/>
    <d v="1899-12-30T14:36:00"/>
    <n v="1"/>
    <s v="January"/>
    <s v="A"/>
    <s v="Yangon"/>
    <s v="Normal"/>
    <s v="Male"/>
    <x v="17"/>
    <s v="&gt;70"/>
    <s v="Food and beverages"/>
    <s v="Credit card"/>
    <n v="81.709999999999994"/>
    <n v="6"/>
    <n v="24.513000000000002"/>
    <n v="514.77300000000002"/>
    <n v="490.26"/>
    <n v="4.7619047620000003"/>
    <n v="24.513000000000002"/>
    <n v="8"/>
  </r>
  <r>
    <s v="719-89-8991"/>
    <x v="6"/>
    <d v="1899-12-30T16:03:00"/>
    <n v="2"/>
    <s v="February"/>
    <s v="A"/>
    <s v="Yangon"/>
    <s v="Member"/>
    <s v="Female"/>
    <x v="16"/>
    <s v="&lt;20"/>
    <s v="Sports and travel"/>
    <s v="Ewallet"/>
    <n v="91.41"/>
    <n v="5"/>
    <n v="22.852499999999999"/>
    <n v="479.90249999999997"/>
    <n v="457.05"/>
    <n v="4.7619047620000003"/>
    <n v="22.852499999999999"/>
    <n v="7.1"/>
  </r>
  <r>
    <s v="286-62-6248"/>
    <x v="65"/>
    <d v="1899-12-30T20:03:00"/>
    <n v="1"/>
    <s v="January"/>
    <s v="B"/>
    <s v="Mandalay"/>
    <s v="Normal"/>
    <s v="Male"/>
    <x v="61"/>
    <s v="20-70"/>
    <s v="Fashion accessories"/>
    <s v="Credit card"/>
    <n v="39.21"/>
    <n v="4"/>
    <n v="7.8419999999999996"/>
    <n v="164.68199999999999"/>
    <n v="156.84"/>
    <n v="4.7619047620000003"/>
    <n v="7.8419999999999996"/>
    <n v="9"/>
  </r>
  <r>
    <s v="339-38-9982"/>
    <x v="50"/>
    <d v="1899-12-30T14:55:00"/>
    <n v="1"/>
    <s v="January"/>
    <s v="B"/>
    <s v="Mandalay"/>
    <s v="Member"/>
    <s v="Male"/>
    <x v="33"/>
    <s v="20-70"/>
    <s v="Fashion accessories"/>
    <s v="Ewallet"/>
    <n v="59.86"/>
    <n v="2"/>
    <n v="5.9859999999999998"/>
    <n v="125.706"/>
    <n v="119.72"/>
    <n v="4.7619047620000003"/>
    <n v="5.9859999999999998"/>
    <n v="6.7"/>
  </r>
  <r>
    <s v="827-44-5872"/>
    <x v="13"/>
    <d v="1899-12-30T11:28:00"/>
    <n v="2"/>
    <s v="February"/>
    <s v="B"/>
    <s v="Mandalay"/>
    <s v="Member"/>
    <s v="Female"/>
    <x v="68"/>
    <s v="20-70"/>
    <s v="Food and beverages"/>
    <s v="Credit card"/>
    <n v="54.36"/>
    <n v="10"/>
    <n v="27.18"/>
    <n v="570.78"/>
    <n v="543.6"/>
    <n v="4.7619047620000003"/>
    <n v="27.18"/>
    <n v="6.1"/>
  </r>
  <r>
    <s v="827-77-7633"/>
    <x v="21"/>
    <d v="1899-12-30T19:41:00"/>
    <n v="2"/>
    <s v="February"/>
    <s v="A"/>
    <s v="Yangon"/>
    <s v="Normal"/>
    <s v="Male"/>
    <x v="49"/>
    <s v="20-70"/>
    <s v="Sports and travel"/>
    <s v="Cash"/>
    <n v="98.09"/>
    <n v="9"/>
    <n v="44.140500000000003"/>
    <n v="926.95050000000003"/>
    <n v="882.81"/>
    <n v="4.7619047620000003"/>
    <n v="44.140500000000003"/>
    <n v="9.3000000000000007"/>
  </r>
  <r>
    <s v="287-83-1405"/>
    <x v="12"/>
    <d v="1899-12-30T19:01:00"/>
    <n v="2"/>
    <s v="February"/>
    <s v="A"/>
    <s v="Yangon"/>
    <s v="Normal"/>
    <s v="Male"/>
    <x v="59"/>
    <s v="20-70"/>
    <s v="Health and beauty"/>
    <s v="Ewallet"/>
    <n v="25.43"/>
    <n v="6"/>
    <n v="7.6289999999999996"/>
    <n v="160.209"/>
    <n v="152.58000000000001"/>
    <n v="4.7619047620000003"/>
    <n v="7.6289999999999996"/>
    <n v="7"/>
  </r>
  <r>
    <s v="435-13-4908"/>
    <x v="46"/>
    <d v="1899-12-30T18:04:00"/>
    <n v="1"/>
    <s v="January"/>
    <s v="A"/>
    <s v="Yangon"/>
    <s v="Member"/>
    <s v="Male"/>
    <x v="43"/>
    <s v="20-70"/>
    <s v="Fashion accessories"/>
    <s v="Credit card"/>
    <n v="86.68"/>
    <n v="8"/>
    <n v="34.671999999999997"/>
    <n v="728.11199999999997"/>
    <n v="693.44"/>
    <n v="4.7619047620000003"/>
    <n v="34.671999999999997"/>
    <n v="7.2"/>
  </r>
  <r>
    <s v="857-67-9057"/>
    <x v="10"/>
    <d v="1899-12-30T19:20:00"/>
    <n v="2"/>
    <s v="February"/>
    <s v="B"/>
    <s v="Mandalay"/>
    <s v="Normal"/>
    <s v="Male"/>
    <x v="63"/>
    <s v="20-70"/>
    <s v="Electronic accessories"/>
    <s v="Ewallet"/>
    <n v="22.95"/>
    <n v="10"/>
    <n v="11.475"/>
    <n v="240.97499999999999"/>
    <n v="229.5"/>
    <n v="4.7619047620000003"/>
    <n v="11.475"/>
    <n v="8.1999999999999993"/>
  </r>
  <r>
    <s v="236-27-1144"/>
    <x v="58"/>
    <d v="1899-12-30T10:31:00"/>
    <n v="3"/>
    <s v="March"/>
    <s v="C"/>
    <s v="Naypyitaw"/>
    <s v="Normal"/>
    <s v="Female"/>
    <x v="26"/>
    <s v="20-70"/>
    <s v="Food and beverages"/>
    <s v="Ewallet"/>
    <n v="16.309999999999999"/>
    <n v="9"/>
    <n v="7.3395000000000001"/>
    <n v="154.12950000000001"/>
    <n v="146.79"/>
    <n v="4.7619047620000003"/>
    <n v="7.3395000000000001"/>
    <n v="8.4"/>
  </r>
  <r>
    <s v="892-05-6689"/>
    <x v="16"/>
    <d v="1899-12-30T13:28:00"/>
    <n v="3"/>
    <s v="March"/>
    <s v="A"/>
    <s v="Yangon"/>
    <s v="Normal"/>
    <s v="Female"/>
    <x v="12"/>
    <s v="20-70"/>
    <s v="Home and lifestyle"/>
    <s v="Ewallet"/>
    <n v="28.32"/>
    <n v="5"/>
    <n v="7.08"/>
    <n v="148.68"/>
    <n v="141.6"/>
    <n v="4.7619047620000003"/>
    <n v="7.08"/>
    <n v="6.2"/>
  </r>
  <r>
    <s v="583-41-4548"/>
    <x v="13"/>
    <d v="1899-12-30T11:36:00"/>
    <n v="2"/>
    <s v="February"/>
    <s v="C"/>
    <s v="Naypyitaw"/>
    <s v="Normal"/>
    <s v="Male"/>
    <x v="30"/>
    <s v="&gt;70"/>
    <s v="Home and lifestyle"/>
    <s v="Ewallet"/>
    <n v="16.670000000000002"/>
    <n v="7"/>
    <n v="5.8345000000000002"/>
    <n v="122.5245"/>
    <n v="116.69"/>
    <n v="4.7619047620000003"/>
    <n v="5.8345000000000002"/>
    <n v="7.4"/>
  </r>
  <r>
    <s v="339-12-4827"/>
    <x v="0"/>
    <d v="1899-12-30T11:32:00"/>
    <n v="1"/>
    <s v="January"/>
    <s v="B"/>
    <s v="Mandalay"/>
    <s v="Member"/>
    <s v="Female"/>
    <x v="17"/>
    <s v="&gt;70"/>
    <s v="Fashion accessories"/>
    <s v="Credit card"/>
    <n v="73.959999999999994"/>
    <n v="1"/>
    <n v="3.698"/>
    <n v="77.658000000000001"/>
    <n v="73.959999999999994"/>
    <n v="4.7619047620000003"/>
    <n v="3.698"/>
    <n v="5"/>
  </r>
  <r>
    <s v="643-38-7867"/>
    <x v="37"/>
    <d v="1899-12-30T11:44:00"/>
    <n v="3"/>
    <s v="March"/>
    <s v="A"/>
    <s v="Yangon"/>
    <s v="Normal"/>
    <s v="Male"/>
    <x v="61"/>
    <s v="20-70"/>
    <s v="Home and lifestyle"/>
    <s v="Ewallet"/>
    <n v="97.94"/>
    <n v="1"/>
    <n v="4.8970000000000002"/>
    <n v="102.837"/>
    <n v="97.94"/>
    <n v="4.7619047620000003"/>
    <n v="4.8970000000000002"/>
    <n v="6.9"/>
  </r>
  <r>
    <s v="308-81-0538"/>
    <x v="6"/>
    <d v="1899-12-30T17:16:00"/>
    <n v="2"/>
    <s v="February"/>
    <s v="A"/>
    <s v="Yangon"/>
    <s v="Normal"/>
    <s v="Female"/>
    <x v="16"/>
    <s v="&lt;20"/>
    <s v="Fashion accessories"/>
    <s v="Credit card"/>
    <n v="73.05"/>
    <n v="4"/>
    <n v="14.61"/>
    <n v="306.81"/>
    <n v="292.2"/>
    <n v="4.7619047620000003"/>
    <n v="14.61"/>
    <n v="4.9000000000000004"/>
  </r>
  <r>
    <s v="358-88-9262"/>
    <x v="60"/>
    <d v="1899-12-30T18:43:00"/>
    <n v="2"/>
    <s v="February"/>
    <s v="C"/>
    <s v="Naypyitaw"/>
    <s v="Member"/>
    <s v="Female"/>
    <x v="41"/>
    <s v="&gt;70"/>
    <s v="Food and beverages"/>
    <s v="Ewallet"/>
    <n v="87.48"/>
    <n v="6"/>
    <n v="26.244"/>
    <n v="551.12400000000002"/>
    <n v="524.88"/>
    <n v="4.7619047620000003"/>
    <n v="26.244"/>
    <n v="5.0999999999999996"/>
  </r>
  <r>
    <s v="460-35-4390"/>
    <x v="49"/>
    <d v="1899-12-30T11:00:00"/>
    <n v="1"/>
    <s v="January"/>
    <s v="A"/>
    <s v="Yangon"/>
    <s v="Normal"/>
    <s v="Male"/>
    <x v="25"/>
    <s v="20-70"/>
    <s v="Home and lifestyle"/>
    <s v="Ewallet"/>
    <n v="30.68"/>
    <n v="3"/>
    <n v="4.6020000000000003"/>
    <n v="96.641999999999996"/>
    <n v="92.04"/>
    <n v="4.7619047620000003"/>
    <n v="4.6020000000000003"/>
    <n v="9.1"/>
  </r>
  <r>
    <s v="343-87-0864"/>
    <x v="75"/>
    <d v="1899-12-30T10:30:00"/>
    <n v="1"/>
    <s v="January"/>
    <s v="C"/>
    <s v="Naypyitaw"/>
    <s v="Member"/>
    <s v="Male"/>
    <x v="66"/>
    <s v="&lt;20"/>
    <s v="Health and beauty"/>
    <s v="Credit card"/>
    <n v="75.88"/>
    <n v="1"/>
    <n v="3.794"/>
    <n v="79.674000000000007"/>
    <n v="75.88"/>
    <n v="4.7619047620000003"/>
    <n v="3.794"/>
    <n v="7.1"/>
  </r>
  <r>
    <s v="173-50-1108"/>
    <x v="77"/>
    <d v="1899-12-30T12:14:00"/>
    <n v="2"/>
    <s v="February"/>
    <s v="B"/>
    <s v="Mandalay"/>
    <s v="Member"/>
    <s v="Female"/>
    <x v="17"/>
    <s v="&gt;70"/>
    <s v="Sports and travel"/>
    <s v="Credit card"/>
    <n v="20.18"/>
    <n v="4"/>
    <n v="4.0359999999999996"/>
    <n v="84.756"/>
    <n v="80.72"/>
    <n v="4.7619047620000003"/>
    <n v="4.0359999999999996"/>
    <n v="5"/>
  </r>
  <r>
    <s v="243-47-2663"/>
    <x v="26"/>
    <d v="1899-12-30T16:43:00"/>
    <n v="1"/>
    <s v="January"/>
    <s v="C"/>
    <s v="Naypyitaw"/>
    <s v="Member"/>
    <s v="Male"/>
    <x v="52"/>
    <s v="20-70"/>
    <s v="Electronic accessories"/>
    <s v="Credit card"/>
    <n v="18.77"/>
    <n v="6"/>
    <n v="5.6310000000000002"/>
    <n v="118.251"/>
    <n v="112.62"/>
    <n v="4.7619047620000003"/>
    <n v="5.6310000000000002"/>
    <n v="5.5"/>
  </r>
  <r>
    <s v="841-18-8232"/>
    <x v="0"/>
    <d v="1899-12-30T20:40:00"/>
    <n v="1"/>
    <s v="January"/>
    <s v="B"/>
    <s v="Mandalay"/>
    <s v="Normal"/>
    <s v="Female"/>
    <x v="27"/>
    <s v="&gt;70"/>
    <s v="Food and beverages"/>
    <s v="Credit card"/>
    <n v="71.2"/>
    <n v="1"/>
    <n v="3.56"/>
    <n v="74.760000000000005"/>
    <n v="71.2"/>
    <n v="4.7619047620000003"/>
    <n v="3.56"/>
    <n v="9.1999999999999993"/>
  </r>
  <r>
    <s v="701-23-5550"/>
    <x v="35"/>
    <d v="1899-12-30T13:40:00"/>
    <n v="3"/>
    <s v="March"/>
    <s v="B"/>
    <s v="Mandalay"/>
    <s v="Member"/>
    <s v="Male"/>
    <x v="40"/>
    <s v="20-70"/>
    <s v="Home and lifestyle"/>
    <s v="Ewallet"/>
    <n v="38.81"/>
    <n v="4"/>
    <n v="7.7619999999999996"/>
    <n v="163.00200000000001"/>
    <n v="155.24"/>
    <n v="4.7619047620000003"/>
    <n v="7.7619999999999996"/>
    <n v="4.9000000000000004"/>
  </r>
  <r>
    <s v="647-50-1224"/>
    <x v="52"/>
    <d v="1899-12-30T16:23:00"/>
    <n v="1"/>
    <s v="January"/>
    <s v="A"/>
    <s v="Yangon"/>
    <s v="Normal"/>
    <s v="Female"/>
    <x v="60"/>
    <s v="&gt;70"/>
    <s v="Fashion accessories"/>
    <s v="Ewallet"/>
    <n v="29.42"/>
    <n v="10"/>
    <n v="14.71"/>
    <n v="308.91000000000003"/>
    <n v="294.2"/>
    <n v="4.7619047620000003"/>
    <n v="14.71"/>
    <n v="8.9"/>
  </r>
  <r>
    <s v="541-48-8554"/>
    <x v="27"/>
    <d v="1899-12-30T12:08:00"/>
    <n v="1"/>
    <s v="January"/>
    <s v="A"/>
    <s v="Yangon"/>
    <s v="Normal"/>
    <s v="Male"/>
    <x v="4"/>
    <s v="20-70"/>
    <s v="Sports and travel"/>
    <s v="Credit card"/>
    <n v="60.95"/>
    <n v="9"/>
    <n v="27.427499999999998"/>
    <n v="575.97749999999996"/>
    <n v="548.54999999999995"/>
    <n v="4.7619047620000003"/>
    <n v="27.427499999999998"/>
    <n v="6"/>
  </r>
  <r>
    <s v="539-21-7227"/>
    <x v="53"/>
    <d v="1899-12-30T17:45:00"/>
    <n v="1"/>
    <s v="January"/>
    <s v="B"/>
    <s v="Mandalay"/>
    <s v="Normal"/>
    <s v="Female"/>
    <x v="65"/>
    <s v="&gt;70"/>
    <s v="Sports and travel"/>
    <s v="Cash"/>
    <n v="51.54"/>
    <n v="5"/>
    <n v="12.885"/>
    <n v="270.58499999999998"/>
    <n v="257.7"/>
    <n v="4.7619047620000003"/>
    <n v="12.885"/>
    <n v="4.2"/>
  </r>
  <r>
    <s v="213-32-1216"/>
    <x v="54"/>
    <d v="1899-12-30T10:28:00"/>
    <n v="1"/>
    <s v="January"/>
    <s v="A"/>
    <s v="Yangon"/>
    <s v="Normal"/>
    <s v="Female"/>
    <x v="5"/>
    <s v="&gt;70"/>
    <s v="Electronic accessories"/>
    <s v="Cash"/>
    <n v="66.06"/>
    <n v="6"/>
    <n v="19.818000000000001"/>
    <n v="416.178"/>
    <n v="396.36"/>
    <n v="4.7619047620000003"/>
    <n v="19.818000000000001"/>
    <n v="7.3"/>
  </r>
  <r>
    <s v="747-58-7183"/>
    <x v="57"/>
    <d v="1899-12-30T20:31:00"/>
    <n v="2"/>
    <s v="February"/>
    <s v="B"/>
    <s v="Mandalay"/>
    <s v="Normal"/>
    <s v="Male"/>
    <x v="35"/>
    <s v="20-70"/>
    <s v="Fashion accessories"/>
    <s v="Ewallet"/>
    <n v="57.27"/>
    <n v="3"/>
    <n v="8.5905000000000005"/>
    <n v="180.40049999999999"/>
    <n v="171.81"/>
    <n v="4.7619047620000003"/>
    <n v="8.5905000000000005"/>
    <n v="6.5"/>
  </r>
  <r>
    <s v="582-52-8065"/>
    <x v="70"/>
    <d v="1899-12-30T10:49:00"/>
    <n v="2"/>
    <s v="February"/>
    <s v="B"/>
    <s v="Mandalay"/>
    <s v="Normal"/>
    <s v="Female"/>
    <x v="48"/>
    <s v="&gt;70"/>
    <s v="Fashion accessories"/>
    <s v="Cash"/>
    <n v="54.31"/>
    <n v="9"/>
    <n v="24.439499999999999"/>
    <n v="513.22950000000003"/>
    <n v="488.79"/>
    <n v="4.7619047620000003"/>
    <n v="24.439499999999999"/>
    <n v="8.9"/>
  </r>
  <r>
    <s v="210-57-1719"/>
    <x v="63"/>
    <d v="1899-12-30T12:34:00"/>
    <n v="2"/>
    <s v="February"/>
    <s v="B"/>
    <s v="Mandalay"/>
    <s v="Normal"/>
    <s v="Female"/>
    <x v="45"/>
    <s v="20-70"/>
    <s v="Health and beauty"/>
    <s v="Cash"/>
    <n v="58.24"/>
    <n v="9"/>
    <n v="26.207999999999998"/>
    <n v="550.36800000000005"/>
    <n v="524.16"/>
    <n v="4.7619047620000003"/>
    <n v="26.207999999999998"/>
    <n v="9.6999999999999993"/>
  </r>
  <r>
    <s v="399-69-4630"/>
    <x v="37"/>
    <d v="1899-12-30T10:23:00"/>
    <n v="3"/>
    <s v="March"/>
    <s v="C"/>
    <s v="Naypyitaw"/>
    <s v="Normal"/>
    <s v="Male"/>
    <x v="74"/>
    <s v="&gt;70"/>
    <s v="Electronic accessories"/>
    <s v="Credit card"/>
    <n v="22.21"/>
    <n v="6"/>
    <n v="6.6630000000000003"/>
    <n v="139.923"/>
    <n v="133.26"/>
    <n v="4.7619047620000003"/>
    <n v="6.6630000000000003"/>
    <n v="8.6"/>
  </r>
  <r>
    <s v="134-75-2619"/>
    <x v="5"/>
    <d v="1899-12-30T18:51:00"/>
    <n v="3"/>
    <s v="March"/>
    <s v="A"/>
    <s v="Yangon"/>
    <s v="Member"/>
    <s v="Male"/>
    <x v="3"/>
    <s v="20-70"/>
    <s v="Electronic accessories"/>
    <s v="Cash"/>
    <n v="19.32"/>
    <n v="7"/>
    <n v="6.7619999999999996"/>
    <n v="142.00200000000001"/>
    <n v="135.24"/>
    <n v="4.7619047620000003"/>
    <n v="6.7619999999999996"/>
    <n v="6.9"/>
  </r>
  <r>
    <s v="356-44-8813"/>
    <x v="40"/>
    <d v="1899-12-30T13:45:00"/>
    <n v="1"/>
    <s v="January"/>
    <s v="B"/>
    <s v="Mandalay"/>
    <s v="Normal"/>
    <s v="Male"/>
    <x v="19"/>
    <s v="20-70"/>
    <s v="Home and lifestyle"/>
    <s v="Credit card"/>
    <n v="37.479999999999997"/>
    <n v="3"/>
    <n v="5.6219999999999999"/>
    <n v="118.062"/>
    <n v="112.44"/>
    <n v="4.7619047620000003"/>
    <n v="5.6219999999999999"/>
    <n v="7.7"/>
  </r>
  <r>
    <s v="198-66-9832"/>
    <x v="87"/>
    <d v="1899-12-30T19:38:00"/>
    <n v="2"/>
    <s v="February"/>
    <s v="B"/>
    <s v="Mandalay"/>
    <s v="Member"/>
    <s v="Female"/>
    <x v="7"/>
    <s v="&gt;70"/>
    <s v="Fashion accessories"/>
    <s v="Cash"/>
    <n v="72.040000000000006"/>
    <n v="2"/>
    <n v="7.2039999999999997"/>
    <n v="151.28399999999999"/>
    <n v="144.08000000000001"/>
    <n v="4.7619047620000003"/>
    <n v="7.2039999999999997"/>
    <n v="9.5"/>
  </r>
  <r>
    <s v="283-26-5248"/>
    <x v="74"/>
    <d v="1899-12-30T20:23:00"/>
    <n v="1"/>
    <s v="January"/>
    <s v="C"/>
    <s v="Naypyitaw"/>
    <s v="Member"/>
    <s v="Female"/>
    <x v="1"/>
    <s v="20-70"/>
    <s v="Food and beverages"/>
    <s v="Ewallet"/>
    <n v="98.52"/>
    <n v="10"/>
    <n v="49.26"/>
    <n v="1034.46"/>
    <n v="985.2"/>
    <n v="4.7619047620000003"/>
    <n v="49.26"/>
    <n v="4.5"/>
  </r>
  <r>
    <s v="712-39-0363"/>
    <x v="56"/>
    <d v="1899-12-30T15:24:00"/>
    <n v="1"/>
    <s v="January"/>
    <s v="A"/>
    <s v="Yangon"/>
    <s v="Member"/>
    <s v="Male"/>
    <x v="37"/>
    <s v="20-70"/>
    <s v="Food and beverages"/>
    <s v="Ewallet"/>
    <n v="41.66"/>
    <n v="6"/>
    <n v="12.497999999999999"/>
    <n v="262.45800000000003"/>
    <n v="249.96"/>
    <n v="4.7619047620000003"/>
    <n v="12.497999999999999"/>
    <n v="5.6"/>
  </r>
  <r>
    <s v="218-59-9410"/>
    <x v="14"/>
    <d v="1899-12-30T16:54:00"/>
    <n v="3"/>
    <s v="March"/>
    <s v="A"/>
    <s v="Yangon"/>
    <s v="Member"/>
    <s v="Female"/>
    <x v="41"/>
    <s v="&gt;70"/>
    <s v="Home and lifestyle"/>
    <s v="Ewallet"/>
    <n v="72.42"/>
    <n v="3"/>
    <n v="10.863"/>
    <n v="228.12299999999999"/>
    <n v="217.26"/>
    <n v="4.7619047620000003"/>
    <n v="10.863"/>
    <n v="8.1999999999999993"/>
  </r>
  <r>
    <s v="174-75-0888"/>
    <x v="86"/>
    <d v="1899-12-30T12:32:00"/>
    <n v="3"/>
    <s v="March"/>
    <s v="B"/>
    <s v="Mandalay"/>
    <s v="Normal"/>
    <s v="Male"/>
    <x v="55"/>
    <s v="&gt;70"/>
    <s v="Electronic accessories"/>
    <s v="Cash"/>
    <n v="21.58"/>
    <n v="9"/>
    <n v="9.7110000000000003"/>
    <n v="203.93100000000001"/>
    <n v="194.22"/>
    <n v="4.7619047620000003"/>
    <n v="9.7110000000000003"/>
    <n v="7.3"/>
  </r>
  <r>
    <s v="866-99-7614"/>
    <x v="48"/>
    <d v="1899-12-30T15:42:00"/>
    <n v="2"/>
    <s v="February"/>
    <s v="C"/>
    <s v="Naypyitaw"/>
    <s v="Normal"/>
    <s v="Male"/>
    <x v="34"/>
    <s v="&gt;70"/>
    <s v="Food and beverages"/>
    <s v="Credit card"/>
    <n v="89.2"/>
    <n v="10"/>
    <n v="44.6"/>
    <n v="936.6"/>
    <n v="892"/>
    <n v="4.7619047620000003"/>
    <n v="44.6"/>
    <n v="4.4000000000000004"/>
  </r>
  <r>
    <s v="134-54-4720"/>
    <x v="74"/>
    <d v="1899-12-30T13:58:00"/>
    <n v="1"/>
    <s v="January"/>
    <s v="B"/>
    <s v="Mandalay"/>
    <s v="Normal"/>
    <s v="Female"/>
    <x v="7"/>
    <s v="&gt;70"/>
    <s v="Electronic accessories"/>
    <s v="Ewallet"/>
    <n v="42.42"/>
    <n v="8"/>
    <n v="16.968"/>
    <n v="356.32799999999997"/>
    <n v="339.36"/>
    <n v="4.7619047620000003"/>
    <n v="16.968"/>
    <n v="5.7"/>
  </r>
  <r>
    <s v="760-90-2357"/>
    <x v="80"/>
    <d v="1899-12-30T15:08:00"/>
    <n v="3"/>
    <s v="March"/>
    <s v="A"/>
    <s v="Yangon"/>
    <s v="Member"/>
    <s v="Male"/>
    <x v="45"/>
    <s v="20-70"/>
    <s v="Electronic accessories"/>
    <s v="Ewallet"/>
    <n v="74.510000000000005"/>
    <n v="6"/>
    <n v="22.353000000000002"/>
    <n v="469.41300000000001"/>
    <n v="447.06"/>
    <n v="4.7619047620000003"/>
    <n v="22.353000000000002"/>
    <n v="5"/>
  </r>
  <r>
    <s v="514-37-2845"/>
    <x v="80"/>
    <d v="1899-12-30T13:02:00"/>
    <n v="3"/>
    <s v="March"/>
    <s v="B"/>
    <s v="Mandalay"/>
    <s v="Normal"/>
    <s v="Male"/>
    <x v="35"/>
    <s v="20-70"/>
    <s v="Fashion accessories"/>
    <s v="Cash"/>
    <n v="99.25"/>
    <n v="2"/>
    <n v="9.9250000000000007"/>
    <n v="208.42500000000001"/>
    <n v="198.5"/>
    <n v="4.7619047620000003"/>
    <n v="9.9250000000000007"/>
    <n v="9"/>
  </r>
  <r>
    <s v="698-98-5964"/>
    <x v="29"/>
    <d v="1899-12-30T13:01:00"/>
    <n v="1"/>
    <s v="January"/>
    <s v="A"/>
    <s v="Yangon"/>
    <s v="Normal"/>
    <s v="Female"/>
    <x v="25"/>
    <s v="20-70"/>
    <s v="Food and beverages"/>
    <s v="Credit card"/>
    <n v="81.209999999999994"/>
    <n v="10"/>
    <n v="40.604999999999997"/>
    <n v="852.70500000000004"/>
    <n v="812.1"/>
    <n v="4.7619047620000003"/>
    <n v="40.604999999999997"/>
    <n v="6.3"/>
  </r>
  <r>
    <s v="718-57-9773"/>
    <x v="36"/>
    <d v="1899-12-30T16:40:00"/>
    <n v="2"/>
    <s v="February"/>
    <s v="C"/>
    <s v="Naypyitaw"/>
    <s v="Normal"/>
    <s v="Female"/>
    <x v="4"/>
    <s v="20-70"/>
    <s v="Sports and travel"/>
    <s v="Credit card"/>
    <n v="49.33"/>
    <n v="10"/>
    <n v="24.664999999999999"/>
    <n v="517.96500000000003"/>
    <n v="493.3"/>
    <n v="4.7619047620000003"/>
    <n v="24.664999999999999"/>
    <n v="9.4"/>
  </r>
  <r>
    <s v="651-88-7328"/>
    <x v="17"/>
    <d v="1899-12-30T13:55:00"/>
    <n v="1"/>
    <s v="January"/>
    <s v="A"/>
    <s v="Yangon"/>
    <s v="Normal"/>
    <s v="Female"/>
    <x v="16"/>
    <s v="&lt;20"/>
    <s v="Fashion accessories"/>
    <s v="Cash"/>
    <n v="65.739999999999995"/>
    <n v="9"/>
    <n v="29.582999999999998"/>
    <n v="621.24300000000005"/>
    <n v="591.66"/>
    <n v="4.7619047620000003"/>
    <n v="29.582999999999998"/>
    <n v="7.7"/>
  </r>
  <r>
    <s v="241-11-2261"/>
    <x v="8"/>
    <d v="1899-12-30T10:33:00"/>
    <n v="1"/>
    <s v="January"/>
    <s v="B"/>
    <s v="Mandalay"/>
    <s v="Normal"/>
    <s v="Female"/>
    <x v="47"/>
    <s v="20-70"/>
    <s v="Fashion accessories"/>
    <s v="Credit card"/>
    <n v="79.86"/>
    <n v="7"/>
    <n v="27.951000000000001"/>
    <n v="586.971"/>
    <n v="559.02"/>
    <n v="4.7619047620000003"/>
    <n v="27.951000000000001"/>
    <n v="5.5"/>
  </r>
  <r>
    <s v="408-26-9866"/>
    <x v="22"/>
    <d v="1899-12-30T16:42:00"/>
    <n v="3"/>
    <s v="March"/>
    <s v="C"/>
    <s v="Naypyitaw"/>
    <s v="Normal"/>
    <s v="Female"/>
    <x v="33"/>
    <s v="20-70"/>
    <s v="Sports and travel"/>
    <s v="Ewallet"/>
    <n v="73.98"/>
    <n v="7"/>
    <n v="25.893000000000001"/>
    <n v="543.75300000000004"/>
    <n v="517.86"/>
    <n v="4.7619047620000003"/>
    <n v="25.893000000000001"/>
    <n v="4.0999999999999996"/>
  </r>
  <r>
    <s v="834-83-1826"/>
    <x v="6"/>
    <d v="1899-12-30T17:16:00"/>
    <n v="2"/>
    <s v="February"/>
    <s v="B"/>
    <s v="Mandalay"/>
    <s v="Member"/>
    <s v="Female"/>
    <x v="30"/>
    <s v="&gt;70"/>
    <s v="Home and lifestyle"/>
    <s v="Credit card"/>
    <n v="82.04"/>
    <n v="5"/>
    <n v="20.51"/>
    <n v="430.71"/>
    <n v="410.2"/>
    <n v="4.7619047620000003"/>
    <n v="20.51"/>
    <n v="7.6"/>
  </r>
  <r>
    <s v="343-61-3544"/>
    <x v="71"/>
    <d v="1899-12-30T11:48:00"/>
    <n v="1"/>
    <s v="January"/>
    <s v="B"/>
    <s v="Mandalay"/>
    <s v="Member"/>
    <s v="Male"/>
    <x v="17"/>
    <s v="&gt;70"/>
    <s v="Sports and travel"/>
    <s v="Cash"/>
    <n v="26.67"/>
    <n v="10"/>
    <n v="13.335000000000001"/>
    <n v="280.03500000000003"/>
    <n v="266.7"/>
    <n v="4.7619047620000003"/>
    <n v="13.335000000000001"/>
    <n v="8.6"/>
  </r>
  <r>
    <s v="239-48-4278"/>
    <x v="24"/>
    <d v="1899-12-30T19:35:00"/>
    <n v="3"/>
    <s v="March"/>
    <s v="A"/>
    <s v="Yangon"/>
    <s v="Member"/>
    <s v="Male"/>
    <x v="43"/>
    <s v="20-70"/>
    <s v="Food and beverages"/>
    <s v="Ewallet"/>
    <n v="10.130000000000001"/>
    <n v="7"/>
    <n v="3.5455000000000001"/>
    <n v="74.455500000000001"/>
    <n v="70.91"/>
    <n v="4.7619047620000003"/>
    <n v="3.5455000000000001"/>
    <n v="8.3000000000000007"/>
  </r>
  <r>
    <s v="355-34-6244"/>
    <x v="50"/>
    <d v="1899-12-30T19:55:00"/>
    <n v="1"/>
    <s v="January"/>
    <s v="B"/>
    <s v="Mandalay"/>
    <s v="Normal"/>
    <s v="Male"/>
    <x v="8"/>
    <s v="20-70"/>
    <s v="Food and beverages"/>
    <s v="Credit card"/>
    <n v="72.39"/>
    <n v="2"/>
    <n v="7.2389999999999999"/>
    <n v="152.01900000000001"/>
    <n v="144.78"/>
    <n v="4.7619047620000003"/>
    <n v="7.2389999999999999"/>
    <n v="8.1"/>
  </r>
  <r>
    <s v="550-84-8664"/>
    <x v="23"/>
    <d v="1899-12-30T14:33:00"/>
    <n v="3"/>
    <s v="March"/>
    <s v="A"/>
    <s v="Yangon"/>
    <s v="Normal"/>
    <s v="Male"/>
    <x v="1"/>
    <s v="20-70"/>
    <s v="Sports and travel"/>
    <s v="Credit card"/>
    <n v="85.91"/>
    <n v="5"/>
    <n v="21.477499999999999"/>
    <n v="451.02749999999997"/>
    <n v="429.55"/>
    <n v="4.7619047620000003"/>
    <n v="21.477499999999999"/>
    <n v="8.6"/>
  </r>
  <r>
    <s v="339-96-8318"/>
    <x v="59"/>
    <d v="1899-12-30T19:49:00"/>
    <n v="3"/>
    <s v="March"/>
    <s v="B"/>
    <s v="Mandalay"/>
    <s v="Member"/>
    <s v="Male"/>
    <x v="15"/>
    <s v="20-70"/>
    <s v="Fashion accessories"/>
    <s v="Ewallet"/>
    <n v="81.31"/>
    <n v="7"/>
    <n v="28.458500000000001"/>
    <n v="597.62850000000003"/>
    <n v="569.16999999999996"/>
    <n v="4.7619047620000003"/>
    <n v="28.458500000000001"/>
    <n v="6.3"/>
  </r>
  <r>
    <s v="458-61-0011"/>
    <x v="9"/>
    <d v="1899-12-30T18:43:00"/>
    <n v="2"/>
    <s v="February"/>
    <s v="B"/>
    <s v="Mandalay"/>
    <s v="Normal"/>
    <s v="Male"/>
    <x v="24"/>
    <s v="20-70"/>
    <s v="Food and beverages"/>
    <s v="Cash"/>
    <n v="60.3"/>
    <n v="4"/>
    <n v="12.06"/>
    <n v="253.26"/>
    <n v="241.2"/>
    <n v="4.7619047620000003"/>
    <n v="12.06"/>
    <n v="5.8"/>
  </r>
  <r>
    <s v="592-34-6155"/>
    <x v="78"/>
    <d v="1899-12-30T14:43:00"/>
    <n v="1"/>
    <s v="January"/>
    <s v="C"/>
    <s v="Naypyitaw"/>
    <s v="Normal"/>
    <s v="Male"/>
    <x v="65"/>
    <s v="&gt;70"/>
    <s v="Food and beverages"/>
    <s v="Ewallet"/>
    <n v="31.77"/>
    <n v="4"/>
    <n v="6.3540000000000001"/>
    <n v="133.434"/>
    <n v="127.08"/>
    <n v="4.7619047620000003"/>
    <n v="6.3540000000000001"/>
    <n v="6.2"/>
  </r>
  <r>
    <s v="797-88-0493"/>
    <x v="58"/>
    <d v="1899-12-30T13:54:00"/>
    <n v="3"/>
    <s v="March"/>
    <s v="A"/>
    <s v="Yangon"/>
    <s v="Normal"/>
    <s v="Female"/>
    <x v="14"/>
    <s v="&gt;70"/>
    <s v="Health and beauty"/>
    <s v="Cash"/>
    <n v="64.27"/>
    <n v="4"/>
    <n v="12.853999999999999"/>
    <n v="269.93400000000003"/>
    <n v="257.08"/>
    <n v="4.7619047620000003"/>
    <n v="12.853999999999999"/>
    <n v="7.7"/>
  </r>
  <r>
    <s v="207-73-1363"/>
    <x v="59"/>
    <d v="1899-12-30T12:15:00"/>
    <n v="3"/>
    <s v="March"/>
    <s v="B"/>
    <s v="Mandalay"/>
    <s v="Normal"/>
    <s v="Male"/>
    <x v="28"/>
    <s v="20-70"/>
    <s v="Health and beauty"/>
    <s v="Ewallet"/>
    <n v="69.510000000000005"/>
    <n v="2"/>
    <n v="6.9509999999999996"/>
    <n v="145.971"/>
    <n v="139.02000000000001"/>
    <n v="4.7619047620000003"/>
    <n v="6.9509999999999996"/>
    <n v="8.1"/>
  </r>
  <r>
    <s v="390-31-6381"/>
    <x v="27"/>
    <d v="1899-12-30T12:37:00"/>
    <n v="1"/>
    <s v="January"/>
    <s v="C"/>
    <s v="Naypyitaw"/>
    <s v="Normal"/>
    <s v="Male"/>
    <x v="18"/>
    <s v="20-70"/>
    <s v="Food and beverages"/>
    <s v="Cash"/>
    <n v="27.22"/>
    <n v="3"/>
    <n v="4.0830000000000002"/>
    <n v="85.742999999999995"/>
    <n v="81.66"/>
    <n v="4.7619047620000003"/>
    <n v="4.0830000000000002"/>
    <n v="7.3"/>
  </r>
  <r>
    <s v="443-82-0585"/>
    <x v="60"/>
    <d v="1899-12-30T19:54:00"/>
    <n v="2"/>
    <s v="February"/>
    <s v="A"/>
    <s v="Yangon"/>
    <s v="Member"/>
    <s v="Female"/>
    <x v="54"/>
    <s v="20-70"/>
    <s v="Health and beauty"/>
    <s v="Cash"/>
    <n v="77.680000000000007"/>
    <n v="4"/>
    <n v="15.536"/>
    <n v="326.25599999999997"/>
    <n v="310.72000000000003"/>
    <n v="4.7619047620000003"/>
    <n v="15.536"/>
    <n v="8.4"/>
  </r>
  <r>
    <s v="339-18-7061"/>
    <x v="77"/>
    <d v="1899-12-30T15:06:00"/>
    <n v="2"/>
    <s v="February"/>
    <s v="C"/>
    <s v="Naypyitaw"/>
    <s v="Member"/>
    <s v="Female"/>
    <x v="21"/>
    <s v="20-70"/>
    <s v="Fashion accessories"/>
    <s v="Credit card"/>
    <n v="92.98"/>
    <n v="2"/>
    <n v="9.298"/>
    <n v="195.25800000000001"/>
    <n v="185.96"/>
    <n v="4.7619047620000003"/>
    <n v="9.298"/>
    <n v="8"/>
  </r>
  <r>
    <s v="359-90-3665"/>
    <x v="78"/>
    <d v="1899-12-30T18:03:00"/>
    <n v="1"/>
    <s v="January"/>
    <s v="B"/>
    <s v="Mandalay"/>
    <s v="Member"/>
    <s v="Female"/>
    <x v="8"/>
    <s v="20-70"/>
    <s v="Fashion accessories"/>
    <s v="Credit card"/>
    <n v="18.079999999999998"/>
    <n v="4"/>
    <n v="3.6160000000000001"/>
    <n v="75.936000000000007"/>
    <n v="72.319999999999993"/>
    <n v="4.7619047620000003"/>
    <n v="3.6160000000000001"/>
    <n v="9.5"/>
  </r>
  <r>
    <s v="375-72-3056"/>
    <x v="64"/>
    <d v="1899-12-30T15:58:00"/>
    <n v="1"/>
    <s v="January"/>
    <s v="B"/>
    <s v="Mandalay"/>
    <s v="Normal"/>
    <s v="Male"/>
    <x v="55"/>
    <s v="&gt;70"/>
    <s v="Sports and travel"/>
    <s v="Ewallet"/>
    <n v="63.06"/>
    <n v="3"/>
    <n v="9.4589999999999996"/>
    <n v="198.63900000000001"/>
    <n v="189.18"/>
    <n v="4.7619047620000003"/>
    <n v="9.4589999999999996"/>
    <n v="7"/>
  </r>
  <r>
    <s v="127-47-6963"/>
    <x v="11"/>
    <d v="1899-12-30T13:53:00"/>
    <n v="3"/>
    <s v="March"/>
    <s v="A"/>
    <s v="Yangon"/>
    <s v="Normal"/>
    <s v="Male"/>
    <x v="7"/>
    <s v="&gt;70"/>
    <s v="Health and beauty"/>
    <s v="Credit card"/>
    <n v="51.71"/>
    <n v="4"/>
    <n v="10.342000000000001"/>
    <n v="217.18199999999999"/>
    <n v="206.84"/>
    <n v="4.7619047620000003"/>
    <n v="10.342000000000001"/>
    <n v="9.8000000000000007"/>
  </r>
  <r>
    <s v="278-86-2735"/>
    <x v="39"/>
    <d v="1899-12-30T14:03:00"/>
    <n v="3"/>
    <s v="March"/>
    <s v="A"/>
    <s v="Yangon"/>
    <s v="Normal"/>
    <s v="Female"/>
    <x v="66"/>
    <s v="&lt;20"/>
    <s v="Food and beverages"/>
    <s v="Cash"/>
    <n v="52.34"/>
    <n v="3"/>
    <n v="7.851"/>
    <n v="164.87100000000001"/>
    <n v="157.02000000000001"/>
    <n v="4.7619047620000003"/>
    <n v="7.851"/>
    <n v="9.1999999999999993"/>
  </r>
  <r>
    <s v="695-28-6250"/>
    <x v="87"/>
    <d v="1899-12-30T16:38:00"/>
    <n v="2"/>
    <s v="February"/>
    <s v="A"/>
    <s v="Yangon"/>
    <s v="Normal"/>
    <s v="Female"/>
    <x v="18"/>
    <s v="20-70"/>
    <s v="Sports and travel"/>
    <s v="Ewallet"/>
    <n v="43.06"/>
    <n v="5"/>
    <n v="10.765000000000001"/>
    <n v="226.065"/>
    <n v="215.3"/>
    <n v="4.7619047620000003"/>
    <n v="10.765000000000001"/>
    <n v="7.7"/>
  </r>
  <r>
    <s v="379-17-6588"/>
    <x v="86"/>
    <d v="1899-12-30T11:07:00"/>
    <n v="3"/>
    <s v="March"/>
    <s v="C"/>
    <s v="Naypyitaw"/>
    <s v="Normal"/>
    <s v="Male"/>
    <x v="74"/>
    <s v="&gt;70"/>
    <s v="Fashion accessories"/>
    <s v="Cash"/>
    <n v="59.61"/>
    <n v="10"/>
    <n v="29.805"/>
    <n v="625.90499999999997"/>
    <n v="596.1"/>
    <n v="4.7619047620000003"/>
    <n v="29.805"/>
    <n v="5.3"/>
  </r>
  <r>
    <s v="227-50-3718"/>
    <x v="31"/>
    <d v="1899-12-30T12:23:00"/>
    <n v="3"/>
    <s v="March"/>
    <s v="A"/>
    <s v="Yangon"/>
    <s v="Normal"/>
    <s v="Male"/>
    <x v="21"/>
    <s v="20-70"/>
    <s v="Health and beauty"/>
    <s v="Cash"/>
    <n v="14.62"/>
    <n v="5"/>
    <n v="3.6549999999999998"/>
    <n v="76.754999999999995"/>
    <n v="73.099999999999994"/>
    <n v="4.7619047620000003"/>
    <n v="3.6549999999999998"/>
    <n v="4.4000000000000004"/>
  </r>
  <r>
    <s v="302-15-2162"/>
    <x v="2"/>
    <d v="1899-12-30T10:54:00"/>
    <n v="3"/>
    <s v="March"/>
    <s v="C"/>
    <s v="Naypyitaw"/>
    <s v="Member"/>
    <s v="Male"/>
    <x v="3"/>
    <s v="20-70"/>
    <s v="Health and beauty"/>
    <s v="Credit card"/>
    <n v="46.53"/>
    <n v="6"/>
    <n v="13.959"/>
    <n v="293.13900000000001"/>
    <n v="279.18"/>
    <n v="4.7619047620000003"/>
    <n v="13.959"/>
    <n v="4.3"/>
  </r>
  <r>
    <s v="788-07-8452"/>
    <x v="3"/>
    <d v="1899-12-30T17:38:00"/>
    <n v="1"/>
    <s v="January"/>
    <s v="C"/>
    <s v="Naypyitaw"/>
    <s v="Member"/>
    <s v="Female"/>
    <x v="17"/>
    <s v="&gt;70"/>
    <s v="Home and lifestyle"/>
    <s v="Ewallet"/>
    <n v="24.24"/>
    <n v="7"/>
    <n v="8.484"/>
    <n v="178.16399999999999"/>
    <n v="169.68"/>
    <n v="4.7619047620000003"/>
    <n v="8.484"/>
    <n v="9.4"/>
  </r>
  <r>
    <s v="560-49-6611"/>
    <x v="13"/>
    <d v="1899-12-30T14:13:00"/>
    <n v="2"/>
    <s v="February"/>
    <s v="A"/>
    <s v="Yangon"/>
    <s v="Member"/>
    <s v="Female"/>
    <x v="8"/>
    <s v="20-70"/>
    <s v="Sports and travel"/>
    <s v="Cash"/>
    <n v="45.58"/>
    <n v="1"/>
    <n v="2.2789999999999999"/>
    <n v="47.859000000000002"/>
    <n v="45.58"/>
    <n v="4.7619047620000003"/>
    <n v="2.2789999999999999"/>
    <n v="9.8000000000000007"/>
  </r>
  <r>
    <s v="880-35-0356"/>
    <x v="63"/>
    <d v="1899-12-30T11:51:00"/>
    <n v="2"/>
    <s v="February"/>
    <s v="A"/>
    <s v="Yangon"/>
    <s v="Member"/>
    <s v="Female"/>
    <x v="17"/>
    <s v="&gt;70"/>
    <s v="Sports and travel"/>
    <s v="Ewallet"/>
    <n v="75.2"/>
    <n v="3"/>
    <n v="11.28"/>
    <n v="236.88"/>
    <n v="225.6"/>
    <n v="4.7619047620000003"/>
    <n v="11.28"/>
    <n v="4.8"/>
  </r>
  <r>
    <s v="585-11-6748"/>
    <x v="20"/>
    <d v="1899-12-30T13:05:00"/>
    <n v="3"/>
    <s v="March"/>
    <s v="B"/>
    <s v="Mandalay"/>
    <s v="Member"/>
    <s v="Male"/>
    <x v="45"/>
    <s v="20-70"/>
    <s v="Sports and travel"/>
    <s v="Cash"/>
    <n v="96.8"/>
    <n v="3"/>
    <n v="14.52"/>
    <n v="304.92"/>
    <n v="290.39999999999998"/>
    <n v="4.7619047620000003"/>
    <n v="14.52"/>
    <n v="5.3"/>
  </r>
  <r>
    <s v="470-31-3286"/>
    <x v="59"/>
    <d v="1899-12-30T11:30:00"/>
    <n v="3"/>
    <s v="March"/>
    <s v="B"/>
    <s v="Mandalay"/>
    <s v="Normal"/>
    <s v="Male"/>
    <x v="0"/>
    <s v="&lt;20"/>
    <s v="Health and beauty"/>
    <s v="Credit card"/>
    <n v="14.82"/>
    <n v="3"/>
    <n v="2.2229999999999999"/>
    <n v="46.683"/>
    <n v="44.46"/>
    <n v="4.7619047620000003"/>
    <n v="2.2229999999999999"/>
    <n v="8.6999999999999993"/>
  </r>
  <r>
    <s v="152-68-2907"/>
    <x v="42"/>
    <d v="1899-12-30T13:30:00"/>
    <n v="2"/>
    <s v="February"/>
    <s v="A"/>
    <s v="Yangon"/>
    <s v="Normal"/>
    <s v="Male"/>
    <x v="45"/>
    <s v="20-70"/>
    <s v="Food and beverages"/>
    <s v="Credit card"/>
    <n v="52.2"/>
    <n v="3"/>
    <n v="7.83"/>
    <n v="164.43"/>
    <n v="156.6"/>
    <n v="4.7619047620000003"/>
    <n v="7.83"/>
    <n v="9.5"/>
  </r>
  <r>
    <s v="123-35-4896"/>
    <x v="21"/>
    <d v="1899-12-30T19:11:00"/>
    <n v="2"/>
    <s v="February"/>
    <s v="C"/>
    <s v="Naypyitaw"/>
    <s v="Normal"/>
    <s v="Female"/>
    <x v="64"/>
    <s v="20-70"/>
    <s v="Sports and travel"/>
    <s v="Ewallet"/>
    <n v="46.66"/>
    <n v="9"/>
    <n v="20.997"/>
    <n v="440.93700000000001"/>
    <n v="419.94"/>
    <n v="4.7619047620000003"/>
    <n v="20.997"/>
    <n v="5.3"/>
  </r>
  <r>
    <s v="258-69-7810"/>
    <x v="53"/>
    <d v="1899-12-30T18:53:00"/>
    <n v="1"/>
    <s v="January"/>
    <s v="C"/>
    <s v="Naypyitaw"/>
    <s v="Normal"/>
    <s v="Female"/>
    <x v="63"/>
    <s v="20-70"/>
    <s v="Fashion accessories"/>
    <s v="Cash"/>
    <n v="36.85"/>
    <n v="5"/>
    <n v="9.2125000000000004"/>
    <n v="193.46250000000001"/>
    <n v="184.25"/>
    <n v="4.7619047620000003"/>
    <n v="9.2125000000000004"/>
    <n v="9.1999999999999993"/>
  </r>
  <r>
    <s v="334-64-2006"/>
    <x v="62"/>
    <d v="1899-12-30T14:22:00"/>
    <n v="3"/>
    <s v="March"/>
    <s v="A"/>
    <s v="Yangon"/>
    <s v="Member"/>
    <s v="Female"/>
    <x v="50"/>
    <s v="20-70"/>
    <s v="Home and lifestyle"/>
    <s v="Ewallet"/>
    <n v="70.319999999999993"/>
    <n v="2"/>
    <n v="7.032"/>
    <n v="147.672"/>
    <n v="140.63999999999999"/>
    <n v="4.7619047620000003"/>
    <n v="7.032"/>
    <n v="9.6"/>
  </r>
  <r>
    <s v="219-61-4139"/>
    <x v="54"/>
    <d v="1899-12-30T17:16:00"/>
    <n v="1"/>
    <s v="January"/>
    <s v="C"/>
    <s v="Naypyitaw"/>
    <s v="Normal"/>
    <s v="Male"/>
    <x v="11"/>
    <s v="&gt;70"/>
    <s v="Electronic accessories"/>
    <s v="Ewallet"/>
    <n v="83.08"/>
    <n v="1"/>
    <n v="4.1539999999999999"/>
    <n v="87.233999999999995"/>
    <n v="83.08"/>
    <n v="4.7619047620000003"/>
    <n v="4.1539999999999999"/>
    <n v="6.4"/>
  </r>
  <r>
    <s v="881-41-7302"/>
    <x v="53"/>
    <d v="1899-12-30T10:06:00"/>
    <n v="1"/>
    <s v="January"/>
    <s v="C"/>
    <s v="Naypyitaw"/>
    <s v="Normal"/>
    <s v="Female"/>
    <x v="14"/>
    <s v="&gt;70"/>
    <s v="Fashion accessories"/>
    <s v="Credit card"/>
    <n v="64.989999999999995"/>
    <n v="1"/>
    <n v="3.2494999999999998"/>
    <n v="68.239500000000007"/>
    <n v="64.989999999999995"/>
    <n v="4.7619047620000003"/>
    <n v="3.2494999999999998"/>
    <n v="4.5"/>
  </r>
  <r>
    <s v="373-09-4567"/>
    <x v="86"/>
    <d v="1899-12-30T20:35:00"/>
    <n v="3"/>
    <s v="March"/>
    <s v="C"/>
    <s v="Naypyitaw"/>
    <s v="Normal"/>
    <s v="Male"/>
    <x v="63"/>
    <s v="20-70"/>
    <s v="Food and beverages"/>
    <s v="Ewallet"/>
    <n v="77.56"/>
    <n v="10"/>
    <n v="38.78"/>
    <n v="814.38"/>
    <n v="775.6"/>
    <n v="4.7619047620000003"/>
    <n v="38.78"/>
    <n v="6.9"/>
  </r>
  <r>
    <s v="642-30-6693"/>
    <x v="85"/>
    <d v="1899-12-30T13:54:00"/>
    <n v="3"/>
    <s v="March"/>
    <s v="B"/>
    <s v="Mandalay"/>
    <s v="Normal"/>
    <s v="Female"/>
    <x v="57"/>
    <s v="&gt;70"/>
    <s v="Sports and travel"/>
    <s v="Ewallet"/>
    <n v="54.51"/>
    <n v="6"/>
    <n v="16.353000000000002"/>
    <n v="343.41300000000001"/>
    <n v="327.06"/>
    <n v="4.7619047620000003"/>
    <n v="16.353000000000002"/>
    <n v="7.8"/>
  </r>
  <r>
    <s v="484-22-8230"/>
    <x v="66"/>
    <d v="1899-12-30T20:08:00"/>
    <n v="1"/>
    <s v="January"/>
    <s v="C"/>
    <s v="Naypyitaw"/>
    <s v="Member"/>
    <s v="Female"/>
    <x v="69"/>
    <s v="20-70"/>
    <s v="Fashion accessories"/>
    <s v="Cash"/>
    <n v="51.89"/>
    <n v="7"/>
    <n v="18.1615"/>
    <n v="381.39150000000001"/>
    <n v="363.23"/>
    <n v="4.7619047620000003"/>
    <n v="18.1615"/>
    <n v="4.5"/>
  </r>
  <r>
    <s v="830-58-2383"/>
    <x v="4"/>
    <d v="1899-12-30T15:26:00"/>
    <n v="2"/>
    <s v="February"/>
    <s v="B"/>
    <s v="Mandalay"/>
    <s v="Normal"/>
    <s v="Male"/>
    <x v="35"/>
    <s v="20-70"/>
    <s v="Home and lifestyle"/>
    <s v="Cash"/>
    <n v="31.75"/>
    <n v="4"/>
    <n v="6.35"/>
    <n v="133.35"/>
    <n v="127"/>
    <n v="4.7619047620000003"/>
    <n v="6.35"/>
    <n v="8.6"/>
  </r>
  <r>
    <s v="559-98-9873"/>
    <x v="34"/>
    <d v="1899-12-30T12:56:00"/>
    <n v="2"/>
    <s v="February"/>
    <s v="A"/>
    <s v="Yangon"/>
    <s v="Member"/>
    <s v="Female"/>
    <x v="45"/>
    <s v="20-70"/>
    <s v="Fashion accessories"/>
    <s v="Ewallet"/>
    <n v="53.65"/>
    <n v="7"/>
    <n v="18.7775"/>
    <n v="394.32749999999999"/>
    <n v="375.55"/>
    <n v="4.7619047620000003"/>
    <n v="18.7775"/>
    <n v="5.2"/>
  </r>
  <r>
    <s v="544-32-5024"/>
    <x v="61"/>
    <d v="1899-12-30T19:16:00"/>
    <n v="3"/>
    <s v="March"/>
    <s v="C"/>
    <s v="Naypyitaw"/>
    <s v="Member"/>
    <s v="Female"/>
    <x v="73"/>
    <s v="20-70"/>
    <s v="Food and beverages"/>
    <s v="Credit card"/>
    <n v="49.79"/>
    <n v="4"/>
    <n v="9.9580000000000002"/>
    <n v="209.11799999999999"/>
    <n v="199.16"/>
    <n v="4.7619047620000003"/>
    <n v="9.9580000000000002"/>
    <n v="6.4"/>
  </r>
  <r>
    <s v="318-12-0304"/>
    <x v="54"/>
    <d v="1899-12-30T12:20:00"/>
    <n v="1"/>
    <s v="January"/>
    <s v="A"/>
    <s v="Yangon"/>
    <s v="Normal"/>
    <s v="Male"/>
    <x v="43"/>
    <s v="20-70"/>
    <s v="Fashion accessories"/>
    <s v="Ewallet"/>
    <n v="30.61"/>
    <n v="1"/>
    <n v="1.5305"/>
    <n v="32.140500000000003"/>
    <n v="30.61"/>
    <n v="4.7619047620000003"/>
    <n v="1.5305"/>
    <n v="5.2"/>
  </r>
  <r>
    <s v="349-97-8902"/>
    <x v="29"/>
    <d v="1899-12-30T10:37:00"/>
    <n v="1"/>
    <s v="January"/>
    <s v="B"/>
    <s v="Mandalay"/>
    <s v="Member"/>
    <s v="Male"/>
    <x v="33"/>
    <s v="20-70"/>
    <s v="Food and beverages"/>
    <s v="Ewallet"/>
    <n v="57.89"/>
    <n v="2"/>
    <n v="5.7889999999999997"/>
    <n v="121.569"/>
    <n v="115.78"/>
    <n v="4.7619047620000003"/>
    <n v="5.7889999999999997"/>
    <n v="8.9"/>
  </r>
  <r>
    <s v="421-95-9805"/>
    <x v="13"/>
    <d v="1899-12-30T10:18:00"/>
    <n v="2"/>
    <s v="February"/>
    <s v="A"/>
    <s v="Yangon"/>
    <s v="Normal"/>
    <s v="Female"/>
    <x v="50"/>
    <s v="20-70"/>
    <s v="Electronic accessories"/>
    <s v="Credit card"/>
    <n v="28.96"/>
    <n v="1"/>
    <n v="1.448"/>
    <n v="30.408000000000001"/>
    <n v="28.96"/>
    <n v="4.7619047620000003"/>
    <n v="1.448"/>
    <n v="6.2"/>
  </r>
  <r>
    <s v="277-35-5865"/>
    <x v="11"/>
    <d v="1899-12-30T11:23:00"/>
    <n v="3"/>
    <s v="March"/>
    <s v="C"/>
    <s v="Naypyitaw"/>
    <s v="Member"/>
    <s v="Female"/>
    <x v="9"/>
    <s v="20-70"/>
    <s v="Food and beverages"/>
    <s v="Cash"/>
    <n v="98.97"/>
    <n v="9"/>
    <n v="44.536499999999997"/>
    <n v="935.26649999999995"/>
    <n v="890.73"/>
    <n v="4.7619047620000003"/>
    <n v="44.536499999999997"/>
    <n v="6.7"/>
  </r>
  <r>
    <s v="789-23-8625"/>
    <x v="46"/>
    <d v="1899-12-30T11:45:00"/>
    <n v="1"/>
    <s v="January"/>
    <s v="B"/>
    <s v="Mandalay"/>
    <s v="Member"/>
    <s v="Male"/>
    <x v="52"/>
    <s v="20-70"/>
    <s v="Fashion accessories"/>
    <s v="Cash"/>
    <n v="93.22"/>
    <n v="3"/>
    <n v="13.983000000000001"/>
    <n v="293.64299999999997"/>
    <n v="279.66000000000003"/>
    <n v="4.7619047620000003"/>
    <n v="13.983000000000001"/>
    <n v="7.2"/>
  </r>
  <r>
    <s v="284-54-4231"/>
    <x v="64"/>
    <d v="1899-12-30T16:08:00"/>
    <n v="1"/>
    <s v="January"/>
    <s v="C"/>
    <s v="Naypyitaw"/>
    <s v="Member"/>
    <s v="Male"/>
    <x v="46"/>
    <s v="20-70"/>
    <s v="Sports and travel"/>
    <s v="Credit card"/>
    <n v="80.930000000000007"/>
    <n v="1"/>
    <n v="4.0465"/>
    <n v="84.976500000000001"/>
    <n v="80.930000000000007"/>
    <n v="4.7619047620000003"/>
    <n v="4.0465"/>
    <n v="9"/>
  </r>
  <r>
    <s v="443-59-0061"/>
    <x v="36"/>
    <d v="1899-12-30T11:25:00"/>
    <n v="2"/>
    <s v="February"/>
    <s v="A"/>
    <s v="Yangon"/>
    <s v="Member"/>
    <s v="Male"/>
    <x v="3"/>
    <s v="20-70"/>
    <s v="Food and beverages"/>
    <s v="Ewallet"/>
    <n v="67.45"/>
    <n v="10"/>
    <n v="33.725000000000001"/>
    <n v="708.22500000000002"/>
    <n v="674.5"/>
    <n v="4.7619047620000003"/>
    <n v="33.725000000000001"/>
    <n v="4.2"/>
  </r>
  <r>
    <s v="509-29-3912"/>
    <x v="80"/>
    <d v="1899-12-30T12:24:00"/>
    <n v="3"/>
    <s v="March"/>
    <s v="A"/>
    <s v="Yangon"/>
    <s v="Member"/>
    <s v="Female"/>
    <x v="0"/>
    <s v="&lt;20"/>
    <s v="Sports and travel"/>
    <s v="Ewallet"/>
    <n v="38.72"/>
    <n v="9"/>
    <n v="17.423999999999999"/>
    <n v="365.904"/>
    <n v="348.48"/>
    <n v="4.7619047620000003"/>
    <n v="17.423999999999999"/>
    <n v="4.2"/>
  </r>
  <r>
    <s v="327-40-9673"/>
    <x v="50"/>
    <d v="1899-12-30T19:51:00"/>
    <n v="1"/>
    <s v="January"/>
    <s v="B"/>
    <s v="Mandalay"/>
    <s v="Member"/>
    <s v="Male"/>
    <x v="14"/>
    <s v="&gt;70"/>
    <s v="Sports and travel"/>
    <s v="Cash"/>
    <n v="72.599999999999994"/>
    <n v="6"/>
    <n v="21.78"/>
    <n v="457.38"/>
    <n v="435.6"/>
    <n v="4.7619047620000003"/>
    <n v="21.78"/>
    <n v="6.9"/>
  </r>
  <r>
    <s v="840-19-2096"/>
    <x v="86"/>
    <d v="1899-12-30T18:10:00"/>
    <n v="3"/>
    <s v="March"/>
    <s v="C"/>
    <s v="Naypyitaw"/>
    <s v="Member"/>
    <s v="Male"/>
    <x v="19"/>
    <s v="20-70"/>
    <s v="Electronic accessories"/>
    <s v="Ewallet"/>
    <n v="87.91"/>
    <n v="5"/>
    <n v="21.977499999999999"/>
    <n v="461.52749999999997"/>
    <n v="439.55"/>
    <n v="4.7619047620000003"/>
    <n v="21.977499999999999"/>
    <n v="4.4000000000000004"/>
  </r>
  <r>
    <s v="828-46-6863"/>
    <x v="54"/>
    <d v="1899-12-30T11:22:00"/>
    <n v="1"/>
    <s v="January"/>
    <s v="A"/>
    <s v="Yangon"/>
    <s v="Member"/>
    <s v="Male"/>
    <x v="21"/>
    <s v="20-70"/>
    <s v="Food and beverages"/>
    <s v="Credit card"/>
    <n v="98.53"/>
    <n v="6"/>
    <n v="29.559000000000001"/>
    <n v="620.73900000000003"/>
    <n v="591.17999999999995"/>
    <n v="4.7619047620000003"/>
    <n v="29.559000000000001"/>
    <n v="4"/>
  </r>
  <r>
    <s v="641-96-3695"/>
    <x v="13"/>
    <d v="1899-12-30T17:55:00"/>
    <n v="2"/>
    <s v="February"/>
    <s v="C"/>
    <s v="Naypyitaw"/>
    <s v="Member"/>
    <s v="Female"/>
    <x v="9"/>
    <s v="20-70"/>
    <s v="Fashion accessories"/>
    <s v="Ewallet"/>
    <n v="43.46"/>
    <n v="6"/>
    <n v="13.038"/>
    <n v="273.798"/>
    <n v="260.76"/>
    <n v="4.7619047620000003"/>
    <n v="13.038"/>
    <n v="8.5"/>
  </r>
  <r>
    <s v="420-97-3340"/>
    <x v="61"/>
    <d v="1899-12-30T15:30:00"/>
    <n v="3"/>
    <s v="March"/>
    <s v="A"/>
    <s v="Yangon"/>
    <s v="Normal"/>
    <s v="Female"/>
    <x v="46"/>
    <s v="20-70"/>
    <s v="Food and beverages"/>
    <s v="Credit card"/>
    <n v="71.680000000000007"/>
    <n v="3"/>
    <n v="10.752000000000001"/>
    <n v="225.792"/>
    <n v="215.04"/>
    <n v="4.7619047620000003"/>
    <n v="10.752000000000001"/>
    <n v="9.1999999999999993"/>
  </r>
  <r>
    <s v="436-54-4512"/>
    <x v="80"/>
    <d v="1899-12-30T19:44:00"/>
    <n v="3"/>
    <s v="March"/>
    <s v="A"/>
    <s v="Yangon"/>
    <s v="Member"/>
    <s v="Female"/>
    <x v="14"/>
    <s v="&gt;70"/>
    <s v="Food and beverages"/>
    <s v="Cash"/>
    <n v="91.61"/>
    <n v="1"/>
    <n v="4.5804999999999998"/>
    <n v="96.1905"/>
    <n v="91.61"/>
    <n v="4.7619047620000003"/>
    <n v="4.5804999999999998"/>
    <n v="9.8000000000000007"/>
  </r>
  <r>
    <s v="670-79-6321"/>
    <x v="29"/>
    <d v="1899-12-30T15:27:00"/>
    <n v="1"/>
    <s v="January"/>
    <s v="B"/>
    <s v="Mandalay"/>
    <s v="Member"/>
    <s v="Female"/>
    <x v="14"/>
    <s v="&gt;70"/>
    <s v="Home and lifestyle"/>
    <s v="Credit card"/>
    <n v="94.59"/>
    <n v="7"/>
    <n v="33.106499999999997"/>
    <n v="695.23649999999998"/>
    <n v="662.13"/>
    <n v="4.7619047620000003"/>
    <n v="33.106499999999997"/>
    <n v="4.9000000000000004"/>
  </r>
  <r>
    <s v="852-62-7105"/>
    <x v="52"/>
    <d v="1899-12-30T11:25:00"/>
    <n v="1"/>
    <s v="January"/>
    <s v="B"/>
    <s v="Mandalay"/>
    <s v="Normal"/>
    <s v="Female"/>
    <x v="41"/>
    <s v="&gt;70"/>
    <s v="Fashion accessories"/>
    <s v="Credit card"/>
    <n v="83.25"/>
    <n v="10"/>
    <n v="41.625"/>
    <n v="874.125"/>
    <n v="832.5"/>
    <n v="4.7619047620000003"/>
    <n v="41.625"/>
    <n v="4.4000000000000004"/>
  </r>
  <r>
    <s v="598-06-7312"/>
    <x v="69"/>
    <d v="1899-12-30T15:42:00"/>
    <n v="2"/>
    <s v="February"/>
    <s v="B"/>
    <s v="Mandalay"/>
    <s v="Member"/>
    <s v="Male"/>
    <x v="64"/>
    <s v="20-70"/>
    <s v="Fashion accessories"/>
    <s v="Cash"/>
    <n v="91.35"/>
    <n v="1"/>
    <n v="4.5674999999999999"/>
    <n v="95.917500000000004"/>
    <n v="91.35"/>
    <n v="4.7619047620000003"/>
    <n v="4.5674999999999999"/>
    <n v="6.8"/>
  </r>
  <r>
    <s v="135-13-8269"/>
    <x v="53"/>
    <d v="1899-12-30T16:04:00"/>
    <n v="1"/>
    <s v="January"/>
    <s v="B"/>
    <s v="Mandalay"/>
    <s v="Member"/>
    <s v="Female"/>
    <x v="67"/>
    <s v="20-70"/>
    <s v="Food and beverages"/>
    <s v="Cash"/>
    <n v="78.88"/>
    <n v="2"/>
    <n v="7.8879999999999999"/>
    <n v="165.648"/>
    <n v="157.76"/>
    <n v="4.7619047620000003"/>
    <n v="7.8879999999999999"/>
    <n v="9.1"/>
  </r>
  <r>
    <s v="816-57-2053"/>
    <x v="11"/>
    <d v="1899-12-30T12:37:00"/>
    <n v="3"/>
    <s v="March"/>
    <s v="A"/>
    <s v="Yangon"/>
    <s v="Normal"/>
    <s v="Male"/>
    <x v="8"/>
    <s v="20-70"/>
    <s v="Sports and travel"/>
    <s v="Ewallet"/>
    <n v="60.87"/>
    <n v="2"/>
    <n v="6.0869999999999997"/>
    <n v="127.827"/>
    <n v="121.74"/>
    <n v="4.7619047620000003"/>
    <n v="6.0869999999999997"/>
    <n v="8.6999999999999993"/>
  </r>
  <r>
    <s v="628-90-8624"/>
    <x v="86"/>
    <d v="1899-12-30T14:41:00"/>
    <n v="3"/>
    <s v="March"/>
    <s v="B"/>
    <s v="Mandalay"/>
    <s v="Member"/>
    <s v="Male"/>
    <x v="30"/>
    <s v="&gt;70"/>
    <s v="Health and beauty"/>
    <s v="Cash"/>
    <n v="82.58"/>
    <n v="10"/>
    <n v="41.29"/>
    <n v="867.09"/>
    <n v="825.8"/>
    <n v="4.7619047620000003"/>
    <n v="41.29"/>
    <n v="5"/>
  </r>
  <r>
    <s v="856-66-2701"/>
    <x v="25"/>
    <d v="1899-12-30T14:19:00"/>
    <n v="1"/>
    <s v="January"/>
    <s v="A"/>
    <s v="Yangon"/>
    <s v="Member"/>
    <s v="Male"/>
    <x v="10"/>
    <s v="20-70"/>
    <s v="Home and lifestyle"/>
    <s v="Ewallet"/>
    <n v="53.3"/>
    <n v="3"/>
    <n v="7.9950000000000001"/>
    <n v="167.89500000000001"/>
    <n v="159.9"/>
    <n v="4.7619047620000003"/>
    <n v="7.9950000000000001"/>
    <n v="7.5"/>
  </r>
  <r>
    <s v="308-39-1707"/>
    <x v="53"/>
    <d v="1899-12-30T18:19:00"/>
    <n v="1"/>
    <s v="January"/>
    <s v="A"/>
    <s v="Yangon"/>
    <s v="Normal"/>
    <s v="Female"/>
    <x v="57"/>
    <s v="&gt;70"/>
    <s v="Fashion accessories"/>
    <s v="Credit card"/>
    <n v="12.09"/>
    <n v="1"/>
    <n v="0.60450000000000004"/>
    <n v="12.6945"/>
    <n v="12.09"/>
    <n v="4.7619047620000003"/>
    <n v="0.60450000000000004"/>
    <n v="8.1999999999999993"/>
  </r>
  <r>
    <s v="149-61-1929"/>
    <x v="64"/>
    <d v="1899-12-30T14:08:00"/>
    <n v="1"/>
    <s v="January"/>
    <s v="A"/>
    <s v="Yangon"/>
    <s v="Normal"/>
    <s v="Male"/>
    <x v="73"/>
    <s v="20-70"/>
    <s v="Sports and travel"/>
    <s v="Credit card"/>
    <n v="64.19"/>
    <n v="10"/>
    <n v="32.094999999999999"/>
    <n v="673.995"/>
    <n v="641.9"/>
    <n v="4.7619047620000003"/>
    <n v="32.094999999999999"/>
    <n v="6.7"/>
  </r>
  <r>
    <s v="655-07-2265"/>
    <x v="19"/>
    <d v="1899-12-30T16:38:00"/>
    <n v="3"/>
    <s v="March"/>
    <s v="A"/>
    <s v="Yangon"/>
    <s v="Normal"/>
    <s v="Male"/>
    <x v="30"/>
    <s v="&gt;70"/>
    <s v="Electronic accessories"/>
    <s v="Ewallet"/>
    <n v="78.31"/>
    <n v="3"/>
    <n v="11.746499999999999"/>
    <n v="246.6765"/>
    <n v="234.93"/>
    <n v="4.7619047620000003"/>
    <n v="11.746499999999999"/>
    <n v="5.4"/>
  </r>
  <r>
    <s v="589-02-8023"/>
    <x v="15"/>
    <d v="1899-12-30T10:54:00"/>
    <n v="1"/>
    <s v="January"/>
    <s v="A"/>
    <s v="Yangon"/>
    <s v="Member"/>
    <s v="Male"/>
    <x v="17"/>
    <s v="&gt;70"/>
    <s v="Food and beverages"/>
    <s v="Credit card"/>
    <n v="83.77"/>
    <n v="2"/>
    <n v="8.3770000000000007"/>
    <n v="175.917"/>
    <n v="167.54"/>
    <n v="4.7619047620000003"/>
    <n v="8.3770000000000007"/>
    <n v="7"/>
  </r>
  <r>
    <s v="420-04-7590"/>
    <x v="79"/>
    <d v="1899-12-30T11:29:00"/>
    <n v="3"/>
    <s v="March"/>
    <s v="B"/>
    <s v="Mandalay"/>
    <s v="Normal"/>
    <s v="Male"/>
    <x v="25"/>
    <s v="20-70"/>
    <s v="Home and lifestyle"/>
    <s v="Ewallet"/>
    <n v="99.7"/>
    <n v="3"/>
    <n v="14.955"/>
    <n v="314.05500000000001"/>
    <n v="299.10000000000002"/>
    <n v="4.7619047620000003"/>
    <n v="14.955"/>
    <n v="4.7"/>
  </r>
  <r>
    <s v="182-88-2763"/>
    <x v="80"/>
    <d v="1899-12-30T19:28:00"/>
    <n v="3"/>
    <s v="March"/>
    <s v="B"/>
    <s v="Mandalay"/>
    <s v="Member"/>
    <s v="Male"/>
    <x v="23"/>
    <s v="20-70"/>
    <s v="Food and beverages"/>
    <s v="Credit card"/>
    <n v="79.91"/>
    <n v="3"/>
    <n v="11.986499999999999"/>
    <n v="251.7165"/>
    <n v="239.73"/>
    <n v="4.7619047620000003"/>
    <n v="11.986499999999999"/>
    <n v="5"/>
  </r>
  <r>
    <s v="188-55-0967"/>
    <x v="15"/>
    <d v="1899-12-30T15:01:00"/>
    <n v="1"/>
    <s v="January"/>
    <s v="B"/>
    <s v="Mandalay"/>
    <s v="Member"/>
    <s v="Male"/>
    <x v="20"/>
    <s v="&lt;20"/>
    <s v="Health and beauty"/>
    <s v="Credit card"/>
    <n v="66.47"/>
    <n v="10"/>
    <n v="33.234999999999999"/>
    <n v="697.93499999999995"/>
    <n v="664.7"/>
    <n v="4.7619047620000003"/>
    <n v="33.234999999999999"/>
    <n v="5"/>
  </r>
  <r>
    <s v="610-46-4100"/>
    <x v="2"/>
    <d v="1899-12-30T20:31:00"/>
    <n v="3"/>
    <s v="March"/>
    <s v="A"/>
    <s v="Yangon"/>
    <s v="Normal"/>
    <s v="Male"/>
    <x v="16"/>
    <s v="&lt;20"/>
    <s v="Health and beauty"/>
    <s v="Credit card"/>
    <n v="28.95"/>
    <n v="7"/>
    <n v="10.1325"/>
    <n v="212.7825"/>
    <n v="202.65"/>
    <n v="4.7619047620000003"/>
    <n v="10.1325"/>
    <n v="6"/>
  </r>
  <r>
    <s v="318-81-2368"/>
    <x v="35"/>
    <d v="1899-12-30T12:16:00"/>
    <n v="3"/>
    <s v="March"/>
    <s v="C"/>
    <s v="Naypyitaw"/>
    <s v="Normal"/>
    <s v="Female"/>
    <x v="51"/>
    <s v="20-70"/>
    <s v="Electronic accessories"/>
    <s v="Cash"/>
    <n v="46.2"/>
    <n v="1"/>
    <n v="2.31"/>
    <n v="48.51"/>
    <n v="46.2"/>
    <n v="4.7619047620000003"/>
    <n v="2.31"/>
    <n v="6.3"/>
  </r>
  <r>
    <s v="364-33-8584"/>
    <x v="1"/>
    <d v="1899-12-30T15:27:00"/>
    <n v="3"/>
    <s v="March"/>
    <s v="B"/>
    <s v="Mandalay"/>
    <s v="Member"/>
    <s v="Female"/>
    <x v="57"/>
    <s v="&gt;70"/>
    <s v="Food and beverages"/>
    <s v="Cash"/>
    <n v="17.63"/>
    <n v="5"/>
    <n v="4.4074999999999998"/>
    <n v="92.557500000000005"/>
    <n v="88.15"/>
    <n v="4.7619047620000003"/>
    <n v="4.4074999999999998"/>
    <n v="8.5"/>
  </r>
  <r>
    <s v="665-63-9737"/>
    <x v="33"/>
    <d v="1899-12-30T17:36:00"/>
    <n v="2"/>
    <s v="February"/>
    <s v="B"/>
    <s v="Mandalay"/>
    <s v="Normal"/>
    <s v="Male"/>
    <x v="52"/>
    <s v="20-70"/>
    <s v="Fashion accessories"/>
    <s v="Ewallet"/>
    <n v="52.42"/>
    <n v="3"/>
    <n v="7.8630000000000004"/>
    <n v="165.12299999999999"/>
    <n v="157.26"/>
    <n v="4.7619047620000003"/>
    <n v="7.8630000000000004"/>
    <n v="7.5"/>
  </r>
  <r>
    <s v="695-09-5146"/>
    <x v="55"/>
    <d v="1899-12-30T20:00:00"/>
    <n v="2"/>
    <s v="February"/>
    <s v="B"/>
    <s v="Mandalay"/>
    <s v="Member"/>
    <s v="Female"/>
    <x v="9"/>
    <s v="20-70"/>
    <s v="Food and beverages"/>
    <s v="Ewallet"/>
    <n v="98.79"/>
    <n v="3"/>
    <n v="14.8185"/>
    <n v="311.18849999999998"/>
    <n v="296.37"/>
    <n v="4.7619047620000003"/>
    <n v="14.8185"/>
    <n v="6.4"/>
  </r>
  <r>
    <s v="155-45-3814"/>
    <x v="35"/>
    <d v="1899-12-30T15:29:00"/>
    <n v="3"/>
    <s v="March"/>
    <s v="C"/>
    <s v="Naypyitaw"/>
    <s v="Member"/>
    <s v="Female"/>
    <x v="69"/>
    <s v="20-70"/>
    <s v="Electronic accessories"/>
    <s v="Ewallet"/>
    <n v="88.55"/>
    <n v="8"/>
    <n v="35.42"/>
    <n v="743.82"/>
    <n v="708.4"/>
    <n v="4.7619047620000003"/>
    <n v="35.42"/>
    <n v="4.7"/>
  </r>
  <r>
    <s v="794-32-2436"/>
    <x v="39"/>
    <d v="1899-12-30T15:08:00"/>
    <n v="3"/>
    <s v="March"/>
    <s v="B"/>
    <s v="Mandalay"/>
    <s v="Member"/>
    <s v="Male"/>
    <x v="24"/>
    <s v="20-70"/>
    <s v="Electronic accessories"/>
    <s v="Ewallet"/>
    <n v="55.67"/>
    <n v="2"/>
    <n v="5.5670000000000002"/>
    <n v="116.907"/>
    <n v="111.34"/>
    <n v="4.7619047620000003"/>
    <n v="5.5670000000000002"/>
    <n v="6"/>
  </r>
  <r>
    <s v="131-15-8856"/>
    <x v="73"/>
    <d v="1899-12-30T19:26:00"/>
    <n v="3"/>
    <s v="March"/>
    <s v="C"/>
    <s v="Naypyitaw"/>
    <s v="Member"/>
    <s v="Female"/>
    <x v="34"/>
    <s v="&gt;70"/>
    <s v="Food and beverages"/>
    <s v="Credit card"/>
    <n v="72.52"/>
    <n v="8"/>
    <n v="29.007999999999999"/>
    <n v="609.16800000000001"/>
    <n v="580.16"/>
    <n v="4.7619047620000003"/>
    <n v="29.007999999999999"/>
    <n v="4"/>
  </r>
  <r>
    <s v="273-84-2164"/>
    <x v="69"/>
    <d v="1899-12-30T15:53:00"/>
    <n v="2"/>
    <s v="February"/>
    <s v="C"/>
    <s v="Naypyitaw"/>
    <s v="Member"/>
    <s v="Male"/>
    <x v="54"/>
    <s v="20-70"/>
    <s v="Electronic accessories"/>
    <s v="Ewallet"/>
    <n v="12.05"/>
    <n v="5"/>
    <n v="3.0125000000000002"/>
    <n v="63.262500000000003"/>
    <n v="60.25"/>
    <n v="4.7619047620000003"/>
    <n v="3.0125000000000002"/>
    <n v="5.5"/>
  </r>
  <r>
    <s v="706-36-6154"/>
    <x v="68"/>
    <d v="1899-12-30T18:43:00"/>
    <n v="1"/>
    <s v="January"/>
    <s v="A"/>
    <s v="Yangon"/>
    <s v="Member"/>
    <s v="Male"/>
    <x v="9"/>
    <s v="20-70"/>
    <s v="Home and lifestyle"/>
    <s v="Ewallet"/>
    <n v="19.36"/>
    <n v="9"/>
    <n v="8.7119999999999997"/>
    <n v="182.952"/>
    <n v="174.24"/>
    <n v="4.7619047620000003"/>
    <n v="8.7119999999999997"/>
    <n v="8.6999999999999993"/>
  </r>
  <r>
    <s v="778-89-7974"/>
    <x v="73"/>
    <d v="1899-12-30T14:58:00"/>
    <n v="3"/>
    <s v="March"/>
    <s v="C"/>
    <s v="Naypyitaw"/>
    <s v="Normal"/>
    <s v="Male"/>
    <x v="71"/>
    <s v="&gt;70"/>
    <s v="Health and beauty"/>
    <s v="Cash"/>
    <n v="70.209999999999994"/>
    <n v="6"/>
    <n v="21.062999999999999"/>
    <n v="442.32299999999998"/>
    <n v="421.26"/>
    <n v="4.7619047620000003"/>
    <n v="21.062999999999999"/>
    <n v="7.4"/>
  </r>
  <r>
    <s v="574-31-8277"/>
    <x v="80"/>
    <d v="1899-12-30T19:55:00"/>
    <n v="3"/>
    <s v="March"/>
    <s v="B"/>
    <s v="Mandalay"/>
    <s v="Member"/>
    <s v="Male"/>
    <x v="7"/>
    <s v="&gt;70"/>
    <s v="Fashion accessories"/>
    <s v="Cash"/>
    <n v="33.630000000000003"/>
    <n v="1"/>
    <n v="1.6815"/>
    <n v="35.311500000000002"/>
    <n v="33.630000000000003"/>
    <n v="4.7619047620000003"/>
    <n v="1.6815"/>
    <n v="5.6"/>
  </r>
  <r>
    <s v="859-71-0933"/>
    <x v="65"/>
    <d v="1899-12-30T15:10:00"/>
    <n v="1"/>
    <s v="January"/>
    <s v="C"/>
    <s v="Naypyitaw"/>
    <s v="Member"/>
    <s v="Female"/>
    <x v="35"/>
    <s v="20-70"/>
    <s v="Sports and travel"/>
    <s v="Cash"/>
    <n v="15.49"/>
    <n v="2"/>
    <n v="1.5489999999999999"/>
    <n v="32.529000000000003"/>
    <n v="30.98"/>
    <n v="4.7619047620000003"/>
    <n v="1.5489999999999999"/>
    <n v="6.3"/>
  </r>
  <r>
    <s v="740-11-5257"/>
    <x v="7"/>
    <d v="1899-12-30T16:44:00"/>
    <n v="2"/>
    <s v="February"/>
    <s v="C"/>
    <s v="Naypyitaw"/>
    <s v="Normal"/>
    <s v="Male"/>
    <x v="68"/>
    <s v="20-70"/>
    <s v="Electronic accessories"/>
    <s v="Cash"/>
    <n v="24.74"/>
    <n v="10"/>
    <n v="12.37"/>
    <n v="259.77"/>
    <n v="247.4"/>
    <n v="4.7619047620000003"/>
    <n v="12.37"/>
    <n v="7.1"/>
  </r>
  <r>
    <s v="369-82-2676"/>
    <x v="15"/>
    <d v="1899-12-30T18:22:00"/>
    <n v="1"/>
    <s v="January"/>
    <s v="B"/>
    <s v="Mandalay"/>
    <s v="Normal"/>
    <s v="Male"/>
    <x v="74"/>
    <s v="&gt;70"/>
    <s v="Electronic accessories"/>
    <s v="Ewallet"/>
    <n v="75.66"/>
    <n v="5"/>
    <n v="18.914999999999999"/>
    <n v="397.21499999999997"/>
    <n v="378.3"/>
    <n v="4.7619047620000003"/>
    <n v="18.914999999999999"/>
    <n v="7.8"/>
  </r>
  <r>
    <s v="563-47-4072"/>
    <x v="49"/>
    <d v="1899-12-30T11:52:00"/>
    <n v="1"/>
    <s v="January"/>
    <s v="B"/>
    <s v="Mandalay"/>
    <s v="Normal"/>
    <s v="Female"/>
    <x v="39"/>
    <s v="20-70"/>
    <s v="Health and beauty"/>
    <s v="Cash"/>
    <n v="55.81"/>
    <n v="6"/>
    <n v="16.742999999999999"/>
    <n v="351.60300000000001"/>
    <n v="334.86"/>
    <n v="4.7619047620000003"/>
    <n v="16.742999999999999"/>
    <n v="9.9"/>
  </r>
  <r>
    <s v="742-04-5161"/>
    <x v="36"/>
    <d v="1899-12-30T17:24:00"/>
    <n v="2"/>
    <s v="February"/>
    <s v="A"/>
    <s v="Yangon"/>
    <s v="Member"/>
    <s v="Male"/>
    <x v="65"/>
    <s v="&gt;70"/>
    <s v="Home and lifestyle"/>
    <s v="Cash"/>
    <n v="72.78"/>
    <n v="10"/>
    <n v="36.39"/>
    <n v="764.19"/>
    <n v="727.8"/>
    <n v="4.7619047620000003"/>
    <n v="36.39"/>
    <n v="7.3"/>
  </r>
  <r>
    <s v="149-15-7606"/>
    <x v="43"/>
    <d v="1899-12-30T15:31:00"/>
    <n v="3"/>
    <s v="March"/>
    <s v="B"/>
    <s v="Mandalay"/>
    <s v="Member"/>
    <s v="Male"/>
    <x v="25"/>
    <s v="20-70"/>
    <s v="Sports and travel"/>
    <s v="Ewallet"/>
    <n v="37.32"/>
    <n v="9"/>
    <n v="16.794"/>
    <n v="352.67399999999998"/>
    <n v="335.88"/>
    <n v="4.7619047620000003"/>
    <n v="16.794"/>
    <n v="5.0999999999999996"/>
  </r>
  <r>
    <s v="133-77-3154"/>
    <x v="69"/>
    <d v="1899-12-30T18:04:00"/>
    <n v="2"/>
    <s v="February"/>
    <s v="B"/>
    <s v="Mandalay"/>
    <s v="Member"/>
    <s v="Male"/>
    <x v="65"/>
    <s v="&gt;70"/>
    <s v="Fashion accessories"/>
    <s v="Credit card"/>
    <n v="60.18"/>
    <n v="4"/>
    <n v="12.036"/>
    <n v="252.756"/>
    <n v="240.72"/>
    <n v="4.7619047620000003"/>
    <n v="12.036"/>
    <n v="9.4"/>
  </r>
  <r>
    <s v="169-52-4504"/>
    <x v="86"/>
    <d v="1899-12-30T14:13:00"/>
    <n v="3"/>
    <s v="March"/>
    <s v="A"/>
    <s v="Yangon"/>
    <s v="Normal"/>
    <s v="Female"/>
    <x v="63"/>
    <s v="20-70"/>
    <s v="Electronic accessories"/>
    <s v="Credit card"/>
    <n v="15.69"/>
    <n v="3"/>
    <n v="2.3534999999999999"/>
    <n v="49.423499999999997"/>
    <n v="47.07"/>
    <n v="4.7619047620000003"/>
    <n v="2.3534999999999999"/>
    <n v="5.8"/>
  </r>
  <r>
    <s v="250-81-7186"/>
    <x v="33"/>
    <d v="1899-12-30T10:23:00"/>
    <n v="2"/>
    <s v="February"/>
    <s v="C"/>
    <s v="Naypyitaw"/>
    <s v="Normal"/>
    <s v="Female"/>
    <x v="5"/>
    <s v="&gt;70"/>
    <s v="Electronic accessories"/>
    <s v="Credit card"/>
    <n v="99.69"/>
    <n v="1"/>
    <n v="4.9844999999999997"/>
    <n v="104.67449999999999"/>
    <n v="99.69"/>
    <n v="4.7619047620000003"/>
    <n v="4.9844999999999997"/>
    <n v="8"/>
  </r>
  <r>
    <s v="562-12-5430"/>
    <x v="68"/>
    <d v="1899-12-30T10:11:00"/>
    <n v="1"/>
    <s v="January"/>
    <s v="A"/>
    <s v="Yangon"/>
    <s v="Member"/>
    <s v="Female"/>
    <x v="36"/>
    <s v="&gt;70"/>
    <s v="Fashion accessories"/>
    <s v="Ewallet"/>
    <n v="88.15"/>
    <n v="3"/>
    <n v="13.2225"/>
    <n v="277.67250000000001"/>
    <n v="264.45"/>
    <n v="4.7619047620000003"/>
    <n v="13.2225"/>
    <n v="7.9"/>
  </r>
  <r>
    <s v="816-72-8853"/>
    <x v="71"/>
    <d v="1899-12-30T15:48:00"/>
    <n v="1"/>
    <s v="January"/>
    <s v="A"/>
    <s v="Yangon"/>
    <s v="Member"/>
    <s v="Female"/>
    <x v="57"/>
    <s v="&gt;70"/>
    <s v="Sports and travel"/>
    <s v="Cash"/>
    <n v="27.93"/>
    <n v="5"/>
    <n v="6.9824999999999999"/>
    <n v="146.63249999999999"/>
    <n v="139.65"/>
    <n v="4.7619047620000003"/>
    <n v="6.9824999999999999"/>
    <n v="5.9"/>
  </r>
  <r>
    <s v="491-38-3499"/>
    <x v="84"/>
    <d v="1899-12-30T17:46:00"/>
    <n v="2"/>
    <s v="February"/>
    <s v="A"/>
    <s v="Yangon"/>
    <s v="Member"/>
    <s v="Male"/>
    <x v="22"/>
    <s v="20-70"/>
    <s v="Fashion accessories"/>
    <s v="Credit card"/>
    <n v="55.45"/>
    <n v="1"/>
    <n v="2.7725"/>
    <n v="58.222499999999997"/>
    <n v="55.45"/>
    <n v="4.7619047620000003"/>
    <n v="2.7725"/>
    <n v="4.9000000000000004"/>
  </r>
  <r>
    <s v="322-02-2271"/>
    <x v="36"/>
    <d v="1899-12-30T11:46:00"/>
    <n v="2"/>
    <s v="February"/>
    <s v="B"/>
    <s v="Mandalay"/>
    <s v="Normal"/>
    <s v="Female"/>
    <x v="41"/>
    <s v="&gt;70"/>
    <s v="Sports and travel"/>
    <s v="Cash"/>
    <n v="42.97"/>
    <n v="3"/>
    <n v="6.4455"/>
    <n v="135.35550000000001"/>
    <n v="128.91"/>
    <n v="4.7619047620000003"/>
    <n v="6.4455"/>
    <n v="9.3000000000000007"/>
  </r>
  <r>
    <s v="842-29-4695"/>
    <x v="65"/>
    <d v="1899-12-30T12:07:00"/>
    <n v="1"/>
    <s v="January"/>
    <s v="C"/>
    <s v="Naypyitaw"/>
    <s v="Member"/>
    <s v="Male"/>
    <x v="47"/>
    <s v="20-70"/>
    <s v="Sports and travel"/>
    <s v="Credit card"/>
    <n v="17.14"/>
    <n v="7"/>
    <n v="5.9989999999999997"/>
    <n v="125.979"/>
    <n v="119.98"/>
    <n v="4.7619047620000003"/>
    <n v="5.9989999999999997"/>
    <n v="7.9"/>
  </r>
  <r>
    <s v="725-67-2480"/>
    <x v="62"/>
    <d v="1899-12-30T18:14:00"/>
    <n v="3"/>
    <s v="March"/>
    <s v="B"/>
    <s v="Mandalay"/>
    <s v="Member"/>
    <s v="Female"/>
    <x v="10"/>
    <s v="20-70"/>
    <s v="Fashion accessories"/>
    <s v="Credit card"/>
    <n v="58.75"/>
    <n v="6"/>
    <n v="17.625"/>
    <n v="370.125"/>
    <n v="352.5"/>
    <n v="4.7619047620000003"/>
    <n v="17.625"/>
    <n v="5.9"/>
  </r>
  <r>
    <s v="641-51-2661"/>
    <x v="12"/>
    <d v="1899-12-30T14:45:00"/>
    <n v="2"/>
    <s v="February"/>
    <s v="C"/>
    <s v="Naypyitaw"/>
    <s v="Member"/>
    <s v="Female"/>
    <x v="23"/>
    <s v="20-70"/>
    <s v="Food and beverages"/>
    <s v="Credit card"/>
    <n v="87.1"/>
    <n v="10"/>
    <n v="43.55"/>
    <n v="914.55"/>
    <n v="871"/>
    <n v="4.7619047620000003"/>
    <n v="43.55"/>
    <n v="9.9"/>
  </r>
  <r>
    <s v="714-02-3114"/>
    <x v="81"/>
    <d v="1899-12-30T11:39:00"/>
    <n v="2"/>
    <s v="February"/>
    <s v="C"/>
    <s v="Naypyitaw"/>
    <s v="Normal"/>
    <s v="Female"/>
    <x v="49"/>
    <s v="20-70"/>
    <s v="Sports and travel"/>
    <s v="Cash"/>
    <n v="98.8"/>
    <n v="2"/>
    <n v="9.8800000000000008"/>
    <n v="207.48"/>
    <n v="197.6"/>
    <n v="4.7619047620000003"/>
    <n v="9.8800000000000008"/>
    <n v="7.7"/>
  </r>
  <r>
    <s v="518-17-2983"/>
    <x v="87"/>
    <d v="1899-12-30T15:44:00"/>
    <n v="2"/>
    <s v="February"/>
    <s v="A"/>
    <s v="Yangon"/>
    <s v="Normal"/>
    <s v="Female"/>
    <x v="57"/>
    <s v="&gt;70"/>
    <s v="Fashion accessories"/>
    <s v="Ewallet"/>
    <n v="48.63"/>
    <n v="4"/>
    <n v="9.7260000000000009"/>
    <n v="204.24600000000001"/>
    <n v="194.52"/>
    <n v="4.7619047620000003"/>
    <n v="9.7260000000000009"/>
    <n v="7.6"/>
  </r>
  <r>
    <s v="779-42-2410"/>
    <x v="9"/>
    <d v="1899-12-30T13:06:00"/>
    <n v="2"/>
    <s v="February"/>
    <s v="B"/>
    <s v="Mandalay"/>
    <s v="Member"/>
    <s v="Male"/>
    <x v="23"/>
    <s v="20-70"/>
    <s v="Food and beverages"/>
    <s v="Ewallet"/>
    <n v="57.74"/>
    <n v="3"/>
    <n v="8.6609999999999996"/>
    <n v="181.881"/>
    <n v="173.22"/>
    <n v="4.7619047620000003"/>
    <n v="8.6609999999999996"/>
    <n v="7.7"/>
  </r>
  <r>
    <s v="190-14-3147"/>
    <x v="55"/>
    <d v="1899-12-30T20:43:00"/>
    <n v="2"/>
    <s v="February"/>
    <s v="B"/>
    <s v="Mandalay"/>
    <s v="Normal"/>
    <s v="Female"/>
    <x v="14"/>
    <s v="&gt;70"/>
    <s v="Health and beauty"/>
    <s v="Ewallet"/>
    <n v="17.97"/>
    <n v="4"/>
    <n v="3.5939999999999999"/>
    <n v="75.474000000000004"/>
    <n v="71.88"/>
    <n v="4.7619047620000003"/>
    <n v="3.5939999999999999"/>
    <n v="6.4"/>
  </r>
  <r>
    <s v="408-66-6712"/>
    <x v="69"/>
    <d v="1899-12-30T14:19:00"/>
    <n v="2"/>
    <s v="February"/>
    <s v="C"/>
    <s v="Naypyitaw"/>
    <s v="Member"/>
    <s v="Female"/>
    <x v="29"/>
    <s v="20-70"/>
    <s v="Health and beauty"/>
    <s v="Ewallet"/>
    <n v="47.71"/>
    <n v="6"/>
    <n v="14.313000000000001"/>
    <n v="300.57299999999998"/>
    <n v="286.26"/>
    <n v="4.7619047620000003"/>
    <n v="14.313000000000001"/>
    <n v="4.4000000000000004"/>
  </r>
  <r>
    <s v="679-22-6530"/>
    <x v="29"/>
    <d v="1899-12-30T10:01:00"/>
    <n v="1"/>
    <s v="January"/>
    <s v="B"/>
    <s v="Mandalay"/>
    <s v="Normal"/>
    <s v="Female"/>
    <x v="14"/>
    <s v="&gt;70"/>
    <s v="Sports and travel"/>
    <s v="Credit card"/>
    <n v="40.619999999999997"/>
    <n v="2"/>
    <n v="4.0620000000000003"/>
    <n v="85.302000000000007"/>
    <n v="81.239999999999995"/>
    <n v="4.7619047620000003"/>
    <n v="4.0620000000000003"/>
    <n v="4.0999999999999996"/>
  </r>
  <r>
    <s v="588-47-8641"/>
    <x v="78"/>
    <d v="1899-12-30T19:30:00"/>
    <n v="1"/>
    <s v="January"/>
    <s v="A"/>
    <s v="Yangon"/>
    <s v="Member"/>
    <s v="Male"/>
    <x v="39"/>
    <s v="20-70"/>
    <s v="Fashion accessories"/>
    <s v="Ewallet"/>
    <n v="56.04"/>
    <n v="10"/>
    <n v="28.02"/>
    <n v="588.41999999999996"/>
    <n v="560.4"/>
    <n v="4.7619047620000003"/>
    <n v="28.02"/>
    <n v="4.4000000000000004"/>
  </r>
  <r>
    <s v="642-61-4706"/>
    <x v="73"/>
    <d v="1899-12-30T16:34:00"/>
    <n v="3"/>
    <s v="March"/>
    <s v="B"/>
    <s v="Mandalay"/>
    <s v="Member"/>
    <s v="Male"/>
    <x v="20"/>
    <s v="&lt;20"/>
    <s v="Food and beverages"/>
    <s v="Cash"/>
    <n v="93.4"/>
    <n v="2"/>
    <n v="9.34"/>
    <n v="196.14"/>
    <n v="186.8"/>
    <n v="4.7619047620000003"/>
    <n v="9.34"/>
    <n v="5.5"/>
  </r>
  <r>
    <s v="576-31-4774"/>
    <x v="22"/>
    <d v="1899-12-30T13:10:00"/>
    <n v="3"/>
    <s v="March"/>
    <s v="B"/>
    <s v="Mandalay"/>
    <s v="Normal"/>
    <s v="Female"/>
    <x v="55"/>
    <s v="&gt;70"/>
    <s v="Health and beauty"/>
    <s v="Ewallet"/>
    <n v="73.41"/>
    <n v="3"/>
    <n v="11.0115"/>
    <n v="231.2415"/>
    <n v="220.23"/>
    <n v="4.7619047620000003"/>
    <n v="11.0115"/>
    <n v="4"/>
  </r>
  <r>
    <s v="556-41-6224"/>
    <x v="42"/>
    <d v="1899-12-30T17:10:00"/>
    <n v="2"/>
    <s v="February"/>
    <s v="C"/>
    <s v="Naypyitaw"/>
    <s v="Normal"/>
    <s v="Male"/>
    <x v="30"/>
    <s v="&gt;70"/>
    <s v="Health and beauty"/>
    <s v="Credit card"/>
    <n v="33.64"/>
    <n v="8"/>
    <n v="13.456"/>
    <n v="282.57600000000002"/>
    <n v="269.12"/>
    <n v="4.7619047620000003"/>
    <n v="13.456"/>
    <n v="9.3000000000000007"/>
  </r>
  <r>
    <s v="811-03-8790"/>
    <x v="59"/>
    <d v="1899-12-30T10:22:00"/>
    <n v="3"/>
    <s v="March"/>
    <s v="A"/>
    <s v="Yangon"/>
    <s v="Normal"/>
    <s v="Female"/>
    <x v="41"/>
    <s v="&gt;70"/>
    <s v="Electronic accessories"/>
    <s v="Credit card"/>
    <n v="45.48"/>
    <n v="10"/>
    <n v="22.74"/>
    <n v="477.54"/>
    <n v="454.8"/>
    <n v="4.7619047620000003"/>
    <n v="22.74"/>
    <n v="4.8"/>
  </r>
  <r>
    <s v="242-11-3142"/>
    <x v="7"/>
    <d v="1899-12-30T19:57:00"/>
    <n v="2"/>
    <s v="February"/>
    <s v="B"/>
    <s v="Mandalay"/>
    <s v="Member"/>
    <s v="Male"/>
    <x v="52"/>
    <s v="20-70"/>
    <s v="Fashion accessories"/>
    <s v="Cash"/>
    <n v="83.77"/>
    <n v="2"/>
    <n v="8.3770000000000007"/>
    <n v="175.917"/>
    <n v="167.54"/>
    <n v="4.7619047620000003"/>
    <n v="8.3770000000000007"/>
    <n v="4.5999999999999996"/>
  </r>
  <r>
    <s v="752-23-3760"/>
    <x v="88"/>
    <d v="1899-12-30T19:29:00"/>
    <n v="2"/>
    <s v="February"/>
    <s v="B"/>
    <s v="Mandalay"/>
    <s v="Member"/>
    <s v="Female"/>
    <x v="36"/>
    <s v="&gt;70"/>
    <s v="Sports and travel"/>
    <s v="Credit card"/>
    <n v="64.08"/>
    <n v="7"/>
    <n v="22.428000000000001"/>
    <n v="470.988"/>
    <n v="448.56"/>
    <n v="4.7619047620000003"/>
    <n v="22.428000000000001"/>
    <n v="7.3"/>
  </r>
  <r>
    <s v="274-05-5470"/>
    <x v="55"/>
    <d v="1899-12-30T18:30:00"/>
    <n v="2"/>
    <s v="February"/>
    <s v="A"/>
    <s v="Yangon"/>
    <s v="Member"/>
    <s v="Female"/>
    <x v="39"/>
    <s v="20-70"/>
    <s v="Food and beverages"/>
    <s v="Cash"/>
    <n v="73.47"/>
    <n v="4"/>
    <n v="14.694000000000001"/>
    <n v="308.57400000000001"/>
    <n v="293.88"/>
    <n v="4.7619047620000003"/>
    <n v="14.694000000000001"/>
    <n v="6"/>
  </r>
  <r>
    <s v="648-94-3045"/>
    <x v="13"/>
    <d v="1899-12-30T14:27:00"/>
    <n v="2"/>
    <s v="February"/>
    <s v="C"/>
    <s v="Naypyitaw"/>
    <s v="Normal"/>
    <s v="Male"/>
    <x v="73"/>
    <s v="20-70"/>
    <s v="Health and beauty"/>
    <s v="Ewallet"/>
    <n v="58.95"/>
    <n v="10"/>
    <n v="29.475000000000001"/>
    <n v="618.97500000000002"/>
    <n v="589.5"/>
    <n v="4.7619047620000003"/>
    <n v="29.475000000000001"/>
    <n v="8.1"/>
  </r>
  <r>
    <s v="130-67-4723"/>
    <x v="83"/>
    <d v="1899-12-30T13:57:00"/>
    <n v="1"/>
    <s v="January"/>
    <s v="A"/>
    <s v="Yangon"/>
    <s v="Member"/>
    <s v="Male"/>
    <x v="50"/>
    <s v="20-70"/>
    <s v="Food and beverages"/>
    <s v="Ewallet"/>
    <n v="48.5"/>
    <n v="6"/>
    <n v="14.55"/>
    <n v="305.55"/>
    <n v="291"/>
    <n v="4.7619047620000003"/>
    <n v="14.55"/>
    <n v="9.4"/>
  </r>
  <r>
    <s v="528-87-5606"/>
    <x v="12"/>
    <d v="1899-12-30T19:43:00"/>
    <n v="2"/>
    <s v="February"/>
    <s v="B"/>
    <s v="Mandalay"/>
    <s v="Member"/>
    <s v="Female"/>
    <x v="33"/>
    <s v="20-70"/>
    <s v="Electronic accessories"/>
    <s v="Cash"/>
    <n v="39.479999999999997"/>
    <n v="1"/>
    <n v="1.974"/>
    <n v="41.454000000000001"/>
    <n v="39.479999999999997"/>
    <n v="4.7619047620000003"/>
    <n v="1.974"/>
    <n v="6.5"/>
  </r>
  <r>
    <s v="320-85-2052"/>
    <x v="78"/>
    <d v="1899-12-30T10:11:00"/>
    <n v="1"/>
    <s v="January"/>
    <s v="B"/>
    <s v="Mandalay"/>
    <s v="Normal"/>
    <s v="Female"/>
    <x v="24"/>
    <s v="20-70"/>
    <s v="Sports and travel"/>
    <s v="Credit card"/>
    <n v="34.81"/>
    <n v="1"/>
    <n v="1.7404999999999999"/>
    <n v="36.5505"/>
    <n v="34.81"/>
    <n v="4.7619047620000003"/>
    <n v="1.7404999999999999"/>
    <n v="7"/>
  </r>
  <r>
    <s v="370-96-0655"/>
    <x v="51"/>
    <d v="1899-12-30T13:46:00"/>
    <n v="1"/>
    <s v="January"/>
    <s v="C"/>
    <s v="Naypyitaw"/>
    <s v="Normal"/>
    <s v="Female"/>
    <x v="2"/>
    <s v="20-70"/>
    <s v="Fashion accessories"/>
    <s v="Ewallet"/>
    <n v="49.32"/>
    <n v="6"/>
    <n v="14.795999999999999"/>
    <n v="310.71600000000001"/>
    <n v="295.92"/>
    <n v="4.7619047620000003"/>
    <n v="14.795999999999999"/>
    <n v="7.1"/>
  </r>
  <r>
    <s v="105-10-6182"/>
    <x v="33"/>
    <d v="1899-12-30T12:22:00"/>
    <n v="2"/>
    <s v="February"/>
    <s v="A"/>
    <s v="Yangon"/>
    <s v="Member"/>
    <s v="Male"/>
    <x v="14"/>
    <s v="&gt;70"/>
    <s v="Fashion accessories"/>
    <s v="Ewallet"/>
    <n v="21.48"/>
    <n v="2"/>
    <n v="2.1480000000000001"/>
    <n v="45.107999999999997"/>
    <n v="42.96"/>
    <n v="4.7619047620000003"/>
    <n v="2.1480000000000001"/>
    <n v="6.6"/>
  </r>
  <r>
    <s v="510-79-0415"/>
    <x v="46"/>
    <d v="1899-12-30T19:20:00"/>
    <n v="1"/>
    <s v="January"/>
    <s v="B"/>
    <s v="Mandalay"/>
    <s v="Member"/>
    <s v="Female"/>
    <x v="31"/>
    <s v="&gt;70"/>
    <s v="Sports and travel"/>
    <s v="Ewallet"/>
    <n v="23.08"/>
    <n v="6"/>
    <n v="6.9240000000000004"/>
    <n v="145.404"/>
    <n v="138.47999999999999"/>
    <n v="4.7619047620000003"/>
    <n v="6.9240000000000004"/>
    <n v="4.9000000000000004"/>
  </r>
  <r>
    <s v="241-96-5076"/>
    <x v="66"/>
    <d v="1899-12-30T12:58:00"/>
    <n v="1"/>
    <s v="January"/>
    <s v="B"/>
    <s v="Mandalay"/>
    <s v="Member"/>
    <s v="Female"/>
    <x v="43"/>
    <s v="20-70"/>
    <s v="Home and lifestyle"/>
    <s v="Credit card"/>
    <n v="49.1"/>
    <n v="2"/>
    <n v="4.91"/>
    <n v="103.11"/>
    <n v="98.2"/>
    <n v="4.7619047620000003"/>
    <n v="4.91"/>
    <n v="6.4"/>
  </r>
  <r>
    <s v="767-97-4650"/>
    <x v="66"/>
    <d v="1899-12-30T11:59:00"/>
    <n v="1"/>
    <s v="January"/>
    <s v="B"/>
    <s v="Mandalay"/>
    <s v="Member"/>
    <s v="Female"/>
    <x v="33"/>
    <s v="20-70"/>
    <s v="Sports and travel"/>
    <s v="Credit card"/>
    <n v="64.83"/>
    <n v="2"/>
    <n v="6.4829999999999997"/>
    <n v="136.143"/>
    <n v="129.66"/>
    <n v="4.7619047620000003"/>
    <n v="6.4829999999999997"/>
    <n v="8"/>
  </r>
  <r>
    <s v="648-83-1321"/>
    <x v="65"/>
    <d v="1899-12-30T17:59:00"/>
    <n v="1"/>
    <s v="January"/>
    <s v="A"/>
    <s v="Yangon"/>
    <s v="Member"/>
    <s v="Male"/>
    <x v="45"/>
    <s v="20-70"/>
    <s v="Home and lifestyle"/>
    <s v="Cash"/>
    <n v="63.56"/>
    <n v="10"/>
    <n v="31.78"/>
    <n v="667.38"/>
    <n v="635.6"/>
    <n v="4.7619047620000003"/>
    <n v="31.78"/>
    <n v="4.3"/>
  </r>
  <r>
    <s v="173-57-2300"/>
    <x v="45"/>
    <d v="1899-12-30T12:51:00"/>
    <n v="3"/>
    <s v="March"/>
    <s v="C"/>
    <s v="Naypyitaw"/>
    <s v="Member"/>
    <s v="Male"/>
    <x v="57"/>
    <s v="&gt;70"/>
    <s v="Sports and travel"/>
    <s v="Cash"/>
    <n v="72.88"/>
    <n v="2"/>
    <n v="7.2880000000000003"/>
    <n v="153.048"/>
    <n v="145.76"/>
    <n v="4.7619047620000003"/>
    <n v="7.2880000000000003"/>
    <n v="6.1"/>
  </r>
  <r>
    <s v="305-03-2383"/>
    <x v="42"/>
    <d v="1899-12-30T10:36:00"/>
    <n v="2"/>
    <s v="February"/>
    <s v="A"/>
    <s v="Yangon"/>
    <s v="Normal"/>
    <s v="Female"/>
    <x v="20"/>
    <s v="&lt;20"/>
    <s v="Food and beverages"/>
    <s v="Cash"/>
    <n v="67.099999999999994"/>
    <n v="3"/>
    <n v="10.065"/>
    <n v="211.36500000000001"/>
    <n v="201.3"/>
    <n v="4.7619047620000003"/>
    <n v="10.065"/>
    <n v="7.5"/>
  </r>
  <r>
    <s v="394-55-6384"/>
    <x v="25"/>
    <d v="1899-12-30T13:38:00"/>
    <n v="1"/>
    <s v="January"/>
    <s v="C"/>
    <s v="Naypyitaw"/>
    <s v="Member"/>
    <s v="Female"/>
    <x v="53"/>
    <s v="20-70"/>
    <s v="Sports and travel"/>
    <s v="Cash"/>
    <n v="70.19"/>
    <n v="9"/>
    <n v="31.5855"/>
    <n v="663.29549999999995"/>
    <n v="631.71"/>
    <n v="4.7619047620000003"/>
    <n v="31.5855"/>
    <n v="6.7"/>
  </r>
  <r>
    <s v="266-20-6657"/>
    <x v="41"/>
    <d v="1899-12-30T19:39:00"/>
    <n v="3"/>
    <s v="March"/>
    <s v="C"/>
    <s v="Naypyitaw"/>
    <s v="Member"/>
    <s v="Male"/>
    <x v="59"/>
    <s v="20-70"/>
    <s v="Food and beverages"/>
    <s v="Ewallet"/>
    <n v="55.04"/>
    <n v="7"/>
    <n v="19.263999999999999"/>
    <n v="404.54399999999998"/>
    <n v="385.28"/>
    <n v="4.7619047620000003"/>
    <n v="19.263999999999999"/>
    <n v="5.2"/>
  </r>
  <r>
    <s v="689-05-1884"/>
    <x v="31"/>
    <d v="1899-12-30T12:44:00"/>
    <n v="3"/>
    <s v="March"/>
    <s v="A"/>
    <s v="Yangon"/>
    <s v="Member"/>
    <s v="Male"/>
    <x v="25"/>
    <s v="20-70"/>
    <s v="Health and beauty"/>
    <s v="Cash"/>
    <n v="48.63"/>
    <n v="10"/>
    <n v="24.315000000000001"/>
    <n v="510.61500000000001"/>
    <n v="486.3"/>
    <n v="4.7619047620000003"/>
    <n v="24.315000000000001"/>
    <n v="8.8000000000000007"/>
  </r>
  <r>
    <s v="196-01-2849"/>
    <x v="34"/>
    <d v="1899-12-30T13:56:00"/>
    <n v="2"/>
    <s v="February"/>
    <s v="C"/>
    <s v="Naypyitaw"/>
    <s v="Member"/>
    <s v="Female"/>
    <x v="31"/>
    <s v="&gt;70"/>
    <s v="Fashion accessories"/>
    <s v="Cash"/>
    <n v="73.38"/>
    <n v="7"/>
    <n v="25.683"/>
    <n v="539.34299999999996"/>
    <n v="513.66"/>
    <n v="4.7619047620000003"/>
    <n v="25.683"/>
    <n v="9.5"/>
  </r>
  <r>
    <s v="372-62-5264"/>
    <x v="65"/>
    <d v="1899-12-30T14:42:00"/>
    <n v="1"/>
    <s v="January"/>
    <s v="C"/>
    <s v="Naypyitaw"/>
    <s v="Normal"/>
    <s v="Female"/>
    <x v="54"/>
    <s v="20-70"/>
    <s v="Food and beverages"/>
    <s v="Cash"/>
    <n v="52.6"/>
    <n v="9"/>
    <n v="23.67"/>
    <n v="497.07"/>
    <n v="473.4"/>
    <n v="4.7619047620000003"/>
    <n v="23.67"/>
    <n v="7.6"/>
  </r>
  <r>
    <s v="800-09-8606"/>
    <x v="71"/>
    <d v="1899-12-30T19:45:00"/>
    <n v="1"/>
    <s v="January"/>
    <s v="A"/>
    <s v="Yangon"/>
    <s v="Member"/>
    <s v="Female"/>
    <x v="26"/>
    <s v="20-70"/>
    <s v="Home and lifestyle"/>
    <s v="Cash"/>
    <n v="87.37"/>
    <n v="5"/>
    <n v="21.842500000000001"/>
    <n v="458.6925"/>
    <n v="436.85"/>
    <n v="4.7619047620000003"/>
    <n v="21.842500000000001"/>
    <n v="6.6"/>
  </r>
  <r>
    <s v="182-52-7000"/>
    <x v="17"/>
    <d v="1899-12-30T20:26:00"/>
    <n v="1"/>
    <s v="January"/>
    <s v="A"/>
    <s v="Yangon"/>
    <s v="Member"/>
    <s v="Female"/>
    <x v="45"/>
    <s v="20-70"/>
    <s v="Sports and travel"/>
    <s v="Ewallet"/>
    <n v="27.04"/>
    <n v="4"/>
    <n v="5.4080000000000004"/>
    <n v="113.568"/>
    <n v="108.16"/>
    <n v="4.7619047620000003"/>
    <n v="5.4080000000000004"/>
    <n v="6.9"/>
  </r>
  <r>
    <s v="826-58-8051"/>
    <x v="47"/>
    <d v="1899-12-30T19:46:00"/>
    <n v="1"/>
    <s v="January"/>
    <s v="B"/>
    <s v="Mandalay"/>
    <s v="Normal"/>
    <s v="Male"/>
    <x v="36"/>
    <s v="&gt;70"/>
    <s v="Home and lifestyle"/>
    <s v="Ewallet"/>
    <n v="62.19"/>
    <n v="4"/>
    <n v="12.438000000000001"/>
    <n v="261.19799999999998"/>
    <n v="248.76"/>
    <n v="4.7619047620000003"/>
    <n v="12.438000000000001"/>
    <n v="4.3"/>
  </r>
  <r>
    <s v="868-06-0466"/>
    <x v="88"/>
    <d v="1899-12-30T19:38:00"/>
    <n v="2"/>
    <s v="February"/>
    <s v="A"/>
    <s v="Yangon"/>
    <s v="Member"/>
    <s v="Male"/>
    <x v="17"/>
    <s v="&gt;70"/>
    <s v="Electronic accessories"/>
    <s v="Credit card"/>
    <n v="69.58"/>
    <n v="9"/>
    <n v="31.311"/>
    <n v="657.53099999999995"/>
    <n v="626.22"/>
    <n v="4.7619047620000003"/>
    <n v="31.311"/>
    <n v="7.8"/>
  </r>
  <r>
    <s v="751-41-9720"/>
    <x v="52"/>
    <d v="1899-12-30T16:18:00"/>
    <n v="1"/>
    <s v="January"/>
    <s v="C"/>
    <s v="Naypyitaw"/>
    <s v="Normal"/>
    <s v="Male"/>
    <x v="36"/>
    <s v="&gt;70"/>
    <s v="Home and lifestyle"/>
    <s v="Ewallet"/>
    <n v="97.5"/>
    <n v="10"/>
    <n v="48.75"/>
    <n v="1023.75"/>
    <n v="975"/>
    <n v="4.7619047620000003"/>
    <n v="48.75"/>
    <n v="8"/>
  </r>
  <r>
    <s v="626-43-7888"/>
    <x v="13"/>
    <d v="1899-12-30T12:23:00"/>
    <n v="2"/>
    <s v="February"/>
    <s v="C"/>
    <s v="Naypyitaw"/>
    <s v="Normal"/>
    <s v="Female"/>
    <x v="54"/>
    <s v="20-70"/>
    <s v="Fashion accessories"/>
    <s v="Ewallet"/>
    <n v="60.41"/>
    <n v="8"/>
    <n v="24.164000000000001"/>
    <n v="507.44400000000002"/>
    <n v="483.28"/>
    <n v="4.7619047620000003"/>
    <n v="24.164000000000001"/>
    <n v="9.6"/>
  </r>
  <r>
    <s v="176-64-7711"/>
    <x v="39"/>
    <d v="1899-12-30T19:11:00"/>
    <n v="3"/>
    <s v="March"/>
    <s v="B"/>
    <s v="Mandalay"/>
    <s v="Normal"/>
    <s v="Male"/>
    <x v="43"/>
    <s v="20-70"/>
    <s v="Food and beverages"/>
    <s v="Credit card"/>
    <n v="32.32"/>
    <n v="3"/>
    <n v="4.8479999999999999"/>
    <n v="101.80800000000001"/>
    <n v="96.96"/>
    <n v="4.7619047620000003"/>
    <n v="4.8479999999999999"/>
    <n v="4.3"/>
  </r>
  <r>
    <s v="191-29-0321"/>
    <x v="33"/>
    <d v="1899-12-30T18:57:00"/>
    <n v="2"/>
    <s v="February"/>
    <s v="B"/>
    <s v="Mandalay"/>
    <s v="Member"/>
    <s v="Female"/>
    <x v="68"/>
    <s v="20-70"/>
    <s v="Fashion accessories"/>
    <s v="Credit card"/>
    <n v="19.77"/>
    <n v="10"/>
    <n v="9.8849999999999998"/>
    <n v="207.58500000000001"/>
    <n v="197.7"/>
    <n v="4.7619047620000003"/>
    <n v="9.8849999999999998"/>
    <n v="5"/>
  </r>
  <r>
    <s v="729-06-2010"/>
    <x v="47"/>
    <d v="1899-12-30T11:18:00"/>
    <n v="1"/>
    <s v="January"/>
    <s v="B"/>
    <s v="Mandalay"/>
    <s v="Member"/>
    <s v="Male"/>
    <x v="32"/>
    <s v="20-70"/>
    <s v="Health and beauty"/>
    <s v="Cash"/>
    <n v="80.47"/>
    <n v="9"/>
    <n v="36.211500000000001"/>
    <n v="760.44150000000002"/>
    <n v="724.23"/>
    <n v="4.7619047620000003"/>
    <n v="36.211500000000001"/>
    <n v="9.1999999999999993"/>
  </r>
  <r>
    <s v="640-48-5028"/>
    <x v="22"/>
    <d v="1899-12-30T12:40:00"/>
    <n v="3"/>
    <s v="March"/>
    <s v="B"/>
    <s v="Mandalay"/>
    <s v="Member"/>
    <s v="Female"/>
    <x v="70"/>
    <s v="&gt;70"/>
    <s v="Home and lifestyle"/>
    <s v="Cash"/>
    <n v="88.39"/>
    <n v="9"/>
    <n v="39.775500000000001"/>
    <n v="835.28549999999996"/>
    <n v="795.51"/>
    <n v="4.7619047620000003"/>
    <n v="39.775500000000001"/>
    <n v="6.3"/>
  </r>
  <r>
    <s v="186-79-9562"/>
    <x v="14"/>
    <d v="1899-12-30T14:06:00"/>
    <n v="3"/>
    <s v="March"/>
    <s v="B"/>
    <s v="Mandalay"/>
    <s v="Normal"/>
    <s v="Male"/>
    <x v="23"/>
    <s v="20-70"/>
    <s v="Health and beauty"/>
    <s v="Cash"/>
    <n v="71.77"/>
    <n v="7"/>
    <n v="25.119499999999999"/>
    <n v="527.5095"/>
    <n v="502.39"/>
    <n v="4.7619047620000003"/>
    <n v="25.119499999999999"/>
    <n v="8.9"/>
  </r>
  <r>
    <s v="834-45-5519"/>
    <x v="82"/>
    <d v="1899-12-30T20:48:00"/>
    <n v="1"/>
    <s v="January"/>
    <s v="B"/>
    <s v="Mandalay"/>
    <s v="Normal"/>
    <s v="Female"/>
    <x v="15"/>
    <s v="20-70"/>
    <s v="Electronic accessories"/>
    <s v="Ewallet"/>
    <n v="43"/>
    <n v="4"/>
    <n v="8.6"/>
    <n v="180.6"/>
    <n v="172"/>
    <n v="4.7619047620000003"/>
    <n v="8.6"/>
    <n v="7.6"/>
  </r>
  <r>
    <s v="162-65-8559"/>
    <x v="18"/>
    <d v="1899-12-30T20:13:00"/>
    <n v="1"/>
    <s v="January"/>
    <s v="C"/>
    <s v="Naypyitaw"/>
    <s v="Member"/>
    <s v="Male"/>
    <x v="8"/>
    <s v="20-70"/>
    <s v="Food and beverages"/>
    <s v="Cash"/>
    <n v="68.98"/>
    <n v="1"/>
    <n v="3.4489999999999998"/>
    <n v="72.429000000000002"/>
    <n v="68.98"/>
    <n v="4.7619047620000003"/>
    <n v="3.4489999999999998"/>
    <n v="4.8"/>
  </r>
  <r>
    <s v="760-27-5490"/>
    <x v="40"/>
    <d v="1899-12-30T20:37:00"/>
    <n v="1"/>
    <s v="January"/>
    <s v="C"/>
    <s v="Naypyitaw"/>
    <s v="Normal"/>
    <s v="Male"/>
    <x v="8"/>
    <s v="20-70"/>
    <s v="Fashion accessories"/>
    <s v="Ewallet"/>
    <n v="15.62"/>
    <n v="8"/>
    <n v="6.2480000000000002"/>
    <n v="131.208"/>
    <n v="124.96"/>
    <n v="4.7619047620000003"/>
    <n v="6.2480000000000002"/>
    <n v="9.1"/>
  </r>
  <r>
    <s v="445-30-9252"/>
    <x v="29"/>
    <d v="1899-12-30T17:59:00"/>
    <n v="1"/>
    <s v="January"/>
    <s v="A"/>
    <s v="Yangon"/>
    <s v="Normal"/>
    <s v="Male"/>
    <x v="67"/>
    <s v="20-70"/>
    <s v="Sports and travel"/>
    <s v="Ewallet"/>
    <n v="25.7"/>
    <n v="3"/>
    <n v="3.855"/>
    <n v="80.954999999999998"/>
    <n v="77.099999999999994"/>
    <n v="4.7619047620000003"/>
    <n v="3.855"/>
    <n v="6.1"/>
  </r>
  <r>
    <s v="786-94-2700"/>
    <x v="38"/>
    <d v="1899-12-30T20:18:00"/>
    <n v="2"/>
    <s v="February"/>
    <s v="A"/>
    <s v="Yangon"/>
    <s v="Member"/>
    <s v="Male"/>
    <x v="75"/>
    <s v="20-70"/>
    <s v="Food and beverages"/>
    <s v="Cash"/>
    <n v="80.62"/>
    <n v="6"/>
    <n v="24.186"/>
    <n v="507.90600000000001"/>
    <n v="483.72"/>
    <n v="4.7619047620000003"/>
    <n v="24.186"/>
    <n v="9.1"/>
  </r>
  <r>
    <s v="728-88-7867"/>
    <x v="35"/>
    <d v="1899-12-30T15:52:00"/>
    <n v="3"/>
    <s v="March"/>
    <s v="C"/>
    <s v="Naypyitaw"/>
    <s v="Member"/>
    <s v="Female"/>
    <x v="35"/>
    <s v="20-70"/>
    <s v="Home and lifestyle"/>
    <s v="Ewallet"/>
    <n v="75.53"/>
    <n v="4"/>
    <n v="15.106"/>
    <n v="317.226"/>
    <n v="302.12"/>
    <n v="4.7619047620000003"/>
    <n v="15.106"/>
    <n v="8.3000000000000007"/>
  </r>
  <r>
    <s v="183-21-3799"/>
    <x v="88"/>
    <d v="1899-12-30T15:14:00"/>
    <n v="2"/>
    <s v="February"/>
    <s v="C"/>
    <s v="Naypyitaw"/>
    <s v="Normal"/>
    <s v="Female"/>
    <x v="20"/>
    <s v="&lt;20"/>
    <s v="Electronic accessories"/>
    <s v="Ewallet"/>
    <n v="77.63"/>
    <n v="9"/>
    <n v="34.933500000000002"/>
    <n v="733.60350000000005"/>
    <n v="698.67"/>
    <n v="4.7619047620000003"/>
    <n v="34.933500000000002"/>
    <n v="7.2"/>
  </r>
  <r>
    <s v="268-20-3585"/>
    <x v="87"/>
    <d v="1899-12-30T12:50:00"/>
    <n v="2"/>
    <s v="February"/>
    <s v="C"/>
    <s v="Naypyitaw"/>
    <s v="Normal"/>
    <s v="Female"/>
    <x v="38"/>
    <s v="20-70"/>
    <s v="Health and beauty"/>
    <s v="Ewallet"/>
    <n v="13.85"/>
    <n v="9"/>
    <n v="6.2324999999999999"/>
    <n v="130.88249999999999"/>
    <n v="124.65"/>
    <n v="4.7619047620000003"/>
    <n v="6.2324999999999999"/>
    <n v="6"/>
  </r>
  <r>
    <s v="735-32-9839"/>
    <x v="82"/>
    <d v="1899-12-30T10:36:00"/>
    <n v="1"/>
    <s v="January"/>
    <s v="C"/>
    <s v="Naypyitaw"/>
    <s v="Member"/>
    <s v="Male"/>
    <x v="65"/>
    <s v="&gt;70"/>
    <s v="Fashion accessories"/>
    <s v="Ewallet"/>
    <n v="98.7"/>
    <n v="8"/>
    <n v="39.479999999999997"/>
    <n v="829.08"/>
    <n v="789.6"/>
    <n v="4.7619047620000003"/>
    <n v="39.479999999999997"/>
    <n v="8.5"/>
  </r>
  <r>
    <s v="258-92-7466"/>
    <x v="10"/>
    <d v="1899-12-30T18:33:00"/>
    <n v="2"/>
    <s v="February"/>
    <s v="A"/>
    <s v="Yangon"/>
    <s v="Normal"/>
    <s v="Female"/>
    <x v="73"/>
    <s v="20-70"/>
    <s v="Health and beauty"/>
    <s v="Credit card"/>
    <n v="35.68"/>
    <n v="5"/>
    <n v="8.92"/>
    <n v="187.32"/>
    <n v="178.4"/>
    <n v="4.7619047620000003"/>
    <n v="8.92"/>
    <n v="6.6"/>
  </r>
  <r>
    <s v="857-16-3520"/>
    <x v="61"/>
    <d v="1899-12-30T16:06:00"/>
    <n v="3"/>
    <s v="March"/>
    <s v="A"/>
    <s v="Yangon"/>
    <s v="Member"/>
    <s v="Female"/>
    <x v="57"/>
    <s v="&gt;70"/>
    <s v="Fashion accessories"/>
    <s v="Ewallet"/>
    <n v="71.459999999999994"/>
    <n v="7"/>
    <n v="25.010999999999999"/>
    <n v="525.23099999999999"/>
    <n v="500.22"/>
    <n v="4.7619047620000003"/>
    <n v="25.010999999999999"/>
    <n v="4.5"/>
  </r>
  <r>
    <s v="482-17-1179"/>
    <x v="64"/>
    <d v="1899-12-30T12:47:00"/>
    <n v="1"/>
    <s v="January"/>
    <s v="A"/>
    <s v="Yangon"/>
    <s v="Member"/>
    <s v="Male"/>
    <x v="30"/>
    <s v="&gt;70"/>
    <s v="Electronic accessories"/>
    <s v="Credit card"/>
    <n v="11.94"/>
    <n v="3"/>
    <n v="1.7909999999999999"/>
    <n v="37.610999999999997"/>
    <n v="35.82"/>
    <n v="4.7619047620000003"/>
    <n v="1.7909999999999999"/>
    <n v="8.1"/>
  </r>
  <r>
    <s v="788-21-5741"/>
    <x v="21"/>
    <d v="1899-12-30T13:34:00"/>
    <n v="2"/>
    <s v="February"/>
    <s v="A"/>
    <s v="Yangon"/>
    <s v="Normal"/>
    <s v="Male"/>
    <x v="61"/>
    <s v="20-70"/>
    <s v="Fashion accessories"/>
    <s v="Credit card"/>
    <n v="45.38"/>
    <n v="3"/>
    <n v="6.8070000000000004"/>
    <n v="142.947"/>
    <n v="136.13999999999999"/>
    <n v="4.7619047620000003"/>
    <n v="6.8070000000000004"/>
    <n v="7.2"/>
  </r>
  <r>
    <s v="821-14-9046"/>
    <x v="68"/>
    <d v="1899-12-30T15:04:00"/>
    <n v="1"/>
    <s v="January"/>
    <s v="B"/>
    <s v="Mandalay"/>
    <s v="Member"/>
    <s v="Female"/>
    <x v="40"/>
    <s v="20-70"/>
    <s v="Fashion accessories"/>
    <s v="Credit card"/>
    <n v="17.48"/>
    <n v="6"/>
    <n v="5.2439999999999998"/>
    <n v="110.124"/>
    <n v="104.88"/>
    <n v="4.7619047620000003"/>
    <n v="5.2439999999999998"/>
    <n v="6.1"/>
  </r>
  <r>
    <s v="418-05-0656"/>
    <x v="30"/>
    <d v="1899-12-30T20:42:00"/>
    <n v="2"/>
    <s v="February"/>
    <s v="B"/>
    <s v="Mandalay"/>
    <s v="Normal"/>
    <s v="Female"/>
    <x v="31"/>
    <s v="&gt;70"/>
    <s v="Fashion accessories"/>
    <s v="Cash"/>
    <n v="25.56"/>
    <n v="7"/>
    <n v="8.9459999999999997"/>
    <n v="187.86600000000001"/>
    <n v="178.92"/>
    <n v="4.7619047620000003"/>
    <n v="8.9459999999999997"/>
    <n v="7.1"/>
  </r>
  <r>
    <s v="678-79-0726"/>
    <x v="68"/>
    <d v="1899-12-30T15:28:00"/>
    <n v="1"/>
    <s v="January"/>
    <s v="C"/>
    <s v="Naypyitaw"/>
    <s v="Member"/>
    <s v="Female"/>
    <x v="22"/>
    <s v="20-70"/>
    <s v="Sports and travel"/>
    <s v="Cash"/>
    <n v="90.63"/>
    <n v="9"/>
    <n v="40.783499999999997"/>
    <n v="856.45349999999996"/>
    <n v="815.67"/>
    <n v="4.7619047620000003"/>
    <n v="40.783499999999997"/>
    <n v="5.0999999999999996"/>
  </r>
  <r>
    <s v="776-68-1096"/>
    <x v="79"/>
    <d v="1899-12-30T13:45:00"/>
    <n v="3"/>
    <s v="March"/>
    <s v="B"/>
    <s v="Mandalay"/>
    <s v="Normal"/>
    <s v="Male"/>
    <x v="19"/>
    <s v="20-70"/>
    <s v="Home and lifestyle"/>
    <s v="Credit card"/>
    <n v="44.12"/>
    <n v="3"/>
    <n v="6.6180000000000003"/>
    <n v="138.97800000000001"/>
    <n v="132.36000000000001"/>
    <n v="4.7619047620000003"/>
    <n v="6.6180000000000003"/>
    <n v="7.9"/>
  </r>
  <r>
    <s v="592-46-1692"/>
    <x v="83"/>
    <d v="1899-12-30T20:10:00"/>
    <n v="1"/>
    <s v="January"/>
    <s v="C"/>
    <s v="Naypyitaw"/>
    <s v="Member"/>
    <s v="Female"/>
    <x v="57"/>
    <s v="&gt;70"/>
    <s v="Food and beverages"/>
    <s v="Cash"/>
    <n v="36.770000000000003"/>
    <n v="7"/>
    <n v="12.8695"/>
    <n v="270.2595"/>
    <n v="257.39"/>
    <n v="4.7619047620000003"/>
    <n v="12.8695"/>
    <n v="7.4"/>
  </r>
  <r>
    <s v="434-35-9162"/>
    <x v="87"/>
    <d v="1899-12-30T18:53:00"/>
    <n v="2"/>
    <s v="February"/>
    <s v="B"/>
    <s v="Mandalay"/>
    <s v="Member"/>
    <s v="Male"/>
    <x v="6"/>
    <s v="20-70"/>
    <s v="Food and beverages"/>
    <s v="Ewallet"/>
    <n v="23.34"/>
    <n v="4"/>
    <n v="4.6680000000000001"/>
    <n v="98.028000000000006"/>
    <n v="93.36"/>
    <n v="4.7619047620000003"/>
    <n v="4.6680000000000001"/>
    <n v="7.4"/>
  </r>
  <r>
    <s v="149-14-0304"/>
    <x v="10"/>
    <d v="1899-12-30T14:24:00"/>
    <n v="2"/>
    <s v="February"/>
    <s v="C"/>
    <s v="Naypyitaw"/>
    <s v="Member"/>
    <s v="Female"/>
    <x v="20"/>
    <s v="&lt;20"/>
    <s v="Health and beauty"/>
    <s v="Cash"/>
    <n v="28.5"/>
    <n v="8"/>
    <n v="11.4"/>
    <n v="239.4"/>
    <n v="228"/>
    <n v="4.7619047620000003"/>
    <n v="11.4"/>
    <n v="6.6"/>
  </r>
  <r>
    <s v="442-44-6497"/>
    <x v="66"/>
    <d v="1899-12-30T11:42:00"/>
    <n v="1"/>
    <s v="January"/>
    <s v="C"/>
    <s v="Naypyitaw"/>
    <s v="Member"/>
    <s v="Male"/>
    <x v="34"/>
    <s v="&gt;70"/>
    <s v="Home and lifestyle"/>
    <s v="Credit card"/>
    <n v="55.57"/>
    <n v="3"/>
    <n v="8.3354999999999997"/>
    <n v="175.0455"/>
    <n v="166.71"/>
    <n v="4.7619047620000003"/>
    <n v="8.3354999999999997"/>
    <n v="5.9"/>
  </r>
  <r>
    <s v="174-64-0215"/>
    <x v="19"/>
    <d v="1899-12-30T17:49:00"/>
    <n v="3"/>
    <s v="March"/>
    <s v="B"/>
    <s v="Mandalay"/>
    <s v="Normal"/>
    <s v="Male"/>
    <x v="7"/>
    <s v="&gt;70"/>
    <s v="Sports and travel"/>
    <s v="Credit card"/>
    <n v="69.739999999999995"/>
    <n v="10"/>
    <n v="34.869999999999997"/>
    <n v="732.27"/>
    <n v="697.4"/>
    <n v="4.7619047620000003"/>
    <n v="34.869999999999997"/>
    <n v="8.9"/>
  </r>
  <r>
    <s v="210-74-9613"/>
    <x v="32"/>
    <d v="1899-12-30T15:33:00"/>
    <n v="3"/>
    <s v="March"/>
    <s v="C"/>
    <s v="Naypyitaw"/>
    <s v="Normal"/>
    <s v="Male"/>
    <x v="68"/>
    <s v="20-70"/>
    <s v="Fashion accessories"/>
    <s v="Ewallet"/>
    <n v="97.26"/>
    <n v="4"/>
    <n v="19.452000000000002"/>
    <n v="408.49200000000002"/>
    <n v="389.04"/>
    <n v="4.7619047620000003"/>
    <n v="19.452000000000002"/>
    <n v="6.8"/>
  </r>
  <r>
    <s v="299-29-0180"/>
    <x v="11"/>
    <d v="1899-12-30T10:54:00"/>
    <n v="3"/>
    <s v="March"/>
    <s v="B"/>
    <s v="Mandalay"/>
    <s v="Member"/>
    <s v="Female"/>
    <x v="54"/>
    <s v="20-70"/>
    <s v="Home and lifestyle"/>
    <s v="Cash"/>
    <n v="52.18"/>
    <n v="7"/>
    <n v="18.263000000000002"/>
    <n v="383.52300000000002"/>
    <n v="365.26"/>
    <n v="4.7619047620000003"/>
    <n v="18.263000000000002"/>
    <n v="9.3000000000000007"/>
  </r>
  <r>
    <s v="247-11-2470"/>
    <x v="59"/>
    <d v="1899-12-30T16:23:00"/>
    <n v="3"/>
    <s v="March"/>
    <s v="A"/>
    <s v="Yangon"/>
    <s v="Member"/>
    <s v="Female"/>
    <x v="10"/>
    <s v="20-70"/>
    <s v="Fashion accessories"/>
    <s v="Credit card"/>
    <n v="22.32"/>
    <n v="4"/>
    <n v="4.4640000000000004"/>
    <n v="93.744"/>
    <n v="89.28"/>
    <n v="4.7619047620000003"/>
    <n v="4.4640000000000004"/>
    <n v="4.4000000000000004"/>
  </r>
  <r>
    <s v="635-28-5728"/>
    <x v="38"/>
    <d v="1899-12-30T19:33:00"/>
    <n v="2"/>
    <s v="February"/>
    <s v="A"/>
    <s v="Yangon"/>
    <s v="Normal"/>
    <s v="Male"/>
    <x v="19"/>
    <s v="20-70"/>
    <s v="Health and beauty"/>
    <s v="Ewallet"/>
    <n v="56"/>
    <n v="3"/>
    <n v="8.4"/>
    <n v="176.4"/>
    <n v="168"/>
    <n v="4.7619047620000003"/>
    <n v="8.4"/>
    <n v="4.8"/>
  </r>
  <r>
    <s v="756-49-0168"/>
    <x v="4"/>
    <d v="1899-12-30T11:39:00"/>
    <n v="2"/>
    <s v="February"/>
    <s v="A"/>
    <s v="Yangon"/>
    <s v="Member"/>
    <s v="Male"/>
    <x v="8"/>
    <s v="20-70"/>
    <s v="Fashion accessories"/>
    <s v="Ewallet"/>
    <n v="19.7"/>
    <n v="1"/>
    <n v="0.98499999999999999"/>
    <n v="20.684999999999999"/>
    <n v="19.7"/>
    <n v="4.7619047620000003"/>
    <n v="0.98499999999999999"/>
    <n v="9.5"/>
  </r>
  <r>
    <s v="438-23-1242"/>
    <x v="46"/>
    <d v="1899-12-30T10:38:00"/>
    <n v="1"/>
    <s v="January"/>
    <s v="B"/>
    <s v="Mandalay"/>
    <s v="Normal"/>
    <s v="Male"/>
    <x v="10"/>
    <s v="20-70"/>
    <s v="Electronic accessories"/>
    <s v="Ewallet"/>
    <n v="75.88"/>
    <n v="7"/>
    <n v="26.558"/>
    <n v="557.71799999999996"/>
    <n v="531.16"/>
    <n v="4.7619047620000003"/>
    <n v="26.558"/>
    <n v="8.9"/>
  </r>
  <r>
    <s v="238-45-6950"/>
    <x v="59"/>
    <d v="1899-12-30T20:03:00"/>
    <n v="3"/>
    <s v="March"/>
    <s v="B"/>
    <s v="Mandalay"/>
    <s v="Member"/>
    <s v="Male"/>
    <x v="0"/>
    <s v="&lt;20"/>
    <s v="Food and beverages"/>
    <s v="Ewallet"/>
    <n v="53.72"/>
    <n v="1"/>
    <n v="2.6859999999999999"/>
    <n v="56.405999999999999"/>
    <n v="53.72"/>
    <n v="4.7619047620000003"/>
    <n v="2.6859999999999999"/>
    <n v="6.4"/>
  </r>
  <r>
    <s v="607-65-2441"/>
    <x v="24"/>
    <d v="1899-12-30T12:39:00"/>
    <n v="3"/>
    <s v="March"/>
    <s v="C"/>
    <s v="Naypyitaw"/>
    <s v="Member"/>
    <s v="Male"/>
    <x v="22"/>
    <s v="20-70"/>
    <s v="Health and beauty"/>
    <s v="Credit card"/>
    <n v="81.95"/>
    <n v="10"/>
    <n v="40.975000000000001"/>
    <n v="860.47500000000002"/>
    <n v="819.5"/>
    <n v="4.7619047620000003"/>
    <n v="40.975000000000001"/>
    <n v="6"/>
  </r>
  <r>
    <s v="386-27-7606"/>
    <x v="28"/>
    <d v="1899-12-30T15:59:00"/>
    <n v="3"/>
    <s v="March"/>
    <s v="C"/>
    <s v="Naypyitaw"/>
    <s v="Member"/>
    <s v="Female"/>
    <x v="17"/>
    <s v="&gt;70"/>
    <s v="Home and lifestyle"/>
    <s v="Credit card"/>
    <n v="81.2"/>
    <n v="7"/>
    <n v="28.42"/>
    <n v="596.82000000000005"/>
    <n v="568.4"/>
    <n v="4.7619047620000003"/>
    <n v="28.42"/>
    <n v="8.1"/>
  </r>
  <r>
    <s v="137-63-5492"/>
    <x v="71"/>
    <d v="1899-12-30T14:26:00"/>
    <n v="1"/>
    <s v="January"/>
    <s v="C"/>
    <s v="Naypyitaw"/>
    <s v="Normal"/>
    <s v="Male"/>
    <x v="60"/>
    <s v="&gt;70"/>
    <s v="Electronic accessories"/>
    <s v="Ewallet"/>
    <n v="58.76"/>
    <n v="10"/>
    <n v="29.38"/>
    <n v="616.98"/>
    <n v="587.6"/>
    <n v="4.7619047620000003"/>
    <n v="29.38"/>
    <n v="9"/>
  </r>
  <r>
    <s v="197-77-7132"/>
    <x v="52"/>
    <d v="1899-12-30T18:22:00"/>
    <n v="1"/>
    <s v="January"/>
    <s v="B"/>
    <s v="Mandalay"/>
    <s v="Member"/>
    <s v="Male"/>
    <x v="66"/>
    <s v="&lt;20"/>
    <s v="Electronic accessories"/>
    <s v="Ewallet"/>
    <n v="91.56"/>
    <n v="8"/>
    <n v="36.624000000000002"/>
    <n v="769.10400000000004"/>
    <n v="732.48"/>
    <n v="4.7619047620000003"/>
    <n v="36.624000000000002"/>
    <n v="6"/>
  </r>
  <r>
    <s v="805-86-0265"/>
    <x v="80"/>
    <d v="1899-12-30T11:32:00"/>
    <n v="3"/>
    <s v="March"/>
    <s v="A"/>
    <s v="Yangon"/>
    <s v="Normal"/>
    <s v="Male"/>
    <x v="41"/>
    <s v="&gt;70"/>
    <s v="Home and lifestyle"/>
    <s v="Cash"/>
    <n v="93.96"/>
    <n v="9"/>
    <n v="42.281999999999996"/>
    <n v="887.92200000000003"/>
    <n v="845.64"/>
    <n v="4.7619047620000003"/>
    <n v="42.281999999999996"/>
    <n v="9.8000000000000007"/>
  </r>
  <r>
    <s v="733-29-1227"/>
    <x v="28"/>
    <d v="1899-12-30T12:41:00"/>
    <n v="3"/>
    <s v="March"/>
    <s v="C"/>
    <s v="Naypyitaw"/>
    <s v="Normal"/>
    <s v="Male"/>
    <x v="13"/>
    <s v="&gt;70"/>
    <s v="Home and lifestyle"/>
    <s v="Cash"/>
    <n v="55.61"/>
    <n v="7"/>
    <n v="19.4635"/>
    <n v="408.73349999999999"/>
    <n v="389.27"/>
    <n v="4.7619047620000003"/>
    <n v="19.4635"/>
    <n v="8.5"/>
  </r>
  <r>
    <s v="451-73-2711"/>
    <x v="78"/>
    <d v="1899-12-30T15:20:00"/>
    <n v="1"/>
    <s v="January"/>
    <s v="C"/>
    <s v="Naypyitaw"/>
    <s v="Normal"/>
    <s v="Male"/>
    <x v="20"/>
    <s v="&lt;20"/>
    <s v="Food and beverages"/>
    <s v="Ewallet"/>
    <n v="84.83"/>
    <n v="1"/>
    <n v="4.2415000000000003"/>
    <n v="89.0715"/>
    <n v="84.83"/>
    <n v="4.7619047620000003"/>
    <n v="4.2415000000000003"/>
    <n v="8.8000000000000007"/>
  </r>
  <r>
    <s v="373-14-0504"/>
    <x v="12"/>
    <d v="1899-12-30T14:33:00"/>
    <n v="2"/>
    <s v="February"/>
    <s v="A"/>
    <s v="Yangon"/>
    <s v="Member"/>
    <s v="Female"/>
    <x v="4"/>
    <s v="20-70"/>
    <s v="Sports and travel"/>
    <s v="Ewallet"/>
    <n v="71.63"/>
    <n v="2"/>
    <n v="7.1630000000000003"/>
    <n v="150.423"/>
    <n v="143.26"/>
    <n v="4.7619047620000003"/>
    <n v="7.1630000000000003"/>
    <n v="8.8000000000000007"/>
  </r>
  <r>
    <s v="546-80-2899"/>
    <x v="9"/>
    <d v="1899-12-30T15:29:00"/>
    <n v="2"/>
    <s v="February"/>
    <s v="A"/>
    <s v="Yangon"/>
    <s v="Member"/>
    <s v="Male"/>
    <x v="58"/>
    <s v="20-70"/>
    <s v="Home and lifestyle"/>
    <s v="Ewallet"/>
    <n v="37.69"/>
    <n v="2"/>
    <n v="3.7690000000000001"/>
    <n v="79.149000000000001"/>
    <n v="75.38"/>
    <n v="4.7619047620000003"/>
    <n v="3.7690000000000001"/>
    <n v="9.5"/>
  </r>
  <r>
    <s v="345-68-9016"/>
    <x v="56"/>
    <d v="1899-12-30T16:19:00"/>
    <n v="1"/>
    <s v="January"/>
    <s v="C"/>
    <s v="Naypyitaw"/>
    <s v="Member"/>
    <s v="Female"/>
    <x v="16"/>
    <s v="&lt;20"/>
    <s v="Sports and travel"/>
    <s v="Credit card"/>
    <n v="31.67"/>
    <n v="8"/>
    <n v="12.667999999999999"/>
    <n v="266.02800000000002"/>
    <n v="253.36"/>
    <n v="4.7619047620000003"/>
    <n v="12.667999999999999"/>
    <n v="5.6"/>
  </r>
  <r>
    <s v="390-17-5806"/>
    <x v="30"/>
    <d v="1899-12-30T16:33:00"/>
    <n v="2"/>
    <s v="February"/>
    <s v="C"/>
    <s v="Naypyitaw"/>
    <s v="Member"/>
    <s v="Female"/>
    <x v="51"/>
    <s v="20-70"/>
    <s v="Food and beverages"/>
    <s v="Cash"/>
    <n v="38.42"/>
    <n v="1"/>
    <n v="1.921"/>
    <n v="40.341000000000001"/>
    <n v="38.42"/>
    <n v="4.7619047620000003"/>
    <n v="1.921"/>
    <n v="8.6"/>
  </r>
  <r>
    <s v="457-13-1708"/>
    <x v="66"/>
    <d v="1899-12-30T19:07:00"/>
    <n v="1"/>
    <s v="January"/>
    <s v="B"/>
    <s v="Mandalay"/>
    <s v="Member"/>
    <s v="Male"/>
    <x v="17"/>
    <s v="&gt;70"/>
    <s v="Fashion accessories"/>
    <s v="Credit card"/>
    <n v="65.23"/>
    <n v="10"/>
    <n v="32.615000000000002"/>
    <n v="684.91499999999996"/>
    <n v="652.29999999999995"/>
    <n v="4.7619047620000003"/>
    <n v="32.615000000000002"/>
    <n v="5.2"/>
  </r>
  <r>
    <s v="664-14-2882"/>
    <x v="74"/>
    <d v="1899-12-30T14:43:00"/>
    <n v="1"/>
    <s v="January"/>
    <s v="C"/>
    <s v="Naypyitaw"/>
    <s v="Member"/>
    <s v="Female"/>
    <x v="44"/>
    <s v="20-70"/>
    <s v="Home and lifestyle"/>
    <s v="Credit card"/>
    <n v="10.53"/>
    <n v="5"/>
    <n v="2.6324999999999998"/>
    <n v="55.282499999999999"/>
    <n v="52.65"/>
    <n v="4.7619047620000003"/>
    <n v="2.6324999999999998"/>
    <n v="5.8"/>
  </r>
  <r>
    <s v="487-79-6868"/>
    <x v="58"/>
    <d v="1899-12-30T19:28:00"/>
    <n v="3"/>
    <s v="March"/>
    <s v="B"/>
    <s v="Mandalay"/>
    <s v="Member"/>
    <s v="Female"/>
    <x v="33"/>
    <s v="20-70"/>
    <s v="Home and lifestyle"/>
    <s v="Credit card"/>
    <n v="12.29"/>
    <n v="9"/>
    <n v="5.5305"/>
    <n v="116.1405"/>
    <n v="110.61"/>
    <n v="4.7619047620000003"/>
    <n v="5.5305"/>
    <n v="8"/>
  </r>
  <r>
    <s v="314-23-4520"/>
    <x v="15"/>
    <d v="1899-12-30T20:44:00"/>
    <n v="1"/>
    <s v="January"/>
    <s v="C"/>
    <s v="Naypyitaw"/>
    <s v="Member"/>
    <s v="Male"/>
    <x v="26"/>
    <s v="20-70"/>
    <s v="Health and beauty"/>
    <s v="Cash"/>
    <n v="81.23"/>
    <n v="7"/>
    <n v="28.430499999999999"/>
    <n v="597.04049999999995"/>
    <n v="568.61"/>
    <n v="4.7619047620000003"/>
    <n v="28.430499999999999"/>
    <n v="9"/>
  </r>
  <r>
    <s v="210-30-7976"/>
    <x v="86"/>
    <d v="1899-12-30T11:16:00"/>
    <n v="3"/>
    <s v="March"/>
    <s v="B"/>
    <s v="Mandalay"/>
    <s v="Member"/>
    <s v="Female"/>
    <x v="69"/>
    <s v="20-70"/>
    <s v="Fashion accessories"/>
    <s v="Ewallet"/>
    <n v="22.32"/>
    <n v="4"/>
    <n v="4.4640000000000004"/>
    <n v="93.744"/>
    <n v="89.28"/>
    <n v="4.7619047620000003"/>
    <n v="4.4640000000000004"/>
    <n v="4.0999999999999996"/>
  </r>
  <r>
    <s v="585-86-8361"/>
    <x v="36"/>
    <d v="1899-12-30T10:31:00"/>
    <n v="2"/>
    <s v="February"/>
    <s v="A"/>
    <s v="Yangon"/>
    <s v="Normal"/>
    <s v="Female"/>
    <x v="32"/>
    <s v="20-70"/>
    <s v="Food and beverages"/>
    <s v="Credit card"/>
    <n v="27.28"/>
    <n v="5"/>
    <n v="6.82"/>
    <n v="143.22"/>
    <n v="136.4"/>
    <n v="4.7619047620000003"/>
    <n v="6.82"/>
    <n v="8.6"/>
  </r>
  <r>
    <s v="807-14-7833"/>
    <x v="70"/>
    <d v="1899-12-30T12:30:00"/>
    <n v="2"/>
    <s v="February"/>
    <s v="A"/>
    <s v="Yangon"/>
    <s v="Member"/>
    <s v="Female"/>
    <x v="36"/>
    <s v="&gt;70"/>
    <s v="Electronic accessories"/>
    <s v="Ewallet"/>
    <n v="17.420000000000002"/>
    <n v="10"/>
    <n v="8.7100000000000009"/>
    <n v="182.91"/>
    <n v="174.2"/>
    <n v="4.7619047620000003"/>
    <n v="8.7100000000000009"/>
    <n v="7"/>
  </r>
  <r>
    <s v="775-72-1988"/>
    <x v="46"/>
    <d v="1899-12-30T15:05:00"/>
    <n v="1"/>
    <s v="January"/>
    <s v="B"/>
    <s v="Mandalay"/>
    <s v="Normal"/>
    <s v="Male"/>
    <x v="64"/>
    <s v="20-70"/>
    <s v="Home and lifestyle"/>
    <s v="Ewallet"/>
    <n v="73.28"/>
    <n v="5"/>
    <n v="18.32"/>
    <n v="384.72"/>
    <n v="366.4"/>
    <n v="4.7619047620000003"/>
    <n v="18.32"/>
    <n v="8.4"/>
  </r>
  <r>
    <s v="288-38-3758"/>
    <x v="25"/>
    <d v="1899-12-30T18:30:00"/>
    <n v="1"/>
    <s v="January"/>
    <s v="C"/>
    <s v="Naypyitaw"/>
    <s v="Member"/>
    <s v="Female"/>
    <x v="65"/>
    <s v="&gt;70"/>
    <s v="Fashion accessories"/>
    <s v="Ewallet"/>
    <n v="84.87"/>
    <n v="3"/>
    <n v="12.730499999999999"/>
    <n v="267.34050000000002"/>
    <n v="254.61"/>
    <n v="4.7619047620000003"/>
    <n v="12.730499999999999"/>
    <n v="7.4"/>
  </r>
  <r>
    <s v="652-43-6591"/>
    <x v="11"/>
    <d v="1899-12-30T13:18:00"/>
    <n v="3"/>
    <s v="March"/>
    <s v="A"/>
    <s v="Yangon"/>
    <s v="Normal"/>
    <s v="Female"/>
    <x v="25"/>
    <s v="20-70"/>
    <s v="Fashion accessories"/>
    <s v="Credit card"/>
    <n v="97.29"/>
    <n v="8"/>
    <n v="38.915999999999997"/>
    <n v="817.23599999999999"/>
    <n v="778.32"/>
    <n v="4.7619047620000003"/>
    <n v="38.915999999999997"/>
    <n v="6.2"/>
  </r>
  <r>
    <s v="785-96-0615"/>
    <x v="21"/>
    <d v="1899-12-30T15:28:00"/>
    <n v="2"/>
    <s v="February"/>
    <s v="B"/>
    <s v="Mandalay"/>
    <s v="Member"/>
    <s v="Female"/>
    <x v="21"/>
    <s v="20-70"/>
    <s v="Electronic accessories"/>
    <s v="Ewallet"/>
    <n v="35.74"/>
    <n v="8"/>
    <n v="14.295999999999999"/>
    <n v="300.21600000000001"/>
    <n v="285.92"/>
    <n v="4.7619047620000003"/>
    <n v="14.295999999999999"/>
    <n v="4.9000000000000004"/>
  </r>
  <r>
    <s v="406-46-7107"/>
    <x v="83"/>
    <d v="1899-12-30T11:52:00"/>
    <n v="1"/>
    <s v="January"/>
    <s v="A"/>
    <s v="Yangon"/>
    <s v="Normal"/>
    <s v="Female"/>
    <x v="10"/>
    <s v="20-70"/>
    <s v="Home and lifestyle"/>
    <s v="Cash"/>
    <n v="96.52"/>
    <n v="6"/>
    <n v="28.956"/>
    <n v="608.07600000000002"/>
    <n v="579.12"/>
    <n v="4.7619047620000003"/>
    <n v="28.956"/>
    <n v="4.5"/>
  </r>
  <r>
    <s v="250-17-5703"/>
    <x v="33"/>
    <d v="1899-12-30T18:24:00"/>
    <n v="2"/>
    <s v="February"/>
    <s v="A"/>
    <s v="Yangon"/>
    <s v="Member"/>
    <s v="Male"/>
    <x v="59"/>
    <s v="20-70"/>
    <s v="Food and beverages"/>
    <s v="Ewallet"/>
    <n v="18.850000000000001"/>
    <n v="10"/>
    <n v="9.4250000000000007"/>
    <n v="197.92500000000001"/>
    <n v="188.5"/>
    <n v="4.7619047620000003"/>
    <n v="9.4250000000000007"/>
    <n v="5.6"/>
  </r>
  <r>
    <s v="156-95-3964"/>
    <x v="5"/>
    <d v="1899-12-30T15:19:00"/>
    <n v="3"/>
    <s v="March"/>
    <s v="A"/>
    <s v="Yangon"/>
    <s v="Normal"/>
    <s v="Female"/>
    <x v="40"/>
    <s v="20-70"/>
    <s v="Food and beverages"/>
    <s v="Ewallet"/>
    <n v="55.39"/>
    <n v="4"/>
    <n v="11.077999999999999"/>
    <n v="232.63800000000001"/>
    <n v="221.56"/>
    <n v="4.7619047620000003"/>
    <n v="11.077999999999999"/>
    <n v="8"/>
  </r>
  <r>
    <s v="842-40-8179"/>
    <x v="48"/>
    <d v="1899-12-30T10:38:00"/>
    <n v="2"/>
    <s v="February"/>
    <s v="B"/>
    <s v="Mandalay"/>
    <s v="Member"/>
    <s v="Female"/>
    <x v="68"/>
    <s v="20-70"/>
    <s v="Food and beverages"/>
    <s v="Credit card"/>
    <n v="77.2"/>
    <n v="10"/>
    <n v="38.6"/>
    <n v="810.6"/>
    <n v="772"/>
    <n v="4.7619047620000003"/>
    <n v="38.6"/>
    <n v="5.6"/>
  </r>
  <r>
    <s v="525-09-8450"/>
    <x v="82"/>
    <d v="1899-12-30T15:12:00"/>
    <n v="1"/>
    <s v="January"/>
    <s v="B"/>
    <s v="Mandalay"/>
    <s v="Normal"/>
    <s v="Male"/>
    <x v="69"/>
    <s v="20-70"/>
    <s v="Electronic accessories"/>
    <s v="Credit card"/>
    <n v="72.13"/>
    <n v="10"/>
    <n v="36.064999999999998"/>
    <n v="757.36500000000001"/>
    <n v="721.3"/>
    <n v="4.7619047620000003"/>
    <n v="36.064999999999998"/>
    <n v="4.2"/>
  </r>
  <r>
    <s v="410-67-1709"/>
    <x v="40"/>
    <d v="1899-12-30T17:48:00"/>
    <n v="1"/>
    <s v="January"/>
    <s v="A"/>
    <s v="Yangon"/>
    <s v="Member"/>
    <s v="Female"/>
    <x v="55"/>
    <s v="&gt;70"/>
    <s v="Fashion accessories"/>
    <s v="Ewallet"/>
    <n v="63.88"/>
    <n v="8"/>
    <n v="25.552"/>
    <n v="536.59199999999998"/>
    <n v="511.04"/>
    <n v="4.7619047620000003"/>
    <n v="25.552"/>
    <n v="9.9"/>
  </r>
  <r>
    <s v="587-73-4862"/>
    <x v="58"/>
    <d v="1899-12-30T11:07:00"/>
    <n v="3"/>
    <s v="March"/>
    <s v="A"/>
    <s v="Yangon"/>
    <s v="Member"/>
    <s v="Female"/>
    <x v="30"/>
    <s v="&gt;70"/>
    <s v="Health and beauty"/>
    <s v="Ewallet"/>
    <n v="10.69"/>
    <n v="5"/>
    <n v="2.6724999999999999"/>
    <n v="56.122500000000002"/>
    <n v="53.45"/>
    <n v="4.7619047620000003"/>
    <n v="2.6724999999999999"/>
    <n v="7.6"/>
  </r>
  <r>
    <s v="787-87-2010"/>
    <x v="40"/>
    <d v="1899-12-30T15:48:00"/>
    <n v="1"/>
    <s v="January"/>
    <s v="A"/>
    <s v="Yangon"/>
    <s v="Member"/>
    <s v="Male"/>
    <x v="2"/>
    <s v="20-70"/>
    <s v="Health and beauty"/>
    <s v="Credit card"/>
    <n v="55.5"/>
    <n v="4"/>
    <n v="11.1"/>
    <n v="233.1"/>
    <n v="222"/>
    <n v="4.7619047620000003"/>
    <n v="11.1"/>
    <n v="6.6"/>
  </r>
  <r>
    <s v="593-14-4239"/>
    <x v="19"/>
    <d v="1899-12-30T19:40:00"/>
    <n v="3"/>
    <s v="March"/>
    <s v="B"/>
    <s v="Mandalay"/>
    <s v="Normal"/>
    <s v="Female"/>
    <x v="12"/>
    <s v="20-70"/>
    <s v="Home and lifestyle"/>
    <s v="Ewallet"/>
    <n v="95.46"/>
    <n v="8"/>
    <n v="38.183999999999997"/>
    <n v="801.86400000000003"/>
    <n v="763.68"/>
    <n v="4.7619047620000003"/>
    <n v="38.183999999999997"/>
    <n v="4.7"/>
  </r>
  <r>
    <s v="801-88-0346"/>
    <x v="0"/>
    <d v="1899-12-30T20:30:00"/>
    <n v="1"/>
    <s v="January"/>
    <s v="C"/>
    <s v="Naypyitaw"/>
    <s v="Normal"/>
    <s v="Female"/>
    <x v="63"/>
    <s v="20-70"/>
    <s v="Fashion accessories"/>
    <s v="Credit card"/>
    <n v="76.06"/>
    <n v="3"/>
    <n v="11.409000000000001"/>
    <n v="239.589"/>
    <n v="228.18"/>
    <n v="4.7619047620000003"/>
    <n v="11.409000000000001"/>
    <n v="9.8000000000000007"/>
  </r>
  <r>
    <s v="388-76-2555"/>
    <x v="77"/>
    <d v="1899-12-30T13:59:00"/>
    <n v="2"/>
    <s v="February"/>
    <s v="B"/>
    <s v="Mandalay"/>
    <s v="Normal"/>
    <s v="Male"/>
    <x v="49"/>
    <s v="20-70"/>
    <s v="Sports and travel"/>
    <s v="Cash"/>
    <n v="13.69"/>
    <n v="6"/>
    <n v="4.1070000000000002"/>
    <n v="86.247"/>
    <n v="82.14"/>
    <n v="4.7619047620000003"/>
    <n v="4.1070000000000002"/>
    <n v="6.3"/>
  </r>
  <r>
    <s v="711-31-1234"/>
    <x v="32"/>
    <d v="1899-12-30T18:51:00"/>
    <n v="3"/>
    <s v="March"/>
    <s v="B"/>
    <s v="Mandalay"/>
    <s v="Normal"/>
    <s v="Female"/>
    <x v="34"/>
    <s v="&gt;70"/>
    <s v="Electronic accessories"/>
    <s v="Cash"/>
    <n v="95.64"/>
    <n v="4"/>
    <n v="19.128"/>
    <n v="401.68799999999999"/>
    <n v="382.56"/>
    <n v="4.7619047620000003"/>
    <n v="19.128"/>
    <n v="7.9"/>
  </r>
  <r>
    <s v="886-54-6089"/>
    <x v="15"/>
    <d v="1899-12-30T17:24:00"/>
    <n v="1"/>
    <s v="January"/>
    <s v="A"/>
    <s v="Yangon"/>
    <s v="Normal"/>
    <s v="Female"/>
    <x v="64"/>
    <s v="20-70"/>
    <s v="Home and lifestyle"/>
    <s v="Cash"/>
    <n v="11.43"/>
    <n v="6"/>
    <n v="3.4289999999999998"/>
    <n v="72.009"/>
    <n v="68.58"/>
    <n v="4.7619047620000003"/>
    <n v="3.4289999999999998"/>
    <n v="7.7"/>
  </r>
  <r>
    <s v="707-32-7409"/>
    <x v="84"/>
    <d v="1899-12-30T11:58:00"/>
    <n v="2"/>
    <s v="February"/>
    <s v="B"/>
    <s v="Mandalay"/>
    <s v="Member"/>
    <s v="Female"/>
    <x v="45"/>
    <s v="20-70"/>
    <s v="Sports and travel"/>
    <s v="Ewallet"/>
    <n v="95.54"/>
    <n v="4"/>
    <n v="19.108000000000001"/>
    <n v="401.26799999999997"/>
    <n v="382.16"/>
    <n v="4.7619047620000003"/>
    <n v="19.108000000000001"/>
    <n v="4.5"/>
  </r>
  <r>
    <s v="759-98-4285"/>
    <x v="33"/>
    <d v="1899-12-30T19:01:00"/>
    <n v="2"/>
    <s v="February"/>
    <s v="C"/>
    <s v="Naypyitaw"/>
    <s v="Member"/>
    <s v="Female"/>
    <x v="30"/>
    <s v="&gt;70"/>
    <s v="Health and beauty"/>
    <s v="Credit card"/>
    <n v="85.87"/>
    <n v="7"/>
    <n v="30.054500000000001"/>
    <n v="631.14449999999999"/>
    <n v="601.09"/>
    <n v="4.7619047620000003"/>
    <n v="30.054500000000001"/>
    <n v="8"/>
  </r>
  <r>
    <s v="201-63-8275"/>
    <x v="21"/>
    <d v="1899-12-30T16:50:00"/>
    <n v="2"/>
    <s v="February"/>
    <s v="C"/>
    <s v="Naypyitaw"/>
    <s v="Member"/>
    <s v="Female"/>
    <x v="52"/>
    <s v="20-70"/>
    <s v="Sports and travel"/>
    <s v="Ewallet"/>
    <n v="67.989999999999995"/>
    <n v="7"/>
    <n v="23.796500000000002"/>
    <n v="499.72649999999999"/>
    <n v="475.93"/>
    <n v="4.7619047620000003"/>
    <n v="23.796500000000002"/>
    <n v="5.7"/>
  </r>
  <r>
    <s v="471-06-8611"/>
    <x v="10"/>
    <d v="1899-12-30T10:22:00"/>
    <n v="2"/>
    <s v="February"/>
    <s v="C"/>
    <s v="Naypyitaw"/>
    <s v="Normal"/>
    <s v="Female"/>
    <x v="6"/>
    <s v="20-70"/>
    <s v="Food and beverages"/>
    <s v="Credit card"/>
    <n v="52.42"/>
    <n v="1"/>
    <n v="2.621"/>
    <n v="55.040999999999997"/>
    <n v="52.42"/>
    <n v="4.7619047620000003"/>
    <n v="2.621"/>
    <n v="6.3"/>
  </r>
  <r>
    <s v="200-16-5952"/>
    <x v="29"/>
    <d v="1899-12-30T16:46:00"/>
    <n v="1"/>
    <s v="January"/>
    <s v="C"/>
    <s v="Naypyitaw"/>
    <s v="Member"/>
    <s v="Male"/>
    <x v="23"/>
    <s v="20-70"/>
    <s v="Food and beverages"/>
    <s v="Cash"/>
    <n v="65.650000000000006"/>
    <n v="2"/>
    <n v="6.5650000000000004"/>
    <n v="137.86500000000001"/>
    <n v="131.30000000000001"/>
    <n v="4.7619047620000003"/>
    <n v="6.5650000000000004"/>
    <n v="6"/>
  </r>
  <r>
    <s v="120-54-2248"/>
    <x v="49"/>
    <d v="1899-12-30T18:08:00"/>
    <n v="1"/>
    <s v="January"/>
    <s v="B"/>
    <s v="Mandalay"/>
    <s v="Normal"/>
    <s v="Female"/>
    <x v="63"/>
    <s v="20-70"/>
    <s v="Food and beverages"/>
    <s v="Credit card"/>
    <n v="28.86"/>
    <n v="5"/>
    <n v="7.2149999999999999"/>
    <n v="151.51499999999999"/>
    <n v="144.30000000000001"/>
    <n v="4.7619047620000003"/>
    <n v="7.2149999999999999"/>
    <n v="8"/>
  </r>
  <r>
    <s v="102-77-2261"/>
    <x v="19"/>
    <d v="1899-12-30T18:02:00"/>
    <n v="3"/>
    <s v="March"/>
    <s v="C"/>
    <s v="Naypyitaw"/>
    <s v="Member"/>
    <s v="Male"/>
    <x v="53"/>
    <s v="20-70"/>
    <s v="Health and beauty"/>
    <s v="Credit card"/>
    <n v="65.31"/>
    <n v="7"/>
    <n v="22.858499999999999"/>
    <n v="480.02850000000001"/>
    <n v="457.17"/>
    <n v="4.7619047620000003"/>
    <n v="22.858499999999999"/>
    <n v="4.2"/>
  </r>
  <r>
    <s v="875-31-8302"/>
    <x v="75"/>
    <d v="1899-12-30T13:07:00"/>
    <n v="1"/>
    <s v="January"/>
    <s v="B"/>
    <s v="Mandalay"/>
    <s v="Normal"/>
    <s v="Male"/>
    <x v="26"/>
    <s v="20-70"/>
    <s v="Sports and travel"/>
    <s v="Cash"/>
    <n v="93.38"/>
    <n v="1"/>
    <n v="4.6689999999999996"/>
    <n v="98.049000000000007"/>
    <n v="93.38"/>
    <n v="4.7619047620000003"/>
    <n v="4.6689999999999996"/>
    <n v="9.6"/>
  </r>
  <r>
    <s v="102-06-2002"/>
    <x v="80"/>
    <d v="1899-12-30T17:52:00"/>
    <n v="3"/>
    <s v="March"/>
    <s v="C"/>
    <s v="Naypyitaw"/>
    <s v="Member"/>
    <s v="Male"/>
    <x v="54"/>
    <s v="20-70"/>
    <s v="Sports and travel"/>
    <s v="Cash"/>
    <n v="25.25"/>
    <n v="5"/>
    <n v="6.3125"/>
    <n v="132.5625"/>
    <n v="126.25"/>
    <n v="4.7619047620000003"/>
    <n v="6.3125"/>
    <n v="6.1"/>
  </r>
  <r>
    <s v="457-94-0464"/>
    <x v="82"/>
    <d v="1899-12-30T20:32:00"/>
    <n v="1"/>
    <s v="January"/>
    <s v="B"/>
    <s v="Mandalay"/>
    <s v="Member"/>
    <s v="Male"/>
    <x v="23"/>
    <s v="20-70"/>
    <s v="Electronic accessories"/>
    <s v="Ewallet"/>
    <n v="87.87"/>
    <n v="9"/>
    <n v="39.541499999999999"/>
    <n v="830.37149999999997"/>
    <n v="790.83"/>
    <n v="4.7619047620000003"/>
    <n v="39.541499999999999"/>
    <n v="5.6"/>
  </r>
  <r>
    <s v="629-42-4133"/>
    <x v="88"/>
    <d v="1899-12-30T19:24:00"/>
    <n v="2"/>
    <s v="February"/>
    <s v="C"/>
    <s v="Naypyitaw"/>
    <s v="Normal"/>
    <s v="Male"/>
    <x v="39"/>
    <s v="20-70"/>
    <s v="Health and beauty"/>
    <s v="Cash"/>
    <n v="21.8"/>
    <n v="8"/>
    <n v="8.7200000000000006"/>
    <n v="183.12"/>
    <n v="174.4"/>
    <n v="4.7619047620000003"/>
    <n v="8.7200000000000006"/>
    <n v="8.3000000000000007"/>
  </r>
  <r>
    <s v="534-53-3526"/>
    <x v="48"/>
    <d v="1899-12-30T16:06:00"/>
    <n v="2"/>
    <s v="February"/>
    <s v="A"/>
    <s v="Yangon"/>
    <s v="Normal"/>
    <s v="Female"/>
    <x v="32"/>
    <s v="20-70"/>
    <s v="Sports and travel"/>
    <s v="Ewallet"/>
    <n v="94.76"/>
    <n v="4"/>
    <n v="18.952000000000002"/>
    <n v="397.99200000000002"/>
    <n v="379.04"/>
    <n v="4.7619047620000003"/>
    <n v="18.952000000000002"/>
    <n v="7.8"/>
  </r>
  <r>
    <s v="307-04-2070"/>
    <x v="63"/>
    <d v="1899-12-30T14:14:00"/>
    <n v="2"/>
    <s v="February"/>
    <s v="A"/>
    <s v="Yangon"/>
    <s v="Member"/>
    <s v="Female"/>
    <x v="17"/>
    <s v="&gt;70"/>
    <s v="Fashion accessories"/>
    <s v="Credit card"/>
    <n v="30.62"/>
    <n v="1"/>
    <n v="1.5309999999999999"/>
    <n v="32.151000000000003"/>
    <n v="30.62"/>
    <n v="4.7619047620000003"/>
    <n v="1.5309999999999999"/>
    <n v="4.0999999999999996"/>
  </r>
  <r>
    <s v="468-99-7231"/>
    <x v="2"/>
    <d v="1899-12-30T17:36:00"/>
    <n v="3"/>
    <s v="March"/>
    <s v="C"/>
    <s v="Naypyitaw"/>
    <s v="Normal"/>
    <s v="Female"/>
    <x v="71"/>
    <s v="&gt;70"/>
    <s v="Home and lifestyle"/>
    <s v="Cash"/>
    <n v="44.01"/>
    <n v="8"/>
    <n v="17.603999999999999"/>
    <n v="369.68400000000003"/>
    <n v="352.08"/>
    <n v="4.7619047620000003"/>
    <n v="17.603999999999999"/>
    <n v="8.8000000000000007"/>
  </r>
  <r>
    <s v="516-77-6464"/>
    <x v="7"/>
    <d v="1899-12-30T13:08:00"/>
    <n v="2"/>
    <s v="February"/>
    <s v="C"/>
    <s v="Naypyitaw"/>
    <s v="Member"/>
    <s v="Female"/>
    <x v="2"/>
    <s v="20-70"/>
    <s v="Health and beauty"/>
    <s v="Ewallet"/>
    <n v="10.16"/>
    <n v="5"/>
    <n v="2.54"/>
    <n v="53.34"/>
    <n v="50.8"/>
    <n v="4.7619047620000003"/>
    <n v="2.54"/>
    <n v="4.0999999999999996"/>
  </r>
  <r>
    <s v="404-91-5964"/>
    <x v="87"/>
    <d v="1899-12-30T16:09:00"/>
    <n v="2"/>
    <s v="February"/>
    <s v="A"/>
    <s v="Yangon"/>
    <s v="Normal"/>
    <s v="Male"/>
    <x v="63"/>
    <s v="20-70"/>
    <s v="Electronic accessories"/>
    <s v="Credit card"/>
    <n v="74.58"/>
    <n v="7"/>
    <n v="26.103000000000002"/>
    <n v="548.16300000000001"/>
    <n v="522.05999999999995"/>
    <n v="4.7619047620000003"/>
    <n v="26.103000000000002"/>
    <n v="9"/>
  </r>
  <r>
    <s v="886-77-9084"/>
    <x v="88"/>
    <d v="1899-12-30T11:33:00"/>
    <n v="2"/>
    <s v="February"/>
    <s v="C"/>
    <s v="Naypyitaw"/>
    <s v="Normal"/>
    <s v="Male"/>
    <x v="30"/>
    <s v="&gt;70"/>
    <s v="Electronic accessories"/>
    <s v="Ewallet"/>
    <n v="71.89"/>
    <n v="8"/>
    <n v="28.756"/>
    <n v="603.87599999999998"/>
    <n v="575.12"/>
    <n v="4.7619047620000003"/>
    <n v="28.756"/>
    <n v="5.5"/>
  </r>
  <r>
    <s v="790-38-4466"/>
    <x v="54"/>
    <d v="1899-12-30T10:18:00"/>
    <n v="1"/>
    <s v="January"/>
    <s v="C"/>
    <s v="Naypyitaw"/>
    <s v="Normal"/>
    <s v="Female"/>
    <x v="34"/>
    <s v="&gt;70"/>
    <s v="Health and beauty"/>
    <s v="Credit card"/>
    <n v="10.99"/>
    <n v="5"/>
    <n v="2.7475000000000001"/>
    <n v="57.697499999999998"/>
    <n v="54.95"/>
    <n v="4.7619047620000003"/>
    <n v="2.7475000000000001"/>
    <n v="9.3000000000000007"/>
  </r>
  <r>
    <s v="704-10-4056"/>
    <x v="78"/>
    <d v="1899-12-30T10:55:00"/>
    <n v="1"/>
    <s v="January"/>
    <s v="C"/>
    <s v="Naypyitaw"/>
    <s v="Member"/>
    <s v="Male"/>
    <x v="26"/>
    <s v="20-70"/>
    <s v="Health and beauty"/>
    <s v="Credit card"/>
    <n v="60.47"/>
    <n v="3"/>
    <n v="9.0704999999999991"/>
    <n v="190.48050000000001"/>
    <n v="181.41"/>
    <n v="4.7619047620000003"/>
    <n v="9.0704999999999991"/>
    <n v="5.6"/>
  </r>
  <r>
    <s v="497-37-6538"/>
    <x v="29"/>
    <d v="1899-12-30T15:15:00"/>
    <n v="1"/>
    <s v="January"/>
    <s v="A"/>
    <s v="Yangon"/>
    <s v="Normal"/>
    <s v="Male"/>
    <x v="1"/>
    <s v="20-70"/>
    <s v="Sports and travel"/>
    <s v="Ewallet"/>
    <n v="58.91"/>
    <n v="7"/>
    <n v="20.618500000000001"/>
    <n v="432.98849999999999"/>
    <n v="412.37"/>
    <n v="4.7619047620000003"/>
    <n v="20.618500000000001"/>
    <n v="9.6999999999999993"/>
  </r>
  <r>
    <s v="651-96-5970"/>
    <x v="2"/>
    <d v="1899-12-30T20:06:00"/>
    <n v="3"/>
    <s v="March"/>
    <s v="A"/>
    <s v="Yangon"/>
    <s v="Normal"/>
    <s v="Male"/>
    <x v="19"/>
    <s v="20-70"/>
    <s v="Fashion accessories"/>
    <s v="Credit card"/>
    <n v="46.41"/>
    <n v="1"/>
    <n v="2.3205"/>
    <n v="48.730499999999999"/>
    <n v="46.41"/>
    <n v="4.7619047620000003"/>
    <n v="2.3205"/>
    <n v="4"/>
  </r>
  <r>
    <s v="400-80-4065"/>
    <x v="42"/>
    <d v="1899-12-30T20:21:00"/>
    <n v="2"/>
    <s v="February"/>
    <s v="C"/>
    <s v="Naypyitaw"/>
    <s v="Member"/>
    <s v="Male"/>
    <x v="0"/>
    <s v="&lt;20"/>
    <s v="Health and beauty"/>
    <s v="Credit card"/>
    <n v="68.55"/>
    <n v="4"/>
    <n v="13.71"/>
    <n v="287.91000000000003"/>
    <n v="274.2"/>
    <n v="4.7619047620000003"/>
    <n v="13.71"/>
    <n v="9.1999999999999993"/>
  </r>
  <r>
    <s v="744-16-7898"/>
    <x v="15"/>
    <d v="1899-12-30T13:48:00"/>
    <n v="1"/>
    <s v="January"/>
    <s v="B"/>
    <s v="Mandalay"/>
    <s v="Normal"/>
    <s v="Female"/>
    <x v="63"/>
    <s v="20-70"/>
    <s v="Home and lifestyle"/>
    <s v="Credit card"/>
    <n v="97.37"/>
    <n v="10"/>
    <n v="48.685000000000002"/>
    <n v="1022.385"/>
    <n v="973.7"/>
    <n v="4.7619047620000003"/>
    <n v="48.685000000000002"/>
    <n v="4.9000000000000004"/>
  </r>
  <r>
    <s v="263-12-5321"/>
    <x v="33"/>
    <d v="1899-12-30T12:52:00"/>
    <n v="2"/>
    <s v="February"/>
    <s v="A"/>
    <s v="Yangon"/>
    <s v="Member"/>
    <s v="Male"/>
    <x v="2"/>
    <s v="20-70"/>
    <s v="Electronic accessories"/>
    <s v="Credit card"/>
    <n v="92.6"/>
    <n v="7"/>
    <n v="32.409999999999997"/>
    <n v="680.61"/>
    <n v="648.20000000000005"/>
    <n v="4.7619047620000003"/>
    <n v="32.409999999999997"/>
    <n v="9.3000000000000007"/>
  </r>
  <r>
    <s v="702-72-0487"/>
    <x v="84"/>
    <d v="1899-12-30T12:28:00"/>
    <n v="2"/>
    <s v="February"/>
    <s v="A"/>
    <s v="Yangon"/>
    <s v="Normal"/>
    <s v="Female"/>
    <x v="4"/>
    <s v="20-70"/>
    <s v="Electronic accessories"/>
    <s v="Credit card"/>
    <n v="46.61"/>
    <n v="2"/>
    <n v="4.6609999999999996"/>
    <n v="97.881"/>
    <n v="93.22"/>
    <n v="4.7619047620000003"/>
    <n v="4.6609999999999996"/>
    <n v="6.6"/>
  </r>
  <r>
    <s v="605-83-1050"/>
    <x v="20"/>
    <d v="1899-12-30T16:26:00"/>
    <n v="3"/>
    <s v="March"/>
    <s v="B"/>
    <s v="Mandalay"/>
    <s v="Normal"/>
    <s v="Male"/>
    <x v="14"/>
    <s v="&gt;70"/>
    <s v="Fashion accessories"/>
    <s v="Ewallet"/>
    <n v="27.18"/>
    <n v="2"/>
    <n v="2.718"/>
    <n v="57.078000000000003"/>
    <n v="54.36"/>
    <n v="4.7619047620000003"/>
    <n v="2.718"/>
    <n v="4.3"/>
  </r>
  <r>
    <s v="443-60-9639"/>
    <x v="46"/>
    <d v="1899-12-30T13:24:00"/>
    <n v="1"/>
    <s v="January"/>
    <s v="C"/>
    <s v="Naypyitaw"/>
    <s v="Member"/>
    <s v="Female"/>
    <x v="21"/>
    <s v="20-70"/>
    <s v="Home and lifestyle"/>
    <s v="Cash"/>
    <n v="60.87"/>
    <n v="1"/>
    <n v="3.0434999999999999"/>
    <n v="63.913499999999999"/>
    <n v="60.87"/>
    <n v="4.7619047620000003"/>
    <n v="3.0434999999999999"/>
    <n v="5.5"/>
  </r>
  <r>
    <s v="864-24-7918"/>
    <x v="70"/>
    <d v="1899-12-30T15:15:00"/>
    <n v="2"/>
    <s v="February"/>
    <s v="A"/>
    <s v="Yangon"/>
    <s v="Member"/>
    <s v="Female"/>
    <x v="29"/>
    <s v="20-70"/>
    <s v="Sports and travel"/>
    <s v="Cash"/>
    <n v="24.49"/>
    <n v="10"/>
    <n v="12.244999999999999"/>
    <n v="257.14499999999998"/>
    <n v="244.9"/>
    <n v="4.7619047620000003"/>
    <n v="12.244999999999999"/>
    <n v="8.1"/>
  </r>
  <r>
    <s v="359-94-5395"/>
    <x v="20"/>
    <d v="1899-12-30T10:50:00"/>
    <n v="3"/>
    <s v="March"/>
    <s v="B"/>
    <s v="Mandalay"/>
    <s v="Normal"/>
    <s v="Male"/>
    <x v="46"/>
    <s v="20-70"/>
    <s v="Health and beauty"/>
    <s v="Credit card"/>
    <n v="92.78"/>
    <n v="1"/>
    <n v="4.6390000000000002"/>
    <n v="97.418999999999997"/>
    <n v="92.78"/>
    <n v="4.7619047620000003"/>
    <n v="4.6390000000000002"/>
    <n v="9.8000000000000007"/>
  </r>
  <r>
    <s v="401-09-4232"/>
    <x v="48"/>
    <d v="1899-12-30T18:38:00"/>
    <n v="2"/>
    <s v="February"/>
    <s v="C"/>
    <s v="Naypyitaw"/>
    <s v="Member"/>
    <s v="Male"/>
    <x v="45"/>
    <s v="20-70"/>
    <s v="Home and lifestyle"/>
    <s v="Ewallet"/>
    <n v="86.69"/>
    <n v="5"/>
    <n v="21.672499999999999"/>
    <n v="455.1225"/>
    <n v="433.45"/>
    <n v="4.7619047620000003"/>
    <n v="21.672499999999999"/>
    <n v="9.4"/>
  </r>
  <r>
    <s v="751-15-6198"/>
    <x v="52"/>
    <d v="1899-12-30T16:45:00"/>
    <n v="1"/>
    <s v="January"/>
    <s v="B"/>
    <s v="Mandalay"/>
    <s v="Normal"/>
    <s v="Male"/>
    <x v="33"/>
    <s v="20-70"/>
    <s v="Sports and travel"/>
    <s v="Ewallet"/>
    <n v="23.01"/>
    <n v="6"/>
    <n v="6.9029999999999996"/>
    <n v="144.96299999999999"/>
    <n v="138.06"/>
    <n v="4.7619047620000003"/>
    <n v="6.9029999999999996"/>
    <n v="7.9"/>
  </r>
  <r>
    <s v="324-41-6833"/>
    <x v="2"/>
    <d v="1899-12-30T19:30:00"/>
    <n v="3"/>
    <s v="March"/>
    <s v="C"/>
    <s v="Naypyitaw"/>
    <s v="Member"/>
    <s v="Female"/>
    <x v="67"/>
    <s v="20-70"/>
    <s v="Electronic accessories"/>
    <s v="Ewallet"/>
    <n v="30.2"/>
    <n v="8"/>
    <n v="12.08"/>
    <n v="253.68"/>
    <n v="241.6"/>
    <n v="4.7619047620000003"/>
    <n v="12.08"/>
    <n v="5.0999999999999996"/>
  </r>
  <r>
    <s v="474-33-8305"/>
    <x v="28"/>
    <d v="1899-12-30T13:23:00"/>
    <n v="3"/>
    <s v="March"/>
    <s v="C"/>
    <s v="Naypyitaw"/>
    <s v="Member"/>
    <s v="Male"/>
    <x v="1"/>
    <s v="20-70"/>
    <s v="Fashion accessories"/>
    <s v="Ewallet"/>
    <n v="67.39"/>
    <n v="7"/>
    <n v="23.586500000000001"/>
    <n v="495.31650000000002"/>
    <n v="471.73"/>
    <n v="4.7619047620000003"/>
    <n v="23.586500000000001"/>
    <n v="6.9"/>
  </r>
  <r>
    <s v="759-29-9521"/>
    <x v="31"/>
    <d v="1899-12-30T11:27:00"/>
    <n v="3"/>
    <s v="March"/>
    <s v="A"/>
    <s v="Yangon"/>
    <s v="Member"/>
    <s v="Female"/>
    <x v="13"/>
    <s v="&gt;70"/>
    <s v="Fashion accessories"/>
    <s v="Cash"/>
    <n v="48.96"/>
    <n v="9"/>
    <n v="22.032"/>
    <n v="462.67200000000003"/>
    <n v="440.64"/>
    <n v="4.7619047620000003"/>
    <n v="22.032"/>
    <n v="8"/>
  </r>
  <r>
    <s v="831-81-6575"/>
    <x v="55"/>
    <d v="1899-12-30T11:12:00"/>
    <n v="2"/>
    <s v="February"/>
    <s v="B"/>
    <s v="Mandalay"/>
    <s v="Member"/>
    <s v="Female"/>
    <x v="74"/>
    <s v="&gt;70"/>
    <s v="Electronic accessories"/>
    <s v="Cash"/>
    <n v="75.59"/>
    <n v="9"/>
    <n v="34.015500000000003"/>
    <n v="714.32550000000003"/>
    <n v="680.31"/>
    <n v="4.7619047620000003"/>
    <n v="34.015500000000003"/>
    <n v="8"/>
  </r>
  <r>
    <s v="220-68-6701"/>
    <x v="85"/>
    <d v="1899-12-30T16:36:00"/>
    <n v="3"/>
    <s v="March"/>
    <s v="A"/>
    <s v="Yangon"/>
    <s v="Normal"/>
    <s v="Female"/>
    <x v="16"/>
    <s v="&lt;20"/>
    <s v="Home and lifestyle"/>
    <s v="Cash"/>
    <n v="77.47"/>
    <n v="4"/>
    <n v="15.494"/>
    <n v="325.37400000000002"/>
    <n v="309.88"/>
    <n v="4.7619047620000003"/>
    <n v="15.494"/>
    <n v="4.2"/>
  </r>
  <r>
    <s v="618-34-8551"/>
    <x v="65"/>
    <d v="1899-12-30T18:41:00"/>
    <n v="1"/>
    <s v="January"/>
    <s v="A"/>
    <s v="Yangon"/>
    <s v="Normal"/>
    <s v="Female"/>
    <x v="42"/>
    <s v="20-70"/>
    <s v="Sports and travel"/>
    <s v="Credit card"/>
    <n v="93.18"/>
    <n v="2"/>
    <n v="9.3179999999999996"/>
    <n v="195.678"/>
    <n v="186.36"/>
    <n v="4.7619047620000003"/>
    <n v="9.3179999999999996"/>
    <n v="8.5"/>
  </r>
  <r>
    <s v="257-60-7754"/>
    <x v="66"/>
    <d v="1899-12-30T17:12:00"/>
    <n v="1"/>
    <s v="January"/>
    <s v="A"/>
    <s v="Yangon"/>
    <s v="Normal"/>
    <s v="Female"/>
    <x v="65"/>
    <s v="&gt;70"/>
    <s v="Electronic accessories"/>
    <s v="Cash"/>
    <n v="50.23"/>
    <n v="4"/>
    <n v="10.045999999999999"/>
    <n v="210.96600000000001"/>
    <n v="200.92"/>
    <n v="4.7619047620000003"/>
    <n v="10.045999999999999"/>
    <n v="9"/>
  </r>
  <r>
    <s v="559-61-5987"/>
    <x v="78"/>
    <d v="1899-12-30T10:38:00"/>
    <n v="1"/>
    <s v="January"/>
    <s v="B"/>
    <s v="Mandalay"/>
    <s v="Normal"/>
    <s v="Female"/>
    <x v="2"/>
    <s v="20-70"/>
    <s v="Health and beauty"/>
    <s v="Cash"/>
    <n v="17.75"/>
    <n v="1"/>
    <n v="0.88749999999999996"/>
    <n v="18.637499999999999"/>
    <n v="17.75"/>
    <n v="4.7619047620000003"/>
    <n v="0.88749999999999996"/>
    <n v="8.6"/>
  </r>
  <r>
    <s v="189-55-2313"/>
    <x v="82"/>
    <d v="1899-12-30T10:33:00"/>
    <n v="1"/>
    <s v="January"/>
    <s v="C"/>
    <s v="Naypyitaw"/>
    <s v="Normal"/>
    <s v="Female"/>
    <x v="18"/>
    <s v="20-70"/>
    <s v="Fashion accessories"/>
    <s v="Ewallet"/>
    <n v="62.18"/>
    <n v="10"/>
    <n v="31.09"/>
    <n v="652.89"/>
    <n v="621.79999999999995"/>
    <n v="4.7619047620000003"/>
    <n v="31.09"/>
    <n v="6"/>
  </r>
  <r>
    <s v="565-91-4567"/>
    <x v="20"/>
    <d v="1899-12-30T14:38:00"/>
    <n v="3"/>
    <s v="March"/>
    <s v="B"/>
    <s v="Mandalay"/>
    <s v="Normal"/>
    <s v="Male"/>
    <x v="64"/>
    <s v="20-70"/>
    <s v="Health and beauty"/>
    <s v="Ewallet"/>
    <n v="10.75"/>
    <n v="8"/>
    <n v="4.3"/>
    <n v="90.3"/>
    <n v="86"/>
    <n v="4.7619047620000003"/>
    <n v="4.3"/>
    <n v="6.2"/>
  </r>
  <r>
    <s v="380-60-5336"/>
    <x v="7"/>
    <d v="1899-12-30T18:06:00"/>
    <n v="2"/>
    <s v="February"/>
    <s v="A"/>
    <s v="Yangon"/>
    <s v="Normal"/>
    <s v="Female"/>
    <x v="44"/>
    <s v="20-70"/>
    <s v="Electronic accessories"/>
    <s v="Credit card"/>
    <n v="40.26"/>
    <n v="10"/>
    <n v="20.13"/>
    <n v="422.73"/>
    <n v="402.6"/>
    <n v="4.7619047620000003"/>
    <n v="20.13"/>
    <n v="5"/>
  </r>
  <r>
    <s v="815-04-6282"/>
    <x v="4"/>
    <d v="1899-12-30T12:52:00"/>
    <n v="2"/>
    <s v="February"/>
    <s v="C"/>
    <s v="Naypyitaw"/>
    <s v="Member"/>
    <s v="Female"/>
    <x v="54"/>
    <s v="20-70"/>
    <s v="Sports and travel"/>
    <s v="Credit card"/>
    <n v="64.97"/>
    <n v="5"/>
    <n v="16.2425"/>
    <n v="341.09249999999997"/>
    <n v="324.85000000000002"/>
    <n v="4.7619047620000003"/>
    <n v="16.2425"/>
    <n v="6.5"/>
  </r>
  <r>
    <s v="674-56-6360"/>
    <x v="23"/>
    <d v="1899-12-30T14:00:00"/>
    <n v="3"/>
    <s v="March"/>
    <s v="A"/>
    <s v="Yangon"/>
    <s v="Normal"/>
    <s v="Male"/>
    <x v="51"/>
    <s v="20-70"/>
    <s v="Electronic accessories"/>
    <s v="Cash"/>
    <n v="95.15"/>
    <n v="1"/>
    <n v="4.7575000000000003"/>
    <n v="99.907499999999999"/>
    <n v="95.15"/>
    <n v="4.7619047620000003"/>
    <n v="4.7575000000000003"/>
    <n v="6"/>
  </r>
  <r>
    <s v="778-34-2523"/>
    <x v="46"/>
    <d v="1899-12-30T10:57:00"/>
    <n v="1"/>
    <s v="January"/>
    <s v="A"/>
    <s v="Yangon"/>
    <s v="Member"/>
    <s v="Female"/>
    <x v="22"/>
    <s v="20-70"/>
    <s v="Electronic accessories"/>
    <s v="Cash"/>
    <n v="48.62"/>
    <n v="8"/>
    <n v="19.448"/>
    <n v="408.40800000000002"/>
    <n v="388.96"/>
    <n v="4.7619047620000003"/>
    <n v="19.448"/>
    <n v="5"/>
  </r>
  <r>
    <s v="499-27-7781"/>
    <x v="86"/>
    <d v="1899-12-30T16:45:00"/>
    <n v="3"/>
    <s v="March"/>
    <s v="B"/>
    <s v="Mandalay"/>
    <s v="Normal"/>
    <s v="Female"/>
    <x v="57"/>
    <s v="&gt;70"/>
    <s v="Food and beverages"/>
    <s v="Ewallet"/>
    <n v="53.21"/>
    <n v="8"/>
    <n v="21.283999999999999"/>
    <n v="446.964"/>
    <n v="425.68"/>
    <n v="4.7619047620000003"/>
    <n v="21.283999999999999"/>
    <n v="5"/>
  </r>
  <r>
    <s v="477-59-2456"/>
    <x v="54"/>
    <d v="1899-12-30T11:15:00"/>
    <n v="1"/>
    <s v="January"/>
    <s v="C"/>
    <s v="Naypyitaw"/>
    <s v="Normal"/>
    <s v="Female"/>
    <x v="55"/>
    <s v="&gt;70"/>
    <s v="Fashion accessories"/>
    <s v="Cash"/>
    <n v="45.44"/>
    <n v="7"/>
    <n v="15.904"/>
    <n v="333.98399999999998"/>
    <n v="318.08"/>
    <n v="4.7619047620000003"/>
    <n v="15.904"/>
    <n v="9.1999999999999993"/>
  </r>
  <r>
    <s v="832-51-6761"/>
    <x v="64"/>
    <d v="1899-12-30T20:29:00"/>
    <n v="1"/>
    <s v="January"/>
    <s v="A"/>
    <s v="Yangon"/>
    <s v="Normal"/>
    <s v="Male"/>
    <x v="2"/>
    <s v="20-70"/>
    <s v="Food and beverages"/>
    <s v="Ewallet"/>
    <n v="33.880000000000003"/>
    <n v="8"/>
    <n v="13.552"/>
    <n v="284.59199999999998"/>
    <n v="271.04000000000002"/>
    <n v="4.7619047620000003"/>
    <n v="13.552"/>
    <n v="9.6"/>
  </r>
  <r>
    <s v="869-11-3082"/>
    <x v="3"/>
    <d v="1899-12-30T20:03:00"/>
    <n v="1"/>
    <s v="January"/>
    <s v="B"/>
    <s v="Mandalay"/>
    <s v="Member"/>
    <s v="Male"/>
    <x v="2"/>
    <s v="20-70"/>
    <s v="Health and beauty"/>
    <s v="Credit card"/>
    <n v="96.16"/>
    <n v="4"/>
    <n v="19.231999999999999"/>
    <n v="403.87200000000001"/>
    <n v="384.64"/>
    <n v="4.7619047620000003"/>
    <n v="19.231999999999999"/>
    <n v="8.4"/>
  </r>
  <r>
    <s v="190-59-3964"/>
    <x v="36"/>
    <d v="1899-12-30T14:35:00"/>
    <n v="2"/>
    <s v="February"/>
    <s v="B"/>
    <s v="Mandalay"/>
    <s v="Member"/>
    <s v="Male"/>
    <x v="40"/>
    <s v="20-70"/>
    <s v="Food and beverages"/>
    <s v="Credit card"/>
    <n v="47.16"/>
    <n v="5"/>
    <n v="11.79"/>
    <n v="247.59"/>
    <n v="235.8"/>
    <n v="4.7619047620000003"/>
    <n v="11.79"/>
    <n v="6"/>
  </r>
  <r>
    <s v="366-43-6862"/>
    <x v="5"/>
    <d v="1899-12-30T16:32:00"/>
    <n v="3"/>
    <s v="March"/>
    <s v="B"/>
    <s v="Mandalay"/>
    <s v="Normal"/>
    <s v="Male"/>
    <x v="67"/>
    <s v="20-70"/>
    <s v="Electronic accessories"/>
    <s v="Ewallet"/>
    <n v="52.89"/>
    <n v="4"/>
    <n v="10.577999999999999"/>
    <n v="222.13800000000001"/>
    <n v="211.56"/>
    <n v="4.7619047620000003"/>
    <n v="10.577999999999999"/>
    <n v="6.7"/>
  </r>
  <r>
    <s v="186-43-8965"/>
    <x v="7"/>
    <d v="1899-12-30T10:10:00"/>
    <n v="2"/>
    <s v="February"/>
    <s v="A"/>
    <s v="Yangon"/>
    <s v="Member"/>
    <s v="Female"/>
    <x v="73"/>
    <s v="20-70"/>
    <s v="Home and lifestyle"/>
    <s v="Credit card"/>
    <n v="47.68"/>
    <n v="2"/>
    <n v="4.7679999999999998"/>
    <n v="100.128"/>
    <n v="95.36"/>
    <n v="4.7619047620000003"/>
    <n v="4.7679999999999998"/>
    <n v="4.0999999999999996"/>
  </r>
  <r>
    <s v="784-21-9238"/>
    <x v="13"/>
    <d v="1899-12-30T14:15:00"/>
    <n v="2"/>
    <s v="February"/>
    <s v="C"/>
    <s v="Naypyitaw"/>
    <s v="Member"/>
    <s v="Male"/>
    <x v="2"/>
    <s v="20-70"/>
    <s v="Sports and travel"/>
    <s v="Cash"/>
    <n v="10.17"/>
    <n v="1"/>
    <n v="0.50849999999999995"/>
    <n v="10.6785"/>
    <n v="10.17"/>
    <n v="4.7619047620000003"/>
    <n v="0.50849999999999995"/>
    <n v="5.9"/>
  </r>
  <r>
    <s v="276-75-6884"/>
    <x v="31"/>
    <d v="1899-12-30T10:05:00"/>
    <n v="3"/>
    <s v="March"/>
    <s v="A"/>
    <s v="Yangon"/>
    <s v="Normal"/>
    <s v="Female"/>
    <x v="26"/>
    <s v="20-70"/>
    <s v="Health and beauty"/>
    <s v="Cash"/>
    <n v="68.709999999999994"/>
    <n v="3"/>
    <n v="10.3065"/>
    <n v="216.4365"/>
    <n v="206.13"/>
    <n v="4.7619047620000003"/>
    <n v="10.3065"/>
    <n v="8.6999999999999993"/>
  </r>
  <r>
    <s v="109-86-4363"/>
    <x v="44"/>
    <d v="1899-12-30T11:36:00"/>
    <n v="2"/>
    <s v="February"/>
    <s v="B"/>
    <s v="Mandalay"/>
    <s v="Member"/>
    <s v="Female"/>
    <x v="65"/>
    <s v="&gt;70"/>
    <s v="Sports and travel"/>
    <s v="Credit card"/>
    <n v="60.08"/>
    <n v="7"/>
    <n v="21.027999999999999"/>
    <n v="441.58800000000002"/>
    <n v="420.56"/>
    <n v="4.7619047620000003"/>
    <n v="21.027999999999999"/>
    <n v="4.5"/>
  </r>
  <r>
    <s v="569-76-2760"/>
    <x v="71"/>
    <d v="1899-12-30T18:15:00"/>
    <n v="1"/>
    <s v="January"/>
    <s v="A"/>
    <s v="Yangon"/>
    <s v="Member"/>
    <s v="Female"/>
    <x v="33"/>
    <s v="20-70"/>
    <s v="Sports and travel"/>
    <s v="Credit card"/>
    <n v="22.01"/>
    <n v="4"/>
    <n v="4.4020000000000001"/>
    <n v="92.441999999999993"/>
    <n v="88.04"/>
    <n v="4.7619047620000003"/>
    <n v="4.4020000000000001"/>
    <n v="6.6"/>
  </r>
  <r>
    <s v="222-42-0244"/>
    <x v="26"/>
    <d v="1899-12-30T13:53:00"/>
    <n v="1"/>
    <s v="January"/>
    <s v="B"/>
    <s v="Mandalay"/>
    <s v="Member"/>
    <s v="Female"/>
    <x v="30"/>
    <s v="&gt;70"/>
    <s v="Health and beauty"/>
    <s v="Credit card"/>
    <n v="72.11"/>
    <n v="9"/>
    <n v="32.4495"/>
    <n v="681.43949999999995"/>
    <n v="648.99"/>
    <n v="4.7619047620000003"/>
    <n v="32.4495"/>
    <n v="7.7"/>
  </r>
  <r>
    <s v="760-53-9233"/>
    <x v="58"/>
    <d v="1899-12-30T18:37:00"/>
    <n v="3"/>
    <s v="March"/>
    <s v="A"/>
    <s v="Yangon"/>
    <s v="Member"/>
    <s v="Male"/>
    <x v="5"/>
    <s v="&gt;70"/>
    <s v="Fashion accessories"/>
    <s v="Credit card"/>
    <n v="41.28"/>
    <n v="3"/>
    <n v="6.1920000000000002"/>
    <n v="130.03200000000001"/>
    <n v="123.84"/>
    <n v="4.7619047620000003"/>
    <n v="6.1920000000000002"/>
    <n v="8.5"/>
  </r>
  <r>
    <s v="538-22-0304"/>
    <x v="62"/>
    <d v="1899-12-30T18:27:00"/>
    <n v="3"/>
    <s v="March"/>
    <s v="C"/>
    <s v="Naypyitaw"/>
    <s v="Normal"/>
    <s v="Male"/>
    <x v="8"/>
    <s v="20-70"/>
    <s v="Electronic accessories"/>
    <s v="Cash"/>
    <n v="64.95"/>
    <n v="10"/>
    <n v="32.475000000000001"/>
    <n v="681.97500000000002"/>
    <n v="649.5"/>
    <n v="4.7619047620000003"/>
    <n v="32.475000000000001"/>
    <n v="5.2"/>
  </r>
  <r>
    <s v="416-17-9926"/>
    <x v="17"/>
    <d v="1899-12-30T14:42:00"/>
    <n v="1"/>
    <s v="January"/>
    <s v="A"/>
    <s v="Yangon"/>
    <s v="Member"/>
    <s v="Female"/>
    <x v="12"/>
    <s v="20-70"/>
    <s v="Electronic accessories"/>
    <s v="Credit card"/>
    <n v="74.22"/>
    <n v="10"/>
    <n v="37.11"/>
    <n v="779.31"/>
    <n v="742.2"/>
    <n v="4.7619047620000003"/>
    <n v="37.11"/>
    <n v="4.3"/>
  </r>
  <r>
    <s v="237-44-6163"/>
    <x v="46"/>
    <d v="1899-12-30T17:43:00"/>
    <n v="1"/>
    <s v="January"/>
    <s v="A"/>
    <s v="Yangon"/>
    <s v="Normal"/>
    <s v="Male"/>
    <x v="66"/>
    <s v="&lt;20"/>
    <s v="Electronic accessories"/>
    <s v="Cash"/>
    <n v="10.56"/>
    <n v="8"/>
    <n v="4.2240000000000002"/>
    <n v="88.703999999999994"/>
    <n v="84.48"/>
    <n v="4.7619047620000003"/>
    <n v="4.2240000000000002"/>
    <n v="7.6"/>
  </r>
  <r>
    <s v="636-17-0325"/>
    <x v="6"/>
    <d v="1899-12-30T18:37:00"/>
    <n v="2"/>
    <s v="February"/>
    <s v="B"/>
    <s v="Mandalay"/>
    <s v="Normal"/>
    <s v="Male"/>
    <x v="54"/>
    <s v="20-70"/>
    <s v="Health and beauty"/>
    <s v="Cash"/>
    <n v="62.57"/>
    <n v="4"/>
    <n v="12.513999999999999"/>
    <n v="262.79399999999998"/>
    <n v="250.28"/>
    <n v="4.7619047620000003"/>
    <n v="12.513999999999999"/>
    <n v="9.5"/>
  </r>
  <r>
    <s v="343-75-9322"/>
    <x v="51"/>
    <d v="1899-12-30T16:34:00"/>
    <n v="1"/>
    <s v="January"/>
    <s v="B"/>
    <s v="Mandalay"/>
    <s v="Member"/>
    <s v="Female"/>
    <x v="34"/>
    <s v="&gt;70"/>
    <s v="Sports and travel"/>
    <s v="Cash"/>
    <n v="11.85"/>
    <n v="8"/>
    <n v="4.74"/>
    <n v="99.54"/>
    <n v="94.8"/>
    <n v="4.7619047620000003"/>
    <n v="4.74"/>
    <n v="4.0999999999999996"/>
  </r>
  <r>
    <s v="528-14-9470"/>
    <x v="44"/>
    <d v="1899-12-30T14:42:00"/>
    <n v="2"/>
    <s v="February"/>
    <s v="A"/>
    <s v="Yangon"/>
    <s v="Member"/>
    <s v="Male"/>
    <x v="34"/>
    <s v="&gt;70"/>
    <s v="Health and beauty"/>
    <s v="Ewallet"/>
    <n v="91.3"/>
    <n v="1"/>
    <n v="4.5650000000000004"/>
    <n v="95.864999999999995"/>
    <n v="91.3"/>
    <n v="4.7619047620000003"/>
    <n v="4.5650000000000004"/>
    <n v="9.1999999999999993"/>
  </r>
  <r>
    <s v="427-45-9297"/>
    <x v="41"/>
    <d v="1899-12-30T11:01:00"/>
    <n v="3"/>
    <s v="March"/>
    <s v="B"/>
    <s v="Mandalay"/>
    <s v="Member"/>
    <s v="Female"/>
    <x v="4"/>
    <s v="20-70"/>
    <s v="Home and lifestyle"/>
    <s v="Ewallet"/>
    <n v="40.729999999999997"/>
    <n v="7"/>
    <n v="14.2555"/>
    <n v="299.3655"/>
    <n v="285.11"/>
    <n v="4.7619047620000003"/>
    <n v="14.2555"/>
    <n v="5.4"/>
  </r>
  <r>
    <s v="807-34-3742"/>
    <x v="58"/>
    <d v="1899-12-30T19:44:00"/>
    <n v="3"/>
    <s v="March"/>
    <s v="A"/>
    <s v="Yangon"/>
    <s v="Normal"/>
    <s v="Male"/>
    <x v="31"/>
    <s v="&gt;70"/>
    <s v="Fashion accessories"/>
    <s v="Cash"/>
    <n v="52.38"/>
    <n v="1"/>
    <n v="2.6190000000000002"/>
    <n v="54.999000000000002"/>
    <n v="52.38"/>
    <n v="4.7619047620000003"/>
    <n v="2.6190000000000002"/>
    <n v="5.8"/>
  </r>
  <r>
    <s v="288-62-1085"/>
    <x v="51"/>
    <d v="1899-12-30T13:34:00"/>
    <n v="1"/>
    <s v="January"/>
    <s v="A"/>
    <s v="Yangon"/>
    <s v="Member"/>
    <s v="Male"/>
    <x v="50"/>
    <s v="20-70"/>
    <s v="Fashion accessories"/>
    <s v="Ewallet"/>
    <n v="38.54"/>
    <n v="5"/>
    <n v="9.6349999999999998"/>
    <n v="202.33500000000001"/>
    <n v="192.7"/>
    <n v="4.7619047620000003"/>
    <n v="9.6349999999999998"/>
    <n v="5.6"/>
  </r>
  <r>
    <s v="670-71-7306"/>
    <x v="56"/>
    <d v="1899-12-30T20:08:00"/>
    <n v="1"/>
    <s v="January"/>
    <s v="B"/>
    <s v="Mandalay"/>
    <s v="Normal"/>
    <s v="Male"/>
    <x v="57"/>
    <s v="&gt;70"/>
    <s v="Sports and travel"/>
    <s v="Credit card"/>
    <n v="44.63"/>
    <n v="6"/>
    <n v="13.388999999999999"/>
    <n v="281.16899999999998"/>
    <n v="267.77999999999997"/>
    <n v="4.7619047620000003"/>
    <n v="13.388999999999999"/>
    <n v="5.0999999999999996"/>
  </r>
  <r>
    <s v="660-29-7083"/>
    <x v="15"/>
    <d v="1899-12-30T15:01:00"/>
    <n v="1"/>
    <s v="January"/>
    <s v="C"/>
    <s v="Naypyitaw"/>
    <s v="Normal"/>
    <s v="Male"/>
    <x v="63"/>
    <s v="20-70"/>
    <s v="Electronic accessories"/>
    <s v="Cash"/>
    <n v="55.87"/>
    <n v="10"/>
    <n v="27.934999999999999"/>
    <n v="586.63499999999999"/>
    <n v="558.70000000000005"/>
    <n v="4.7619047620000003"/>
    <n v="27.934999999999999"/>
    <n v="5.8"/>
  </r>
  <r>
    <s v="271-77-8740"/>
    <x v="17"/>
    <d v="1899-12-30T11:40:00"/>
    <n v="1"/>
    <s v="January"/>
    <s v="C"/>
    <s v="Naypyitaw"/>
    <s v="Member"/>
    <s v="Female"/>
    <x v="36"/>
    <s v="&gt;70"/>
    <s v="Sports and travel"/>
    <s v="Ewallet"/>
    <n v="29.22"/>
    <n v="6"/>
    <n v="8.766"/>
    <n v="184.08600000000001"/>
    <n v="175.32"/>
    <n v="4.7619047620000003"/>
    <n v="8.766"/>
    <n v="5"/>
  </r>
  <r>
    <s v="497-36-0989"/>
    <x v="42"/>
    <d v="1899-12-30T15:21:00"/>
    <n v="2"/>
    <s v="February"/>
    <s v="A"/>
    <s v="Yangon"/>
    <s v="Normal"/>
    <s v="Male"/>
    <x v="70"/>
    <s v="&gt;70"/>
    <s v="Fashion accessories"/>
    <s v="Cash"/>
    <n v="51.94"/>
    <n v="3"/>
    <n v="7.7910000000000004"/>
    <n v="163.61099999999999"/>
    <n v="155.82"/>
    <n v="4.7619047620000003"/>
    <n v="7.7910000000000004"/>
    <n v="7.9"/>
  </r>
  <r>
    <s v="291-59-1384"/>
    <x v="38"/>
    <d v="1899-12-30T17:38:00"/>
    <n v="2"/>
    <s v="February"/>
    <s v="B"/>
    <s v="Mandalay"/>
    <s v="Normal"/>
    <s v="Male"/>
    <x v="60"/>
    <s v="&gt;70"/>
    <s v="Electronic accessories"/>
    <s v="Cash"/>
    <n v="60.3"/>
    <n v="1"/>
    <n v="3.0150000000000001"/>
    <n v="63.314999999999998"/>
    <n v="60.3"/>
    <n v="4.7619047620000003"/>
    <n v="3.0150000000000001"/>
    <n v="6"/>
  </r>
  <r>
    <s v="860-73-6466"/>
    <x v="22"/>
    <d v="1899-12-30T16:16:00"/>
    <n v="3"/>
    <s v="March"/>
    <s v="A"/>
    <s v="Yangon"/>
    <s v="Member"/>
    <s v="Female"/>
    <x v="42"/>
    <s v="20-70"/>
    <s v="Sports and travel"/>
    <s v="Credit card"/>
    <n v="39.47"/>
    <n v="2"/>
    <n v="3.9470000000000001"/>
    <n v="82.887"/>
    <n v="78.94"/>
    <n v="4.7619047620000003"/>
    <n v="3.9470000000000001"/>
    <n v="5"/>
  </r>
  <r>
    <s v="549-23-9016"/>
    <x v="77"/>
    <d v="1899-12-30T18:15:00"/>
    <n v="2"/>
    <s v="February"/>
    <s v="C"/>
    <s v="Naypyitaw"/>
    <s v="Member"/>
    <s v="Female"/>
    <x v="64"/>
    <s v="20-70"/>
    <s v="Food and beverages"/>
    <s v="Credit card"/>
    <n v="14.87"/>
    <n v="2"/>
    <n v="1.4870000000000001"/>
    <n v="31.227"/>
    <n v="29.74"/>
    <n v="4.7619047620000003"/>
    <n v="1.4870000000000001"/>
    <n v="8.9"/>
  </r>
  <r>
    <s v="896-34-0956"/>
    <x v="53"/>
    <d v="1899-12-30T12:43:00"/>
    <n v="1"/>
    <s v="January"/>
    <s v="A"/>
    <s v="Yangon"/>
    <s v="Normal"/>
    <s v="Male"/>
    <x v="73"/>
    <s v="20-70"/>
    <s v="Fashion accessories"/>
    <s v="Cash"/>
    <n v="21.32"/>
    <n v="1"/>
    <n v="1.0660000000000001"/>
    <n v="22.385999999999999"/>
    <n v="21.32"/>
    <n v="4.7619047620000003"/>
    <n v="1.0660000000000001"/>
    <n v="5.9"/>
  </r>
  <r>
    <s v="804-38-3935"/>
    <x v="74"/>
    <d v="1899-12-30T11:32:00"/>
    <n v="1"/>
    <s v="January"/>
    <s v="A"/>
    <s v="Yangon"/>
    <s v="Member"/>
    <s v="Male"/>
    <x v="25"/>
    <s v="20-70"/>
    <s v="Electronic accessories"/>
    <s v="Credit card"/>
    <n v="93.78"/>
    <n v="3"/>
    <n v="14.067"/>
    <n v="295.40699999999998"/>
    <n v="281.33999999999997"/>
    <n v="4.7619047620000003"/>
    <n v="14.067"/>
    <n v="5.9"/>
  </r>
  <r>
    <s v="585-90-0249"/>
    <x v="3"/>
    <d v="1899-12-30T18:08:00"/>
    <n v="1"/>
    <s v="January"/>
    <s v="A"/>
    <s v="Yangon"/>
    <s v="Member"/>
    <s v="Male"/>
    <x v="68"/>
    <s v="20-70"/>
    <s v="Electronic accessories"/>
    <s v="Ewallet"/>
    <n v="73.260000000000005"/>
    <n v="1"/>
    <n v="3.6629999999999998"/>
    <n v="76.923000000000002"/>
    <n v="73.260000000000005"/>
    <n v="4.7619047620000003"/>
    <n v="3.6629999999999998"/>
    <n v="9.6999999999999993"/>
  </r>
  <r>
    <s v="862-29-5914"/>
    <x v="74"/>
    <d v="1899-12-30T17:08:00"/>
    <n v="1"/>
    <s v="January"/>
    <s v="C"/>
    <s v="Naypyitaw"/>
    <s v="Normal"/>
    <s v="Female"/>
    <x v="32"/>
    <s v="20-70"/>
    <s v="Sports and travel"/>
    <s v="Credit card"/>
    <n v="22.38"/>
    <n v="1"/>
    <n v="1.119"/>
    <n v="23.498999999999999"/>
    <n v="22.38"/>
    <n v="4.7619047620000003"/>
    <n v="1.119"/>
    <n v="8.6"/>
  </r>
  <r>
    <s v="845-94-6841"/>
    <x v="66"/>
    <d v="1899-12-30T19:38:00"/>
    <n v="1"/>
    <s v="January"/>
    <s v="C"/>
    <s v="Naypyitaw"/>
    <s v="Member"/>
    <s v="Female"/>
    <x v="61"/>
    <s v="20-70"/>
    <s v="Food and beverages"/>
    <s v="Cash"/>
    <n v="72.88"/>
    <n v="9"/>
    <n v="32.795999999999999"/>
    <n v="688.71600000000001"/>
    <n v="655.92"/>
    <n v="4.7619047620000003"/>
    <n v="32.795999999999999"/>
    <n v="4"/>
  </r>
  <r>
    <s v="125-45-2293"/>
    <x v="64"/>
    <d v="1899-12-30T13:11:00"/>
    <n v="1"/>
    <s v="January"/>
    <s v="A"/>
    <s v="Yangon"/>
    <s v="Normal"/>
    <s v="Female"/>
    <x v="24"/>
    <s v="20-70"/>
    <s v="Fashion accessories"/>
    <s v="Cash"/>
    <n v="99.1"/>
    <n v="6"/>
    <n v="29.73"/>
    <n v="624.33000000000004"/>
    <n v="594.6"/>
    <n v="4.7619047620000003"/>
    <n v="29.73"/>
    <n v="4.2"/>
  </r>
  <r>
    <s v="843-73-4724"/>
    <x v="25"/>
    <d v="1899-12-30T11:05:00"/>
    <n v="1"/>
    <s v="January"/>
    <s v="A"/>
    <s v="Yangon"/>
    <s v="Normal"/>
    <s v="Male"/>
    <x v="29"/>
    <s v="20-70"/>
    <s v="Fashion accessories"/>
    <s v="Cash"/>
    <n v="74.099999999999994"/>
    <n v="1"/>
    <n v="3.7050000000000001"/>
    <n v="77.805000000000007"/>
    <n v="74.099999999999994"/>
    <n v="4.7619047620000003"/>
    <n v="3.7050000000000001"/>
    <n v="9.1999999999999993"/>
  </r>
  <r>
    <s v="409-33-9708"/>
    <x v="88"/>
    <d v="1899-12-30T10:12:00"/>
    <n v="2"/>
    <s v="February"/>
    <s v="A"/>
    <s v="Yangon"/>
    <s v="Normal"/>
    <s v="Female"/>
    <x v="11"/>
    <s v="&gt;70"/>
    <s v="Fashion accessories"/>
    <s v="Ewallet"/>
    <n v="98.48"/>
    <n v="2"/>
    <n v="9.8480000000000008"/>
    <n v="206.80799999999999"/>
    <n v="196.96"/>
    <n v="4.7619047620000003"/>
    <n v="9.8480000000000008"/>
    <n v="9.1999999999999993"/>
  </r>
  <r>
    <s v="658-66-3967"/>
    <x v="78"/>
    <d v="1899-12-30T15:42:00"/>
    <n v="1"/>
    <s v="January"/>
    <s v="C"/>
    <s v="Naypyitaw"/>
    <s v="Normal"/>
    <s v="Male"/>
    <x v="35"/>
    <s v="20-70"/>
    <s v="Health and beauty"/>
    <s v="Ewallet"/>
    <n v="53.19"/>
    <n v="7"/>
    <n v="18.616499999999998"/>
    <n v="390.94650000000001"/>
    <n v="372.33"/>
    <n v="4.7619047620000003"/>
    <n v="18.616499999999998"/>
    <n v="5"/>
  </r>
  <r>
    <s v="866-70-2814"/>
    <x v="6"/>
    <d v="1899-12-30T11:58:00"/>
    <n v="2"/>
    <s v="February"/>
    <s v="B"/>
    <s v="Mandalay"/>
    <s v="Normal"/>
    <s v="Female"/>
    <x v="12"/>
    <s v="20-70"/>
    <s v="Electronic accessories"/>
    <s v="Ewallet"/>
    <n v="52.79"/>
    <n v="10"/>
    <n v="26.395"/>
    <n v="554.29499999999996"/>
    <n v="527.9"/>
    <n v="4.7619047620000003"/>
    <n v="26.395"/>
    <n v="10"/>
  </r>
  <r>
    <s v="160-22-2687"/>
    <x v="54"/>
    <d v="1899-12-30T14:21:00"/>
    <n v="1"/>
    <s v="January"/>
    <s v="A"/>
    <s v="Yangon"/>
    <s v="Member"/>
    <s v="Female"/>
    <x v="45"/>
    <s v="20-70"/>
    <s v="Health and beauty"/>
    <s v="Ewallet"/>
    <n v="95.95"/>
    <n v="5"/>
    <n v="23.987500000000001"/>
    <n v="503.73750000000001"/>
    <n v="479.75"/>
    <n v="4.7619047620000003"/>
    <n v="23.987500000000001"/>
    <n v="8.8000000000000007"/>
  </r>
  <r>
    <s v="895-03-6665"/>
    <x v="69"/>
    <d v="1899-12-30T10:52:00"/>
    <n v="2"/>
    <s v="February"/>
    <s v="B"/>
    <s v="Mandalay"/>
    <s v="Normal"/>
    <s v="Female"/>
    <x v="37"/>
    <s v="20-70"/>
    <s v="Fashion accessories"/>
    <s v="Cash"/>
    <n v="36.51"/>
    <n v="9"/>
    <n v="16.429500000000001"/>
    <n v="345.01949999999999"/>
    <n v="328.59"/>
    <n v="4.7619047620000003"/>
    <n v="16.429500000000001"/>
    <n v="4.2"/>
  </r>
  <r>
    <s v="770-42-8960"/>
    <x v="17"/>
    <d v="1899-12-30T19:31:00"/>
    <n v="1"/>
    <s v="January"/>
    <s v="B"/>
    <s v="Mandalay"/>
    <s v="Normal"/>
    <s v="Male"/>
    <x v="35"/>
    <s v="20-70"/>
    <s v="Food and beverages"/>
    <s v="Cash"/>
    <n v="21.12"/>
    <n v="8"/>
    <n v="8.4480000000000004"/>
    <n v="177.40799999999999"/>
    <n v="168.96"/>
    <n v="4.7619047620000003"/>
    <n v="8.4480000000000004"/>
    <n v="6.3"/>
  </r>
  <r>
    <s v="748-45-2862"/>
    <x v="37"/>
    <d v="1899-12-30T18:35:00"/>
    <n v="3"/>
    <s v="March"/>
    <s v="A"/>
    <s v="Yangon"/>
    <s v="Member"/>
    <s v="Female"/>
    <x v="48"/>
    <s v="&gt;70"/>
    <s v="Home and lifestyle"/>
    <s v="Cash"/>
    <n v="28.31"/>
    <n v="4"/>
    <n v="5.6619999999999999"/>
    <n v="118.902"/>
    <n v="113.24"/>
    <n v="4.7619047620000003"/>
    <n v="5.6619999999999999"/>
    <n v="8.1999999999999993"/>
  </r>
  <r>
    <s v="234-36-2483"/>
    <x v="42"/>
    <d v="1899-12-30T13:51:00"/>
    <n v="2"/>
    <s v="February"/>
    <s v="B"/>
    <s v="Mandalay"/>
    <s v="Normal"/>
    <s v="Male"/>
    <x v="66"/>
    <s v="&lt;20"/>
    <s v="Health and beauty"/>
    <s v="Cash"/>
    <n v="57.59"/>
    <n v="6"/>
    <n v="17.277000000000001"/>
    <n v="362.81700000000001"/>
    <n v="345.54"/>
    <n v="4.7619047620000003"/>
    <n v="17.277000000000001"/>
    <n v="5.0999999999999996"/>
  </r>
  <r>
    <s v="316-66-3011"/>
    <x v="54"/>
    <d v="1899-12-30T12:35:00"/>
    <n v="1"/>
    <s v="January"/>
    <s v="A"/>
    <s v="Yangon"/>
    <s v="Member"/>
    <s v="Female"/>
    <x v="59"/>
    <s v="20-70"/>
    <s v="Food and beverages"/>
    <s v="Cash"/>
    <n v="47.63"/>
    <n v="9"/>
    <n v="21.433499999999999"/>
    <n v="450.1035"/>
    <n v="428.67"/>
    <n v="4.7619047620000003"/>
    <n v="21.433499999999999"/>
    <n v="5"/>
  </r>
  <r>
    <s v="848-95-6252"/>
    <x v="9"/>
    <d v="1899-12-30T13:24:00"/>
    <n v="2"/>
    <s v="February"/>
    <s v="C"/>
    <s v="Naypyitaw"/>
    <s v="Member"/>
    <s v="Female"/>
    <x v="7"/>
    <s v="&gt;70"/>
    <s v="Home and lifestyle"/>
    <s v="Ewallet"/>
    <n v="86.27"/>
    <n v="1"/>
    <n v="4.3135000000000003"/>
    <n v="90.583500000000001"/>
    <n v="86.27"/>
    <n v="4.7619047620000003"/>
    <n v="4.3135000000000003"/>
    <n v="7"/>
  </r>
  <r>
    <s v="840-76-5966"/>
    <x v="66"/>
    <d v="1899-12-30T18:06:00"/>
    <n v="1"/>
    <s v="January"/>
    <s v="A"/>
    <s v="Yangon"/>
    <s v="Member"/>
    <s v="Male"/>
    <x v="70"/>
    <s v="&gt;70"/>
    <s v="Sports and travel"/>
    <s v="Ewallet"/>
    <n v="12.76"/>
    <n v="2"/>
    <n v="1.276"/>
    <n v="26.795999999999999"/>
    <n v="25.52"/>
    <n v="4.7619047620000003"/>
    <n v="1.276"/>
    <n v="7.8"/>
  </r>
  <r>
    <s v="152-03-4217"/>
    <x v="85"/>
    <d v="1899-12-30T11:55:00"/>
    <n v="3"/>
    <s v="March"/>
    <s v="B"/>
    <s v="Mandalay"/>
    <s v="Normal"/>
    <s v="Female"/>
    <x v="1"/>
    <s v="20-70"/>
    <s v="Home and lifestyle"/>
    <s v="Credit card"/>
    <n v="11.28"/>
    <n v="9"/>
    <n v="5.0759999999999996"/>
    <n v="106.596"/>
    <n v="101.52"/>
    <n v="4.7619047620000003"/>
    <n v="5.0759999999999996"/>
    <n v="4.3"/>
  </r>
  <r>
    <s v="533-66-5566"/>
    <x v="52"/>
    <d v="1899-12-30T11:42:00"/>
    <n v="1"/>
    <s v="January"/>
    <s v="B"/>
    <s v="Mandalay"/>
    <s v="Normal"/>
    <s v="Female"/>
    <x v="5"/>
    <s v="&gt;70"/>
    <s v="Home and lifestyle"/>
    <s v="Cash"/>
    <n v="51.07"/>
    <n v="7"/>
    <n v="17.874500000000001"/>
    <n v="375.36450000000002"/>
    <n v="357.49"/>
    <n v="4.7619047620000003"/>
    <n v="17.874500000000001"/>
    <n v="7"/>
  </r>
  <r>
    <s v="124-31-1458"/>
    <x v="66"/>
    <d v="1899-12-30T14:30:00"/>
    <n v="1"/>
    <s v="January"/>
    <s v="A"/>
    <s v="Yangon"/>
    <s v="Member"/>
    <s v="Female"/>
    <x v="62"/>
    <s v="20-70"/>
    <s v="Electronic accessories"/>
    <s v="Cash"/>
    <n v="79.59"/>
    <n v="3"/>
    <n v="11.938499999999999"/>
    <n v="250.70849999999999"/>
    <n v="238.77"/>
    <n v="4.7619047620000003"/>
    <n v="11.938499999999999"/>
    <n v="6.6"/>
  </r>
  <r>
    <s v="176-78-1170"/>
    <x v="53"/>
    <d v="1899-12-30T15:11:00"/>
    <n v="1"/>
    <s v="January"/>
    <s v="C"/>
    <s v="Naypyitaw"/>
    <s v="Member"/>
    <s v="Male"/>
    <x v="21"/>
    <s v="20-70"/>
    <s v="Health and beauty"/>
    <s v="Ewallet"/>
    <n v="33.81"/>
    <n v="3"/>
    <n v="5.0715000000000003"/>
    <n v="106.50149999999999"/>
    <n v="101.43"/>
    <n v="4.7619047620000003"/>
    <n v="5.0715000000000003"/>
    <n v="7.3"/>
  </r>
  <r>
    <s v="361-59-0574"/>
    <x v="20"/>
    <d v="1899-12-30T14:48:00"/>
    <n v="3"/>
    <s v="March"/>
    <s v="B"/>
    <s v="Mandalay"/>
    <s v="Member"/>
    <s v="Male"/>
    <x v="60"/>
    <s v="&gt;70"/>
    <s v="Sports and travel"/>
    <s v="Credit card"/>
    <n v="90.53"/>
    <n v="8"/>
    <n v="36.212000000000003"/>
    <n v="760.452"/>
    <n v="724.24"/>
    <n v="4.7619047620000003"/>
    <n v="36.212000000000003"/>
    <n v="6.5"/>
  </r>
  <r>
    <s v="101-81-4070"/>
    <x v="29"/>
    <d v="1899-12-30T12:36:00"/>
    <n v="1"/>
    <s v="January"/>
    <s v="C"/>
    <s v="Naypyitaw"/>
    <s v="Member"/>
    <s v="Female"/>
    <x v="72"/>
    <s v="20-70"/>
    <s v="Health and beauty"/>
    <s v="Ewallet"/>
    <n v="62.82"/>
    <n v="2"/>
    <n v="6.282"/>
    <n v="131.922"/>
    <n v="125.64"/>
    <n v="4.7619047620000003"/>
    <n v="6.282"/>
    <n v="4.9000000000000004"/>
  </r>
  <r>
    <s v="631-34-1880"/>
    <x v="66"/>
    <d v="1899-12-30T19:09:00"/>
    <n v="1"/>
    <s v="January"/>
    <s v="C"/>
    <s v="Naypyitaw"/>
    <s v="Member"/>
    <s v="Male"/>
    <x v="69"/>
    <s v="20-70"/>
    <s v="Food and beverages"/>
    <s v="Credit card"/>
    <n v="24.31"/>
    <n v="3"/>
    <n v="3.6465000000000001"/>
    <n v="76.576499999999996"/>
    <n v="72.930000000000007"/>
    <n v="4.7619047620000003"/>
    <n v="3.6465000000000001"/>
    <n v="4.3"/>
  </r>
  <r>
    <s v="852-82-2749"/>
    <x v="47"/>
    <d v="1899-12-30T13:35:00"/>
    <n v="1"/>
    <s v="January"/>
    <s v="A"/>
    <s v="Yangon"/>
    <s v="Normal"/>
    <s v="Male"/>
    <x v="75"/>
    <s v="20-70"/>
    <s v="Sports and travel"/>
    <s v="Ewallet"/>
    <n v="64.59"/>
    <n v="4"/>
    <n v="12.917999999999999"/>
    <n v="271.27800000000002"/>
    <n v="258.36"/>
    <n v="4.7619047620000003"/>
    <n v="12.917999999999999"/>
    <n v="9.3000000000000007"/>
  </r>
  <r>
    <s v="873-14-6353"/>
    <x v="69"/>
    <d v="1899-12-30T10:33:00"/>
    <n v="2"/>
    <s v="February"/>
    <s v="A"/>
    <s v="Yangon"/>
    <s v="Member"/>
    <s v="Male"/>
    <x v="7"/>
    <s v="&gt;70"/>
    <s v="Food and beverages"/>
    <s v="Credit card"/>
    <n v="24.82"/>
    <n v="7"/>
    <n v="8.6869999999999994"/>
    <n v="182.42699999999999"/>
    <n v="173.74"/>
    <n v="4.7619047620000003"/>
    <n v="8.6869999999999994"/>
    <n v="7.1"/>
  </r>
  <r>
    <s v="584-66-4073"/>
    <x v="45"/>
    <d v="1899-12-30T15:45:00"/>
    <n v="3"/>
    <s v="March"/>
    <s v="C"/>
    <s v="Naypyitaw"/>
    <s v="Normal"/>
    <s v="Male"/>
    <x v="60"/>
    <s v="&gt;70"/>
    <s v="Fashion accessories"/>
    <s v="Ewallet"/>
    <n v="56.5"/>
    <n v="1"/>
    <n v="2.8250000000000002"/>
    <n v="59.325000000000003"/>
    <n v="56.5"/>
    <n v="4.7619047620000003"/>
    <n v="2.8250000000000002"/>
    <n v="9.6"/>
  </r>
  <r>
    <s v="544-55-9589"/>
    <x v="26"/>
    <d v="1899-12-30T11:51:00"/>
    <n v="1"/>
    <s v="January"/>
    <s v="B"/>
    <s v="Mandalay"/>
    <s v="Member"/>
    <s v="Female"/>
    <x v="70"/>
    <s v="&gt;70"/>
    <s v="Electronic accessories"/>
    <s v="Cash"/>
    <n v="21.43"/>
    <n v="10"/>
    <n v="10.715"/>
    <n v="225.01499999999999"/>
    <n v="214.3"/>
    <n v="4.7619047620000003"/>
    <n v="10.715"/>
    <n v="6.2"/>
  </r>
  <r>
    <s v="166-19-2553"/>
    <x v="68"/>
    <d v="1899-12-30T17:26:00"/>
    <n v="1"/>
    <s v="January"/>
    <s v="A"/>
    <s v="Yangon"/>
    <s v="Member"/>
    <s v="Male"/>
    <x v="0"/>
    <s v="&lt;20"/>
    <s v="Sports and travel"/>
    <s v="Cash"/>
    <n v="89.06"/>
    <n v="6"/>
    <n v="26.718"/>
    <n v="561.07799999999997"/>
    <n v="534.36"/>
    <n v="4.7619047620000003"/>
    <n v="26.718"/>
    <n v="9.9"/>
  </r>
  <r>
    <s v="737-88-5876"/>
    <x v="35"/>
    <d v="1899-12-30T11:52:00"/>
    <n v="3"/>
    <s v="March"/>
    <s v="A"/>
    <s v="Yangon"/>
    <s v="Member"/>
    <s v="Male"/>
    <x v="10"/>
    <s v="20-70"/>
    <s v="Home and lifestyle"/>
    <s v="Credit card"/>
    <n v="23.29"/>
    <n v="4"/>
    <n v="4.6580000000000004"/>
    <n v="97.817999999999998"/>
    <n v="93.16"/>
    <n v="4.7619047620000003"/>
    <n v="4.6580000000000004"/>
    <n v="5.9"/>
  </r>
  <r>
    <s v="154-87-7367"/>
    <x v="20"/>
    <d v="1899-12-30T14:04:00"/>
    <n v="3"/>
    <s v="March"/>
    <s v="C"/>
    <s v="Naypyitaw"/>
    <s v="Normal"/>
    <s v="Male"/>
    <x v="12"/>
    <s v="20-70"/>
    <s v="Home and lifestyle"/>
    <s v="Ewallet"/>
    <n v="65.260000000000005"/>
    <n v="8"/>
    <n v="26.103999999999999"/>
    <n v="548.18399999999997"/>
    <n v="522.08000000000004"/>
    <n v="4.7619047620000003"/>
    <n v="26.103999999999999"/>
    <n v="6.3"/>
  </r>
  <r>
    <s v="885-56-0389"/>
    <x v="12"/>
    <d v="1899-12-30T17:49:00"/>
    <n v="2"/>
    <s v="February"/>
    <s v="C"/>
    <s v="Naypyitaw"/>
    <s v="Member"/>
    <s v="Male"/>
    <x v="17"/>
    <s v="&gt;70"/>
    <s v="Fashion accessories"/>
    <s v="Cash"/>
    <n v="52.35"/>
    <n v="1"/>
    <n v="2.6175000000000002"/>
    <n v="54.967500000000001"/>
    <n v="52.35"/>
    <n v="4.7619047620000003"/>
    <n v="2.6175000000000002"/>
    <n v="4"/>
  </r>
  <r>
    <s v="608-05-3804"/>
    <x v="6"/>
    <d v="1899-12-30T20:19:00"/>
    <n v="2"/>
    <s v="February"/>
    <s v="B"/>
    <s v="Mandalay"/>
    <s v="Member"/>
    <s v="Male"/>
    <x v="70"/>
    <s v="&gt;70"/>
    <s v="Electronic accessories"/>
    <s v="Cash"/>
    <n v="39.75"/>
    <n v="1"/>
    <n v="1.9875"/>
    <n v="41.737499999999997"/>
    <n v="39.75"/>
    <n v="4.7619047620000003"/>
    <n v="1.9875"/>
    <n v="6.1"/>
  </r>
  <r>
    <s v="448-61-3783"/>
    <x v="76"/>
    <d v="1899-12-30T16:08:00"/>
    <n v="3"/>
    <s v="March"/>
    <s v="A"/>
    <s v="Yangon"/>
    <s v="Normal"/>
    <s v="Female"/>
    <x v="48"/>
    <s v="&gt;70"/>
    <s v="Electronic accessories"/>
    <s v="Credit card"/>
    <n v="90.02"/>
    <n v="8"/>
    <n v="36.008000000000003"/>
    <n v="756.16800000000001"/>
    <n v="720.16"/>
    <n v="4.7619047620000003"/>
    <n v="36.008000000000003"/>
    <n v="4.5"/>
  </r>
  <r>
    <s v="761-49-0439"/>
    <x v="64"/>
    <d v="1899-12-30T10:17:00"/>
    <n v="1"/>
    <s v="January"/>
    <s v="B"/>
    <s v="Mandalay"/>
    <s v="Member"/>
    <s v="Female"/>
    <x v="63"/>
    <s v="20-70"/>
    <s v="Electronic accessories"/>
    <s v="Ewallet"/>
    <n v="12.1"/>
    <n v="8"/>
    <n v="4.84"/>
    <n v="101.64"/>
    <n v="96.8"/>
    <n v="4.7619047620000003"/>
    <n v="4.84"/>
    <n v="8.6"/>
  </r>
  <r>
    <s v="490-95-0021"/>
    <x v="66"/>
    <d v="1899-12-30T14:25:00"/>
    <n v="1"/>
    <s v="January"/>
    <s v="B"/>
    <s v="Mandalay"/>
    <s v="Member"/>
    <s v="Female"/>
    <x v="11"/>
    <s v="&gt;70"/>
    <s v="Food and beverages"/>
    <s v="Ewallet"/>
    <n v="33.21"/>
    <n v="10"/>
    <n v="16.605"/>
    <n v="348.70499999999998"/>
    <n v="332.1"/>
    <n v="4.7619047620000003"/>
    <n v="16.605"/>
    <n v="6"/>
  </r>
  <r>
    <s v="115-38-7388"/>
    <x v="73"/>
    <d v="1899-12-30T12:51:00"/>
    <n v="3"/>
    <s v="March"/>
    <s v="C"/>
    <s v="Naypyitaw"/>
    <s v="Member"/>
    <s v="Female"/>
    <x v="5"/>
    <s v="&gt;70"/>
    <s v="Fashion accessories"/>
    <s v="Credit card"/>
    <n v="10.18"/>
    <n v="8"/>
    <n v="4.0720000000000001"/>
    <n v="85.512"/>
    <n v="81.44"/>
    <n v="4.7619047620000003"/>
    <n v="4.0720000000000001"/>
    <n v="9.5"/>
  </r>
  <r>
    <s v="311-13-6971"/>
    <x v="9"/>
    <d v="1899-12-30T15:18:00"/>
    <n v="2"/>
    <s v="February"/>
    <s v="B"/>
    <s v="Mandalay"/>
    <s v="Member"/>
    <s v="Male"/>
    <x v="54"/>
    <s v="20-70"/>
    <s v="Sports and travel"/>
    <s v="Credit card"/>
    <n v="31.99"/>
    <n v="10"/>
    <n v="15.994999999999999"/>
    <n v="335.89499999999998"/>
    <n v="319.89999999999998"/>
    <n v="4.7619047620000003"/>
    <n v="15.994999999999999"/>
    <n v="9.9"/>
  </r>
  <r>
    <s v="291-55-6563"/>
    <x v="73"/>
    <d v="1899-12-30T12:45:00"/>
    <n v="3"/>
    <s v="March"/>
    <s v="A"/>
    <s v="Yangon"/>
    <s v="Member"/>
    <s v="Female"/>
    <x v="69"/>
    <s v="20-70"/>
    <s v="Home and lifestyle"/>
    <s v="Ewallet"/>
    <n v="34.42"/>
    <n v="6"/>
    <n v="10.326000000000001"/>
    <n v="216.846"/>
    <n v="206.52"/>
    <n v="4.7619047620000003"/>
    <n v="10.326000000000001"/>
    <n v="7.5"/>
  </r>
  <r>
    <s v="548-48-3156"/>
    <x v="35"/>
    <d v="1899-12-30T13:37:00"/>
    <n v="3"/>
    <s v="March"/>
    <s v="A"/>
    <s v="Yangon"/>
    <s v="Member"/>
    <s v="Female"/>
    <x v="69"/>
    <s v="20-70"/>
    <s v="Food and beverages"/>
    <s v="Cash"/>
    <n v="83.34"/>
    <n v="2"/>
    <n v="8.3339999999999996"/>
    <n v="175.01400000000001"/>
    <n v="166.68"/>
    <n v="4.7619047620000003"/>
    <n v="8.3339999999999996"/>
    <n v="7.6"/>
  </r>
  <r>
    <s v="460-93-5834"/>
    <x v="50"/>
    <d v="1899-12-30T10:03:00"/>
    <n v="1"/>
    <s v="January"/>
    <s v="A"/>
    <s v="Yangon"/>
    <s v="Normal"/>
    <s v="Male"/>
    <x v="50"/>
    <s v="20-70"/>
    <s v="Sports and travel"/>
    <s v="Cash"/>
    <n v="45.58"/>
    <n v="7"/>
    <n v="15.952999999999999"/>
    <n v="335.01299999999998"/>
    <n v="319.06"/>
    <n v="4.7619047620000003"/>
    <n v="15.952999999999999"/>
    <n v="5"/>
  </r>
  <r>
    <s v="325-89-4209"/>
    <x v="63"/>
    <d v="1899-12-30T19:42:00"/>
    <n v="2"/>
    <s v="February"/>
    <s v="A"/>
    <s v="Yangon"/>
    <s v="Member"/>
    <s v="Male"/>
    <x v="40"/>
    <s v="20-70"/>
    <s v="Food and beverages"/>
    <s v="Ewallet"/>
    <n v="87.9"/>
    <n v="1"/>
    <n v="4.3949999999999996"/>
    <n v="92.295000000000002"/>
    <n v="87.9"/>
    <n v="4.7619047620000003"/>
    <n v="4.3949999999999996"/>
    <n v="6.7"/>
  </r>
  <r>
    <s v="884-80-6021"/>
    <x v="28"/>
    <d v="1899-12-30T13:14:00"/>
    <n v="3"/>
    <s v="March"/>
    <s v="A"/>
    <s v="Yangon"/>
    <s v="Member"/>
    <s v="Female"/>
    <x v="5"/>
    <s v="&gt;70"/>
    <s v="Electronic accessories"/>
    <s v="Ewallet"/>
    <n v="73.47"/>
    <n v="10"/>
    <n v="36.734999999999999"/>
    <n v="771.43499999999995"/>
    <n v="734.7"/>
    <n v="4.7619047620000003"/>
    <n v="36.734999999999999"/>
    <n v="9.5"/>
  </r>
  <r>
    <s v="137-74-8729"/>
    <x v="45"/>
    <d v="1899-12-30T12:47:00"/>
    <n v="3"/>
    <s v="March"/>
    <s v="C"/>
    <s v="Naypyitaw"/>
    <s v="Normal"/>
    <s v="Female"/>
    <x v="52"/>
    <s v="20-70"/>
    <s v="Fashion accessories"/>
    <s v="Ewallet"/>
    <n v="12.19"/>
    <n v="8"/>
    <n v="4.8760000000000003"/>
    <n v="102.396"/>
    <n v="97.52"/>
    <n v="4.7619047620000003"/>
    <n v="4.8760000000000003"/>
    <n v="6.8"/>
  </r>
  <r>
    <s v="880-46-5796"/>
    <x v="85"/>
    <d v="1899-12-30T19:53:00"/>
    <n v="3"/>
    <s v="March"/>
    <s v="A"/>
    <s v="Yangon"/>
    <s v="Member"/>
    <s v="Male"/>
    <x v="20"/>
    <s v="&lt;20"/>
    <s v="Sports and travel"/>
    <s v="Ewallet"/>
    <n v="76.92"/>
    <n v="10"/>
    <n v="38.46"/>
    <n v="807.66"/>
    <n v="769.2"/>
    <n v="4.7619047620000003"/>
    <n v="38.46"/>
    <n v="5.6"/>
  </r>
  <r>
    <s v="389-70-2397"/>
    <x v="81"/>
    <d v="1899-12-30T10:26:00"/>
    <n v="2"/>
    <s v="February"/>
    <s v="C"/>
    <s v="Naypyitaw"/>
    <s v="Normal"/>
    <s v="Female"/>
    <x v="34"/>
    <s v="&gt;70"/>
    <s v="Health and beauty"/>
    <s v="Cash"/>
    <n v="83.66"/>
    <n v="5"/>
    <n v="20.914999999999999"/>
    <n v="439.21499999999997"/>
    <n v="418.3"/>
    <n v="4.7619047620000003"/>
    <n v="20.914999999999999"/>
    <n v="7.2"/>
  </r>
  <r>
    <s v="114-35-5271"/>
    <x v="13"/>
    <d v="1899-12-30T15:06:00"/>
    <n v="2"/>
    <s v="February"/>
    <s v="B"/>
    <s v="Mandalay"/>
    <s v="Normal"/>
    <s v="Female"/>
    <x v="32"/>
    <s v="20-70"/>
    <s v="Electronic accessories"/>
    <s v="Cash"/>
    <n v="57.91"/>
    <n v="8"/>
    <n v="23.164000000000001"/>
    <n v="486.44400000000002"/>
    <n v="463.28"/>
    <n v="4.7619047620000003"/>
    <n v="23.164000000000001"/>
    <n v="8.1"/>
  </r>
  <r>
    <s v="607-76-6216"/>
    <x v="22"/>
    <d v="1899-12-30T16:35:00"/>
    <n v="3"/>
    <s v="March"/>
    <s v="C"/>
    <s v="Naypyitaw"/>
    <s v="Member"/>
    <s v="Female"/>
    <x v="48"/>
    <s v="&gt;70"/>
    <s v="Fashion accessories"/>
    <s v="Credit card"/>
    <n v="92.49"/>
    <n v="5"/>
    <n v="23.122499999999999"/>
    <n v="485.57249999999999"/>
    <n v="462.45"/>
    <n v="4.7619047620000003"/>
    <n v="23.122499999999999"/>
    <n v="8.6"/>
  </r>
  <r>
    <s v="715-20-1673"/>
    <x v="43"/>
    <d v="1899-12-30T20:57:00"/>
    <n v="3"/>
    <s v="March"/>
    <s v="B"/>
    <s v="Mandalay"/>
    <s v="Normal"/>
    <s v="Male"/>
    <x v="74"/>
    <s v="&gt;70"/>
    <s v="Electronic accessories"/>
    <s v="Cash"/>
    <n v="28.38"/>
    <n v="5"/>
    <n v="7.0949999999999998"/>
    <n v="148.995"/>
    <n v="141.9"/>
    <n v="4.7619047620000003"/>
    <n v="7.0949999999999998"/>
    <n v="9.4"/>
  </r>
  <r>
    <s v="811-35-1094"/>
    <x v="10"/>
    <d v="1899-12-30T15:16:00"/>
    <n v="2"/>
    <s v="February"/>
    <s v="B"/>
    <s v="Mandalay"/>
    <s v="Member"/>
    <s v="Male"/>
    <x v="52"/>
    <s v="20-70"/>
    <s v="Electronic accessories"/>
    <s v="Credit card"/>
    <n v="50.45"/>
    <n v="6"/>
    <n v="15.135"/>
    <n v="317.83499999999998"/>
    <n v="302.7"/>
    <n v="4.7619047620000003"/>
    <n v="15.135"/>
    <n v="8.9"/>
  </r>
  <r>
    <s v="699-88-1972"/>
    <x v="26"/>
    <d v="1899-12-30T17:47:00"/>
    <n v="1"/>
    <s v="January"/>
    <s v="B"/>
    <s v="Mandalay"/>
    <s v="Normal"/>
    <s v="Male"/>
    <x v="35"/>
    <s v="20-70"/>
    <s v="Health and beauty"/>
    <s v="Credit card"/>
    <n v="99.16"/>
    <n v="8"/>
    <n v="39.664000000000001"/>
    <n v="832.94399999999996"/>
    <n v="793.28"/>
    <n v="4.7619047620000003"/>
    <n v="39.664000000000001"/>
    <n v="4.2"/>
  </r>
  <r>
    <s v="781-84-8059"/>
    <x v="68"/>
    <d v="1899-12-30T16:23:00"/>
    <n v="1"/>
    <s v="January"/>
    <s v="C"/>
    <s v="Naypyitaw"/>
    <s v="Normal"/>
    <s v="Male"/>
    <x v="46"/>
    <s v="20-70"/>
    <s v="Fashion accessories"/>
    <s v="Ewallet"/>
    <n v="60.74"/>
    <n v="7"/>
    <n v="21.259"/>
    <n v="446.43900000000002"/>
    <n v="425.18"/>
    <n v="4.7619047620000003"/>
    <n v="21.259"/>
    <n v="5"/>
  </r>
  <r>
    <s v="409-49-6995"/>
    <x v="63"/>
    <d v="1899-12-30T10:17:00"/>
    <n v="2"/>
    <s v="February"/>
    <s v="C"/>
    <s v="Naypyitaw"/>
    <s v="Member"/>
    <s v="Female"/>
    <x v="19"/>
    <s v="20-70"/>
    <s v="Food and beverages"/>
    <s v="Cash"/>
    <n v="47.27"/>
    <n v="6"/>
    <n v="14.180999999999999"/>
    <n v="297.80099999999999"/>
    <n v="283.62"/>
    <n v="4.7619047620000003"/>
    <n v="14.180999999999999"/>
    <n v="8.8000000000000007"/>
  </r>
  <r>
    <s v="725-54-0677"/>
    <x v="22"/>
    <d v="1899-12-30T13:50:00"/>
    <n v="3"/>
    <s v="March"/>
    <s v="C"/>
    <s v="Naypyitaw"/>
    <s v="Member"/>
    <s v="Male"/>
    <x v="39"/>
    <s v="20-70"/>
    <s v="Health and beauty"/>
    <s v="Cash"/>
    <n v="85.6"/>
    <n v="7"/>
    <n v="29.96"/>
    <n v="629.16"/>
    <n v="599.20000000000005"/>
    <n v="4.7619047620000003"/>
    <n v="29.96"/>
    <n v="5.3"/>
  </r>
  <r>
    <s v="146-09-5432"/>
    <x v="57"/>
    <d v="1899-12-30T19:17:00"/>
    <n v="2"/>
    <s v="February"/>
    <s v="A"/>
    <s v="Yangon"/>
    <s v="Member"/>
    <s v="Male"/>
    <x v="56"/>
    <s v="&lt;20"/>
    <s v="Food and beverages"/>
    <s v="Ewallet"/>
    <n v="35.04"/>
    <n v="9"/>
    <n v="15.768000000000001"/>
    <n v="331.12799999999999"/>
    <n v="315.36"/>
    <n v="4.7619047620000003"/>
    <n v="15.768000000000001"/>
    <n v="4.5999999999999996"/>
  </r>
  <r>
    <s v="377-79-7592"/>
    <x v="78"/>
    <d v="1899-12-30T14:00:00"/>
    <n v="1"/>
    <s v="January"/>
    <s v="C"/>
    <s v="Naypyitaw"/>
    <s v="Member"/>
    <s v="Female"/>
    <x v="53"/>
    <s v="20-70"/>
    <s v="Electronic accessories"/>
    <s v="Credit card"/>
    <n v="44.84"/>
    <n v="9"/>
    <n v="20.178000000000001"/>
    <n v="423.738"/>
    <n v="403.56"/>
    <n v="4.7619047620000003"/>
    <n v="20.178000000000001"/>
    <n v="7.5"/>
  </r>
  <r>
    <s v="509-10-0516"/>
    <x v="57"/>
    <d v="1899-12-30T12:02:00"/>
    <n v="2"/>
    <s v="February"/>
    <s v="B"/>
    <s v="Mandalay"/>
    <s v="Normal"/>
    <s v="Male"/>
    <x v="5"/>
    <s v="&gt;70"/>
    <s v="Home and lifestyle"/>
    <s v="Ewallet"/>
    <n v="45.97"/>
    <n v="4"/>
    <n v="9.1940000000000008"/>
    <n v="193.07400000000001"/>
    <n v="183.88"/>
    <n v="4.7619047620000003"/>
    <n v="9.1940000000000008"/>
    <n v="5.0999999999999996"/>
  </r>
  <r>
    <s v="595-94-9924"/>
    <x v="58"/>
    <d v="1899-12-30T20:21:00"/>
    <n v="3"/>
    <s v="March"/>
    <s v="A"/>
    <s v="Yangon"/>
    <s v="Member"/>
    <s v="Female"/>
    <x v="50"/>
    <s v="20-70"/>
    <s v="Health and beauty"/>
    <s v="Credit card"/>
    <n v="27.73"/>
    <n v="5"/>
    <n v="6.9325000000000001"/>
    <n v="145.58250000000001"/>
    <n v="138.65"/>
    <n v="4.7619047620000003"/>
    <n v="6.9325000000000001"/>
    <n v="4.2"/>
  </r>
  <r>
    <s v="865-41-9075"/>
    <x v="26"/>
    <d v="1899-12-30T17:35:00"/>
    <n v="1"/>
    <s v="January"/>
    <s v="A"/>
    <s v="Yangon"/>
    <s v="Normal"/>
    <s v="Male"/>
    <x v="46"/>
    <s v="20-70"/>
    <s v="Food and beverages"/>
    <s v="Cash"/>
    <n v="11.53"/>
    <n v="7"/>
    <n v="4.0354999999999999"/>
    <n v="84.745500000000007"/>
    <n v="80.709999999999994"/>
    <n v="4.7619047620000003"/>
    <n v="4.0354999999999999"/>
    <n v="8.1"/>
  </r>
  <r>
    <s v="545-07-8534"/>
    <x v="44"/>
    <d v="1899-12-30T12:42:00"/>
    <n v="2"/>
    <s v="February"/>
    <s v="C"/>
    <s v="Naypyitaw"/>
    <s v="Normal"/>
    <s v="Female"/>
    <x v="74"/>
    <s v="&gt;70"/>
    <s v="Health and beauty"/>
    <s v="Ewallet"/>
    <n v="58.32"/>
    <n v="2"/>
    <n v="5.8319999999999999"/>
    <n v="122.47199999999999"/>
    <n v="116.64"/>
    <n v="4.7619047620000003"/>
    <n v="5.8319999999999999"/>
    <n v="6"/>
  </r>
  <r>
    <s v="118-62-1812"/>
    <x v="62"/>
    <d v="1899-12-30T17:56:00"/>
    <n v="3"/>
    <s v="March"/>
    <s v="C"/>
    <s v="Naypyitaw"/>
    <s v="Member"/>
    <s v="Female"/>
    <x v="23"/>
    <s v="20-70"/>
    <s v="Home and lifestyle"/>
    <s v="Cash"/>
    <n v="78.38"/>
    <n v="4"/>
    <n v="15.676"/>
    <n v="329.19600000000003"/>
    <n v="313.52"/>
    <n v="4.7619047620000003"/>
    <n v="15.676"/>
    <n v="7.9"/>
  </r>
  <r>
    <s v="450-42-3339"/>
    <x v="57"/>
    <d v="1899-12-30T18:58:00"/>
    <n v="2"/>
    <s v="February"/>
    <s v="C"/>
    <s v="Naypyitaw"/>
    <s v="Normal"/>
    <s v="Male"/>
    <x v="65"/>
    <s v="&gt;70"/>
    <s v="Health and beauty"/>
    <s v="Credit card"/>
    <n v="84.61"/>
    <n v="10"/>
    <n v="42.305"/>
    <n v="888.40499999999997"/>
    <n v="846.1"/>
    <n v="4.7619047620000003"/>
    <n v="42.305"/>
    <n v="8.8000000000000007"/>
  </r>
  <r>
    <s v="851-98-3555"/>
    <x v="62"/>
    <d v="1899-12-30T14:08:00"/>
    <n v="3"/>
    <s v="March"/>
    <s v="B"/>
    <s v="Mandalay"/>
    <s v="Normal"/>
    <s v="Female"/>
    <x v="22"/>
    <s v="20-70"/>
    <s v="Health and beauty"/>
    <s v="Credit card"/>
    <n v="82.88"/>
    <n v="5"/>
    <n v="20.72"/>
    <n v="435.12"/>
    <n v="414.4"/>
    <n v="4.7619047620000003"/>
    <n v="20.72"/>
    <n v="6.6"/>
  </r>
  <r>
    <s v="186-71-5196"/>
    <x v="39"/>
    <d v="1899-12-30T16:30:00"/>
    <n v="3"/>
    <s v="March"/>
    <s v="A"/>
    <s v="Yangon"/>
    <s v="Member"/>
    <s v="Female"/>
    <x v="20"/>
    <s v="&lt;20"/>
    <s v="Food and beverages"/>
    <s v="Ewallet"/>
    <n v="79.540000000000006"/>
    <n v="2"/>
    <n v="7.9539999999999997"/>
    <n v="167.03399999999999"/>
    <n v="159.08000000000001"/>
    <n v="4.7619047620000003"/>
    <n v="7.9539999999999997"/>
    <n v="6.2"/>
  </r>
  <r>
    <s v="624-01-8356"/>
    <x v="3"/>
    <d v="1899-12-30T10:44:00"/>
    <n v="1"/>
    <s v="January"/>
    <s v="B"/>
    <s v="Mandalay"/>
    <s v="Normal"/>
    <s v="Female"/>
    <x v="60"/>
    <s v="&gt;70"/>
    <s v="Home and lifestyle"/>
    <s v="Credit card"/>
    <n v="49.01"/>
    <n v="10"/>
    <n v="24.504999999999999"/>
    <n v="514.60500000000002"/>
    <n v="490.1"/>
    <n v="4.7619047620000003"/>
    <n v="24.504999999999999"/>
    <n v="4.2"/>
  </r>
  <r>
    <s v="313-66-9943"/>
    <x v="39"/>
    <d v="1899-12-30T20:29:00"/>
    <n v="3"/>
    <s v="March"/>
    <s v="B"/>
    <s v="Mandalay"/>
    <s v="Member"/>
    <s v="Female"/>
    <x v="5"/>
    <s v="&gt;70"/>
    <s v="Food and beverages"/>
    <s v="Credit card"/>
    <n v="29.15"/>
    <n v="3"/>
    <n v="4.3724999999999996"/>
    <n v="91.822500000000005"/>
    <n v="87.45"/>
    <n v="4.7619047620000003"/>
    <n v="4.3724999999999996"/>
    <n v="7.3"/>
  </r>
  <r>
    <s v="151-27-8496"/>
    <x v="64"/>
    <d v="1899-12-30T11:43:00"/>
    <n v="1"/>
    <s v="January"/>
    <s v="C"/>
    <s v="Naypyitaw"/>
    <s v="Normal"/>
    <s v="Female"/>
    <x v="50"/>
    <s v="20-70"/>
    <s v="Electronic accessories"/>
    <s v="Ewallet"/>
    <n v="56.13"/>
    <n v="4"/>
    <n v="11.226000000000001"/>
    <n v="235.74600000000001"/>
    <n v="224.52"/>
    <n v="4.7619047620000003"/>
    <n v="11.226000000000001"/>
    <n v="8.6"/>
  </r>
  <r>
    <s v="453-33-6436"/>
    <x v="13"/>
    <d v="1899-12-30T10:09:00"/>
    <n v="2"/>
    <s v="February"/>
    <s v="A"/>
    <s v="Yangon"/>
    <s v="Normal"/>
    <s v="Female"/>
    <x v="68"/>
    <s v="20-70"/>
    <s v="Home and lifestyle"/>
    <s v="Cash"/>
    <n v="93.12"/>
    <n v="8"/>
    <n v="37.247999999999998"/>
    <n v="782.20799999999997"/>
    <n v="744.96"/>
    <n v="4.7619047620000003"/>
    <n v="37.247999999999998"/>
    <n v="6.8"/>
  </r>
  <r>
    <s v="522-57-8364"/>
    <x v="82"/>
    <d v="1899-12-30T10:00:00"/>
    <n v="1"/>
    <s v="January"/>
    <s v="A"/>
    <s v="Yangon"/>
    <s v="Member"/>
    <s v="Male"/>
    <x v="37"/>
    <s v="20-70"/>
    <s v="Fashion accessories"/>
    <s v="Ewallet"/>
    <n v="51.34"/>
    <n v="8"/>
    <n v="20.536000000000001"/>
    <n v="431.25599999999997"/>
    <n v="410.72"/>
    <n v="4.7619047620000003"/>
    <n v="20.536000000000001"/>
    <n v="7.6"/>
  </r>
  <r>
    <s v="459-45-2396"/>
    <x v="6"/>
    <d v="1899-12-30T18:45:00"/>
    <n v="2"/>
    <s v="February"/>
    <s v="A"/>
    <s v="Yangon"/>
    <s v="Member"/>
    <s v="Female"/>
    <x v="74"/>
    <s v="&gt;70"/>
    <s v="Food and beverages"/>
    <s v="Cash"/>
    <n v="99.6"/>
    <n v="3"/>
    <n v="14.94"/>
    <n v="313.74"/>
    <n v="298.8"/>
    <n v="4.7619047620000003"/>
    <n v="14.94"/>
    <n v="5.8"/>
  </r>
  <r>
    <s v="717-96-4189"/>
    <x v="30"/>
    <d v="1899-12-30T12:40:00"/>
    <n v="2"/>
    <s v="February"/>
    <s v="C"/>
    <s v="Naypyitaw"/>
    <s v="Normal"/>
    <s v="Female"/>
    <x v="28"/>
    <s v="20-70"/>
    <s v="Electronic accessories"/>
    <s v="Cash"/>
    <n v="35.49"/>
    <n v="6"/>
    <n v="10.647"/>
    <n v="223.58699999999999"/>
    <n v="212.94"/>
    <n v="4.7619047620000003"/>
    <n v="10.647"/>
    <n v="4.0999999999999996"/>
  </r>
  <r>
    <s v="722-13-2115"/>
    <x v="86"/>
    <d v="1899-12-30T15:36:00"/>
    <n v="3"/>
    <s v="March"/>
    <s v="C"/>
    <s v="Naypyitaw"/>
    <s v="Member"/>
    <s v="Male"/>
    <x v="11"/>
    <s v="&gt;70"/>
    <s v="Sports and travel"/>
    <s v="Credit card"/>
    <n v="42.85"/>
    <n v="1"/>
    <n v="2.1425000000000001"/>
    <n v="44.9925"/>
    <n v="42.85"/>
    <n v="4.7619047620000003"/>
    <n v="2.1425000000000001"/>
    <n v="9.3000000000000007"/>
  </r>
  <r>
    <s v="749-81-8133"/>
    <x v="16"/>
    <d v="1899-12-30T12:04:00"/>
    <n v="3"/>
    <s v="March"/>
    <s v="A"/>
    <s v="Yangon"/>
    <s v="Normal"/>
    <s v="Female"/>
    <x v="53"/>
    <s v="20-70"/>
    <s v="Fashion accessories"/>
    <s v="Cash"/>
    <n v="94.67"/>
    <n v="4"/>
    <n v="18.934000000000001"/>
    <n v="397.61399999999998"/>
    <n v="378.68"/>
    <n v="4.7619047620000003"/>
    <n v="18.934000000000001"/>
    <n v="6.8"/>
  </r>
  <r>
    <s v="777-67-2495"/>
    <x v="70"/>
    <d v="1899-12-30T11:26:00"/>
    <n v="2"/>
    <s v="February"/>
    <s v="B"/>
    <s v="Mandalay"/>
    <s v="Normal"/>
    <s v="Male"/>
    <x v="20"/>
    <s v="&lt;20"/>
    <s v="Home and lifestyle"/>
    <s v="Ewallet"/>
    <n v="68.97"/>
    <n v="3"/>
    <n v="10.345499999999999"/>
    <n v="217.25550000000001"/>
    <n v="206.91"/>
    <n v="4.7619047620000003"/>
    <n v="10.345499999999999"/>
    <n v="8.6999999999999993"/>
  </r>
  <r>
    <s v="636-98-3364"/>
    <x v="22"/>
    <d v="1899-12-30T12:36:00"/>
    <n v="3"/>
    <s v="March"/>
    <s v="B"/>
    <s v="Mandalay"/>
    <s v="Member"/>
    <s v="Female"/>
    <x v="31"/>
    <s v="&gt;70"/>
    <s v="Electronic accessories"/>
    <s v="Ewallet"/>
    <n v="26.26"/>
    <n v="3"/>
    <n v="3.9390000000000001"/>
    <n v="82.718999999999994"/>
    <n v="78.78"/>
    <n v="4.7619047620000003"/>
    <n v="3.9390000000000001"/>
    <n v="6.3"/>
  </r>
  <r>
    <s v="246-55-6923"/>
    <x v="24"/>
    <d v="1899-12-30T15:06:00"/>
    <n v="3"/>
    <s v="March"/>
    <s v="C"/>
    <s v="Naypyitaw"/>
    <s v="Member"/>
    <s v="Female"/>
    <x v="50"/>
    <s v="20-70"/>
    <s v="Home and lifestyle"/>
    <s v="Credit card"/>
    <n v="35.79"/>
    <n v="9"/>
    <n v="16.105499999999999"/>
    <n v="338.21550000000002"/>
    <n v="322.11"/>
    <n v="4.7619047620000003"/>
    <n v="16.105499999999999"/>
    <n v="5.0999999999999996"/>
  </r>
  <r>
    <s v="181-82-6255"/>
    <x v="4"/>
    <d v="1899-12-30T10:58:00"/>
    <n v="2"/>
    <s v="February"/>
    <s v="B"/>
    <s v="Mandalay"/>
    <s v="Normal"/>
    <s v="Female"/>
    <x v="32"/>
    <s v="20-70"/>
    <s v="Home and lifestyle"/>
    <s v="Cash"/>
    <n v="16.37"/>
    <n v="6"/>
    <n v="4.9109999999999996"/>
    <n v="103.131"/>
    <n v="98.22"/>
    <n v="4.7619047620000003"/>
    <n v="4.9109999999999996"/>
    <n v="7"/>
  </r>
  <r>
    <s v="838-02-1821"/>
    <x v="70"/>
    <d v="1899-12-30T12:10:00"/>
    <n v="2"/>
    <s v="February"/>
    <s v="C"/>
    <s v="Naypyitaw"/>
    <s v="Member"/>
    <s v="Female"/>
    <x v="66"/>
    <s v="&lt;20"/>
    <s v="Home and lifestyle"/>
    <s v="Credit card"/>
    <n v="12.73"/>
    <n v="2"/>
    <n v="1.2729999999999999"/>
    <n v="26.733000000000001"/>
    <n v="25.46"/>
    <n v="4.7619047620000003"/>
    <n v="1.2729999999999999"/>
    <n v="5.2"/>
  </r>
  <r>
    <s v="887-42-0517"/>
    <x v="8"/>
    <d v="1899-12-30T10:31:00"/>
    <n v="1"/>
    <s v="January"/>
    <s v="C"/>
    <s v="Naypyitaw"/>
    <s v="Normal"/>
    <s v="Female"/>
    <x v="22"/>
    <s v="20-70"/>
    <s v="Sports and travel"/>
    <s v="Credit card"/>
    <n v="83.14"/>
    <n v="7"/>
    <n v="29.099"/>
    <n v="611.07899999999995"/>
    <n v="581.98"/>
    <n v="4.7619047620000003"/>
    <n v="29.099"/>
    <n v="6.6"/>
  </r>
  <r>
    <s v="457-12-0244"/>
    <x v="86"/>
    <d v="1899-12-30T13:49:00"/>
    <n v="3"/>
    <s v="March"/>
    <s v="C"/>
    <s v="Naypyitaw"/>
    <s v="Member"/>
    <s v="Female"/>
    <x v="36"/>
    <s v="&gt;70"/>
    <s v="Sports and travel"/>
    <s v="Ewallet"/>
    <n v="35.22"/>
    <n v="6"/>
    <n v="10.566000000000001"/>
    <n v="221.886"/>
    <n v="211.32"/>
    <n v="4.7619047620000003"/>
    <n v="10.566000000000001"/>
    <n v="6.5"/>
  </r>
  <r>
    <s v="226-34-0034"/>
    <x v="8"/>
    <d v="1899-12-30T11:10:00"/>
    <n v="1"/>
    <s v="January"/>
    <s v="B"/>
    <s v="Mandalay"/>
    <s v="Normal"/>
    <s v="Female"/>
    <x v="30"/>
    <s v="&gt;70"/>
    <s v="Electronic accessories"/>
    <s v="Ewallet"/>
    <n v="13.78"/>
    <n v="4"/>
    <n v="2.7559999999999998"/>
    <n v="57.875999999999998"/>
    <n v="55.12"/>
    <n v="4.7619047620000003"/>
    <n v="2.7559999999999998"/>
    <n v="9"/>
  </r>
  <r>
    <s v="321-49-7382"/>
    <x v="42"/>
    <d v="1899-12-30T17:38:00"/>
    <n v="2"/>
    <s v="February"/>
    <s v="B"/>
    <s v="Mandalay"/>
    <s v="Member"/>
    <s v="Male"/>
    <x v="55"/>
    <s v="&gt;70"/>
    <s v="Sports and travel"/>
    <s v="Credit card"/>
    <n v="88.31"/>
    <n v="1"/>
    <n v="4.4154999999999998"/>
    <n v="92.725499999999997"/>
    <n v="88.31"/>
    <n v="4.7619047620000003"/>
    <n v="4.4154999999999998"/>
    <n v="5.2"/>
  </r>
  <r>
    <s v="397-25-8725"/>
    <x v="50"/>
    <d v="1899-12-30T17:54:00"/>
    <n v="1"/>
    <s v="January"/>
    <s v="A"/>
    <s v="Yangon"/>
    <s v="Member"/>
    <s v="Female"/>
    <x v="52"/>
    <s v="20-70"/>
    <s v="Health and beauty"/>
    <s v="Credit card"/>
    <n v="39.619999999999997"/>
    <n v="9"/>
    <n v="17.829000000000001"/>
    <n v="374.40899999999999"/>
    <n v="356.58"/>
    <n v="4.7619047620000003"/>
    <n v="17.829000000000001"/>
    <n v="6.8"/>
  </r>
  <r>
    <s v="431-66-2305"/>
    <x v="42"/>
    <d v="1899-12-30T20:51:00"/>
    <n v="2"/>
    <s v="February"/>
    <s v="B"/>
    <s v="Mandalay"/>
    <s v="Normal"/>
    <s v="Female"/>
    <x v="12"/>
    <s v="20-70"/>
    <s v="Electronic accessories"/>
    <s v="Credit card"/>
    <n v="88.25"/>
    <n v="9"/>
    <n v="39.712499999999999"/>
    <n v="833.96249999999998"/>
    <n v="794.25"/>
    <n v="4.7619047620000003"/>
    <n v="39.712499999999999"/>
    <n v="7.6"/>
  </r>
  <r>
    <s v="825-94-5922"/>
    <x v="22"/>
    <d v="1899-12-30T19:26:00"/>
    <n v="3"/>
    <s v="March"/>
    <s v="B"/>
    <s v="Mandalay"/>
    <s v="Normal"/>
    <s v="Male"/>
    <x v="3"/>
    <s v="20-70"/>
    <s v="Sports and travel"/>
    <s v="Ewallet"/>
    <n v="25.31"/>
    <n v="2"/>
    <n v="2.5310000000000001"/>
    <n v="53.151000000000003"/>
    <n v="50.62"/>
    <n v="4.7619047620000003"/>
    <n v="2.5310000000000001"/>
    <n v="7.2"/>
  </r>
  <r>
    <s v="641-62-7288"/>
    <x v="62"/>
    <d v="1899-12-30T13:33:00"/>
    <n v="3"/>
    <s v="March"/>
    <s v="B"/>
    <s v="Mandalay"/>
    <s v="Normal"/>
    <s v="Male"/>
    <x v="32"/>
    <s v="20-70"/>
    <s v="Home and lifestyle"/>
    <s v="Ewallet"/>
    <n v="99.92"/>
    <n v="6"/>
    <n v="29.975999999999999"/>
    <n v="629.49599999999998"/>
    <n v="599.52"/>
    <n v="4.7619047620000003"/>
    <n v="29.975999999999999"/>
    <n v="7.1"/>
  </r>
  <r>
    <s v="756-93-1854"/>
    <x v="30"/>
    <d v="1899-12-30T14:05:00"/>
    <n v="2"/>
    <s v="February"/>
    <s v="C"/>
    <s v="Naypyitaw"/>
    <s v="Member"/>
    <s v="Female"/>
    <x v="66"/>
    <s v="&lt;20"/>
    <s v="Fashion accessories"/>
    <s v="Credit card"/>
    <n v="83.35"/>
    <n v="2"/>
    <n v="8.3350000000000009"/>
    <n v="175.035"/>
    <n v="166.7"/>
    <n v="4.7619047620000003"/>
    <n v="8.3350000000000009"/>
    <n v="9.5"/>
  </r>
  <r>
    <s v="243-55-8457"/>
    <x v="33"/>
    <d v="1899-12-30T11:40:00"/>
    <n v="2"/>
    <s v="February"/>
    <s v="A"/>
    <s v="Yangon"/>
    <s v="Normal"/>
    <s v="Female"/>
    <x v="0"/>
    <s v="&lt;20"/>
    <s v="Food and beverages"/>
    <s v="Ewallet"/>
    <n v="74.44"/>
    <n v="10"/>
    <n v="37.22"/>
    <n v="781.62"/>
    <n v="744.4"/>
    <n v="4.7619047620000003"/>
    <n v="37.22"/>
    <n v="5.0999999999999996"/>
  </r>
  <r>
    <s v="458-10-8612"/>
    <x v="40"/>
    <d v="1899-12-30T12:27:00"/>
    <n v="1"/>
    <s v="January"/>
    <s v="C"/>
    <s v="Naypyitaw"/>
    <s v="Normal"/>
    <s v="Male"/>
    <x v="64"/>
    <s v="20-70"/>
    <s v="Health and beauty"/>
    <s v="Ewallet"/>
    <n v="64.08"/>
    <n v="7"/>
    <n v="22.428000000000001"/>
    <n v="470.988"/>
    <n v="448.56"/>
    <n v="4.7619047620000003"/>
    <n v="22.428000000000001"/>
    <n v="7.6"/>
  </r>
  <r>
    <s v="501-61-1753"/>
    <x v="75"/>
    <d v="1899-12-30T20:24:00"/>
    <n v="1"/>
    <s v="January"/>
    <s v="B"/>
    <s v="Mandalay"/>
    <s v="Normal"/>
    <s v="Female"/>
    <x v="20"/>
    <s v="&lt;20"/>
    <s v="Home and lifestyle"/>
    <s v="Ewallet"/>
    <n v="63.15"/>
    <n v="6"/>
    <n v="18.945"/>
    <n v="397.84500000000003"/>
    <n v="378.9"/>
    <n v="4.7619047620000003"/>
    <n v="18.945"/>
    <n v="9.8000000000000007"/>
  </r>
  <r>
    <s v="235-06-8510"/>
    <x v="46"/>
    <d v="1899-12-30T20:59:00"/>
    <n v="1"/>
    <s v="January"/>
    <s v="C"/>
    <s v="Naypyitaw"/>
    <s v="Member"/>
    <s v="Male"/>
    <x v="4"/>
    <s v="20-70"/>
    <s v="Home and lifestyle"/>
    <s v="Ewallet"/>
    <n v="85.72"/>
    <n v="3"/>
    <n v="12.858000000000001"/>
    <n v="270.01799999999997"/>
    <n v="257.16000000000003"/>
    <n v="4.7619047620000003"/>
    <n v="12.858000000000001"/>
    <n v="5.0999999999999996"/>
  </r>
  <r>
    <s v="433-08-7822"/>
    <x v="0"/>
    <d v="1899-12-30T19:48:00"/>
    <n v="1"/>
    <s v="January"/>
    <s v="C"/>
    <s v="Naypyitaw"/>
    <s v="Normal"/>
    <s v="Female"/>
    <x v="25"/>
    <s v="20-70"/>
    <s v="Health and beauty"/>
    <s v="Ewallet"/>
    <n v="78.89"/>
    <n v="7"/>
    <n v="27.611499999999999"/>
    <n v="579.8415"/>
    <n v="552.23"/>
    <n v="4.7619047620000003"/>
    <n v="27.611499999999999"/>
    <n v="7.5"/>
  </r>
  <r>
    <s v="361-85-2571"/>
    <x v="73"/>
    <d v="1899-12-30T10:18:00"/>
    <n v="3"/>
    <s v="March"/>
    <s v="A"/>
    <s v="Yangon"/>
    <s v="Normal"/>
    <s v="Female"/>
    <x v="9"/>
    <s v="20-70"/>
    <s v="Sports and travel"/>
    <s v="Cash"/>
    <n v="89.48"/>
    <n v="5"/>
    <n v="22.37"/>
    <n v="469.77"/>
    <n v="447.4"/>
    <n v="4.7619047620000003"/>
    <n v="22.37"/>
    <n v="7.4"/>
  </r>
  <r>
    <s v="131-70-8179"/>
    <x v="21"/>
    <d v="1899-12-30T16:27:00"/>
    <n v="2"/>
    <s v="February"/>
    <s v="A"/>
    <s v="Yangon"/>
    <s v="Member"/>
    <s v="Female"/>
    <x v="15"/>
    <s v="20-70"/>
    <s v="Health and beauty"/>
    <s v="Cash"/>
    <n v="92.09"/>
    <n v="3"/>
    <n v="13.813499999999999"/>
    <n v="290.08350000000002"/>
    <n v="276.27"/>
    <n v="4.7619047620000003"/>
    <n v="13.813499999999999"/>
    <n v="4.2"/>
  </r>
  <r>
    <s v="500-02-2261"/>
    <x v="76"/>
    <d v="1899-12-30T17:04:00"/>
    <n v="3"/>
    <s v="March"/>
    <s v="C"/>
    <s v="Naypyitaw"/>
    <s v="Normal"/>
    <s v="Female"/>
    <x v="69"/>
    <s v="20-70"/>
    <s v="Food and beverages"/>
    <s v="Ewallet"/>
    <n v="57.29"/>
    <n v="6"/>
    <n v="17.187000000000001"/>
    <n v="360.92700000000002"/>
    <n v="343.74"/>
    <n v="4.7619047620000003"/>
    <n v="17.187000000000001"/>
    <n v="5.9"/>
  </r>
  <r>
    <s v="720-72-2436"/>
    <x v="22"/>
    <d v="1899-12-30T18:14:00"/>
    <n v="3"/>
    <s v="March"/>
    <s v="A"/>
    <s v="Yangon"/>
    <s v="Normal"/>
    <s v="Male"/>
    <x v="50"/>
    <s v="20-70"/>
    <s v="Food and beverages"/>
    <s v="Ewallet"/>
    <n v="66.52"/>
    <n v="4"/>
    <n v="13.304"/>
    <n v="279.38400000000001"/>
    <n v="266.08"/>
    <n v="4.7619047620000003"/>
    <n v="13.304"/>
    <n v="6.9"/>
  </r>
  <r>
    <s v="702-83-5291"/>
    <x v="39"/>
    <d v="1899-12-30T10:43:00"/>
    <n v="3"/>
    <s v="March"/>
    <s v="C"/>
    <s v="Naypyitaw"/>
    <s v="Member"/>
    <s v="Male"/>
    <x v="66"/>
    <s v="&lt;20"/>
    <s v="Fashion accessories"/>
    <s v="Cash"/>
    <n v="99.82"/>
    <n v="9"/>
    <n v="44.918999999999997"/>
    <n v="943.29899999999998"/>
    <n v="898.38"/>
    <n v="4.7619047620000003"/>
    <n v="44.918999999999997"/>
    <n v="6.6"/>
  </r>
  <r>
    <s v="809-69-9497"/>
    <x v="64"/>
    <d v="1899-12-30T19:30:00"/>
    <n v="1"/>
    <s v="January"/>
    <s v="A"/>
    <s v="Yangon"/>
    <s v="Normal"/>
    <s v="Female"/>
    <x v="51"/>
    <s v="20-70"/>
    <s v="Home and lifestyle"/>
    <s v="Ewallet"/>
    <n v="45.68"/>
    <n v="10"/>
    <n v="22.84"/>
    <n v="479.64"/>
    <n v="456.8"/>
    <n v="4.7619047620000003"/>
    <n v="22.84"/>
    <n v="5.7"/>
  </r>
  <r>
    <s v="449-16-6770"/>
    <x v="88"/>
    <d v="1899-12-30T14:53:00"/>
    <n v="2"/>
    <s v="February"/>
    <s v="A"/>
    <s v="Yangon"/>
    <s v="Normal"/>
    <s v="Male"/>
    <x v="2"/>
    <s v="20-70"/>
    <s v="Health and beauty"/>
    <s v="Credit card"/>
    <n v="50.79"/>
    <n v="5"/>
    <n v="12.6975"/>
    <n v="266.64749999999998"/>
    <n v="253.95"/>
    <n v="4.7619047620000003"/>
    <n v="12.6975"/>
    <n v="5.3"/>
  </r>
  <r>
    <s v="333-23-2632"/>
    <x v="61"/>
    <d v="1899-12-30T20:14:00"/>
    <n v="3"/>
    <s v="March"/>
    <s v="A"/>
    <s v="Yangon"/>
    <s v="Member"/>
    <s v="Male"/>
    <x v="37"/>
    <s v="20-70"/>
    <s v="Health and beauty"/>
    <s v="Cash"/>
    <n v="10.08"/>
    <n v="7"/>
    <n v="3.528"/>
    <n v="74.087999999999994"/>
    <n v="70.56"/>
    <n v="4.7619047620000003"/>
    <n v="3.528"/>
    <n v="4.2"/>
  </r>
  <r>
    <s v="489-82-1237"/>
    <x v="0"/>
    <d v="1899-12-30T11:51:00"/>
    <n v="1"/>
    <s v="January"/>
    <s v="A"/>
    <s v="Yangon"/>
    <s v="Normal"/>
    <s v="Female"/>
    <x v="36"/>
    <s v="&gt;70"/>
    <s v="Electronic accessories"/>
    <s v="Credit card"/>
    <n v="93.88"/>
    <n v="7"/>
    <n v="32.857999999999997"/>
    <n v="690.01800000000003"/>
    <n v="657.16"/>
    <n v="4.7619047620000003"/>
    <n v="32.857999999999997"/>
    <n v="7.3"/>
  </r>
  <r>
    <s v="859-97-6048"/>
    <x v="58"/>
    <d v="1899-12-30T14:13:00"/>
    <n v="3"/>
    <s v="March"/>
    <s v="C"/>
    <s v="Naypyitaw"/>
    <s v="Member"/>
    <s v="Male"/>
    <x v="10"/>
    <s v="20-70"/>
    <s v="Electronic accessories"/>
    <s v="Credit card"/>
    <n v="84.25"/>
    <n v="2"/>
    <n v="8.4250000000000007"/>
    <n v="176.92500000000001"/>
    <n v="168.5"/>
    <n v="4.7619047620000003"/>
    <n v="8.4250000000000007"/>
    <n v="5.3"/>
  </r>
  <r>
    <s v="676-10-2200"/>
    <x v="36"/>
    <d v="1899-12-30T20:13:00"/>
    <n v="2"/>
    <s v="February"/>
    <s v="B"/>
    <s v="Mandalay"/>
    <s v="Member"/>
    <s v="Male"/>
    <x v="70"/>
    <s v="&gt;70"/>
    <s v="Fashion accessories"/>
    <s v="Ewallet"/>
    <n v="53.78"/>
    <n v="1"/>
    <n v="2.6890000000000001"/>
    <n v="56.469000000000001"/>
    <n v="53.78"/>
    <n v="4.7619047620000003"/>
    <n v="2.6890000000000001"/>
    <n v="4.7"/>
  </r>
  <r>
    <s v="373-88-1424"/>
    <x v="10"/>
    <d v="1899-12-30T18:44:00"/>
    <n v="2"/>
    <s v="February"/>
    <s v="C"/>
    <s v="Naypyitaw"/>
    <s v="Member"/>
    <s v="Male"/>
    <x v="8"/>
    <s v="20-70"/>
    <s v="Home and lifestyle"/>
    <s v="Ewallet"/>
    <n v="35.81"/>
    <n v="5"/>
    <n v="8.9525000000000006"/>
    <n v="188.0025"/>
    <n v="179.05"/>
    <n v="4.7619047620000003"/>
    <n v="8.9525000000000006"/>
    <n v="7.9"/>
  </r>
  <r>
    <s v="365-16-4334"/>
    <x v="7"/>
    <d v="1899-12-30T14:26:00"/>
    <n v="2"/>
    <s v="February"/>
    <s v="B"/>
    <s v="Mandalay"/>
    <s v="Normal"/>
    <s v="Female"/>
    <x v="75"/>
    <s v="20-70"/>
    <s v="Food and beverages"/>
    <s v="Ewallet"/>
    <n v="26.43"/>
    <n v="8"/>
    <n v="10.571999999999999"/>
    <n v="222.012"/>
    <n v="211.44"/>
    <n v="4.7619047620000003"/>
    <n v="10.571999999999999"/>
    <n v="8.9"/>
  </r>
  <r>
    <s v="503-21-4385"/>
    <x v="81"/>
    <d v="1899-12-30T12:40:00"/>
    <n v="2"/>
    <s v="February"/>
    <s v="B"/>
    <s v="Mandalay"/>
    <s v="Member"/>
    <s v="Male"/>
    <x v="9"/>
    <s v="20-70"/>
    <s v="Health and beauty"/>
    <s v="Ewallet"/>
    <n v="39.909999999999997"/>
    <n v="3"/>
    <n v="5.9865000000000004"/>
    <n v="125.7165"/>
    <n v="119.73"/>
    <n v="4.7619047620000003"/>
    <n v="5.9865000000000004"/>
    <n v="9.3000000000000007"/>
  </r>
  <r>
    <s v="305-89-2768"/>
    <x v="51"/>
    <d v="1899-12-30T18:43:00"/>
    <n v="1"/>
    <s v="January"/>
    <s v="B"/>
    <s v="Mandalay"/>
    <s v="Member"/>
    <s v="Female"/>
    <x v="23"/>
    <s v="20-70"/>
    <s v="Home and lifestyle"/>
    <s v="Ewallet"/>
    <n v="21.9"/>
    <n v="3"/>
    <n v="3.2850000000000001"/>
    <n v="68.984999999999999"/>
    <n v="65.7"/>
    <n v="4.7619047620000003"/>
    <n v="3.2850000000000001"/>
    <n v="4.7"/>
  </r>
  <r>
    <s v="574-80-1489"/>
    <x v="6"/>
    <d v="1899-12-30T13:22:00"/>
    <n v="2"/>
    <s v="February"/>
    <s v="B"/>
    <s v="Mandalay"/>
    <s v="Member"/>
    <s v="Female"/>
    <x v="12"/>
    <s v="20-70"/>
    <s v="Food and beverages"/>
    <s v="Ewallet"/>
    <n v="62.85"/>
    <n v="4"/>
    <n v="12.57"/>
    <n v="263.97000000000003"/>
    <n v="251.4"/>
    <n v="4.7619047620000003"/>
    <n v="12.57"/>
    <n v="8.6999999999999993"/>
  </r>
  <r>
    <s v="784-08-0310"/>
    <x v="50"/>
    <d v="1899-12-30T13:58:00"/>
    <n v="1"/>
    <s v="January"/>
    <s v="C"/>
    <s v="Naypyitaw"/>
    <s v="Member"/>
    <s v="Female"/>
    <x v="43"/>
    <s v="20-70"/>
    <s v="Food and beverages"/>
    <s v="Cash"/>
    <n v="21.04"/>
    <n v="4"/>
    <n v="4.2080000000000002"/>
    <n v="88.367999999999995"/>
    <n v="84.16"/>
    <n v="4.7619047620000003"/>
    <n v="4.2080000000000002"/>
    <n v="7.6"/>
  </r>
  <r>
    <s v="200-40-6154"/>
    <x v="57"/>
    <d v="1899-12-30T11:45:00"/>
    <n v="2"/>
    <s v="February"/>
    <s v="B"/>
    <s v="Mandalay"/>
    <s v="Member"/>
    <s v="Male"/>
    <x v="67"/>
    <s v="20-70"/>
    <s v="Home and lifestyle"/>
    <s v="Cash"/>
    <n v="65.91"/>
    <n v="6"/>
    <n v="19.773"/>
    <n v="415.233"/>
    <n v="395.46"/>
    <n v="4.7619047620000003"/>
    <n v="19.773"/>
    <n v="5.7"/>
  </r>
  <r>
    <s v="846-10-0341"/>
    <x v="47"/>
    <d v="1899-12-30T11:51:00"/>
    <n v="1"/>
    <s v="January"/>
    <s v="A"/>
    <s v="Yangon"/>
    <s v="Normal"/>
    <s v="Female"/>
    <x v="11"/>
    <s v="&gt;70"/>
    <s v="Fashion accessories"/>
    <s v="Cash"/>
    <n v="42.57"/>
    <n v="7"/>
    <n v="14.8995"/>
    <n v="312.8895"/>
    <n v="297.99"/>
    <n v="4.7619047620000003"/>
    <n v="14.8995"/>
    <n v="6.8"/>
  </r>
  <r>
    <s v="577-34-7579"/>
    <x v="8"/>
    <d v="1899-12-30T17:16:00"/>
    <n v="1"/>
    <s v="January"/>
    <s v="C"/>
    <s v="Naypyitaw"/>
    <s v="Member"/>
    <s v="Male"/>
    <x v="62"/>
    <s v="20-70"/>
    <s v="Food and beverages"/>
    <s v="Cash"/>
    <n v="50.49"/>
    <n v="9"/>
    <n v="22.720500000000001"/>
    <n v="477.13049999999998"/>
    <n v="454.41"/>
    <n v="4.7619047620000003"/>
    <n v="22.720500000000001"/>
    <n v="5.4"/>
  </r>
  <r>
    <s v="430-02-3888"/>
    <x v="13"/>
    <d v="1899-12-30T15:55:00"/>
    <n v="2"/>
    <s v="February"/>
    <s v="B"/>
    <s v="Mandalay"/>
    <s v="Normal"/>
    <s v="Male"/>
    <x v="27"/>
    <s v="&gt;70"/>
    <s v="Electronic accessories"/>
    <s v="Cash"/>
    <n v="46.02"/>
    <n v="6"/>
    <n v="13.805999999999999"/>
    <n v="289.92599999999999"/>
    <n v="276.12"/>
    <n v="4.7619047620000003"/>
    <n v="13.805999999999999"/>
    <n v="7.1"/>
  </r>
  <r>
    <s v="867-47-1948"/>
    <x v="51"/>
    <d v="1899-12-30T12:07:00"/>
    <n v="1"/>
    <s v="January"/>
    <s v="C"/>
    <s v="Naypyitaw"/>
    <s v="Normal"/>
    <s v="Female"/>
    <x v="48"/>
    <s v="&gt;70"/>
    <s v="Home and lifestyle"/>
    <s v="Cash"/>
    <n v="15.8"/>
    <n v="10"/>
    <n v="7.9"/>
    <n v="165.9"/>
    <n v="158"/>
    <n v="4.7619047620000003"/>
    <n v="7.9"/>
    <n v="7.8"/>
  </r>
  <r>
    <s v="384-59-6655"/>
    <x v="88"/>
    <d v="1899-12-30T15:07:00"/>
    <n v="2"/>
    <s v="February"/>
    <s v="A"/>
    <s v="Yangon"/>
    <s v="Member"/>
    <s v="Female"/>
    <x v="27"/>
    <s v="&gt;70"/>
    <s v="Food and beverages"/>
    <s v="Cash"/>
    <n v="98.66"/>
    <n v="9"/>
    <n v="44.396999999999998"/>
    <n v="932.33699999999999"/>
    <n v="887.94"/>
    <n v="4.7619047620000003"/>
    <n v="44.396999999999998"/>
    <n v="8.4"/>
  </r>
  <r>
    <s v="256-58-3609"/>
    <x v="79"/>
    <d v="1899-12-30T15:29:00"/>
    <n v="3"/>
    <s v="March"/>
    <s v="C"/>
    <s v="Naypyitaw"/>
    <s v="Member"/>
    <s v="Male"/>
    <x v="68"/>
    <s v="20-70"/>
    <s v="Fashion accessories"/>
    <s v="Cash"/>
    <n v="91.98"/>
    <n v="1"/>
    <n v="4.5990000000000002"/>
    <n v="96.578999999999994"/>
    <n v="91.98"/>
    <n v="4.7619047620000003"/>
    <n v="4.5990000000000002"/>
    <n v="9.8000000000000007"/>
  </r>
  <r>
    <s v="324-92-3863"/>
    <x v="63"/>
    <d v="1899-12-30T18:45:00"/>
    <n v="2"/>
    <s v="February"/>
    <s v="A"/>
    <s v="Yangon"/>
    <s v="Member"/>
    <s v="Male"/>
    <x v="25"/>
    <s v="20-70"/>
    <s v="Electronic accessories"/>
    <s v="Cash"/>
    <n v="20.89"/>
    <n v="2"/>
    <n v="2.089"/>
    <n v="43.869"/>
    <n v="41.78"/>
    <n v="4.7619047620000003"/>
    <n v="2.089"/>
    <n v="9.8000000000000007"/>
  </r>
  <r>
    <s v="593-08-5916"/>
    <x v="35"/>
    <d v="1899-12-30T15:23:00"/>
    <n v="3"/>
    <s v="March"/>
    <s v="A"/>
    <s v="Yangon"/>
    <s v="Normal"/>
    <s v="Female"/>
    <x v="68"/>
    <s v="20-70"/>
    <s v="Fashion accessories"/>
    <s v="Credit card"/>
    <n v="15.5"/>
    <n v="1"/>
    <n v="0.77500000000000002"/>
    <n v="16.274999999999999"/>
    <n v="15.5"/>
    <n v="4.7619047620000003"/>
    <n v="0.77500000000000002"/>
    <n v="7.4"/>
  </r>
  <r>
    <s v="364-34-2972"/>
    <x v="73"/>
    <d v="1899-12-30T20:37:00"/>
    <n v="3"/>
    <s v="March"/>
    <s v="C"/>
    <s v="Naypyitaw"/>
    <s v="Member"/>
    <s v="Male"/>
    <x v="43"/>
    <s v="20-70"/>
    <s v="Electronic accessories"/>
    <s v="Cash"/>
    <n v="96.82"/>
    <n v="3"/>
    <n v="14.523"/>
    <n v="304.983"/>
    <n v="290.45999999999998"/>
    <n v="4.7619047620000003"/>
    <n v="14.523"/>
    <n v="6.7"/>
  </r>
  <r>
    <s v="794-42-3736"/>
    <x v="53"/>
    <d v="1899-12-30T14:41:00"/>
    <n v="1"/>
    <s v="January"/>
    <s v="B"/>
    <s v="Mandalay"/>
    <s v="Normal"/>
    <s v="Male"/>
    <x v="24"/>
    <s v="20-70"/>
    <s v="Food and beverages"/>
    <s v="Credit card"/>
    <n v="33.33"/>
    <n v="2"/>
    <n v="3.3330000000000002"/>
    <n v="69.992999999999995"/>
    <n v="66.66"/>
    <n v="4.7619047620000003"/>
    <n v="3.3330000000000002"/>
    <n v="6.4"/>
  </r>
  <r>
    <s v="172-42-8274"/>
    <x v="22"/>
    <d v="1899-12-30T18:18:00"/>
    <n v="3"/>
    <s v="March"/>
    <s v="B"/>
    <s v="Mandalay"/>
    <s v="Normal"/>
    <s v="Female"/>
    <x v="64"/>
    <s v="20-70"/>
    <s v="Electronic accessories"/>
    <s v="Credit card"/>
    <n v="38.270000000000003"/>
    <n v="2"/>
    <n v="3.827"/>
    <n v="80.367000000000004"/>
    <n v="76.540000000000006"/>
    <n v="4.7619047620000003"/>
    <n v="3.827"/>
    <n v="5.8"/>
  </r>
  <r>
    <s v="558-60-5016"/>
    <x v="31"/>
    <d v="1899-12-30T15:27:00"/>
    <n v="3"/>
    <s v="March"/>
    <s v="A"/>
    <s v="Yangon"/>
    <s v="Normal"/>
    <s v="Female"/>
    <x v="4"/>
    <s v="20-70"/>
    <s v="Home and lifestyle"/>
    <s v="Ewallet"/>
    <n v="33.299999999999997"/>
    <n v="9"/>
    <n v="14.984999999999999"/>
    <n v="314.685"/>
    <n v="299.7"/>
    <n v="4.7619047620000003"/>
    <n v="14.984999999999999"/>
    <n v="7.2"/>
  </r>
  <r>
    <s v="195-06-0432"/>
    <x v="50"/>
    <d v="1899-12-30T12:55:00"/>
    <n v="1"/>
    <s v="January"/>
    <s v="A"/>
    <s v="Yangon"/>
    <s v="Member"/>
    <s v="Male"/>
    <x v="72"/>
    <s v="20-70"/>
    <s v="Home and lifestyle"/>
    <s v="Credit card"/>
    <n v="81.010000000000005"/>
    <n v="3"/>
    <n v="12.1515"/>
    <n v="255.1815"/>
    <n v="243.03"/>
    <n v="4.7619047620000003"/>
    <n v="12.1515"/>
    <n v="9.3000000000000007"/>
  </r>
  <r>
    <s v="605-03-2706"/>
    <x v="5"/>
    <d v="1899-12-30T18:02:00"/>
    <n v="3"/>
    <s v="March"/>
    <s v="A"/>
    <s v="Yangon"/>
    <s v="Normal"/>
    <s v="Female"/>
    <x v="74"/>
    <s v="&gt;70"/>
    <s v="Health and beauty"/>
    <s v="Cash"/>
    <n v="15.8"/>
    <n v="3"/>
    <n v="2.37"/>
    <n v="49.77"/>
    <n v="47.4"/>
    <n v="4.7619047620000003"/>
    <n v="2.37"/>
    <n v="9.5"/>
  </r>
  <r>
    <s v="214-30-2776"/>
    <x v="16"/>
    <d v="1899-12-30T19:44:00"/>
    <n v="3"/>
    <s v="March"/>
    <s v="B"/>
    <s v="Mandalay"/>
    <s v="Member"/>
    <s v="Female"/>
    <x v="7"/>
    <s v="&gt;70"/>
    <s v="Electronic accessories"/>
    <s v="Credit card"/>
    <n v="34.49"/>
    <n v="5"/>
    <n v="8.6225000000000005"/>
    <n v="181.07249999999999"/>
    <n v="172.45"/>
    <n v="4.7619047620000003"/>
    <n v="8.6225000000000005"/>
    <n v="9"/>
  </r>
  <r>
    <s v="746-04-1077"/>
    <x v="17"/>
    <d v="1899-12-30T11:36:00"/>
    <n v="1"/>
    <s v="January"/>
    <s v="B"/>
    <s v="Mandalay"/>
    <s v="Member"/>
    <s v="Female"/>
    <x v="71"/>
    <s v="&gt;70"/>
    <s v="Food and beverages"/>
    <s v="Credit card"/>
    <n v="84.63"/>
    <n v="10"/>
    <n v="42.314999999999998"/>
    <n v="888.61500000000001"/>
    <n v="846.3"/>
    <n v="4.7619047620000003"/>
    <n v="42.314999999999998"/>
    <n v="9"/>
  </r>
  <r>
    <s v="448-34-8700"/>
    <x v="34"/>
    <d v="1899-12-30T13:51:00"/>
    <n v="2"/>
    <s v="February"/>
    <s v="B"/>
    <s v="Mandalay"/>
    <s v="Member"/>
    <s v="Male"/>
    <x v="22"/>
    <s v="20-70"/>
    <s v="Home and lifestyle"/>
    <s v="Ewallet"/>
    <n v="36.909999999999997"/>
    <n v="7"/>
    <n v="12.9185"/>
    <n v="271.2885"/>
    <n v="258.37"/>
    <n v="4.7619047620000003"/>
    <n v="12.9185"/>
    <n v="6.7"/>
  </r>
  <r>
    <s v="452-04-8808"/>
    <x v="53"/>
    <d v="1899-12-30T15:17:00"/>
    <n v="1"/>
    <s v="January"/>
    <s v="B"/>
    <s v="Mandalay"/>
    <s v="Normal"/>
    <s v="Male"/>
    <x v="35"/>
    <s v="20-70"/>
    <s v="Electronic accessories"/>
    <s v="Cash"/>
    <n v="87.08"/>
    <n v="7"/>
    <n v="30.478000000000002"/>
    <n v="640.03800000000001"/>
    <n v="609.55999999999995"/>
    <n v="4.7619047620000003"/>
    <n v="30.478000000000002"/>
    <n v="5.5"/>
  </r>
  <r>
    <s v="531-56-4728"/>
    <x v="48"/>
    <d v="1899-12-30T15:29:00"/>
    <n v="2"/>
    <s v="February"/>
    <s v="A"/>
    <s v="Yangon"/>
    <s v="Normal"/>
    <s v="Male"/>
    <x v="37"/>
    <s v="20-70"/>
    <s v="Home and lifestyle"/>
    <s v="Cash"/>
    <n v="80.08"/>
    <n v="3"/>
    <n v="12.012"/>
    <n v="252.25200000000001"/>
    <n v="240.24"/>
    <n v="4.7619047620000003"/>
    <n v="12.012"/>
    <n v="5.4"/>
  </r>
  <r>
    <s v="744-82-9138"/>
    <x v="13"/>
    <d v="1899-12-30T17:59:00"/>
    <n v="2"/>
    <s v="February"/>
    <s v="C"/>
    <s v="Naypyitaw"/>
    <s v="Normal"/>
    <s v="Male"/>
    <x v="33"/>
    <s v="20-70"/>
    <s v="Fashion accessories"/>
    <s v="Cash"/>
    <n v="86.13"/>
    <n v="2"/>
    <n v="8.6129999999999995"/>
    <n v="180.87299999999999"/>
    <n v="172.26"/>
    <n v="4.7619047620000003"/>
    <n v="8.6129999999999995"/>
    <n v="8.1999999999999993"/>
  </r>
  <r>
    <s v="883-69-1285"/>
    <x v="43"/>
    <d v="1899-12-30T11:55:00"/>
    <n v="3"/>
    <s v="March"/>
    <s v="B"/>
    <s v="Mandalay"/>
    <s v="Member"/>
    <s v="Male"/>
    <x v="22"/>
    <s v="20-70"/>
    <s v="Fashion accessories"/>
    <s v="Credit card"/>
    <n v="49.92"/>
    <n v="2"/>
    <n v="4.992"/>
    <n v="104.83199999999999"/>
    <n v="99.84"/>
    <n v="4.7619047620000003"/>
    <n v="4.992"/>
    <n v="7"/>
  </r>
  <r>
    <s v="221-25-5073"/>
    <x v="31"/>
    <d v="1899-12-30T10:39:00"/>
    <n v="3"/>
    <s v="March"/>
    <s v="A"/>
    <s v="Yangon"/>
    <s v="Normal"/>
    <s v="Female"/>
    <x v="21"/>
    <s v="20-70"/>
    <s v="Food and beverages"/>
    <s v="Cash"/>
    <n v="74.66"/>
    <n v="4"/>
    <n v="14.932"/>
    <n v="313.572"/>
    <n v="298.64"/>
    <n v="4.7619047620000003"/>
    <n v="14.932"/>
    <n v="8.5"/>
  </r>
  <r>
    <s v="518-71-6847"/>
    <x v="84"/>
    <d v="1899-12-30T15:10:00"/>
    <n v="2"/>
    <s v="February"/>
    <s v="B"/>
    <s v="Mandalay"/>
    <s v="Member"/>
    <s v="Male"/>
    <x v="36"/>
    <s v="&gt;70"/>
    <s v="Food and beverages"/>
    <s v="Ewallet"/>
    <n v="26.6"/>
    <n v="6"/>
    <n v="7.98"/>
    <n v="167.58"/>
    <n v="159.6"/>
    <n v="4.7619047620000003"/>
    <n v="7.98"/>
    <n v="4.9000000000000004"/>
  </r>
  <r>
    <s v="156-20-0370"/>
    <x v="24"/>
    <d v="1899-12-30T18:10:00"/>
    <n v="3"/>
    <s v="March"/>
    <s v="B"/>
    <s v="Mandalay"/>
    <s v="Normal"/>
    <s v="Female"/>
    <x v="26"/>
    <s v="20-70"/>
    <s v="Electronic accessories"/>
    <s v="Credit card"/>
    <n v="25.45"/>
    <n v="1"/>
    <n v="1.2725"/>
    <n v="26.7225"/>
    <n v="25.45"/>
    <n v="4.7619047620000003"/>
    <n v="1.2725"/>
    <n v="5.0999999999999996"/>
  </r>
  <r>
    <s v="151-33-7434"/>
    <x v="87"/>
    <d v="1899-12-30T20:43:00"/>
    <n v="2"/>
    <s v="February"/>
    <s v="B"/>
    <s v="Mandalay"/>
    <s v="Normal"/>
    <s v="Female"/>
    <x v="26"/>
    <s v="20-70"/>
    <s v="Food and beverages"/>
    <s v="Credit card"/>
    <n v="67.77"/>
    <n v="1"/>
    <n v="3.3885000000000001"/>
    <n v="71.158500000000004"/>
    <n v="67.77"/>
    <n v="4.7619047620000003"/>
    <n v="3.3885000000000001"/>
    <n v="6.5"/>
  </r>
  <r>
    <s v="728-47-9078"/>
    <x v="64"/>
    <d v="1899-12-30T12:46:00"/>
    <n v="1"/>
    <s v="January"/>
    <s v="C"/>
    <s v="Naypyitaw"/>
    <s v="Member"/>
    <s v="Male"/>
    <x v="26"/>
    <s v="20-70"/>
    <s v="Food and beverages"/>
    <s v="Cash"/>
    <n v="59.59"/>
    <n v="4"/>
    <n v="11.917999999999999"/>
    <n v="250.27799999999999"/>
    <n v="238.36"/>
    <n v="4.7619047620000003"/>
    <n v="11.917999999999999"/>
    <n v="9.8000000000000007"/>
  </r>
  <r>
    <s v="809-46-1866"/>
    <x v="54"/>
    <d v="1899-12-30T17:44:00"/>
    <n v="1"/>
    <s v="January"/>
    <s v="A"/>
    <s v="Yangon"/>
    <s v="Normal"/>
    <s v="Male"/>
    <x v="43"/>
    <s v="20-70"/>
    <s v="Health and beauty"/>
    <s v="Cash"/>
    <n v="58.15"/>
    <n v="4"/>
    <n v="11.63"/>
    <n v="244.23"/>
    <n v="232.6"/>
    <n v="4.7619047620000003"/>
    <n v="11.63"/>
    <n v="8.4"/>
  </r>
  <r>
    <s v="139-32-4183"/>
    <x v="86"/>
    <d v="1899-12-30T14:19:00"/>
    <n v="3"/>
    <s v="March"/>
    <s v="A"/>
    <s v="Yangon"/>
    <s v="Member"/>
    <s v="Female"/>
    <x v="40"/>
    <s v="20-70"/>
    <s v="Sports and travel"/>
    <s v="Ewallet"/>
    <n v="97.48"/>
    <n v="9"/>
    <n v="43.866"/>
    <n v="921.18600000000004"/>
    <n v="877.32"/>
    <n v="4.7619047620000003"/>
    <n v="43.866"/>
    <n v="7.4"/>
  </r>
  <r>
    <s v="148-41-7930"/>
    <x v="54"/>
    <d v="1899-12-30T10:33:00"/>
    <n v="1"/>
    <s v="January"/>
    <s v="C"/>
    <s v="Naypyitaw"/>
    <s v="Normal"/>
    <s v="Male"/>
    <x v="62"/>
    <s v="20-70"/>
    <s v="Health and beauty"/>
    <s v="Cash"/>
    <n v="99.96"/>
    <n v="7"/>
    <n v="34.985999999999997"/>
    <n v="734.70600000000002"/>
    <n v="699.72"/>
    <n v="4.7619047620000003"/>
    <n v="34.985999999999997"/>
    <n v="6.1"/>
  </r>
  <r>
    <s v="189-40-5216"/>
    <x v="51"/>
    <d v="1899-12-30T11:40:00"/>
    <n v="1"/>
    <s v="January"/>
    <s v="C"/>
    <s v="Naypyitaw"/>
    <s v="Normal"/>
    <s v="Male"/>
    <x v="23"/>
    <s v="20-70"/>
    <s v="Electronic accessories"/>
    <s v="Cash"/>
    <n v="96.37"/>
    <n v="7"/>
    <n v="33.729500000000002"/>
    <n v="708.31949999999995"/>
    <n v="674.59"/>
    <n v="4.7619047620000003"/>
    <n v="33.729500000000002"/>
    <n v="6"/>
  </r>
  <r>
    <s v="374-38-5555"/>
    <x v="13"/>
    <d v="1899-12-30T19:30:00"/>
    <n v="2"/>
    <s v="February"/>
    <s v="B"/>
    <s v="Mandalay"/>
    <s v="Normal"/>
    <s v="Female"/>
    <x v="53"/>
    <s v="20-70"/>
    <s v="Fashion accessories"/>
    <s v="Ewallet"/>
    <n v="63.71"/>
    <n v="5"/>
    <n v="15.9275"/>
    <n v="334.47750000000002"/>
    <n v="318.55"/>
    <n v="4.7619047620000003"/>
    <n v="15.9275"/>
    <n v="8.5"/>
  </r>
  <r>
    <s v="764-44-8999"/>
    <x v="67"/>
    <d v="1899-12-30T14:42:00"/>
    <n v="2"/>
    <s v="February"/>
    <s v="B"/>
    <s v="Mandalay"/>
    <s v="Normal"/>
    <s v="Female"/>
    <x v="14"/>
    <s v="&gt;70"/>
    <s v="Health and beauty"/>
    <s v="Ewallet"/>
    <n v="14.76"/>
    <n v="2"/>
    <n v="1.476"/>
    <n v="30.995999999999999"/>
    <n v="29.52"/>
    <n v="4.7619047620000003"/>
    <n v="1.476"/>
    <n v="4.3"/>
  </r>
  <r>
    <s v="552-44-5977"/>
    <x v="75"/>
    <d v="1899-12-30T19:08:00"/>
    <n v="1"/>
    <s v="January"/>
    <s v="B"/>
    <s v="Mandalay"/>
    <s v="Member"/>
    <s v="Male"/>
    <x v="54"/>
    <s v="20-70"/>
    <s v="Health and beauty"/>
    <s v="Credit card"/>
    <n v="62"/>
    <n v="8"/>
    <n v="24.8"/>
    <n v="520.79999999999995"/>
    <n v="496"/>
    <n v="4.7619047620000003"/>
    <n v="24.8"/>
    <n v="6.2"/>
  </r>
  <r>
    <s v="267-62-7380"/>
    <x v="14"/>
    <d v="1899-12-30T19:12:00"/>
    <n v="3"/>
    <s v="March"/>
    <s v="C"/>
    <s v="Naypyitaw"/>
    <s v="Member"/>
    <s v="Male"/>
    <x v="7"/>
    <s v="&gt;70"/>
    <s v="Electronic accessories"/>
    <s v="Ewallet"/>
    <n v="82.34"/>
    <n v="10"/>
    <n v="41.17"/>
    <n v="864.57"/>
    <n v="823.4"/>
    <n v="4.7619047620000003"/>
    <n v="41.17"/>
    <n v="4.3"/>
  </r>
  <r>
    <s v="430-53-4718"/>
    <x v="26"/>
    <d v="1899-12-30T15:46:00"/>
    <n v="1"/>
    <s v="January"/>
    <s v="B"/>
    <s v="Mandalay"/>
    <s v="Member"/>
    <s v="Male"/>
    <x v="28"/>
    <s v="20-70"/>
    <s v="Health and beauty"/>
    <s v="Credit card"/>
    <n v="75.37"/>
    <n v="8"/>
    <n v="30.148"/>
    <n v="633.10799999999995"/>
    <n v="602.96"/>
    <n v="4.7619047620000003"/>
    <n v="30.148"/>
    <n v="8.4"/>
  </r>
  <r>
    <s v="886-18-2897"/>
    <x v="23"/>
    <d v="1899-12-30T19:06:00"/>
    <n v="3"/>
    <s v="March"/>
    <s v="A"/>
    <s v="Yangon"/>
    <s v="Normal"/>
    <s v="Female"/>
    <x v="23"/>
    <s v="20-70"/>
    <s v="Food and beverages"/>
    <s v="Credit card"/>
    <n v="56.56"/>
    <n v="5"/>
    <n v="14.14"/>
    <n v="296.94"/>
    <n v="282.8"/>
    <n v="4.7619047620000003"/>
    <n v="14.14"/>
    <n v="4.5"/>
  </r>
  <r>
    <s v="602-16-6955"/>
    <x v="46"/>
    <d v="1899-12-30T18:10:00"/>
    <n v="1"/>
    <s v="January"/>
    <s v="B"/>
    <s v="Mandalay"/>
    <s v="Normal"/>
    <s v="Female"/>
    <x v="8"/>
    <s v="20-70"/>
    <s v="Sports and travel"/>
    <s v="Ewallet"/>
    <n v="76.599999999999994"/>
    <n v="10"/>
    <n v="38.299999999999997"/>
    <n v="804.3"/>
    <n v="766"/>
    <n v="4.7619047620000003"/>
    <n v="38.299999999999997"/>
    <n v="6"/>
  </r>
  <r>
    <s v="745-74-0715"/>
    <x v="24"/>
    <d v="1899-12-30T20:46:00"/>
    <n v="3"/>
    <s v="March"/>
    <s v="A"/>
    <s v="Yangon"/>
    <s v="Normal"/>
    <s v="Male"/>
    <x v="49"/>
    <s v="20-70"/>
    <s v="Electronic accessories"/>
    <s v="Ewallet"/>
    <n v="58.03"/>
    <n v="2"/>
    <n v="5.8029999999999999"/>
    <n v="121.863"/>
    <n v="116.06"/>
    <n v="4.7619047620000003"/>
    <n v="5.8029999999999999"/>
    <n v="8.8000000000000007"/>
  </r>
  <r>
    <s v="690-01-6631"/>
    <x v="70"/>
    <d v="1899-12-30T18:35:00"/>
    <n v="2"/>
    <s v="February"/>
    <s v="B"/>
    <s v="Mandalay"/>
    <s v="Normal"/>
    <s v="Male"/>
    <x v="54"/>
    <s v="20-70"/>
    <s v="Fashion accessories"/>
    <s v="Ewallet"/>
    <n v="17.489999999999998"/>
    <n v="10"/>
    <n v="8.7449999999999992"/>
    <n v="183.64500000000001"/>
    <n v="174.9"/>
    <n v="4.7619047620000003"/>
    <n v="8.7449999999999992"/>
    <n v="6.6"/>
  </r>
  <r>
    <s v="652-49-6720"/>
    <x v="67"/>
    <d v="1899-12-30T11:40:00"/>
    <n v="2"/>
    <s v="February"/>
    <s v="C"/>
    <s v="Naypyitaw"/>
    <s v="Member"/>
    <s v="Female"/>
    <x v="66"/>
    <s v="&lt;20"/>
    <s v="Electronic accessories"/>
    <s v="Ewallet"/>
    <n v="60.95"/>
    <n v="1"/>
    <n v="3.0474999999999999"/>
    <n v="63.997500000000002"/>
    <n v="60.95"/>
    <n v="4.7619047620000003"/>
    <n v="3.0474999999999999"/>
    <n v="5.9"/>
  </r>
  <r>
    <s v="233-67-5758"/>
    <x v="71"/>
    <d v="1899-12-30T13:46:00"/>
    <n v="1"/>
    <s v="January"/>
    <s v="C"/>
    <s v="Naypyitaw"/>
    <s v="Normal"/>
    <s v="Male"/>
    <x v="28"/>
    <s v="20-70"/>
    <s v="Health and beauty"/>
    <s v="Ewallet"/>
    <n v="40.35"/>
    <n v="1"/>
    <n v="2.0175000000000001"/>
    <n v="42.3675"/>
    <n v="40.35"/>
    <n v="4.7619047620000003"/>
    <n v="2.0175000000000001"/>
    <n v="6.2"/>
  </r>
  <r>
    <s v="303-96-2227"/>
    <x v="22"/>
    <d v="1899-12-30T17:16:00"/>
    <n v="3"/>
    <s v="March"/>
    <s v="B"/>
    <s v="Mandalay"/>
    <s v="Normal"/>
    <s v="Female"/>
    <x v="66"/>
    <s v="&lt;20"/>
    <s v="Home and lifestyle"/>
    <s v="Ewallet"/>
    <n v="97.38"/>
    <n v="10"/>
    <n v="48.69"/>
    <n v="1022.49"/>
    <n v="973.8"/>
    <n v="4.7619047620000003"/>
    <n v="48.69"/>
    <n v="4.4000000000000004"/>
  </r>
  <r>
    <s v="727-02-1313"/>
    <x v="57"/>
    <d v="1899-12-30T13:22:00"/>
    <n v="2"/>
    <s v="February"/>
    <s v="A"/>
    <s v="Yangon"/>
    <s v="Member"/>
    <s v="Male"/>
    <x v="37"/>
    <s v="20-70"/>
    <s v="Food and beverages"/>
    <s v="Cash"/>
    <n v="31.84"/>
    <n v="1"/>
    <n v="1.5920000000000001"/>
    <n v="33.432000000000002"/>
    <n v="31.84"/>
    <n v="4.7619047620000003"/>
    <n v="1.5920000000000001"/>
    <n v="7.7"/>
  </r>
  <r>
    <s v="347-56-2442"/>
    <x v="70"/>
    <d v="1899-12-30T15:33:00"/>
    <n v="2"/>
    <s v="February"/>
    <s v="A"/>
    <s v="Yangon"/>
    <s v="Normal"/>
    <s v="Male"/>
    <x v="41"/>
    <s v="&gt;70"/>
    <s v="Home and lifestyle"/>
    <s v="Cash"/>
    <n v="65.819999999999993"/>
    <n v="1"/>
    <n v="3.2909999999999999"/>
    <n v="69.111000000000004"/>
    <n v="65.819999999999993"/>
    <n v="4.7619047620000003"/>
    <n v="3.2909999999999999"/>
    <n v="4.0999999999999996"/>
  </r>
  <r>
    <s v="849-09-3807"/>
    <x v="67"/>
    <d v="1899-12-30T13:28:00"/>
    <n v="2"/>
    <s v="February"/>
    <s v="A"/>
    <s v="Yangon"/>
    <s v="Member"/>
    <s v="Female"/>
    <x v="10"/>
    <s v="20-70"/>
    <s v="Fashion accessories"/>
    <s v="Cash"/>
    <n v="88.34"/>
    <n v="7"/>
    <n v="30.919"/>
    <n v="649.29899999999998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815F5-68BC-42B6-B11E-2814A2F3AD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3">
    <pivotField showAll="0"/>
    <pivotField axis="axisRow"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2"/>
    <field x="21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gross income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967A3-5136-462A-9BF6-F939235530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23"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gross income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7EF9D-9A2B-470F-A527-8DBE796F5AF2}" name="Table1" displayName="Table1" ref="A5:V1005" totalsRowShown="0">
  <autoFilter ref="A5:V1005" xr:uid="{0457EF9D-9A2B-470F-A527-8DBE796F5AF2}"/>
  <tableColumns count="22">
    <tableColumn id="1" xr3:uid="{225B7DC1-781C-41CC-A158-4B5EC85D3B21}" name="Invoice ID"/>
    <tableColumn id="2" xr3:uid="{1D20B551-14B4-4EE3-9A4E-CE13D59EE3FC}" name="Date" dataDxfId="5"/>
    <tableColumn id="3" xr3:uid="{A31109A8-38EB-4864-A733-ECF54D48ACFC}" name="Time" dataDxfId="4"/>
    <tableColumn id="22" xr3:uid="{4E1C2B8E-DA5D-431A-A7CE-F9FA3E0FD031}" name="Time Categories" dataDxfId="3">
      <calculatedColumnFormula>IF(Table1[[#This Row],[Time]]&lt;$D$1,$C$1,IF(Table1[[#This Row],[Time]]&lt;$D$2,$C$2,$C$3))</calculatedColumnFormula>
    </tableColumn>
    <tableColumn id="19" xr3:uid="{9D93827A-3650-46F1-890A-6CE192346F50}" name="Month" dataDxfId="2">
      <calculatedColumnFormula>MONTH(Table1[[#This Row],[Date]])</calculatedColumnFormula>
    </tableColumn>
    <tableColumn id="20" xr3:uid="{B5F2EB23-3F06-44C9-99CB-0FE287803601}" name="MonthName" dataDxfId="1">
      <calculatedColumnFormula>VLOOKUP(Table1[[#This Row],[Month]],dctMonth[],2,FALSE)</calculatedColumnFormula>
    </tableColumn>
    <tableColumn id="4" xr3:uid="{48541867-A81A-400A-9FF0-59C50EA90CA1}" name="Branch"/>
    <tableColumn id="5" xr3:uid="{BEEFADDB-C345-4019-9C74-07E1A5ADF3E8}" name="City"/>
    <tableColumn id="6" xr3:uid="{B132331C-6D8B-46F9-AA03-7A15C2785546}" name="Customer type"/>
    <tableColumn id="7" xr3:uid="{FCCE73A8-F4B2-4B4A-B052-A58624785032}" name="Gender"/>
    <tableColumn id="8" xr3:uid="{826FBA42-D156-4D54-9B0E-AFB72C4ED609}" name="Age"/>
    <tableColumn id="21" xr3:uid="{EF18CFA8-F079-43A1-A040-CCB01E2968C9}" name="Age Category" dataDxfId="0">
      <calculatedColumnFormula>IF(Table1[[#This Row],[Age]]&lt;20,"&lt;20",IF(Table1[[#This Row],[Age]]&lt;=70,"20-70","&gt;70"))</calculatedColumnFormula>
    </tableColumn>
    <tableColumn id="9" xr3:uid="{1A212967-D750-4923-8686-9C5AE45D2F74}" name="Product line"/>
    <tableColumn id="10" xr3:uid="{04EAAD6A-4B74-403B-B88A-91933651D4C0}" name="Payment"/>
    <tableColumn id="11" xr3:uid="{D3FDB723-9A4D-426A-83E3-A3C4EE8472B4}" name="Unit price"/>
    <tableColumn id="12" xr3:uid="{DFEFFEAC-0551-4FA0-ADB2-F2B9C5CA158E}" name="Quantity"/>
    <tableColumn id="13" xr3:uid="{B9CA88D7-A8FB-4E64-A48E-8B829E2CC994}" name="Tax 5%"/>
    <tableColumn id="14" xr3:uid="{06BCEF07-DA48-4703-AAF2-E27DDBA5AA3A}" name="Total"/>
    <tableColumn id="15" xr3:uid="{4650FEC5-5017-473E-93AA-26CE885C023B}" name="cogs"/>
    <tableColumn id="16" xr3:uid="{75096A27-9B17-4C03-956B-8EAB84D7FD74}" name="gross margin percentage"/>
    <tableColumn id="17" xr3:uid="{F60C4DBF-754B-4766-AC38-C4B9604D0BAB}" name="gross income"/>
    <tableColumn id="18" xr3:uid="{F931663E-46E4-4F22-983C-3968448077DF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EDA94F-B1B1-46F5-BAC5-E5B15675BF20}" name="dctMonth" displayName="dctMonth" ref="A1:B13" totalsRowShown="0">
  <autoFilter ref="A1:B13" xr:uid="{99EDA94F-B1B1-46F5-BAC5-E5B15675BF20}"/>
  <tableColumns count="2">
    <tableColumn id="1" xr3:uid="{A18C4EB9-A42B-4C1D-9199-BCB20E0EAB73}" name="Month"/>
    <tableColumn id="2" xr3:uid="{45F96AE0-DD47-4055-A988-96923F8F6F5F}" name="Month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9C9D-B1A2-444E-ACBA-2356B6DCDC1D}">
  <dimension ref="A1:V1005"/>
  <sheetViews>
    <sheetView workbookViewId="0">
      <selection activeCell="Q1" sqref="Q1:U3"/>
    </sheetView>
  </sheetViews>
  <sheetFormatPr baseColWidth="10" defaultColWidth="8.83203125" defaultRowHeight="15" x14ac:dyDescent="0.2"/>
  <cols>
    <col min="1" max="1" width="15.5" customWidth="1"/>
    <col min="7" max="7" width="15" customWidth="1"/>
    <col min="8" max="8" width="8.83203125" customWidth="1"/>
    <col min="10" max="10" width="19.33203125" bestFit="1" customWidth="1"/>
    <col min="11" max="11" width="10.1640625" customWidth="1"/>
    <col min="12" max="12" width="11" customWidth="1"/>
    <col min="13" max="13" width="10" customWidth="1"/>
    <col min="17" max="17" width="23.1640625" customWidth="1"/>
    <col min="18" max="18" width="13.83203125" customWidth="1"/>
  </cols>
  <sheetData>
    <row r="1" spans="1:22" x14ac:dyDescent="0.2">
      <c r="C1" t="s">
        <v>1074</v>
      </c>
      <c r="D1" s="2">
        <v>0.5</v>
      </c>
      <c r="P1" t="s">
        <v>1078</v>
      </c>
      <c r="Q1">
        <f>MIN(Table1[Tax 5%])</f>
        <v>0.50849999999999995</v>
      </c>
      <c r="R1">
        <f>MIN(Table1[Total])</f>
        <v>10.6785</v>
      </c>
      <c r="S1">
        <f>MIN(Table1[cogs])</f>
        <v>10.17</v>
      </c>
      <c r="T1">
        <f>MIN(Table1[gross margin percentage])</f>
        <v>4.7619047620000003</v>
      </c>
      <c r="U1">
        <f>MIN(Table1[gross income])</f>
        <v>0.50849999999999995</v>
      </c>
    </row>
    <row r="2" spans="1:22" x14ac:dyDescent="0.2">
      <c r="C2" t="s">
        <v>1075</v>
      </c>
      <c r="D2" s="2">
        <v>0.70833333333333337</v>
      </c>
      <c r="P2" t="s">
        <v>1079</v>
      </c>
      <c r="Q2">
        <f>MAX(Table1[Tax 5%])</f>
        <v>49.65</v>
      </c>
      <c r="R2">
        <f>MAX(Table1[Total])</f>
        <v>1042.6500000000001</v>
      </c>
      <c r="S2">
        <f>MAX(Table1[cogs])</f>
        <v>993</v>
      </c>
      <c r="T2">
        <f>MAX(Table1[gross margin percentage])</f>
        <v>4.7619047620000003</v>
      </c>
      <c r="U2">
        <f>MAX(Table1[gross income])</f>
        <v>49.65</v>
      </c>
    </row>
    <row r="3" spans="1:22" x14ac:dyDescent="0.2">
      <c r="C3" t="s">
        <v>1076</v>
      </c>
      <c r="D3" t="s">
        <v>1077</v>
      </c>
      <c r="P3" t="s">
        <v>1080</v>
      </c>
      <c r="Q3">
        <f>AVERAGE(Table1[Tax 5%])</f>
        <v>15.379369000000002</v>
      </c>
      <c r="R3">
        <f>AVERAGE(Table1[Total])</f>
        <v>322.96674900000005</v>
      </c>
      <c r="S3">
        <f>AVERAGE(Table1[cogs])</f>
        <v>307.58738000000034</v>
      </c>
      <c r="T3">
        <f>AVERAGE(Table1[gross margin percentage])</f>
        <v>4.7619047620000616</v>
      </c>
      <c r="U3">
        <f>AVERAGE(Table1[gross income])</f>
        <v>15.379369000000002</v>
      </c>
    </row>
    <row r="5" spans="1:22" x14ac:dyDescent="0.2">
      <c r="A5" t="s">
        <v>0</v>
      </c>
      <c r="B5" t="s">
        <v>11</v>
      </c>
      <c r="C5" t="s">
        <v>12</v>
      </c>
      <c r="D5" t="s">
        <v>1073</v>
      </c>
      <c r="E5" t="s">
        <v>1037</v>
      </c>
      <c r="F5" t="s">
        <v>1038</v>
      </c>
      <c r="G5" t="s">
        <v>1</v>
      </c>
      <c r="H5" t="s">
        <v>2</v>
      </c>
      <c r="I5" t="s">
        <v>3</v>
      </c>
      <c r="J5" t="s">
        <v>4</v>
      </c>
      <c r="K5" t="s">
        <v>5</v>
      </c>
      <c r="L5" t="s">
        <v>1051</v>
      </c>
      <c r="M5" t="s">
        <v>6</v>
      </c>
      <c r="N5" t="s">
        <v>13</v>
      </c>
      <c r="O5" t="s">
        <v>7</v>
      </c>
      <c r="P5" t="s">
        <v>8</v>
      </c>
      <c r="Q5" t="s">
        <v>9</v>
      </c>
      <c r="R5" t="s">
        <v>10</v>
      </c>
      <c r="S5" t="s">
        <v>14</v>
      </c>
      <c r="T5" t="s">
        <v>15</v>
      </c>
      <c r="U5" t="s">
        <v>16</v>
      </c>
      <c r="V5" t="s">
        <v>17</v>
      </c>
    </row>
    <row r="6" spans="1:22" x14ac:dyDescent="0.2">
      <c r="A6" t="s">
        <v>18</v>
      </c>
      <c r="B6" s="1">
        <v>43470</v>
      </c>
      <c r="C6" s="2">
        <v>0.54722222222222228</v>
      </c>
      <c r="D6" s="2" t="str">
        <f>IF(Table1[[#This Row],[Time]]&lt;$D$1,$C$1,IF(Table1[[#This Row],[Time]]&lt;$D$2,$C$2,$C$3))</f>
        <v>Afternoon</v>
      </c>
      <c r="E6">
        <f>MONTH(Table1[[#This Row],[Date]])</f>
        <v>1</v>
      </c>
      <c r="F6" t="str">
        <f>VLOOKUP(Table1[[#This Row],[Month]],dctMonth[],2,FALSE)</f>
        <v>January</v>
      </c>
      <c r="G6" t="s">
        <v>19</v>
      </c>
      <c r="H6" t="s">
        <v>20</v>
      </c>
      <c r="I6" t="s">
        <v>21</v>
      </c>
      <c r="J6" t="s">
        <v>22</v>
      </c>
      <c r="K6">
        <v>17</v>
      </c>
      <c r="L6" t="str">
        <f>IF(Table1[[#This Row],[Age]]&lt;20,"&lt;20",IF(Table1[[#This Row],[Age]]&lt;=70,"20-70","&gt;70"))</f>
        <v>&lt;20</v>
      </c>
      <c r="M6" t="s">
        <v>23</v>
      </c>
      <c r="N6" t="s">
        <v>24</v>
      </c>
      <c r="O6">
        <v>74.69</v>
      </c>
      <c r="P6">
        <v>7</v>
      </c>
      <c r="Q6">
        <v>26.141500000000001</v>
      </c>
      <c r="R6">
        <v>548.97149999999999</v>
      </c>
      <c r="S6">
        <v>522.83000000000004</v>
      </c>
      <c r="T6">
        <v>4.7619047620000003</v>
      </c>
      <c r="U6">
        <v>26.141500000000001</v>
      </c>
      <c r="V6">
        <v>9.1</v>
      </c>
    </row>
    <row r="7" spans="1:22" x14ac:dyDescent="0.2">
      <c r="A7" t="s">
        <v>25</v>
      </c>
      <c r="B7" s="1">
        <v>43532</v>
      </c>
      <c r="C7" s="2">
        <v>0.43680555555555556</v>
      </c>
      <c r="D7" s="2" t="str">
        <f>IF(Table1[[#This Row],[Time]]&lt;$D$1,$C$1,IF(Table1[[#This Row],[Time]]&lt;$D$2,$C$2,$C$3))</f>
        <v>Morning</v>
      </c>
      <c r="E7">
        <f>MONTH(Table1[[#This Row],[Date]])</f>
        <v>3</v>
      </c>
      <c r="F7" t="str">
        <f>VLOOKUP(Table1[[#This Row],[Month]],dctMonth[],2,FALSE)</f>
        <v>March</v>
      </c>
      <c r="G7" t="s">
        <v>26</v>
      </c>
      <c r="H7" t="s">
        <v>27</v>
      </c>
      <c r="I7" t="s">
        <v>28</v>
      </c>
      <c r="J7" t="s">
        <v>22</v>
      </c>
      <c r="K7">
        <v>38</v>
      </c>
      <c r="L7" t="str">
        <f>IF(Table1[[#This Row],[Age]]&lt;20,"&lt;20",IF(Table1[[#This Row],[Age]]&lt;=70,"20-70","&gt;70"))</f>
        <v>20-70</v>
      </c>
      <c r="M7" t="s">
        <v>29</v>
      </c>
      <c r="N7" t="s">
        <v>30</v>
      </c>
      <c r="O7">
        <v>15.28</v>
      </c>
      <c r="P7">
        <v>5</v>
      </c>
      <c r="Q7">
        <v>3.82</v>
      </c>
      <c r="R7">
        <v>80.22</v>
      </c>
      <c r="S7">
        <v>76.400000000000006</v>
      </c>
      <c r="T7">
        <v>4.7619047620000003</v>
      </c>
      <c r="U7">
        <v>3.82</v>
      </c>
      <c r="V7">
        <v>9.6</v>
      </c>
    </row>
    <row r="8" spans="1:22" x14ac:dyDescent="0.2">
      <c r="A8" t="s">
        <v>31</v>
      </c>
      <c r="B8" s="1">
        <v>43527</v>
      </c>
      <c r="C8" s="2">
        <v>0.55763888888888891</v>
      </c>
      <c r="D8" s="2" t="str">
        <f>IF(Table1[[#This Row],[Time]]&lt;$D$1,$C$1,IF(Table1[[#This Row],[Time]]&lt;$D$2,$C$2,$C$3))</f>
        <v>Afternoon</v>
      </c>
      <c r="E8">
        <f>MONTH(Table1[[#This Row],[Date]])</f>
        <v>3</v>
      </c>
      <c r="F8" t="str">
        <f>VLOOKUP(Table1[[#This Row],[Month]],dctMonth[],2,FALSE)</f>
        <v>March</v>
      </c>
      <c r="G8" t="s">
        <v>19</v>
      </c>
      <c r="H8" t="s">
        <v>20</v>
      </c>
      <c r="I8" t="s">
        <v>28</v>
      </c>
      <c r="J8" t="s">
        <v>32</v>
      </c>
      <c r="K8">
        <v>55</v>
      </c>
      <c r="L8" t="str">
        <f>IF(Table1[[#This Row],[Age]]&lt;20,"&lt;20",IF(Table1[[#This Row],[Age]]&lt;=70,"20-70","&gt;70"))</f>
        <v>20-70</v>
      </c>
      <c r="M8" t="s">
        <v>33</v>
      </c>
      <c r="N8" t="s">
        <v>34</v>
      </c>
      <c r="O8">
        <v>46.33</v>
      </c>
      <c r="P8">
        <v>7</v>
      </c>
      <c r="Q8">
        <v>16.215499999999999</v>
      </c>
      <c r="R8">
        <v>340.52550000000002</v>
      </c>
      <c r="S8">
        <v>324.31</v>
      </c>
      <c r="T8">
        <v>4.7619047620000003</v>
      </c>
      <c r="U8">
        <v>16.215499999999999</v>
      </c>
      <c r="V8">
        <v>7.4</v>
      </c>
    </row>
    <row r="9" spans="1:22" x14ac:dyDescent="0.2">
      <c r="A9" t="s">
        <v>35</v>
      </c>
      <c r="B9" s="1">
        <v>43492</v>
      </c>
      <c r="C9" s="2">
        <v>0.85624999999999996</v>
      </c>
      <c r="D9" s="2" t="str">
        <f>IF(Table1[[#This Row],[Time]]&lt;$D$1,$C$1,IF(Table1[[#This Row],[Time]]&lt;$D$2,$C$2,$C$3))</f>
        <v>Evening</v>
      </c>
      <c r="E9">
        <f>MONTH(Table1[[#This Row],[Date]])</f>
        <v>1</v>
      </c>
      <c r="F9" t="str">
        <f>VLOOKUP(Table1[[#This Row],[Month]],dctMonth[],2,FALSE)</f>
        <v>January</v>
      </c>
      <c r="G9" t="s">
        <v>19</v>
      </c>
      <c r="H9" t="s">
        <v>20</v>
      </c>
      <c r="I9" t="s">
        <v>21</v>
      </c>
      <c r="J9" t="s">
        <v>32</v>
      </c>
      <c r="K9">
        <v>39</v>
      </c>
      <c r="L9" t="str">
        <f>IF(Table1[[#This Row],[Age]]&lt;20,"&lt;20",IF(Table1[[#This Row],[Age]]&lt;=70,"20-70","&gt;70"))</f>
        <v>20-70</v>
      </c>
      <c r="M9" t="s">
        <v>23</v>
      </c>
      <c r="N9" t="s">
        <v>24</v>
      </c>
      <c r="O9">
        <v>58.22</v>
      </c>
      <c r="P9">
        <v>8</v>
      </c>
      <c r="Q9">
        <v>23.288</v>
      </c>
      <c r="R9">
        <v>489.048</v>
      </c>
      <c r="S9">
        <v>465.76</v>
      </c>
      <c r="T9">
        <v>4.7619047620000003</v>
      </c>
      <c r="U9">
        <v>23.288</v>
      </c>
      <c r="V9">
        <v>8.4</v>
      </c>
    </row>
    <row r="10" spans="1:22" x14ac:dyDescent="0.2">
      <c r="A10" t="s">
        <v>36</v>
      </c>
      <c r="B10" s="1">
        <v>43504</v>
      </c>
      <c r="C10" s="2">
        <v>0.44236111111111109</v>
      </c>
      <c r="D10" s="2" t="str">
        <f>IF(Table1[[#This Row],[Time]]&lt;$D$1,$C$1,IF(Table1[[#This Row],[Time]]&lt;$D$2,$C$2,$C$3))</f>
        <v>Morning</v>
      </c>
      <c r="E10">
        <f>MONTH(Table1[[#This Row],[Date]])</f>
        <v>2</v>
      </c>
      <c r="F10" t="str">
        <f>VLOOKUP(Table1[[#This Row],[Month]],dctMonth[],2,FALSE)</f>
        <v>February</v>
      </c>
      <c r="G10" t="s">
        <v>19</v>
      </c>
      <c r="H10" t="s">
        <v>20</v>
      </c>
      <c r="I10" t="s">
        <v>28</v>
      </c>
      <c r="J10" t="s">
        <v>32</v>
      </c>
      <c r="K10">
        <v>42</v>
      </c>
      <c r="L10" t="str">
        <f>IF(Table1[[#This Row],[Age]]&lt;20,"&lt;20",IF(Table1[[#This Row],[Age]]&lt;=70,"20-70","&gt;70"))</f>
        <v>20-70</v>
      </c>
      <c r="M10" t="s">
        <v>37</v>
      </c>
      <c r="N10" t="s">
        <v>24</v>
      </c>
      <c r="O10">
        <v>86.31</v>
      </c>
      <c r="P10">
        <v>7</v>
      </c>
      <c r="Q10">
        <v>30.208500000000001</v>
      </c>
      <c r="R10">
        <v>634.37850000000003</v>
      </c>
      <c r="S10">
        <v>604.16999999999996</v>
      </c>
      <c r="T10">
        <v>4.7619047620000003</v>
      </c>
      <c r="U10">
        <v>30.208500000000001</v>
      </c>
      <c r="V10">
        <v>5.3</v>
      </c>
    </row>
    <row r="11" spans="1:22" x14ac:dyDescent="0.2">
      <c r="A11" t="s">
        <v>38</v>
      </c>
      <c r="B11" s="1">
        <v>43549</v>
      </c>
      <c r="C11" s="2">
        <v>0.77083333333333337</v>
      </c>
      <c r="D11" s="2" t="str">
        <f>IF(Table1[[#This Row],[Time]]&lt;$D$1,$C$1,IF(Table1[[#This Row],[Time]]&lt;$D$2,$C$2,$C$3))</f>
        <v>Evening</v>
      </c>
      <c r="E11">
        <f>MONTH(Table1[[#This Row],[Date]])</f>
        <v>3</v>
      </c>
      <c r="F11" t="str">
        <f>VLOOKUP(Table1[[#This Row],[Month]],dctMonth[],2,FALSE)</f>
        <v>March</v>
      </c>
      <c r="G11" t="s">
        <v>26</v>
      </c>
      <c r="H11" t="s">
        <v>27</v>
      </c>
      <c r="I11" t="s">
        <v>28</v>
      </c>
      <c r="J11" t="s">
        <v>32</v>
      </c>
      <c r="K11">
        <v>79</v>
      </c>
      <c r="L11" t="str">
        <f>IF(Table1[[#This Row],[Age]]&lt;20,"&lt;20",IF(Table1[[#This Row],[Age]]&lt;=70,"20-70","&gt;70"))</f>
        <v>&gt;70</v>
      </c>
      <c r="M11" t="s">
        <v>29</v>
      </c>
      <c r="N11" t="s">
        <v>24</v>
      </c>
      <c r="O11">
        <v>85.39</v>
      </c>
      <c r="P11">
        <v>7</v>
      </c>
      <c r="Q11">
        <v>29.886500000000002</v>
      </c>
      <c r="R11">
        <v>627.61649999999997</v>
      </c>
      <c r="S11">
        <v>597.73</v>
      </c>
      <c r="T11">
        <v>4.7619047620000003</v>
      </c>
      <c r="U11">
        <v>29.886500000000002</v>
      </c>
      <c r="V11">
        <v>4.0999999999999996</v>
      </c>
    </row>
    <row r="12" spans="1:22" x14ac:dyDescent="0.2">
      <c r="A12" t="s">
        <v>39</v>
      </c>
      <c r="B12" s="1">
        <v>43521</v>
      </c>
      <c r="C12" s="2">
        <v>0.60833333333333328</v>
      </c>
      <c r="D12" s="2" t="str">
        <f>IF(Table1[[#This Row],[Time]]&lt;$D$1,$C$1,IF(Table1[[#This Row],[Time]]&lt;$D$2,$C$2,$C$3))</f>
        <v>Afternoon</v>
      </c>
      <c r="E12">
        <f>MONTH(Table1[[#This Row],[Date]])</f>
        <v>2</v>
      </c>
      <c r="F12" t="str">
        <f>VLOOKUP(Table1[[#This Row],[Month]],dctMonth[],2,FALSE)</f>
        <v>February</v>
      </c>
      <c r="G12" t="s">
        <v>19</v>
      </c>
      <c r="H12" t="s">
        <v>20</v>
      </c>
      <c r="I12" t="s">
        <v>21</v>
      </c>
      <c r="J12" t="s">
        <v>22</v>
      </c>
      <c r="K12">
        <v>45</v>
      </c>
      <c r="L12" t="str">
        <f>IF(Table1[[#This Row],[Age]]&lt;20,"&lt;20",IF(Table1[[#This Row],[Age]]&lt;=70,"20-70","&gt;70"))</f>
        <v>20-70</v>
      </c>
      <c r="M12" t="s">
        <v>29</v>
      </c>
      <c r="N12" t="s">
        <v>24</v>
      </c>
      <c r="O12">
        <v>68.84</v>
      </c>
      <c r="P12">
        <v>6</v>
      </c>
      <c r="Q12">
        <v>20.652000000000001</v>
      </c>
      <c r="R12">
        <v>433.69200000000001</v>
      </c>
      <c r="S12">
        <v>413.04</v>
      </c>
      <c r="T12">
        <v>4.7619047620000003</v>
      </c>
      <c r="U12">
        <v>20.652000000000001</v>
      </c>
      <c r="V12">
        <v>5.8</v>
      </c>
    </row>
    <row r="13" spans="1:22" x14ac:dyDescent="0.2">
      <c r="A13" t="s">
        <v>40</v>
      </c>
      <c r="B13" s="1">
        <v>43520</v>
      </c>
      <c r="C13" s="2">
        <v>0.48472222222222222</v>
      </c>
      <c r="D13" s="2" t="str">
        <f>IF(Table1[[#This Row],[Time]]&lt;$D$1,$C$1,IF(Table1[[#This Row],[Time]]&lt;$D$2,$C$2,$C$3))</f>
        <v>Morning</v>
      </c>
      <c r="E13">
        <f>MONTH(Table1[[#This Row],[Date]])</f>
        <v>2</v>
      </c>
      <c r="F13" t="str">
        <f>VLOOKUP(Table1[[#This Row],[Month]],dctMonth[],2,FALSE)</f>
        <v>February</v>
      </c>
      <c r="G13" t="s">
        <v>26</v>
      </c>
      <c r="H13" t="s">
        <v>27</v>
      </c>
      <c r="I13" t="s">
        <v>28</v>
      </c>
      <c r="J13" t="s">
        <v>22</v>
      </c>
      <c r="K13">
        <v>78</v>
      </c>
      <c r="L13" t="str">
        <f>IF(Table1[[#This Row],[Age]]&lt;20,"&lt;20",IF(Table1[[#This Row],[Age]]&lt;=70,"20-70","&gt;70"))</f>
        <v>&gt;70</v>
      </c>
      <c r="M13" t="s">
        <v>33</v>
      </c>
      <c r="N13" t="s">
        <v>24</v>
      </c>
      <c r="O13">
        <v>73.56</v>
      </c>
      <c r="P13">
        <v>10</v>
      </c>
      <c r="Q13">
        <v>36.78</v>
      </c>
      <c r="R13">
        <v>772.38</v>
      </c>
      <c r="S13">
        <v>735.6</v>
      </c>
      <c r="T13">
        <v>4.7619047620000003</v>
      </c>
      <c r="U13">
        <v>36.78</v>
      </c>
      <c r="V13">
        <v>8</v>
      </c>
    </row>
    <row r="14" spans="1:22" x14ac:dyDescent="0.2">
      <c r="A14" t="s">
        <v>41</v>
      </c>
      <c r="B14" s="1">
        <v>43475</v>
      </c>
      <c r="C14" s="2">
        <v>0.71875</v>
      </c>
      <c r="D14" s="2" t="str">
        <f>IF(Table1[[#This Row],[Time]]&lt;$D$1,$C$1,IF(Table1[[#This Row],[Time]]&lt;$D$2,$C$2,$C$3))</f>
        <v>Evening</v>
      </c>
      <c r="E14">
        <f>MONTH(Table1[[#This Row],[Date]])</f>
        <v>1</v>
      </c>
      <c r="F14" t="str">
        <f>VLOOKUP(Table1[[#This Row],[Month]],dctMonth[],2,FALSE)</f>
        <v>January</v>
      </c>
      <c r="G14" t="s">
        <v>19</v>
      </c>
      <c r="H14" t="s">
        <v>20</v>
      </c>
      <c r="I14" t="s">
        <v>21</v>
      </c>
      <c r="J14" t="s">
        <v>22</v>
      </c>
      <c r="K14">
        <v>63</v>
      </c>
      <c r="L14" t="str">
        <f>IF(Table1[[#This Row],[Age]]&lt;20,"&lt;20",IF(Table1[[#This Row],[Age]]&lt;=70,"20-70","&gt;70"))</f>
        <v>20-70</v>
      </c>
      <c r="M14" t="s">
        <v>23</v>
      </c>
      <c r="N14" t="s">
        <v>34</v>
      </c>
      <c r="O14">
        <v>36.26</v>
      </c>
      <c r="P14">
        <v>2</v>
      </c>
      <c r="Q14">
        <v>3.6259999999999999</v>
      </c>
      <c r="R14">
        <v>76.146000000000001</v>
      </c>
      <c r="S14">
        <v>72.52</v>
      </c>
      <c r="T14">
        <v>4.7619047620000003</v>
      </c>
      <c r="U14">
        <v>3.6259999999999999</v>
      </c>
      <c r="V14">
        <v>7.2</v>
      </c>
    </row>
    <row r="15" spans="1:22" x14ac:dyDescent="0.2">
      <c r="A15" t="s">
        <v>42</v>
      </c>
      <c r="B15" s="1">
        <v>43516</v>
      </c>
      <c r="C15" s="2">
        <v>0.56041666666666667</v>
      </c>
      <c r="D15" s="2" t="str">
        <f>IF(Table1[[#This Row],[Time]]&lt;$D$1,$C$1,IF(Table1[[#This Row],[Time]]&lt;$D$2,$C$2,$C$3))</f>
        <v>Afternoon</v>
      </c>
      <c r="E15">
        <f>MONTH(Table1[[#This Row],[Date]])</f>
        <v>2</v>
      </c>
      <c r="F15" t="str">
        <f>VLOOKUP(Table1[[#This Row],[Month]],dctMonth[],2,FALSE)</f>
        <v>February</v>
      </c>
      <c r="G15" t="s">
        <v>43</v>
      </c>
      <c r="H15" t="s">
        <v>44</v>
      </c>
      <c r="I15" t="s">
        <v>21</v>
      </c>
      <c r="J15" t="s">
        <v>22</v>
      </c>
      <c r="K15">
        <v>33</v>
      </c>
      <c r="L15" t="str">
        <f>IF(Table1[[#This Row],[Age]]&lt;20,"&lt;20",IF(Table1[[#This Row],[Age]]&lt;=70,"20-70","&gt;70"))</f>
        <v>20-70</v>
      </c>
      <c r="M15" t="s">
        <v>45</v>
      </c>
      <c r="N15" t="s">
        <v>34</v>
      </c>
      <c r="O15">
        <v>54.84</v>
      </c>
      <c r="P15">
        <v>3</v>
      </c>
      <c r="Q15">
        <v>8.2260000000000009</v>
      </c>
      <c r="R15">
        <v>172.74600000000001</v>
      </c>
      <c r="S15">
        <v>164.52</v>
      </c>
      <c r="T15">
        <v>4.7619047620000003</v>
      </c>
      <c r="U15">
        <v>8.2260000000000009</v>
      </c>
      <c r="V15">
        <v>5.9</v>
      </c>
    </row>
    <row r="16" spans="1:22" x14ac:dyDescent="0.2">
      <c r="A16" t="s">
        <v>46</v>
      </c>
      <c r="B16" s="1">
        <v>43502</v>
      </c>
      <c r="C16" s="2">
        <v>0.75486111111111109</v>
      </c>
      <c r="D16" s="2" t="str">
        <f>IF(Table1[[#This Row],[Time]]&lt;$D$1,$C$1,IF(Table1[[#This Row],[Time]]&lt;$D$2,$C$2,$C$3))</f>
        <v>Evening</v>
      </c>
      <c r="E16">
        <f>MONTH(Table1[[#This Row],[Date]])</f>
        <v>2</v>
      </c>
      <c r="F16" t="str">
        <f>VLOOKUP(Table1[[#This Row],[Month]],dctMonth[],2,FALSE)</f>
        <v>February</v>
      </c>
      <c r="G16" t="s">
        <v>43</v>
      </c>
      <c r="H16" t="s">
        <v>44</v>
      </c>
      <c r="I16" t="s">
        <v>21</v>
      </c>
      <c r="J16" t="s">
        <v>22</v>
      </c>
      <c r="K16">
        <v>23</v>
      </c>
      <c r="L16" t="str">
        <f>IF(Table1[[#This Row],[Age]]&lt;20,"&lt;20",IF(Table1[[#This Row],[Age]]&lt;=70,"20-70","&gt;70"))</f>
        <v>20-70</v>
      </c>
      <c r="M16" t="s">
        <v>47</v>
      </c>
      <c r="N16" t="s">
        <v>24</v>
      </c>
      <c r="O16">
        <v>14.48</v>
      </c>
      <c r="P16">
        <v>4</v>
      </c>
      <c r="Q16">
        <v>2.8959999999999999</v>
      </c>
      <c r="R16">
        <v>60.816000000000003</v>
      </c>
      <c r="S16">
        <v>57.92</v>
      </c>
      <c r="T16">
        <v>4.7619047620000003</v>
      </c>
      <c r="U16">
        <v>2.8959999999999999</v>
      </c>
      <c r="V16">
        <v>4.5</v>
      </c>
    </row>
    <row r="17" spans="1:22" x14ac:dyDescent="0.2">
      <c r="A17" t="s">
        <v>48</v>
      </c>
      <c r="B17" s="1">
        <v>43533</v>
      </c>
      <c r="C17" s="2">
        <v>0.7104166666666667</v>
      </c>
      <c r="D17" s="2" t="str">
        <f>IF(Table1[[#This Row],[Time]]&lt;$D$1,$C$1,IF(Table1[[#This Row],[Time]]&lt;$D$2,$C$2,$C$3))</f>
        <v>Evening</v>
      </c>
      <c r="E17">
        <f>MONTH(Table1[[#This Row],[Date]])</f>
        <v>3</v>
      </c>
      <c r="F17" t="str">
        <f>VLOOKUP(Table1[[#This Row],[Month]],dctMonth[],2,FALSE)</f>
        <v>March</v>
      </c>
      <c r="G17" t="s">
        <v>43</v>
      </c>
      <c r="H17" t="s">
        <v>44</v>
      </c>
      <c r="I17" t="s">
        <v>21</v>
      </c>
      <c r="J17" t="s">
        <v>32</v>
      </c>
      <c r="K17">
        <v>89</v>
      </c>
      <c r="L17" t="str">
        <f>IF(Table1[[#This Row],[Age]]&lt;20,"&lt;20",IF(Table1[[#This Row],[Age]]&lt;=70,"20-70","&gt;70"))</f>
        <v>&gt;70</v>
      </c>
      <c r="M17" t="s">
        <v>29</v>
      </c>
      <c r="N17" t="s">
        <v>30</v>
      </c>
      <c r="O17">
        <v>25.51</v>
      </c>
      <c r="P17">
        <v>4</v>
      </c>
      <c r="Q17">
        <v>5.1020000000000003</v>
      </c>
      <c r="R17">
        <v>107.142</v>
      </c>
      <c r="S17">
        <v>102.04</v>
      </c>
      <c r="T17">
        <v>4.7619047620000003</v>
      </c>
      <c r="U17">
        <v>5.1020000000000003</v>
      </c>
      <c r="V17">
        <v>6.8</v>
      </c>
    </row>
    <row r="18" spans="1:22" x14ac:dyDescent="0.2">
      <c r="A18" t="s">
        <v>49</v>
      </c>
      <c r="B18" s="1">
        <v>43508</v>
      </c>
      <c r="C18" s="2">
        <v>0.43402777777777779</v>
      </c>
      <c r="D18" s="2" t="str">
        <f>IF(Table1[[#This Row],[Time]]&lt;$D$1,$C$1,IF(Table1[[#This Row],[Time]]&lt;$D$2,$C$2,$C$3))</f>
        <v>Morning</v>
      </c>
      <c r="E18">
        <f>MONTH(Table1[[#This Row],[Date]])</f>
        <v>2</v>
      </c>
      <c r="F18" t="str">
        <f>VLOOKUP(Table1[[#This Row],[Month]],dctMonth[],2,FALSE)</f>
        <v>February</v>
      </c>
      <c r="G18" t="s">
        <v>19</v>
      </c>
      <c r="H18" t="s">
        <v>20</v>
      </c>
      <c r="I18" t="s">
        <v>28</v>
      </c>
      <c r="J18" t="s">
        <v>22</v>
      </c>
      <c r="K18">
        <v>40</v>
      </c>
      <c r="L18" t="str">
        <f>IF(Table1[[#This Row],[Age]]&lt;20,"&lt;20",IF(Table1[[#This Row],[Age]]&lt;=70,"20-70","&gt;70"))</f>
        <v>20-70</v>
      </c>
      <c r="M18" t="s">
        <v>29</v>
      </c>
      <c r="N18" t="s">
        <v>24</v>
      </c>
      <c r="O18">
        <v>46.95</v>
      </c>
      <c r="P18">
        <v>5</v>
      </c>
      <c r="Q18">
        <v>11.737500000000001</v>
      </c>
      <c r="R18">
        <v>246.48750000000001</v>
      </c>
      <c r="S18">
        <v>234.75</v>
      </c>
      <c r="T18">
        <v>4.7619047620000003</v>
      </c>
      <c r="U18">
        <v>11.737500000000001</v>
      </c>
      <c r="V18">
        <v>7.1</v>
      </c>
    </row>
    <row r="19" spans="1:22" x14ac:dyDescent="0.2">
      <c r="A19" t="s">
        <v>50</v>
      </c>
      <c r="B19" s="1">
        <v>43503</v>
      </c>
      <c r="C19" s="2">
        <v>0.7</v>
      </c>
      <c r="D19" s="2" t="str">
        <f>IF(Table1[[#This Row],[Time]]&lt;$D$1,$C$1,IF(Table1[[#This Row],[Time]]&lt;$D$2,$C$2,$C$3))</f>
        <v>Afternoon</v>
      </c>
      <c r="E19">
        <f>MONTH(Table1[[#This Row],[Date]])</f>
        <v>2</v>
      </c>
      <c r="F19" t="str">
        <f>VLOOKUP(Table1[[#This Row],[Month]],dctMonth[],2,FALSE)</f>
        <v>February</v>
      </c>
      <c r="G19" t="s">
        <v>19</v>
      </c>
      <c r="H19" t="s">
        <v>20</v>
      </c>
      <c r="I19" t="s">
        <v>28</v>
      </c>
      <c r="J19" t="s">
        <v>32</v>
      </c>
      <c r="K19">
        <v>84</v>
      </c>
      <c r="L19" t="str">
        <f>IF(Table1[[#This Row],[Age]]&lt;20,"&lt;20",IF(Table1[[#This Row],[Age]]&lt;=70,"20-70","&gt;70"))</f>
        <v>&gt;70</v>
      </c>
      <c r="M19" t="s">
        <v>45</v>
      </c>
      <c r="N19" t="s">
        <v>24</v>
      </c>
      <c r="O19">
        <v>43.19</v>
      </c>
      <c r="P19">
        <v>10</v>
      </c>
      <c r="Q19">
        <v>21.594999999999999</v>
      </c>
      <c r="R19">
        <v>453.495</v>
      </c>
      <c r="S19">
        <v>431.9</v>
      </c>
      <c r="T19">
        <v>4.7619047620000003</v>
      </c>
      <c r="U19">
        <v>21.594999999999999</v>
      </c>
      <c r="V19">
        <v>8.1999999999999993</v>
      </c>
    </row>
    <row r="20" spans="1:22" x14ac:dyDescent="0.2">
      <c r="A20" t="s">
        <v>51</v>
      </c>
      <c r="B20" s="1">
        <v>43553</v>
      </c>
      <c r="C20" s="2">
        <v>0.80625000000000002</v>
      </c>
      <c r="D20" s="2" t="str">
        <f>IF(Table1[[#This Row],[Time]]&lt;$D$1,$C$1,IF(Table1[[#This Row],[Time]]&lt;$D$2,$C$2,$C$3))</f>
        <v>Evening</v>
      </c>
      <c r="E20">
        <f>MONTH(Table1[[#This Row],[Date]])</f>
        <v>3</v>
      </c>
      <c r="F20" t="str">
        <f>VLOOKUP(Table1[[#This Row],[Month]],dctMonth[],2,FALSE)</f>
        <v>March</v>
      </c>
      <c r="G20" t="s">
        <v>19</v>
      </c>
      <c r="H20" t="s">
        <v>20</v>
      </c>
      <c r="I20" t="s">
        <v>28</v>
      </c>
      <c r="J20" t="s">
        <v>22</v>
      </c>
      <c r="K20">
        <v>71</v>
      </c>
      <c r="L20" t="str">
        <f>IF(Table1[[#This Row],[Age]]&lt;20,"&lt;20",IF(Table1[[#This Row],[Age]]&lt;=70,"20-70","&gt;70"))</f>
        <v>&gt;70</v>
      </c>
      <c r="M20" t="s">
        <v>23</v>
      </c>
      <c r="N20" t="s">
        <v>30</v>
      </c>
      <c r="O20">
        <v>71.38</v>
      </c>
      <c r="P20">
        <v>10</v>
      </c>
      <c r="Q20">
        <v>35.69</v>
      </c>
      <c r="R20">
        <v>749.49</v>
      </c>
      <c r="S20">
        <v>713.8</v>
      </c>
      <c r="T20">
        <v>4.7619047620000003</v>
      </c>
      <c r="U20">
        <v>35.69</v>
      </c>
      <c r="V20">
        <v>5.7</v>
      </c>
    </row>
    <row r="21" spans="1:22" x14ac:dyDescent="0.2">
      <c r="A21" t="s">
        <v>52</v>
      </c>
      <c r="B21" s="1">
        <v>43480</v>
      </c>
      <c r="C21" s="2">
        <v>0.67986111111111114</v>
      </c>
      <c r="D21" s="2" t="str">
        <f>IF(Table1[[#This Row],[Time]]&lt;$D$1,$C$1,IF(Table1[[#This Row],[Time]]&lt;$D$2,$C$2,$C$3))</f>
        <v>Afternoon</v>
      </c>
      <c r="E21">
        <f>MONTH(Table1[[#This Row],[Date]])</f>
        <v>1</v>
      </c>
      <c r="F21" t="str">
        <f>VLOOKUP(Table1[[#This Row],[Month]],dctMonth[],2,FALSE)</f>
        <v>January</v>
      </c>
      <c r="G21" t="s">
        <v>43</v>
      </c>
      <c r="H21" t="s">
        <v>44</v>
      </c>
      <c r="I21" t="s">
        <v>21</v>
      </c>
      <c r="J21" t="s">
        <v>22</v>
      </c>
      <c r="K21">
        <v>40</v>
      </c>
      <c r="L21" t="str">
        <f>IF(Table1[[#This Row],[Age]]&lt;20,"&lt;20",IF(Table1[[#This Row],[Age]]&lt;=70,"20-70","&gt;70"))</f>
        <v>20-70</v>
      </c>
      <c r="M21" t="s">
        <v>37</v>
      </c>
      <c r="N21" t="s">
        <v>30</v>
      </c>
      <c r="O21">
        <v>93.72</v>
      </c>
      <c r="P21">
        <v>6</v>
      </c>
      <c r="Q21">
        <v>28.116</v>
      </c>
      <c r="R21">
        <v>590.43600000000004</v>
      </c>
      <c r="S21">
        <v>562.32000000000005</v>
      </c>
      <c r="T21">
        <v>4.7619047620000003</v>
      </c>
      <c r="U21">
        <v>28.116</v>
      </c>
      <c r="V21">
        <v>4.5</v>
      </c>
    </row>
    <row r="22" spans="1:22" x14ac:dyDescent="0.2">
      <c r="A22" t="s">
        <v>53</v>
      </c>
      <c r="B22" s="1">
        <v>43535</v>
      </c>
      <c r="C22" s="2">
        <v>0.46041666666666664</v>
      </c>
      <c r="D22" s="2" t="str">
        <f>IF(Table1[[#This Row],[Time]]&lt;$D$1,$C$1,IF(Table1[[#This Row],[Time]]&lt;$D$2,$C$2,$C$3))</f>
        <v>Morning</v>
      </c>
      <c r="E22">
        <f>MONTH(Table1[[#This Row],[Date]])</f>
        <v>3</v>
      </c>
      <c r="F22" t="str">
        <f>VLOOKUP(Table1[[#This Row],[Month]],dctMonth[],2,FALSE)</f>
        <v>March</v>
      </c>
      <c r="G22" t="s">
        <v>19</v>
      </c>
      <c r="H22" t="s">
        <v>20</v>
      </c>
      <c r="I22" t="s">
        <v>21</v>
      </c>
      <c r="J22" t="s">
        <v>22</v>
      </c>
      <c r="K22">
        <v>48</v>
      </c>
      <c r="L22" t="str">
        <f>IF(Table1[[#This Row],[Age]]&lt;20,"&lt;20",IF(Table1[[#This Row],[Age]]&lt;=70,"20-70","&gt;70"))</f>
        <v>20-70</v>
      </c>
      <c r="M22" t="s">
        <v>23</v>
      </c>
      <c r="N22" t="s">
        <v>34</v>
      </c>
      <c r="O22">
        <v>68.930000000000007</v>
      </c>
      <c r="P22">
        <v>7</v>
      </c>
      <c r="Q22">
        <v>24.125499999999999</v>
      </c>
      <c r="R22">
        <v>506.63549999999998</v>
      </c>
      <c r="S22">
        <v>482.51</v>
      </c>
      <c r="T22">
        <v>4.7619047620000003</v>
      </c>
      <c r="U22">
        <v>24.125499999999999</v>
      </c>
      <c r="V22">
        <v>4.5999999999999996</v>
      </c>
    </row>
    <row r="23" spans="1:22" x14ac:dyDescent="0.2">
      <c r="A23" t="s">
        <v>54</v>
      </c>
      <c r="B23" s="1">
        <v>43466</v>
      </c>
      <c r="C23" s="2">
        <v>0.44374999999999998</v>
      </c>
      <c r="D23" s="2" t="str">
        <f>IF(Table1[[#This Row],[Time]]&lt;$D$1,$C$1,IF(Table1[[#This Row],[Time]]&lt;$D$2,$C$2,$C$3))</f>
        <v>Morning</v>
      </c>
      <c r="E23">
        <f>MONTH(Table1[[#This Row],[Date]])</f>
        <v>1</v>
      </c>
      <c r="F23" t="str">
        <f>VLOOKUP(Table1[[#This Row],[Month]],dctMonth[],2,FALSE)</f>
        <v>January</v>
      </c>
      <c r="G23" t="s">
        <v>19</v>
      </c>
      <c r="H23" t="s">
        <v>20</v>
      </c>
      <c r="I23" t="s">
        <v>28</v>
      </c>
      <c r="J23" t="s">
        <v>32</v>
      </c>
      <c r="K23">
        <v>23</v>
      </c>
      <c r="L23" t="str">
        <f>IF(Table1[[#This Row],[Age]]&lt;20,"&lt;20",IF(Table1[[#This Row],[Age]]&lt;=70,"20-70","&gt;70"))</f>
        <v>20-70</v>
      </c>
      <c r="M23" t="s">
        <v>37</v>
      </c>
      <c r="N23" t="s">
        <v>34</v>
      </c>
      <c r="O23">
        <v>72.61</v>
      </c>
      <c r="P23">
        <v>6</v>
      </c>
      <c r="Q23">
        <v>21.783000000000001</v>
      </c>
      <c r="R23">
        <v>457.44299999999998</v>
      </c>
      <c r="S23">
        <v>435.66</v>
      </c>
      <c r="T23">
        <v>4.7619047620000003</v>
      </c>
      <c r="U23">
        <v>21.783000000000001</v>
      </c>
      <c r="V23">
        <v>6.9</v>
      </c>
    </row>
    <row r="24" spans="1:22" x14ac:dyDescent="0.2">
      <c r="A24" t="s">
        <v>55</v>
      </c>
      <c r="B24" s="1">
        <v>43486</v>
      </c>
      <c r="C24" s="2">
        <v>0.75</v>
      </c>
      <c r="D24" s="2" t="str">
        <f>IF(Table1[[#This Row],[Time]]&lt;$D$1,$C$1,IF(Table1[[#This Row],[Time]]&lt;$D$2,$C$2,$C$3))</f>
        <v>Evening</v>
      </c>
      <c r="E24">
        <f>MONTH(Table1[[#This Row],[Date]])</f>
        <v>1</v>
      </c>
      <c r="F24" t="str">
        <f>VLOOKUP(Table1[[#This Row],[Month]],dctMonth[],2,FALSE)</f>
        <v>January</v>
      </c>
      <c r="G24" t="s">
        <v>19</v>
      </c>
      <c r="H24" t="s">
        <v>20</v>
      </c>
      <c r="I24" t="s">
        <v>28</v>
      </c>
      <c r="J24" t="s">
        <v>32</v>
      </c>
      <c r="K24">
        <v>16</v>
      </c>
      <c r="L24" t="str">
        <f>IF(Table1[[#This Row],[Age]]&lt;20,"&lt;20",IF(Table1[[#This Row],[Age]]&lt;=70,"20-70","&gt;70"))</f>
        <v>&lt;20</v>
      </c>
      <c r="M24" t="s">
        <v>45</v>
      </c>
      <c r="N24" t="s">
        <v>34</v>
      </c>
      <c r="O24">
        <v>54.67</v>
      </c>
      <c r="P24">
        <v>3</v>
      </c>
      <c r="Q24">
        <v>8.2004999999999999</v>
      </c>
      <c r="R24">
        <v>172.2105</v>
      </c>
      <c r="S24">
        <v>164.01</v>
      </c>
      <c r="T24">
        <v>4.7619047620000003</v>
      </c>
      <c r="U24">
        <v>8.2004999999999999</v>
      </c>
      <c r="V24">
        <v>8.6</v>
      </c>
    </row>
    <row r="25" spans="1:22" x14ac:dyDescent="0.2">
      <c r="A25" t="s">
        <v>56</v>
      </c>
      <c r="B25" s="1">
        <v>43535</v>
      </c>
      <c r="C25" s="2">
        <v>0.64583333333333337</v>
      </c>
      <c r="D25" s="2" t="str">
        <f>IF(Table1[[#This Row],[Time]]&lt;$D$1,$C$1,IF(Table1[[#This Row],[Time]]&lt;$D$2,$C$2,$C$3))</f>
        <v>Afternoon</v>
      </c>
      <c r="E25">
        <f>MONTH(Table1[[#This Row],[Date]])</f>
        <v>3</v>
      </c>
      <c r="F25" t="str">
        <f>VLOOKUP(Table1[[#This Row],[Month]],dctMonth[],2,FALSE)</f>
        <v>March</v>
      </c>
      <c r="G25" t="s">
        <v>43</v>
      </c>
      <c r="H25" t="s">
        <v>44</v>
      </c>
      <c r="I25" t="s">
        <v>28</v>
      </c>
      <c r="J25" t="s">
        <v>22</v>
      </c>
      <c r="K25">
        <v>74</v>
      </c>
      <c r="L25" t="str">
        <f>IF(Table1[[#This Row],[Age]]&lt;20,"&lt;20",IF(Table1[[#This Row],[Age]]&lt;=70,"20-70","&gt;70"))</f>
        <v>&gt;70</v>
      </c>
      <c r="M25" t="s">
        <v>33</v>
      </c>
      <c r="N25" t="s">
        <v>24</v>
      </c>
      <c r="O25">
        <v>40.299999999999997</v>
      </c>
      <c r="P25">
        <v>2</v>
      </c>
      <c r="Q25">
        <v>4.03</v>
      </c>
      <c r="R25">
        <v>84.63</v>
      </c>
      <c r="S25">
        <v>80.599999999999994</v>
      </c>
      <c r="T25">
        <v>4.7619047620000003</v>
      </c>
      <c r="U25">
        <v>4.03</v>
      </c>
      <c r="V25">
        <v>4.4000000000000004</v>
      </c>
    </row>
    <row r="26" spans="1:22" x14ac:dyDescent="0.2">
      <c r="A26" t="s">
        <v>57</v>
      </c>
      <c r="B26" s="1">
        <v>43521</v>
      </c>
      <c r="C26" s="2">
        <v>0.47499999999999998</v>
      </c>
      <c r="D26" s="2" t="str">
        <f>IF(Table1[[#This Row],[Time]]&lt;$D$1,$C$1,IF(Table1[[#This Row],[Time]]&lt;$D$2,$C$2,$C$3))</f>
        <v>Morning</v>
      </c>
      <c r="E26">
        <f>MONTH(Table1[[#This Row],[Date]])</f>
        <v>2</v>
      </c>
      <c r="F26" t="str">
        <f>VLOOKUP(Table1[[#This Row],[Month]],dctMonth[],2,FALSE)</f>
        <v>February</v>
      </c>
      <c r="G26" t="s">
        <v>26</v>
      </c>
      <c r="H26" t="s">
        <v>27</v>
      </c>
      <c r="I26" t="s">
        <v>21</v>
      </c>
      <c r="J26" t="s">
        <v>32</v>
      </c>
      <c r="K26">
        <v>89</v>
      </c>
      <c r="L26" t="str">
        <f>IF(Table1[[#This Row],[Age]]&lt;20,"&lt;20",IF(Table1[[#This Row],[Age]]&lt;=70,"20-70","&gt;70"))</f>
        <v>&gt;70</v>
      </c>
      <c r="M26" t="s">
        <v>29</v>
      </c>
      <c r="N26" t="s">
        <v>24</v>
      </c>
      <c r="O26">
        <v>86.04</v>
      </c>
      <c r="P26">
        <v>5</v>
      </c>
      <c r="Q26">
        <v>21.51</v>
      </c>
      <c r="R26">
        <v>451.71</v>
      </c>
      <c r="S26">
        <v>430.2</v>
      </c>
      <c r="T26">
        <v>4.7619047620000003</v>
      </c>
      <c r="U26">
        <v>21.51</v>
      </c>
      <c r="V26">
        <v>4.8</v>
      </c>
    </row>
    <row r="27" spans="1:22" x14ac:dyDescent="0.2">
      <c r="A27" t="s">
        <v>58</v>
      </c>
      <c r="B27" s="1">
        <v>43529</v>
      </c>
      <c r="C27" s="2">
        <v>0.44444444444444442</v>
      </c>
      <c r="D27" s="2" t="str">
        <f>IF(Table1[[#This Row],[Time]]&lt;$D$1,$C$1,IF(Table1[[#This Row],[Time]]&lt;$D$2,$C$2,$C$3))</f>
        <v>Morning</v>
      </c>
      <c r="E27">
        <f>MONTH(Table1[[#This Row],[Date]])</f>
        <v>3</v>
      </c>
      <c r="F27" t="str">
        <f>VLOOKUP(Table1[[#This Row],[Month]],dctMonth[],2,FALSE)</f>
        <v>March</v>
      </c>
      <c r="G27" t="s">
        <v>43</v>
      </c>
      <c r="H27" t="s">
        <v>44</v>
      </c>
      <c r="I27" t="s">
        <v>28</v>
      </c>
      <c r="J27" t="s">
        <v>32</v>
      </c>
      <c r="K27">
        <v>48</v>
      </c>
      <c r="L27" t="str">
        <f>IF(Table1[[#This Row],[Age]]&lt;20,"&lt;20",IF(Table1[[#This Row],[Age]]&lt;=70,"20-70","&gt;70"))</f>
        <v>20-70</v>
      </c>
      <c r="M27" t="s">
        <v>23</v>
      </c>
      <c r="N27" t="s">
        <v>24</v>
      </c>
      <c r="O27">
        <v>87.98</v>
      </c>
      <c r="P27">
        <v>3</v>
      </c>
      <c r="Q27">
        <v>13.196999999999999</v>
      </c>
      <c r="R27">
        <v>277.137</v>
      </c>
      <c r="S27">
        <v>263.94</v>
      </c>
      <c r="T27">
        <v>4.7619047620000003</v>
      </c>
      <c r="U27">
        <v>13.196999999999999</v>
      </c>
      <c r="V27">
        <v>5.0999999999999996</v>
      </c>
    </row>
    <row r="28" spans="1:22" x14ac:dyDescent="0.2">
      <c r="A28" t="s">
        <v>59</v>
      </c>
      <c r="B28" s="1">
        <v>43539</v>
      </c>
      <c r="C28" s="2">
        <v>0.51388888888888884</v>
      </c>
      <c r="D28" s="2" t="str">
        <f>IF(Table1[[#This Row],[Time]]&lt;$D$1,$C$1,IF(Table1[[#This Row],[Time]]&lt;$D$2,$C$2,$C$3))</f>
        <v>Afternoon</v>
      </c>
      <c r="E28">
        <f>MONTH(Table1[[#This Row],[Date]])</f>
        <v>3</v>
      </c>
      <c r="F28" t="str">
        <f>VLOOKUP(Table1[[#This Row],[Month]],dctMonth[],2,FALSE)</f>
        <v>March</v>
      </c>
      <c r="G28" t="s">
        <v>43</v>
      </c>
      <c r="H28" t="s">
        <v>44</v>
      </c>
      <c r="I28" t="s">
        <v>28</v>
      </c>
      <c r="J28" t="s">
        <v>32</v>
      </c>
      <c r="K28">
        <v>39</v>
      </c>
      <c r="L28" t="str">
        <f>IF(Table1[[#This Row],[Age]]&lt;20,"&lt;20",IF(Table1[[#This Row],[Age]]&lt;=70,"20-70","&gt;70"))</f>
        <v>20-70</v>
      </c>
      <c r="M28" t="s">
        <v>33</v>
      </c>
      <c r="N28" t="s">
        <v>34</v>
      </c>
      <c r="O28">
        <v>33.200000000000003</v>
      </c>
      <c r="P28">
        <v>2</v>
      </c>
      <c r="Q28">
        <v>3.32</v>
      </c>
      <c r="R28">
        <v>69.72</v>
      </c>
      <c r="S28">
        <v>66.400000000000006</v>
      </c>
      <c r="T28">
        <v>4.7619047620000003</v>
      </c>
      <c r="U28">
        <v>3.32</v>
      </c>
      <c r="V28">
        <v>4.4000000000000004</v>
      </c>
    </row>
    <row r="29" spans="1:22" x14ac:dyDescent="0.2">
      <c r="A29" t="s">
        <v>60</v>
      </c>
      <c r="B29" s="1">
        <v>43513</v>
      </c>
      <c r="C29" s="2">
        <v>0.46875</v>
      </c>
      <c r="D29" s="2" t="str">
        <f>IF(Table1[[#This Row],[Time]]&lt;$D$1,$C$1,IF(Table1[[#This Row],[Time]]&lt;$D$2,$C$2,$C$3))</f>
        <v>Morning</v>
      </c>
      <c r="E29">
        <f>MONTH(Table1[[#This Row],[Date]])</f>
        <v>2</v>
      </c>
      <c r="F29" t="str">
        <f>VLOOKUP(Table1[[#This Row],[Month]],dctMonth[],2,FALSE)</f>
        <v>February</v>
      </c>
      <c r="G29" t="s">
        <v>19</v>
      </c>
      <c r="H29" t="s">
        <v>20</v>
      </c>
      <c r="I29" t="s">
        <v>28</v>
      </c>
      <c r="J29" t="s">
        <v>32</v>
      </c>
      <c r="K29">
        <v>52</v>
      </c>
      <c r="L29" t="str">
        <f>IF(Table1[[#This Row],[Age]]&lt;20,"&lt;20",IF(Table1[[#This Row],[Age]]&lt;=70,"20-70","&gt;70"))</f>
        <v>20-70</v>
      </c>
      <c r="M29" t="s">
        <v>29</v>
      </c>
      <c r="N29" t="s">
        <v>24</v>
      </c>
      <c r="O29">
        <v>34.56</v>
      </c>
      <c r="P29">
        <v>5</v>
      </c>
      <c r="Q29">
        <v>8.64</v>
      </c>
      <c r="R29">
        <v>181.44</v>
      </c>
      <c r="S29">
        <v>172.8</v>
      </c>
      <c r="T29">
        <v>4.7619047620000003</v>
      </c>
      <c r="U29">
        <v>8.64</v>
      </c>
      <c r="V29">
        <v>9.9</v>
      </c>
    </row>
    <row r="30" spans="1:22" x14ac:dyDescent="0.2">
      <c r="A30" t="s">
        <v>61</v>
      </c>
      <c r="B30" s="1">
        <v>43526</v>
      </c>
      <c r="C30" s="2">
        <v>0.73333333333333328</v>
      </c>
      <c r="D30" s="2" t="str">
        <f>IF(Table1[[#This Row],[Time]]&lt;$D$1,$C$1,IF(Table1[[#This Row],[Time]]&lt;$D$2,$C$2,$C$3))</f>
        <v>Evening</v>
      </c>
      <c r="E30">
        <f>MONTH(Table1[[#This Row],[Date]])</f>
        <v>3</v>
      </c>
      <c r="F30" t="str">
        <f>VLOOKUP(Table1[[#This Row],[Month]],dctMonth[],2,FALSE)</f>
        <v>March</v>
      </c>
      <c r="G30" t="s">
        <v>19</v>
      </c>
      <c r="H30" t="s">
        <v>20</v>
      </c>
      <c r="I30" t="s">
        <v>21</v>
      </c>
      <c r="J30" t="s">
        <v>32</v>
      </c>
      <c r="K30">
        <v>41</v>
      </c>
      <c r="L30" t="str">
        <f>IF(Table1[[#This Row],[Age]]&lt;20,"&lt;20",IF(Table1[[#This Row],[Age]]&lt;=70,"20-70","&gt;70"))</f>
        <v>20-70</v>
      </c>
      <c r="M30" t="s">
        <v>37</v>
      </c>
      <c r="N30" t="s">
        <v>24</v>
      </c>
      <c r="O30">
        <v>88.63</v>
      </c>
      <c r="P30">
        <v>3</v>
      </c>
      <c r="Q30">
        <v>13.294499999999999</v>
      </c>
      <c r="R30">
        <v>279.18450000000001</v>
      </c>
      <c r="S30">
        <v>265.89</v>
      </c>
      <c r="T30">
        <v>4.7619047620000003</v>
      </c>
      <c r="U30">
        <v>13.294499999999999</v>
      </c>
      <c r="V30">
        <v>6</v>
      </c>
    </row>
    <row r="31" spans="1:22" x14ac:dyDescent="0.2">
      <c r="A31" t="s">
        <v>62</v>
      </c>
      <c r="B31" s="1">
        <v>43546</v>
      </c>
      <c r="C31" s="2">
        <v>0.80555555555555558</v>
      </c>
      <c r="D31" s="2" t="str">
        <f>IF(Table1[[#This Row],[Time]]&lt;$D$1,$C$1,IF(Table1[[#This Row],[Time]]&lt;$D$2,$C$2,$C$3))</f>
        <v>Evening</v>
      </c>
      <c r="E31">
        <f>MONTH(Table1[[#This Row],[Date]])</f>
        <v>3</v>
      </c>
      <c r="F31" t="str">
        <f>VLOOKUP(Table1[[#This Row],[Month]],dctMonth[],2,FALSE)</f>
        <v>March</v>
      </c>
      <c r="G31" t="s">
        <v>19</v>
      </c>
      <c r="H31" t="s">
        <v>20</v>
      </c>
      <c r="I31" t="s">
        <v>21</v>
      </c>
      <c r="J31" t="s">
        <v>22</v>
      </c>
      <c r="K31">
        <v>19</v>
      </c>
      <c r="L31" t="str">
        <f>IF(Table1[[#This Row],[Age]]&lt;20,"&lt;20",IF(Table1[[#This Row],[Age]]&lt;=70,"20-70","&gt;70"))</f>
        <v>&lt;20</v>
      </c>
      <c r="M31" t="s">
        <v>33</v>
      </c>
      <c r="N31" t="s">
        <v>34</v>
      </c>
      <c r="O31">
        <v>52.59</v>
      </c>
      <c r="P31">
        <v>8</v>
      </c>
      <c r="Q31">
        <v>21.036000000000001</v>
      </c>
      <c r="R31">
        <v>441.75599999999997</v>
      </c>
      <c r="S31">
        <v>420.72</v>
      </c>
      <c r="T31">
        <v>4.7619047620000003</v>
      </c>
      <c r="U31">
        <v>21.036000000000001</v>
      </c>
      <c r="V31">
        <v>8.5</v>
      </c>
    </row>
    <row r="32" spans="1:22" x14ac:dyDescent="0.2">
      <c r="A32" t="s">
        <v>63</v>
      </c>
      <c r="B32" s="1">
        <v>43504</v>
      </c>
      <c r="C32" s="2">
        <v>0.64652777777777781</v>
      </c>
      <c r="D32" s="2" t="str">
        <f>IF(Table1[[#This Row],[Time]]&lt;$D$1,$C$1,IF(Table1[[#This Row],[Time]]&lt;$D$2,$C$2,$C$3))</f>
        <v>Afternoon</v>
      </c>
      <c r="E32">
        <f>MONTH(Table1[[#This Row],[Date]])</f>
        <v>2</v>
      </c>
      <c r="F32" t="str">
        <f>VLOOKUP(Table1[[#This Row],[Month]],dctMonth[],2,FALSE)</f>
        <v>February</v>
      </c>
      <c r="G32" t="s">
        <v>43</v>
      </c>
      <c r="H32" t="s">
        <v>44</v>
      </c>
      <c r="I32" t="s">
        <v>28</v>
      </c>
      <c r="J32" t="s">
        <v>32</v>
      </c>
      <c r="K32">
        <v>27</v>
      </c>
      <c r="L32" t="str">
        <f>IF(Table1[[#This Row],[Age]]&lt;20,"&lt;20",IF(Table1[[#This Row],[Age]]&lt;=70,"20-70","&gt;70"))</f>
        <v>20-70</v>
      </c>
      <c r="M32" t="s">
        <v>47</v>
      </c>
      <c r="N32" t="s">
        <v>30</v>
      </c>
      <c r="O32">
        <v>33.520000000000003</v>
      </c>
      <c r="P32">
        <v>1</v>
      </c>
      <c r="Q32">
        <v>1.6759999999999999</v>
      </c>
      <c r="R32">
        <v>35.195999999999998</v>
      </c>
      <c r="S32">
        <v>33.520000000000003</v>
      </c>
      <c r="T32">
        <v>4.7619047620000003</v>
      </c>
      <c r="U32">
        <v>1.6759999999999999</v>
      </c>
      <c r="V32">
        <v>6.7</v>
      </c>
    </row>
    <row r="33" spans="1:22" x14ac:dyDescent="0.2">
      <c r="A33" t="s">
        <v>64</v>
      </c>
      <c r="B33" s="1">
        <v>43534</v>
      </c>
      <c r="C33" s="2">
        <v>0.51180555555555551</v>
      </c>
      <c r="D33" s="2" t="str">
        <f>IF(Table1[[#This Row],[Time]]&lt;$D$1,$C$1,IF(Table1[[#This Row],[Time]]&lt;$D$2,$C$2,$C$3))</f>
        <v>Afternoon</v>
      </c>
      <c r="E33">
        <f>MONTH(Table1[[#This Row],[Date]])</f>
        <v>3</v>
      </c>
      <c r="F33" t="str">
        <f>VLOOKUP(Table1[[#This Row],[Month]],dctMonth[],2,FALSE)</f>
        <v>March</v>
      </c>
      <c r="G33" t="s">
        <v>19</v>
      </c>
      <c r="H33" t="s">
        <v>20</v>
      </c>
      <c r="I33" t="s">
        <v>28</v>
      </c>
      <c r="J33" t="s">
        <v>22</v>
      </c>
      <c r="K33">
        <v>22</v>
      </c>
      <c r="L33" t="str">
        <f>IF(Table1[[#This Row],[Age]]&lt;20,"&lt;20",IF(Table1[[#This Row],[Age]]&lt;=70,"20-70","&gt;70"))</f>
        <v>20-70</v>
      </c>
      <c r="M33" t="s">
        <v>47</v>
      </c>
      <c r="N33" t="s">
        <v>34</v>
      </c>
      <c r="O33">
        <v>87.67</v>
      </c>
      <c r="P33">
        <v>2</v>
      </c>
      <c r="Q33">
        <v>8.7669999999999995</v>
      </c>
      <c r="R33">
        <v>184.107</v>
      </c>
      <c r="S33">
        <v>175.34</v>
      </c>
      <c r="T33">
        <v>4.7619047620000003</v>
      </c>
      <c r="U33">
        <v>8.7669999999999995</v>
      </c>
      <c r="V33">
        <v>7.7</v>
      </c>
    </row>
    <row r="34" spans="1:22" x14ac:dyDescent="0.2">
      <c r="A34" t="s">
        <v>65</v>
      </c>
      <c r="B34" s="1">
        <v>43490</v>
      </c>
      <c r="C34" s="2">
        <v>0.82499999999999996</v>
      </c>
      <c r="D34" s="2" t="str">
        <f>IF(Table1[[#This Row],[Time]]&lt;$D$1,$C$1,IF(Table1[[#This Row],[Time]]&lt;$D$2,$C$2,$C$3))</f>
        <v>Evening</v>
      </c>
      <c r="E34">
        <f>MONTH(Table1[[#This Row],[Date]])</f>
        <v>1</v>
      </c>
      <c r="F34" t="str">
        <f>VLOOKUP(Table1[[#This Row],[Month]],dctMonth[],2,FALSE)</f>
        <v>January</v>
      </c>
      <c r="G34" t="s">
        <v>43</v>
      </c>
      <c r="H34" t="s">
        <v>44</v>
      </c>
      <c r="I34" t="s">
        <v>28</v>
      </c>
      <c r="J34" t="s">
        <v>22</v>
      </c>
      <c r="K34">
        <v>26</v>
      </c>
      <c r="L34" t="str">
        <f>IF(Table1[[#This Row],[Age]]&lt;20,"&lt;20",IF(Table1[[#This Row],[Age]]&lt;=70,"20-70","&gt;70"))</f>
        <v>20-70</v>
      </c>
      <c r="M34" t="s">
        <v>45</v>
      </c>
      <c r="N34" t="s">
        <v>30</v>
      </c>
      <c r="O34">
        <v>88.36</v>
      </c>
      <c r="P34">
        <v>5</v>
      </c>
      <c r="Q34">
        <v>22.09</v>
      </c>
      <c r="R34">
        <v>463.89</v>
      </c>
      <c r="S34">
        <v>441.8</v>
      </c>
      <c r="T34">
        <v>4.7619047620000003</v>
      </c>
      <c r="U34">
        <v>22.09</v>
      </c>
      <c r="V34">
        <v>9.6</v>
      </c>
    </row>
    <row r="35" spans="1:22" x14ac:dyDescent="0.2">
      <c r="A35" t="s">
        <v>66</v>
      </c>
      <c r="B35" s="1">
        <v>43539</v>
      </c>
      <c r="C35" s="2">
        <v>0.65</v>
      </c>
      <c r="D35" s="2" t="str">
        <f>IF(Table1[[#This Row],[Time]]&lt;$D$1,$C$1,IF(Table1[[#This Row],[Time]]&lt;$D$2,$C$2,$C$3))</f>
        <v>Afternoon</v>
      </c>
      <c r="E35">
        <f>MONTH(Table1[[#This Row],[Date]])</f>
        <v>3</v>
      </c>
      <c r="F35" t="str">
        <f>VLOOKUP(Table1[[#This Row],[Month]],dctMonth[],2,FALSE)</f>
        <v>March</v>
      </c>
      <c r="G35" t="s">
        <v>19</v>
      </c>
      <c r="H35" t="s">
        <v>20</v>
      </c>
      <c r="I35" t="s">
        <v>28</v>
      </c>
      <c r="J35" t="s">
        <v>32</v>
      </c>
      <c r="K35">
        <v>60</v>
      </c>
      <c r="L35" t="str">
        <f>IF(Table1[[#This Row],[Age]]&lt;20,"&lt;20",IF(Table1[[#This Row],[Age]]&lt;=70,"20-70","&gt;70"))</f>
        <v>20-70</v>
      </c>
      <c r="M35" t="s">
        <v>23</v>
      </c>
      <c r="N35" t="s">
        <v>30</v>
      </c>
      <c r="O35">
        <v>24.89</v>
      </c>
      <c r="P35">
        <v>9</v>
      </c>
      <c r="Q35">
        <v>11.2005</v>
      </c>
      <c r="R35">
        <v>235.2105</v>
      </c>
      <c r="S35">
        <v>224.01</v>
      </c>
      <c r="T35">
        <v>4.7619047620000003</v>
      </c>
      <c r="U35">
        <v>11.2005</v>
      </c>
      <c r="V35">
        <v>7.4</v>
      </c>
    </row>
    <row r="36" spans="1:22" x14ac:dyDescent="0.2">
      <c r="A36" t="s">
        <v>67</v>
      </c>
      <c r="B36" s="1">
        <v>43521</v>
      </c>
      <c r="C36" s="2">
        <v>0.81874999999999998</v>
      </c>
      <c r="D36" s="2" t="str">
        <f>IF(Table1[[#This Row],[Time]]&lt;$D$1,$C$1,IF(Table1[[#This Row],[Time]]&lt;$D$2,$C$2,$C$3))</f>
        <v>Evening</v>
      </c>
      <c r="E36">
        <f>MONTH(Table1[[#This Row],[Date]])</f>
        <v>2</v>
      </c>
      <c r="F36" t="str">
        <f>VLOOKUP(Table1[[#This Row],[Month]],dctMonth[],2,FALSE)</f>
        <v>February</v>
      </c>
      <c r="G36" t="s">
        <v>43</v>
      </c>
      <c r="H36" t="s">
        <v>44</v>
      </c>
      <c r="I36" t="s">
        <v>28</v>
      </c>
      <c r="J36" t="s">
        <v>32</v>
      </c>
      <c r="K36">
        <v>67</v>
      </c>
      <c r="L36" t="str">
        <f>IF(Table1[[#This Row],[Age]]&lt;20,"&lt;20",IF(Table1[[#This Row],[Age]]&lt;=70,"20-70","&gt;70"))</f>
        <v>20-70</v>
      </c>
      <c r="M36" t="s">
        <v>47</v>
      </c>
      <c r="N36" t="s">
        <v>34</v>
      </c>
      <c r="O36">
        <v>94.13</v>
      </c>
      <c r="P36">
        <v>5</v>
      </c>
      <c r="Q36">
        <v>23.532499999999999</v>
      </c>
      <c r="R36">
        <v>494.1825</v>
      </c>
      <c r="S36">
        <v>470.65</v>
      </c>
      <c r="T36">
        <v>4.7619047620000003</v>
      </c>
      <c r="U36">
        <v>23.532499999999999</v>
      </c>
      <c r="V36">
        <v>4.8</v>
      </c>
    </row>
    <row r="37" spans="1:22" x14ac:dyDescent="0.2">
      <c r="A37" t="s">
        <v>68</v>
      </c>
      <c r="B37" s="1">
        <v>43493</v>
      </c>
      <c r="C37" s="2">
        <v>0.52986111111111112</v>
      </c>
      <c r="D37" s="2" t="str">
        <f>IF(Table1[[#This Row],[Time]]&lt;$D$1,$C$1,IF(Table1[[#This Row],[Time]]&lt;$D$2,$C$2,$C$3))</f>
        <v>Afternoon</v>
      </c>
      <c r="E37">
        <f>MONTH(Table1[[#This Row],[Date]])</f>
        <v>1</v>
      </c>
      <c r="F37" t="str">
        <f>VLOOKUP(Table1[[#This Row],[Month]],dctMonth[],2,FALSE)</f>
        <v>January</v>
      </c>
      <c r="G37" t="s">
        <v>43</v>
      </c>
      <c r="H37" t="s">
        <v>44</v>
      </c>
      <c r="I37" t="s">
        <v>21</v>
      </c>
      <c r="J37" t="s">
        <v>32</v>
      </c>
      <c r="K37">
        <v>36</v>
      </c>
      <c r="L37" t="str">
        <f>IF(Table1[[#This Row],[Age]]&lt;20,"&lt;20",IF(Table1[[#This Row],[Age]]&lt;=70,"20-70","&gt;70"))</f>
        <v>20-70</v>
      </c>
      <c r="M37" t="s">
        <v>37</v>
      </c>
      <c r="N37" t="s">
        <v>30</v>
      </c>
      <c r="O37">
        <v>78.069999999999993</v>
      </c>
      <c r="P37">
        <v>9</v>
      </c>
      <c r="Q37">
        <v>35.131500000000003</v>
      </c>
      <c r="R37">
        <v>737.76149999999996</v>
      </c>
      <c r="S37">
        <v>702.63</v>
      </c>
      <c r="T37">
        <v>4.7619047620000003</v>
      </c>
      <c r="U37">
        <v>35.131500000000003</v>
      </c>
      <c r="V37">
        <v>4.5</v>
      </c>
    </row>
    <row r="38" spans="1:22" x14ac:dyDescent="0.2">
      <c r="A38" t="s">
        <v>69</v>
      </c>
      <c r="B38" s="1">
        <v>43475</v>
      </c>
      <c r="C38" s="2">
        <v>0.61736111111111114</v>
      </c>
      <c r="D38" s="2" t="str">
        <f>IF(Table1[[#This Row],[Time]]&lt;$D$1,$C$1,IF(Table1[[#This Row],[Time]]&lt;$D$2,$C$2,$C$3))</f>
        <v>Afternoon</v>
      </c>
      <c r="E38">
        <f>MONTH(Table1[[#This Row],[Date]])</f>
        <v>1</v>
      </c>
      <c r="F38" t="str">
        <f>VLOOKUP(Table1[[#This Row],[Month]],dctMonth[],2,FALSE)</f>
        <v>January</v>
      </c>
      <c r="G38" t="s">
        <v>43</v>
      </c>
      <c r="H38" t="s">
        <v>44</v>
      </c>
      <c r="I38" t="s">
        <v>28</v>
      </c>
      <c r="J38" t="s">
        <v>32</v>
      </c>
      <c r="K38">
        <v>77</v>
      </c>
      <c r="L38" t="str">
        <f>IF(Table1[[#This Row],[Age]]&lt;20,"&lt;20",IF(Table1[[#This Row],[Age]]&lt;=70,"20-70","&gt;70"))</f>
        <v>&gt;70</v>
      </c>
      <c r="M38" t="s">
        <v>37</v>
      </c>
      <c r="N38" t="s">
        <v>30</v>
      </c>
      <c r="O38">
        <v>83.78</v>
      </c>
      <c r="P38">
        <v>8</v>
      </c>
      <c r="Q38">
        <v>33.512</v>
      </c>
      <c r="R38">
        <v>703.75199999999995</v>
      </c>
      <c r="S38">
        <v>670.24</v>
      </c>
      <c r="T38">
        <v>4.7619047620000003</v>
      </c>
      <c r="U38">
        <v>33.512</v>
      </c>
      <c r="V38">
        <v>5.0999999999999996</v>
      </c>
    </row>
    <row r="39" spans="1:22" x14ac:dyDescent="0.2">
      <c r="A39" t="s">
        <v>70</v>
      </c>
      <c r="B39" s="1">
        <v>43539</v>
      </c>
      <c r="C39" s="2">
        <v>0.42499999999999999</v>
      </c>
      <c r="D39" s="2" t="str">
        <f>IF(Table1[[#This Row],[Time]]&lt;$D$1,$C$1,IF(Table1[[#This Row],[Time]]&lt;$D$2,$C$2,$C$3))</f>
        <v>Morning</v>
      </c>
      <c r="E39">
        <f>MONTH(Table1[[#This Row],[Date]])</f>
        <v>3</v>
      </c>
      <c r="F39" t="str">
        <f>VLOOKUP(Table1[[#This Row],[Month]],dctMonth[],2,FALSE)</f>
        <v>March</v>
      </c>
      <c r="G39" t="s">
        <v>19</v>
      </c>
      <c r="H39" t="s">
        <v>20</v>
      </c>
      <c r="I39" t="s">
        <v>28</v>
      </c>
      <c r="J39" t="s">
        <v>32</v>
      </c>
      <c r="K39">
        <v>40</v>
      </c>
      <c r="L39" t="str">
        <f>IF(Table1[[#This Row],[Age]]&lt;20,"&lt;20",IF(Table1[[#This Row],[Age]]&lt;=70,"20-70","&gt;70"))</f>
        <v>20-70</v>
      </c>
      <c r="M39" t="s">
        <v>23</v>
      </c>
      <c r="N39" t="s">
        <v>34</v>
      </c>
      <c r="O39">
        <v>96.58</v>
      </c>
      <c r="P39">
        <v>2</v>
      </c>
      <c r="Q39">
        <v>9.6579999999999995</v>
      </c>
      <c r="R39">
        <v>202.81800000000001</v>
      </c>
      <c r="S39">
        <v>193.16</v>
      </c>
      <c r="T39">
        <v>4.7619047620000003</v>
      </c>
      <c r="U39">
        <v>9.6579999999999995</v>
      </c>
      <c r="V39">
        <v>5.0999999999999996</v>
      </c>
    </row>
    <row r="40" spans="1:22" x14ac:dyDescent="0.2">
      <c r="A40" t="s">
        <v>71</v>
      </c>
      <c r="B40" s="1">
        <v>43502</v>
      </c>
      <c r="C40" s="2">
        <v>0.44583333333333336</v>
      </c>
      <c r="D40" s="2" t="str">
        <f>IF(Table1[[#This Row],[Time]]&lt;$D$1,$C$1,IF(Table1[[#This Row],[Time]]&lt;$D$2,$C$2,$C$3))</f>
        <v>Morning</v>
      </c>
      <c r="E40">
        <f>MONTH(Table1[[#This Row],[Date]])</f>
        <v>2</v>
      </c>
      <c r="F40" t="str">
        <f>VLOOKUP(Table1[[#This Row],[Month]],dctMonth[],2,FALSE)</f>
        <v>February</v>
      </c>
      <c r="G40" t="s">
        <v>26</v>
      </c>
      <c r="H40" t="s">
        <v>27</v>
      </c>
      <c r="I40" t="s">
        <v>21</v>
      </c>
      <c r="J40" t="s">
        <v>22</v>
      </c>
      <c r="K40">
        <v>32</v>
      </c>
      <c r="L40" t="str">
        <f>IF(Table1[[#This Row],[Age]]&lt;20,"&lt;20",IF(Table1[[#This Row],[Age]]&lt;=70,"20-70","&gt;70"))</f>
        <v>20-70</v>
      </c>
      <c r="M40" t="s">
        <v>45</v>
      </c>
      <c r="N40" t="s">
        <v>24</v>
      </c>
      <c r="O40">
        <v>99.42</v>
      </c>
      <c r="P40">
        <v>4</v>
      </c>
      <c r="Q40">
        <v>19.884</v>
      </c>
      <c r="R40">
        <v>417.56400000000002</v>
      </c>
      <c r="S40">
        <v>397.68</v>
      </c>
      <c r="T40">
        <v>4.7619047620000003</v>
      </c>
      <c r="U40">
        <v>19.884</v>
      </c>
      <c r="V40">
        <v>7.5</v>
      </c>
    </row>
    <row r="41" spans="1:22" x14ac:dyDescent="0.2">
      <c r="A41" t="s">
        <v>72</v>
      </c>
      <c r="B41" s="1">
        <v>43472</v>
      </c>
      <c r="C41" s="2">
        <v>0.51944444444444449</v>
      </c>
      <c r="D41" s="2" t="str">
        <f>IF(Table1[[#This Row],[Time]]&lt;$D$1,$C$1,IF(Table1[[#This Row],[Time]]&lt;$D$2,$C$2,$C$3))</f>
        <v>Afternoon</v>
      </c>
      <c r="E41">
        <f>MONTH(Table1[[#This Row],[Date]])</f>
        <v>1</v>
      </c>
      <c r="F41" t="str">
        <f>VLOOKUP(Table1[[#This Row],[Month]],dctMonth[],2,FALSE)</f>
        <v>January</v>
      </c>
      <c r="G41" t="s">
        <v>26</v>
      </c>
      <c r="H41" t="s">
        <v>27</v>
      </c>
      <c r="I41" t="s">
        <v>21</v>
      </c>
      <c r="J41" t="s">
        <v>22</v>
      </c>
      <c r="K41">
        <v>66</v>
      </c>
      <c r="L41" t="str">
        <f>IF(Table1[[#This Row],[Age]]&lt;20,"&lt;20",IF(Table1[[#This Row],[Age]]&lt;=70,"20-70","&gt;70"))</f>
        <v>20-70</v>
      </c>
      <c r="M41" t="s">
        <v>37</v>
      </c>
      <c r="N41" t="s">
        <v>24</v>
      </c>
      <c r="O41">
        <v>68.12</v>
      </c>
      <c r="P41">
        <v>1</v>
      </c>
      <c r="Q41">
        <v>3.4060000000000001</v>
      </c>
      <c r="R41">
        <v>71.525999999999996</v>
      </c>
      <c r="S41">
        <v>68.12</v>
      </c>
      <c r="T41">
        <v>4.7619047620000003</v>
      </c>
      <c r="U41">
        <v>3.4060000000000001</v>
      </c>
      <c r="V41">
        <v>6.8</v>
      </c>
    </row>
    <row r="42" spans="1:22" x14ac:dyDescent="0.2">
      <c r="A42" t="s">
        <v>73</v>
      </c>
      <c r="B42" s="1">
        <v>43534</v>
      </c>
      <c r="C42" s="2">
        <v>0.80208333333333337</v>
      </c>
      <c r="D42" s="2" t="str">
        <f>IF(Table1[[#This Row],[Time]]&lt;$D$1,$C$1,IF(Table1[[#This Row],[Time]]&lt;$D$2,$C$2,$C$3))</f>
        <v>Evening</v>
      </c>
      <c r="E42">
        <f>MONTH(Table1[[#This Row],[Date]])</f>
        <v>3</v>
      </c>
      <c r="F42" t="str">
        <f>VLOOKUP(Table1[[#This Row],[Month]],dctMonth[],2,FALSE)</f>
        <v>March</v>
      </c>
      <c r="G42" t="s">
        <v>19</v>
      </c>
      <c r="H42" t="s">
        <v>20</v>
      </c>
      <c r="I42" t="s">
        <v>21</v>
      </c>
      <c r="J42" t="s">
        <v>32</v>
      </c>
      <c r="K42">
        <v>81</v>
      </c>
      <c r="L42" t="str">
        <f>IF(Table1[[#This Row],[Age]]&lt;20,"&lt;20",IF(Table1[[#This Row],[Age]]&lt;=70,"20-70","&gt;70"))</f>
        <v>&gt;70</v>
      </c>
      <c r="M42" t="s">
        <v>37</v>
      </c>
      <c r="N42" t="s">
        <v>24</v>
      </c>
      <c r="O42">
        <v>62.62</v>
      </c>
      <c r="P42">
        <v>5</v>
      </c>
      <c r="Q42">
        <v>15.654999999999999</v>
      </c>
      <c r="R42">
        <v>328.755</v>
      </c>
      <c r="S42">
        <v>313.10000000000002</v>
      </c>
      <c r="T42">
        <v>4.7619047620000003</v>
      </c>
      <c r="U42">
        <v>15.654999999999999</v>
      </c>
      <c r="V42">
        <v>7</v>
      </c>
    </row>
    <row r="43" spans="1:22" x14ac:dyDescent="0.2">
      <c r="A43" t="s">
        <v>74</v>
      </c>
      <c r="B43" s="1">
        <v>43480</v>
      </c>
      <c r="C43" s="2">
        <v>0.72013888888888888</v>
      </c>
      <c r="D43" s="2" t="str">
        <f>IF(Table1[[#This Row],[Time]]&lt;$D$1,$C$1,IF(Table1[[#This Row],[Time]]&lt;$D$2,$C$2,$C$3))</f>
        <v>Evening</v>
      </c>
      <c r="E43">
        <f>MONTH(Table1[[#This Row],[Date]])</f>
        <v>1</v>
      </c>
      <c r="F43" t="str">
        <f>VLOOKUP(Table1[[#This Row],[Month]],dctMonth[],2,FALSE)</f>
        <v>January</v>
      </c>
      <c r="G43" t="s">
        <v>19</v>
      </c>
      <c r="H43" t="s">
        <v>20</v>
      </c>
      <c r="I43" t="s">
        <v>28</v>
      </c>
      <c r="J43" t="s">
        <v>22</v>
      </c>
      <c r="K43">
        <v>73</v>
      </c>
      <c r="L43" t="str">
        <f>IF(Table1[[#This Row],[Age]]&lt;20,"&lt;20",IF(Table1[[#This Row],[Age]]&lt;=70,"20-70","&gt;70"))</f>
        <v>&gt;70</v>
      </c>
      <c r="M43" t="s">
        <v>29</v>
      </c>
      <c r="N43" t="s">
        <v>24</v>
      </c>
      <c r="O43">
        <v>60.88</v>
      </c>
      <c r="P43">
        <v>9</v>
      </c>
      <c r="Q43">
        <v>27.396000000000001</v>
      </c>
      <c r="R43">
        <v>575.31600000000003</v>
      </c>
      <c r="S43">
        <v>547.91999999999996</v>
      </c>
      <c r="T43">
        <v>4.7619047620000003</v>
      </c>
      <c r="U43">
        <v>27.396000000000001</v>
      </c>
      <c r="V43">
        <v>4.7</v>
      </c>
    </row>
    <row r="44" spans="1:22" x14ac:dyDescent="0.2">
      <c r="A44" t="s">
        <v>75</v>
      </c>
      <c r="B44" s="1">
        <v>43547</v>
      </c>
      <c r="C44" s="2">
        <v>0.55833333333333335</v>
      </c>
      <c r="D44" s="2" t="str">
        <f>IF(Table1[[#This Row],[Time]]&lt;$D$1,$C$1,IF(Table1[[#This Row],[Time]]&lt;$D$2,$C$2,$C$3))</f>
        <v>Afternoon</v>
      </c>
      <c r="E44">
        <f>MONTH(Table1[[#This Row],[Date]])</f>
        <v>3</v>
      </c>
      <c r="F44" t="str">
        <f>VLOOKUP(Table1[[#This Row],[Month]],dctMonth[],2,FALSE)</f>
        <v>March</v>
      </c>
      <c r="G44" t="s">
        <v>26</v>
      </c>
      <c r="H44" t="s">
        <v>27</v>
      </c>
      <c r="I44" t="s">
        <v>28</v>
      </c>
      <c r="J44" t="s">
        <v>22</v>
      </c>
      <c r="K44">
        <v>30</v>
      </c>
      <c r="L44" t="str">
        <f>IF(Table1[[#This Row],[Age]]&lt;20,"&lt;20",IF(Table1[[#This Row],[Age]]&lt;=70,"20-70","&gt;70"))</f>
        <v>20-70</v>
      </c>
      <c r="M44" t="s">
        <v>23</v>
      </c>
      <c r="N44" t="s">
        <v>24</v>
      </c>
      <c r="O44">
        <v>54.92</v>
      </c>
      <c r="P44">
        <v>8</v>
      </c>
      <c r="Q44">
        <v>21.968</v>
      </c>
      <c r="R44">
        <v>461.32799999999997</v>
      </c>
      <c r="S44">
        <v>439.36</v>
      </c>
      <c r="T44">
        <v>4.7619047620000003</v>
      </c>
      <c r="U44">
        <v>21.968</v>
      </c>
      <c r="V44">
        <v>7.6</v>
      </c>
    </row>
    <row r="45" spans="1:22" x14ac:dyDescent="0.2">
      <c r="A45" t="s">
        <v>76</v>
      </c>
      <c r="B45" s="1">
        <v>43527</v>
      </c>
      <c r="C45" s="2">
        <v>0.54236111111111107</v>
      </c>
      <c r="D45" s="2" t="str">
        <f>IF(Table1[[#This Row],[Time]]&lt;$D$1,$C$1,IF(Table1[[#This Row],[Time]]&lt;$D$2,$C$2,$C$3))</f>
        <v>Afternoon</v>
      </c>
      <c r="E45">
        <f>MONTH(Table1[[#This Row],[Date]])</f>
        <v>3</v>
      </c>
      <c r="F45" t="str">
        <f>VLOOKUP(Table1[[#This Row],[Month]],dctMonth[],2,FALSE)</f>
        <v>March</v>
      </c>
      <c r="G45" t="s">
        <v>43</v>
      </c>
      <c r="H45" t="s">
        <v>44</v>
      </c>
      <c r="I45" t="s">
        <v>21</v>
      </c>
      <c r="J45" t="s">
        <v>32</v>
      </c>
      <c r="K45">
        <v>73</v>
      </c>
      <c r="L45" t="str">
        <f>IF(Table1[[#This Row],[Age]]&lt;20,"&lt;20",IF(Table1[[#This Row],[Age]]&lt;=70,"20-70","&gt;70"))</f>
        <v>&gt;70</v>
      </c>
      <c r="M45" t="s">
        <v>33</v>
      </c>
      <c r="N45" t="s">
        <v>30</v>
      </c>
      <c r="O45">
        <v>30.12</v>
      </c>
      <c r="P45">
        <v>8</v>
      </c>
      <c r="Q45">
        <v>12.048</v>
      </c>
      <c r="R45">
        <v>253.00800000000001</v>
      </c>
      <c r="S45">
        <v>240.96</v>
      </c>
      <c r="T45">
        <v>4.7619047620000003</v>
      </c>
      <c r="U45">
        <v>12.048</v>
      </c>
      <c r="V45">
        <v>7.7</v>
      </c>
    </row>
    <row r="46" spans="1:22" x14ac:dyDescent="0.2">
      <c r="A46" t="s">
        <v>77</v>
      </c>
      <c r="B46" s="1">
        <v>43482</v>
      </c>
      <c r="C46" s="2">
        <v>0.78125</v>
      </c>
      <c r="D46" s="2" t="str">
        <f>IF(Table1[[#This Row],[Time]]&lt;$D$1,$C$1,IF(Table1[[#This Row],[Time]]&lt;$D$2,$C$2,$C$3))</f>
        <v>Evening</v>
      </c>
      <c r="E46">
        <f>MONTH(Table1[[#This Row],[Date]])</f>
        <v>1</v>
      </c>
      <c r="F46" t="str">
        <f>VLOOKUP(Table1[[#This Row],[Month]],dctMonth[],2,FALSE)</f>
        <v>January</v>
      </c>
      <c r="G46" t="s">
        <v>43</v>
      </c>
      <c r="H46" t="s">
        <v>44</v>
      </c>
      <c r="I46" t="s">
        <v>21</v>
      </c>
      <c r="J46" t="s">
        <v>22</v>
      </c>
      <c r="K46">
        <v>36</v>
      </c>
      <c r="L46" t="str">
        <f>IF(Table1[[#This Row],[Age]]&lt;20,"&lt;20",IF(Table1[[#This Row],[Age]]&lt;=70,"20-70","&gt;70"))</f>
        <v>20-70</v>
      </c>
      <c r="M46" t="s">
        <v>33</v>
      </c>
      <c r="N46" t="s">
        <v>24</v>
      </c>
      <c r="O46">
        <v>86.72</v>
      </c>
      <c r="P46">
        <v>1</v>
      </c>
      <c r="Q46">
        <v>4.3360000000000003</v>
      </c>
      <c r="R46">
        <v>91.055999999999997</v>
      </c>
      <c r="S46">
        <v>86.72</v>
      </c>
      <c r="T46">
        <v>4.7619047620000003</v>
      </c>
      <c r="U46">
        <v>4.3360000000000003</v>
      </c>
      <c r="V46">
        <v>7.9</v>
      </c>
    </row>
    <row r="47" spans="1:22" x14ac:dyDescent="0.2">
      <c r="A47" t="s">
        <v>78</v>
      </c>
      <c r="B47" s="1">
        <v>43498</v>
      </c>
      <c r="C47" s="2">
        <v>0.42430555555555555</v>
      </c>
      <c r="D47" s="2" t="str">
        <f>IF(Table1[[#This Row],[Time]]&lt;$D$1,$C$1,IF(Table1[[#This Row],[Time]]&lt;$D$2,$C$2,$C$3))</f>
        <v>Morning</v>
      </c>
      <c r="E47">
        <f>MONTH(Table1[[#This Row],[Date]])</f>
        <v>2</v>
      </c>
      <c r="F47" t="str">
        <f>VLOOKUP(Table1[[#This Row],[Month]],dctMonth[],2,FALSE)</f>
        <v>February</v>
      </c>
      <c r="G47" t="s">
        <v>26</v>
      </c>
      <c r="H47" t="s">
        <v>27</v>
      </c>
      <c r="I47" t="s">
        <v>21</v>
      </c>
      <c r="J47" t="s">
        <v>32</v>
      </c>
      <c r="K47">
        <v>44</v>
      </c>
      <c r="L47" t="str">
        <f>IF(Table1[[#This Row],[Age]]&lt;20,"&lt;20",IF(Table1[[#This Row],[Age]]&lt;=70,"20-70","&gt;70"))</f>
        <v>20-70</v>
      </c>
      <c r="M47" t="s">
        <v>33</v>
      </c>
      <c r="N47" t="s">
        <v>30</v>
      </c>
      <c r="O47">
        <v>56.11</v>
      </c>
      <c r="P47">
        <v>2</v>
      </c>
      <c r="Q47">
        <v>5.6109999999999998</v>
      </c>
      <c r="R47">
        <v>117.831</v>
      </c>
      <c r="S47">
        <v>112.22</v>
      </c>
      <c r="T47">
        <v>4.7619047620000003</v>
      </c>
      <c r="U47">
        <v>5.6109999999999998</v>
      </c>
      <c r="V47">
        <v>6.3</v>
      </c>
    </row>
    <row r="48" spans="1:22" x14ac:dyDescent="0.2">
      <c r="A48" t="s">
        <v>79</v>
      </c>
      <c r="B48" s="1">
        <v>43504</v>
      </c>
      <c r="C48" s="2">
        <v>0.54374999999999996</v>
      </c>
      <c r="D48" s="2" t="str">
        <f>IF(Table1[[#This Row],[Time]]&lt;$D$1,$C$1,IF(Table1[[#This Row],[Time]]&lt;$D$2,$C$2,$C$3))</f>
        <v>Afternoon</v>
      </c>
      <c r="E48">
        <f>MONTH(Table1[[#This Row],[Date]])</f>
        <v>2</v>
      </c>
      <c r="F48" t="str">
        <f>VLOOKUP(Table1[[#This Row],[Month]],dctMonth[],2,FALSE)</f>
        <v>February</v>
      </c>
      <c r="G48" t="s">
        <v>43</v>
      </c>
      <c r="H48" t="s">
        <v>44</v>
      </c>
      <c r="I48" t="s">
        <v>21</v>
      </c>
      <c r="J48" t="s">
        <v>22</v>
      </c>
      <c r="K48">
        <v>72</v>
      </c>
      <c r="L48" t="str">
        <f>IF(Table1[[#This Row],[Age]]&lt;20,"&lt;20",IF(Table1[[#This Row],[Age]]&lt;=70,"20-70","&gt;70"))</f>
        <v>&gt;70</v>
      </c>
      <c r="M48" t="s">
        <v>37</v>
      </c>
      <c r="N48" t="s">
        <v>30</v>
      </c>
      <c r="O48">
        <v>69.12</v>
      </c>
      <c r="P48">
        <v>6</v>
      </c>
      <c r="Q48">
        <v>20.736000000000001</v>
      </c>
      <c r="R48">
        <v>435.45600000000002</v>
      </c>
      <c r="S48">
        <v>414.72</v>
      </c>
      <c r="T48">
        <v>4.7619047620000003</v>
      </c>
      <c r="U48">
        <v>20.736000000000001</v>
      </c>
      <c r="V48">
        <v>5.6</v>
      </c>
    </row>
    <row r="49" spans="1:22" x14ac:dyDescent="0.2">
      <c r="A49" t="s">
        <v>80</v>
      </c>
      <c r="B49" s="1">
        <v>43528</v>
      </c>
      <c r="C49" s="2">
        <v>0.86041666666666672</v>
      </c>
      <c r="D49" s="2" t="str">
        <f>IF(Table1[[#This Row],[Time]]&lt;$D$1,$C$1,IF(Table1[[#This Row],[Time]]&lt;$D$2,$C$2,$C$3))</f>
        <v>Evening</v>
      </c>
      <c r="E49">
        <f>MONTH(Table1[[#This Row],[Date]])</f>
        <v>3</v>
      </c>
      <c r="F49" t="str">
        <f>VLOOKUP(Table1[[#This Row],[Month]],dctMonth[],2,FALSE)</f>
        <v>March</v>
      </c>
      <c r="G49" t="s">
        <v>26</v>
      </c>
      <c r="H49" t="s">
        <v>27</v>
      </c>
      <c r="I49" t="s">
        <v>21</v>
      </c>
      <c r="J49" t="s">
        <v>22</v>
      </c>
      <c r="K49">
        <v>56</v>
      </c>
      <c r="L49" t="str">
        <f>IF(Table1[[#This Row],[Age]]&lt;20,"&lt;20",IF(Table1[[#This Row],[Age]]&lt;=70,"20-70","&gt;70"))</f>
        <v>20-70</v>
      </c>
      <c r="M49" t="s">
        <v>45</v>
      </c>
      <c r="N49" t="s">
        <v>30</v>
      </c>
      <c r="O49">
        <v>98.7</v>
      </c>
      <c r="P49">
        <v>8</v>
      </c>
      <c r="Q49">
        <v>39.479999999999997</v>
      </c>
      <c r="R49">
        <v>829.08</v>
      </c>
      <c r="S49">
        <v>789.6</v>
      </c>
      <c r="T49">
        <v>4.7619047620000003</v>
      </c>
      <c r="U49">
        <v>39.479999999999997</v>
      </c>
      <c r="V49">
        <v>7.6</v>
      </c>
    </row>
    <row r="50" spans="1:22" x14ac:dyDescent="0.2">
      <c r="A50" t="s">
        <v>81</v>
      </c>
      <c r="B50" s="1">
        <v>43540</v>
      </c>
      <c r="C50" s="2">
        <v>0.82430555555555551</v>
      </c>
      <c r="D50" s="2" t="str">
        <f>IF(Table1[[#This Row],[Time]]&lt;$D$1,$C$1,IF(Table1[[#This Row],[Time]]&lt;$D$2,$C$2,$C$3))</f>
        <v>Evening</v>
      </c>
      <c r="E50">
        <f>MONTH(Table1[[#This Row],[Date]])</f>
        <v>3</v>
      </c>
      <c r="F50" t="str">
        <f>VLOOKUP(Table1[[#This Row],[Month]],dctMonth[],2,FALSE)</f>
        <v>March</v>
      </c>
      <c r="G50" t="s">
        <v>26</v>
      </c>
      <c r="H50" t="s">
        <v>27</v>
      </c>
      <c r="I50" t="s">
        <v>21</v>
      </c>
      <c r="J50" t="s">
        <v>32</v>
      </c>
      <c r="K50">
        <v>17</v>
      </c>
      <c r="L50" t="str">
        <f>IF(Table1[[#This Row],[Age]]&lt;20,"&lt;20",IF(Table1[[#This Row],[Age]]&lt;=70,"20-70","&gt;70"))</f>
        <v>&lt;20</v>
      </c>
      <c r="M50" t="s">
        <v>23</v>
      </c>
      <c r="N50" t="s">
        <v>30</v>
      </c>
      <c r="O50">
        <v>15.37</v>
      </c>
      <c r="P50">
        <v>2</v>
      </c>
      <c r="Q50">
        <v>1.5369999999999999</v>
      </c>
      <c r="R50">
        <v>32.277000000000001</v>
      </c>
      <c r="S50">
        <v>30.74</v>
      </c>
      <c r="T50">
        <v>4.7619047620000003</v>
      </c>
      <c r="U50">
        <v>1.5369999999999999</v>
      </c>
      <c r="V50">
        <v>7.2</v>
      </c>
    </row>
    <row r="51" spans="1:22" x14ac:dyDescent="0.2">
      <c r="A51" t="s">
        <v>82</v>
      </c>
      <c r="B51" s="1">
        <v>43533</v>
      </c>
      <c r="C51" s="2">
        <v>0.75</v>
      </c>
      <c r="D51" s="2" t="str">
        <f>IF(Table1[[#This Row],[Time]]&lt;$D$1,$C$1,IF(Table1[[#This Row],[Time]]&lt;$D$2,$C$2,$C$3))</f>
        <v>Evening</v>
      </c>
      <c r="E51">
        <f>MONTH(Table1[[#This Row],[Date]])</f>
        <v>3</v>
      </c>
      <c r="F51" t="str">
        <f>VLOOKUP(Table1[[#This Row],[Month]],dctMonth[],2,FALSE)</f>
        <v>March</v>
      </c>
      <c r="G51" t="s">
        <v>43</v>
      </c>
      <c r="H51" t="s">
        <v>44</v>
      </c>
      <c r="I51" t="s">
        <v>21</v>
      </c>
      <c r="J51" t="s">
        <v>22</v>
      </c>
      <c r="K51">
        <v>22</v>
      </c>
      <c r="L51" t="str">
        <f>IF(Table1[[#This Row],[Age]]&lt;20,"&lt;20",IF(Table1[[#This Row],[Age]]&lt;=70,"20-70","&gt;70"))</f>
        <v>20-70</v>
      </c>
      <c r="M51" t="s">
        <v>29</v>
      </c>
      <c r="N51" t="s">
        <v>30</v>
      </c>
      <c r="O51">
        <v>93.96</v>
      </c>
      <c r="P51">
        <v>4</v>
      </c>
      <c r="Q51">
        <v>18.792000000000002</v>
      </c>
      <c r="R51">
        <v>394.63200000000001</v>
      </c>
      <c r="S51">
        <v>375.84</v>
      </c>
      <c r="T51">
        <v>4.7619047620000003</v>
      </c>
      <c r="U51">
        <v>18.792000000000002</v>
      </c>
      <c r="V51">
        <v>9.5</v>
      </c>
    </row>
    <row r="52" spans="1:22" x14ac:dyDescent="0.2">
      <c r="A52" t="s">
        <v>83</v>
      </c>
      <c r="B52" s="1">
        <v>43523</v>
      </c>
      <c r="C52" s="2">
        <v>0.72499999999999998</v>
      </c>
      <c r="D52" s="2" t="str">
        <f>IF(Table1[[#This Row],[Time]]&lt;$D$1,$C$1,IF(Table1[[#This Row],[Time]]&lt;$D$2,$C$2,$C$3))</f>
        <v>Evening</v>
      </c>
      <c r="E52">
        <f>MONTH(Table1[[#This Row],[Date]])</f>
        <v>2</v>
      </c>
      <c r="F52" t="str">
        <f>VLOOKUP(Table1[[#This Row],[Month]],dctMonth[],2,FALSE)</f>
        <v>February</v>
      </c>
      <c r="G52" t="s">
        <v>43</v>
      </c>
      <c r="H52" t="s">
        <v>44</v>
      </c>
      <c r="I52" t="s">
        <v>21</v>
      </c>
      <c r="J52" t="s">
        <v>32</v>
      </c>
      <c r="K52">
        <v>87</v>
      </c>
      <c r="L52" t="str">
        <f>IF(Table1[[#This Row],[Age]]&lt;20,"&lt;20",IF(Table1[[#This Row],[Age]]&lt;=70,"20-70","&gt;70"))</f>
        <v>&gt;70</v>
      </c>
      <c r="M52" t="s">
        <v>23</v>
      </c>
      <c r="N52" t="s">
        <v>34</v>
      </c>
      <c r="O52">
        <v>56.69</v>
      </c>
      <c r="P52">
        <v>9</v>
      </c>
      <c r="Q52">
        <v>25.5105</v>
      </c>
      <c r="R52">
        <v>535.72050000000002</v>
      </c>
      <c r="S52">
        <v>510.21</v>
      </c>
      <c r="T52">
        <v>4.7619047620000003</v>
      </c>
      <c r="U52">
        <v>25.5105</v>
      </c>
      <c r="V52">
        <v>8.4</v>
      </c>
    </row>
    <row r="53" spans="1:22" x14ac:dyDescent="0.2">
      <c r="A53" t="s">
        <v>84</v>
      </c>
      <c r="B53" s="1">
        <v>43502</v>
      </c>
      <c r="C53" s="2">
        <v>0.65763888888888888</v>
      </c>
      <c r="D53" s="2" t="str">
        <f>IF(Table1[[#This Row],[Time]]&lt;$D$1,$C$1,IF(Table1[[#This Row],[Time]]&lt;$D$2,$C$2,$C$3))</f>
        <v>Afternoon</v>
      </c>
      <c r="E53">
        <f>MONTH(Table1[[#This Row],[Date]])</f>
        <v>2</v>
      </c>
      <c r="F53" t="str">
        <f>VLOOKUP(Table1[[#This Row],[Month]],dctMonth[],2,FALSE)</f>
        <v>February</v>
      </c>
      <c r="G53" t="s">
        <v>43</v>
      </c>
      <c r="H53" t="s">
        <v>44</v>
      </c>
      <c r="I53" t="s">
        <v>21</v>
      </c>
      <c r="J53" t="s">
        <v>22</v>
      </c>
      <c r="K53">
        <v>89</v>
      </c>
      <c r="L53" t="str">
        <f>IF(Table1[[#This Row],[Age]]&lt;20,"&lt;20",IF(Table1[[#This Row],[Age]]&lt;=70,"20-70","&gt;70"))</f>
        <v>&gt;70</v>
      </c>
      <c r="M53" t="s">
        <v>45</v>
      </c>
      <c r="N53" t="s">
        <v>24</v>
      </c>
      <c r="O53">
        <v>20.010000000000002</v>
      </c>
      <c r="P53">
        <v>9</v>
      </c>
      <c r="Q53">
        <v>9.0045000000000002</v>
      </c>
      <c r="R53">
        <v>189.09450000000001</v>
      </c>
      <c r="S53">
        <v>180.09</v>
      </c>
      <c r="T53">
        <v>4.7619047620000003</v>
      </c>
      <c r="U53">
        <v>9.0045000000000002</v>
      </c>
      <c r="V53">
        <v>4.0999999999999996</v>
      </c>
    </row>
    <row r="54" spans="1:22" x14ac:dyDescent="0.2">
      <c r="A54" t="s">
        <v>85</v>
      </c>
      <c r="B54" s="1">
        <v>43506</v>
      </c>
      <c r="C54" s="2">
        <v>0.53125</v>
      </c>
      <c r="D54" s="2" t="str">
        <f>IF(Table1[[#This Row],[Time]]&lt;$D$1,$C$1,IF(Table1[[#This Row],[Time]]&lt;$D$2,$C$2,$C$3))</f>
        <v>Afternoon</v>
      </c>
      <c r="E54">
        <f>MONTH(Table1[[#This Row],[Date]])</f>
        <v>2</v>
      </c>
      <c r="F54" t="str">
        <f>VLOOKUP(Table1[[#This Row],[Month]],dctMonth[],2,FALSE)</f>
        <v>February</v>
      </c>
      <c r="G54" t="s">
        <v>43</v>
      </c>
      <c r="H54" t="s">
        <v>44</v>
      </c>
      <c r="I54" t="s">
        <v>21</v>
      </c>
      <c r="J54" t="s">
        <v>32</v>
      </c>
      <c r="K54">
        <v>55</v>
      </c>
      <c r="L54" t="str">
        <f>IF(Table1[[#This Row],[Age]]&lt;20,"&lt;20",IF(Table1[[#This Row],[Age]]&lt;=70,"20-70","&gt;70"))</f>
        <v>20-70</v>
      </c>
      <c r="M54" t="s">
        <v>29</v>
      </c>
      <c r="N54" t="s">
        <v>34</v>
      </c>
      <c r="O54">
        <v>18.93</v>
      </c>
      <c r="P54">
        <v>6</v>
      </c>
      <c r="Q54">
        <v>5.6790000000000003</v>
      </c>
      <c r="R54">
        <v>119.259</v>
      </c>
      <c r="S54">
        <v>113.58</v>
      </c>
      <c r="T54">
        <v>4.7619047620000003</v>
      </c>
      <c r="U54">
        <v>5.6790000000000003</v>
      </c>
      <c r="V54">
        <v>8.1</v>
      </c>
    </row>
    <row r="55" spans="1:22" x14ac:dyDescent="0.2">
      <c r="A55" t="s">
        <v>86</v>
      </c>
      <c r="B55" s="1">
        <v>43543</v>
      </c>
      <c r="C55" s="2">
        <v>0.71388888888888891</v>
      </c>
      <c r="D55" s="2" t="str">
        <f>IF(Table1[[#This Row],[Time]]&lt;$D$1,$C$1,IF(Table1[[#This Row],[Time]]&lt;$D$2,$C$2,$C$3))</f>
        <v>Evening</v>
      </c>
      <c r="E55">
        <f>MONTH(Table1[[#This Row],[Date]])</f>
        <v>3</v>
      </c>
      <c r="F55" t="str">
        <f>VLOOKUP(Table1[[#This Row],[Month]],dctMonth[],2,FALSE)</f>
        <v>March</v>
      </c>
      <c r="G55" t="s">
        <v>26</v>
      </c>
      <c r="H55" t="s">
        <v>27</v>
      </c>
      <c r="I55" t="s">
        <v>21</v>
      </c>
      <c r="J55" t="s">
        <v>22</v>
      </c>
      <c r="K55">
        <v>24</v>
      </c>
      <c r="L55" t="str">
        <f>IF(Table1[[#This Row],[Age]]&lt;20,"&lt;20",IF(Table1[[#This Row],[Age]]&lt;=70,"20-70","&gt;70"))</f>
        <v>20-70</v>
      </c>
      <c r="M55" t="s">
        <v>47</v>
      </c>
      <c r="N55" t="s">
        <v>24</v>
      </c>
      <c r="O55">
        <v>82.63</v>
      </c>
      <c r="P55">
        <v>10</v>
      </c>
      <c r="Q55">
        <v>41.314999999999998</v>
      </c>
      <c r="R55">
        <v>867.61500000000001</v>
      </c>
      <c r="S55">
        <v>826.3</v>
      </c>
      <c r="T55">
        <v>4.7619047620000003</v>
      </c>
      <c r="U55">
        <v>41.314999999999998</v>
      </c>
      <c r="V55">
        <v>7.9</v>
      </c>
    </row>
    <row r="56" spans="1:22" x14ac:dyDescent="0.2">
      <c r="A56" t="s">
        <v>87</v>
      </c>
      <c r="B56" s="1">
        <v>43499</v>
      </c>
      <c r="C56" s="2">
        <v>0.42986111111111114</v>
      </c>
      <c r="D56" s="2" t="str">
        <f>IF(Table1[[#This Row],[Time]]&lt;$D$1,$C$1,IF(Table1[[#This Row],[Time]]&lt;$D$2,$C$2,$C$3))</f>
        <v>Morning</v>
      </c>
      <c r="E56">
        <f>MONTH(Table1[[#This Row],[Date]])</f>
        <v>2</v>
      </c>
      <c r="F56" t="str">
        <f>VLOOKUP(Table1[[#This Row],[Month]],dctMonth[],2,FALSE)</f>
        <v>February</v>
      </c>
      <c r="G56" t="s">
        <v>26</v>
      </c>
      <c r="H56" t="s">
        <v>27</v>
      </c>
      <c r="I56" t="s">
        <v>21</v>
      </c>
      <c r="J56" t="s">
        <v>32</v>
      </c>
      <c r="K56">
        <v>20</v>
      </c>
      <c r="L56" t="str">
        <f>IF(Table1[[#This Row],[Age]]&lt;20,"&lt;20",IF(Table1[[#This Row],[Age]]&lt;=70,"20-70","&gt;70"))</f>
        <v>20-70</v>
      </c>
      <c r="M56" t="s">
        <v>45</v>
      </c>
      <c r="N56" t="s">
        <v>30</v>
      </c>
      <c r="O56">
        <v>91.4</v>
      </c>
      <c r="P56">
        <v>7</v>
      </c>
      <c r="Q56">
        <v>31.99</v>
      </c>
      <c r="R56">
        <v>671.79</v>
      </c>
      <c r="S56">
        <v>639.79999999999995</v>
      </c>
      <c r="T56">
        <v>4.7619047620000003</v>
      </c>
      <c r="U56">
        <v>31.99</v>
      </c>
      <c r="V56">
        <v>9.5</v>
      </c>
    </row>
    <row r="57" spans="1:22" x14ac:dyDescent="0.2">
      <c r="A57" t="s">
        <v>88</v>
      </c>
      <c r="B57" s="1">
        <v>43506</v>
      </c>
      <c r="C57" s="2">
        <v>0.63194444444444442</v>
      </c>
      <c r="D57" s="2" t="str">
        <f>IF(Table1[[#This Row],[Time]]&lt;$D$1,$C$1,IF(Table1[[#This Row],[Time]]&lt;$D$2,$C$2,$C$3))</f>
        <v>Afternoon</v>
      </c>
      <c r="E57">
        <f>MONTH(Table1[[#This Row],[Date]])</f>
        <v>2</v>
      </c>
      <c r="F57" t="str">
        <f>VLOOKUP(Table1[[#This Row],[Month]],dctMonth[],2,FALSE)</f>
        <v>February</v>
      </c>
      <c r="G57" t="s">
        <v>19</v>
      </c>
      <c r="H57" t="s">
        <v>20</v>
      </c>
      <c r="I57" t="s">
        <v>21</v>
      </c>
      <c r="J57" t="s">
        <v>22</v>
      </c>
      <c r="K57">
        <v>44</v>
      </c>
      <c r="L57" t="str">
        <f>IF(Table1[[#This Row],[Age]]&lt;20,"&lt;20",IF(Table1[[#This Row],[Age]]&lt;=70,"20-70","&gt;70"))</f>
        <v>20-70</v>
      </c>
      <c r="M57" t="s">
        <v>45</v>
      </c>
      <c r="N57" t="s">
        <v>30</v>
      </c>
      <c r="O57">
        <v>44.59</v>
      </c>
      <c r="P57">
        <v>5</v>
      </c>
      <c r="Q57">
        <v>11.147500000000001</v>
      </c>
      <c r="R57">
        <v>234.0975</v>
      </c>
      <c r="S57">
        <v>222.95</v>
      </c>
      <c r="T57">
        <v>4.7619047620000003</v>
      </c>
      <c r="U57">
        <v>11.147500000000001</v>
      </c>
      <c r="V57">
        <v>8.5</v>
      </c>
    </row>
    <row r="58" spans="1:22" x14ac:dyDescent="0.2">
      <c r="A58" t="s">
        <v>89</v>
      </c>
      <c r="B58" s="1">
        <v>43546</v>
      </c>
      <c r="C58" s="2">
        <v>0.61250000000000004</v>
      </c>
      <c r="D58" s="2" t="str">
        <f>IF(Table1[[#This Row],[Time]]&lt;$D$1,$C$1,IF(Table1[[#This Row],[Time]]&lt;$D$2,$C$2,$C$3))</f>
        <v>Afternoon</v>
      </c>
      <c r="E58">
        <f>MONTH(Table1[[#This Row],[Date]])</f>
        <v>3</v>
      </c>
      <c r="F58" t="str">
        <f>VLOOKUP(Table1[[#This Row],[Month]],dctMonth[],2,FALSE)</f>
        <v>March</v>
      </c>
      <c r="G58" t="s">
        <v>43</v>
      </c>
      <c r="H58" t="s">
        <v>44</v>
      </c>
      <c r="I58" t="s">
        <v>21</v>
      </c>
      <c r="J58" t="s">
        <v>22</v>
      </c>
      <c r="K58">
        <v>25</v>
      </c>
      <c r="L58" t="str">
        <f>IF(Table1[[#This Row],[Age]]&lt;20,"&lt;20",IF(Table1[[#This Row],[Age]]&lt;=70,"20-70","&gt;70"))</f>
        <v>20-70</v>
      </c>
      <c r="M58" t="s">
        <v>47</v>
      </c>
      <c r="N58" t="s">
        <v>24</v>
      </c>
      <c r="O58">
        <v>17.87</v>
      </c>
      <c r="P58">
        <v>4</v>
      </c>
      <c r="Q58">
        <v>3.5739999999999998</v>
      </c>
      <c r="R58">
        <v>75.054000000000002</v>
      </c>
      <c r="S58">
        <v>71.48</v>
      </c>
      <c r="T58">
        <v>4.7619047620000003</v>
      </c>
      <c r="U58">
        <v>3.5739999999999998</v>
      </c>
      <c r="V58">
        <v>6.5</v>
      </c>
    </row>
    <row r="59" spans="1:22" x14ac:dyDescent="0.2">
      <c r="A59" t="s">
        <v>90</v>
      </c>
      <c r="B59" s="1">
        <v>43490</v>
      </c>
      <c r="C59" s="2">
        <v>0.65694444444444444</v>
      </c>
      <c r="D59" s="2" t="str">
        <f>IF(Table1[[#This Row],[Time]]&lt;$D$1,$C$1,IF(Table1[[#This Row],[Time]]&lt;$D$2,$C$2,$C$3))</f>
        <v>Afternoon</v>
      </c>
      <c r="E59">
        <f>MONTH(Table1[[#This Row],[Date]])</f>
        <v>1</v>
      </c>
      <c r="F59" t="str">
        <f>VLOOKUP(Table1[[#This Row],[Month]],dctMonth[],2,FALSE)</f>
        <v>January</v>
      </c>
      <c r="G59" t="s">
        <v>26</v>
      </c>
      <c r="H59" t="s">
        <v>27</v>
      </c>
      <c r="I59" t="s">
        <v>21</v>
      </c>
      <c r="J59" t="s">
        <v>32</v>
      </c>
      <c r="K59">
        <v>40</v>
      </c>
      <c r="L59" t="str">
        <f>IF(Table1[[#This Row],[Age]]&lt;20,"&lt;20",IF(Table1[[#This Row],[Age]]&lt;=70,"20-70","&gt;70"))</f>
        <v>20-70</v>
      </c>
      <c r="M59" t="s">
        <v>47</v>
      </c>
      <c r="N59" t="s">
        <v>34</v>
      </c>
      <c r="O59">
        <v>15.43</v>
      </c>
      <c r="P59">
        <v>1</v>
      </c>
      <c r="Q59">
        <v>0.77149999999999996</v>
      </c>
      <c r="R59">
        <v>16.201499999999999</v>
      </c>
      <c r="S59">
        <v>15.43</v>
      </c>
      <c r="T59">
        <v>4.7619047620000003</v>
      </c>
      <c r="U59">
        <v>0.77149999999999996</v>
      </c>
      <c r="V59">
        <v>6.1</v>
      </c>
    </row>
    <row r="60" spans="1:22" x14ac:dyDescent="0.2">
      <c r="A60" t="s">
        <v>91</v>
      </c>
      <c r="B60" s="1">
        <v>43531</v>
      </c>
      <c r="C60" s="2">
        <v>0.49236111111111114</v>
      </c>
      <c r="D60" s="2" t="str">
        <f>IF(Table1[[#This Row],[Time]]&lt;$D$1,$C$1,IF(Table1[[#This Row],[Time]]&lt;$D$2,$C$2,$C$3))</f>
        <v>Morning</v>
      </c>
      <c r="E60">
        <f>MONTH(Table1[[#This Row],[Date]])</f>
        <v>3</v>
      </c>
      <c r="F60" t="str">
        <f>VLOOKUP(Table1[[#This Row],[Month]],dctMonth[],2,FALSE)</f>
        <v>March</v>
      </c>
      <c r="G60" t="s">
        <v>43</v>
      </c>
      <c r="H60" t="s">
        <v>44</v>
      </c>
      <c r="I60" t="s">
        <v>28</v>
      </c>
      <c r="J60" t="s">
        <v>32</v>
      </c>
      <c r="K60">
        <v>53</v>
      </c>
      <c r="L60" t="str">
        <f>IF(Table1[[#This Row],[Age]]&lt;20,"&lt;20",IF(Table1[[#This Row],[Age]]&lt;=70,"20-70","&gt;70"))</f>
        <v>20-70</v>
      </c>
      <c r="M60" t="s">
        <v>33</v>
      </c>
      <c r="N60" t="s">
        <v>24</v>
      </c>
      <c r="O60">
        <v>16.16</v>
      </c>
      <c r="P60">
        <v>2</v>
      </c>
      <c r="Q60">
        <v>1.6160000000000001</v>
      </c>
      <c r="R60">
        <v>33.936</v>
      </c>
      <c r="S60">
        <v>32.32</v>
      </c>
      <c r="T60">
        <v>4.7619047620000003</v>
      </c>
      <c r="U60">
        <v>1.6160000000000001</v>
      </c>
      <c r="V60">
        <v>6.5</v>
      </c>
    </row>
    <row r="61" spans="1:22" x14ac:dyDescent="0.2">
      <c r="A61" t="s">
        <v>92</v>
      </c>
      <c r="B61" s="1">
        <v>43524</v>
      </c>
      <c r="C61" s="2">
        <v>0.79236111111111107</v>
      </c>
      <c r="D61" s="2" t="str">
        <f>IF(Table1[[#This Row],[Time]]&lt;$D$1,$C$1,IF(Table1[[#This Row],[Time]]&lt;$D$2,$C$2,$C$3))</f>
        <v>Evening</v>
      </c>
      <c r="E61">
        <f>MONTH(Table1[[#This Row],[Date]])</f>
        <v>2</v>
      </c>
      <c r="F61" t="str">
        <f>VLOOKUP(Table1[[#This Row],[Month]],dctMonth[],2,FALSE)</f>
        <v>February</v>
      </c>
      <c r="G61" t="s">
        <v>26</v>
      </c>
      <c r="H61" t="s">
        <v>27</v>
      </c>
      <c r="I61" t="s">
        <v>28</v>
      </c>
      <c r="J61" t="s">
        <v>22</v>
      </c>
      <c r="K61">
        <v>88</v>
      </c>
      <c r="L61" t="str">
        <f>IF(Table1[[#This Row],[Age]]&lt;20,"&lt;20",IF(Table1[[#This Row],[Age]]&lt;=70,"20-70","&gt;70"))</f>
        <v>&gt;70</v>
      </c>
      <c r="M61" t="s">
        <v>29</v>
      </c>
      <c r="N61" t="s">
        <v>30</v>
      </c>
      <c r="O61">
        <v>85.98</v>
      </c>
      <c r="P61">
        <v>8</v>
      </c>
      <c r="Q61">
        <v>34.392000000000003</v>
      </c>
      <c r="R61">
        <v>722.23199999999997</v>
      </c>
      <c r="S61">
        <v>687.84</v>
      </c>
      <c r="T61">
        <v>4.7619047620000003</v>
      </c>
      <c r="U61">
        <v>34.392000000000003</v>
      </c>
      <c r="V61">
        <v>8.1999999999999993</v>
      </c>
    </row>
    <row r="62" spans="1:22" x14ac:dyDescent="0.2">
      <c r="A62" t="s">
        <v>93</v>
      </c>
      <c r="B62" s="1">
        <v>43551</v>
      </c>
      <c r="C62" s="2">
        <v>0.47638888888888886</v>
      </c>
      <c r="D62" s="2" t="str">
        <f>IF(Table1[[#This Row],[Time]]&lt;$D$1,$C$1,IF(Table1[[#This Row],[Time]]&lt;$D$2,$C$2,$C$3))</f>
        <v>Morning</v>
      </c>
      <c r="E62">
        <f>MONTH(Table1[[#This Row],[Date]])</f>
        <v>3</v>
      </c>
      <c r="F62" t="str">
        <f>VLOOKUP(Table1[[#This Row],[Month]],dctMonth[],2,FALSE)</f>
        <v>March</v>
      </c>
      <c r="G62" t="s">
        <v>19</v>
      </c>
      <c r="H62" t="s">
        <v>20</v>
      </c>
      <c r="I62" t="s">
        <v>21</v>
      </c>
      <c r="J62" t="s">
        <v>32</v>
      </c>
      <c r="K62">
        <v>64</v>
      </c>
      <c r="L62" t="str">
        <f>IF(Table1[[#This Row],[Age]]&lt;20,"&lt;20",IF(Table1[[#This Row],[Age]]&lt;=70,"20-70","&gt;70"))</f>
        <v>20-70</v>
      </c>
      <c r="M62" t="s">
        <v>33</v>
      </c>
      <c r="N62" t="s">
        <v>30</v>
      </c>
      <c r="O62">
        <v>44.34</v>
      </c>
      <c r="P62">
        <v>2</v>
      </c>
      <c r="Q62">
        <v>4.4340000000000002</v>
      </c>
      <c r="R62">
        <v>93.114000000000004</v>
      </c>
      <c r="S62">
        <v>88.68</v>
      </c>
      <c r="T62">
        <v>4.7619047620000003</v>
      </c>
      <c r="U62">
        <v>4.4340000000000002</v>
      </c>
      <c r="V62">
        <v>5.8</v>
      </c>
    </row>
    <row r="63" spans="1:22" x14ac:dyDescent="0.2">
      <c r="A63" t="s">
        <v>94</v>
      </c>
      <c r="B63" s="1">
        <v>43503</v>
      </c>
      <c r="C63" s="2">
        <v>0.4777777777777778</v>
      </c>
      <c r="D63" s="2" t="str">
        <f>IF(Table1[[#This Row],[Time]]&lt;$D$1,$C$1,IF(Table1[[#This Row],[Time]]&lt;$D$2,$C$2,$C$3))</f>
        <v>Morning</v>
      </c>
      <c r="E63">
        <f>MONTH(Table1[[#This Row],[Date]])</f>
        <v>2</v>
      </c>
      <c r="F63" t="str">
        <f>VLOOKUP(Table1[[#This Row],[Month]],dctMonth[],2,FALSE)</f>
        <v>February</v>
      </c>
      <c r="G63" t="s">
        <v>19</v>
      </c>
      <c r="H63" t="s">
        <v>20</v>
      </c>
      <c r="I63" t="s">
        <v>28</v>
      </c>
      <c r="J63" t="s">
        <v>32</v>
      </c>
      <c r="K63">
        <v>19</v>
      </c>
      <c r="L63" t="str">
        <f>IF(Table1[[#This Row],[Age]]&lt;20,"&lt;20",IF(Table1[[#This Row],[Age]]&lt;=70,"20-70","&gt;70"))</f>
        <v>&lt;20</v>
      </c>
      <c r="M63" t="s">
        <v>23</v>
      </c>
      <c r="N63" t="s">
        <v>24</v>
      </c>
      <c r="O63">
        <v>89.6</v>
      </c>
      <c r="P63">
        <v>8</v>
      </c>
      <c r="Q63">
        <v>35.840000000000003</v>
      </c>
      <c r="R63">
        <v>752.64</v>
      </c>
      <c r="S63">
        <v>716.8</v>
      </c>
      <c r="T63">
        <v>4.7619047620000003</v>
      </c>
      <c r="U63">
        <v>35.840000000000003</v>
      </c>
      <c r="V63">
        <v>6.6</v>
      </c>
    </row>
    <row r="64" spans="1:22" x14ac:dyDescent="0.2">
      <c r="A64" t="s">
        <v>95</v>
      </c>
      <c r="B64" s="1">
        <v>43485</v>
      </c>
      <c r="C64" s="2">
        <v>0.66319444444444442</v>
      </c>
      <c r="D64" s="2" t="str">
        <f>IF(Table1[[#This Row],[Time]]&lt;$D$1,$C$1,IF(Table1[[#This Row],[Time]]&lt;$D$2,$C$2,$C$3))</f>
        <v>Afternoon</v>
      </c>
      <c r="E64">
        <f>MONTH(Table1[[#This Row],[Date]])</f>
        <v>1</v>
      </c>
      <c r="F64" t="str">
        <f>VLOOKUP(Table1[[#This Row],[Month]],dctMonth[],2,FALSE)</f>
        <v>January</v>
      </c>
      <c r="G64" t="s">
        <v>19</v>
      </c>
      <c r="H64" t="s">
        <v>20</v>
      </c>
      <c r="I64" t="s">
        <v>21</v>
      </c>
      <c r="J64" t="s">
        <v>22</v>
      </c>
      <c r="K64">
        <v>52</v>
      </c>
      <c r="L64" t="str">
        <f>IF(Table1[[#This Row],[Age]]&lt;20,"&lt;20",IF(Table1[[#This Row],[Age]]&lt;=70,"20-70","&gt;70"))</f>
        <v>20-70</v>
      </c>
      <c r="M64" t="s">
        <v>33</v>
      </c>
      <c r="N64" t="s">
        <v>30</v>
      </c>
      <c r="O64">
        <v>72.349999999999994</v>
      </c>
      <c r="P64">
        <v>10</v>
      </c>
      <c r="Q64">
        <v>36.174999999999997</v>
      </c>
      <c r="R64">
        <v>759.67499999999995</v>
      </c>
      <c r="S64">
        <v>723.5</v>
      </c>
      <c r="T64">
        <v>4.7619047620000003</v>
      </c>
      <c r="U64">
        <v>36.174999999999997</v>
      </c>
      <c r="V64">
        <v>5.4</v>
      </c>
    </row>
    <row r="65" spans="1:22" x14ac:dyDescent="0.2">
      <c r="A65" t="s">
        <v>96</v>
      </c>
      <c r="B65" s="1">
        <v>43536</v>
      </c>
      <c r="C65" s="2">
        <v>0.85833333333333328</v>
      </c>
      <c r="D65" s="2" t="str">
        <f>IF(Table1[[#This Row],[Time]]&lt;$D$1,$C$1,IF(Table1[[#This Row],[Time]]&lt;$D$2,$C$2,$C$3))</f>
        <v>Evening</v>
      </c>
      <c r="E65">
        <f>MONTH(Table1[[#This Row],[Date]])</f>
        <v>3</v>
      </c>
      <c r="F65" t="str">
        <f>VLOOKUP(Table1[[#This Row],[Month]],dctMonth[],2,FALSE)</f>
        <v>March</v>
      </c>
      <c r="G65" t="s">
        <v>26</v>
      </c>
      <c r="H65" t="s">
        <v>27</v>
      </c>
      <c r="I65" t="s">
        <v>28</v>
      </c>
      <c r="J65" t="s">
        <v>32</v>
      </c>
      <c r="K65">
        <v>31</v>
      </c>
      <c r="L65" t="str">
        <f>IF(Table1[[#This Row],[Age]]&lt;20,"&lt;20",IF(Table1[[#This Row],[Age]]&lt;=70,"20-70","&gt;70"))</f>
        <v>20-70</v>
      </c>
      <c r="M65" t="s">
        <v>29</v>
      </c>
      <c r="N65" t="s">
        <v>30</v>
      </c>
      <c r="O65">
        <v>30.61</v>
      </c>
      <c r="P65">
        <v>6</v>
      </c>
      <c r="Q65">
        <v>9.1829999999999998</v>
      </c>
      <c r="R65">
        <v>192.84299999999999</v>
      </c>
      <c r="S65">
        <v>183.66</v>
      </c>
      <c r="T65">
        <v>4.7619047620000003</v>
      </c>
      <c r="U65">
        <v>9.1829999999999998</v>
      </c>
      <c r="V65">
        <v>9.3000000000000007</v>
      </c>
    </row>
    <row r="66" spans="1:22" x14ac:dyDescent="0.2">
      <c r="A66" t="s">
        <v>97</v>
      </c>
      <c r="B66" s="1">
        <v>43511</v>
      </c>
      <c r="C66" s="2">
        <v>0.74097222222222225</v>
      </c>
      <c r="D66" s="2" t="str">
        <f>IF(Table1[[#This Row],[Time]]&lt;$D$1,$C$1,IF(Table1[[#This Row],[Time]]&lt;$D$2,$C$2,$C$3))</f>
        <v>Evening</v>
      </c>
      <c r="E66">
        <f>MONTH(Table1[[#This Row],[Date]])</f>
        <v>2</v>
      </c>
      <c r="F66" t="str">
        <f>VLOOKUP(Table1[[#This Row],[Month]],dctMonth[],2,FALSE)</f>
        <v>February</v>
      </c>
      <c r="G66" t="s">
        <v>26</v>
      </c>
      <c r="H66" t="s">
        <v>27</v>
      </c>
      <c r="I66" t="s">
        <v>21</v>
      </c>
      <c r="J66" t="s">
        <v>22</v>
      </c>
      <c r="K66">
        <v>34</v>
      </c>
      <c r="L66" t="str">
        <f>IF(Table1[[#This Row],[Age]]&lt;20,"&lt;20",IF(Table1[[#This Row],[Age]]&lt;=70,"20-70","&gt;70"))</f>
        <v>20-70</v>
      </c>
      <c r="M66" t="s">
        <v>37</v>
      </c>
      <c r="N66" t="s">
        <v>34</v>
      </c>
      <c r="O66">
        <v>24.74</v>
      </c>
      <c r="P66">
        <v>3</v>
      </c>
      <c r="Q66">
        <v>3.7109999999999999</v>
      </c>
      <c r="R66">
        <v>77.930999999999997</v>
      </c>
      <c r="S66">
        <v>74.22</v>
      </c>
      <c r="T66">
        <v>4.7619047620000003</v>
      </c>
      <c r="U66">
        <v>3.7109999999999999</v>
      </c>
      <c r="V66">
        <v>10</v>
      </c>
    </row>
    <row r="67" spans="1:22" x14ac:dyDescent="0.2">
      <c r="A67" t="s">
        <v>98</v>
      </c>
      <c r="B67" s="1">
        <v>43520</v>
      </c>
      <c r="C67" s="2">
        <v>0.4548611111111111</v>
      </c>
      <c r="D67" s="2" t="str">
        <f>IF(Table1[[#This Row],[Time]]&lt;$D$1,$C$1,IF(Table1[[#This Row],[Time]]&lt;$D$2,$C$2,$C$3))</f>
        <v>Morning</v>
      </c>
      <c r="E67">
        <f>MONTH(Table1[[#This Row],[Date]])</f>
        <v>2</v>
      </c>
      <c r="F67" t="str">
        <f>VLOOKUP(Table1[[#This Row],[Month]],dctMonth[],2,FALSE)</f>
        <v>February</v>
      </c>
      <c r="G67" t="s">
        <v>26</v>
      </c>
      <c r="H67" t="s">
        <v>27</v>
      </c>
      <c r="I67" t="s">
        <v>28</v>
      </c>
      <c r="J67" t="s">
        <v>32</v>
      </c>
      <c r="K67">
        <v>49</v>
      </c>
      <c r="L67" t="str">
        <f>IF(Table1[[#This Row],[Age]]&lt;20,"&lt;20",IF(Table1[[#This Row],[Age]]&lt;=70,"20-70","&gt;70"))</f>
        <v>20-70</v>
      </c>
      <c r="M67" t="s">
        <v>33</v>
      </c>
      <c r="N67" t="s">
        <v>24</v>
      </c>
      <c r="O67">
        <v>55.73</v>
      </c>
      <c r="P67">
        <v>6</v>
      </c>
      <c r="Q67">
        <v>16.719000000000001</v>
      </c>
      <c r="R67">
        <v>351.09899999999999</v>
      </c>
      <c r="S67">
        <v>334.38</v>
      </c>
      <c r="T67">
        <v>4.7619047620000003</v>
      </c>
      <c r="U67">
        <v>16.719000000000001</v>
      </c>
      <c r="V67">
        <v>7</v>
      </c>
    </row>
    <row r="68" spans="1:22" x14ac:dyDescent="0.2">
      <c r="A68" t="s">
        <v>99</v>
      </c>
      <c r="B68" s="1">
        <v>43499</v>
      </c>
      <c r="C68" s="2">
        <v>0.56944444444444442</v>
      </c>
      <c r="D68" s="2" t="str">
        <f>IF(Table1[[#This Row],[Time]]&lt;$D$1,$C$1,IF(Table1[[#This Row],[Time]]&lt;$D$2,$C$2,$C$3))</f>
        <v>Afternoon</v>
      </c>
      <c r="E68">
        <f>MONTH(Table1[[#This Row],[Date]])</f>
        <v>2</v>
      </c>
      <c r="F68" t="str">
        <f>VLOOKUP(Table1[[#This Row],[Month]],dctMonth[],2,FALSE)</f>
        <v>February</v>
      </c>
      <c r="G68" t="s">
        <v>43</v>
      </c>
      <c r="H68" t="s">
        <v>44</v>
      </c>
      <c r="I68" t="s">
        <v>21</v>
      </c>
      <c r="J68" t="s">
        <v>22</v>
      </c>
      <c r="K68">
        <v>62</v>
      </c>
      <c r="L68" t="str">
        <f>IF(Table1[[#This Row],[Age]]&lt;20,"&lt;20",IF(Table1[[#This Row],[Age]]&lt;=70,"20-70","&gt;70"))</f>
        <v>20-70</v>
      </c>
      <c r="M68" t="s">
        <v>37</v>
      </c>
      <c r="N68" t="s">
        <v>24</v>
      </c>
      <c r="O68">
        <v>55.07</v>
      </c>
      <c r="P68">
        <v>9</v>
      </c>
      <c r="Q68">
        <v>24.781500000000001</v>
      </c>
      <c r="R68">
        <v>520.41150000000005</v>
      </c>
      <c r="S68">
        <v>495.63</v>
      </c>
      <c r="T68">
        <v>4.7619047620000003</v>
      </c>
      <c r="U68">
        <v>24.781500000000001</v>
      </c>
      <c r="V68">
        <v>10</v>
      </c>
    </row>
    <row r="69" spans="1:22" x14ac:dyDescent="0.2">
      <c r="A69" t="s">
        <v>100</v>
      </c>
      <c r="B69" s="1">
        <v>43530</v>
      </c>
      <c r="C69" s="2">
        <v>0.51875000000000004</v>
      </c>
      <c r="D69" s="2" t="str">
        <f>IF(Table1[[#This Row],[Time]]&lt;$D$1,$C$1,IF(Table1[[#This Row],[Time]]&lt;$D$2,$C$2,$C$3))</f>
        <v>Afternoon</v>
      </c>
      <c r="E69">
        <f>MONTH(Table1[[#This Row],[Date]])</f>
        <v>3</v>
      </c>
      <c r="F69" t="str">
        <f>VLOOKUP(Table1[[#This Row],[Month]],dctMonth[],2,FALSE)</f>
        <v>March</v>
      </c>
      <c r="G69" t="s">
        <v>19</v>
      </c>
      <c r="H69" t="s">
        <v>20</v>
      </c>
      <c r="I69" t="s">
        <v>21</v>
      </c>
      <c r="J69" t="s">
        <v>32</v>
      </c>
      <c r="K69">
        <v>84</v>
      </c>
      <c r="L69" t="str">
        <f>IF(Table1[[#This Row],[Age]]&lt;20,"&lt;20",IF(Table1[[#This Row],[Age]]&lt;=70,"20-70","&gt;70"))</f>
        <v>&gt;70</v>
      </c>
      <c r="M69" t="s">
        <v>37</v>
      </c>
      <c r="N69" t="s">
        <v>34</v>
      </c>
      <c r="O69">
        <v>15.81</v>
      </c>
      <c r="P69">
        <v>10</v>
      </c>
      <c r="Q69">
        <v>7.9050000000000002</v>
      </c>
      <c r="R69">
        <v>166.005</v>
      </c>
      <c r="S69">
        <v>158.1</v>
      </c>
      <c r="T69">
        <v>4.7619047620000003</v>
      </c>
      <c r="U69">
        <v>7.9050000000000002</v>
      </c>
      <c r="V69">
        <v>8.6</v>
      </c>
    </row>
    <row r="70" spans="1:22" x14ac:dyDescent="0.2">
      <c r="A70" t="s">
        <v>101</v>
      </c>
      <c r="B70" s="1">
        <v>43510</v>
      </c>
      <c r="C70" s="2">
        <v>0.60763888888888884</v>
      </c>
      <c r="D70" s="2" t="str">
        <f>IF(Table1[[#This Row],[Time]]&lt;$D$1,$C$1,IF(Table1[[#This Row],[Time]]&lt;$D$2,$C$2,$C$3))</f>
        <v>Afternoon</v>
      </c>
      <c r="E70">
        <f>MONTH(Table1[[#This Row],[Date]])</f>
        <v>2</v>
      </c>
      <c r="F70" t="str">
        <f>VLOOKUP(Table1[[#This Row],[Month]],dctMonth[],2,FALSE)</f>
        <v>February</v>
      </c>
      <c r="G70" t="s">
        <v>43</v>
      </c>
      <c r="H70" t="s">
        <v>44</v>
      </c>
      <c r="I70" t="s">
        <v>21</v>
      </c>
      <c r="J70" t="s">
        <v>32</v>
      </c>
      <c r="K70">
        <v>45</v>
      </c>
      <c r="L70" t="str">
        <f>IF(Table1[[#This Row],[Age]]&lt;20,"&lt;20",IF(Table1[[#This Row],[Age]]&lt;=70,"20-70","&gt;70"))</f>
        <v>20-70</v>
      </c>
      <c r="M70" t="s">
        <v>23</v>
      </c>
      <c r="N70" t="s">
        <v>30</v>
      </c>
      <c r="O70">
        <v>75.739999999999995</v>
      </c>
      <c r="P70">
        <v>4</v>
      </c>
      <c r="Q70">
        <v>15.148</v>
      </c>
      <c r="R70">
        <v>318.108</v>
      </c>
      <c r="S70">
        <v>302.95999999999998</v>
      </c>
      <c r="T70">
        <v>4.7619047620000003</v>
      </c>
      <c r="U70">
        <v>15.148</v>
      </c>
      <c r="V70">
        <v>7.6</v>
      </c>
    </row>
    <row r="71" spans="1:22" x14ac:dyDescent="0.2">
      <c r="A71" t="s">
        <v>102</v>
      </c>
      <c r="B71" s="1">
        <v>43537</v>
      </c>
      <c r="C71" s="2">
        <v>0.69444444444444442</v>
      </c>
      <c r="D71" s="2" t="str">
        <f>IF(Table1[[#This Row],[Time]]&lt;$D$1,$C$1,IF(Table1[[#This Row],[Time]]&lt;$D$2,$C$2,$C$3))</f>
        <v>Afternoon</v>
      </c>
      <c r="E71">
        <f>MONTH(Table1[[#This Row],[Date]])</f>
        <v>3</v>
      </c>
      <c r="F71" t="str">
        <f>VLOOKUP(Table1[[#This Row],[Month]],dctMonth[],2,FALSE)</f>
        <v>March</v>
      </c>
      <c r="G71" t="s">
        <v>19</v>
      </c>
      <c r="H71" t="s">
        <v>20</v>
      </c>
      <c r="I71" t="s">
        <v>21</v>
      </c>
      <c r="J71" t="s">
        <v>32</v>
      </c>
      <c r="K71">
        <v>63</v>
      </c>
      <c r="L71" t="str">
        <f>IF(Table1[[#This Row],[Age]]&lt;20,"&lt;20",IF(Table1[[#This Row],[Age]]&lt;=70,"20-70","&gt;70"))</f>
        <v>20-70</v>
      </c>
      <c r="M71" t="s">
        <v>23</v>
      </c>
      <c r="N71" t="s">
        <v>30</v>
      </c>
      <c r="O71">
        <v>15.87</v>
      </c>
      <c r="P71">
        <v>10</v>
      </c>
      <c r="Q71">
        <v>7.9349999999999996</v>
      </c>
      <c r="R71">
        <v>166.63499999999999</v>
      </c>
      <c r="S71">
        <v>158.69999999999999</v>
      </c>
      <c r="T71">
        <v>4.7619047620000003</v>
      </c>
      <c r="U71">
        <v>7.9349999999999996</v>
      </c>
      <c r="V71">
        <v>5.8</v>
      </c>
    </row>
    <row r="72" spans="1:22" x14ac:dyDescent="0.2">
      <c r="A72" t="s">
        <v>103</v>
      </c>
      <c r="B72" s="1">
        <v>43506</v>
      </c>
      <c r="C72" s="2">
        <v>0.65486111111111112</v>
      </c>
      <c r="D72" s="2" t="str">
        <f>IF(Table1[[#This Row],[Time]]&lt;$D$1,$C$1,IF(Table1[[#This Row],[Time]]&lt;$D$2,$C$2,$C$3))</f>
        <v>Afternoon</v>
      </c>
      <c r="E72">
        <f>MONTH(Table1[[#This Row],[Date]])</f>
        <v>2</v>
      </c>
      <c r="F72" t="str">
        <f>VLOOKUP(Table1[[#This Row],[Month]],dctMonth[],2,FALSE)</f>
        <v>February</v>
      </c>
      <c r="G72" t="s">
        <v>26</v>
      </c>
      <c r="H72" t="s">
        <v>27</v>
      </c>
      <c r="I72" t="s">
        <v>28</v>
      </c>
      <c r="J72" t="s">
        <v>22</v>
      </c>
      <c r="K72">
        <v>67</v>
      </c>
      <c r="L72" t="str">
        <f>IF(Table1[[#This Row],[Age]]&lt;20,"&lt;20",IF(Table1[[#This Row],[Age]]&lt;=70,"20-70","&gt;70"))</f>
        <v>20-70</v>
      </c>
      <c r="M72" t="s">
        <v>23</v>
      </c>
      <c r="N72" t="s">
        <v>24</v>
      </c>
      <c r="O72">
        <v>33.47</v>
      </c>
      <c r="P72">
        <v>2</v>
      </c>
      <c r="Q72">
        <v>3.347</v>
      </c>
      <c r="R72">
        <v>70.287000000000006</v>
      </c>
      <c r="S72">
        <v>66.94</v>
      </c>
      <c r="T72">
        <v>4.7619047620000003</v>
      </c>
      <c r="U72">
        <v>3.347</v>
      </c>
      <c r="V72">
        <v>6.7</v>
      </c>
    </row>
    <row r="73" spans="1:22" x14ac:dyDescent="0.2">
      <c r="A73" t="s">
        <v>104</v>
      </c>
      <c r="B73" s="1">
        <v>43472</v>
      </c>
      <c r="C73" s="2">
        <v>0.62569444444444444</v>
      </c>
      <c r="D73" s="2" t="str">
        <f>IF(Table1[[#This Row],[Time]]&lt;$D$1,$C$1,IF(Table1[[#This Row],[Time]]&lt;$D$2,$C$2,$C$3))</f>
        <v>Afternoon</v>
      </c>
      <c r="E73">
        <f>MONTH(Table1[[#This Row],[Date]])</f>
        <v>1</v>
      </c>
      <c r="F73" t="str">
        <f>VLOOKUP(Table1[[#This Row],[Month]],dctMonth[],2,FALSE)</f>
        <v>January</v>
      </c>
      <c r="G73" t="s">
        <v>43</v>
      </c>
      <c r="H73" t="s">
        <v>44</v>
      </c>
      <c r="I73" t="s">
        <v>21</v>
      </c>
      <c r="J73" t="s">
        <v>22</v>
      </c>
      <c r="K73">
        <v>28</v>
      </c>
      <c r="L73" t="str">
        <f>IF(Table1[[#This Row],[Age]]&lt;20,"&lt;20",IF(Table1[[#This Row],[Age]]&lt;=70,"20-70","&gt;70"))</f>
        <v>20-70</v>
      </c>
      <c r="M73" t="s">
        <v>47</v>
      </c>
      <c r="N73" t="s">
        <v>24</v>
      </c>
      <c r="O73">
        <v>97.61</v>
      </c>
      <c r="P73">
        <v>6</v>
      </c>
      <c r="Q73">
        <v>29.283000000000001</v>
      </c>
      <c r="R73">
        <v>614.94299999999998</v>
      </c>
      <c r="S73">
        <v>585.66</v>
      </c>
      <c r="T73">
        <v>4.7619047620000003</v>
      </c>
      <c r="U73">
        <v>29.283000000000001</v>
      </c>
      <c r="V73">
        <v>9.9</v>
      </c>
    </row>
    <row r="74" spans="1:22" x14ac:dyDescent="0.2">
      <c r="A74" t="s">
        <v>105</v>
      </c>
      <c r="B74" s="1">
        <v>43489</v>
      </c>
      <c r="C74" s="2">
        <v>0.41944444444444445</v>
      </c>
      <c r="D74" s="2" t="str">
        <f>IF(Table1[[#This Row],[Time]]&lt;$D$1,$C$1,IF(Table1[[#This Row],[Time]]&lt;$D$2,$C$2,$C$3))</f>
        <v>Morning</v>
      </c>
      <c r="E74">
        <f>MONTH(Table1[[#This Row],[Date]])</f>
        <v>1</v>
      </c>
      <c r="F74" t="str">
        <f>VLOOKUP(Table1[[#This Row],[Month]],dctMonth[],2,FALSE)</f>
        <v>January</v>
      </c>
      <c r="G74" t="s">
        <v>19</v>
      </c>
      <c r="H74" t="s">
        <v>20</v>
      </c>
      <c r="I74" t="s">
        <v>28</v>
      </c>
      <c r="J74" t="s">
        <v>32</v>
      </c>
      <c r="K74">
        <v>62</v>
      </c>
      <c r="L74" t="str">
        <f>IF(Table1[[#This Row],[Age]]&lt;20,"&lt;20",IF(Table1[[#This Row],[Age]]&lt;=70,"20-70","&gt;70"))</f>
        <v>20-70</v>
      </c>
      <c r="M74" t="s">
        <v>37</v>
      </c>
      <c r="N74" t="s">
        <v>30</v>
      </c>
      <c r="O74">
        <v>78.77</v>
      </c>
      <c r="P74">
        <v>10</v>
      </c>
      <c r="Q74">
        <v>39.384999999999998</v>
      </c>
      <c r="R74">
        <v>827.08500000000004</v>
      </c>
      <c r="S74">
        <v>787.7</v>
      </c>
      <c r="T74">
        <v>4.7619047620000003</v>
      </c>
      <c r="U74">
        <v>39.384999999999998</v>
      </c>
      <c r="V74">
        <v>6.4</v>
      </c>
    </row>
    <row r="75" spans="1:22" x14ac:dyDescent="0.2">
      <c r="A75" t="s">
        <v>106</v>
      </c>
      <c r="B75" s="1">
        <v>43498</v>
      </c>
      <c r="C75" s="2">
        <v>0.78472222222222221</v>
      </c>
      <c r="D75" s="2" t="str">
        <f>IF(Table1[[#This Row],[Time]]&lt;$D$1,$C$1,IF(Table1[[#This Row],[Time]]&lt;$D$2,$C$2,$C$3))</f>
        <v>Evening</v>
      </c>
      <c r="E75">
        <f>MONTH(Table1[[#This Row],[Date]])</f>
        <v>2</v>
      </c>
      <c r="F75" t="str">
        <f>VLOOKUP(Table1[[#This Row],[Month]],dctMonth[],2,FALSE)</f>
        <v>February</v>
      </c>
      <c r="G75" t="s">
        <v>19</v>
      </c>
      <c r="H75" t="s">
        <v>20</v>
      </c>
      <c r="I75" t="s">
        <v>21</v>
      </c>
      <c r="J75" t="s">
        <v>22</v>
      </c>
      <c r="K75">
        <v>71</v>
      </c>
      <c r="L75" t="str">
        <f>IF(Table1[[#This Row],[Age]]&lt;20,"&lt;20",IF(Table1[[#This Row],[Age]]&lt;=70,"20-70","&gt;70"))</f>
        <v>&gt;70</v>
      </c>
      <c r="M75" t="s">
        <v>23</v>
      </c>
      <c r="N75" t="s">
        <v>30</v>
      </c>
      <c r="O75">
        <v>18.329999999999998</v>
      </c>
      <c r="P75">
        <v>1</v>
      </c>
      <c r="Q75">
        <v>0.91649999999999998</v>
      </c>
      <c r="R75">
        <v>19.246500000000001</v>
      </c>
      <c r="S75">
        <v>18.329999999999998</v>
      </c>
      <c r="T75">
        <v>4.7619047620000003</v>
      </c>
      <c r="U75">
        <v>0.91649999999999998</v>
      </c>
      <c r="V75">
        <v>4.3</v>
      </c>
    </row>
    <row r="76" spans="1:22" x14ac:dyDescent="0.2">
      <c r="A76" t="s">
        <v>107</v>
      </c>
      <c r="B76" s="1">
        <v>43471</v>
      </c>
      <c r="C76" s="2">
        <v>0.53194444444444444</v>
      </c>
      <c r="D76" s="2" t="str">
        <f>IF(Table1[[#This Row],[Time]]&lt;$D$1,$C$1,IF(Table1[[#This Row],[Time]]&lt;$D$2,$C$2,$C$3))</f>
        <v>Afternoon</v>
      </c>
      <c r="E76">
        <f>MONTH(Table1[[#This Row],[Date]])</f>
        <v>1</v>
      </c>
      <c r="F76" t="str">
        <f>VLOOKUP(Table1[[#This Row],[Month]],dctMonth[],2,FALSE)</f>
        <v>January</v>
      </c>
      <c r="G76" t="s">
        <v>26</v>
      </c>
      <c r="H76" t="s">
        <v>27</v>
      </c>
      <c r="I76" t="s">
        <v>28</v>
      </c>
      <c r="J76" t="s">
        <v>32</v>
      </c>
      <c r="K76">
        <v>90</v>
      </c>
      <c r="L76" t="str">
        <f>IF(Table1[[#This Row],[Age]]&lt;20,"&lt;20",IF(Table1[[#This Row],[Age]]&lt;=70,"20-70","&gt;70"))</f>
        <v>&gt;70</v>
      </c>
      <c r="M76" t="s">
        <v>45</v>
      </c>
      <c r="N76" t="s">
        <v>34</v>
      </c>
      <c r="O76">
        <v>89.48</v>
      </c>
      <c r="P76">
        <v>10</v>
      </c>
      <c r="Q76">
        <v>44.74</v>
      </c>
      <c r="R76">
        <v>939.54</v>
      </c>
      <c r="S76">
        <v>894.8</v>
      </c>
      <c r="T76">
        <v>4.7619047620000003</v>
      </c>
      <c r="U76">
        <v>44.74</v>
      </c>
      <c r="V76">
        <v>9.6</v>
      </c>
    </row>
    <row r="77" spans="1:22" x14ac:dyDescent="0.2">
      <c r="A77" t="s">
        <v>108</v>
      </c>
      <c r="B77" s="1">
        <v>43507</v>
      </c>
      <c r="C77" s="2">
        <v>0.67986111111111114</v>
      </c>
      <c r="D77" s="2" t="str">
        <f>IF(Table1[[#This Row],[Time]]&lt;$D$1,$C$1,IF(Table1[[#This Row],[Time]]&lt;$D$2,$C$2,$C$3))</f>
        <v>Afternoon</v>
      </c>
      <c r="E77">
        <f>MONTH(Table1[[#This Row],[Date]])</f>
        <v>2</v>
      </c>
      <c r="F77" t="str">
        <f>VLOOKUP(Table1[[#This Row],[Month]],dctMonth[],2,FALSE)</f>
        <v>February</v>
      </c>
      <c r="G77" t="s">
        <v>26</v>
      </c>
      <c r="H77" t="s">
        <v>27</v>
      </c>
      <c r="I77" t="s">
        <v>28</v>
      </c>
      <c r="J77" t="s">
        <v>32</v>
      </c>
      <c r="K77">
        <v>20</v>
      </c>
      <c r="L77" t="str">
        <f>IF(Table1[[#This Row],[Age]]&lt;20,"&lt;20",IF(Table1[[#This Row],[Age]]&lt;=70,"20-70","&gt;70"))</f>
        <v>20-70</v>
      </c>
      <c r="M77" t="s">
        <v>47</v>
      </c>
      <c r="N77" t="s">
        <v>30</v>
      </c>
      <c r="O77">
        <v>62.12</v>
      </c>
      <c r="P77">
        <v>10</v>
      </c>
      <c r="Q77">
        <v>31.06</v>
      </c>
      <c r="R77">
        <v>652.26</v>
      </c>
      <c r="S77">
        <v>621.20000000000005</v>
      </c>
      <c r="T77">
        <v>4.7619047620000003</v>
      </c>
      <c r="U77">
        <v>31.06</v>
      </c>
      <c r="V77">
        <v>5.9</v>
      </c>
    </row>
    <row r="78" spans="1:22" x14ac:dyDescent="0.2">
      <c r="A78" t="s">
        <v>109</v>
      </c>
      <c r="B78" s="1">
        <v>43529</v>
      </c>
      <c r="C78" s="2">
        <v>0.76180555555555551</v>
      </c>
      <c r="D78" s="2" t="str">
        <f>IF(Table1[[#This Row],[Time]]&lt;$D$1,$C$1,IF(Table1[[#This Row],[Time]]&lt;$D$2,$C$2,$C$3))</f>
        <v>Evening</v>
      </c>
      <c r="E78">
        <f>MONTH(Table1[[#This Row],[Date]])</f>
        <v>3</v>
      </c>
      <c r="F78" t="str">
        <f>VLOOKUP(Table1[[#This Row],[Month]],dctMonth[],2,FALSE)</f>
        <v>March</v>
      </c>
      <c r="G78" t="s">
        <v>43</v>
      </c>
      <c r="H78" t="s">
        <v>44</v>
      </c>
      <c r="I78" t="s">
        <v>21</v>
      </c>
      <c r="J78" t="s">
        <v>22</v>
      </c>
      <c r="K78">
        <v>58</v>
      </c>
      <c r="L78" t="str">
        <f>IF(Table1[[#This Row],[Age]]&lt;20,"&lt;20",IF(Table1[[#This Row],[Age]]&lt;=70,"20-70","&gt;70"))</f>
        <v>20-70</v>
      </c>
      <c r="M78" t="s">
        <v>45</v>
      </c>
      <c r="N78" t="s">
        <v>24</v>
      </c>
      <c r="O78">
        <v>48.52</v>
      </c>
      <c r="P78">
        <v>3</v>
      </c>
      <c r="Q78">
        <v>7.2779999999999996</v>
      </c>
      <c r="R78">
        <v>152.83799999999999</v>
      </c>
      <c r="S78">
        <v>145.56</v>
      </c>
      <c r="T78">
        <v>4.7619047620000003</v>
      </c>
      <c r="U78">
        <v>7.2779999999999996</v>
      </c>
      <c r="V78">
        <v>4</v>
      </c>
    </row>
    <row r="79" spans="1:22" x14ac:dyDescent="0.2">
      <c r="A79" t="s">
        <v>110</v>
      </c>
      <c r="B79" s="1">
        <v>43533</v>
      </c>
      <c r="C79" s="2">
        <v>0.76458333333333328</v>
      </c>
      <c r="D79" s="2" t="str">
        <f>IF(Table1[[#This Row],[Time]]&lt;$D$1,$C$1,IF(Table1[[#This Row],[Time]]&lt;$D$2,$C$2,$C$3))</f>
        <v>Evening</v>
      </c>
      <c r="E79">
        <f>MONTH(Table1[[#This Row],[Date]])</f>
        <v>3</v>
      </c>
      <c r="F79" t="str">
        <f>VLOOKUP(Table1[[#This Row],[Month]],dctMonth[],2,FALSE)</f>
        <v>March</v>
      </c>
      <c r="G79" t="s">
        <v>26</v>
      </c>
      <c r="H79" t="s">
        <v>27</v>
      </c>
      <c r="I79" t="s">
        <v>28</v>
      </c>
      <c r="J79" t="s">
        <v>22</v>
      </c>
      <c r="K79">
        <v>20</v>
      </c>
      <c r="L79" t="str">
        <f>IF(Table1[[#This Row],[Age]]&lt;20,"&lt;20",IF(Table1[[#This Row],[Age]]&lt;=70,"20-70","&gt;70"))</f>
        <v>20-70</v>
      </c>
      <c r="M79" t="s">
        <v>29</v>
      </c>
      <c r="N79" t="s">
        <v>30</v>
      </c>
      <c r="O79">
        <v>75.91</v>
      </c>
      <c r="P79">
        <v>6</v>
      </c>
      <c r="Q79">
        <v>22.773</v>
      </c>
      <c r="R79">
        <v>478.233</v>
      </c>
      <c r="S79">
        <v>455.46</v>
      </c>
      <c r="T79">
        <v>4.7619047620000003</v>
      </c>
      <c r="U79">
        <v>22.773</v>
      </c>
      <c r="V79">
        <v>8.6999999999999993</v>
      </c>
    </row>
    <row r="80" spans="1:22" x14ac:dyDescent="0.2">
      <c r="A80" t="s">
        <v>111</v>
      </c>
      <c r="B80" s="1">
        <v>43487</v>
      </c>
      <c r="C80" s="2">
        <v>0.4548611111111111</v>
      </c>
      <c r="D80" s="2" t="str">
        <f>IF(Table1[[#This Row],[Time]]&lt;$D$1,$C$1,IF(Table1[[#This Row],[Time]]&lt;$D$2,$C$2,$C$3))</f>
        <v>Morning</v>
      </c>
      <c r="E80">
        <f>MONTH(Table1[[#This Row],[Date]])</f>
        <v>1</v>
      </c>
      <c r="F80" t="str">
        <f>VLOOKUP(Table1[[#This Row],[Month]],dctMonth[],2,FALSE)</f>
        <v>January</v>
      </c>
      <c r="G80" t="s">
        <v>19</v>
      </c>
      <c r="H80" t="s">
        <v>20</v>
      </c>
      <c r="I80" t="s">
        <v>28</v>
      </c>
      <c r="J80" t="s">
        <v>32</v>
      </c>
      <c r="K80">
        <v>31</v>
      </c>
      <c r="L80" t="str">
        <f>IF(Table1[[#This Row],[Age]]&lt;20,"&lt;20",IF(Table1[[#This Row],[Age]]&lt;=70,"20-70","&gt;70"))</f>
        <v>20-70</v>
      </c>
      <c r="M80" t="s">
        <v>33</v>
      </c>
      <c r="N80" t="s">
        <v>24</v>
      </c>
      <c r="O80">
        <v>74.67</v>
      </c>
      <c r="P80">
        <v>9</v>
      </c>
      <c r="Q80">
        <v>33.601500000000001</v>
      </c>
      <c r="R80">
        <v>705.63149999999996</v>
      </c>
      <c r="S80">
        <v>672.03</v>
      </c>
      <c r="T80">
        <v>4.7619047620000003</v>
      </c>
      <c r="U80">
        <v>33.601500000000001</v>
      </c>
      <c r="V80">
        <v>9.4</v>
      </c>
    </row>
    <row r="81" spans="1:22" x14ac:dyDescent="0.2">
      <c r="A81" t="s">
        <v>112</v>
      </c>
      <c r="B81" s="1">
        <v>43478</v>
      </c>
      <c r="C81" s="2">
        <v>0.71111111111111114</v>
      </c>
      <c r="D81" s="2" t="str">
        <f>IF(Table1[[#This Row],[Time]]&lt;$D$1,$C$1,IF(Table1[[#This Row],[Time]]&lt;$D$2,$C$2,$C$3))</f>
        <v>Evening</v>
      </c>
      <c r="E81">
        <f>MONTH(Table1[[#This Row],[Date]])</f>
        <v>1</v>
      </c>
      <c r="F81" t="str">
        <f>VLOOKUP(Table1[[#This Row],[Month]],dctMonth[],2,FALSE)</f>
        <v>January</v>
      </c>
      <c r="G81" t="s">
        <v>26</v>
      </c>
      <c r="H81" t="s">
        <v>27</v>
      </c>
      <c r="I81" t="s">
        <v>28</v>
      </c>
      <c r="J81" t="s">
        <v>22</v>
      </c>
      <c r="K81">
        <v>90</v>
      </c>
      <c r="L81" t="str">
        <f>IF(Table1[[#This Row],[Age]]&lt;20,"&lt;20",IF(Table1[[#This Row],[Age]]&lt;=70,"20-70","&gt;70"))</f>
        <v>&gt;70</v>
      </c>
      <c r="M81" t="s">
        <v>29</v>
      </c>
      <c r="N81" t="s">
        <v>34</v>
      </c>
      <c r="O81">
        <v>41.65</v>
      </c>
      <c r="P81">
        <v>10</v>
      </c>
      <c r="Q81">
        <v>20.824999999999999</v>
      </c>
      <c r="R81">
        <v>437.32499999999999</v>
      </c>
      <c r="S81">
        <v>416.5</v>
      </c>
      <c r="T81">
        <v>4.7619047620000003</v>
      </c>
      <c r="U81">
        <v>20.824999999999999</v>
      </c>
      <c r="V81">
        <v>5.4</v>
      </c>
    </row>
    <row r="82" spans="1:22" x14ac:dyDescent="0.2">
      <c r="A82" t="s">
        <v>113</v>
      </c>
      <c r="B82" s="1">
        <v>43474</v>
      </c>
      <c r="C82" s="2">
        <v>0.59722222222222221</v>
      </c>
      <c r="D82" s="2" t="str">
        <f>IF(Table1[[#This Row],[Time]]&lt;$D$1,$C$1,IF(Table1[[#This Row],[Time]]&lt;$D$2,$C$2,$C$3))</f>
        <v>Afternoon</v>
      </c>
      <c r="E82">
        <f>MONTH(Table1[[#This Row],[Date]])</f>
        <v>1</v>
      </c>
      <c r="F82" t="str">
        <f>VLOOKUP(Table1[[#This Row],[Month]],dctMonth[],2,FALSE)</f>
        <v>January</v>
      </c>
      <c r="G82" t="s">
        <v>26</v>
      </c>
      <c r="H82" t="s">
        <v>27</v>
      </c>
      <c r="I82" t="s">
        <v>21</v>
      </c>
      <c r="J82" t="s">
        <v>32</v>
      </c>
      <c r="K82">
        <v>66</v>
      </c>
      <c r="L82" t="str">
        <f>IF(Table1[[#This Row],[Age]]&lt;20,"&lt;20",IF(Table1[[#This Row],[Age]]&lt;=70,"20-70","&gt;70"))</f>
        <v>20-70</v>
      </c>
      <c r="M82" t="s">
        <v>47</v>
      </c>
      <c r="N82" t="s">
        <v>34</v>
      </c>
      <c r="O82">
        <v>49.04</v>
      </c>
      <c r="P82">
        <v>9</v>
      </c>
      <c r="Q82">
        <v>22.068000000000001</v>
      </c>
      <c r="R82">
        <v>463.428</v>
      </c>
      <c r="S82">
        <v>441.36</v>
      </c>
      <c r="T82">
        <v>4.7619047620000003</v>
      </c>
      <c r="U82">
        <v>22.068000000000001</v>
      </c>
      <c r="V82">
        <v>8.6</v>
      </c>
    </row>
    <row r="83" spans="1:22" x14ac:dyDescent="0.2">
      <c r="A83" t="s">
        <v>114</v>
      </c>
      <c r="B83" s="1">
        <v>43477</v>
      </c>
      <c r="C83" s="2">
        <v>0.65833333333333333</v>
      </c>
      <c r="D83" s="2" t="str">
        <f>IF(Table1[[#This Row],[Time]]&lt;$D$1,$C$1,IF(Table1[[#This Row],[Time]]&lt;$D$2,$C$2,$C$3))</f>
        <v>Afternoon</v>
      </c>
      <c r="E83">
        <f>MONTH(Table1[[#This Row],[Date]])</f>
        <v>1</v>
      </c>
      <c r="F83" t="str">
        <f>VLOOKUP(Table1[[#This Row],[Month]],dctMonth[],2,FALSE)</f>
        <v>January</v>
      </c>
      <c r="G83" t="s">
        <v>19</v>
      </c>
      <c r="H83" t="s">
        <v>20</v>
      </c>
      <c r="I83" t="s">
        <v>21</v>
      </c>
      <c r="J83" t="s">
        <v>22</v>
      </c>
      <c r="K83">
        <v>29</v>
      </c>
      <c r="L83" t="str">
        <f>IF(Table1[[#This Row],[Age]]&lt;20,"&lt;20",IF(Table1[[#This Row],[Age]]&lt;=70,"20-70","&gt;70"))</f>
        <v>20-70</v>
      </c>
      <c r="M83" t="s">
        <v>47</v>
      </c>
      <c r="N83" t="s">
        <v>34</v>
      </c>
      <c r="O83">
        <v>20.010000000000002</v>
      </c>
      <c r="P83">
        <v>9</v>
      </c>
      <c r="Q83">
        <v>9.0045000000000002</v>
      </c>
      <c r="R83">
        <v>189.09450000000001</v>
      </c>
      <c r="S83">
        <v>180.09</v>
      </c>
      <c r="T83">
        <v>4.7619047620000003</v>
      </c>
      <c r="U83">
        <v>9.0045000000000002</v>
      </c>
      <c r="V83">
        <v>5.7</v>
      </c>
    </row>
    <row r="84" spans="1:22" x14ac:dyDescent="0.2">
      <c r="A84" t="s">
        <v>115</v>
      </c>
      <c r="B84" s="1">
        <v>43529</v>
      </c>
      <c r="C84" s="2">
        <v>0.68333333333333335</v>
      </c>
      <c r="D84" s="2" t="str">
        <f>IF(Table1[[#This Row],[Time]]&lt;$D$1,$C$1,IF(Table1[[#This Row],[Time]]&lt;$D$2,$C$2,$C$3))</f>
        <v>Afternoon</v>
      </c>
      <c r="E84">
        <f>MONTH(Table1[[#This Row],[Date]])</f>
        <v>3</v>
      </c>
      <c r="F84" t="str">
        <f>VLOOKUP(Table1[[#This Row],[Month]],dctMonth[],2,FALSE)</f>
        <v>March</v>
      </c>
      <c r="G84" t="s">
        <v>26</v>
      </c>
      <c r="H84" t="s">
        <v>27</v>
      </c>
      <c r="I84" t="s">
        <v>21</v>
      </c>
      <c r="J84" t="s">
        <v>22</v>
      </c>
      <c r="K84">
        <v>43</v>
      </c>
      <c r="L84" t="str">
        <f>IF(Table1[[#This Row],[Age]]&lt;20,"&lt;20",IF(Table1[[#This Row],[Age]]&lt;=70,"20-70","&gt;70"))</f>
        <v>20-70</v>
      </c>
      <c r="M84" t="s">
        <v>45</v>
      </c>
      <c r="N84" t="s">
        <v>24</v>
      </c>
      <c r="O84">
        <v>78.31</v>
      </c>
      <c r="P84">
        <v>10</v>
      </c>
      <c r="Q84">
        <v>39.155000000000001</v>
      </c>
      <c r="R84">
        <v>822.255</v>
      </c>
      <c r="S84">
        <v>783.1</v>
      </c>
      <c r="T84">
        <v>4.7619047620000003</v>
      </c>
      <c r="U84">
        <v>39.155000000000001</v>
      </c>
      <c r="V84">
        <v>6.6</v>
      </c>
    </row>
    <row r="85" spans="1:22" x14ac:dyDescent="0.2">
      <c r="A85" t="s">
        <v>116</v>
      </c>
      <c r="B85" s="1">
        <v>43487</v>
      </c>
      <c r="C85" s="2">
        <v>0.78888888888888886</v>
      </c>
      <c r="D85" s="2" t="str">
        <f>IF(Table1[[#This Row],[Time]]&lt;$D$1,$C$1,IF(Table1[[#This Row],[Time]]&lt;$D$2,$C$2,$C$3))</f>
        <v>Evening</v>
      </c>
      <c r="E85">
        <f>MONTH(Table1[[#This Row],[Date]])</f>
        <v>1</v>
      </c>
      <c r="F85" t="str">
        <f>VLOOKUP(Table1[[#This Row],[Month]],dctMonth[],2,FALSE)</f>
        <v>January</v>
      </c>
      <c r="G85" t="s">
        <v>26</v>
      </c>
      <c r="H85" t="s">
        <v>27</v>
      </c>
      <c r="I85" t="s">
        <v>28</v>
      </c>
      <c r="J85" t="s">
        <v>22</v>
      </c>
      <c r="K85">
        <v>43</v>
      </c>
      <c r="L85" t="str">
        <f>IF(Table1[[#This Row],[Age]]&lt;20,"&lt;20",IF(Table1[[#This Row],[Age]]&lt;=70,"20-70","&gt;70"))</f>
        <v>20-70</v>
      </c>
      <c r="M85" t="s">
        <v>23</v>
      </c>
      <c r="N85" t="s">
        <v>30</v>
      </c>
      <c r="O85">
        <v>20.38</v>
      </c>
      <c r="P85">
        <v>5</v>
      </c>
      <c r="Q85">
        <v>5.0949999999999998</v>
      </c>
      <c r="R85">
        <v>106.995</v>
      </c>
      <c r="S85">
        <v>101.9</v>
      </c>
      <c r="T85">
        <v>4.7619047620000003</v>
      </c>
      <c r="U85">
        <v>5.0949999999999998</v>
      </c>
      <c r="V85">
        <v>6</v>
      </c>
    </row>
    <row r="86" spans="1:22" x14ac:dyDescent="0.2">
      <c r="A86" t="s">
        <v>117</v>
      </c>
      <c r="B86" s="1">
        <v>43486</v>
      </c>
      <c r="C86" s="2">
        <v>0.61250000000000004</v>
      </c>
      <c r="D86" s="2" t="str">
        <f>IF(Table1[[#This Row],[Time]]&lt;$D$1,$C$1,IF(Table1[[#This Row],[Time]]&lt;$D$2,$C$2,$C$3))</f>
        <v>Afternoon</v>
      </c>
      <c r="E86">
        <f>MONTH(Table1[[#This Row],[Date]])</f>
        <v>1</v>
      </c>
      <c r="F86" t="str">
        <f>VLOOKUP(Table1[[#This Row],[Month]],dctMonth[],2,FALSE)</f>
        <v>January</v>
      </c>
      <c r="G86" t="s">
        <v>26</v>
      </c>
      <c r="H86" t="s">
        <v>27</v>
      </c>
      <c r="I86" t="s">
        <v>28</v>
      </c>
      <c r="J86" t="s">
        <v>22</v>
      </c>
      <c r="K86">
        <v>43</v>
      </c>
      <c r="L86" t="str">
        <f>IF(Table1[[#This Row],[Age]]&lt;20,"&lt;20",IF(Table1[[#This Row],[Age]]&lt;=70,"20-70","&gt;70"))</f>
        <v>20-70</v>
      </c>
      <c r="M86" t="s">
        <v>23</v>
      </c>
      <c r="N86" t="s">
        <v>34</v>
      </c>
      <c r="O86">
        <v>99.19</v>
      </c>
      <c r="P86">
        <v>6</v>
      </c>
      <c r="Q86">
        <v>29.757000000000001</v>
      </c>
      <c r="R86">
        <v>624.89700000000005</v>
      </c>
      <c r="S86">
        <v>595.14</v>
      </c>
      <c r="T86">
        <v>4.7619047620000003</v>
      </c>
      <c r="U86">
        <v>29.757000000000001</v>
      </c>
      <c r="V86">
        <v>5.5</v>
      </c>
    </row>
    <row r="87" spans="1:22" x14ac:dyDescent="0.2">
      <c r="A87" t="s">
        <v>118</v>
      </c>
      <c r="B87" s="1">
        <v>43491</v>
      </c>
      <c r="C87" s="2">
        <v>0.8305555555555556</v>
      </c>
      <c r="D87" s="2" t="str">
        <f>IF(Table1[[#This Row],[Time]]&lt;$D$1,$C$1,IF(Table1[[#This Row],[Time]]&lt;$D$2,$C$2,$C$3))</f>
        <v>Evening</v>
      </c>
      <c r="E87">
        <f>MONTH(Table1[[#This Row],[Date]])</f>
        <v>1</v>
      </c>
      <c r="F87" t="str">
        <f>VLOOKUP(Table1[[#This Row],[Month]],dctMonth[],2,FALSE)</f>
        <v>January</v>
      </c>
      <c r="G87" t="s">
        <v>43</v>
      </c>
      <c r="H87" t="s">
        <v>44</v>
      </c>
      <c r="I87" t="s">
        <v>28</v>
      </c>
      <c r="J87" t="s">
        <v>22</v>
      </c>
      <c r="K87">
        <v>66</v>
      </c>
      <c r="L87" t="str">
        <f>IF(Table1[[#This Row],[Age]]&lt;20,"&lt;20",IF(Table1[[#This Row],[Age]]&lt;=70,"20-70","&gt;70"))</f>
        <v>20-70</v>
      </c>
      <c r="M87" t="s">
        <v>45</v>
      </c>
      <c r="N87" t="s">
        <v>24</v>
      </c>
      <c r="O87">
        <v>96.68</v>
      </c>
      <c r="P87">
        <v>3</v>
      </c>
      <c r="Q87">
        <v>14.502000000000001</v>
      </c>
      <c r="R87">
        <v>304.54199999999997</v>
      </c>
      <c r="S87">
        <v>290.04000000000002</v>
      </c>
      <c r="T87">
        <v>4.7619047620000003</v>
      </c>
      <c r="U87">
        <v>14.502000000000001</v>
      </c>
      <c r="V87">
        <v>6.4</v>
      </c>
    </row>
    <row r="88" spans="1:22" x14ac:dyDescent="0.2">
      <c r="A88" t="s">
        <v>119</v>
      </c>
      <c r="B88" s="1">
        <v>43488</v>
      </c>
      <c r="C88" s="2">
        <v>0.77569444444444446</v>
      </c>
      <c r="D88" s="2" t="str">
        <f>IF(Table1[[#This Row],[Time]]&lt;$D$1,$C$1,IF(Table1[[#This Row],[Time]]&lt;$D$2,$C$2,$C$3))</f>
        <v>Evening</v>
      </c>
      <c r="E88">
        <f>MONTH(Table1[[#This Row],[Date]])</f>
        <v>1</v>
      </c>
      <c r="F88" t="str">
        <f>VLOOKUP(Table1[[#This Row],[Month]],dctMonth[],2,FALSE)</f>
        <v>January</v>
      </c>
      <c r="G88" t="s">
        <v>26</v>
      </c>
      <c r="H88" t="s">
        <v>27</v>
      </c>
      <c r="I88" t="s">
        <v>28</v>
      </c>
      <c r="J88" t="s">
        <v>32</v>
      </c>
      <c r="K88">
        <v>79</v>
      </c>
      <c r="L88" t="str">
        <f>IF(Table1[[#This Row],[Age]]&lt;20,"&lt;20",IF(Table1[[#This Row],[Age]]&lt;=70,"20-70","&gt;70"))</f>
        <v>&gt;70</v>
      </c>
      <c r="M88" t="s">
        <v>45</v>
      </c>
      <c r="N88" t="s">
        <v>24</v>
      </c>
      <c r="O88">
        <v>19.25</v>
      </c>
      <c r="P88">
        <v>8</v>
      </c>
      <c r="Q88">
        <v>7.7</v>
      </c>
      <c r="R88">
        <v>161.69999999999999</v>
      </c>
      <c r="S88">
        <v>154</v>
      </c>
      <c r="T88">
        <v>4.7619047620000003</v>
      </c>
      <c r="U88">
        <v>7.7</v>
      </c>
      <c r="V88">
        <v>6.6</v>
      </c>
    </row>
    <row r="89" spans="1:22" x14ac:dyDescent="0.2">
      <c r="A89" t="s">
        <v>120</v>
      </c>
      <c r="B89" s="1">
        <v>43519</v>
      </c>
      <c r="C89" s="2">
        <v>0.78125</v>
      </c>
      <c r="D89" s="2" t="str">
        <f>IF(Table1[[#This Row],[Time]]&lt;$D$1,$C$1,IF(Table1[[#This Row],[Time]]&lt;$D$2,$C$2,$C$3))</f>
        <v>Evening</v>
      </c>
      <c r="E89">
        <f>MONTH(Table1[[#This Row],[Date]])</f>
        <v>2</v>
      </c>
      <c r="F89" t="str">
        <f>VLOOKUP(Table1[[#This Row],[Month]],dctMonth[],2,FALSE)</f>
        <v>February</v>
      </c>
      <c r="G89" t="s">
        <v>26</v>
      </c>
      <c r="H89" t="s">
        <v>27</v>
      </c>
      <c r="I89" t="s">
        <v>21</v>
      </c>
      <c r="J89" t="s">
        <v>22</v>
      </c>
      <c r="K89">
        <v>35</v>
      </c>
      <c r="L89" t="str">
        <f>IF(Table1[[#This Row],[Age]]&lt;20,"&lt;20",IF(Table1[[#This Row],[Age]]&lt;=70,"20-70","&gt;70"))</f>
        <v>20-70</v>
      </c>
      <c r="M89" t="s">
        <v>45</v>
      </c>
      <c r="N89" t="s">
        <v>34</v>
      </c>
      <c r="O89">
        <v>80.36</v>
      </c>
      <c r="P89">
        <v>4</v>
      </c>
      <c r="Q89">
        <v>16.071999999999999</v>
      </c>
      <c r="R89">
        <v>337.512</v>
      </c>
      <c r="S89">
        <v>321.44</v>
      </c>
      <c r="T89">
        <v>4.7619047620000003</v>
      </c>
      <c r="U89">
        <v>16.071999999999999</v>
      </c>
      <c r="V89">
        <v>8.3000000000000007</v>
      </c>
    </row>
    <row r="90" spans="1:22" x14ac:dyDescent="0.2">
      <c r="A90" t="s">
        <v>121</v>
      </c>
      <c r="B90" s="1">
        <v>43533</v>
      </c>
      <c r="C90" s="2">
        <v>0.4284722222222222</v>
      </c>
      <c r="D90" s="2" t="str">
        <f>IF(Table1[[#This Row],[Time]]&lt;$D$1,$C$1,IF(Table1[[#This Row],[Time]]&lt;$D$2,$C$2,$C$3))</f>
        <v>Morning</v>
      </c>
      <c r="E90">
        <f>MONTH(Table1[[#This Row],[Date]])</f>
        <v>3</v>
      </c>
      <c r="F90" t="str">
        <f>VLOOKUP(Table1[[#This Row],[Month]],dctMonth[],2,FALSE)</f>
        <v>March</v>
      </c>
      <c r="G90" t="s">
        <v>26</v>
      </c>
      <c r="H90" t="s">
        <v>27</v>
      </c>
      <c r="I90" t="s">
        <v>21</v>
      </c>
      <c r="J90" t="s">
        <v>32</v>
      </c>
      <c r="K90">
        <v>36</v>
      </c>
      <c r="L90" t="str">
        <f>IF(Table1[[#This Row],[Age]]&lt;20,"&lt;20",IF(Table1[[#This Row],[Age]]&lt;=70,"20-70","&gt;70"))</f>
        <v>20-70</v>
      </c>
      <c r="M90" t="s">
        <v>37</v>
      </c>
      <c r="N90" t="s">
        <v>30</v>
      </c>
      <c r="O90">
        <v>48.91</v>
      </c>
      <c r="P90">
        <v>5</v>
      </c>
      <c r="Q90">
        <v>12.227499999999999</v>
      </c>
      <c r="R90">
        <v>256.77749999999997</v>
      </c>
      <c r="S90">
        <v>244.55</v>
      </c>
      <c r="T90">
        <v>4.7619047620000003</v>
      </c>
      <c r="U90">
        <v>12.227499999999999</v>
      </c>
      <c r="V90">
        <v>6.6</v>
      </c>
    </row>
    <row r="91" spans="1:22" x14ac:dyDescent="0.2">
      <c r="A91" t="s">
        <v>122</v>
      </c>
      <c r="B91" s="1">
        <v>43529</v>
      </c>
      <c r="C91" s="2">
        <v>0.60486111111111107</v>
      </c>
      <c r="D91" s="2" t="str">
        <f>IF(Table1[[#This Row],[Time]]&lt;$D$1,$C$1,IF(Table1[[#This Row],[Time]]&lt;$D$2,$C$2,$C$3))</f>
        <v>Afternoon</v>
      </c>
      <c r="E91">
        <f>MONTH(Table1[[#This Row],[Date]])</f>
        <v>3</v>
      </c>
      <c r="F91" t="str">
        <f>VLOOKUP(Table1[[#This Row],[Month]],dctMonth[],2,FALSE)</f>
        <v>March</v>
      </c>
      <c r="G91" t="s">
        <v>26</v>
      </c>
      <c r="H91" t="s">
        <v>27</v>
      </c>
      <c r="I91" t="s">
        <v>28</v>
      </c>
      <c r="J91" t="s">
        <v>22</v>
      </c>
      <c r="K91">
        <v>39</v>
      </c>
      <c r="L91" t="str">
        <f>IF(Table1[[#This Row],[Age]]&lt;20,"&lt;20",IF(Table1[[#This Row],[Age]]&lt;=70,"20-70","&gt;70"))</f>
        <v>20-70</v>
      </c>
      <c r="M91" t="s">
        <v>37</v>
      </c>
      <c r="N91" t="s">
        <v>24</v>
      </c>
      <c r="O91">
        <v>83.06</v>
      </c>
      <c r="P91">
        <v>7</v>
      </c>
      <c r="Q91">
        <v>29.071000000000002</v>
      </c>
      <c r="R91">
        <v>610.49099999999999</v>
      </c>
      <c r="S91">
        <v>581.41999999999996</v>
      </c>
      <c r="T91">
        <v>4.7619047620000003</v>
      </c>
      <c r="U91">
        <v>29.071000000000002</v>
      </c>
      <c r="V91">
        <v>4</v>
      </c>
    </row>
    <row r="92" spans="1:22" x14ac:dyDescent="0.2">
      <c r="A92" t="s">
        <v>123</v>
      </c>
      <c r="B92" s="1">
        <v>43549</v>
      </c>
      <c r="C92" s="2">
        <v>0.43263888888888891</v>
      </c>
      <c r="D92" s="2" t="str">
        <f>IF(Table1[[#This Row],[Time]]&lt;$D$1,$C$1,IF(Table1[[#This Row],[Time]]&lt;$D$2,$C$2,$C$3))</f>
        <v>Morning</v>
      </c>
      <c r="E92">
        <f>MONTH(Table1[[#This Row],[Date]])</f>
        <v>3</v>
      </c>
      <c r="F92" t="str">
        <f>VLOOKUP(Table1[[#This Row],[Month]],dctMonth[],2,FALSE)</f>
        <v>March</v>
      </c>
      <c r="G92" t="s">
        <v>26</v>
      </c>
      <c r="H92" t="s">
        <v>27</v>
      </c>
      <c r="I92" t="s">
        <v>28</v>
      </c>
      <c r="J92" t="s">
        <v>32</v>
      </c>
      <c r="K92">
        <v>53</v>
      </c>
      <c r="L92" t="str">
        <f>IF(Table1[[#This Row],[Age]]&lt;20,"&lt;20",IF(Table1[[#This Row],[Age]]&lt;=70,"20-70","&gt;70"))</f>
        <v>20-70</v>
      </c>
      <c r="M92" t="s">
        <v>47</v>
      </c>
      <c r="N92" t="s">
        <v>30</v>
      </c>
      <c r="O92">
        <v>76.52</v>
      </c>
      <c r="P92">
        <v>5</v>
      </c>
      <c r="Q92">
        <v>19.13</v>
      </c>
      <c r="R92">
        <v>401.73</v>
      </c>
      <c r="S92">
        <v>382.6</v>
      </c>
      <c r="T92">
        <v>4.7619047620000003</v>
      </c>
      <c r="U92">
        <v>19.13</v>
      </c>
      <c r="V92">
        <v>9.9</v>
      </c>
    </row>
    <row r="93" spans="1:22" x14ac:dyDescent="0.2">
      <c r="A93" t="s">
        <v>124</v>
      </c>
      <c r="B93" s="1">
        <v>43551</v>
      </c>
      <c r="C93" s="2">
        <v>0.85763888888888884</v>
      </c>
      <c r="D93" s="2" t="str">
        <f>IF(Table1[[#This Row],[Time]]&lt;$D$1,$C$1,IF(Table1[[#This Row],[Time]]&lt;$D$2,$C$2,$C$3))</f>
        <v>Evening</v>
      </c>
      <c r="E93">
        <f>MONTH(Table1[[#This Row],[Date]])</f>
        <v>3</v>
      </c>
      <c r="F93" t="str">
        <f>VLOOKUP(Table1[[#This Row],[Month]],dctMonth[],2,FALSE)</f>
        <v>March</v>
      </c>
      <c r="G93" t="s">
        <v>19</v>
      </c>
      <c r="H93" t="s">
        <v>20</v>
      </c>
      <c r="I93" t="s">
        <v>21</v>
      </c>
      <c r="J93" t="s">
        <v>32</v>
      </c>
      <c r="K93">
        <v>40</v>
      </c>
      <c r="L93" t="str">
        <f>IF(Table1[[#This Row],[Age]]&lt;20,"&lt;20",IF(Table1[[#This Row],[Age]]&lt;=70,"20-70","&gt;70"))</f>
        <v>20-70</v>
      </c>
      <c r="M93" t="s">
        <v>45</v>
      </c>
      <c r="N93" t="s">
        <v>34</v>
      </c>
      <c r="O93">
        <v>49.38</v>
      </c>
      <c r="P93">
        <v>7</v>
      </c>
      <c r="Q93">
        <v>17.283000000000001</v>
      </c>
      <c r="R93">
        <v>362.94299999999998</v>
      </c>
      <c r="S93">
        <v>345.66</v>
      </c>
      <c r="T93">
        <v>4.7619047620000003</v>
      </c>
      <c r="U93">
        <v>17.283000000000001</v>
      </c>
      <c r="V93">
        <v>7.3</v>
      </c>
    </row>
    <row r="94" spans="1:22" x14ac:dyDescent="0.2">
      <c r="A94" t="s">
        <v>125</v>
      </c>
      <c r="B94" s="1">
        <v>43467</v>
      </c>
      <c r="C94" s="2">
        <v>0.70625000000000004</v>
      </c>
      <c r="D94" s="2" t="str">
        <f>IF(Table1[[#This Row],[Time]]&lt;$D$1,$C$1,IF(Table1[[#This Row],[Time]]&lt;$D$2,$C$2,$C$3))</f>
        <v>Afternoon</v>
      </c>
      <c r="E94">
        <f>MONTH(Table1[[#This Row],[Date]])</f>
        <v>1</v>
      </c>
      <c r="F94" t="str">
        <f>VLOOKUP(Table1[[#This Row],[Month]],dctMonth[],2,FALSE)</f>
        <v>January</v>
      </c>
      <c r="G94" t="s">
        <v>19</v>
      </c>
      <c r="H94" t="s">
        <v>20</v>
      </c>
      <c r="I94" t="s">
        <v>28</v>
      </c>
      <c r="J94" t="s">
        <v>32</v>
      </c>
      <c r="K94">
        <v>60</v>
      </c>
      <c r="L94" t="str">
        <f>IF(Table1[[#This Row],[Age]]&lt;20,"&lt;20",IF(Table1[[#This Row],[Age]]&lt;=70,"20-70","&gt;70"))</f>
        <v>20-70</v>
      </c>
      <c r="M94" t="s">
        <v>37</v>
      </c>
      <c r="N94" t="s">
        <v>30</v>
      </c>
      <c r="O94">
        <v>42.47</v>
      </c>
      <c r="P94">
        <v>1</v>
      </c>
      <c r="Q94">
        <v>2.1234999999999999</v>
      </c>
      <c r="R94">
        <v>44.593499999999999</v>
      </c>
      <c r="S94">
        <v>42.47</v>
      </c>
      <c r="T94">
        <v>4.7619047620000003</v>
      </c>
      <c r="U94">
        <v>2.1234999999999999</v>
      </c>
      <c r="V94">
        <v>5.7</v>
      </c>
    </row>
    <row r="95" spans="1:22" x14ac:dyDescent="0.2">
      <c r="A95" t="s">
        <v>126</v>
      </c>
      <c r="B95" s="1">
        <v>43523</v>
      </c>
      <c r="C95" s="2">
        <v>0.74652777777777779</v>
      </c>
      <c r="D95" s="2" t="str">
        <f>IF(Table1[[#This Row],[Time]]&lt;$D$1,$C$1,IF(Table1[[#This Row],[Time]]&lt;$D$2,$C$2,$C$3))</f>
        <v>Evening</v>
      </c>
      <c r="E95">
        <f>MONTH(Table1[[#This Row],[Date]])</f>
        <v>2</v>
      </c>
      <c r="F95" t="str">
        <f>VLOOKUP(Table1[[#This Row],[Month]],dctMonth[],2,FALSE)</f>
        <v>February</v>
      </c>
      <c r="G95" t="s">
        <v>43</v>
      </c>
      <c r="H95" t="s">
        <v>44</v>
      </c>
      <c r="I95" t="s">
        <v>28</v>
      </c>
      <c r="J95" t="s">
        <v>22</v>
      </c>
      <c r="K95">
        <v>40</v>
      </c>
      <c r="L95" t="str">
        <f>IF(Table1[[#This Row],[Age]]&lt;20,"&lt;20",IF(Table1[[#This Row],[Age]]&lt;=70,"20-70","&gt;70"))</f>
        <v>20-70</v>
      </c>
      <c r="M95" t="s">
        <v>23</v>
      </c>
      <c r="N95" t="s">
        <v>30</v>
      </c>
      <c r="O95">
        <v>76.989999999999995</v>
      </c>
      <c r="P95">
        <v>6</v>
      </c>
      <c r="Q95">
        <v>23.097000000000001</v>
      </c>
      <c r="R95">
        <v>485.03699999999998</v>
      </c>
      <c r="S95">
        <v>461.94</v>
      </c>
      <c r="T95">
        <v>4.7619047620000003</v>
      </c>
      <c r="U95">
        <v>23.097000000000001</v>
      </c>
      <c r="V95">
        <v>6.1</v>
      </c>
    </row>
    <row r="96" spans="1:22" x14ac:dyDescent="0.2">
      <c r="A96" t="s">
        <v>127</v>
      </c>
      <c r="B96" s="1">
        <v>43488</v>
      </c>
      <c r="C96" s="2">
        <v>0.43402777777777779</v>
      </c>
      <c r="D96" s="2" t="str">
        <f>IF(Table1[[#This Row],[Time]]&lt;$D$1,$C$1,IF(Table1[[#This Row],[Time]]&lt;$D$2,$C$2,$C$3))</f>
        <v>Morning</v>
      </c>
      <c r="E96">
        <f>MONTH(Table1[[#This Row],[Date]])</f>
        <v>1</v>
      </c>
      <c r="F96" t="str">
        <f>VLOOKUP(Table1[[#This Row],[Month]],dctMonth[],2,FALSE)</f>
        <v>January</v>
      </c>
      <c r="G96" t="s">
        <v>26</v>
      </c>
      <c r="H96" t="s">
        <v>27</v>
      </c>
      <c r="I96" t="s">
        <v>21</v>
      </c>
      <c r="J96" t="s">
        <v>22</v>
      </c>
      <c r="K96">
        <v>70</v>
      </c>
      <c r="L96" t="str">
        <f>IF(Table1[[#This Row],[Age]]&lt;20,"&lt;20",IF(Table1[[#This Row],[Age]]&lt;=70,"20-70","&gt;70"))</f>
        <v>20-70</v>
      </c>
      <c r="M96" t="s">
        <v>33</v>
      </c>
      <c r="N96" t="s">
        <v>30</v>
      </c>
      <c r="O96">
        <v>47.38</v>
      </c>
      <c r="P96">
        <v>4</v>
      </c>
      <c r="Q96">
        <v>9.4760000000000009</v>
      </c>
      <c r="R96">
        <v>198.99600000000001</v>
      </c>
      <c r="S96">
        <v>189.52</v>
      </c>
      <c r="T96">
        <v>4.7619047620000003</v>
      </c>
      <c r="U96">
        <v>9.4760000000000009</v>
      </c>
      <c r="V96">
        <v>7.1</v>
      </c>
    </row>
    <row r="97" spans="1:22" x14ac:dyDescent="0.2">
      <c r="A97" t="s">
        <v>128</v>
      </c>
      <c r="B97" s="1">
        <v>43491</v>
      </c>
      <c r="C97" s="2">
        <v>0.82916666666666672</v>
      </c>
      <c r="D97" s="2" t="str">
        <f>IF(Table1[[#This Row],[Time]]&lt;$D$1,$C$1,IF(Table1[[#This Row],[Time]]&lt;$D$2,$C$2,$C$3))</f>
        <v>Evening</v>
      </c>
      <c r="E97">
        <f>MONTH(Table1[[#This Row],[Date]])</f>
        <v>1</v>
      </c>
      <c r="F97" t="str">
        <f>VLOOKUP(Table1[[#This Row],[Month]],dctMonth[],2,FALSE)</f>
        <v>January</v>
      </c>
      <c r="G97" t="s">
        <v>26</v>
      </c>
      <c r="H97" t="s">
        <v>27</v>
      </c>
      <c r="I97" t="s">
        <v>28</v>
      </c>
      <c r="J97" t="s">
        <v>22</v>
      </c>
      <c r="K97">
        <v>87</v>
      </c>
      <c r="L97" t="str">
        <f>IF(Table1[[#This Row],[Age]]&lt;20,"&lt;20",IF(Table1[[#This Row],[Age]]&lt;=70,"20-70","&gt;70"))</f>
        <v>&gt;70</v>
      </c>
      <c r="M97" t="s">
        <v>37</v>
      </c>
      <c r="N97" t="s">
        <v>24</v>
      </c>
      <c r="O97">
        <v>44.86</v>
      </c>
      <c r="P97">
        <v>10</v>
      </c>
      <c r="Q97">
        <v>22.43</v>
      </c>
      <c r="R97">
        <v>471.03</v>
      </c>
      <c r="S97">
        <v>448.6</v>
      </c>
      <c r="T97">
        <v>4.7619047620000003</v>
      </c>
      <c r="U97">
        <v>22.43</v>
      </c>
      <c r="V97">
        <v>8.1999999999999993</v>
      </c>
    </row>
    <row r="98" spans="1:22" x14ac:dyDescent="0.2">
      <c r="A98" t="s">
        <v>129</v>
      </c>
      <c r="B98" s="1">
        <v>43475</v>
      </c>
      <c r="C98" s="2">
        <v>0.6958333333333333</v>
      </c>
      <c r="D98" s="2" t="str">
        <f>IF(Table1[[#This Row],[Time]]&lt;$D$1,$C$1,IF(Table1[[#This Row],[Time]]&lt;$D$2,$C$2,$C$3))</f>
        <v>Afternoon</v>
      </c>
      <c r="E98">
        <f>MONTH(Table1[[#This Row],[Date]])</f>
        <v>1</v>
      </c>
      <c r="F98" t="str">
        <f>VLOOKUP(Table1[[#This Row],[Month]],dctMonth[],2,FALSE)</f>
        <v>January</v>
      </c>
      <c r="G98" t="s">
        <v>19</v>
      </c>
      <c r="H98" t="s">
        <v>20</v>
      </c>
      <c r="I98" t="s">
        <v>21</v>
      </c>
      <c r="J98" t="s">
        <v>22</v>
      </c>
      <c r="K98">
        <v>20</v>
      </c>
      <c r="L98" t="str">
        <f>IF(Table1[[#This Row],[Age]]&lt;20,"&lt;20",IF(Table1[[#This Row],[Age]]&lt;=70,"20-70","&gt;70"))</f>
        <v>20-70</v>
      </c>
      <c r="M98" t="s">
        <v>37</v>
      </c>
      <c r="N98" t="s">
        <v>24</v>
      </c>
      <c r="O98">
        <v>21.98</v>
      </c>
      <c r="P98">
        <v>7</v>
      </c>
      <c r="Q98">
        <v>7.6929999999999996</v>
      </c>
      <c r="R98">
        <v>161.553</v>
      </c>
      <c r="S98">
        <v>153.86000000000001</v>
      </c>
      <c r="T98">
        <v>4.7619047620000003</v>
      </c>
      <c r="U98">
        <v>7.6929999999999996</v>
      </c>
      <c r="V98">
        <v>5.0999999999999996</v>
      </c>
    </row>
    <row r="99" spans="1:22" x14ac:dyDescent="0.2">
      <c r="A99" t="s">
        <v>130</v>
      </c>
      <c r="B99" s="1">
        <v>43536</v>
      </c>
      <c r="C99" s="2">
        <v>0.50624999999999998</v>
      </c>
      <c r="D99" s="2" t="str">
        <f>IF(Table1[[#This Row],[Time]]&lt;$D$1,$C$1,IF(Table1[[#This Row],[Time]]&lt;$D$2,$C$2,$C$3))</f>
        <v>Afternoon</v>
      </c>
      <c r="E99">
        <f>MONTH(Table1[[#This Row],[Date]])</f>
        <v>3</v>
      </c>
      <c r="F99" t="str">
        <f>VLOOKUP(Table1[[#This Row],[Month]],dctMonth[],2,FALSE)</f>
        <v>March</v>
      </c>
      <c r="G99" t="s">
        <v>43</v>
      </c>
      <c r="H99" t="s">
        <v>44</v>
      </c>
      <c r="I99" t="s">
        <v>21</v>
      </c>
      <c r="J99" t="s">
        <v>32</v>
      </c>
      <c r="K99">
        <v>27</v>
      </c>
      <c r="L99" t="str">
        <f>IF(Table1[[#This Row],[Age]]&lt;20,"&lt;20",IF(Table1[[#This Row],[Age]]&lt;=70,"20-70","&gt;70"))</f>
        <v>20-70</v>
      </c>
      <c r="M99" t="s">
        <v>23</v>
      </c>
      <c r="N99" t="s">
        <v>34</v>
      </c>
      <c r="O99">
        <v>64.36</v>
      </c>
      <c r="P99">
        <v>9</v>
      </c>
      <c r="Q99">
        <v>28.962</v>
      </c>
      <c r="R99">
        <v>608.202</v>
      </c>
      <c r="S99">
        <v>579.24</v>
      </c>
      <c r="T99">
        <v>4.7619047620000003</v>
      </c>
      <c r="U99">
        <v>28.962</v>
      </c>
      <c r="V99">
        <v>8.6</v>
      </c>
    </row>
    <row r="100" spans="1:22" x14ac:dyDescent="0.2">
      <c r="A100" t="s">
        <v>131</v>
      </c>
      <c r="B100" s="1">
        <v>43502</v>
      </c>
      <c r="C100" s="2">
        <v>0.83680555555555558</v>
      </c>
      <c r="D100" s="2" t="str">
        <f>IF(Table1[[#This Row],[Time]]&lt;$D$1,$C$1,IF(Table1[[#This Row],[Time]]&lt;$D$2,$C$2,$C$3))</f>
        <v>Evening</v>
      </c>
      <c r="E100">
        <f>MONTH(Table1[[#This Row],[Date]])</f>
        <v>2</v>
      </c>
      <c r="F100" t="str">
        <f>VLOOKUP(Table1[[#This Row],[Month]],dctMonth[],2,FALSE)</f>
        <v>February</v>
      </c>
      <c r="G100" t="s">
        <v>26</v>
      </c>
      <c r="H100" t="s">
        <v>27</v>
      </c>
      <c r="I100" t="s">
        <v>28</v>
      </c>
      <c r="J100" t="s">
        <v>32</v>
      </c>
      <c r="K100">
        <v>20</v>
      </c>
      <c r="L100" t="str">
        <f>IF(Table1[[#This Row],[Age]]&lt;20,"&lt;20",IF(Table1[[#This Row],[Age]]&lt;=70,"20-70","&gt;70"))</f>
        <v>20-70</v>
      </c>
      <c r="M100" t="s">
        <v>23</v>
      </c>
      <c r="N100" t="s">
        <v>34</v>
      </c>
      <c r="O100">
        <v>89.75</v>
      </c>
      <c r="P100">
        <v>1</v>
      </c>
      <c r="Q100">
        <v>4.4874999999999998</v>
      </c>
      <c r="R100">
        <v>94.237499999999997</v>
      </c>
      <c r="S100">
        <v>89.75</v>
      </c>
      <c r="T100">
        <v>4.7619047620000003</v>
      </c>
      <c r="U100">
        <v>4.4874999999999998</v>
      </c>
      <c r="V100">
        <v>6.6</v>
      </c>
    </row>
    <row r="101" spans="1:22" x14ac:dyDescent="0.2">
      <c r="A101" t="s">
        <v>132</v>
      </c>
      <c r="B101" s="1">
        <v>43532</v>
      </c>
      <c r="C101" s="2">
        <v>0.85972222222222228</v>
      </c>
      <c r="D101" s="2" t="str">
        <f>IF(Table1[[#This Row],[Time]]&lt;$D$1,$C$1,IF(Table1[[#This Row],[Time]]&lt;$D$2,$C$2,$C$3))</f>
        <v>Evening</v>
      </c>
      <c r="E101">
        <f>MONTH(Table1[[#This Row],[Date]])</f>
        <v>3</v>
      </c>
      <c r="F101" t="str">
        <f>VLOOKUP(Table1[[#This Row],[Month]],dctMonth[],2,FALSE)</f>
        <v>March</v>
      </c>
      <c r="G101" t="s">
        <v>19</v>
      </c>
      <c r="H101" t="s">
        <v>20</v>
      </c>
      <c r="I101" t="s">
        <v>28</v>
      </c>
      <c r="J101" t="s">
        <v>32</v>
      </c>
      <c r="K101">
        <v>55</v>
      </c>
      <c r="L101" t="str">
        <f>IF(Table1[[#This Row],[Age]]&lt;20,"&lt;20",IF(Table1[[#This Row],[Age]]&lt;=70,"20-70","&gt;70"))</f>
        <v>20-70</v>
      </c>
      <c r="M101" t="s">
        <v>29</v>
      </c>
      <c r="N101" t="s">
        <v>24</v>
      </c>
      <c r="O101">
        <v>97.16</v>
      </c>
      <c r="P101">
        <v>1</v>
      </c>
      <c r="Q101">
        <v>4.8579999999999997</v>
      </c>
      <c r="R101">
        <v>102.018</v>
      </c>
      <c r="S101">
        <v>97.16</v>
      </c>
      <c r="T101">
        <v>4.7619047620000003</v>
      </c>
      <c r="U101">
        <v>4.8579999999999997</v>
      </c>
      <c r="V101">
        <v>7.2</v>
      </c>
    </row>
    <row r="102" spans="1:22" x14ac:dyDescent="0.2">
      <c r="A102" t="s">
        <v>133</v>
      </c>
      <c r="B102" s="1">
        <v>43553</v>
      </c>
      <c r="C102" s="2">
        <v>0.43402777777777779</v>
      </c>
      <c r="D102" s="2" t="str">
        <f>IF(Table1[[#This Row],[Time]]&lt;$D$1,$C$1,IF(Table1[[#This Row],[Time]]&lt;$D$2,$C$2,$C$3))</f>
        <v>Morning</v>
      </c>
      <c r="E102">
        <f>MONTH(Table1[[#This Row],[Date]])</f>
        <v>3</v>
      </c>
      <c r="F102" t="str">
        <f>VLOOKUP(Table1[[#This Row],[Month]],dctMonth[],2,FALSE)</f>
        <v>March</v>
      </c>
      <c r="G102" t="s">
        <v>43</v>
      </c>
      <c r="H102" t="s">
        <v>44</v>
      </c>
      <c r="I102" t="s">
        <v>28</v>
      </c>
      <c r="J102" t="s">
        <v>32</v>
      </c>
      <c r="K102">
        <v>16</v>
      </c>
      <c r="L102" t="str">
        <f>IF(Table1[[#This Row],[Age]]&lt;20,"&lt;20",IF(Table1[[#This Row],[Age]]&lt;=70,"20-70","&gt;70"))</f>
        <v>&lt;20</v>
      </c>
      <c r="M102" t="s">
        <v>23</v>
      </c>
      <c r="N102" t="s">
        <v>24</v>
      </c>
      <c r="O102">
        <v>87.87</v>
      </c>
      <c r="P102">
        <v>10</v>
      </c>
      <c r="Q102">
        <v>43.935000000000002</v>
      </c>
      <c r="R102">
        <v>922.63499999999999</v>
      </c>
      <c r="S102">
        <v>878.7</v>
      </c>
      <c r="T102">
        <v>4.7619047620000003</v>
      </c>
      <c r="U102">
        <v>43.935000000000002</v>
      </c>
      <c r="V102">
        <v>5.0999999999999996</v>
      </c>
    </row>
    <row r="103" spans="1:22" x14ac:dyDescent="0.2">
      <c r="A103" t="s">
        <v>134</v>
      </c>
      <c r="B103" s="1">
        <v>43505</v>
      </c>
      <c r="C103" s="2">
        <v>0.5493055555555556</v>
      </c>
      <c r="D103" s="2" t="str">
        <f>IF(Table1[[#This Row],[Time]]&lt;$D$1,$C$1,IF(Table1[[#This Row],[Time]]&lt;$D$2,$C$2,$C$3))</f>
        <v>Afternoon</v>
      </c>
      <c r="E103">
        <f>MONTH(Table1[[#This Row],[Date]])</f>
        <v>2</v>
      </c>
      <c r="F103" t="str">
        <f>VLOOKUP(Table1[[#This Row],[Month]],dctMonth[],2,FALSE)</f>
        <v>February</v>
      </c>
      <c r="G103" t="s">
        <v>26</v>
      </c>
      <c r="H103" t="s">
        <v>27</v>
      </c>
      <c r="I103" t="s">
        <v>28</v>
      </c>
      <c r="J103" t="s">
        <v>22</v>
      </c>
      <c r="K103">
        <v>38</v>
      </c>
      <c r="L103" t="str">
        <f>IF(Table1[[#This Row],[Age]]&lt;20,"&lt;20",IF(Table1[[#This Row],[Age]]&lt;=70,"20-70","&gt;70"))</f>
        <v>20-70</v>
      </c>
      <c r="M103" t="s">
        <v>29</v>
      </c>
      <c r="N103" t="s">
        <v>30</v>
      </c>
      <c r="O103">
        <v>12.45</v>
      </c>
      <c r="P103">
        <v>6</v>
      </c>
      <c r="Q103">
        <v>3.7349999999999999</v>
      </c>
      <c r="R103">
        <v>78.435000000000002</v>
      </c>
      <c r="S103">
        <v>74.7</v>
      </c>
      <c r="T103">
        <v>4.7619047620000003</v>
      </c>
      <c r="U103">
        <v>3.7349999999999999</v>
      </c>
      <c r="V103">
        <v>4.0999999999999996</v>
      </c>
    </row>
    <row r="104" spans="1:22" x14ac:dyDescent="0.2">
      <c r="A104" t="s">
        <v>135</v>
      </c>
      <c r="B104" s="1">
        <v>43547</v>
      </c>
      <c r="C104" s="2">
        <v>0.42777777777777776</v>
      </c>
      <c r="D104" s="2" t="str">
        <f>IF(Table1[[#This Row],[Time]]&lt;$D$1,$C$1,IF(Table1[[#This Row],[Time]]&lt;$D$2,$C$2,$C$3))</f>
        <v>Morning</v>
      </c>
      <c r="E104">
        <f>MONTH(Table1[[#This Row],[Date]])</f>
        <v>3</v>
      </c>
      <c r="F104" t="str">
        <f>VLOOKUP(Table1[[#This Row],[Month]],dctMonth[],2,FALSE)</f>
        <v>March</v>
      </c>
      <c r="G104" t="s">
        <v>19</v>
      </c>
      <c r="H104" t="s">
        <v>20</v>
      </c>
      <c r="I104" t="s">
        <v>28</v>
      </c>
      <c r="J104" t="s">
        <v>32</v>
      </c>
      <c r="K104">
        <v>50</v>
      </c>
      <c r="L104" t="str">
        <f>IF(Table1[[#This Row],[Age]]&lt;20,"&lt;20",IF(Table1[[#This Row],[Age]]&lt;=70,"20-70","&gt;70"))</f>
        <v>20-70</v>
      </c>
      <c r="M104" t="s">
        <v>45</v>
      </c>
      <c r="N104" t="s">
        <v>24</v>
      </c>
      <c r="O104">
        <v>52.75</v>
      </c>
      <c r="P104">
        <v>3</v>
      </c>
      <c r="Q104">
        <v>7.9124999999999996</v>
      </c>
      <c r="R104">
        <v>166.16249999999999</v>
      </c>
      <c r="S104">
        <v>158.25</v>
      </c>
      <c r="T104">
        <v>4.7619047620000003</v>
      </c>
      <c r="U104">
        <v>7.9124999999999996</v>
      </c>
      <c r="V104">
        <v>9.3000000000000007</v>
      </c>
    </row>
    <row r="105" spans="1:22" x14ac:dyDescent="0.2">
      <c r="A105" t="s">
        <v>136</v>
      </c>
      <c r="B105" s="1">
        <v>43529</v>
      </c>
      <c r="C105" s="2">
        <v>0.75972222222222219</v>
      </c>
      <c r="D105" s="2" t="str">
        <f>IF(Table1[[#This Row],[Time]]&lt;$D$1,$C$1,IF(Table1[[#This Row],[Time]]&lt;$D$2,$C$2,$C$3))</f>
        <v>Evening</v>
      </c>
      <c r="E105">
        <f>MONTH(Table1[[#This Row],[Date]])</f>
        <v>3</v>
      </c>
      <c r="F105" t="str">
        <f>VLOOKUP(Table1[[#This Row],[Month]],dctMonth[],2,FALSE)</f>
        <v>March</v>
      </c>
      <c r="G105" t="s">
        <v>43</v>
      </c>
      <c r="H105" t="s">
        <v>44</v>
      </c>
      <c r="I105" t="s">
        <v>28</v>
      </c>
      <c r="J105" t="s">
        <v>32</v>
      </c>
      <c r="K105">
        <v>86</v>
      </c>
      <c r="L105" t="str">
        <f>IF(Table1[[#This Row],[Age]]&lt;20,"&lt;20",IF(Table1[[#This Row],[Age]]&lt;=70,"20-70","&gt;70"))</f>
        <v>&gt;70</v>
      </c>
      <c r="M105" t="s">
        <v>33</v>
      </c>
      <c r="N105" t="s">
        <v>30</v>
      </c>
      <c r="O105">
        <v>82.7</v>
      </c>
      <c r="P105">
        <v>6</v>
      </c>
      <c r="Q105">
        <v>24.81</v>
      </c>
      <c r="R105">
        <v>521.01</v>
      </c>
      <c r="S105">
        <v>496.2</v>
      </c>
      <c r="T105">
        <v>4.7619047620000003</v>
      </c>
      <c r="U105">
        <v>24.81</v>
      </c>
      <c r="V105">
        <v>7.4</v>
      </c>
    </row>
    <row r="106" spans="1:22" x14ac:dyDescent="0.2">
      <c r="A106" t="s">
        <v>137</v>
      </c>
      <c r="B106" s="1">
        <v>43550</v>
      </c>
      <c r="C106" s="2">
        <v>0.80555555555555558</v>
      </c>
      <c r="D106" s="2" t="str">
        <f>IF(Table1[[#This Row],[Time]]&lt;$D$1,$C$1,IF(Table1[[#This Row],[Time]]&lt;$D$2,$C$2,$C$3))</f>
        <v>Evening</v>
      </c>
      <c r="E106">
        <f>MONTH(Table1[[#This Row],[Date]])</f>
        <v>3</v>
      </c>
      <c r="F106" t="str">
        <f>VLOOKUP(Table1[[#This Row],[Month]],dctMonth[],2,FALSE)</f>
        <v>March</v>
      </c>
      <c r="G106" t="s">
        <v>26</v>
      </c>
      <c r="H106" t="s">
        <v>27</v>
      </c>
      <c r="I106" t="s">
        <v>21</v>
      </c>
      <c r="J106" t="s">
        <v>32</v>
      </c>
      <c r="K106">
        <v>71</v>
      </c>
      <c r="L106" t="str">
        <f>IF(Table1[[#This Row],[Age]]&lt;20,"&lt;20",IF(Table1[[#This Row],[Age]]&lt;=70,"20-70","&gt;70"))</f>
        <v>&gt;70</v>
      </c>
      <c r="M106" t="s">
        <v>47</v>
      </c>
      <c r="N106" t="s">
        <v>30</v>
      </c>
      <c r="O106">
        <v>48.71</v>
      </c>
      <c r="P106">
        <v>1</v>
      </c>
      <c r="Q106">
        <v>2.4355000000000002</v>
      </c>
      <c r="R106">
        <v>51.145499999999998</v>
      </c>
      <c r="S106">
        <v>48.71</v>
      </c>
      <c r="T106">
        <v>4.7619047620000003</v>
      </c>
      <c r="U106">
        <v>2.4355000000000002</v>
      </c>
      <c r="V106">
        <v>4.0999999999999996</v>
      </c>
    </row>
    <row r="107" spans="1:22" x14ac:dyDescent="0.2">
      <c r="A107" t="s">
        <v>138</v>
      </c>
      <c r="B107" s="1">
        <v>43525</v>
      </c>
      <c r="C107" s="2">
        <v>0.55694444444444446</v>
      </c>
      <c r="D107" s="2" t="str">
        <f>IF(Table1[[#This Row],[Time]]&lt;$D$1,$C$1,IF(Table1[[#This Row],[Time]]&lt;$D$2,$C$2,$C$3))</f>
        <v>Afternoon</v>
      </c>
      <c r="E107">
        <f>MONTH(Table1[[#This Row],[Date]])</f>
        <v>3</v>
      </c>
      <c r="F107" t="str">
        <f>VLOOKUP(Table1[[#This Row],[Month]],dctMonth[],2,FALSE)</f>
        <v>March</v>
      </c>
      <c r="G107" t="s">
        <v>26</v>
      </c>
      <c r="H107" t="s">
        <v>27</v>
      </c>
      <c r="I107" t="s">
        <v>28</v>
      </c>
      <c r="J107" t="s">
        <v>32</v>
      </c>
      <c r="K107">
        <v>15</v>
      </c>
      <c r="L107" t="str">
        <f>IF(Table1[[#This Row],[Age]]&lt;20,"&lt;20",IF(Table1[[#This Row],[Age]]&lt;=70,"20-70","&gt;70"))</f>
        <v>&lt;20</v>
      </c>
      <c r="M107" t="s">
        <v>47</v>
      </c>
      <c r="N107" t="s">
        <v>30</v>
      </c>
      <c r="O107">
        <v>78.55</v>
      </c>
      <c r="P107">
        <v>9</v>
      </c>
      <c r="Q107">
        <v>35.347499999999997</v>
      </c>
      <c r="R107">
        <v>742.29750000000001</v>
      </c>
      <c r="S107">
        <v>706.95</v>
      </c>
      <c r="T107">
        <v>4.7619047620000003</v>
      </c>
      <c r="U107">
        <v>35.347499999999997</v>
      </c>
      <c r="V107">
        <v>7.2</v>
      </c>
    </row>
    <row r="108" spans="1:22" x14ac:dyDescent="0.2">
      <c r="A108" t="s">
        <v>139</v>
      </c>
      <c r="B108" s="1">
        <v>43497</v>
      </c>
      <c r="C108" s="2">
        <v>0.47708333333333336</v>
      </c>
      <c r="D108" s="2" t="str">
        <f>IF(Table1[[#This Row],[Time]]&lt;$D$1,$C$1,IF(Table1[[#This Row],[Time]]&lt;$D$2,$C$2,$C$3))</f>
        <v>Morning</v>
      </c>
      <c r="E108">
        <f>MONTH(Table1[[#This Row],[Date]])</f>
        <v>2</v>
      </c>
      <c r="F108" t="str">
        <f>VLOOKUP(Table1[[#This Row],[Month]],dctMonth[],2,FALSE)</f>
        <v>February</v>
      </c>
      <c r="G108" t="s">
        <v>26</v>
      </c>
      <c r="H108" t="s">
        <v>27</v>
      </c>
      <c r="I108" t="s">
        <v>28</v>
      </c>
      <c r="J108" t="s">
        <v>22</v>
      </c>
      <c r="K108">
        <v>22</v>
      </c>
      <c r="L108" t="str">
        <f>IF(Table1[[#This Row],[Age]]&lt;20,"&lt;20",IF(Table1[[#This Row],[Age]]&lt;=70,"20-70","&gt;70"))</f>
        <v>20-70</v>
      </c>
      <c r="M108" t="s">
        <v>29</v>
      </c>
      <c r="N108" t="s">
        <v>30</v>
      </c>
      <c r="O108">
        <v>23.07</v>
      </c>
      <c r="P108">
        <v>9</v>
      </c>
      <c r="Q108">
        <v>10.381500000000001</v>
      </c>
      <c r="R108">
        <v>218.01150000000001</v>
      </c>
      <c r="S108">
        <v>207.63</v>
      </c>
      <c r="T108">
        <v>4.7619047620000003</v>
      </c>
      <c r="U108">
        <v>10.381500000000001</v>
      </c>
      <c r="V108">
        <v>4.9000000000000004</v>
      </c>
    </row>
    <row r="109" spans="1:22" x14ac:dyDescent="0.2">
      <c r="A109" t="s">
        <v>140</v>
      </c>
      <c r="B109" s="1">
        <v>43552</v>
      </c>
      <c r="C109" s="2">
        <v>0.69722222222222219</v>
      </c>
      <c r="D109" s="2" t="str">
        <f>IF(Table1[[#This Row],[Time]]&lt;$D$1,$C$1,IF(Table1[[#This Row],[Time]]&lt;$D$2,$C$2,$C$3))</f>
        <v>Afternoon</v>
      </c>
      <c r="E109">
        <f>MONTH(Table1[[#This Row],[Date]])</f>
        <v>3</v>
      </c>
      <c r="F109" t="str">
        <f>VLOOKUP(Table1[[#This Row],[Month]],dctMonth[],2,FALSE)</f>
        <v>March</v>
      </c>
      <c r="G109" t="s">
        <v>19</v>
      </c>
      <c r="H109" t="s">
        <v>20</v>
      </c>
      <c r="I109" t="s">
        <v>28</v>
      </c>
      <c r="J109" t="s">
        <v>32</v>
      </c>
      <c r="K109">
        <v>42</v>
      </c>
      <c r="L109" t="str">
        <f>IF(Table1[[#This Row],[Age]]&lt;20,"&lt;20",IF(Table1[[#This Row],[Age]]&lt;=70,"20-70","&gt;70"))</f>
        <v>20-70</v>
      </c>
      <c r="M109" t="s">
        <v>45</v>
      </c>
      <c r="N109" t="s">
        <v>30</v>
      </c>
      <c r="O109">
        <v>58.26</v>
      </c>
      <c r="P109">
        <v>6</v>
      </c>
      <c r="Q109">
        <v>17.478000000000002</v>
      </c>
      <c r="R109">
        <v>367.03800000000001</v>
      </c>
      <c r="S109">
        <v>349.56</v>
      </c>
      <c r="T109">
        <v>4.7619047620000003</v>
      </c>
      <c r="U109">
        <v>17.478000000000002</v>
      </c>
      <c r="V109">
        <v>9.9</v>
      </c>
    </row>
    <row r="110" spans="1:22" x14ac:dyDescent="0.2">
      <c r="A110" t="s">
        <v>141</v>
      </c>
      <c r="B110" s="1">
        <v>43543</v>
      </c>
      <c r="C110" s="2">
        <v>0.7631944444444444</v>
      </c>
      <c r="D110" s="2" t="str">
        <f>IF(Table1[[#This Row],[Time]]&lt;$D$1,$C$1,IF(Table1[[#This Row],[Time]]&lt;$D$2,$C$2,$C$3))</f>
        <v>Evening</v>
      </c>
      <c r="E110">
        <f>MONTH(Table1[[#This Row],[Date]])</f>
        <v>3</v>
      </c>
      <c r="F110" t="str">
        <f>VLOOKUP(Table1[[#This Row],[Month]],dctMonth[],2,FALSE)</f>
        <v>March</v>
      </c>
      <c r="G110" t="s">
        <v>43</v>
      </c>
      <c r="H110" t="s">
        <v>44</v>
      </c>
      <c r="I110" t="s">
        <v>28</v>
      </c>
      <c r="J110" t="s">
        <v>32</v>
      </c>
      <c r="K110">
        <v>42</v>
      </c>
      <c r="L110" t="str">
        <f>IF(Table1[[#This Row],[Age]]&lt;20,"&lt;20",IF(Table1[[#This Row],[Age]]&lt;=70,"20-70","&gt;70"))</f>
        <v>20-70</v>
      </c>
      <c r="M110" t="s">
        <v>23</v>
      </c>
      <c r="N110" t="s">
        <v>30</v>
      </c>
      <c r="O110">
        <v>30.35</v>
      </c>
      <c r="P110">
        <v>7</v>
      </c>
      <c r="Q110">
        <v>10.6225</v>
      </c>
      <c r="R110">
        <v>223.07249999999999</v>
      </c>
      <c r="S110">
        <v>212.45</v>
      </c>
      <c r="T110">
        <v>4.7619047620000003</v>
      </c>
      <c r="U110">
        <v>10.6225</v>
      </c>
      <c r="V110">
        <v>8</v>
      </c>
    </row>
    <row r="111" spans="1:22" x14ac:dyDescent="0.2">
      <c r="A111" t="s">
        <v>142</v>
      </c>
      <c r="B111" s="1">
        <v>43477</v>
      </c>
      <c r="C111" s="2">
        <v>0.61805555555555558</v>
      </c>
      <c r="D111" s="2" t="str">
        <f>IF(Table1[[#This Row],[Time]]&lt;$D$1,$C$1,IF(Table1[[#This Row],[Time]]&lt;$D$2,$C$2,$C$3))</f>
        <v>Afternoon</v>
      </c>
      <c r="E111">
        <f>MONTH(Table1[[#This Row],[Date]])</f>
        <v>1</v>
      </c>
      <c r="F111" t="str">
        <f>VLOOKUP(Table1[[#This Row],[Month]],dctMonth[],2,FALSE)</f>
        <v>January</v>
      </c>
      <c r="G111" t="s">
        <v>19</v>
      </c>
      <c r="H111" t="s">
        <v>20</v>
      </c>
      <c r="I111" t="s">
        <v>21</v>
      </c>
      <c r="J111" t="s">
        <v>32</v>
      </c>
      <c r="K111">
        <v>75</v>
      </c>
      <c r="L111" t="str">
        <f>IF(Table1[[#This Row],[Age]]&lt;20,"&lt;20",IF(Table1[[#This Row],[Age]]&lt;=70,"20-70","&gt;70"))</f>
        <v>&gt;70</v>
      </c>
      <c r="M111" t="s">
        <v>29</v>
      </c>
      <c r="N111" t="s">
        <v>24</v>
      </c>
      <c r="O111">
        <v>88.67</v>
      </c>
      <c r="P111">
        <v>10</v>
      </c>
      <c r="Q111">
        <v>44.335000000000001</v>
      </c>
      <c r="R111">
        <v>931.03499999999997</v>
      </c>
      <c r="S111">
        <v>886.7</v>
      </c>
      <c r="T111">
        <v>4.7619047620000003</v>
      </c>
      <c r="U111">
        <v>44.335000000000001</v>
      </c>
      <c r="V111">
        <v>7.3</v>
      </c>
    </row>
    <row r="112" spans="1:22" x14ac:dyDescent="0.2">
      <c r="A112" t="s">
        <v>143</v>
      </c>
      <c r="B112" s="1">
        <v>43470</v>
      </c>
      <c r="C112" s="2">
        <v>0.87083333333333335</v>
      </c>
      <c r="D112" s="2" t="str">
        <f>IF(Table1[[#This Row],[Time]]&lt;$D$1,$C$1,IF(Table1[[#This Row],[Time]]&lt;$D$2,$C$2,$C$3))</f>
        <v>Evening</v>
      </c>
      <c r="E112">
        <f>MONTH(Table1[[#This Row],[Date]])</f>
        <v>1</v>
      </c>
      <c r="F112" t="str">
        <f>VLOOKUP(Table1[[#This Row],[Month]],dctMonth[],2,FALSE)</f>
        <v>January</v>
      </c>
      <c r="G112" t="s">
        <v>26</v>
      </c>
      <c r="H112" t="s">
        <v>27</v>
      </c>
      <c r="I112" t="s">
        <v>28</v>
      </c>
      <c r="J112" t="s">
        <v>32</v>
      </c>
      <c r="K112">
        <v>50</v>
      </c>
      <c r="L112" t="str">
        <f>IF(Table1[[#This Row],[Age]]&lt;20,"&lt;20",IF(Table1[[#This Row],[Age]]&lt;=70,"20-70","&gt;70"))</f>
        <v>20-70</v>
      </c>
      <c r="M112" t="s">
        <v>47</v>
      </c>
      <c r="N112" t="s">
        <v>34</v>
      </c>
      <c r="O112">
        <v>27.38</v>
      </c>
      <c r="P112">
        <v>6</v>
      </c>
      <c r="Q112">
        <v>8.2140000000000004</v>
      </c>
      <c r="R112">
        <v>172.494</v>
      </c>
      <c r="S112">
        <v>164.28</v>
      </c>
      <c r="T112">
        <v>4.7619047620000003</v>
      </c>
      <c r="U112">
        <v>8.2140000000000004</v>
      </c>
      <c r="V112">
        <v>7.9</v>
      </c>
    </row>
    <row r="113" spans="1:22" x14ac:dyDescent="0.2">
      <c r="A113" t="s">
        <v>144</v>
      </c>
      <c r="B113" s="1">
        <v>43546</v>
      </c>
      <c r="C113" s="2">
        <v>0.84652777777777777</v>
      </c>
      <c r="D113" s="2" t="str">
        <f>IF(Table1[[#This Row],[Time]]&lt;$D$1,$C$1,IF(Table1[[#This Row],[Time]]&lt;$D$2,$C$2,$C$3))</f>
        <v>Evening</v>
      </c>
      <c r="E113">
        <f>MONTH(Table1[[#This Row],[Date]])</f>
        <v>3</v>
      </c>
      <c r="F113" t="str">
        <f>VLOOKUP(Table1[[#This Row],[Month]],dctMonth[],2,FALSE)</f>
        <v>March</v>
      </c>
      <c r="G113" t="s">
        <v>19</v>
      </c>
      <c r="H113" t="s">
        <v>20</v>
      </c>
      <c r="I113" t="s">
        <v>28</v>
      </c>
      <c r="J113" t="s">
        <v>32</v>
      </c>
      <c r="K113">
        <v>53</v>
      </c>
      <c r="L113" t="str">
        <f>IF(Table1[[#This Row],[Age]]&lt;20,"&lt;20",IF(Table1[[#This Row],[Age]]&lt;=70,"20-70","&gt;70"))</f>
        <v>20-70</v>
      </c>
      <c r="M113" t="s">
        <v>37</v>
      </c>
      <c r="N113" t="s">
        <v>30</v>
      </c>
      <c r="O113">
        <v>62.13</v>
      </c>
      <c r="P113">
        <v>6</v>
      </c>
      <c r="Q113">
        <v>18.638999999999999</v>
      </c>
      <c r="R113">
        <v>391.41899999999998</v>
      </c>
      <c r="S113">
        <v>372.78</v>
      </c>
      <c r="T113">
        <v>4.7619047620000003</v>
      </c>
      <c r="U113">
        <v>18.638999999999999</v>
      </c>
      <c r="V113">
        <v>7.4</v>
      </c>
    </row>
    <row r="114" spans="1:22" x14ac:dyDescent="0.2">
      <c r="A114" t="s">
        <v>145</v>
      </c>
      <c r="B114" s="1">
        <v>43548</v>
      </c>
      <c r="C114" s="2">
        <v>0.4465277777777778</v>
      </c>
      <c r="D114" s="2" t="str">
        <f>IF(Table1[[#This Row],[Time]]&lt;$D$1,$C$1,IF(Table1[[#This Row],[Time]]&lt;$D$2,$C$2,$C$3))</f>
        <v>Morning</v>
      </c>
      <c r="E114">
        <f>MONTH(Table1[[#This Row],[Date]])</f>
        <v>3</v>
      </c>
      <c r="F114" t="str">
        <f>VLOOKUP(Table1[[#This Row],[Month]],dctMonth[],2,FALSE)</f>
        <v>March</v>
      </c>
      <c r="G114" t="s">
        <v>26</v>
      </c>
      <c r="H114" t="s">
        <v>27</v>
      </c>
      <c r="I114" t="s">
        <v>28</v>
      </c>
      <c r="J114" t="s">
        <v>22</v>
      </c>
      <c r="K114">
        <v>46</v>
      </c>
      <c r="L114" t="str">
        <f>IF(Table1[[#This Row],[Age]]&lt;20,"&lt;20",IF(Table1[[#This Row],[Age]]&lt;=70,"20-70","&gt;70"))</f>
        <v>20-70</v>
      </c>
      <c r="M114" t="s">
        <v>45</v>
      </c>
      <c r="N114" t="s">
        <v>30</v>
      </c>
      <c r="O114">
        <v>33.979999999999997</v>
      </c>
      <c r="P114">
        <v>9</v>
      </c>
      <c r="Q114">
        <v>15.291</v>
      </c>
      <c r="R114">
        <v>321.11099999999999</v>
      </c>
      <c r="S114">
        <v>305.82</v>
      </c>
      <c r="T114">
        <v>4.7619047620000003</v>
      </c>
      <c r="U114">
        <v>15.291</v>
      </c>
      <c r="V114">
        <v>4.2</v>
      </c>
    </row>
    <row r="115" spans="1:22" x14ac:dyDescent="0.2">
      <c r="A115" t="s">
        <v>146</v>
      </c>
      <c r="B115" s="1">
        <v>43527</v>
      </c>
      <c r="C115" s="2">
        <v>0.60416666666666663</v>
      </c>
      <c r="D115" s="2" t="str">
        <f>IF(Table1[[#This Row],[Time]]&lt;$D$1,$C$1,IF(Table1[[#This Row],[Time]]&lt;$D$2,$C$2,$C$3))</f>
        <v>Afternoon</v>
      </c>
      <c r="E115">
        <f>MONTH(Table1[[#This Row],[Date]])</f>
        <v>3</v>
      </c>
      <c r="F115" t="str">
        <f>VLOOKUP(Table1[[#This Row],[Month]],dctMonth[],2,FALSE)</f>
        <v>March</v>
      </c>
      <c r="G115" t="s">
        <v>26</v>
      </c>
      <c r="H115" t="s">
        <v>27</v>
      </c>
      <c r="I115" t="s">
        <v>21</v>
      </c>
      <c r="J115" t="s">
        <v>32</v>
      </c>
      <c r="K115">
        <v>37</v>
      </c>
      <c r="L115" t="str">
        <f>IF(Table1[[#This Row],[Age]]&lt;20,"&lt;20",IF(Table1[[#This Row],[Age]]&lt;=70,"20-70","&gt;70"))</f>
        <v>20-70</v>
      </c>
      <c r="M115" t="s">
        <v>29</v>
      </c>
      <c r="N115" t="s">
        <v>30</v>
      </c>
      <c r="O115">
        <v>81.97</v>
      </c>
      <c r="P115">
        <v>10</v>
      </c>
      <c r="Q115">
        <v>40.984999999999999</v>
      </c>
      <c r="R115">
        <v>860.68499999999995</v>
      </c>
      <c r="S115">
        <v>819.7</v>
      </c>
      <c r="T115">
        <v>4.7619047620000003</v>
      </c>
      <c r="U115">
        <v>40.984999999999999</v>
      </c>
      <c r="V115">
        <v>9.1999999999999993</v>
      </c>
    </row>
    <row r="116" spans="1:22" x14ac:dyDescent="0.2">
      <c r="A116" t="s">
        <v>147</v>
      </c>
      <c r="B116" s="1">
        <v>43501</v>
      </c>
      <c r="C116" s="2">
        <v>0.48055555555555557</v>
      </c>
      <c r="D116" s="2" t="str">
        <f>IF(Table1[[#This Row],[Time]]&lt;$D$1,$C$1,IF(Table1[[#This Row],[Time]]&lt;$D$2,$C$2,$C$3))</f>
        <v>Morning</v>
      </c>
      <c r="E116">
        <f>MONTH(Table1[[#This Row],[Date]])</f>
        <v>2</v>
      </c>
      <c r="F116" t="str">
        <f>VLOOKUP(Table1[[#This Row],[Month]],dctMonth[],2,FALSE)</f>
        <v>February</v>
      </c>
      <c r="G116" t="s">
        <v>43</v>
      </c>
      <c r="H116" t="s">
        <v>44</v>
      </c>
      <c r="I116" t="s">
        <v>21</v>
      </c>
      <c r="J116" t="s">
        <v>22</v>
      </c>
      <c r="K116">
        <v>52</v>
      </c>
      <c r="L116" t="str">
        <f>IF(Table1[[#This Row],[Age]]&lt;20,"&lt;20",IF(Table1[[#This Row],[Age]]&lt;=70,"20-70","&gt;70"))</f>
        <v>20-70</v>
      </c>
      <c r="M116" t="s">
        <v>37</v>
      </c>
      <c r="N116" t="s">
        <v>24</v>
      </c>
      <c r="O116">
        <v>16.489999999999998</v>
      </c>
      <c r="P116">
        <v>2</v>
      </c>
      <c r="Q116">
        <v>1.649</v>
      </c>
      <c r="R116">
        <v>34.628999999999998</v>
      </c>
      <c r="S116">
        <v>32.979999999999997</v>
      </c>
      <c r="T116">
        <v>4.7619047620000003</v>
      </c>
      <c r="U116">
        <v>1.649</v>
      </c>
      <c r="V116">
        <v>4.5999999999999996</v>
      </c>
    </row>
    <row r="117" spans="1:22" x14ac:dyDescent="0.2">
      <c r="A117" t="s">
        <v>148</v>
      </c>
      <c r="B117" s="1">
        <v>43501</v>
      </c>
      <c r="C117" s="2">
        <v>0.44513888888888886</v>
      </c>
      <c r="D117" s="2" t="str">
        <f>IF(Table1[[#This Row],[Time]]&lt;$D$1,$C$1,IF(Table1[[#This Row],[Time]]&lt;$D$2,$C$2,$C$3))</f>
        <v>Morning</v>
      </c>
      <c r="E117">
        <f>MONTH(Table1[[#This Row],[Date]])</f>
        <v>2</v>
      </c>
      <c r="F117" t="str">
        <f>VLOOKUP(Table1[[#This Row],[Month]],dctMonth[],2,FALSE)</f>
        <v>February</v>
      </c>
      <c r="G117" t="s">
        <v>26</v>
      </c>
      <c r="H117" t="s">
        <v>27</v>
      </c>
      <c r="I117" t="s">
        <v>21</v>
      </c>
      <c r="J117" t="s">
        <v>22</v>
      </c>
      <c r="K117">
        <v>89</v>
      </c>
      <c r="L117" t="str">
        <f>IF(Table1[[#This Row],[Age]]&lt;20,"&lt;20",IF(Table1[[#This Row],[Age]]&lt;=70,"20-70","&gt;70"))</f>
        <v>&gt;70</v>
      </c>
      <c r="M117" t="s">
        <v>23</v>
      </c>
      <c r="N117" t="s">
        <v>34</v>
      </c>
      <c r="O117">
        <v>98.21</v>
      </c>
      <c r="P117">
        <v>3</v>
      </c>
      <c r="Q117">
        <v>14.7315</v>
      </c>
      <c r="R117">
        <v>309.36149999999998</v>
      </c>
      <c r="S117">
        <v>294.63</v>
      </c>
      <c r="T117">
        <v>4.7619047620000003</v>
      </c>
      <c r="U117">
        <v>14.7315</v>
      </c>
      <c r="V117">
        <v>7.8</v>
      </c>
    </row>
    <row r="118" spans="1:22" x14ac:dyDescent="0.2">
      <c r="A118" t="s">
        <v>149</v>
      </c>
      <c r="B118" s="1">
        <v>43511</v>
      </c>
      <c r="C118" s="2">
        <v>0.53055555555555556</v>
      </c>
      <c r="D118" s="2" t="str">
        <f>IF(Table1[[#This Row],[Time]]&lt;$D$1,$C$1,IF(Table1[[#This Row],[Time]]&lt;$D$2,$C$2,$C$3))</f>
        <v>Afternoon</v>
      </c>
      <c r="E118">
        <f>MONTH(Table1[[#This Row],[Date]])</f>
        <v>2</v>
      </c>
      <c r="F118" t="str">
        <f>VLOOKUP(Table1[[#This Row],[Month]],dctMonth[],2,FALSE)</f>
        <v>February</v>
      </c>
      <c r="G118" t="s">
        <v>43</v>
      </c>
      <c r="H118" t="s">
        <v>44</v>
      </c>
      <c r="I118" t="s">
        <v>28</v>
      </c>
      <c r="J118" t="s">
        <v>22</v>
      </c>
      <c r="K118">
        <v>64</v>
      </c>
      <c r="L118" t="str">
        <f>IF(Table1[[#This Row],[Age]]&lt;20,"&lt;20",IF(Table1[[#This Row],[Age]]&lt;=70,"20-70","&gt;70"))</f>
        <v>20-70</v>
      </c>
      <c r="M118" t="s">
        <v>47</v>
      </c>
      <c r="N118" t="s">
        <v>30</v>
      </c>
      <c r="O118">
        <v>72.84</v>
      </c>
      <c r="P118">
        <v>7</v>
      </c>
      <c r="Q118">
        <v>25.494</v>
      </c>
      <c r="R118">
        <v>535.37400000000002</v>
      </c>
      <c r="S118">
        <v>509.88</v>
      </c>
      <c r="T118">
        <v>4.7619047620000003</v>
      </c>
      <c r="U118">
        <v>25.494</v>
      </c>
      <c r="V118">
        <v>8.4</v>
      </c>
    </row>
    <row r="119" spans="1:22" x14ac:dyDescent="0.2">
      <c r="A119" t="s">
        <v>150</v>
      </c>
      <c r="B119" s="1">
        <v>43484</v>
      </c>
      <c r="C119" s="2">
        <v>0.83819444444444446</v>
      </c>
      <c r="D119" s="2" t="str">
        <f>IF(Table1[[#This Row],[Time]]&lt;$D$1,$C$1,IF(Table1[[#This Row],[Time]]&lt;$D$2,$C$2,$C$3))</f>
        <v>Evening</v>
      </c>
      <c r="E119">
        <f>MONTH(Table1[[#This Row],[Date]])</f>
        <v>1</v>
      </c>
      <c r="F119" t="str">
        <f>VLOOKUP(Table1[[#This Row],[Month]],dctMonth[],2,FALSE)</f>
        <v>January</v>
      </c>
      <c r="G119" t="s">
        <v>19</v>
      </c>
      <c r="H119" t="s">
        <v>20</v>
      </c>
      <c r="I119" t="s">
        <v>21</v>
      </c>
      <c r="J119" t="s">
        <v>32</v>
      </c>
      <c r="K119">
        <v>64</v>
      </c>
      <c r="L119" t="str">
        <f>IF(Table1[[#This Row],[Age]]&lt;20,"&lt;20",IF(Table1[[#This Row],[Age]]&lt;=70,"20-70","&gt;70"))</f>
        <v>20-70</v>
      </c>
      <c r="M119" t="s">
        <v>33</v>
      </c>
      <c r="N119" t="s">
        <v>24</v>
      </c>
      <c r="O119">
        <v>58.07</v>
      </c>
      <c r="P119">
        <v>9</v>
      </c>
      <c r="Q119">
        <v>26.131499999999999</v>
      </c>
      <c r="R119">
        <v>548.76149999999996</v>
      </c>
      <c r="S119">
        <v>522.63</v>
      </c>
      <c r="T119">
        <v>4.7619047620000003</v>
      </c>
      <c r="U119">
        <v>26.131499999999999</v>
      </c>
      <c r="V119">
        <v>4.3</v>
      </c>
    </row>
    <row r="120" spans="1:22" x14ac:dyDescent="0.2">
      <c r="A120" t="s">
        <v>151</v>
      </c>
      <c r="B120" s="1">
        <v>43497</v>
      </c>
      <c r="C120" s="2">
        <v>0.85486111111111107</v>
      </c>
      <c r="D120" s="2" t="str">
        <f>IF(Table1[[#This Row],[Time]]&lt;$D$1,$C$1,IF(Table1[[#This Row],[Time]]&lt;$D$2,$C$2,$C$3))</f>
        <v>Evening</v>
      </c>
      <c r="E120">
        <f>MONTH(Table1[[#This Row],[Date]])</f>
        <v>2</v>
      </c>
      <c r="F120" t="str">
        <f>VLOOKUP(Table1[[#This Row],[Month]],dctMonth[],2,FALSE)</f>
        <v>February</v>
      </c>
      <c r="G120" t="s">
        <v>26</v>
      </c>
      <c r="H120" t="s">
        <v>27</v>
      </c>
      <c r="I120" t="s">
        <v>21</v>
      </c>
      <c r="J120" t="s">
        <v>22</v>
      </c>
      <c r="K120">
        <v>62</v>
      </c>
      <c r="L120" t="str">
        <f>IF(Table1[[#This Row],[Age]]&lt;20,"&lt;20",IF(Table1[[#This Row],[Age]]&lt;=70,"20-70","&gt;70"))</f>
        <v>20-70</v>
      </c>
      <c r="M120" t="s">
        <v>33</v>
      </c>
      <c r="N120" t="s">
        <v>34</v>
      </c>
      <c r="O120">
        <v>80.790000000000006</v>
      </c>
      <c r="P120">
        <v>9</v>
      </c>
      <c r="Q120">
        <v>36.355499999999999</v>
      </c>
      <c r="R120">
        <v>763.46550000000002</v>
      </c>
      <c r="S120">
        <v>727.11</v>
      </c>
      <c r="T120">
        <v>4.7619047620000003</v>
      </c>
      <c r="U120">
        <v>36.355499999999999</v>
      </c>
      <c r="V120">
        <v>9.5</v>
      </c>
    </row>
    <row r="121" spans="1:22" x14ac:dyDescent="0.2">
      <c r="A121" t="s">
        <v>152</v>
      </c>
      <c r="B121" s="1">
        <v>43526</v>
      </c>
      <c r="C121" s="2">
        <v>0.54236111111111107</v>
      </c>
      <c r="D121" s="2" t="str">
        <f>IF(Table1[[#This Row],[Time]]&lt;$D$1,$C$1,IF(Table1[[#This Row],[Time]]&lt;$D$2,$C$2,$C$3))</f>
        <v>Afternoon</v>
      </c>
      <c r="E121">
        <f>MONTH(Table1[[#This Row],[Date]])</f>
        <v>3</v>
      </c>
      <c r="F121" t="str">
        <f>VLOOKUP(Table1[[#This Row],[Month]],dctMonth[],2,FALSE)</f>
        <v>March</v>
      </c>
      <c r="G121" t="s">
        <v>26</v>
      </c>
      <c r="H121" t="s">
        <v>27</v>
      </c>
      <c r="I121" t="s">
        <v>28</v>
      </c>
      <c r="J121" t="s">
        <v>22</v>
      </c>
      <c r="K121">
        <v>37</v>
      </c>
      <c r="L121" t="str">
        <f>IF(Table1[[#This Row],[Age]]&lt;20,"&lt;20",IF(Table1[[#This Row],[Age]]&lt;=70,"20-70","&gt;70"))</f>
        <v>20-70</v>
      </c>
      <c r="M121" t="s">
        <v>47</v>
      </c>
      <c r="N121" t="s">
        <v>34</v>
      </c>
      <c r="O121">
        <v>27.02</v>
      </c>
      <c r="P121">
        <v>3</v>
      </c>
      <c r="Q121">
        <v>4.0529999999999999</v>
      </c>
      <c r="R121">
        <v>85.113</v>
      </c>
      <c r="S121">
        <v>81.06</v>
      </c>
      <c r="T121">
        <v>4.7619047620000003</v>
      </c>
      <c r="U121">
        <v>4.0529999999999999</v>
      </c>
      <c r="V121">
        <v>7.1</v>
      </c>
    </row>
    <row r="122" spans="1:22" x14ac:dyDescent="0.2">
      <c r="A122" t="s">
        <v>153</v>
      </c>
      <c r="B122" s="1">
        <v>43529</v>
      </c>
      <c r="C122" s="2">
        <v>0.52013888888888893</v>
      </c>
      <c r="D122" s="2" t="str">
        <f>IF(Table1[[#This Row],[Time]]&lt;$D$1,$C$1,IF(Table1[[#This Row],[Time]]&lt;$D$2,$C$2,$C$3))</f>
        <v>Afternoon</v>
      </c>
      <c r="E122">
        <f>MONTH(Table1[[#This Row],[Date]])</f>
        <v>3</v>
      </c>
      <c r="F122" t="str">
        <f>VLOOKUP(Table1[[#This Row],[Month]],dctMonth[],2,FALSE)</f>
        <v>March</v>
      </c>
      <c r="G122" t="s">
        <v>43</v>
      </c>
      <c r="H122" t="s">
        <v>44</v>
      </c>
      <c r="I122" t="s">
        <v>21</v>
      </c>
      <c r="J122" t="s">
        <v>32</v>
      </c>
      <c r="K122">
        <v>72</v>
      </c>
      <c r="L122" t="str">
        <f>IF(Table1[[#This Row],[Age]]&lt;20,"&lt;20",IF(Table1[[#This Row],[Age]]&lt;=70,"20-70","&gt;70"))</f>
        <v>&gt;70</v>
      </c>
      <c r="M122" t="s">
        <v>47</v>
      </c>
      <c r="N122" t="s">
        <v>24</v>
      </c>
      <c r="O122">
        <v>21.94</v>
      </c>
      <c r="P122">
        <v>5</v>
      </c>
      <c r="Q122">
        <v>5.4850000000000003</v>
      </c>
      <c r="R122">
        <v>115.185</v>
      </c>
      <c r="S122">
        <v>109.7</v>
      </c>
      <c r="T122">
        <v>4.7619047620000003</v>
      </c>
      <c r="U122">
        <v>5.4850000000000003</v>
      </c>
      <c r="V122">
        <v>5.3</v>
      </c>
    </row>
    <row r="123" spans="1:22" x14ac:dyDescent="0.2">
      <c r="A123" t="s">
        <v>154</v>
      </c>
      <c r="B123" s="1">
        <v>43481</v>
      </c>
      <c r="C123" s="2">
        <v>0.6430555555555556</v>
      </c>
      <c r="D123" s="2" t="str">
        <f>IF(Table1[[#This Row],[Time]]&lt;$D$1,$C$1,IF(Table1[[#This Row],[Time]]&lt;$D$2,$C$2,$C$3))</f>
        <v>Afternoon</v>
      </c>
      <c r="E123">
        <f>MONTH(Table1[[#This Row],[Date]])</f>
        <v>1</v>
      </c>
      <c r="F123" t="str">
        <f>VLOOKUP(Table1[[#This Row],[Month]],dctMonth[],2,FALSE)</f>
        <v>January</v>
      </c>
      <c r="G123" t="s">
        <v>43</v>
      </c>
      <c r="H123" t="s">
        <v>44</v>
      </c>
      <c r="I123" t="s">
        <v>21</v>
      </c>
      <c r="J123" t="s">
        <v>32</v>
      </c>
      <c r="K123">
        <v>44</v>
      </c>
      <c r="L123" t="str">
        <f>IF(Table1[[#This Row],[Age]]&lt;20,"&lt;20",IF(Table1[[#This Row],[Age]]&lt;=70,"20-70","&gt;70"))</f>
        <v>20-70</v>
      </c>
      <c r="M123" t="s">
        <v>47</v>
      </c>
      <c r="N123" t="s">
        <v>24</v>
      </c>
      <c r="O123">
        <v>51.36</v>
      </c>
      <c r="P123">
        <v>1</v>
      </c>
      <c r="Q123">
        <v>2.5680000000000001</v>
      </c>
      <c r="R123">
        <v>53.927999999999997</v>
      </c>
      <c r="S123">
        <v>51.36</v>
      </c>
      <c r="T123">
        <v>4.7619047620000003</v>
      </c>
      <c r="U123">
        <v>2.5680000000000001</v>
      </c>
      <c r="V123">
        <v>5.2</v>
      </c>
    </row>
    <row r="124" spans="1:22" x14ac:dyDescent="0.2">
      <c r="A124" t="s">
        <v>155</v>
      </c>
      <c r="B124" s="1">
        <v>43498</v>
      </c>
      <c r="C124" s="2">
        <v>0.8666666666666667</v>
      </c>
      <c r="D124" s="2" t="str">
        <f>IF(Table1[[#This Row],[Time]]&lt;$D$1,$C$1,IF(Table1[[#This Row],[Time]]&lt;$D$2,$C$2,$C$3))</f>
        <v>Evening</v>
      </c>
      <c r="E124">
        <f>MONTH(Table1[[#This Row],[Date]])</f>
        <v>2</v>
      </c>
      <c r="F124" t="str">
        <f>VLOOKUP(Table1[[#This Row],[Month]],dctMonth[],2,FALSE)</f>
        <v>February</v>
      </c>
      <c r="G124" t="s">
        <v>19</v>
      </c>
      <c r="H124" t="s">
        <v>20</v>
      </c>
      <c r="I124" t="s">
        <v>28</v>
      </c>
      <c r="J124" t="s">
        <v>22</v>
      </c>
      <c r="K124">
        <v>55</v>
      </c>
      <c r="L124" t="str">
        <f>IF(Table1[[#This Row],[Age]]&lt;20,"&lt;20",IF(Table1[[#This Row],[Age]]&lt;=70,"20-70","&gt;70"))</f>
        <v>20-70</v>
      </c>
      <c r="M124" t="s">
        <v>45</v>
      </c>
      <c r="N124" t="s">
        <v>24</v>
      </c>
      <c r="O124">
        <v>10.96</v>
      </c>
      <c r="P124">
        <v>10</v>
      </c>
      <c r="Q124">
        <v>5.48</v>
      </c>
      <c r="R124">
        <v>115.08</v>
      </c>
      <c r="S124">
        <v>109.6</v>
      </c>
      <c r="T124">
        <v>4.7619047620000003</v>
      </c>
      <c r="U124">
        <v>5.48</v>
      </c>
      <c r="V124">
        <v>6</v>
      </c>
    </row>
    <row r="125" spans="1:22" x14ac:dyDescent="0.2">
      <c r="A125" t="s">
        <v>156</v>
      </c>
      <c r="B125" s="1">
        <v>43485</v>
      </c>
      <c r="C125" s="2">
        <v>0.85972222222222228</v>
      </c>
      <c r="D125" s="2" t="str">
        <f>IF(Table1[[#This Row],[Time]]&lt;$D$1,$C$1,IF(Table1[[#This Row],[Time]]&lt;$D$2,$C$2,$C$3))</f>
        <v>Evening</v>
      </c>
      <c r="E125">
        <f>MONTH(Table1[[#This Row],[Date]])</f>
        <v>1</v>
      </c>
      <c r="F125" t="str">
        <f>VLOOKUP(Table1[[#This Row],[Month]],dctMonth[],2,FALSE)</f>
        <v>January</v>
      </c>
      <c r="G125" t="s">
        <v>43</v>
      </c>
      <c r="H125" t="s">
        <v>44</v>
      </c>
      <c r="I125" t="s">
        <v>28</v>
      </c>
      <c r="J125" t="s">
        <v>32</v>
      </c>
      <c r="K125">
        <v>76</v>
      </c>
      <c r="L125" t="str">
        <f>IF(Table1[[#This Row],[Age]]&lt;20,"&lt;20",IF(Table1[[#This Row],[Age]]&lt;=70,"20-70","&gt;70"))</f>
        <v>&gt;70</v>
      </c>
      <c r="M125" t="s">
        <v>33</v>
      </c>
      <c r="N125" t="s">
        <v>24</v>
      </c>
      <c r="O125">
        <v>53.44</v>
      </c>
      <c r="P125">
        <v>2</v>
      </c>
      <c r="Q125">
        <v>5.3440000000000003</v>
      </c>
      <c r="R125">
        <v>112.224</v>
      </c>
      <c r="S125">
        <v>106.88</v>
      </c>
      <c r="T125">
        <v>4.7619047620000003</v>
      </c>
      <c r="U125">
        <v>5.3440000000000003</v>
      </c>
      <c r="V125">
        <v>4.0999999999999996</v>
      </c>
    </row>
    <row r="126" spans="1:22" x14ac:dyDescent="0.2">
      <c r="A126" t="s">
        <v>157</v>
      </c>
      <c r="B126" s="1">
        <v>43510</v>
      </c>
      <c r="C126" s="2">
        <v>0.7104166666666667</v>
      </c>
      <c r="D126" s="2" t="str">
        <f>IF(Table1[[#This Row],[Time]]&lt;$D$1,$C$1,IF(Table1[[#This Row],[Time]]&lt;$D$2,$C$2,$C$3))</f>
        <v>Evening</v>
      </c>
      <c r="E126">
        <f>MONTH(Table1[[#This Row],[Date]])</f>
        <v>2</v>
      </c>
      <c r="F126" t="str">
        <f>VLOOKUP(Table1[[#This Row],[Month]],dctMonth[],2,FALSE)</f>
        <v>February</v>
      </c>
      <c r="G126" t="s">
        <v>19</v>
      </c>
      <c r="H126" t="s">
        <v>20</v>
      </c>
      <c r="I126" t="s">
        <v>28</v>
      </c>
      <c r="J126" t="s">
        <v>22</v>
      </c>
      <c r="K126">
        <v>90</v>
      </c>
      <c r="L126" t="str">
        <f>IF(Table1[[#This Row],[Age]]&lt;20,"&lt;20",IF(Table1[[#This Row],[Age]]&lt;=70,"20-70","&gt;70"))</f>
        <v>&gt;70</v>
      </c>
      <c r="M126" t="s">
        <v>29</v>
      </c>
      <c r="N126" t="s">
        <v>34</v>
      </c>
      <c r="O126">
        <v>99.56</v>
      </c>
      <c r="P126">
        <v>8</v>
      </c>
      <c r="Q126">
        <v>39.823999999999998</v>
      </c>
      <c r="R126">
        <v>836.30399999999997</v>
      </c>
      <c r="S126">
        <v>796.48</v>
      </c>
      <c r="T126">
        <v>4.7619047620000003</v>
      </c>
      <c r="U126">
        <v>39.823999999999998</v>
      </c>
      <c r="V126">
        <v>5.2</v>
      </c>
    </row>
    <row r="127" spans="1:22" x14ac:dyDescent="0.2">
      <c r="A127" t="s">
        <v>158</v>
      </c>
      <c r="B127" s="1">
        <v>43477</v>
      </c>
      <c r="C127" s="2">
        <v>0.50138888888888888</v>
      </c>
      <c r="D127" s="2" t="str">
        <f>IF(Table1[[#This Row],[Time]]&lt;$D$1,$C$1,IF(Table1[[#This Row],[Time]]&lt;$D$2,$C$2,$C$3))</f>
        <v>Afternoon</v>
      </c>
      <c r="E127">
        <f>MONTH(Table1[[#This Row],[Date]])</f>
        <v>1</v>
      </c>
      <c r="F127" t="str">
        <f>VLOOKUP(Table1[[#This Row],[Month]],dctMonth[],2,FALSE)</f>
        <v>January</v>
      </c>
      <c r="G127" t="s">
        <v>26</v>
      </c>
      <c r="H127" t="s">
        <v>27</v>
      </c>
      <c r="I127" t="s">
        <v>21</v>
      </c>
      <c r="J127" t="s">
        <v>32</v>
      </c>
      <c r="K127">
        <v>70</v>
      </c>
      <c r="L127" t="str">
        <f>IF(Table1[[#This Row],[Age]]&lt;20,"&lt;20",IF(Table1[[#This Row],[Age]]&lt;=70,"20-70","&gt;70"))</f>
        <v>20-70</v>
      </c>
      <c r="M127" t="s">
        <v>37</v>
      </c>
      <c r="N127" t="s">
        <v>34</v>
      </c>
      <c r="O127">
        <v>57.12</v>
      </c>
      <c r="P127">
        <v>7</v>
      </c>
      <c r="Q127">
        <v>19.992000000000001</v>
      </c>
      <c r="R127">
        <v>419.83199999999999</v>
      </c>
      <c r="S127">
        <v>399.84</v>
      </c>
      <c r="T127">
        <v>4.7619047620000003</v>
      </c>
      <c r="U127">
        <v>19.992000000000001</v>
      </c>
      <c r="V127">
        <v>6.5</v>
      </c>
    </row>
    <row r="128" spans="1:22" x14ac:dyDescent="0.2">
      <c r="A128" t="s">
        <v>159</v>
      </c>
      <c r="B128" s="1">
        <v>43533</v>
      </c>
      <c r="C128" s="2">
        <v>0.72638888888888886</v>
      </c>
      <c r="D128" s="2" t="str">
        <f>IF(Table1[[#This Row],[Time]]&lt;$D$1,$C$1,IF(Table1[[#This Row],[Time]]&lt;$D$2,$C$2,$C$3))</f>
        <v>Evening</v>
      </c>
      <c r="E128">
        <f>MONTH(Table1[[#This Row],[Date]])</f>
        <v>3</v>
      </c>
      <c r="F128" t="str">
        <f>VLOOKUP(Table1[[#This Row],[Month]],dctMonth[],2,FALSE)</f>
        <v>March</v>
      </c>
      <c r="G128" t="s">
        <v>43</v>
      </c>
      <c r="H128" t="s">
        <v>44</v>
      </c>
      <c r="I128" t="s">
        <v>21</v>
      </c>
      <c r="J128" t="s">
        <v>32</v>
      </c>
      <c r="K128">
        <v>61</v>
      </c>
      <c r="L128" t="str">
        <f>IF(Table1[[#This Row],[Age]]&lt;20,"&lt;20",IF(Table1[[#This Row],[Age]]&lt;=70,"20-70","&gt;70"))</f>
        <v>20-70</v>
      </c>
      <c r="M128" t="s">
        <v>37</v>
      </c>
      <c r="N128" t="s">
        <v>34</v>
      </c>
      <c r="O128">
        <v>99.96</v>
      </c>
      <c r="P128">
        <v>9</v>
      </c>
      <c r="Q128">
        <v>44.981999999999999</v>
      </c>
      <c r="R128">
        <v>944.62199999999996</v>
      </c>
      <c r="S128">
        <v>899.64</v>
      </c>
      <c r="T128">
        <v>4.7619047620000003</v>
      </c>
      <c r="U128">
        <v>44.981999999999999</v>
      </c>
      <c r="V128">
        <v>4.2</v>
      </c>
    </row>
    <row r="129" spans="1:22" x14ac:dyDescent="0.2">
      <c r="A129" t="s">
        <v>160</v>
      </c>
      <c r="B129" s="1">
        <v>43537</v>
      </c>
      <c r="C129" s="2">
        <v>0.82777777777777772</v>
      </c>
      <c r="D129" s="2" t="str">
        <f>IF(Table1[[#This Row],[Time]]&lt;$D$1,$C$1,IF(Table1[[#This Row],[Time]]&lt;$D$2,$C$2,$C$3))</f>
        <v>Evening</v>
      </c>
      <c r="E129">
        <f>MONTH(Table1[[#This Row],[Date]])</f>
        <v>3</v>
      </c>
      <c r="F129" t="str">
        <f>VLOOKUP(Table1[[#This Row],[Month]],dctMonth[],2,FALSE)</f>
        <v>March</v>
      </c>
      <c r="G129" t="s">
        <v>26</v>
      </c>
      <c r="H129" t="s">
        <v>27</v>
      </c>
      <c r="I129" t="s">
        <v>21</v>
      </c>
      <c r="J129" t="s">
        <v>32</v>
      </c>
      <c r="K129">
        <v>67</v>
      </c>
      <c r="L129" t="str">
        <f>IF(Table1[[#This Row],[Age]]&lt;20,"&lt;20",IF(Table1[[#This Row],[Age]]&lt;=70,"20-70","&gt;70"))</f>
        <v>20-70</v>
      </c>
      <c r="M129" t="s">
        <v>33</v>
      </c>
      <c r="N129" t="s">
        <v>34</v>
      </c>
      <c r="O129">
        <v>63.91</v>
      </c>
      <c r="P129">
        <v>8</v>
      </c>
      <c r="Q129">
        <v>25.564</v>
      </c>
      <c r="R129">
        <v>536.84400000000005</v>
      </c>
      <c r="S129">
        <v>511.28</v>
      </c>
      <c r="T129">
        <v>4.7619047620000003</v>
      </c>
      <c r="U129">
        <v>25.564</v>
      </c>
      <c r="V129">
        <v>4.5999999999999996</v>
      </c>
    </row>
    <row r="130" spans="1:22" x14ac:dyDescent="0.2">
      <c r="A130" t="s">
        <v>161</v>
      </c>
      <c r="B130" s="1">
        <v>43533</v>
      </c>
      <c r="C130" s="2">
        <v>0.62291666666666667</v>
      </c>
      <c r="D130" s="2" t="str">
        <f>IF(Table1[[#This Row],[Time]]&lt;$D$1,$C$1,IF(Table1[[#This Row],[Time]]&lt;$D$2,$C$2,$C$3))</f>
        <v>Afternoon</v>
      </c>
      <c r="E130">
        <f>MONTH(Table1[[#This Row],[Date]])</f>
        <v>3</v>
      </c>
      <c r="F130" t="str">
        <f>VLOOKUP(Table1[[#This Row],[Month]],dctMonth[],2,FALSE)</f>
        <v>March</v>
      </c>
      <c r="G130" t="s">
        <v>43</v>
      </c>
      <c r="H130" t="s">
        <v>44</v>
      </c>
      <c r="I130" t="s">
        <v>21</v>
      </c>
      <c r="J130" t="s">
        <v>22</v>
      </c>
      <c r="K130">
        <v>51</v>
      </c>
      <c r="L130" t="str">
        <f>IF(Table1[[#This Row],[Age]]&lt;20,"&lt;20",IF(Table1[[#This Row],[Age]]&lt;=70,"20-70","&gt;70"))</f>
        <v>20-70</v>
      </c>
      <c r="M130" t="s">
        <v>47</v>
      </c>
      <c r="N130" t="s">
        <v>24</v>
      </c>
      <c r="O130">
        <v>56.47</v>
      </c>
      <c r="P130">
        <v>8</v>
      </c>
      <c r="Q130">
        <v>22.588000000000001</v>
      </c>
      <c r="R130">
        <v>474.34800000000001</v>
      </c>
      <c r="S130">
        <v>451.76</v>
      </c>
      <c r="T130">
        <v>4.7619047620000003</v>
      </c>
      <c r="U130">
        <v>22.588000000000001</v>
      </c>
      <c r="V130">
        <v>7.3</v>
      </c>
    </row>
    <row r="131" spans="1:22" x14ac:dyDescent="0.2">
      <c r="A131" t="s">
        <v>162</v>
      </c>
      <c r="B131" s="1">
        <v>43534</v>
      </c>
      <c r="C131" s="2">
        <v>0.78055555555555556</v>
      </c>
      <c r="D131" s="2" t="str">
        <f>IF(Table1[[#This Row],[Time]]&lt;$D$1,$C$1,IF(Table1[[#This Row],[Time]]&lt;$D$2,$C$2,$C$3))</f>
        <v>Evening</v>
      </c>
      <c r="E131">
        <f>MONTH(Table1[[#This Row],[Date]])</f>
        <v>3</v>
      </c>
      <c r="F131" t="str">
        <f>VLOOKUP(Table1[[#This Row],[Month]],dctMonth[],2,FALSE)</f>
        <v>March</v>
      </c>
      <c r="G131" t="s">
        <v>19</v>
      </c>
      <c r="H131" t="s">
        <v>20</v>
      </c>
      <c r="I131" t="s">
        <v>28</v>
      </c>
      <c r="J131" t="s">
        <v>22</v>
      </c>
      <c r="K131">
        <v>21</v>
      </c>
      <c r="L131" t="str">
        <f>IF(Table1[[#This Row],[Age]]&lt;20,"&lt;20",IF(Table1[[#This Row],[Age]]&lt;=70,"20-70","&gt;70"))</f>
        <v>20-70</v>
      </c>
      <c r="M131" t="s">
        <v>33</v>
      </c>
      <c r="N131" t="s">
        <v>34</v>
      </c>
      <c r="O131">
        <v>93.69</v>
      </c>
      <c r="P131">
        <v>7</v>
      </c>
      <c r="Q131">
        <v>32.791499999999999</v>
      </c>
      <c r="R131">
        <v>688.62149999999997</v>
      </c>
      <c r="S131">
        <v>655.83</v>
      </c>
      <c r="T131">
        <v>4.7619047620000003</v>
      </c>
      <c r="U131">
        <v>32.791499999999999</v>
      </c>
      <c r="V131">
        <v>4.5</v>
      </c>
    </row>
    <row r="132" spans="1:22" x14ac:dyDescent="0.2">
      <c r="A132" t="s">
        <v>163</v>
      </c>
      <c r="B132" s="1">
        <v>43492</v>
      </c>
      <c r="C132" s="2">
        <v>0.55972222222222223</v>
      </c>
      <c r="D132" s="2" t="str">
        <f>IF(Table1[[#This Row],[Time]]&lt;$D$1,$C$1,IF(Table1[[#This Row],[Time]]&lt;$D$2,$C$2,$C$3))</f>
        <v>Afternoon</v>
      </c>
      <c r="E132">
        <f>MONTH(Table1[[#This Row],[Date]])</f>
        <v>1</v>
      </c>
      <c r="F132" t="str">
        <f>VLOOKUP(Table1[[#This Row],[Month]],dctMonth[],2,FALSE)</f>
        <v>January</v>
      </c>
      <c r="G132" t="s">
        <v>19</v>
      </c>
      <c r="H132" t="s">
        <v>20</v>
      </c>
      <c r="I132" t="s">
        <v>28</v>
      </c>
      <c r="J132" t="s">
        <v>22</v>
      </c>
      <c r="K132">
        <v>36</v>
      </c>
      <c r="L132" t="str">
        <f>IF(Table1[[#This Row],[Age]]&lt;20,"&lt;20",IF(Table1[[#This Row],[Age]]&lt;=70,"20-70","&gt;70"))</f>
        <v>20-70</v>
      </c>
      <c r="M132" t="s">
        <v>37</v>
      </c>
      <c r="N132" t="s">
        <v>30</v>
      </c>
      <c r="O132">
        <v>32.25</v>
      </c>
      <c r="P132">
        <v>5</v>
      </c>
      <c r="Q132">
        <v>8.0625</v>
      </c>
      <c r="R132">
        <v>169.3125</v>
      </c>
      <c r="S132">
        <v>161.25</v>
      </c>
      <c r="T132">
        <v>4.7619047620000003</v>
      </c>
      <c r="U132">
        <v>8.0625</v>
      </c>
      <c r="V132">
        <v>9</v>
      </c>
    </row>
    <row r="133" spans="1:22" x14ac:dyDescent="0.2">
      <c r="A133" t="s">
        <v>164</v>
      </c>
      <c r="B133" s="1">
        <v>43473</v>
      </c>
      <c r="C133" s="2">
        <v>0.67847222222222225</v>
      </c>
      <c r="D133" s="2" t="str">
        <f>IF(Table1[[#This Row],[Time]]&lt;$D$1,$C$1,IF(Table1[[#This Row],[Time]]&lt;$D$2,$C$2,$C$3))</f>
        <v>Afternoon</v>
      </c>
      <c r="E133">
        <f>MONTH(Table1[[#This Row],[Date]])</f>
        <v>1</v>
      </c>
      <c r="F133" t="str">
        <f>VLOOKUP(Table1[[#This Row],[Month]],dctMonth[],2,FALSE)</f>
        <v>January</v>
      </c>
      <c r="G133" t="s">
        <v>26</v>
      </c>
      <c r="H133" t="s">
        <v>27</v>
      </c>
      <c r="I133" t="s">
        <v>28</v>
      </c>
      <c r="J133" t="s">
        <v>22</v>
      </c>
      <c r="K133">
        <v>34</v>
      </c>
      <c r="L133" t="str">
        <f>IF(Table1[[#This Row],[Age]]&lt;20,"&lt;20",IF(Table1[[#This Row],[Age]]&lt;=70,"20-70","&gt;70"))</f>
        <v>20-70</v>
      </c>
      <c r="M133" t="s">
        <v>47</v>
      </c>
      <c r="N133" t="s">
        <v>34</v>
      </c>
      <c r="O133">
        <v>31.73</v>
      </c>
      <c r="P133">
        <v>9</v>
      </c>
      <c r="Q133">
        <v>14.278499999999999</v>
      </c>
      <c r="R133">
        <v>299.8485</v>
      </c>
      <c r="S133">
        <v>285.57</v>
      </c>
      <c r="T133">
        <v>4.7619047620000003</v>
      </c>
      <c r="U133">
        <v>14.278499999999999</v>
      </c>
      <c r="V133">
        <v>5.9</v>
      </c>
    </row>
    <row r="134" spans="1:22" x14ac:dyDescent="0.2">
      <c r="A134" t="s">
        <v>165</v>
      </c>
      <c r="B134" s="1">
        <v>43473</v>
      </c>
      <c r="C134" s="2">
        <v>0.6645833333333333</v>
      </c>
      <c r="D134" s="2" t="str">
        <f>IF(Table1[[#This Row],[Time]]&lt;$D$1,$C$1,IF(Table1[[#This Row],[Time]]&lt;$D$2,$C$2,$C$3))</f>
        <v>Afternoon</v>
      </c>
      <c r="E134">
        <f>MONTH(Table1[[#This Row],[Date]])</f>
        <v>1</v>
      </c>
      <c r="F134" t="str">
        <f>VLOOKUP(Table1[[#This Row],[Month]],dctMonth[],2,FALSE)</f>
        <v>January</v>
      </c>
      <c r="G134" t="s">
        <v>26</v>
      </c>
      <c r="H134" t="s">
        <v>27</v>
      </c>
      <c r="I134" t="s">
        <v>21</v>
      </c>
      <c r="J134" t="s">
        <v>22</v>
      </c>
      <c r="K134">
        <v>39</v>
      </c>
      <c r="L134" t="str">
        <f>IF(Table1[[#This Row],[Age]]&lt;20,"&lt;20",IF(Table1[[#This Row],[Age]]&lt;=70,"20-70","&gt;70"))</f>
        <v>20-70</v>
      </c>
      <c r="M134" t="s">
        <v>45</v>
      </c>
      <c r="N134" t="s">
        <v>24</v>
      </c>
      <c r="O134">
        <v>68.540000000000006</v>
      </c>
      <c r="P134">
        <v>8</v>
      </c>
      <c r="Q134">
        <v>27.416</v>
      </c>
      <c r="R134">
        <v>575.73599999999999</v>
      </c>
      <c r="S134">
        <v>548.32000000000005</v>
      </c>
      <c r="T134">
        <v>4.7619047620000003</v>
      </c>
      <c r="U134">
        <v>27.416</v>
      </c>
      <c r="V134">
        <v>8.5</v>
      </c>
    </row>
    <row r="135" spans="1:22" x14ac:dyDescent="0.2">
      <c r="A135" t="s">
        <v>166</v>
      </c>
      <c r="B135" s="1">
        <v>43504</v>
      </c>
      <c r="C135" s="2">
        <v>0.46875</v>
      </c>
      <c r="D135" s="2" t="str">
        <f>IF(Table1[[#This Row],[Time]]&lt;$D$1,$C$1,IF(Table1[[#This Row],[Time]]&lt;$D$2,$C$2,$C$3))</f>
        <v>Morning</v>
      </c>
      <c r="E135">
        <f>MONTH(Table1[[#This Row],[Date]])</f>
        <v>2</v>
      </c>
      <c r="F135" t="str">
        <f>VLOOKUP(Table1[[#This Row],[Month]],dctMonth[],2,FALSE)</f>
        <v>February</v>
      </c>
      <c r="G135" t="s">
        <v>43</v>
      </c>
      <c r="H135" t="s">
        <v>44</v>
      </c>
      <c r="I135" t="s">
        <v>28</v>
      </c>
      <c r="J135" t="s">
        <v>22</v>
      </c>
      <c r="K135">
        <v>89</v>
      </c>
      <c r="L135" t="str">
        <f>IF(Table1[[#This Row],[Age]]&lt;20,"&lt;20",IF(Table1[[#This Row],[Age]]&lt;=70,"20-70","&gt;70"))</f>
        <v>&gt;70</v>
      </c>
      <c r="M135" t="s">
        <v>37</v>
      </c>
      <c r="N135" t="s">
        <v>24</v>
      </c>
      <c r="O135">
        <v>90.28</v>
      </c>
      <c r="P135">
        <v>9</v>
      </c>
      <c r="Q135">
        <v>40.625999999999998</v>
      </c>
      <c r="R135">
        <v>853.14599999999996</v>
      </c>
      <c r="S135">
        <v>812.52</v>
      </c>
      <c r="T135">
        <v>4.7619047620000003</v>
      </c>
      <c r="U135">
        <v>40.625999999999998</v>
      </c>
      <c r="V135">
        <v>7.2</v>
      </c>
    </row>
    <row r="136" spans="1:22" x14ac:dyDescent="0.2">
      <c r="A136" t="s">
        <v>167</v>
      </c>
      <c r="B136" s="1">
        <v>43490</v>
      </c>
      <c r="C136" s="2">
        <v>0.5541666666666667</v>
      </c>
      <c r="D136" s="2" t="str">
        <f>IF(Table1[[#This Row],[Time]]&lt;$D$1,$C$1,IF(Table1[[#This Row],[Time]]&lt;$D$2,$C$2,$C$3))</f>
        <v>Afternoon</v>
      </c>
      <c r="E136">
        <f>MONTH(Table1[[#This Row],[Date]])</f>
        <v>1</v>
      </c>
      <c r="F136" t="str">
        <f>VLOOKUP(Table1[[#This Row],[Month]],dctMonth[],2,FALSE)</f>
        <v>January</v>
      </c>
      <c r="G136" t="s">
        <v>43</v>
      </c>
      <c r="H136" t="s">
        <v>44</v>
      </c>
      <c r="I136" t="s">
        <v>28</v>
      </c>
      <c r="J136" t="s">
        <v>22</v>
      </c>
      <c r="K136">
        <v>64</v>
      </c>
      <c r="L136" t="str">
        <f>IF(Table1[[#This Row],[Age]]&lt;20,"&lt;20",IF(Table1[[#This Row],[Age]]&lt;=70,"20-70","&gt;70"))</f>
        <v>20-70</v>
      </c>
      <c r="M136" t="s">
        <v>47</v>
      </c>
      <c r="N136" t="s">
        <v>30</v>
      </c>
      <c r="O136">
        <v>39.619999999999997</v>
      </c>
      <c r="P136">
        <v>7</v>
      </c>
      <c r="Q136">
        <v>13.867000000000001</v>
      </c>
      <c r="R136">
        <v>291.20699999999999</v>
      </c>
      <c r="S136">
        <v>277.33999999999997</v>
      </c>
      <c r="T136">
        <v>4.7619047620000003</v>
      </c>
      <c r="U136">
        <v>13.867000000000001</v>
      </c>
      <c r="V136">
        <v>7.5</v>
      </c>
    </row>
    <row r="137" spans="1:22" x14ac:dyDescent="0.2">
      <c r="A137" t="s">
        <v>168</v>
      </c>
      <c r="B137" s="1">
        <v>43530</v>
      </c>
      <c r="C137" s="2">
        <v>0.8569444444444444</v>
      </c>
      <c r="D137" s="2" t="str">
        <f>IF(Table1[[#This Row],[Time]]&lt;$D$1,$C$1,IF(Table1[[#This Row],[Time]]&lt;$D$2,$C$2,$C$3))</f>
        <v>Evening</v>
      </c>
      <c r="E137">
        <f>MONTH(Table1[[#This Row],[Date]])</f>
        <v>3</v>
      </c>
      <c r="F137" t="str">
        <f>VLOOKUP(Table1[[#This Row],[Month]],dctMonth[],2,FALSE)</f>
        <v>March</v>
      </c>
      <c r="G137" t="s">
        <v>19</v>
      </c>
      <c r="H137" t="s">
        <v>20</v>
      </c>
      <c r="I137" t="s">
        <v>21</v>
      </c>
      <c r="J137" t="s">
        <v>22</v>
      </c>
      <c r="K137">
        <v>48</v>
      </c>
      <c r="L137" t="str">
        <f>IF(Table1[[#This Row],[Age]]&lt;20,"&lt;20",IF(Table1[[#This Row],[Age]]&lt;=70,"20-70","&gt;70"))</f>
        <v>20-70</v>
      </c>
      <c r="M137" t="s">
        <v>37</v>
      </c>
      <c r="N137" t="s">
        <v>30</v>
      </c>
      <c r="O137">
        <v>92.13</v>
      </c>
      <c r="P137">
        <v>6</v>
      </c>
      <c r="Q137">
        <v>27.638999999999999</v>
      </c>
      <c r="R137">
        <v>580.41899999999998</v>
      </c>
      <c r="S137">
        <v>552.78</v>
      </c>
      <c r="T137">
        <v>4.7619047620000003</v>
      </c>
      <c r="U137">
        <v>27.638999999999999</v>
      </c>
      <c r="V137">
        <v>8.3000000000000007</v>
      </c>
    </row>
    <row r="138" spans="1:22" x14ac:dyDescent="0.2">
      <c r="A138" t="s">
        <v>169</v>
      </c>
      <c r="B138" s="1">
        <v>43506</v>
      </c>
      <c r="C138" s="2">
        <v>0.77500000000000002</v>
      </c>
      <c r="D138" s="2" t="str">
        <f>IF(Table1[[#This Row],[Time]]&lt;$D$1,$C$1,IF(Table1[[#This Row],[Time]]&lt;$D$2,$C$2,$C$3))</f>
        <v>Evening</v>
      </c>
      <c r="E138">
        <f>MONTH(Table1[[#This Row],[Date]])</f>
        <v>2</v>
      </c>
      <c r="F138" t="str">
        <f>VLOOKUP(Table1[[#This Row],[Month]],dctMonth[],2,FALSE)</f>
        <v>February</v>
      </c>
      <c r="G138" t="s">
        <v>43</v>
      </c>
      <c r="H138" t="s">
        <v>44</v>
      </c>
      <c r="I138" t="s">
        <v>28</v>
      </c>
      <c r="J138" t="s">
        <v>22</v>
      </c>
      <c r="K138">
        <v>51</v>
      </c>
      <c r="L138" t="str">
        <f>IF(Table1[[#This Row],[Age]]&lt;20,"&lt;20",IF(Table1[[#This Row],[Age]]&lt;=70,"20-70","&gt;70"))</f>
        <v>20-70</v>
      </c>
      <c r="M138" t="s">
        <v>37</v>
      </c>
      <c r="N138" t="s">
        <v>30</v>
      </c>
      <c r="O138">
        <v>34.840000000000003</v>
      </c>
      <c r="P138">
        <v>4</v>
      </c>
      <c r="Q138">
        <v>6.968</v>
      </c>
      <c r="R138">
        <v>146.328</v>
      </c>
      <c r="S138">
        <v>139.36000000000001</v>
      </c>
      <c r="T138">
        <v>4.7619047620000003</v>
      </c>
      <c r="U138">
        <v>6.968</v>
      </c>
      <c r="V138">
        <v>7.4</v>
      </c>
    </row>
    <row r="139" spans="1:22" x14ac:dyDescent="0.2">
      <c r="A139" t="s">
        <v>170</v>
      </c>
      <c r="B139" s="1">
        <v>43513</v>
      </c>
      <c r="C139" s="2">
        <v>0.61111111111111116</v>
      </c>
      <c r="D139" s="2" t="str">
        <f>IF(Table1[[#This Row],[Time]]&lt;$D$1,$C$1,IF(Table1[[#This Row],[Time]]&lt;$D$2,$C$2,$C$3))</f>
        <v>Afternoon</v>
      </c>
      <c r="E139">
        <f>MONTH(Table1[[#This Row],[Date]])</f>
        <v>2</v>
      </c>
      <c r="F139" t="str">
        <f>VLOOKUP(Table1[[#This Row],[Month]],dctMonth[],2,FALSE)</f>
        <v>February</v>
      </c>
      <c r="G139" t="s">
        <v>43</v>
      </c>
      <c r="H139" t="s">
        <v>44</v>
      </c>
      <c r="I139" t="s">
        <v>21</v>
      </c>
      <c r="J139" t="s">
        <v>32</v>
      </c>
      <c r="K139">
        <v>89</v>
      </c>
      <c r="L139" t="str">
        <f>IF(Table1[[#This Row],[Age]]&lt;20,"&lt;20",IF(Table1[[#This Row],[Age]]&lt;=70,"20-70","&gt;70"))</f>
        <v>&gt;70</v>
      </c>
      <c r="M139" t="s">
        <v>29</v>
      </c>
      <c r="N139" t="s">
        <v>34</v>
      </c>
      <c r="O139">
        <v>87.45</v>
      </c>
      <c r="P139">
        <v>6</v>
      </c>
      <c r="Q139">
        <v>26.234999999999999</v>
      </c>
      <c r="R139">
        <v>550.93499999999995</v>
      </c>
      <c r="S139">
        <v>524.70000000000005</v>
      </c>
      <c r="T139">
        <v>4.7619047620000003</v>
      </c>
      <c r="U139">
        <v>26.234999999999999</v>
      </c>
      <c r="V139">
        <v>8.8000000000000007</v>
      </c>
    </row>
    <row r="140" spans="1:22" x14ac:dyDescent="0.2">
      <c r="A140" t="s">
        <v>171</v>
      </c>
      <c r="B140" s="1">
        <v>43532</v>
      </c>
      <c r="C140" s="2">
        <v>0.69652777777777775</v>
      </c>
      <c r="D140" s="2" t="str">
        <f>IF(Table1[[#This Row],[Time]]&lt;$D$1,$C$1,IF(Table1[[#This Row],[Time]]&lt;$D$2,$C$2,$C$3))</f>
        <v>Afternoon</v>
      </c>
      <c r="E140">
        <f>MONTH(Table1[[#This Row],[Date]])</f>
        <v>3</v>
      </c>
      <c r="F140" t="str">
        <f>VLOOKUP(Table1[[#This Row],[Month]],dctMonth[],2,FALSE)</f>
        <v>March</v>
      </c>
      <c r="G140" t="s">
        <v>26</v>
      </c>
      <c r="H140" t="s">
        <v>27</v>
      </c>
      <c r="I140" t="s">
        <v>28</v>
      </c>
      <c r="J140" t="s">
        <v>22</v>
      </c>
      <c r="K140">
        <v>59</v>
      </c>
      <c r="L140" t="str">
        <f>IF(Table1[[#This Row],[Age]]&lt;20,"&lt;20",IF(Table1[[#This Row],[Age]]&lt;=70,"20-70","&gt;70"))</f>
        <v>20-70</v>
      </c>
      <c r="M140" t="s">
        <v>23</v>
      </c>
      <c r="N140" t="s">
        <v>24</v>
      </c>
      <c r="O140">
        <v>81.3</v>
      </c>
      <c r="P140">
        <v>6</v>
      </c>
      <c r="Q140">
        <v>24.39</v>
      </c>
      <c r="R140">
        <v>512.19000000000005</v>
      </c>
      <c r="S140">
        <v>487.8</v>
      </c>
      <c r="T140">
        <v>4.7619047620000003</v>
      </c>
      <c r="U140">
        <v>24.39</v>
      </c>
      <c r="V140">
        <v>5.3</v>
      </c>
    </row>
    <row r="141" spans="1:22" x14ac:dyDescent="0.2">
      <c r="A141" t="s">
        <v>172</v>
      </c>
      <c r="B141" s="1">
        <v>43514</v>
      </c>
      <c r="C141" s="2">
        <v>0.81874999999999998</v>
      </c>
      <c r="D141" s="2" t="str">
        <f>IF(Table1[[#This Row],[Time]]&lt;$D$1,$C$1,IF(Table1[[#This Row],[Time]]&lt;$D$2,$C$2,$C$3))</f>
        <v>Evening</v>
      </c>
      <c r="E141">
        <f>MONTH(Table1[[#This Row],[Date]])</f>
        <v>2</v>
      </c>
      <c r="F141" t="str">
        <f>VLOOKUP(Table1[[#This Row],[Month]],dctMonth[],2,FALSE)</f>
        <v>February</v>
      </c>
      <c r="G141" t="s">
        <v>26</v>
      </c>
      <c r="H141" t="s">
        <v>27</v>
      </c>
      <c r="I141" t="s">
        <v>28</v>
      </c>
      <c r="J141" t="s">
        <v>32</v>
      </c>
      <c r="K141">
        <v>28</v>
      </c>
      <c r="L141" t="str">
        <f>IF(Table1[[#This Row],[Age]]&lt;20,"&lt;20",IF(Table1[[#This Row],[Age]]&lt;=70,"20-70","&gt;70"))</f>
        <v>20-70</v>
      </c>
      <c r="M141" t="s">
        <v>47</v>
      </c>
      <c r="N141" t="s">
        <v>30</v>
      </c>
      <c r="O141">
        <v>90.22</v>
      </c>
      <c r="P141">
        <v>3</v>
      </c>
      <c r="Q141">
        <v>13.532999999999999</v>
      </c>
      <c r="R141">
        <v>284.19299999999998</v>
      </c>
      <c r="S141">
        <v>270.66000000000003</v>
      </c>
      <c r="T141">
        <v>4.7619047620000003</v>
      </c>
      <c r="U141">
        <v>13.532999999999999</v>
      </c>
      <c r="V141">
        <v>6.2</v>
      </c>
    </row>
    <row r="142" spans="1:22" x14ac:dyDescent="0.2">
      <c r="A142" t="s">
        <v>173</v>
      </c>
      <c r="B142" s="1">
        <v>43483</v>
      </c>
      <c r="C142" s="2">
        <v>0.87430555555555556</v>
      </c>
      <c r="D142" s="2" t="str">
        <f>IF(Table1[[#This Row],[Time]]&lt;$D$1,$C$1,IF(Table1[[#This Row],[Time]]&lt;$D$2,$C$2,$C$3))</f>
        <v>Evening</v>
      </c>
      <c r="E142">
        <f>MONTH(Table1[[#This Row],[Date]])</f>
        <v>1</v>
      </c>
      <c r="F142" t="str">
        <f>VLOOKUP(Table1[[#This Row],[Month]],dctMonth[],2,FALSE)</f>
        <v>January</v>
      </c>
      <c r="G142" t="s">
        <v>19</v>
      </c>
      <c r="H142" t="s">
        <v>20</v>
      </c>
      <c r="I142" t="s">
        <v>28</v>
      </c>
      <c r="J142" t="s">
        <v>22</v>
      </c>
      <c r="K142">
        <v>85</v>
      </c>
      <c r="L142" t="str">
        <f>IF(Table1[[#This Row],[Age]]&lt;20,"&lt;20",IF(Table1[[#This Row],[Age]]&lt;=70,"20-70","&gt;70"))</f>
        <v>&gt;70</v>
      </c>
      <c r="M142" t="s">
        <v>29</v>
      </c>
      <c r="N142" t="s">
        <v>34</v>
      </c>
      <c r="O142">
        <v>26.31</v>
      </c>
      <c r="P142">
        <v>5</v>
      </c>
      <c r="Q142">
        <v>6.5774999999999997</v>
      </c>
      <c r="R142">
        <v>138.1275</v>
      </c>
      <c r="S142">
        <v>131.55000000000001</v>
      </c>
      <c r="T142">
        <v>4.7619047620000003</v>
      </c>
      <c r="U142">
        <v>6.5774999999999997</v>
      </c>
      <c r="V142">
        <v>8.8000000000000007</v>
      </c>
    </row>
    <row r="143" spans="1:22" x14ac:dyDescent="0.2">
      <c r="A143" t="s">
        <v>174</v>
      </c>
      <c r="B143" s="1">
        <v>43514</v>
      </c>
      <c r="C143" s="2">
        <v>0.65208333333333335</v>
      </c>
      <c r="D143" s="2" t="str">
        <f>IF(Table1[[#This Row],[Time]]&lt;$D$1,$C$1,IF(Table1[[#This Row],[Time]]&lt;$D$2,$C$2,$C$3))</f>
        <v>Afternoon</v>
      </c>
      <c r="E143">
        <f>MONTH(Table1[[#This Row],[Date]])</f>
        <v>2</v>
      </c>
      <c r="F143" t="str">
        <f>VLOOKUP(Table1[[#This Row],[Month]],dctMonth[],2,FALSE)</f>
        <v>February</v>
      </c>
      <c r="G143" t="s">
        <v>19</v>
      </c>
      <c r="H143" t="s">
        <v>20</v>
      </c>
      <c r="I143" t="s">
        <v>21</v>
      </c>
      <c r="J143" t="s">
        <v>22</v>
      </c>
      <c r="K143">
        <v>30</v>
      </c>
      <c r="L143" t="str">
        <f>IF(Table1[[#This Row],[Age]]&lt;20,"&lt;20",IF(Table1[[#This Row],[Age]]&lt;=70,"20-70","&gt;70"))</f>
        <v>20-70</v>
      </c>
      <c r="M143" t="s">
        <v>33</v>
      </c>
      <c r="N143" t="s">
        <v>30</v>
      </c>
      <c r="O143">
        <v>34.42</v>
      </c>
      <c r="P143">
        <v>6</v>
      </c>
      <c r="Q143">
        <v>10.326000000000001</v>
      </c>
      <c r="R143">
        <v>216.846</v>
      </c>
      <c r="S143">
        <v>206.52</v>
      </c>
      <c r="T143">
        <v>4.7619047620000003</v>
      </c>
      <c r="U143">
        <v>10.326000000000001</v>
      </c>
      <c r="V143">
        <v>9.8000000000000007</v>
      </c>
    </row>
    <row r="144" spans="1:22" x14ac:dyDescent="0.2">
      <c r="A144" t="s">
        <v>175</v>
      </c>
      <c r="B144" s="1">
        <v>43512</v>
      </c>
      <c r="C144" s="2">
        <v>0.51458333333333328</v>
      </c>
      <c r="D144" s="2" t="str">
        <f>IF(Table1[[#This Row],[Time]]&lt;$D$1,$C$1,IF(Table1[[#This Row],[Time]]&lt;$D$2,$C$2,$C$3))</f>
        <v>Afternoon</v>
      </c>
      <c r="E144">
        <f>MONTH(Table1[[#This Row],[Date]])</f>
        <v>2</v>
      </c>
      <c r="F144" t="str">
        <f>VLOOKUP(Table1[[#This Row],[Month]],dctMonth[],2,FALSE)</f>
        <v>February</v>
      </c>
      <c r="G144" t="s">
        <v>43</v>
      </c>
      <c r="H144" t="s">
        <v>44</v>
      </c>
      <c r="I144" t="s">
        <v>28</v>
      </c>
      <c r="J144" t="s">
        <v>32</v>
      </c>
      <c r="K144">
        <v>51</v>
      </c>
      <c r="L144" t="str">
        <f>IF(Table1[[#This Row],[Age]]&lt;20,"&lt;20",IF(Table1[[#This Row],[Age]]&lt;=70,"20-70","&gt;70"))</f>
        <v>20-70</v>
      </c>
      <c r="M144" t="s">
        <v>37</v>
      </c>
      <c r="N144" t="s">
        <v>30</v>
      </c>
      <c r="O144">
        <v>51.91</v>
      </c>
      <c r="P144">
        <v>10</v>
      </c>
      <c r="Q144">
        <v>25.954999999999998</v>
      </c>
      <c r="R144">
        <v>545.05499999999995</v>
      </c>
      <c r="S144">
        <v>519.1</v>
      </c>
      <c r="T144">
        <v>4.7619047620000003</v>
      </c>
      <c r="U144">
        <v>25.954999999999998</v>
      </c>
      <c r="V144">
        <v>8.1999999999999993</v>
      </c>
    </row>
    <row r="145" spans="1:22" x14ac:dyDescent="0.2">
      <c r="A145" t="s">
        <v>176</v>
      </c>
      <c r="B145" s="1">
        <v>43540</v>
      </c>
      <c r="C145" s="2">
        <v>0.80902777777777779</v>
      </c>
      <c r="D145" s="2" t="str">
        <f>IF(Table1[[#This Row],[Time]]&lt;$D$1,$C$1,IF(Table1[[#This Row],[Time]]&lt;$D$2,$C$2,$C$3))</f>
        <v>Evening</v>
      </c>
      <c r="E145">
        <f>MONTH(Table1[[#This Row],[Date]])</f>
        <v>3</v>
      </c>
      <c r="F145" t="str">
        <f>VLOOKUP(Table1[[#This Row],[Month]],dctMonth[],2,FALSE)</f>
        <v>March</v>
      </c>
      <c r="G145" t="s">
        <v>19</v>
      </c>
      <c r="H145" t="s">
        <v>20</v>
      </c>
      <c r="I145" t="s">
        <v>28</v>
      </c>
      <c r="J145" t="s">
        <v>32</v>
      </c>
      <c r="K145">
        <v>76</v>
      </c>
      <c r="L145" t="str">
        <f>IF(Table1[[#This Row],[Age]]&lt;20,"&lt;20",IF(Table1[[#This Row],[Age]]&lt;=70,"20-70","&gt;70"))</f>
        <v>&gt;70</v>
      </c>
      <c r="M145" t="s">
        <v>37</v>
      </c>
      <c r="N145" t="s">
        <v>24</v>
      </c>
      <c r="O145">
        <v>72.5</v>
      </c>
      <c r="P145">
        <v>8</v>
      </c>
      <c r="Q145">
        <v>29</v>
      </c>
      <c r="R145">
        <v>609</v>
      </c>
      <c r="S145">
        <v>580</v>
      </c>
      <c r="T145">
        <v>4.7619047620000003</v>
      </c>
      <c r="U145">
        <v>29</v>
      </c>
      <c r="V145">
        <v>9.1999999999999993</v>
      </c>
    </row>
    <row r="146" spans="1:22" x14ac:dyDescent="0.2">
      <c r="A146" t="s">
        <v>177</v>
      </c>
      <c r="B146" s="1">
        <v>43488</v>
      </c>
      <c r="C146" s="2">
        <v>0.54166666666666663</v>
      </c>
      <c r="D146" s="2" t="str">
        <f>IF(Table1[[#This Row],[Time]]&lt;$D$1,$C$1,IF(Table1[[#This Row],[Time]]&lt;$D$2,$C$2,$C$3))</f>
        <v>Afternoon</v>
      </c>
      <c r="E146">
        <f>MONTH(Table1[[#This Row],[Date]])</f>
        <v>1</v>
      </c>
      <c r="F146" t="str">
        <f>VLOOKUP(Table1[[#This Row],[Month]],dctMonth[],2,FALSE)</f>
        <v>January</v>
      </c>
      <c r="G146" t="s">
        <v>26</v>
      </c>
      <c r="H146" t="s">
        <v>27</v>
      </c>
      <c r="I146" t="s">
        <v>21</v>
      </c>
      <c r="J146" t="s">
        <v>22</v>
      </c>
      <c r="K146">
        <v>45</v>
      </c>
      <c r="L146" t="str">
        <f>IF(Table1[[#This Row],[Age]]&lt;20,"&lt;20",IF(Table1[[#This Row],[Age]]&lt;=70,"20-70","&gt;70"))</f>
        <v>20-70</v>
      </c>
      <c r="M146" t="s">
        <v>37</v>
      </c>
      <c r="N146" t="s">
        <v>34</v>
      </c>
      <c r="O146">
        <v>89.8</v>
      </c>
      <c r="P146">
        <v>10</v>
      </c>
      <c r="Q146">
        <v>44.9</v>
      </c>
      <c r="R146">
        <v>942.9</v>
      </c>
      <c r="S146">
        <v>898</v>
      </c>
      <c r="T146">
        <v>4.7619047620000003</v>
      </c>
      <c r="U146">
        <v>44.9</v>
      </c>
      <c r="V146">
        <v>5.4</v>
      </c>
    </row>
    <row r="147" spans="1:22" x14ac:dyDescent="0.2">
      <c r="A147" t="s">
        <v>178</v>
      </c>
      <c r="B147" s="1">
        <v>43490</v>
      </c>
      <c r="C147" s="2">
        <v>0.57499999999999996</v>
      </c>
      <c r="D147" s="2" t="str">
        <f>IF(Table1[[#This Row],[Time]]&lt;$D$1,$C$1,IF(Table1[[#This Row],[Time]]&lt;$D$2,$C$2,$C$3))</f>
        <v>Afternoon</v>
      </c>
      <c r="E147">
        <f>MONTH(Table1[[#This Row],[Date]])</f>
        <v>1</v>
      </c>
      <c r="F147" t="str">
        <f>VLOOKUP(Table1[[#This Row],[Month]],dctMonth[],2,FALSE)</f>
        <v>January</v>
      </c>
      <c r="G147" t="s">
        <v>26</v>
      </c>
      <c r="H147" t="s">
        <v>27</v>
      </c>
      <c r="I147" t="s">
        <v>21</v>
      </c>
      <c r="J147" t="s">
        <v>32</v>
      </c>
      <c r="K147">
        <v>89</v>
      </c>
      <c r="L147" t="str">
        <f>IF(Table1[[#This Row],[Age]]&lt;20,"&lt;20",IF(Table1[[#This Row],[Age]]&lt;=70,"20-70","&gt;70"))</f>
        <v>&gt;70</v>
      </c>
      <c r="M147" t="s">
        <v>23</v>
      </c>
      <c r="N147" t="s">
        <v>30</v>
      </c>
      <c r="O147">
        <v>90.5</v>
      </c>
      <c r="P147">
        <v>10</v>
      </c>
      <c r="Q147">
        <v>45.25</v>
      </c>
      <c r="R147">
        <v>950.25</v>
      </c>
      <c r="S147">
        <v>905</v>
      </c>
      <c r="T147">
        <v>4.7619047620000003</v>
      </c>
      <c r="U147">
        <v>45.25</v>
      </c>
      <c r="V147">
        <v>8.1</v>
      </c>
    </row>
    <row r="148" spans="1:22" x14ac:dyDescent="0.2">
      <c r="A148" t="s">
        <v>179</v>
      </c>
      <c r="B148" s="1">
        <v>43501</v>
      </c>
      <c r="C148" s="2">
        <v>0.83125000000000004</v>
      </c>
      <c r="D148" s="2" t="str">
        <f>IF(Table1[[#This Row],[Time]]&lt;$D$1,$C$1,IF(Table1[[#This Row],[Time]]&lt;$D$2,$C$2,$C$3))</f>
        <v>Evening</v>
      </c>
      <c r="E148">
        <f>MONTH(Table1[[#This Row],[Date]])</f>
        <v>2</v>
      </c>
      <c r="F148" t="str">
        <f>VLOOKUP(Table1[[#This Row],[Month]],dctMonth[],2,FALSE)</f>
        <v>February</v>
      </c>
      <c r="G148" t="s">
        <v>26</v>
      </c>
      <c r="H148" t="s">
        <v>27</v>
      </c>
      <c r="I148" t="s">
        <v>21</v>
      </c>
      <c r="J148" t="s">
        <v>22</v>
      </c>
      <c r="K148">
        <v>32</v>
      </c>
      <c r="L148" t="str">
        <f>IF(Table1[[#This Row],[Age]]&lt;20,"&lt;20",IF(Table1[[#This Row],[Age]]&lt;=70,"20-70","&gt;70"))</f>
        <v>20-70</v>
      </c>
      <c r="M148" t="s">
        <v>23</v>
      </c>
      <c r="N148" t="s">
        <v>30</v>
      </c>
      <c r="O148">
        <v>68.599999999999994</v>
      </c>
      <c r="P148">
        <v>10</v>
      </c>
      <c r="Q148">
        <v>34.299999999999997</v>
      </c>
      <c r="R148">
        <v>720.3</v>
      </c>
      <c r="S148">
        <v>686</v>
      </c>
      <c r="T148">
        <v>4.7619047620000003</v>
      </c>
      <c r="U148">
        <v>34.299999999999997</v>
      </c>
      <c r="V148">
        <v>9.1</v>
      </c>
    </row>
    <row r="149" spans="1:22" x14ac:dyDescent="0.2">
      <c r="A149" t="s">
        <v>180</v>
      </c>
      <c r="B149" s="1">
        <v>43518</v>
      </c>
      <c r="C149" s="2">
        <v>0.44166666666666665</v>
      </c>
      <c r="D149" s="2" t="str">
        <f>IF(Table1[[#This Row],[Time]]&lt;$D$1,$C$1,IF(Table1[[#This Row],[Time]]&lt;$D$2,$C$2,$C$3))</f>
        <v>Morning</v>
      </c>
      <c r="E149">
        <f>MONTH(Table1[[#This Row],[Date]])</f>
        <v>2</v>
      </c>
      <c r="F149" t="str">
        <f>VLOOKUP(Table1[[#This Row],[Month]],dctMonth[],2,FALSE)</f>
        <v>February</v>
      </c>
      <c r="G149" t="s">
        <v>26</v>
      </c>
      <c r="H149" t="s">
        <v>27</v>
      </c>
      <c r="I149" t="s">
        <v>21</v>
      </c>
      <c r="J149" t="s">
        <v>22</v>
      </c>
      <c r="K149">
        <v>18</v>
      </c>
      <c r="L149" t="str">
        <f>IF(Table1[[#This Row],[Age]]&lt;20,"&lt;20",IF(Table1[[#This Row],[Age]]&lt;=70,"20-70","&gt;70"))</f>
        <v>&lt;20</v>
      </c>
      <c r="M149" t="s">
        <v>45</v>
      </c>
      <c r="N149" t="s">
        <v>34</v>
      </c>
      <c r="O149">
        <v>30.41</v>
      </c>
      <c r="P149">
        <v>1</v>
      </c>
      <c r="Q149">
        <v>1.5205</v>
      </c>
      <c r="R149">
        <v>31.930499999999999</v>
      </c>
      <c r="S149">
        <v>30.41</v>
      </c>
      <c r="T149">
        <v>4.7619047620000003</v>
      </c>
      <c r="U149">
        <v>1.5205</v>
      </c>
      <c r="V149">
        <v>8.4</v>
      </c>
    </row>
    <row r="150" spans="1:22" x14ac:dyDescent="0.2">
      <c r="A150" t="s">
        <v>181</v>
      </c>
      <c r="B150" s="1">
        <v>43486</v>
      </c>
      <c r="C150" s="2">
        <v>0.69236111111111109</v>
      </c>
      <c r="D150" s="2" t="str">
        <f>IF(Table1[[#This Row],[Time]]&lt;$D$1,$C$1,IF(Table1[[#This Row],[Time]]&lt;$D$2,$C$2,$C$3))</f>
        <v>Afternoon</v>
      </c>
      <c r="E150">
        <f>MONTH(Table1[[#This Row],[Date]])</f>
        <v>1</v>
      </c>
      <c r="F150" t="str">
        <f>VLOOKUP(Table1[[#This Row],[Month]],dctMonth[],2,FALSE)</f>
        <v>January</v>
      </c>
      <c r="G150" t="s">
        <v>19</v>
      </c>
      <c r="H150" t="s">
        <v>20</v>
      </c>
      <c r="I150" t="s">
        <v>28</v>
      </c>
      <c r="J150" t="s">
        <v>22</v>
      </c>
      <c r="K150">
        <v>21</v>
      </c>
      <c r="L150" t="str">
        <f>IF(Table1[[#This Row],[Age]]&lt;20,"&lt;20",IF(Table1[[#This Row],[Age]]&lt;=70,"20-70","&gt;70"))</f>
        <v>20-70</v>
      </c>
      <c r="M150" t="s">
        <v>33</v>
      </c>
      <c r="N150" t="s">
        <v>24</v>
      </c>
      <c r="O150">
        <v>77.95</v>
      </c>
      <c r="P150">
        <v>6</v>
      </c>
      <c r="Q150">
        <v>23.385000000000002</v>
      </c>
      <c r="R150">
        <v>491.08499999999998</v>
      </c>
      <c r="S150">
        <v>467.7</v>
      </c>
      <c r="T150">
        <v>4.7619047620000003</v>
      </c>
      <c r="U150">
        <v>23.385000000000002</v>
      </c>
      <c r="V150">
        <v>8</v>
      </c>
    </row>
    <row r="151" spans="1:22" x14ac:dyDescent="0.2">
      <c r="A151" t="s">
        <v>182</v>
      </c>
      <c r="B151" s="1">
        <v>43532</v>
      </c>
      <c r="C151" s="2">
        <v>0.71597222222222223</v>
      </c>
      <c r="D151" s="2" t="str">
        <f>IF(Table1[[#This Row],[Time]]&lt;$D$1,$C$1,IF(Table1[[#This Row],[Time]]&lt;$D$2,$C$2,$C$3))</f>
        <v>Evening</v>
      </c>
      <c r="E151">
        <f>MONTH(Table1[[#This Row],[Date]])</f>
        <v>3</v>
      </c>
      <c r="F151" t="str">
        <f>VLOOKUP(Table1[[#This Row],[Month]],dctMonth[],2,FALSE)</f>
        <v>March</v>
      </c>
      <c r="G151" t="s">
        <v>26</v>
      </c>
      <c r="H151" t="s">
        <v>27</v>
      </c>
      <c r="I151" t="s">
        <v>28</v>
      </c>
      <c r="J151" t="s">
        <v>22</v>
      </c>
      <c r="K151">
        <v>44</v>
      </c>
      <c r="L151" t="str">
        <f>IF(Table1[[#This Row],[Age]]&lt;20,"&lt;20",IF(Table1[[#This Row],[Age]]&lt;=70,"20-70","&gt;70"))</f>
        <v>20-70</v>
      </c>
      <c r="M151" t="s">
        <v>23</v>
      </c>
      <c r="N151" t="s">
        <v>34</v>
      </c>
      <c r="O151">
        <v>46.26</v>
      </c>
      <c r="P151">
        <v>6</v>
      </c>
      <c r="Q151">
        <v>13.878</v>
      </c>
      <c r="R151">
        <v>291.43799999999999</v>
      </c>
      <c r="S151">
        <v>277.56</v>
      </c>
      <c r="T151">
        <v>4.7619047620000003</v>
      </c>
      <c r="U151">
        <v>13.878</v>
      </c>
      <c r="V151">
        <v>9.5</v>
      </c>
    </row>
    <row r="152" spans="1:22" x14ac:dyDescent="0.2">
      <c r="A152" t="s">
        <v>183</v>
      </c>
      <c r="B152" s="1">
        <v>43506</v>
      </c>
      <c r="C152" s="2">
        <v>0.51944444444444449</v>
      </c>
      <c r="D152" s="2" t="str">
        <f>IF(Table1[[#This Row],[Time]]&lt;$D$1,$C$1,IF(Table1[[#This Row],[Time]]&lt;$D$2,$C$2,$C$3))</f>
        <v>Afternoon</v>
      </c>
      <c r="E152">
        <f>MONTH(Table1[[#This Row],[Date]])</f>
        <v>2</v>
      </c>
      <c r="F152" t="str">
        <f>VLOOKUP(Table1[[#This Row],[Month]],dctMonth[],2,FALSE)</f>
        <v>February</v>
      </c>
      <c r="G152" t="s">
        <v>19</v>
      </c>
      <c r="H152" t="s">
        <v>20</v>
      </c>
      <c r="I152" t="s">
        <v>21</v>
      </c>
      <c r="J152" t="s">
        <v>22</v>
      </c>
      <c r="K152">
        <v>40</v>
      </c>
      <c r="L152" t="str">
        <f>IF(Table1[[#This Row],[Age]]&lt;20,"&lt;20",IF(Table1[[#This Row],[Age]]&lt;=70,"20-70","&gt;70"))</f>
        <v>20-70</v>
      </c>
      <c r="M152" t="s">
        <v>47</v>
      </c>
      <c r="N152" t="s">
        <v>24</v>
      </c>
      <c r="O152">
        <v>30.14</v>
      </c>
      <c r="P152">
        <v>10</v>
      </c>
      <c r="Q152">
        <v>15.07</v>
      </c>
      <c r="R152">
        <v>316.47000000000003</v>
      </c>
      <c r="S152">
        <v>301.39999999999998</v>
      </c>
      <c r="T152">
        <v>4.7619047620000003</v>
      </c>
      <c r="U152">
        <v>15.07</v>
      </c>
      <c r="V152">
        <v>9.1999999999999993</v>
      </c>
    </row>
    <row r="153" spans="1:22" x14ac:dyDescent="0.2">
      <c r="A153" t="s">
        <v>184</v>
      </c>
      <c r="B153" s="1">
        <v>43543</v>
      </c>
      <c r="C153" s="2">
        <v>0.53194444444444444</v>
      </c>
      <c r="D153" s="2" t="str">
        <f>IF(Table1[[#This Row],[Time]]&lt;$D$1,$C$1,IF(Table1[[#This Row],[Time]]&lt;$D$2,$C$2,$C$3))</f>
        <v>Afternoon</v>
      </c>
      <c r="E153">
        <f>MONTH(Table1[[#This Row],[Date]])</f>
        <v>3</v>
      </c>
      <c r="F153" t="str">
        <f>VLOOKUP(Table1[[#This Row],[Month]],dctMonth[],2,FALSE)</f>
        <v>March</v>
      </c>
      <c r="G153" t="s">
        <v>26</v>
      </c>
      <c r="H153" t="s">
        <v>27</v>
      </c>
      <c r="I153" t="s">
        <v>28</v>
      </c>
      <c r="J153" t="s">
        <v>32</v>
      </c>
      <c r="K153">
        <v>62</v>
      </c>
      <c r="L153" t="str">
        <f>IF(Table1[[#This Row],[Age]]&lt;20,"&lt;20",IF(Table1[[#This Row],[Age]]&lt;=70,"20-70","&gt;70"))</f>
        <v>20-70</v>
      </c>
      <c r="M153" t="s">
        <v>23</v>
      </c>
      <c r="N153" t="s">
        <v>34</v>
      </c>
      <c r="O153">
        <v>66.14</v>
      </c>
      <c r="P153">
        <v>4</v>
      </c>
      <c r="Q153">
        <v>13.228</v>
      </c>
      <c r="R153">
        <v>277.78800000000001</v>
      </c>
      <c r="S153">
        <v>264.56</v>
      </c>
      <c r="T153">
        <v>4.7619047620000003</v>
      </c>
      <c r="U153">
        <v>13.228</v>
      </c>
      <c r="V153">
        <v>5.6</v>
      </c>
    </row>
    <row r="154" spans="1:22" x14ac:dyDescent="0.2">
      <c r="A154" t="s">
        <v>185</v>
      </c>
      <c r="B154" s="1">
        <v>43530</v>
      </c>
      <c r="C154" s="2">
        <v>0.62986111111111109</v>
      </c>
      <c r="D154" s="2" t="str">
        <f>IF(Table1[[#This Row],[Time]]&lt;$D$1,$C$1,IF(Table1[[#This Row],[Time]]&lt;$D$2,$C$2,$C$3))</f>
        <v>Afternoon</v>
      </c>
      <c r="E154">
        <f>MONTH(Table1[[#This Row],[Date]])</f>
        <v>3</v>
      </c>
      <c r="F154" t="str">
        <f>VLOOKUP(Table1[[#This Row],[Month]],dctMonth[],2,FALSE)</f>
        <v>March</v>
      </c>
      <c r="G154" t="s">
        <v>43</v>
      </c>
      <c r="H154" t="s">
        <v>44</v>
      </c>
      <c r="I154" t="s">
        <v>21</v>
      </c>
      <c r="J154" t="s">
        <v>32</v>
      </c>
      <c r="K154">
        <v>79</v>
      </c>
      <c r="L154" t="str">
        <f>IF(Table1[[#This Row],[Age]]&lt;20,"&lt;20",IF(Table1[[#This Row],[Age]]&lt;=70,"20-70","&gt;70"))</f>
        <v>&gt;70</v>
      </c>
      <c r="M154" t="s">
        <v>33</v>
      </c>
      <c r="N154" t="s">
        <v>34</v>
      </c>
      <c r="O154">
        <v>71.86</v>
      </c>
      <c r="P154">
        <v>8</v>
      </c>
      <c r="Q154">
        <v>28.744</v>
      </c>
      <c r="R154">
        <v>603.62400000000002</v>
      </c>
      <c r="S154">
        <v>574.88</v>
      </c>
      <c r="T154">
        <v>4.7619047620000003</v>
      </c>
      <c r="U154">
        <v>28.744</v>
      </c>
      <c r="V154">
        <v>6.2</v>
      </c>
    </row>
    <row r="155" spans="1:22" x14ac:dyDescent="0.2">
      <c r="A155" t="s">
        <v>186</v>
      </c>
      <c r="B155" s="1">
        <v>43551</v>
      </c>
      <c r="C155" s="2">
        <v>0.57499999999999996</v>
      </c>
      <c r="D155" s="2" t="str">
        <f>IF(Table1[[#This Row],[Time]]&lt;$D$1,$C$1,IF(Table1[[#This Row],[Time]]&lt;$D$2,$C$2,$C$3))</f>
        <v>Afternoon</v>
      </c>
      <c r="E155">
        <f>MONTH(Table1[[#This Row],[Date]])</f>
        <v>3</v>
      </c>
      <c r="F155" t="str">
        <f>VLOOKUP(Table1[[#This Row],[Month]],dctMonth[],2,FALSE)</f>
        <v>March</v>
      </c>
      <c r="G155" t="s">
        <v>19</v>
      </c>
      <c r="H155" t="s">
        <v>20</v>
      </c>
      <c r="I155" t="s">
        <v>28</v>
      </c>
      <c r="J155" t="s">
        <v>32</v>
      </c>
      <c r="K155">
        <v>87</v>
      </c>
      <c r="L155" t="str">
        <f>IF(Table1[[#This Row],[Age]]&lt;20,"&lt;20",IF(Table1[[#This Row],[Age]]&lt;=70,"20-70","&gt;70"))</f>
        <v>&gt;70</v>
      </c>
      <c r="M155" t="s">
        <v>23</v>
      </c>
      <c r="N155" t="s">
        <v>34</v>
      </c>
      <c r="O155">
        <v>32.46</v>
      </c>
      <c r="P155">
        <v>8</v>
      </c>
      <c r="Q155">
        <v>12.984</v>
      </c>
      <c r="R155">
        <v>272.66399999999999</v>
      </c>
      <c r="S155">
        <v>259.68</v>
      </c>
      <c r="T155">
        <v>4.7619047620000003</v>
      </c>
      <c r="U155">
        <v>12.984</v>
      </c>
      <c r="V155">
        <v>4.9000000000000004</v>
      </c>
    </row>
    <row r="156" spans="1:22" x14ac:dyDescent="0.2">
      <c r="A156" t="s">
        <v>187</v>
      </c>
      <c r="B156" s="1">
        <v>43547</v>
      </c>
      <c r="C156" s="2">
        <v>0.80555555555555558</v>
      </c>
      <c r="D156" s="2" t="str">
        <f>IF(Table1[[#This Row],[Time]]&lt;$D$1,$C$1,IF(Table1[[#This Row],[Time]]&lt;$D$2,$C$2,$C$3))</f>
        <v>Evening</v>
      </c>
      <c r="E156">
        <f>MONTH(Table1[[#This Row],[Date]])</f>
        <v>3</v>
      </c>
      <c r="F156" t="str">
        <f>VLOOKUP(Table1[[#This Row],[Month]],dctMonth[],2,FALSE)</f>
        <v>March</v>
      </c>
      <c r="G156" t="s">
        <v>43</v>
      </c>
      <c r="H156" t="s">
        <v>44</v>
      </c>
      <c r="I156" t="s">
        <v>21</v>
      </c>
      <c r="J156" t="s">
        <v>22</v>
      </c>
      <c r="K156">
        <v>24</v>
      </c>
      <c r="L156" t="str">
        <f>IF(Table1[[#This Row],[Age]]&lt;20,"&lt;20",IF(Table1[[#This Row],[Age]]&lt;=70,"20-70","&gt;70"))</f>
        <v>20-70</v>
      </c>
      <c r="M156" t="s">
        <v>47</v>
      </c>
      <c r="N156" t="s">
        <v>34</v>
      </c>
      <c r="O156">
        <v>91.54</v>
      </c>
      <c r="P156">
        <v>4</v>
      </c>
      <c r="Q156">
        <v>18.308</v>
      </c>
      <c r="R156">
        <v>384.46800000000002</v>
      </c>
      <c r="S156">
        <v>366.16</v>
      </c>
      <c r="T156">
        <v>4.7619047620000003</v>
      </c>
      <c r="U156">
        <v>18.308</v>
      </c>
      <c r="V156">
        <v>4.8</v>
      </c>
    </row>
    <row r="157" spans="1:22" x14ac:dyDescent="0.2">
      <c r="A157" t="s">
        <v>188</v>
      </c>
      <c r="B157" s="1">
        <v>43535</v>
      </c>
      <c r="C157" s="2">
        <v>0.67152777777777772</v>
      </c>
      <c r="D157" s="2" t="str">
        <f>IF(Table1[[#This Row],[Time]]&lt;$D$1,$C$1,IF(Table1[[#This Row],[Time]]&lt;$D$2,$C$2,$C$3))</f>
        <v>Afternoon</v>
      </c>
      <c r="E157">
        <f>MONTH(Table1[[#This Row],[Date]])</f>
        <v>3</v>
      </c>
      <c r="F157" t="str">
        <f>VLOOKUP(Table1[[#This Row],[Month]],dctMonth[],2,FALSE)</f>
        <v>March</v>
      </c>
      <c r="G157" t="s">
        <v>26</v>
      </c>
      <c r="H157" t="s">
        <v>27</v>
      </c>
      <c r="I157" t="s">
        <v>21</v>
      </c>
      <c r="J157" t="s">
        <v>32</v>
      </c>
      <c r="K157">
        <v>43</v>
      </c>
      <c r="L157" t="str">
        <f>IF(Table1[[#This Row],[Age]]&lt;20,"&lt;20",IF(Table1[[#This Row],[Age]]&lt;=70,"20-70","&gt;70"))</f>
        <v>20-70</v>
      </c>
      <c r="M157" t="s">
        <v>37</v>
      </c>
      <c r="N157" t="s">
        <v>34</v>
      </c>
      <c r="O157">
        <v>34.56</v>
      </c>
      <c r="P157">
        <v>7</v>
      </c>
      <c r="Q157">
        <v>12.096</v>
      </c>
      <c r="R157">
        <v>254.01599999999999</v>
      </c>
      <c r="S157">
        <v>241.92</v>
      </c>
      <c r="T157">
        <v>4.7619047620000003</v>
      </c>
      <c r="U157">
        <v>12.096</v>
      </c>
      <c r="V157">
        <v>7.3</v>
      </c>
    </row>
    <row r="158" spans="1:22" x14ac:dyDescent="0.2">
      <c r="A158" t="s">
        <v>189</v>
      </c>
      <c r="B158" s="1">
        <v>43494</v>
      </c>
      <c r="C158" s="2">
        <v>0.49722222222222223</v>
      </c>
      <c r="D158" s="2" t="str">
        <f>IF(Table1[[#This Row],[Time]]&lt;$D$1,$C$1,IF(Table1[[#This Row],[Time]]&lt;$D$2,$C$2,$C$3))</f>
        <v>Morning</v>
      </c>
      <c r="E158">
        <f>MONTH(Table1[[#This Row],[Date]])</f>
        <v>1</v>
      </c>
      <c r="F158" t="str">
        <f>VLOOKUP(Table1[[#This Row],[Month]],dctMonth[],2,FALSE)</f>
        <v>January</v>
      </c>
      <c r="G158" t="s">
        <v>19</v>
      </c>
      <c r="H158" t="s">
        <v>20</v>
      </c>
      <c r="I158" t="s">
        <v>28</v>
      </c>
      <c r="J158" t="s">
        <v>32</v>
      </c>
      <c r="K158">
        <v>69</v>
      </c>
      <c r="L158" t="str">
        <f>IF(Table1[[#This Row],[Age]]&lt;20,"&lt;20",IF(Table1[[#This Row],[Age]]&lt;=70,"20-70","&gt;70"))</f>
        <v>20-70</v>
      </c>
      <c r="M158" t="s">
        <v>47</v>
      </c>
      <c r="N158" t="s">
        <v>34</v>
      </c>
      <c r="O158">
        <v>83.24</v>
      </c>
      <c r="P158">
        <v>9</v>
      </c>
      <c r="Q158">
        <v>37.457999999999998</v>
      </c>
      <c r="R158">
        <v>786.61800000000005</v>
      </c>
      <c r="S158">
        <v>749.16</v>
      </c>
      <c r="T158">
        <v>4.7619047620000003</v>
      </c>
      <c r="U158">
        <v>37.457999999999998</v>
      </c>
      <c r="V158">
        <v>7.4</v>
      </c>
    </row>
    <row r="159" spans="1:22" x14ac:dyDescent="0.2">
      <c r="A159" t="s">
        <v>190</v>
      </c>
      <c r="B159" s="1">
        <v>43503</v>
      </c>
      <c r="C159" s="2">
        <v>0.76597222222222228</v>
      </c>
      <c r="D159" s="2" t="str">
        <f>IF(Table1[[#This Row],[Time]]&lt;$D$1,$C$1,IF(Table1[[#This Row],[Time]]&lt;$D$2,$C$2,$C$3))</f>
        <v>Evening</v>
      </c>
      <c r="E159">
        <f>MONTH(Table1[[#This Row],[Date]])</f>
        <v>2</v>
      </c>
      <c r="F159" t="str">
        <f>VLOOKUP(Table1[[#This Row],[Month]],dctMonth[],2,FALSE)</f>
        <v>February</v>
      </c>
      <c r="G159" t="s">
        <v>26</v>
      </c>
      <c r="H159" t="s">
        <v>27</v>
      </c>
      <c r="I159" t="s">
        <v>28</v>
      </c>
      <c r="J159" t="s">
        <v>22</v>
      </c>
      <c r="K159">
        <v>59</v>
      </c>
      <c r="L159" t="str">
        <f>IF(Table1[[#This Row],[Age]]&lt;20,"&lt;20",IF(Table1[[#This Row],[Age]]&lt;=70,"20-70","&gt;70"))</f>
        <v>20-70</v>
      </c>
      <c r="M159" t="s">
        <v>45</v>
      </c>
      <c r="N159" t="s">
        <v>24</v>
      </c>
      <c r="O159">
        <v>16.48</v>
      </c>
      <c r="P159">
        <v>6</v>
      </c>
      <c r="Q159">
        <v>4.944</v>
      </c>
      <c r="R159">
        <v>103.824</v>
      </c>
      <c r="S159">
        <v>98.88</v>
      </c>
      <c r="T159">
        <v>4.7619047620000003</v>
      </c>
      <c r="U159">
        <v>4.944</v>
      </c>
      <c r="V159">
        <v>9.9</v>
      </c>
    </row>
    <row r="160" spans="1:22" x14ac:dyDescent="0.2">
      <c r="A160" t="s">
        <v>191</v>
      </c>
      <c r="B160" s="1">
        <v>43493</v>
      </c>
      <c r="C160" s="2">
        <v>0.54513888888888884</v>
      </c>
      <c r="D160" s="2" t="str">
        <f>IF(Table1[[#This Row],[Time]]&lt;$D$1,$C$1,IF(Table1[[#This Row],[Time]]&lt;$D$2,$C$2,$C$3))</f>
        <v>Afternoon</v>
      </c>
      <c r="E160">
        <f>MONTH(Table1[[#This Row],[Date]])</f>
        <v>1</v>
      </c>
      <c r="F160" t="str">
        <f>VLOOKUP(Table1[[#This Row],[Month]],dctMonth[],2,FALSE)</f>
        <v>January</v>
      </c>
      <c r="G160" t="s">
        <v>26</v>
      </c>
      <c r="H160" t="s">
        <v>27</v>
      </c>
      <c r="I160" t="s">
        <v>28</v>
      </c>
      <c r="J160" t="s">
        <v>22</v>
      </c>
      <c r="K160">
        <v>90</v>
      </c>
      <c r="L160" t="str">
        <f>IF(Table1[[#This Row],[Age]]&lt;20,"&lt;20",IF(Table1[[#This Row],[Age]]&lt;=70,"20-70","&gt;70"))</f>
        <v>&gt;70</v>
      </c>
      <c r="M160" t="s">
        <v>37</v>
      </c>
      <c r="N160" t="s">
        <v>30</v>
      </c>
      <c r="O160">
        <v>80.97</v>
      </c>
      <c r="P160">
        <v>8</v>
      </c>
      <c r="Q160">
        <v>32.387999999999998</v>
      </c>
      <c r="R160">
        <v>680.14800000000002</v>
      </c>
      <c r="S160">
        <v>647.76</v>
      </c>
      <c r="T160">
        <v>4.7619047620000003</v>
      </c>
      <c r="U160">
        <v>32.387999999999998</v>
      </c>
      <c r="V160">
        <v>9.3000000000000007</v>
      </c>
    </row>
    <row r="161" spans="1:22" x14ac:dyDescent="0.2">
      <c r="A161" t="s">
        <v>192</v>
      </c>
      <c r="B161" s="1">
        <v>43516</v>
      </c>
      <c r="C161" s="2">
        <v>0.66319444444444442</v>
      </c>
      <c r="D161" s="2" t="str">
        <f>IF(Table1[[#This Row],[Time]]&lt;$D$1,$C$1,IF(Table1[[#This Row],[Time]]&lt;$D$2,$C$2,$C$3))</f>
        <v>Afternoon</v>
      </c>
      <c r="E161">
        <f>MONTH(Table1[[#This Row],[Date]])</f>
        <v>2</v>
      </c>
      <c r="F161" t="str">
        <f>VLOOKUP(Table1[[#This Row],[Month]],dctMonth[],2,FALSE)</f>
        <v>February</v>
      </c>
      <c r="G161" t="s">
        <v>19</v>
      </c>
      <c r="H161" t="s">
        <v>20</v>
      </c>
      <c r="I161" t="s">
        <v>21</v>
      </c>
      <c r="J161" t="s">
        <v>32</v>
      </c>
      <c r="K161">
        <v>60</v>
      </c>
      <c r="L161" t="str">
        <f>IF(Table1[[#This Row],[Age]]&lt;20,"&lt;20",IF(Table1[[#This Row],[Age]]&lt;=70,"20-70","&gt;70"))</f>
        <v>20-70</v>
      </c>
      <c r="M161" t="s">
        <v>45</v>
      </c>
      <c r="N161" t="s">
        <v>34</v>
      </c>
      <c r="O161">
        <v>92.29</v>
      </c>
      <c r="P161">
        <v>5</v>
      </c>
      <c r="Q161">
        <v>23.072500000000002</v>
      </c>
      <c r="R161">
        <v>484.52249999999998</v>
      </c>
      <c r="S161">
        <v>461.45</v>
      </c>
      <c r="T161">
        <v>4.7619047620000003</v>
      </c>
      <c r="U161">
        <v>23.072500000000002</v>
      </c>
      <c r="V161">
        <v>9</v>
      </c>
    </row>
    <row r="162" spans="1:22" x14ac:dyDescent="0.2">
      <c r="A162" t="s">
        <v>193</v>
      </c>
      <c r="B162" s="1">
        <v>43469</v>
      </c>
      <c r="C162" s="2">
        <v>0.81944444444444442</v>
      </c>
      <c r="D162" s="2" t="str">
        <f>IF(Table1[[#This Row],[Time]]&lt;$D$1,$C$1,IF(Table1[[#This Row],[Time]]&lt;$D$2,$C$2,$C$3))</f>
        <v>Evening</v>
      </c>
      <c r="E162">
        <f>MONTH(Table1[[#This Row],[Date]])</f>
        <v>1</v>
      </c>
      <c r="F162" t="str">
        <f>VLOOKUP(Table1[[#This Row],[Month]],dctMonth[],2,FALSE)</f>
        <v>January</v>
      </c>
      <c r="G162" t="s">
        <v>43</v>
      </c>
      <c r="H162" t="s">
        <v>44</v>
      </c>
      <c r="I162" t="s">
        <v>21</v>
      </c>
      <c r="J162" t="s">
        <v>32</v>
      </c>
      <c r="K162">
        <v>28</v>
      </c>
      <c r="L162" t="str">
        <f>IF(Table1[[#This Row],[Age]]&lt;20,"&lt;20",IF(Table1[[#This Row],[Age]]&lt;=70,"20-70","&gt;70"))</f>
        <v>20-70</v>
      </c>
      <c r="M162" t="s">
        <v>29</v>
      </c>
      <c r="N162" t="s">
        <v>30</v>
      </c>
      <c r="O162">
        <v>72.17</v>
      </c>
      <c r="P162">
        <v>1</v>
      </c>
      <c r="Q162">
        <v>3.6084999999999998</v>
      </c>
      <c r="R162">
        <v>75.778499999999994</v>
      </c>
      <c r="S162">
        <v>72.17</v>
      </c>
      <c r="T162">
        <v>4.7619047620000003</v>
      </c>
      <c r="U162">
        <v>3.6084999999999998</v>
      </c>
      <c r="V162">
        <v>6.1</v>
      </c>
    </row>
    <row r="163" spans="1:22" x14ac:dyDescent="0.2">
      <c r="A163" t="s">
        <v>194</v>
      </c>
      <c r="B163" s="1">
        <v>43531</v>
      </c>
      <c r="C163" s="2">
        <v>0.58194444444444449</v>
      </c>
      <c r="D163" s="2" t="str">
        <f>IF(Table1[[#This Row],[Time]]&lt;$D$1,$C$1,IF(Table1[[#This Row],[Time]]&lt;$D$2,$C$2,$C$3))</f>
        <v>Afternoon</v>
      </c>
      <c r="E163">
        <f>MONTH(Table1[[#This Row],[Date]])</f>
        <v>3</v>
      </c>
      <c r="F163" t="str">
        <f>VLOOKUP(Table1[[#This Row],[Month]],dctMonth[],2,FALSE)</f>
        <v>March</v>
      </c>
      <c r="G163" t="s">
        <v>43</v>
      </c>
      <c r="H163" t="s">
        <v>44</v>
      </c>
      <c r="I163" t="s">
        <v>28</v>
      </c>
      <c r="J163" t="s">
        <v>32</v>
      </c>
      <c r="K163">
        <v>28</v>
      </c>
      <c r="L163" t="str">
        <f>IF(Table1[[#This Row],[Age]]&lt;20,"&lt;20",IF(Table1[[#This Row],[Age]]&lt;=70,"20-70","&gt;70"))</f>
        <v>20-70</v>
      </c>
      <c r="M163" t="s">
        <v>33</v>
      </c>
      <c r="N163" t="s">
        <v>24</v>
      </c>
      <c r="O163">
        <v>50.28</v>
      </c>
      <c r="P163">
        <v>5</v>
      </c>
      <c r="Q163">
        <v>12.57</v>
      </c>
      <c r="R163">
        <v>263.97000000000003</v>
      </c>
      <c r="S163">
        <v>251.4</v>
      </c>
      <c r="T163">
        <v>4.7619047620000003</v>
      </c>
      <c r="U163">
        <v>12.57</v>
      </c>
      <c r="V163">
        <v>9.6999999999999993</v>
      </c>
    </row>
    <row r="164" spans="1:22" x14ac:dyDescent="0.2">
      <c r="A164" t="s">
        <v>195</v>
      </c>
      <c r="B164" s="1">
        <v>43554</v>
      </c>
      <c r="C164" s="2">
        <v>0.61319444444444449</v>
      </c>
      <c r="D164" s="2" t="str">
        <f>IF(Table1[[#This Row],[Time]]&lt;$D$1,$C$1,IF(Table1[[#This Row],[Time]]&lt;$D$2,$C$2,$C$3))</f>
        <v>Afternoon</v>
      </c>
      <c r="E164">
        <f>MONTH(Table1[[#This Row],[Date]])</f>
        <v>3</v>
      </c>
      <c r="F164" t="str">
        <f>VLOOKUP(Table1[[#This Row],[Month]],dctMonth[],2,FALSE)</f>
        <v>March</v>
      </c>
      <c r="G164" t="s">
        <v>43</v>
      </c>
      <c r="H164" t="s">
        <v>44</v>
      </c>
      <c r="I164" t="s">
        <v>21</v>
      </c>
      <c r="J164" t="s">
        <v>32</v>
      </c>
      <c r="K164">
        <v>87</v>
      </c>
      <c r="L164" t="str">
        <f>IF(Table1[[#This Row],[Age]]&lt;20,"&lt;20",IF(Table1[[#This Row],[Age]]&lt;=70,"20-70","&gt;70"))</f>
        <v>&gt;70</v>
      </c>
      <c r="M164" t="s">
        <v>23</v>
      </c>
      <c r="N164" t="s">
        <v>24</v>
      </c>
      <c r="O164">
        <v>97.22</v>
      </c>
      <c r="P164">
        <v>9</v>
      </c>
      <c r="Q164">
        <v>43.749000000000002</v>
      </c>
      <c r="R164">
        <v>918.72900000000004</v>
      </c>
      <c r="S164">
        <v>874.98</v>
      </c>
      <c r="T164">
        <v>4.7619047620000003</v>
      </c>
      <c r="U164">
        <v>43.749000000000002</v>
      </c>
      <c r="V164">
        <v>6</v>
      </c>
    </row>
    <row r="165" spans="1:22" x14ac:dyDescent="0.2">
      <c r="A165" t="s">
        <v>196</v>
      </c>
      <c r="B165" s="1">
        <v>43551</v>
      </c>
      <c r="C165" s="2">
        <v>0.8041666666666667</v>
      </c>
      <c r="D165" s="2" t="str">
        <f>IF(Table1[[#This Row],[Time]]&lt;$D$1,$C$1,IF(Table1[[#This Row],[Time]]&lt;$D$2,$C$2,$C$3))</f>
        <v>Evening</v>
      </c>
      <c r="E165">
        <f>MONTH(Table1[[#This Row],[Date]])</f>
        <v>3</v>
      </c>
      <c r="F165" t="str">
        <f>VLOOKUP(Table1[[#This Row],[Month]],dctMonth[],2,FALSE)</f>
        <v>March</v>
      </c>
      <c r="G165" t="s">
        <v>43</v>
      </c>
      <c r="H165" t="s">
        <v>44</v>
      </c>
      <c r="I165" t="s">
        <v>28</v>
      </c>
      <c r="J165" t="s">
        <v>32</v>
      </c>
      <c r="K165">
        <v>18</v>
      </c>
      <c r="L165" t="str">
        <f>IF(Table1[[#This Row],[Age]]&lt;20,"&lt;20",IF(Table1[[#This Row],[Age]]&lt;=70,"20-70","&gt;70"))</f>
        <v>&lt;20</v>
      </c>
      <c r="M165" t="s">
        <v>37</v>
      </c>
      <c r="N165" t="s">
        <v>24</v>
      </c>
      <c r="O165">
        <v>93.39</v>
      </c>
      <c r="P165">
        <v>6</v>
      </c>
      <c r="Q165">
        <v>28.016999999999999</v>
      </c>
      <c r="R165">
        <v>588.35699999999997</v>
      </c>
      <c r="S165">
        <v>560.34</v>
      </c>
      <c r="T165">
        <v>4.7619047620000003</v>
      </c>
      <c r="U165">
        <v>28.016999999999999</v>
      </c>
      <c r="V165">
        <v>10</v>
      </c>
    </row>
    <row r="166" spans="1:22" x14ac:dyDescent="0.2">
      <c r="A166" t="s">
        <v>197</v>
      </c>
      <c r="B166" s="1">
        <v>43484</v>
      </c>
      <c r="C166" s="2">
        <v>0.81874999999999998</v>
      </c>
      <c r="D166" s="2" t="str">
        <f>IF(Table1[[#This Row],[Time]]&lt;$D$1,$C$1,IF(Table1[[#This Row],[Time]]&lt;$D$2,$C$2,$C$3))</f>
        <v>Evening</v>
      </c>
      <c r="E166">
        <f>MONTH(Table1[[#This Row],[Date]])</f>
        <v>1</v>
      </c>
      <c r="F166" t="str">
        <f>VLOOKUP(Table1[[#This Row],[Month]],dctMonth[],2,FALSE)</f>
        <v>January</v>
      </c>
      <c r="G166" t="s">
        <v>26</v>
      </c>
      <c r="H166" t="s">
        <v>27</v>
      </c>
      <c r="I166" t="s">
        <v>28</v>
      </c>
      <c r="J166" t="s">
        <v>22</v>
      </c>
      <c r="K166">
        <v>35</v>
      </c>
      <c r="L166" t="str">
        <f>IF(Table1[[#This Row],[Age]]&lt;20,"&lt;20",IF(Table1[[#This Row],[Age]]&lt;=70,"20-70","&gt;70"))</f>
        <v>20-70</v>
      </c>
      <c r="M166" t="s">
        <v>45</v>
      </c>
      <c r="N166" t="s">
        <v>34</v>
      </c>
      <c r="O166">
        <v>43.18</v>
      </c>
      <c r="P166">
        <v>8</v>
      </c>
      <c r="Q166">
        <v>17.271999999999998</v>
      </c>
      <c r="R166">
        <v>362.71199999999999</v>
      </c>
      <c r="S166">
        <v>345.44</v>
      </c>
      <c r="T166">
        <v>4.7619047620000003</v>
      </c>
      <c r="U166">
        <v>17.271999999999998</v>
      </c>
      <c r="V166">
        <v>8.3000000000000007</v>
      </c>
    </row>
    <row r="167" spans="1:22" x14ac:dyDescent="0.2">
      <c r="A167" t="s">
        <v>198</v>
      </c>
      <c r="B167" s="1">
        <v>43521</v>
      </c>
      <c r="C167" s="2">
        <v>0.68125000000000002</v>
      </c>
      <c r="D167" s="2" t="str">
        <f>IF(Table1[[#This Row],[Time]]&lt;$D$1,$C$1,IF(Table1[[#This Row],[Time]]&lt;$D$2,$C$2,$C$3))</f>
        <v>Afternoon</v>
      </c>
      <c r="E167">
        <f>MONTH(Table1[[#This Row],[Date]])</f>
        <v>2</v>
      </c>
      <c r="F167" t="str">
        <f>VLOOKUP(Table1[[#This Row],[Month]],dctMonth[],2,FALSE)</f>
        <v>February</v>
      </c>
      <c r="G167" t="s">
        <v>19</v>
      </c>
      <c r="H167" t="s">
        <v>20</v>
      </c>
      <c r="I167" t="s">
        <v>28</v>
      </c>
      <c r="J167" t="s">
        <v>32</v>
      </c>
      <c r="K167">
        <v>69</v>
      </c>
      <c r="L167" t="str">
        <f>IF(Table1[[#This Row],[Age]]&lt;20,"&lt;20",IF(Table1[[#This Row],[Age]]&lt;=70,"20-70","&gt;70"))</f>
        <v>20-70</v>
      </c>
      <c r="M167" t="s">
        <v>37</v>
      </c>
      <c r="N167" t="s">
        <v>30</v>
      </c>
      <c r="O167">
        <v>63.69</v>
      </c>
      <c r="P167">
        <v>1</v>
      </c>
      <c r="Q167">
        <v>3.1844999999999999</v>
      </c>
      <c r="R167">
        <v>66.874499999999998</v>
      </c>
      <c r="S167">
        <v>63.69</v>
      </c>
      <c r="T167">
        <v>4.7619047620000003</v>
      </c>
      <c r="U167">
        <v>3.1844999999999999</v>
      </c>
      <c r="V167">
        <v>6</v>
      </c>
    </row>
    <row r="168" spans="1:22" x14ac:dyDescent="0.2">
      <c r="A168" t="s">
        <v>199</v>
      </c>
      <c r="B168" s="1">
        <v>43537</v>
      </c>
      <c r="C168" s="2">
        <v>0.82222222222222219</v>
      </c>
      <c r="D168" s="2" t="str">
        <f>IF(Table1[[#This Row],[Time]]&lt;$D$1,$C$1,IF(Table1[[#This Row],[Time]]&lt;$D$2,$C$2,$C$3))</f>
        <v>Evening</v>
      </c>
      <c r="E168">
        <f>MONTH(Table1[[#This Row],[Date]])</f>
        <v>3</v>
      </c>
      <c r="F168" t="str">
        <f>VLOOKUP(Table1[[#This Row],[Month]],dctMonth[],2,FALSE)</f>
        <v>March</v>
      </c>
      <c r="G168" t="s">
        <v>19</v>
      </c>
      <c r="H168" t="s">
        <v>20</v>
      </c>
      <c r="I168" t="s">
        <v>28</v>
      </c>
      <c r="J168" t="s">
        <v>32</v>
      </c>
      <c r="K168">
        <v>19</v>
      </c>
      <c r="L168" t="str">
        <f>IF(Table1[[#This Row],[Age]]&lt;20,"&lt;20",IF(Table1[[#This Row],[Age]]&lt;=70,"20-70","&gt;70"))</f>
        <v>&lt;20</v>
      </c>
      <c r="M168" t="s">
        <v>45</v>
      </c>
      <c r="N168" t="s">
        <v>34</v>
      </c>
      <c r="O168">
        <v>45.79</v>
      </c>
      <c r="P168">
        <v>7</v>
      </c>
      <c r="Q168">
        <v>16.026499999999999</v>
      </c>
      <c r="R168">
        <v>336.55650000000003</v>
      </c>
      <c r="S168">
        <v>320.52999999999997</v>
      </c>
      <c r="T168">
        <v>4.7619047620000003</v>
      </c>
      <c r="U168">
        <v>16.026499999999999</v>
      </c>
      <c r="V168">
        <v>7</v>
      </c>
    </row>
    <row r="169" spans="1:22" x14ac:dyDescent="0.2">
      <c r="A169" t="s">
        <v>200</v>
      </c>
      <c r="B169" s="1">
        <v>43495</v>
      </c>
      <c r="C169" s="2">
        <v>0.8208333333333333</v>
      </c>
      <c r="D169" s="2" t="str">
        <f>IF(Table1[[#This Row],[Time]]&lt;$D$1,$C$1,IF(Table1[[#This Row],[Time]]&lt;$D$2,$C$2,$C$3))</f>
        <v>Evening</v>
      </c>
      <c r="E169">
        <f>MONTH(Table1[[#This Row],[Date]])</f>
        <v>1</v>
      </c>
      <c r="F169" t="str">
        <f>VLOOKUP(Table1[[#This Row],[Month]],dctMonth[],2,FALSE)</f>
        <v>January</v>
      </c>
      <c r="G169" t="s">
        <v>26</v>
      </c>
      <c r="H169" t="s">
        <v>27</v>
      </c>
      <c r="I169" t="s">
        <v>28</v>
      </c>
      <c r="J169" t="s">
        <v>32</v>
      </c>
      <c r="K169">
        <v>15</v>
      </c>
      <c r="L169" t="str">
        <f>IF(Table1[[#This Row],[Age]]&lt;20,"&lt;20",IF(Table1[[#This Row],[Age]]&lt;=70,"20-70","&gt;70"))</f>
        <v>&lt;20</v>
      </c>
      <c r="M169" t="s">
        <v>37</v>
      </c>
      <c r="N169" t="s">
        <v>24</v>
      </c>
      <c r="O169">
        <v>76.400000000000006</v>
      </c>
      <c r="P169">
        <v>2</v>
      </c>
      <c r="Q169">
        <v>7.64</v>
      </c>
      <c r="R169">
        <v>160.44</v>
      </c>
      <c r="S169">
        <v>152.80000000000001</v>
      </c>
      <c r="T169">
        <v>4.7619047620000003</v>
      </c>
      <c r="U169">
        <v>7.64</v>
      </c>
      <c r="V169">
        <v>6.5</v>
      </c>
    </row>
    <row r="170" spans="1:22" x14ac:dyDescent="0.2">
      <c r="A170" t="s">
        <v>201</v>
      </c>
      <c r="B170" s="1">
        <v>43516</v>
      </c>
      <c r="C170" s="2">
        <v>0.64166666666666672</v>
      </c>
      <c r="D170" s="2" t="str">
        <f>IF(Table1[[#This Row],[Time]]&lt;$D$1,$C$1,IF(Table1[[#This Row],[Time]]&lt;$D$2,$C$2,$C$3))</f>
        <v>Afternoon</v>
      </c>
      <c r="E170">
        <f>MONTH(Table1[[#This Row],[Date]])</f>
        <v>2</v>
      </c>
      <c r="F170" t="str">
        <f>VLOOKUP(Table1[[#This Row],[Month]],dctMonth[],2,FALSE)</f>
        <v>February</v>
      </c>
      <c r="G170" t="s">
        <v>43</v>
      </c>
      <c r="H170" t="s">
        <v>44</v>
      </c>
      <c r="I170" t="s">
        <v>28</v>
      </c>
      <c r="J170" t="s">
        <v>32</v>
      </c>
      <c r="K170">
        <v>62</v>
      </c>
      <c r="L170" t="str">
        <f>IF(Table1[[#This Row],[Age]]&lt;20,"&lt;20",IF(Table1[[#This Row],[Age]]&lt;=70,"20-70","&gt;70"))</f>
        <v>20-70</v>
      </c>
      <c r="M170" t="s">
        <v>45</v>
      </c>
      <c r="N170" t="s">
        <v>34</v>
      </c>
      <c r="O170">
        <v>39.9</v>
      </c>
      <c r="P170">
        <v>10</v>
      </c>
      <c r="Q170">
        <v>19.95</v>
      </c>
      <c r="R170">
        <v>418.95</v>
      </c>
      <c r="S170">
        <v>399</v>
      </c>
      <c r="T170">
        <v>4.7619047620000003</v>
      </c>
      <c r="U170">
        <v>19.95</v>
      </c>
      <c r="V170">
        <v>5.9</v>
      </c>
    </row>
    <row r="171" spans="1:22" x14ac:dyDescent="0.2">
      <c r="A171" t="s">
        <v>202</v>
      </c>
      <c r="B171" s="1">
        <v>43521</v>
      </c>
      <c r="C171" s="2">
        <v>0.59166666666666667</v>
      </c>
      <c r="D171" s="2" t="str">
        <f>IF(Table1[[#This Row],[Time]]&lt;$D$1,$C$1,IF(Table1[[#This Row],[Time]]&lt;$D$2,$C$2,$C$3))</f>
        <v>Afternoon</v>
      </c>
      <c r="E171">
        <f>MONTH(Table1[[#This Row],[Date]])</f>
        <v>2</v>
      </c>
      <c r="F171" t="str">
        <f>VLOOKUP(Table1[[#This Row],[Month]],dctMonth[],2,FALSE)</f>
        <v>February</v>
      </c>
      <c r="G171" t="s">
        <v>43</v>
      </c>
      <c r="H171" t="s">
        <v>44</v>
      </c>
      <c r="I171" t="s">
        <v>21</v>
      </c>
      <c r="J171" t="s">
        <v>32</v>
      </c>
      <c r="K171">
        <v>50</v>
      </c>
      <c r="L171" t="str">
        <f>IF(Table1[[#This Row],[Age]]&lt;20,"&lt;20",IF(Table1[[#This Row],[Age]]&lt;=70,"20-70","&gt;70"))</f>
        <v>20-70</v>
      </c>
      <c r="M171" t="s">
        <v>23</v>
      </c>
      <c r="N171" t="s">
        <v>24</v>
      </c>
      <c r="O171">
        <v>42.57</v>
      </c>
      <c r="P171">
        <v>8</v>
      </c>
      <c r="Q171">
        <v>17.027999999999999</v>
      </c>
      <c r="R171">
        <v>357.58800000000002</v>
      </c>
      <c r="S171">
        <v>340.56</v>
      </c>
      <c r="T171">
        <v>4.7619047620000003</v>
      </c>
      <c r="U171">
        <v>17.027999999999999</v>
      </c>
      <c r="V171">
        <v>5.6</v>
      </c>
    </row>
    <row r="172" spans="1:22" x14ac:dyDescent="0.2">
      <c r="A172" t="s">
        <v>203</v>
      </c>
      <c r="B172" s="1">
        <v>43481</v>
      </c>
      <c r="C172" s="2">
        <v>0.56388888888888888</v>
      </c>
      <c r="D172" s="2" t="str">
        <f>IF(Table1[[#This Row],[Time]]&lt;$D$1,$C$1,IF(Table1[[#This Row],[Time]]&lt;$D$2,$C$2,$C$3))</f>
        <v>Afternoon</v>
      </c>
      <c r="E172">
        <f>MONTH(Table1[[#This Row],[Date]])</f>
        <v>1</v>
      </c>
      <c r="F172" t="str">
        <f>VLOOKUP(Table1[[#This Row],[Month]],dctMonth[],2,FALSE)</f>
        <v>January</v>
      </c>
      <c r="G172" t="s">
        <v>26</v>
      </c>
      <c r="H172" t="s">
        <v>27</v>
      </c>
      <c r="I172" t="s">
        <v>28</v>
      </c>
      <c r="J172" t="s">
        <v>32</v>
      </c>
      <c r="K172">
        <v>67</v>
      </c>
      <c r="L172" t="str">
        <f>IF(Table1[[#This Row],[Age]]&lt;20,"&lt;20",IF(Table1[[#This Row],[Age]]&lt;=70,"20-70","&gt;70"))</f>
        <v>20-70</v>
      </c>
      <c r="M172" t="s">
        <v>33</v>
      </c>
      <c r="N172" t="s">
        <v>30</v>
      </c>
      <c r="O172">
        <v>95.58</v>
      </c>
      <c r="P172">
        <v>10</v>
      </c>
      <c r="Q172">
        <v>47.79</v>
      </c>
      <c r="R172">
        <v>1003.59</v>
      </c>
      <c r="S172">
        <v>955.8</v>
      </c>
      <c r="T172">
        <v>4.7619047620000003</v>
      </c>
      <c r="U172">
        <v>47.79</v>
      </c>
      <c r="V172">
        <v>4.8</v>
      </c>
    </row>
    <row r="173" spans="1:22" x14ac:dyDescent="0.2">
      <c r="A173" t="s">
        <v>204</v>
      </c>
      <c r="B173" s="1">
        <v>43504</v>
      </c>
      <c r="C173" s="2">
        <v>0.68055555555555558</v>
      </c>
      <c r="D173" s="2" t="str">
        <f>IF(Table1[[#This Row],[Time]]&lt;$D$1,$C$1,IF(Table1[[#This Row],[Time]]&lt;$D$2,$C$2,$C$3))</f>
        <v>Afternoon</v>
      </c>
      <c r="E173">
        <f>MONTH(Table1[[#This Row],[Date]])</f>
        <v>2</v>
      </c>
      <c r="F173" t="str">
        <f>VLOOKUP(Table1[[#This Row],[Month]],dctMonth[],2,FALSE)</f>
        <v>February</v>
      </c>
      <c r="G173" t="s">
        <v>19</v>
      </c>
      <c r="H173" t="s">
        <v>20</v>
      </c>
      <c r="I173" t="s">
        <v>28</v>
      </c>
      <c r="J173" t="s">
        <v>32</v>
      </c>
      <c r="K173">
        <v>17</v>
      </c>
      <c r="L173" t="str">
        <f>IF(Table1[[#This Row],[Age]]&lt;20,"&lt;20",IF(Table1[[#This Row],[Age]]&lt;=70,"20-70","&gt;70"))</f>
        <v>&lt;20</v>
      </c>
      <c r="M173" t="s">
        <v>47</v>
      </c>
      <c r="N173" t="s">
        <v>34</v>
      </c>
      <c r="O173">
        <v>98.98</v>
      </c>
      <c r="P173">
        <v>10</v>
      </c>
      <c r="Q173">
        <v>49.49</v>
      </c>
      <c r="R173">
        <v>1039.29</v>
      </c>
      <c r="S173">
        <v>989.8</v>
      </c>
      <c r="T173">
        <v>4.7619047620000003</v>
      </c>
      <c r="U173">
        <v>49.49</v>
      </c>
      <c r="V173">
        <v>8.6999999999999993</v>
      </c>
    </row>
    <row r="174" spans="1:22" x14ac:dyDescent="0.2">
      <c r="A174" t="s">
        <v>205</v>
      </c>
      <c r="B174" s="1">
        <v>43484</v>
      </c>
      <c r="C174" s="2">
        <v>0.68819444444444444</v>
      </c>
      <c r="D174" s="2" t="str">
        <f>IF(Table1[[#This Row],[Time]]&lt;$D$1,$C$1,IF(Table1[[#This Row],[Time]]&lt;$D$2,$C$2,$C$3))</f>
        <v>Afternoon</v>
      </c>
      <c r="E174">
        <f>MONTH(Table1[[#This Row],[Date]])</f>
        <v>1</v>
      </c>
      <c r="F174" t="str">
        <f>VLOOKUP(Table1[[#This Row],[Month]],dctMonth[],2,FALSE)</f>
        <v>January</v>
      </c>
      <c r="G174" t="s">
        <v>19</v>
      </c>
      <c r="H174" t="s">
        <v>20</v>
      </c>
      <c r="I174" t="s">
        <v>28</v>
      </c>
      <c r="J174" t="s">
        <v>32</v>
      </c>
      <c r="K174">
        <v>15</v>
      </c>
      <c r="L174" t="str">
        <f>IF(Table1[[#This Row],[Age]]&lt;20,"&lt;20",IF(Table1[[#This Row],[Age]]&lt;=70,"20-70","&gt;70"))</f>
        <v>&lt;20</v>
      </c>
      <c r="M174" t="s">
        <v>45</v>
      </c>
      <c r="N174" t="s">
        <v>30</v>
      </c>
      <c r="O174">
        <v>51.28</v>
      </c>
      <c r="P174">
        <v>6</v>
      </c>
      <c r="Q174">
        <v>15.384</v>
      </c>
      <c r="R174">
        <v>323.06400000000002</v>
      </c>
      <c r="S174">
        <v>307.68</v>
      </c>
      <c r="T174">
        <v>4.7619047620000003</v>
      </c>
      <c r="U174">
        <v>15.384</v>
      </c>
      <c r="V174">
        <v>6.5</v>
      </c>
    </row>
    <row r="175" spans="1:22" x14ac:dyDescent="0.2">
      <c r="A175" t="s">
        <v>206</v>
      </c>
      <c r="B175" s="1">
        <v>43497</v>
      </c>
      <c r="C175" s="2">
        <v>0.63194444444444442</v>
      </c>
      <c r="D175" s="2" t="str">
        <f>IF(Table1[[#This Row],[Time]]&lt;$D$1,$C$1,IF(Table1[[#This Row],[Time]]&lt;$D$2,$C$2,$C$3))</f>
        <v>Afternoon</v>
      </c>
      <c r="E175">
        <f>MONTH(Table1[[#This Row],[Date]])</f>
        <v>2</v>
      </c>
      <c r="F175" t="str">
        <f>VLOOKUP(Table1[[#This Row],[Month]],dctMonth[],2,FALSE)</f>
        <v>February</v>
      </c>
      <c r="G175" t="s">
        <v>19</v>
      </c>
      <c r="H175" t="s">
        <v>20</v>
      </c>
      <c r="I175" t="s">
        <v>21</v>
      </c>
      <c r="J175" t="s">
        <v>32</v>
      </c>
      <c r="K175">
        <v>38</v>
      </c>
      <c r="L175" t="str">
        <f>IF(Table1[[#This Row],[Age]]&lt;20,"&lt;20",IF(Table1[[#This Row],[Age]]&lt;=70,"20-70","&gt;70"))</f>
        <v>20-70</v>
      </c>
      <c r="M175" t="s">
        <v>37</v>
      </c>
      <c r="N175" t="s">
        <v>34</v>
      </c>
      <c r="O175">
        <v>69.52</v>
      </c>
      <c r="P175">
        <v>7</v>
      </c>
      <c r="Q175">
        <v>24.332000000000001</v>
      </c>
      <c r="R175">
        <v>510.97199999999998</v>
      </c>
      <c r="S175">
        <v>486.64</v>
      </c>
      <c r="T175">
        <v>4.7619047620000003</v>
      </c>
      <c r="U175">
        <v>24.332000000000001</v>
      </c>
      <c r="V175">
        <v>8.5</v>
      </c>
    </row>
    <row r="176" spans="1:22" x14ac:dyDescent="0.2">
      <c r="A176" t="s">
        <v>207</v>
      </c>
      <c r="B176" s="1">
        <v>43468</v>
      </c>
      <c r="C176" s="2">
        <v>0.48333333333333334</v>
      </c>
      <c r="D176" s="2" t="str">
        <f>IF(Table1[[#This Row],[Time]]&lt;$D$1,$C$1,IF(Table1[[#This Row],[Time]]&lt;$D$2,$C$2,$C$3))</f>
        <v>Morning</v>
      </c>
      <c r="E176">
        <f>MONTH(Table1[[#This Row],[Date]])</f>
        <v>1</v>
      </c>
      <c r="F176" t="str">
        <f>VLOOKUP(Table1[[#This Row],[Month]],dctMonth[],2,FALSE)</f>
        <v>January</v>
      </c>
      <c r="G176" t="s">
        <v>19</v>
      </c>
      <c r="H176" t="s">
        <v>20</v>
      </c>
      <c r="I176" t="s">
        <v>28</v>
      </c>
      <c r="J176" t="s">
        <v>32</v>
      </c>
      <c r="K176">
        <v>34</v>
      </c>
      <c r="L176" t="str">
        <f>IF(Table1[[#This Row],[Age]]&lt;20,"&lt;20",IF(Table1[[#This Row],[Age]]&lt;=70,"20-70","&gt;70"))</f>
        <v>20-70</v>
      </c>
      <c r="M176" t="s">
        <v>23</v>
      </c>
      <c r="N176" t="s">
        <v>24</v>
      </c>
      <c r="O176">
        <v>70.010000000000005</v>
      </c>
      <c r="P176">
        <v>5</v>
      </c>
      <c r="Q176">
        <v>17.502500000000001</v>
      </c>
      <c r="R176">
        <v>367.55250000000001</v>
      </c>
      <c r="S176">
        <v>350.05</v>
      </c>
      <c r="T176">
        <v>4.7619047620000003</v>
      </c>
      <c r="U176">
        <v>17.502500000000001</v>
      </c>
      <c r="V176">
        <v>5.5</v>
      </c>
    </row>
    <row r="177" spans="1:22" x14ac:dyDescent="0.2">
      <c r="A177" t="s">
        <v>208</v>
      </c>
      <c r="B177" s="1">
        <v>43491</v>
      </c>
      <c r="C177" s="2">
        <v>0.53125</v>
      </c>
      <c r="D177" s="2" t="str">
        <f>IF(Table1[[#This Row],[Time]]&lt;$D$1,$C$1,IF(Table1[[#This Row],[Time]]&lt;$D$2,$C$2,$C$3))</f>
        <v>Afternoon</v>
      </c>
      <c r="E177">
        <f>MONTH(Table1[[#This Row],[Date]])</f>
        <v>1</v>
      </c>
      <c r="F177" t="str">
        <f>VLOOKUP(Table1[[#This Row],[Month]],dctMonth[],2,FALSE)</f>
        <v>January</v>
      </c>
      <c r="G177" t="s">
        <v>43</v>
      </c>
      <c r="H177" t="s">
        <v>44</v>
      </c>
      <c r="I177" t="s">
        <v>21</v>
      </c>
      <c r="J177" t="s">
        <v>32</v>
      </c>
      <c r="K177">
        <v>26</v>
      </c>
      <c r="L177" t="str">
        <f>IF(Table1[[#This Row],[Age]]&lt;20,"&lt;20",IF(Table1[[#This Row],[Age]]&lt;=70,"20-70","&gt;70"))</f>
        <v>20-70</v>
      </c>
      <c r="M177" t="s">
        <v>45</v>
      </c>
      <c r="N177" t="s">
        <v>34</v>
      </c>
      <c r="O177">
        <v>80.05</v>
      </c>
      <c r="P177">
        <v>5</v>
      </c>
      <c r="Q177">
        <v>20.012499999999999</v>
      </c>
      <c r="R177">
        <v>420.26249999999999</v>
      </c>
      <c r="S177">
        <v>400.25</v>
      </c>
      <c r="T177">
        <v>4.7619047620000003</v>
      </c>
      <c r="U177">
        <v>20.012499999999999</v>
      </c>
      <c r="V177">
        <v>9.4</v>
      </c>
    </row>
    <row r="178" spans="1:22" x14ac:dyDescent="0.2">
      <c r="A178" t="s">
        <v>209</v>
      </c>
      <c r="B178" s="1">
        <v>43527</v>
      </c>
      <c r="C178" s="2">
        <v>0.80347222222222225</v>
      </c>
      <c r="D178" s="2" t="str">
        <f>IF(Table1[[#This Row],[Time]]&lt;$D$1,$C$1,IF(Table1[[#This Row],[Time]]&lt;$D$2,$C$2,$C$3))</f>
        <v>Evening</v>
      </c>
      <c r="E178">
        <f>MONTH(Table1[[#This Row],[Date]])</f>
        <v>3</v>
      </c>
      <c r="F178" t="str">
        <f>VLOOKUP(Table1[[#This Row],[Month]],dctMonth[],2,FALSE)</f>
        <v>March</v>
      </c>
      <c r="G178" t="s">
        <v>26</v>
      </c>
      <c r="H178" t="s">
        <v>27</v>
      </c>
      <c r="I178" t="s">
        <v>28</v>
      </c>
      <c r="J178" t="s">
        <v>32</v>
      </c>
      <c r="K178">
        <v>47</v>
      </c>
      <c r="L178" t="str">
        <f>IF(Table1[[#This Row],[Age]]&lt;20,"&lt;20",IF(Table1[[#This Row],[Age]]&lt;=70,"20-70","&gt;70"))</f>
        <v>20-70</v>
      </c>
      <c r="M178" t="s">
        <v>29</v>
      </c>
      <c r="N178" t="s">
        <v>30</v>
      </c>
      <c r="O178">
        <v>20.85</v>
      </c>
      <c r="P178">
        <v>8</v>
      </c>
      <c r="Q178">
        <v>8.34</v>
      </c>
      <c r="R178">
        <v>175.14</v>
      </c>
      <c r="S178">
        <v>166.8</v>
      </c>
      <c r="T178">
        <v>4.7619047620000003</v>
      </c>
      <c r="U178">
        <v>8.34</v>
      </c>
      <c r="V178">
        <v>6.3</v>
      </c>
    </row>
    <row r="179" spans="1:22" x14ac:dyDescent="0.2">
      <c r="A179" t="s">
        <v>210</v>
      </c>
      <c r="B179" s="1">
        <v>43484</v>
      </c>
      <c r="C179" s="2">
        <v>0.7319444444444444</v>
      </c>
      <c r="D179" s="2" t="str">
        <f>IF(Table1[[#This Row],[Time]]&lt;$D$1,$C$1,IF(Table1[[#This Row],[Time]]&lt;$D$2,$C$2,$C$3))</f>
        <v>Evening</v>
      </c>
      <c r="E179">
        <f>MONTH(Table1[[#This Row],[Date]])</f>
        <v>1</v>
      </c>
      <c r="F179" t="str">
        <f>VLOOKUP(Table1[[#This Row],[Month]],dctMonth[],2,FALSE)</f>
        <v>January</v>
      </c>
      <c r="G179" t="s">
        <v>43</v>
      </c>
      <c r="H179" t="s">
        <v>44</v>
      </c>
      <c r="I179" t="s">
        <v>21</v>
      </c>
      <c r="J179" t="s">
        <v>32</v>
      </c>
      <c r="K179">
        <v>88</v>
      </c>
      <c r="L179" t="str">
        <f>IF(Table1[[#This Row],[Age]]&lt;20,"&lt;20",IF(Table1[[#This Row],[Age]]&lt;=70,"20-70","&gt;70"))</f>
        <v>&gt;70</v>
      </c>
      <c r="M179" t="s">
        <v>29</v>
      </c>
      <c r="N179" t="s">
        <v>34</v>
      </c>
      <c r="O179">
        <v>52.89</v>
      </c>
      <c r="P179">
        <v>6</v>
      </c>
      <c r="Q179">
        <v>15.867000000000001</v>
      </c>
      <c r="R179">
        <v>333.20699999999999</v>
      </c>
      <c r="S179">
        <v>317.33999999999997</v>
      </c>
      <c r="T179">
        <v>4.7619047620000003</v>
      </c>
      <c r="U179">
        <v>15.867000000000001</v>
      </c>
      <c r="V179">
        <v>9.8000000000000007</v>
      </c>
    </row>
    <row r="180" spans="1:22" x14ac:dyDescent="0.2">
      <c r="A180" t="s">
        <v>211</v>
      </c>
      <c r="B180" s="1">
        <v>43483</v>
      </c>
      <c r="C180" s="2">
        <v>0.50277777777777777</v>
      </c>
      <c r="D180" s="2" t="str">
        <f>IF(Table1[[#This Row],[Time]]&lt;$D$1,$C$1,IF(Table1[[#This Row],[Time]]&lt;$D$2,$C$2,$C$3))</f>
        <v>Afternoon</v>
      </c>
      <c r="E180">
        <f>MONTH(Table1[[#This Row],[Date]])</f>
        <v>1</v>
      </c>
      <c r="F180" t="str">
        <f>VLOOKUP(Table1[[#This Row],[Month]],dctMonth[],2,FALSE)</f>
        <v>January</v>
      </c>
      <c r="G180" t="s">
        <v>43</v>
      </c>
      <c r="H180" t="s">
        <v>44</v>
      </c>
      <c r="I180" t="s">
        <v>28</v>
      </c>
      <c r="J180" t="s">
        <v>32</v>
      </c>
      <c r="K180">
        <v>41</v>
      </c>
      <c r="L180" t="str">
        <f>IF(Table1[[#This Row],[Age]]&lt;20,"&lt;20",IF(Table1[[#This Row],[Age]]&lt;=70,"20-70","&gt;70"))</f>
        <v>20-70</v>
      </c>
      <c r="M180" t="s">
        <v>45</v>
      </c>
      <c r="N180" t="s">
        <v>24</v>
      </c>
      <c r="O180">
        <v>19.79</v>
      </c>
      <c r="P180">
        <v>8</v>
      </c>
      <c r="Q180">
        <v>7.9160000000000004</v>
      </c>
      <c r="R180">
        <v>166.23599999999999</v>
      </c>
      <c r="S180">
        <v>158.32</v>
      </c>
      <c r="T180">
        <v>4.7619047620000003</v>
      </c>
      <c r="U180">
        <v>7.9160000000000004</v>
      </c>
      <c r="V180">
        <v>8.6999999999999993</v>
      </c>
    </row>
    <row r="181" spans="1:22" x14ac:dyDescent="0.2">
      <c r="A181" t="s">
        <v>212</v>
      </c>
      <c r="B181" s="1">
        <v>43545</v>
      </c>
      <c r="C181" s="2">
        <v>0.68125000000000002</v>
      </c>
      <c r="D181" s="2" t="str">
        <f>IF(Table1[[#This Row],[Time]]&lt;$D$1,$C$1,IF(Table1[[#This Row],[Time]]&lt;$D$2,$C$2,$C$3))</f>
        <v>Afternoon</v>
      </c>
      <c r="E181">
        <f>MONTH(Table1[[#This Row],[Date]])</f>
        <v>3</v>
      </c>
      <c r="F181" t="str">
        <f>VLOOKUP(Table1[[#This Row],[Month]],dctMonth[],2,FALSE)</f>
        <v>March</v>
      </c>
      <c r="G181" t="s">
        <v>19</v>
      </c>
      <c r="H181" t="s">
        <v>20</v>
      </c>
      <c r="I181" t="s">
        <v>21</v>
      </c>
      <c r="J181" t="s">
        <v>32</v>
      </c>
      <c r="K181">
        <v>55</v>
      </c>
      <c r="L181" t="str">
        <f>IF(Table1[[#This Row],[Age]]&lt;20,"&lt;20",IF(Table1[[#This Row],[Age]]&lt;=70,"20-70","&gt;70"))</f>
        <v>20-70</v>
      </c>
      <c r="M181" t="s">
        <v>33</v>
      </c>
      <c r="N181" t="s">
        <v>24</v>
      </c>
      <c r="O181">
        <v>33.840000000000003</v>
      </c>
      <c r="P181">
        <v>9</v>
      </c>
      <c r="Q181">
        <v>15.228</v>
      </c>
      <c r="R181">
        <v>319.78800000000001</v>
      </c>
      <c r="S181">
        <v>304.56</v>
      </c>
      <c r="T181">
        <v>4.7619047620000003</v>
      </c>
      <c r="U181">
        <v>15.228</v>
      </c>
      <c r="V181">
        <v>8.8000000000000007</v>
      </c>
    </row>
    <row r="182" spans="1:22" x14ac:dyDescent="0.2">
      <c r="A182" t="s">
        <v>213</v>
      </c>
      <c r="B182" s="1">
        <v>43527</v>
      </c>
      <c r="C182" s="2">
        <v>0.70902777777777781</v>
      </c>
      <c r="D182" s="2" t="str">
        <f>IF(Table1[[#This Row],[Time]]&lt;$D$1,$C$1,IF(Table1[[#This Row],[Time]]&lt;$D$2,$C$2,$C$3))</f>
        <v>Evening</v>
      </c>
      <c r="E182">
        <f>MONTH(Table1[[#This Row],[Date]])</f>
        <v>3</v>
      </c>
      <c r="F182" t="str">
        <f>VLOOKUP(Table1[[#This Row],[Month]],dctMonth[],2,FALSE)</f>
        <v>March</v>
      </c>
      <c r="G182" t="s">
        <v>19</v>
      </c>
      <c r="H182" t="s">
        <v>20</v>
      </c>
      <c r="I182" t="s">
        <v>21</v>
      </c>
      <c r="J182" t="s">
        <v>32</v>
      </c>
      <c r="K182">
        <v>34</v>
      </c>
      <c r="L182" t="str">
        <f>IF(Table1[[#This Row],[Age]]&lt;20,"&lt;20",IF(Table1[[#This Row],[Age]]&lt;=70,"20-70","&gt;70"))</f>
        <v>20-70</v>
      </c>
      <c r="M182" t="s">
        <v>45</v>
      </c>
      <c r="N182" t="s">
        <v>34</v>
      </c>
      <c r="O182">
        <v>22.17</v>
      </c>
      <c r="P182">
        <v>8</v>
      </c>
      <c r="Q182">
        <v>8.8680000000000003</v>
      </c>
      <c r="R182">
        <v>186.22800000000001</v>
      </c>
      <c r="S182">
        <v>177.36</v>
      </c>
      <c r="T182">
        <v>4.7619047620000003</v>
      </c>
      <c r="U182">
        <v>8.8680000000000003</v>
      </c>
      <c r="V182">
        <v>9.6</v>
      </c>
    </row>
    <row r="183" spans="1:22" x14ac:dyDescent="0.2">
      <c r="A183" t="s">
        <v>214</v>
      </c>
      <c r="B183" s="1">
        <v>43509</v>
      </c>
      <c r="C183" s="2">
        <v>0.4513888888888889</v>
      </c>
      <c r="D183" s="2" t="str">
        <f>IF(Table1[[#This Row],[Time]]&lt;$D$1,$C$1,IF(Table1[[#This Row],[Time]]&lt;$D$2,$C$2,$C$3))</f>
        <v>Morning</v>
      </c>
      <c r="E183">
        <f>MONTH(Table1[[#This Row],[Date]])</f>
        <v>2</v>
      </c>
      <c r="F183" t="str">
        <f>VLOOKUP(Table1[[#This Row],[Month]],dctMonth[],2,FALSE)</f>
        <v>February</v>
      </c>
      <c r="G183" t="s">
        <v>26</v>
      </c>
      <c r="H183" t="s">
        <v>27</v>
      </c>
      <c r="I183" t="s">
        <v>28</v>
      </c>
      <c r="J183" t="s">
        <v>22</v>
      </c>
      <c r="K183">
        <v>69</v>
      </c>
      <c r="L183" t="str">
        <f>IF(Table1[[#This Row],[Age]]&lt;20,"&lt;20",IF(Table1[[#This Row],[Age]]&lt;=70,"20-70","&gt;70"))</f>
        <v>20-70</v>
      </c>
      <c r="M183" t="s">
        <v>47</v>
      </c>
      <c r="N183" t="s">
        <v>34</v>
      </c>
      <c r="O183">
        <v>22.51</v>
      </c>
      <c r="P183">
        <v>7</v>
      </c>
      <c r="Q183">
        <v>7.8784999999999998</v>
      </c>
      <c r="R183">
        <v>165.4485</v>
      </c>
      <c r="S183">
        <v>157.57</v>
      </c>
      <c r="T183">
        <v>4.7619047620000003</v>
      </c>
      <c r="U183">
        <v>7.8784999999999998</v>
      </c>
      <c r="V183">
        <v>4.8</v>
      </c>
    </row>
    <row r="184" spans="1:22" x14ac:dyDescent="0.2">
      <c r="A184" t="s">
        <v>215</v>
      </c>
      <c r="B184" s="1">
        <v>43547</v>
      </c>
      <c r="C184" s="2">
        <v>0.80277777777777781</v>
      </c>
      <c r="D184" s="2" t="str">
        <f>IF(Table1[[#This Row],[Time]]&lt;$D$1,$C$1,IF(Table1[[#This Row],[Time]]&lt;$D$2,$C$2,$C$3))</f>
        <v>Evening</v>
      </c>
      <c r="E184">
        <f>MONTH(Table1[[#This Row],[Date]])</f>
        <v>3</v>
      </c>
      <c r="F184" t="str">
        <f>VLOOKUP(Table1[[#This Row],[Month]],dctMonth[],2,FALSE)</f>
        <v>March</v>
      </c>
      <c r="G184" t="s">
        <v>19</v>
      </c>
      <c r="H184" t="s">
        <v>20</v>
      </c>
      <c r="I184" t="s">
        <v>28</v>
      </c>
      <c r="J184" t="s">
        <v>32</v>
      </c>
      <c r="K184">
        <v>29</v>
      </c>
      <c r="L184" t="str">
        <f>IF(Table1[[#This Row],[Age]]&lt;20,"&lt;20",IF(Table1[[#This Row],[Age]]&lt;=70,"20-70","&gt;70"))</f>
        <v>20-70</v>
      </c>
      <c r="M184" t="s">
        <v>45</v>
      </c>
      <c r="N184" t="s">
        <v>24</v>
      </c>
      <c r="O184">
        <v>73.88</v>
      </c>
      <c r="P184">
        <v>6</v>
      </c>
      <c r="Q184">
        <v>22.164000000000001</v>
      </c>
      <c r="R184">
        <v>465.44400000000002</v>
      </c>
      <c r="S184">
        <v>443.28</v>
      </c>
      <c r="T184">
        <v>4.7619047620000003</v>
      </c>
      <c r="U184">
        <v>22.164000000000001</v>
      </c>
      <c r="V184">
        <v>4.4000000000000004</v>
      </c>
    </row>
    <row r="185" spans="1:22" x14ac:dyDescent="0.2">
      <c r="A185" t="s">
        <v>216</v>
      </c>
      <c r="B185" s="1">
        <v>43493</v>
      </c>
      <c r="C185" s="2">
        <v>0.69930555555555551</v>
      </c>
      <c r="D185" s="2" t="str">
        <f>IF(Table1[[#This Row],[Time]]&lt;$D$1,$C$1,IF(Table1[[#This Row],[Time]]&lt;$D$2,$C$2,$C$3))</f>
        <v>Afternoon</v>
      </c>
      <c r="E185">
        <f>MONTH(Table1[[#This Row],[Date]])</f>
        <v>1</v>
      </c>
      <c r="F185" t="str">
        <f>VLOOKUP(Table1[[#This Row],[Month]],dctMonth[],2,FALSE)</f>
        <v>January</v>
      </c>
      <c r="G185" t="s">
        <v>26</v>
      </c>
      <c r="H185" t="s">
        <v>27</v>
      </c>
      <c r="I185" t="s">
        <v>21</v>
      </c>
      <c r="J185" t="s">
        <v>32</v>
      </c>
      <c r="K185">
        <v>90</v>
      </c>
      <c r="L185" t="str">
        <f>IF(Table1[[#This Row],[Age]]&lt;20,"&lt;20",IF(Table1[[#This Row],[Age]]&lt;=70,"20-70","&gt;70"))</f>
        <v>&gt;70</v>
      </c>
      <c r="M185" t="s">
        <v>23</v>
      </c>
      <c r="N185" t="s">
        <v>24</v>
      </c>
      <c r="O185">
        <v>86.8</v>
      </c>
      <c r="P185">
        <v>3</v>
      </c>
      <c r="Q185">
        <v>13.02</v>
      </c>
      <c r="R185">
        <v>273.42</v>
      </c>
      <c r="S185">
        <v>260.39999999999998</v>
      </c>
      <c r="T185">
        <v>4.7619047620000003</v>
      </c>
      <c r="U185">
        <v>13.02</v>
      </c>
      <c r="V185">
        <v>9.9</v>
      </c>
    </row>
    <row r="186" spans="1:22" x14ac:dyDescent="0.2">
      <c r="A186" t="s">
        <v>217</v>
      </c>
      <c r="B186" s="1">
        <v>43505</v>
      </c>
      <c r="C186" s="2">
        <v>0.41666666666666669</v>
      </c>
      <c r="D186" s="2" t="str">
        <f>IF(Table1[[#This Row],[Time]]&lt;$D$1,$C$1,IF(Table1[[#This Row],[Time]]&lt;$D$2,$C$2,$C$3))</f>
        <v>Morning</v>
      </c>
      <c r="E186">
        <f>MONTH(Table1[[#This Row],[Date]])</f>
        <v>2</v>
      </c>
      <c r="F186" t="str">
        <f>VLOOKUP(Table1[[#This Row],[Month]],dctMonth[],2,FALSE)</f>
        <v>February</v>
      </c>
      <c r="G186" t="s">
        <v>26</v>
      </c>
      <c r="H186" t="s">
        <v>27</v>
      </c>
      <c r="I186" t="s">
        <v>28</v>
      </c>
      <c r="J186" t="s">
        <v>32</v>
      </c>
      <c r="K186">
        <v>48</v>
      </c>
      <c r="L186" t="str">
        <f>IF(Table1[[#This Row],[Age]]&lt;20,"&lt;20",IF(Table1[[#This Row],[Age]]&lt;=70,"20-70","&gt;70"))</f>
        <v>20-70</v>
      </c>
      <c r="M186" t="s">
        <v>47</v>
      </c>
      <c r="N186" t="s">
        <v>30</v>
      </c>
      <c r="O186">
        <v>64.260000000000005</v>
      </c>
      <c r="P186">
        <v>7</v>
      </c>
      <c r="Q186">
        <v>22.491</v>
      </c>
      <c r="R186">
        <v>472.31099999999998</v>
      </c>
      <c r="S186">
        <v>449.82</v>
      </c>
      <c r="T186">
        <v>4.7619047620000003</v>
      </c>
      <c r="U186">
        <v>22.491</v>
      </c>
      <c r="V186">
        <v>5.7</v>
      </c>
    </row>
    <row r="187" spans="1:22" x14ac:dyDescent="0.2">
      <c r="A187" t="s">
        <v>218</v>
      </c>
      <c r="B187" s="1">
        <v>43488</v>
      </c>
      <c r="C187" s="2">
        <v>0.49375000000000002</v>
      </c>
      <c r="D187" s="2" t="str">
        <f>IF(Table1[[#This Row],[Time]]&lt;$D$1,$C$1,IF(Table1[[#This Row],[Time]]&lt;$D$2,$C$2,$C$3))</f>
        <v>Morning</v>
      </c>
      <c r="E187">
        <f>MONTH(Table1[[#This Row],[Date]])</f>
        <v>1</v>
      </c>
      <c r="F187" t="str">
        <f>VLOOKUP(Table1[[#This Row],[Month]],dctMonth[],2,FALSE)</f>
        <v>January</v>
      </c>
      <c r="G187" t="s">
        <v>26</v>
      </c>
      <c r="H187" t="s">
        <v>27</v>
      </c>
      <c r="I187" t="s">
        <v>21</v>
      </c>
      <c r="J187" t="s">
        <v>32</v>
      </c>
      <c r="K187">
        <v>25</v>
      </c>
      <c r="L187" t="str">
        <f>IF(Table1[[#This Row],[Age]]&lt;20,"&lt;20",IF(Table1[[#This Row],[Age]]&lt;=70,"20-70","&gt;70"))</f>
        <v>20-70</v>
      </c>
      <c r="M187" t="s">
        <v>45</v>
      </c>
      <c r="N187" t="s">
        <v>30</v>
      </c>
      <c r="O187">
        <v>38.47</v>
      </c>
      <c r="P187">
        <v>8</v>
      </c>
      <c r="Q187">
        <v>15.388</v>
      </c>
      <c r="R187">
        <v>323.14800000000002</v>
      </c>
      <c r="S187">
        <v>307.76</v>
      </c>
      <c r="T187">
        <v>4.7619047620000003</v>
      </c>
      <c r="U187">
        <v>15.388</v>
      </c>
      <c r="V187">
        <v>7.7</v>
      </c>
    </row>
    <row r="188" spans="1:22" x14ac:dyDescent="0.2">
      <c r="A188" t="s">
        <v>219</v>
      </c>
      <c r="B188" s="1">
        <v>43547</v>
      </c>
      <c r="C188" s="2">
        <v>0.4548611111111111</v>
      </c>
      <c r="D188" s="2" t="str">
        <f>IF(Table1[[#This Row],[Time]]&lt;$D$1,$C$1,IF(Table1[[#This Row],[Time]]&lt;$D$2,$C$2,$C$3))</f>
        <v>Morning</v>
      </c>
      <c r="E188">
        <f>MONTH(Table1[[#This Row],[Date]])</f>
        <v>3</v>
      </c>
      <c r="F188" t="str">
        <f>VLOOKUP(Table1[[#This Row],[Month]],dctMonth[],2,FALSE)</f>
        <v>March</v>
      </c>
      <c r="G188" t="s">
        <v>19</v>
      </c>
      <c r="H188" t="s">
        <v>20</v>
      </c>
      <c r="I188" t="s">
        <v>21</v>
      </c>
      <c r="J188" t="s">
        <v>32</v>
      </c>
      <c r="K188">
        <v>57</v>
      </c>
      <c r="L188" t="str">
        <f>IF(Table1[[#This Row],[Age]]&lt;20,"&lt;20",IF(Table1[[#This Row],[Age]]&lt;=70,"20-70","&gt;70"))</f>
        <v>20-70</v>
      </c>
      <c r="M188" t="s">
        <v>37</v>
      </c>
      <c r="N188" t="s">
        <v>24</v>
      </c>
      <c r="O188">
        <v>15.5</v>
      </c>
      <c r="P188">
        <v>10</v>
      </c>
      <c r="Q188">
        <v>7.75</v>
      </c>
      <c r="R188">
        <v>162.75</v>
      </c>
      <c r="S188">
        <v>155</v>
      </c>
      <c r="T188">
        <v>4.7619047620000003</v>
      </c>
      <c r="U188">
        <v>7.75</v>
      </c>
      <c r="V188">
        <v>8</v>
      </c>
    </row>
    <row r="189" spans="1:22" x14ac:dyDescent="0.2">
      <c r="A189" t="s">
        <v>220</v>
      </c>
      <c r="B189" s="1">
        <v>43490</v>
      </c>
      <c r="C189" s="2">
        <v>0.625</v>
      </c>
      <c r="D189" s="2" t="str">
        <f>IF(Table1[[#This Row],[Time]]&lt;$D$1,$C$1,IF(Table1[[#This Row],[Time]]&lt;$D$2,$C$2,$C$3))</f>
        <v>Afternoon</v>
      </c>
      <c r="E189">
        <f>MONTH(Table1[[#This Row],[Date]])</f>
        <v>1</v>
      </c>
      <c r="F189" t="str">
        <f>VLOOKUP(Table1[[#This Row],[Month]],dctMonth[],2,FALSE)</f>
        <v>January</v>
      </c>
      <c r="G189" t="s">
        <v>26</v>
      </c>
      <c r="H189" t="s">
        <v>27</v>
      </c>
      <c r="I189" t="s">
        <v>28</v>
      </c>
      <c r="J189" t="s">
        <v>32</v>
      </c>
      <c r="K189">
        <v>55</v>
      </c>
      <c r="L189" t="str">
        <f>IF(Table1[[#This Row],[Age]]&lt;20,"&lt;20",IF(Table1[[#This Row],[Age]]&lt;=70,"20-70","&gt;70"))</f>
        <v>20-70</v>
      </c>
      <c r="M189" t="s">
        <v>23</v>
      </c>
      <c r="N189" t="s">
        <v>24</v>
      </c>
      <c r="O189">
        <v>34.31</v>
      </c>
      <c r="P189">
        <v>8</v>
      </c>
      <c r="Q189">
        <v>13.724</v>
      </c>
      <c r="R189">
        <v>288.20400000000001</v>
      </c>
      <c r="S189">
        <v>274.48</v>
      </c>
      <c r="T189">
        <v>4.7619047620000003</v>
      </c>
      <c r="U189">
        <v>13.724</v>
      </c>
      <c r="V189">
        <v>5.7</v>
      </c>
    </row>
    <row r="190" spans="1:22" x14ac:dyDescent="0.2">
      <c r="A190" t="s">
        <v>221</v>
      </c>
      <c r="B190" s="1">
        <v>43528</v>
      </c>
      <c r="C190" s="2">
        <v>0.47152777777777777</v>
      </c>
      <c r="D190" s="2" t="str">
        <f>IF(Table1[[#This Row],[Time]]&lt;$D$1,$C$1,IF(Table1[[#This Row],[Time]]&lt;$D$2,$C$2,$C$3))</f>
        <v>Morning</v>
      </c>
      <c r="E190">
        <f>MONTH(Table1[[#This Row],[Date]])</f>
        <v>3</v>
      </c>
      <c r="F190" t="str">
        <f>VLOOKUP(Table1[[#This Row],[Month]],dctMonth[],2,FALSE)</f>
        <v>March</v>
      </c>
      <c r="G190" t="s">
        <v>19</v>
      </c>
      <c r="H190" t="s">
        <v>20</v>
      </c>
      <c r="I190" t="s">
        <v>28</v>
      </c>
      <c r="J190" t="s">
        <v>22</v>
      </c>
      <c r="K190">
        <v>31</v>
      </c>
      <c r="L190" t="str">
        <f>IF(Table1[[#This Row],[Age]]&lt;20,"&lt;20",IF(Table1[[#This Row],[Age]]&lt;=70,"20-70","&gt;70"))</f>
        <v>20-70</v>
      </c>
      <c r="M190" t="s">
        <v>37</v>
      </c>
      <c r="N190" t="s">
        <v>34</v>
      </c>
      <c r="O190">
        <v>12.34</v>
      </c>
      <c r="P190">
        <v>7</v>
      </c>
      <c r="Q190">
        <v>4.319</v>
      </c>
      <c r="R190">
        <v>90.698999999999998</v>
      </c>
      <c r="S190">
        <v>86.38</v>
      </c>
      <c r="T190">
        <v>4.7619047620000003</v>
      </c>
      <c r="U190">
        <v>4.319</v>
      </c>
      <c r="V190">
        <v>6.7</v>
      </c>
    </row>
    <row r="191" spans="1:22" x14ac:dyDescent="0.2">
      <c r="A191" t="s">
        <v>222</v>
      </c>
      <c r="B191" s="1">
        <v>43529</v>
      </c>
      <c r="C191" s="2">
        <v>0.82361111111111107</v>
      </c>
      <c r="D191" s="2" t="str">
        <f>IF(Table1[[#This Row],[Time]]&lt;$D$1,$C$1,IF(Table1[[#This Row],[Time]]&lt;$D$2,$C$2,$C$3))</f>
        <v>Evening</v>
      </c>
      <c r="E191">
        <f>MONTH(Table1[[#This Row],[Date]])</f>
        <v>3</v>
      </c>
      <c r="F191" t="str">
        <f>VLOOKUP(Table1[[#This Row],[Month]],dctMonth[],2,FALSE)</f>
        <v>March</v>
      </c>
      <c r="G191" t="s">
        <v>43</v>
      </c>
      <c r="H191" t="s">
        <v>44</v>
      </c>
      <c r="I191" t="s">
        <v>21</v>
      </c>
      <c r="J191" t="s">
        <v>32</v>
      </c>
      <c r="K191">
        <v>53</v>
      </c>
      <c r="L191" t="str">
        <f>IF(Table1[[#This Row],[Age]]&lt;20,"&lt;20",IF(Table1[[#This Row],[Age]]&lt;=70,"20-70","&gt;70"))</f>
        <v>20-70</v>
      </c>
      <c r="M191" t="s">
        <v>45</v>
      </c>
      <c r="N191" t="s">
        <v>24</v>
      </c>
      <c r="O191">
        <v>18.079999999999998</v>
      </c>
      <c r="P191">
        <v>3</v>
      </c>
      <c r="Q191">
        <v>2.7120000000000002</v>
      </c>
      <c r="R191">
        <v>56.951999999999998</v>
      </c>
      <c r="S191">
        <v>54.24</v>
      </c>
      <c r="T191">
        <v>4.7619047620000003</v>
      </c>
      <c r="U191">
        <v>2.7120000000000002</v>
      </c>
      <c r="V191">
        <v>8</v>
      </c>
    </row>
    <row r="192" spans="1:22" x14ac:dyDescent="0.2">
      <c r="A192" t="s">
        <v>223</v>
      </c>
      <c r="B192" s="1">
        <v>43527</v>
      </c>
      <c r="C192" s="2">
        <v>0.79166666666666663</v>
      </c>
      <c r="D192" s="2" t="str">
        <f>IF(Table1[[#This Row],[Time]]&lt;$D$1,$C$1,IF(Table1[[#This Row],[Time]]&lt;$D$2,$C$2,$C$3))</f>
        <v>Evening</v>
      </c>
      <c r="E192">
        <f>MONTH(Table1[[#This Row],[Date]])</f>
        <v>3</v>
      </c>
      <c r="F192" t="str">
        <f>VLOOKUP(Table1[[#This Row],[Month]],dctMonth[],2,FALSE)</f>
        <v>March</v>
      </c>
      <c r="G192" t="s">
        <v>43</v>
      </c>
      <c r="H192" t="s">
        <v>44</v>
      </c>
      <c r="I192" t="s">
        <v>21</v>
      </c>
      <c r="J192" t="s">
        <v>22</v>
      </c>
      <c r="K192">
        <v>79</v>
      </c>
      <c r="L192" t="str">
        <f>IF(Table1[[#This Row],[Age]]&lt;20,"&lt;20",IF(Table1[[#This Row],[Age]]&lt;=70,"20-70","&gt;70"))</f>
        <v>&gt;70</v>
      </c>
      <c r="M192" t="s">
        <v>33</v>
      </c>
      <c r="N192" t="s">
        <v>24</v>
      </c>
      <c r="O192">
        <v>94.49</v>
      </c>
      <c r="P192">
        <v>8</v>
      </c>
      <c r="Q192">
        <v>37.795999999999999</v>
      </c>
      <c r="R192">
        <v>793.71600000000001</v>
      </c>
      <c r="S192">
        <v>755.92</v>
      </c>
      <c r="T192">
        <v>4.7619047620000003</v>
      </c>
      <c r="U192">
        <v>37.795999999999999</v>
      </c>
      <c r="V192">
        <v>7.5</v>
      </c>
    </row>
    <row r="193" spans="1:22" x14ac:dyDescent="0.2">
      <c r="A193" t="s">
        <v>224</v>
      </c>
      <c r="B193" s="1">
        <v>43504</v>
      </c>
      <c r="C193" s="2">
        <v>0.45347222222222222</v>
      </c>
      <c r="D193" s="2" t="str">
        <f>IF(Table1[[#This Row],[Time]]&lt;$D$1,$C$1,IF(Table1[[#This Row],[Time]]&lt;$D$2,$C$2,$C$3))</f>
        <v>Morning</v>
      </c>
      <c r="E193">
        <f>MONTH(Table1[[#This Row],[Date]])</f>
        <v>2</v>
      </c>
      <c r="F193" t="str">
        <f>VLOOKUP(Table1[[#This Row],[Month]],dctMonth[],2,FALSE)</f>
        <v>February</v>
      </c>
      <c r="G193" t="s">
        <v>43</v>
      </c>
      <c r="H193" t="s">
        <v>44</v>
      </c>
      <c r="I193" t="s">
        <v>21</v>
      </c>
      <c r="J193" t="s">
        <v>32</v>
      </c>
      <c r="K193">
        <v>34</v>
      </c>
      <c r="L193" t="str">
        <f>IF(Table1[[#This Row],[Age]]&lt;20,"&lt;20",IF(Table1[[#This Row],[Age]]&lt;=70,"20-70","&gt;70"))</f>
        <v>20-70</v>
      </c>
      <c r="M193" t="s">
        <v>33</v>
      </c>
      <c r="N193" t="s">
        <v>30</v>
      </c>
      <c r="O193">
        <v>46.47</v>
      </c>
      <c r="P193">
        <v>4</v>
      </c>
      <c r="Q193">
        <v>9.2940000000000005</v>
      </c>
      <c r="R193">
        <v>195.17400000000001</v>
      </c>
      <c r="S193">
        <v>185.88</v>
      </c>
      <c r="T193">
        <v>4.7619047620000003</v>
      </c>
      <c r="U193">
        <v>9.2940000000000005</v>
      </c>
      <c r="V193">
        <v>7</v>
      </c>
    </row>
    <row r="194" spans="1:22" x14ac:dyDescent="0.2">
      <c r="A194" t="s">
        <v>225</v>
      </c>
      <c r="B194" s="1">
        <v>43506</v>
      </c>
      <c r="C194" s="2">
        <v>0.53472222222222221</v>
      </c>
      <c r="D194" s="2" t="str">
        <f>IF(Table1[[#This Row],[Time]]&lt;$D$1,$C$1,IF(Table1[[#This Row],[Time]]&lt;$D$2,$C$2,$C$3))</f>
        <v>Afternoon</v>
      </c>
      <c r="E194">
        <f>MONTH(Table1[[#This Row],[Date]])</f>
        <v>2</v>
      </c>
      <c r="F194" t="str">
        <f>VLOOKUP(Table1[[#This Row],[Month]],dctMonth[],2,FALSE)</f>
        <v>February</v>
      </c>
      <c r="G194" t="s">
        <v>19</v>
      </c>
      <c r="H194" t="s">
        <v>20</v>
      </c>
      <c r="I194" t="s">
        <v>28</v>
      </c>
      <c r="J194" t="s">
        <v>32</v>
      </c>
      <c r="K194">
        <v>77</v>
      </c>
      <c r="L194" t="str">
        <f>IF(Table1[[#This Row],[Age]]&lt;20,"&lt;20",IF(Table1[[#This Row],[Age]]&lt;=70,"20-70","&gt;70"))</f>
        <v>&gt;70</v>
      </c>
      <c r="M194" t="s">
        <v>33</v>
      </c>
      <c r="N194" t="s">
        <v>24</v>
      </c>
      <c r="O194">
        <v>74.069999999999993</v>
      </c>
      <c r="P194">
        <v>1</v>
      </c>
      <c r="Q194">
        <v>3.7035</v>
      </c>
      <c r="R194">
        <v>77.773499999999999</v>
      </c>
      <c r="S194">
        <v>74.069999999999993</v>
      </c>
      <c r="T194">
        <v>4.7619047620000003</v>
      </c>
      <c r="U194">
        <v>3.7035</v>
      </c>
      <c r="V194">
        <v>9.9</v>
      </c>
    </row>
    <row r="195" spans="1:22" x14ac:dyDescent="0.2">
      <c r="A195" t="s">
        <v>226</v>
      </c>
      <c r="B195" s="1">
        <v>43493</v>
      </c>
      <c r="C195" s="2">
        <v>0.86805555555555558</v>
      </c>
      <c r="D195" s="2" t="str">
        <f>IF(Table1[[#This Row],[Time]]&lt;$D$1,$C$1,IF(Table1[[#This Row],[Time]]&lt;$D$2,$C$2,$C$3))</f>
        <v>Evening</v>
      </c>
      <c r="E195">
        <f>MONTH(Table1[[#This Row],[Date]])</f>
        <v>1</v>
      </c>
      <c r="F195" t="str">
        <f>VLOOKUP(Table1[[#This Row],[Month]],dctMonth[],2,FALSE)</f>
        <v>January</v>
      </c>
      <c r="G195" t="s">
        <v>26</v>
      </c>
      <c r="H195" t="s">
        <v>27</v>
      </c>
      <c r="I195" t="s">
        <v>28</v>
      </c>
      <c r="J195" t="s">
        <v>22</v>
      </c>
      <c r="K195">
        <v>50</v>
      </c>
      <c r="L195" t="str">
        <f>IF(Table1[[#This Row],[Age]]&lt;20,"&lt;20",IF(Table1[[#This Row],[Age]]&lt;=70,"20-70","&gt;70"))</f>
        <v>20-70</v>
      </c>
      <c r="M195" t="s">
        <v>33</v>
      </c>
      <c r="N195" t="s">
        <v>34</v>
      </c>
      <c r="O195">
        <v>69.81</v>
      </c>
      <c r="P195">
        <v>4</v>
      </c>
      <c r="Q195">
        <v>13.962</v>
      </c>
      <c r="R195">
        <v>293.202</v>
      </c>
      <c r="S195">
        <v>279.24</v>
      </c>
      <c r="T195">
        <v>4.7619047620000003</v>
      </c>
      <c r="U195">
        <v>13.962</v>
      </c>
      <c r="V195">
        <v>5.9</v>
      </c>
    </row>
    <row r="196" spans="1:22" x14ac:dyDescent="0.2">
      <c r="A196" t="s">
        <v>227</v>
      </c>
      <c r="B196" s="1">
        <v>43507</v>
      </c>
      <c r="C196" s="2">
        <v>0.44374999999999998</v>
      </c>
      <c r="D196" s="2" t="str">
        <f>IF(Table1[[#This Row],[Time]]&lt;$D$1,$C$1,IF(Table1[[#This Row],[Time]]&lt;$D$2,$C$2,$C$3))</f>
        <v>Morning</v>
      </c>
      <c r="E196">
        <f>MONTH(Table1[[#This Row],[Date]])</f>
        <v>2</v>
      </c>
      <c r="F196" t="str">
        <f>VLOOKUP(Table1[[#This Row],[Month]],dctMonth[],2,FALSE)</f>
        <v>February</v>
      </c>
      <c r="G196" t="s">
        <v>43</v>
      </c>
      <c r="H196" t="s">
        <v>44</v>
      </c>
      <c r="I196" t="s">
        <v>28</v>
      </c>
      <c r="J196" t="s">
        <v>22</v>
      </c>
      <c r="K196">
        <v>16</v>
      </c>
      <c r="L196" t="str">
        <f>IF(Table1[[#This Row],[Age]]&lt;20,"&lt;20",IF(Table1[[#This Row],[Age]]&lt;=70,"20-70","&gt;70"))</f>
        <v>&lt;20</v>
      </c>
      <c r="M196" t="s">
        <v>33</v>
      </c>
      <c r="N196" t="s">
        <v>34</v>
      </c>
      <c r="O196">
        <v>77.040000000000006</v>
      </c>
      <c r="P196">
        <v>3</v>
      </c>
      <c r="Q196">
        <v>11.555999999999999</v>
      </c>
      <c r="R196">
        <v>242.67599999999999</v>
      </c>
      <c r="S196">
        <v>231.12</v>
      </c>
      <c r="T196">
        <v>4.7619047620000003</v>
      </c>
      <c r="U196">
        <v>11.555999999999999</v>
      </c>
      <c r="V196">
        <v>7.2</v>
      </c>
    </row>
    <row r="197" spans="1:22" x14ac:dyDescent="0.2">
      <c r="A197" t="s">
        <v>228</v>
      </c>
      <c r="B197" s="1">
        <v>43480</v>
      </c>
      <c r="C197" s="2">
        <v>0.57013888888888886</v>
      </c>
      <c r="D197" s="2" t="str">
        <f>IF(Table1[[#This Row],[Time]]&lt;$D$1,$C$1,IF(Table1[[#This Row],[Time]]&lt;$D$2,$C$2,$C$3))</f>
        <v>Afternoon</v>
      </c>
      <c r="E197">
        <f>MONTH(Table1[[#This Row],[Date]])</f>
        <v>1</v>
      </c>
      <c r="F197" t="str">
        <f>VLOOKUP(Table1[[#This Row],[Month]],dctMonth[],2,FALSE)</f>
        <v>January</v>
      </c>
      <c r="G197" t="s">
        <v>43</v>
      </c>
      <c r="H197" t="s">
        <v>44</v>
      </c>
      <c r="I197" t="s">
        <v>28</v>
      </c>
      <c r="J197" t="s">
        <v>22</v>
      </c>
      <c r="K197">
        <v>45</v>
      </c>
      <c r="L197" t="str">
        <f>IF(Table1[[#This Row],[Age]]&lt;20,"&lt;20",IF(Table1[[#This Row],[Age]]&lt;=70,"20-70","&gt;70"))</f>
        <v>20-70</v>
      </c>
      <c r="M197" t="s">
        <v>47</v>
      </c>
      <c r="N197" t="s">
        <v>24</v>
      </c>
      <c r="O197">
        <v>73.52</v>
      </c>
      <c r="P197">
        <v>2</v>
      </c>
      <c r="Q197">
        <v>7.3520000000000003</v>
      </c>
      <c r="R197">
        <v>154.392</v>
      </c>
      <c r="S197">
        <v>147.04</v>
      </c>
      <c r="T197">
        <v>4.7619047620000003</v>
      </c>
      <c r="U197">
        <v>7.3520000000000003</v>
      </c>
      <c r="V197">
        <v>4.5999999999999996</v>
      </c>
    </row>
    <row r="198" spans="1:22" x14ac:dyDescent="0.2">
      <c r="A198" t="s">
        <v>229</v>
      </c>
      <c r="B198" s="1">
        <v>43540</v>
      </c>
      <c r="C198" s="2">
        <v>0.79722222222222228</v>
      </c>
      <c r="D198" s="2" t="str">
        <f>IF(Table1[[#This Row],[Time]]&lt;$D$1,$C$1,IF(Table1[[#This Row],[Time]]&lt;$D$2,$C$2,$C$3))</f>
        <v>Evening</v>
      </c>
      <c r="E198">
        <f>MONTH(Table1[[#This Row],[Date]])</f>
        <v>3</v>
      </c>
      <c r="F198" t="str">
        <f>VLOOKUP(Table1[[#This Row],[Month]],dctMonth[],2,FALSE)</f>
        <v>March</v>
      </c>
      <c r="G198" t="s">
        <v>26</v>
      </c>
      <c r="H198" t="s">
        <v>27</v>
      </c>
      <c r="I198" t="s">
        <v>28</v>
      </c>
      <c r="J198" t="s">
        <v>22</v>
      </c>
      <c r="K198">
        <v>51</v>
      </c>
      <c r="L198" t="str">
        <f>IF(Table1[[#This Row],[Age]]&lt;20,"&lt;20",IF(Table1[[#This Row],[Age]]&lt;=70,"20-70","&gt;70"))</f>
        <v>20-70</v>
      </c>
      <c r="M198" t="s">
        <v>45</v>
      </c>
      <c r="N198" t="s">
        <v>30</v>
      </c>
      <c r="O198">
        <v>87.8</v>
      </c>
      <c r="P198">
        <v>9</v>
      </c>
      <c r="Q198">
        <v>39.51</v>
      </c>
      <c r="R198">
        <v>829.71</v>
      </c>
      <c r="S198">
        <v>790.2</v>
      </c>
      <c r="T198">
        <v>4.7619047620000003</v>
      </c>
      <c r="U198">
        <v>39.51</v>
      </c>
      <c r="V198">
        <v>9.1999999999999993</v>
      </c>
    </row>
    <row r="199" spans="1:22" x14ac:dyDescent="0.2">
      <c r="A199" t="s">
        <v>230</v>
      </c>
      <c r="B199" s="1">
        <v>43491</v>
      </c>
      <c r="C199" s="2">
        <v>0.84930555555555554</v>
      </c>
      <c r="D199" s="2" t="str">
        <f>IF(Table1[[#This Row],[Time]]&lt;$D$1,$C$1,IF(Table1[[#This Row],[Time]]&lt;$D$2,$C$2,$C$3))</f>
        <v>Evening</v>
      </c>
      <c r="E199">
        <f>MONTH(Table1[[#This Row],[Date]])</f>
        <v>1</v>
      </c>
      <c r="F199" t="str">
        <f>VLOOKUP(Table1[[#This Row],[Month]],dctMonth[],2,FALSE)</f>
        <v>January</v>
      </c>
      <c r="G199" t="s">
        <v>43</v>
      </c>
      <c r="H199" t="s">
        <v>44</v>
      </c>
      <c r="I199" t="s">
        <v>28</v>
      </c>
      <c r="J199" t="s">
        <v>32</v>
      </c>
      <c r="K199">
        <v>20</v>
      </c>
      <c r="L199" t="str">
        <f>IF(Table1[[#This Row],[Age]]&lt;20,"&lt;20",IF(Table1[[#This Row],[Age]]&lt;=70,"20-70","&gt;70"))</f>
        <v>20-70</v>
      </c>
      <c r="M199" t="s">
        <v>33</v>
      </c>
      <c r="N199" t="s">
        <v>24</v>
      </c>
      <c r="O199">
        <v>25.55</v>
      </c>
      <c r="P199">
        <v>4</v>
      </c>
      <c r="Q199">
        <v>5.1100000000000003</v>
      </c>
      <c r="R199">
        <v>107.31</v>
      </c>
      <c r="S199">
        <v>102.2</v>
      </c>
      <c r="T199">
        <v>4.7619047620000003</v>
      </c>
      <c r="U199">
        <v>5.1100000000000003</v>
      </c>
      <c r="V199">
        <v>5.7</v>
      </c>
    </row>
    <row r="200" spans="1:22" x14ac:dyDescent="0.2">
      <c r="A200" t="s">
        <v>231</v>
      </c>
      <c r="B200" s="1">
        <v>43543</v>
      </c>
      <c r="C200" s="2">
        <v>0.47916666666666669</v>
      </c>
      <c r="D200" s="2" t="str">
        <f>IF(Table1[[#This Row],[Time]]&lt;$D$1,$C$1,IF(Table1[[#This Row],[Time]]&lt;$D$2,$C$2,$C$3))</f>
        <v>Morning</v>
      </c>
      <c r="E200">
        <f>MONTH(Table1[[#This Row],[Date]])</f>
        <v>3</v>
      </c>
      <c r="F200" t="str">
        <f>VLOOKUP(Table1[[#This Row],[Month]],dctMonth[],2,FALSE)</f>
        <v>March</v>
      </c>
      <c r="G200" t="s">
        <v>19</v>
      </c>
      <c r="H200" t="s">
        <v>20</v>
      </c>
      <c r="I200" t="s">
        <v>28</v>
      </c>
      <c r="J200" t="s">
        <v>32</v>
      </c>
      <c r="K200">
        <v>33</v>
      </c>
      <c r="L200" t="str">
        <f>IF(Table1[[#This Row],[Age]]&lt;20,"&lt;20",IF(Table1[[#This Row],[Age]]&lt;=70,"20-70","&gt;70"))</f>
        <v>20-70</v>
      </c>
      <c r="M200" t="s">
        <v>29</v>
      </c>
      <c r="N200" t="s">
        <v>34</v>
      </c>
      <c r="O200">
        <v>32.71</v>
      </c>
      <c r="P200">
        <v>5</v>
      </c>
      <c r="Q200">
        <v>8.1775000000000002</v>
      </c>
      <c r="R200">
        <v>171.72749999999999</v>
      </c>
      <c r="S200">
        <v>163.55000000000001</v>
      </c>
      <c r="T200">
        <v>4.7619047620000003</v>
      </c>
      <c r="U200">
        <v>8.1775000000000002</v>
      </c>
      <c r="V200">
        <v>9.9</v>
      </c>
    </row>
    <row r="201" spans="1:22" x14ac:dyDescent="0.2">
      <c r="A201" t="s">
        <v>232</v>
      </c>
      <c r="B201" s="1">
        <v>43478</v>
      </c>
      <c r="C201" s="2">
        <v>0.8125</v>
      </c>
      <c r="D201" s="2" t="str">
        <f>IF(Table1[[#This Row],[Time]]&lt;$D$1,$C$1,IF(Table1[[#This Row],[Time]]&lt;$D$2,$C$2,$C$3))</f>
        <v>Evening</v>
      </c>
      <c r="E201">
        <f>MONTH(Table1[[#This Row],[Date]])</f>
        <v>1</v>
      </c>
      <c r="F201" t="str">
        <f>VLOOKUP(Table1[[#This Row],[Month]],dctMonth[],2,FALSE)</f>
        <v>January</v>
      </c>
      <c r="G201" t="s">
        <v>26</v>
      </c>
      <c r="H201" t="s">
        <v>27</v>
      </c>
      <c r="I201" t="s">
        <v>21</v>
      </c>
      <c r="J201" t="s">
        <v>22</v>
      </c>
      <c r="K201">
        <v>52</v>
      </c>
      <c r="L201" t="str">
        <f>IF(Table1[[#This Row],[Age]]&lt;20,"&lt;20",IF(Table1[[#This Row],[Age]]&lt;=70,"20-70","&gt;70"))</f>
        <v>20-70</v>
      </c>
      <c r="M201" t="s">
        <v>47</v>
      </c>
      <c r="N201" t="s">
        <v>30</v>
      </c>
      <c r="O201">
        <v>74.290000000000006</v>
      </c>
      <c r="P201">
        <v>1</v>
      </c>
      <c r="Q201">
        <v>3.7145000000000001</v>
      </c>
      <c r="R201">
        <v>78.004499999999993</v>
      </c>
      <c r="S201">
        <v>74.290000000000006</v>
      </c>
      <c r="T201">
        <v>4.7619047620000003</v>
      </c>
      <c r="U201">
        <v>3.7145000000000001</v>
      </c>
      <c r="V201">
        <v>5</v>
      </c>
    </row>
    <row r="202" spans="1:22" x14ac:dyDescent="0.2">
      <c r="A202" t="s">
        <v>233</v>
      </c>
      <c r="B202" s="1">
        <v>43550</v>
      </c>
      <c r="C202" s="2">
        <v>0.75208333333333333</v>
      </c>
      <c r="D202" s="2" t="str">
        <f>IF(Table1[[#This Row],[Time]]&lt;$D$1,$C$1,IF(Table1[[#This Row],[Time]]&lt;$D$2,$C$2,$C$3))</f>
        <v>Evening</v>
      </c>
      <c r="E202">
        <f>MONTH(Table1[[#This Row],[Date]])</f>
        <v>3</v>
      </c>
      <c r="F202" t="str">
        <f>VLOOKUP(Table1[[#This Row],[Month]],dctMonth[],2,FALSE)</f>
        <v>March</v>
      </c>
      <c r="G202" t="s">
        <v>26</v>
      </c>
      <c r="H202" t="s">
        <v>27</v>
      </c>
      <c r="I202" t="s">
        <v>21</v>
      </c>
      <c r="J202" t="s">
        <v>32</v>
      </c>
      <c r="K202">
        <v>50</v>
      </c>
      <c r="L202" t="str">
        <f>IF(Table1[[#This Row],[Age]]&lt;20,"&lt;20",IF(Table1[[#This Row],[Age]]&lt;=70,"20-70","&gt;70"))</f>
        <v>20-70</v>
      </c>
      <c r="M202" t="s">
        <v>23</v>
      </c>
      <c r="N202" t="s">
        <v>30</v>
      </c>
      <c r="O202">
        <v>43.7</v>
      </c>
      <c r="P202">
        <v>2</v>
      </c>
      <c r="Q202">
        <v>4.37</v>
      </c>
      <c r="R202">
        <v>91.77</v>
      </c>
      <c r="S202">
        <v>87.4</v>
      </c>
      <c r="T202">
        <v>4.7619047620000003</v>
      </c>
      <c r="U202">
        <v>4.37</v>
      </c>
      <c r="V202">
        <v>4.9000000000000004</v>
      </c>
    </row>
    <row r="203" spans="1:22" x14ac:dyDescent="0.2">
      <c r="A203" t="s">
        <v>234</v>
      </c>
      <c r="B203" s="1">
        <v>43547</v>
      </c>
      <c r="C203" s="2">
        <v>0.42569444444444443</v>
      </c>
      <c r="D203" s="2" t="str">
        <f>IF(Table1[[#This Row],[Time]]&lt;$D$1,$C$1,IF(Table1[[#This Row],[Time]]&lt;$D$2,$C$2,$C$3))</f>
        <v>Morning</v>
      </c>
      <c r="E203">
        <f>MONTH(Table1[[#This Row],[Date]])</f>
        <v>3</v>
      </c>
      <c r="F203" t="str">
        <f>VLOOKUP(Table1[[#This Row],[Month]],dctMonth[],2,FALSE)</f>
        <v>March</v>
      </c>
      <c r="G203" t="s">
        <v>19</v>
      </c>
      <c r="H203" t="s">
        <v>20</v>
      </c>
      <c r="I203" t="s">
        <v>28</v>
      </c>
      <c r="J203" t="s">
        <v>22</v>
      </c>
      <c r="K203">
        <v>79</v>
      </c>
      <c r="L203" t="str">
        <f>IF(Table1[[#This Row],[Age]]&lt;20,"&lt;20",IF(Table1[[#This Row],[Age]]&lt;=70,"20-70","&gt;70"))</f>
        <v>&gt;70</v>
      </c>
      <c r="M203" t="s">
        <v>33</v>
      </c>
      <c r="N203" t="s">
        <v>24</v>
      </c>
      <c r="O203">
        <v>25.29</v>
      </c>
      <c r="P203">
        <v>1</v>
      </c>
      <c r="Q203">
        <v>1.2645</v>
      </c>
      <c r="R203">
        <v>26.554500000000001</v>
      </c>
      <c r="S203">
        <v>25.29</v>
      </c>
      <c r="T203">
        <v>4.7619047620000003</v>
      </c>
      <c r="U203">
        <v>1.2645</v>
      </c>
      <c r="V203">
        <v>6.1</v>
      </c>
    </row>
    <row r="204" spans="1:22" x14ac:dyDescent="0.2">
      <c r="A204" t="s">
        <v>235</v>
      </c>
      <c r="B204" s="1">
        <v>43536</v>
      </c>
      <c r="C204" s="2">
        <v>0.83194444444444449</v>
      </c>
      <c r="D204" s="2" t="str">
        <f>IF(Table1[[#This Row],[Time]]&lt;$D$1,$C$1,IF(Table1[[#This Row],[Time]]&lt;$D$2,$C$2,$C$3))</f>
        <v>Evening</v>
      </c>
      <c r="E204">
        <f>MONTH(Table1[[#This Row],[Date]])</f>
        <v>3</v>
      </c>
      <c r="F204" t="str">
        <f>VLOOKUP(Table1[[#This Row],[Month]],dctMonth[],2,FALSE)</f>
        <v>March</v>
      </c>
      <c r="G204" t="s">
        <v>26</v>
      </c>
      <c r="H204" t="s">
        <v>27</v>
      </c>
      <c r="I204" t="s">
        <v>28</v>
      </c>
      <c r="J204" t="s">
        <v>32</v>
      </c>
      <c r="K204">
        <v>63</v>
      </c>
      <c r="L204" t="str">
        <f>IF(Table1[[#This Row],[Age]]&lt;20,"&lt;20",IF(Table1[[#This Row],[Age]]&lt;=70,"20-70","&gt;70"))</f>
        <v>20-70</v>
      </c>
      <c r="M204" t="s">
        <v>23</v>
      </c>
      <c r="N204" t="s">
        <v>34</v>
      </c>
      <c r="O204">
        <v>41.5</v>
      </c>
      <c r="P204">
        <v>4</v>
      </c>
      <c r="Q204">
        <v>8.3000000000000007</v>
      </c>
      <c r="R204">
        <v>174.3</v>
      </c>
      <c r="S204">
        <v>166</v>
      </c>
      <c r="T204">
        <v>4.7619047620000003</v>
      </c>
      <c r="U204">
        <v>8.3000000000000007</v>
      </c>
      <c r="V204">
        <v>8.1999999999999993</v>
      </c>
    </row>
    <row r="205" spans="1:22" x14ac:dyDescent="0.2">
      <c r="A205" t="s">
        <v>236</v>
      </c>
      <c r="B205" s="1">
        <v>43513</v>
      </c>
      <c r="C205" s="2">
        <v>0.83125000000000004</v>
      </c>
      <c r="D205" s="2" t="str">
        <f>IF(Table1[[#This Row],[Time]]&lt;$D$1,$C$1,IF(Table1[[#This Row],[Time]]&lt;$D$2,$C$2,$C$3))</f>
        <v>Evening</v>
      </c>
      <c r="E205">
        <f>MONTH(Table1[[#This Row],[Date]])</f>
        <v>2</v>
      </c>
      <c r="F205" t="str">
        <f>VLOOKUP(Table1[[#This Row],[Month]],dctMonth[],2,FALSE)</f>
        <v>February</v>
      </c>
      <c r="G205" t="s">
        <v>26</v>
      </c>
      <c r="H205" t="s">
        <v>27</v>
      </c>
      <c r="I205" t="s">
        <v>21</v>
      </c>
      <c r="J205" t="s">
        <v>22</v>
      </c>
      <c r="K205">
        <v>37</v>
      </c>
      <c r="L205" t="str">
        <f>IF(Table1[[#This Row],[Age]]&lt;20,"&lt;20",IF(Table1[[#This Row],[Age]]&lt;=70,"20-70","&gt;70"))</f>
        <v>20-70</v>
      </c>
      <c r="M205" t="s">
        <v>45</v>
      </c>
      <c r="N205" t="s">
        <v>34</v>
      </c>
      <c r="O205">
        <v>71.39</v>
      </c>
      <c r="P205">
        <v>5</v>
      </c>
      <c r="Q205">
        <v>17.8475</v>
      </c>
      <c r="R205">
        <v>374.79750000000001</v>
      </c>
      <c r="S205">
        <v>356.95</v>
      </c>
      <c r="T205">
        <v>4.7619047620000003</v>
      </c>
      <c r="U205">
        <v>17.8475</v>
      </c>
      <c r="V205">
        <v>5.5</v>
      </c>
    </row>
    <row r="206" spans="1:22" x14ac:dyDescent="0.2">
      <c r="A206" t="s">
        <v>237</v>
      </c>
      <c r="B206" s="1">
        <v>43494</v>
      </c>
      <c r="C206" s="2">
        <v>0.41736111111111113</v>
      </c>
      <c r="D206" s="2" t="str">
        <f>IF(Table1[[#This Row],[Time]]&lt;$D$1,$C$1,IF(Table1[[#This Row],[Time]]&lt;$D$2,$C$2,$C$3))</f>
        <v>Morning</v>
      </c>
      <c r="E206">
        <f>MONTH(Table1[[#This Row],[Date]])</f>
        <v>1</v>
      </c>
      <c r="F206" t="str">
        <f>VLOOKUP(Table1[[#This Row],[Month]],dctMonth[],2,FALSE)</f>
        <v>January</v>
      </c>
      <c r="G206" t="s">
        <v>26</v>
      </c>
      <c r="H206" t="s">
        <v>27</v>
      </c>
      <c r="I206" t="s">
        <v>21</v>
      </c>
      <c r="J206" t="s">
        <v>22</v>
      </c>
      <c r="K206">
        <v>86</v>
      </c>
      <c r="L206" t="str">
        <f>IF(Table1[[#This Row],[Age]]&lt;20,"&lt;20",IF(Table1[[#This Row],[Age]]&lt;=70,"20-70","&gt;70"))</f>
        <v>&gt;70</v>
      </c>
      <c r="M206" t="s">
        <v>37</v>
      </c>
      <c r="N206" t="s">
        <v>34</v>
      </c>
      <c r="O206">
        <v>19.149999999999999</v>
      </c>
      <c r="P206">
        <v>6</v>
      </c>
      <c r="Q206">
        <v>5.7450000000000001</v>
      </c>
      <c r="R206">
        <v>120.645</v>
      </c>
      <c r="S206">
        <v>114.9</v>
      </c>
      <c r="T206">
        <v>4.7619047620000003</v>
      </c>
      <c r="U206">
        <v>5.7450000000000001</v>
      </c>
      <c r="V206">
        <v>6.8</v>
      </c>
    </row>
    <row r="207" spans="1:22" x14ac:dyDescent="0.2">
      <c r="A207" t="s">
        <v>238</v>
      </c>
      <c r="B207" s="1">
        <v>43539</v>
      </c>
      <c r="C207" s="2">
        <v>0.49791666666666667</v>
      </c>
      <c r="D207" s="2" t="str">
        <f>IF(Table1[[#This Row],[Time]]&lt;$D$1,$C$1,IF(Table1[[#This Row],[Time]]&lt;$D$2,$C$2,$C$3))</f>
        <v>Morning</v>
      </c>
      <c r="E207">
        <f>MONTH(Table1[[#This Row],[Date]])</f>
        <v>3</v>
      </c>
      <c r="F207" t="str">
        <f>VLOOKUP(Table1[[#This Row],[Month]],dctMonth[],2,FALSE)</f>
        <v>March</v>
      </c>
      <c r="G207" t="s">
        <v>43</v>
      </c>
      <c r="H207" t="s">
        <v>44</v>
      </c>
      <c r="I207" t="s">
        <v>21</v>
      </c>
      <c r="J207" t="s">
        <v>22</v>
      </c>
      <c r="K207">
        <v>81</v>
      </c>
      <c r="L207" t="str">
        <f>IF(Table1[[#This Row],[Age]]&lt;20,"&lt;20",IF(Table1[[#This Row],[Age]]&lt;=70,"20-70","&gt;70"))</f>
        <v>&gt;70</v>
      </c>
      <c r="M207" t="s">
        <v>29</v>
      </c>
      <c r="N207" t="s">
        <v>30</v>
      </c>
      <c r="O207">
        <v>57.49</v>
      </c>
      <c r="P207">
        <v>4</v>
      </c>
      <c r="Q207">
        <v>11.497999999999999</v>
      </c>
      <c r="R207">
        <v>241.458</v>
      </c>
      <c r="S207">
        <v>229.96</v>
      </c>
      <c r="T207">
        <v>4.7619047620000003</v>
      </c>
      <c r="U207">
        <v>11.497999999999999</v>
      </c>
      <c r="V207">
        <v>6.6</v>
      </c>
    </row>
    <row r="208" spans="1:22" x14ac:dyDescent="0.2">
      <c r="A208" t="s">
        <v>239</v>
      </c>
      <c r="B208" s="1">
        <v>43479</v>
      </c>
      <c r="C208" s="2">
        <v>0.41805555555555557</v>
      </c>
      <c r="D208" s="2" t="str">
        <f>IF(Table1[[#This Row],[Time]]&lt;$D$1,$C$1,IF(Table1[[#This Row],[Time]]&lt;$D$2,$C$2,$C$3))</f>
        <v>Morning</v>
      </c>
      <c r="E208">
        <f>MONTH(Table1[[#This Row],[Date]])</f>
        <v>1</v>
      </c>
      <c r="F208" t="str">
        <f>VLOOKUP(Table1[[#This Row],[Month]],dctMonth[],2,FALSE)</f>
        <v>January</v>
      </c>
      <c r="G208" t="s">
        <v>26</v>
      </c>
      <c r="H208" t="s">
        <v>27</v>
      </c>
      <c r="I208" t="s">
        <v>28</v>
      </c>
      <c r="J208" t="s">
        <v>32</v>
      </c>
      <c r="K208">
        <v>56</v>
      </c>
      <c r="L208" t="str">
        <f>IF(Table1[[#This Row],[Age]]&lt;20,"&lt;20",IF(Table1[[#This Row],[Age]]&lt;=70,"20-70","&gt;70"))</f>
        <v>20-70</v>
      </c>
      <c r="M208" t="s">
        <v>29</v>
      </c>
      <c r="N208" t="s">
        <v>30</v>
      </c>
      <c r="O208">
        <v>61.41</v>
      </c>
      <c r="P208">
        <v>7</v>
      </c>
      <c r="Q208">
        <v>21.493500000000001</v>
      </c>
      <c r="R208">
        <v>451.36349999999999</v>
      </c>
      <c r="S208">
        <v>429.87</v>
      </c>
      <c r="T208">
        <v>4.7619047620000003</v>
      </c>
      <c r="U208">
        <v>21.493500000000001</v>
      </c>
      <c r="V208">
        <v>9.8000000000000007</v>
      </c>
    </row>
    <row r="209" spans="1:22" x14ac:dyDescent="0.2">
      <c r="A209" t="s">
        <v>240</v>
      </c>
      <c r="B209" s="1">
        <v>43502</v>
      </c>
      <c r="C209" s="2">
        <v>0.61875000000000002</v>
      </c>
      <c r="D209" s="2" t="str">
        <f>IF(Table1[[#This Row],[Time]]&lt;$D$1,$C$1,IF(Table1[[#This Row],[Time]]&lt;$D$2,$C$2,$C$3))</f>
        <v>Afternoon</v>
      </c>
      <c r="E209">
        <f>MONTH(Table1[[#This Row],[Date]])</f>
        <v>2</v>
      </c>
      <c r="F209" t="str">
        <f>VLOOKUP(Table1[[#This Row],[Month]],dctMonth[],2,FALSE)</f>
        <v>February</v>
      </c>
      <c r="G209" t="s">
        <v>43</v>
      </c>
      <c r="H209" t="s">
        <v>44</v>
      </c>
      <c r="I209" t="s">
        <v>21</v>
      </c>
      <c r="J209" t="s">
        <v>32</v>
      </c>
      <c r="K209">
        <v>46</v>
      </c>
      <c r="L209" t="str">
        <f>IF(Table1[[#This Row],[Age]]&lt;20,"&lt;20",IF(Table1[[#This Row],[Age]]&lt;=70,"20-70","&gt;70"))</f>
        <v>20-70</v>
      </c>
      <c r="M209" t="s">
        <v>23</v>
      </c>
      <c r="N209" t="s">
        <v>24</v>
      </c>
      <c r="O209">
        <v>25.9</v>
      </c>
      <c r="P209">
        <v>10</v>
      </c>
      <c r="Q209">
        <v>12.95</v>
      </c>
      <c r="R209">
        <v>271.95</v>
      </c>
      <c r="S209">
        <v>259</v>
      </c>
      <c r="T209">
        <v>4.7619047620000003</v>
      </c>
      <c r="U209">
        <v>12.95</v>
      </c>
      <c r="V209">
        <v>8.6999999999999993</v>
      </c>
    </row>
    <row r="210" spans="1:22" x14ac:dyDescent="0.2">
      <c r="A210" t="s">
        <v>241</v>
      </c>
      <c r="B210" s="1">
        <v>43511</v>
      </c>
      <c r="C210" s="2">
        <v>0.52916666666666667</v>
      </c>
      <c r="D210" s="2" t="str">
        <f>IF(Table1[[#This Row],[Time]]&lt;$D$1,$C$1,IF(Table1[[#This Row],[Time]]&lt;$D$2,$C$2,$C$3))</f>
        <v>Afternoon</v>
      </c>
      <c r="E210">
        <f>MONTH(Table1[[#This Row],[Date]])</f>
        <v>2</v>
      </c>
      <c r="F210" t="str">
        <f>VLOOKUP(Table1[[#This Row],[Month]],dctMonth[],2,FALSE)</f>
        <v>February</v>
      </c>
      <c r="G210" t="s">
        <v>43</v>
      </c>
      <c r="H210" t="s">
        <v>44</v>
      </c>
      <c r="I210" t="s">
        <v>21</v>
      </c>
      <c r="J210" t="s">
        <v>32</v>
      </c>
      <c r="K210">
        <v>80</v>
      </c>
      <c r="L210" t="str">
        <f>IF(Table1[[#This Row],[Age]]&lt;20,"&lt;20",IF(Table1[[#This Row],[Age]]&lt;=70,"20-70","&gt;70"))</f>
        <v>&gt;70</v>
      </c>
      <c r="M210" t="s">
        <v>33</v>
      </c>
      <c r="N210" t="s">
        <v>34</v>
      </c>
      <c r="O210">
        <v>17.77</v>
      </c>
      <c r="P210">
        <v>5</v>
      </c>
      <c r="Q210">
        <v>4.4424999999999999</v>
      </c>
      <c r="R210">
        <v>93.292500000000004</v>
      </c>
      <c r="S210">
        <v>88.85</v>
      </c>
      <c r="T210">
        <v>4.7619047620000003</v>
      </c>
      <c r="U210">
        <v>4.4424999999999999</v>
      </c>
      <c r="V210">
        <v>5.4</v>
      </c>
    </row>
    <row r="211" spans="1:22" x14ac:dyDescent="0.2">
      <c r="A211" t="s">
        <v>242</v>
      </c>
      <c r="B211" s="1">
        <v>43468</v>
      </c>
      <c r="C211" s="2">
        <v>0.50138888888888888</v>
      </c>
      <c r="D211" s="2" t="str">
        <f>IF(Table1[[#This Row],[Time]]&lt;$D$1,$C$1,IF(Table1[[#This Row],[Time]]&lt;$D$2,$C$2,$C$3))</f>
        <v>Afternoon</v>
      </c>
      <c r="E211">
        <f>MONTH(Table1[[#This Row],[Date]])</f>
        <v>1</v>
      </c>
      <c r="F211" t="str">
        <f>VLOOKUP(Table1[[#This Row],[Month]],dctMonth[],2,FALSE)</f>
        <v>January</v>
      </c>
      <c r="G211" t="s">
        <v>19</v>
      </c>
      <c r="H211" t="s">
        <v>20</v>
      </c>
      <c r="I211" t="s">
        <v>28</v>
      </c>
      <c r="J211" t="s">
        <v>22</v>
      </c>
      <c r="K211">
        <v>28</v>
      </c>
      <c r="L211" t="str">
        <f>IF(Table1[[#This Row],[Age]]&lt;20,"&lt;20",IF(Table1[[#This Row],[Age]]&lt;=70,"20-70","&gt;70"))</f>
        <v>20-70</v>
      </c>
      <c r="M211" t="s">
        <v>23</v>
      </c>
      <c r="N211" t="s">
        <v>24</v>
      </c>
      <c r="O211">
        <v>23.03</v>
      </c>
      <c r="P211">
        <v>9</v>
      </c>
      <c r="Q211">
        <v>10.3635</v>
      </c>
      <c r="R211">
        <v>217.6335</v>
      </c>
      <c r="S211">
        <v>207.27</v>
      </c>
      <c r="T211">
        <v>4.7619047620000003</v>
      </c>
      <c r="U211">
        <v>10.3635</v>
      </c>
      <c r="V211">
        <v>7.9</v>
      </c>
    </row>
    <row r="212" spans="1:22" x14ac:dyDescent="0.2">
      <c r="A212" t="s">
        <v>243</v>
      </c>
      <c r="B212" s="1">
        <v>43469</v>
      </c>
      <c r="C212" s="2">
        <v>0.7631944444444444</v>
      </c>
      <c r="D212" s="2" t="str">
        <f>IF(Table1[[#This Row],[Time]]&lt;$D$1,$C$1,IF(Table1[[#This Row],[Time]]&lt;$D$2,$C$2,$C$3))</f>
        <v>Evening</v>
      </c>
      <c r="E212">
        <f>MONTH(Table1[[#This Row],[Date]])</f>
        <v>1</v>
      </c>
      <c r="F212" t="str">
        <f>VLOOKUP(Table1[[#This Row],[Month]],dctMonth[],2,FALSE)</f>
        <v>January</v>
      </c>
      <c r="G212" t="s">
        <v>26</v>
      </c>
      <c r="H212" t="s">
        <v>27</v>
      </c>
      <c r="I212" t="s">
        <v>21</v>
      </c>
      <c r="J212" t="s">
        <v>22</v>
      </c>
      <c r="K212">
        <v>52</v>
      </c>
      <c r="L212" t="str">
        <f>IF(Table1[[#This Row],[Age]]&lt;20,"&lt;20",IF(Table1[[#This Row],[Age]]&lt;=70,"20-70","&gt;70"))</f>
        <v>20-70</v>
      </c>
      <c r="M212" t="s">
        <v>29</v>
      </c>
      <c r="N212" t="s">
        <v>34</v>
      </c>
      <c r="O212">
        <v>66.650000000000006</v>
      </c>
      <c r="P212">
        <v>9</v>
      </c>
      <c r="Q212">
        <v>29.9925</v>
      </c>
      <c r="R212">
        <v>629.84249999999997</v>
      </c>
      <c r="S212">
        <v>599.85</v>
      </c>
      <c r="T212">
        <v>4.7619047620000003</v>
      </c>
      <c r="U212">
        <v>29.9925</v>
      </c>
      <c r="V212">
        <v>9.6999999999999993</v>
      </c>
    </row>
    <row r="213" spans="1:22" x14ac:dyDescent="0.2">
      <c r="A213" t="s">
        <v>244</v>
      </c>
      <c r="B213" s="1">
        <v>43542</v>
      </c>
      <c r="C213" s="2">
        <v>0.73472222222222228</v>
      </c>
      <c r="D213" s="2" t="str">
        <f>IF(Table1[[#This Row],[Time]]&lt;$D$1,$C$1,IF(Table1[[#This Row],[Time]]&lt;$D$2,$C$2,$C$3))</f>
        <v>Evening</v>
      </c>
      <c r="E213">
        <f>MONTH(Table1[[#This Row],[Date]])</f>
        <v>3</v>
      </c>
      <c r="F213" t="str">
        <f>VLOOKUP(Table1[[#This Row],[Month]],dctMonth[],2,FALSE)</f>
        <v>March</v>
      </c>
      <c r="G213" t="s">
        <v>26</v>
      </c>
      <c r="H213" t="s">
        <v>27</v>
      </c>
      <c r="I213" t="s">
        <v>21</v>
      </c>
      <c r="J213" t="s">
        <v>22</v>
      </c>
      <c r="K213">
        <v>69</v>
      </c>
      <c r="L213" t="str">
        <f>IF(Table1[[#This Row],[Age]]&lt;20,"&lt;20",IF(Table1[[#This Row],[Age]]&lt;=70,"20-70","&gt;70"))</f>
        <v>20-70</v>
      </c>
      <c r="M213" t="s">
        <v>33</v>
      </c>
      <c r="N213" t="s">
        <v>24</v>
      </c>
      <c r="O213">
        <v>28.53</v>
      </c>
      <c r="P213">
        <v>10</v>
      </c>
      <c r="Q213">
        <v>14.265000000000001</v>
      </c>
      <c r="R213">
        <v>299.565</v>
      </c>
      <c r="S213">
        <v>285.3</v>
      </c>
      <c r="T213">
        <v>4.7619047620000003</v>
      </c>
      <c r="U213">
        <v>14.265000000000001</v>
      </c>
      <c r="V213">
        <v>7.8</v>
      </c>
    </row>
    <row r="214" spans="1:22" x14ac:dyDescent="0.2">
      <c r="A214" t="s">
        <v>245</v>
      </c>
      <c r="B214" s="1">
        <v>43552</v>
      </c>
      <c r="C214" s="2">
        <v>0.57013888888888886</v>
      </c>
      <c r="D214" s="2" t="str">
        <f>IF(Table1[[#This Row],[Time]]&lt;$D$1,$C$1,IF(Table1[[#This Row],[Time]]&lt;$D$2,$C$2,$C$3))</f>
        <v>Afternoon</v>
      </c>
      <c r="E214">
        <f>MONTH(Table1[[#This Row],[Date]])</f>
        <v>3</v>
      </c>
      <c r="F214" t="str">
        <f>VLOOKUP(Table1[[#This Row],[Month]],dctMonth[],2,FALSE)</f>
        <v>March</v>
      </c>
      <c r="G214" t="s">
        <v>43</v>
      </c>
      <c r="H214" t="s">
        <v>44</v>
      </c>
      <c r="I214" t="s">
        <v>28</v>
      </c>
      <c r="J214" t="s">
        <v>22</v>
      </c>
      <c r="K214">
        <v>17</v>
      </c>
      <c r="L214" t="str">
        <f>IF(Table1[[#This Row],[Age]]&lt;20,"&lt;20",IF(Table1[[#This Row],[Age]]&lt;=70,"20-70","&gt;70"))</f>
        <v>&lt;20</v>
      </c>
      <c r="M214" t="s">
        <v>47</v>
      </c>
      <c r="N214" t="s">
        <v>24</v>
      </c>
      <c r="O214">
        <v>30.37</v>
      </c>
      <c r="P214">
        <v>3</v>
      </c>
      <c r="Q214">
        <v>4.5555000000000003</v>
      </c>
      <c r="R214">
        <v>95.665499999999994</v>
      </c>
      <c r="S214">
        <v>91.11</v>
      </c>
      <c r="T214">
        <v>4.7619047620000003</v>
      </c>
      <c r="U214">
        <v>4.5555000000000003</v>
      </c>
      <c r="V214">
        <v>5.0999999999999996</v>
      </c>
    </row>
    <row r="215" spans="1:22" x14ac:dyDescent="0.2">
      <c r="A215" t="s">
        <v>246</v>
      </c>
      <c r="B215" s="1">
        <v>43526</v>
      </c>
      <c r="C215" s="2">
        <v>0.8208333333333333</v>
      </c>
      <c r="D215" s="2" t="str">
        <f>IF(Table1[[#This Row],[Time]]&lt;$D$1,$C$1,IF(Table1[[#This Row],[Time]]&lt;$D$2,$C$2,$C$3))</f>
        <v>Evening</v>
      </c>
      <c r="E215">
        <f>MONTH(Table1[[#This Row],[Date]])</f>
        <v>3</v>
      </c>
      <c r="F215" t="str">
        <f>VLOOKUP(Table1[[#This Row],[Month]],dctMonth[],2,FALSE)</f>
        <v>March</v>
      </c>
      <c r="G215" t="s">
        <v>43</v>
      </c>
      <c r="H215" t="s">
        <v>44</v>
      </c>
      <c r="I215" t="s">
        <v>28</v>
      </c>
      <c r="J215" t="s">
        <v>22</v>
      </c>
      <c r="K215">
        <v>39</v>
      </c>
      <c r="L215" t="str">
        <f>IF(Table1[[#This Row],[Age]]&lt;20,"&lt;20",IF(Table1[[#This Row],[Age]]&lt;=70,"20-70","&gt;70"))</f>
        <v>20-70</v>
      </c>
      <c r="M215" t="s">
        <v>29</v>
      </c>
      <c r="N215" t="s">
        <v>34</v>
      </c>
      <c r="O215">
        <v>99.73</v>
      </c>
      <c r="P215">
        <v>9</v>
      </c>
      <c r="Q215">
        <v>44.878500000000003</v>
      </c>
      <c r="R215">
        <v>942.44849999999997</v>
      </c>
      <c r="S215">
        <v>897.57</v>
      </c>
      <c r="T215">
        <v>4.7619047620000003</v>
      </c>
      <c r="U215">
        <v>44.878500000000003</v>
      </c>
      <c r="V215">
        <v>6.5</v>
      </c>
    </row>
    <row r="216" spans="1:22" x14ac:dyDescent="0.2">
      <c r="A216" t="s">
        <v>247</v>
      </c>
      <c r="B216" s="1">
        <v>43490</v>
      </c>
      <c r="C216" s="2">
        <v>0.85</v>
      </c>
      <c r="D216" s="2" t="str">
        <f>IF(Table1[[#This Row],[Time]]&lt;$D$1,$C$1,IF(Table1[[#This Row],[Time]]&lt;$D$2,$C$2,$C$3))</f>
        <v>Evening</v>
      </c>
      <c r="E216">
        <f>MONTH(Table1[[#This Row],[Date]])</f>
        <v>1</v>
      </c>
      <c r="F216" t="str">
        <f>VLOOKUP(Table1[[#This Row],[Month]],dctMonth[],2,FALSE)</f>
        <v>January</v>
      </c>
      <c r="G216" t="s">
        <v>19</v>
      </c>
      <c r="H216" t="s">
        <v>20</v>
      </c>
      <c r="I216" t="s">
        <v>28</v>
      </c>
      <c r="J216" t="s">
        <v>32</v>
      </c>
      <c r="K216">
        <v>34</v>
      </c>
      <c r="L216" t="str">
        <f>IF(Table1[[#This Row],[Age]]&lt;20,"&lt;20",IF(Table1[[#This Row],[Age]]&lt;=70,"20-70","&gt;70"))</f>
        <v>20-70</v>
      </c>
      <c r="M216" t="s">
        <v>29</v>
      </c>
      <c r="N216" t="s">
        <v>24</v>
      </c>
      <c r="O216">
        <v>26.23</v>
      </c>
      <c r="P216">
        <v>9</v>
      </c>
      <c r="Q216">
        <v>11.8035</v>
      </c>
      <c r="R216">
        <v>247.87350000000001</v>
      </c>
      <c r="S216">
        <v>236.07</v>
      </c>
      <c r="T216">
        <v>4.7619047620000003</v>
      </c>
      <c r="U216">
        <v>11.8035</v>
      </c>
      <c r="V216">
        <v>5.9</v>
      </c>
    </row>
    <row r="217" spans="1:22" x14ac:dyDescent="0.2">
      <c r="A217" t="s">
        <v>248</v>
      </c>
      <c r="B217" s="1">
        <v>43481</v>
      </c>
      <c r="C217" s="2">
        <v>0.75555555555555554</v>
      </c>
      <c r="D217" s="2" t="str">
        <f>IF(Table1[[#This Row],[Time]]&lt;$D$1,$C$1,IF(Table1[[#This Row],[Time]]&lt;$D$2,$C$2,$C$3))</f>
        <v>Evening</v>
      </c>
      <c r="E217">
        <f>MONTH(Table1[[#This Row],[Date]])</f>
        <v>1</v>
      </c>
      <c r="F217" t="str">
        <f>VLOOKUP(Table1[[#This Row],[Month]],dctMonth[],2,FALSE)</f>
        <v>January</v>
      </c>
      <c r="G217" t="s">
        <v>26</v>
      </c>
      <c r="H217" t="s">
        <v>27</v>
      </c>
      <c r="I217" t="s">
        <v>28</v>
      </c>
      <c r="J217" t="s">
        <v>22</v>
      </c>
      <c r="K217">
        <v>56</v>
      </c>
      <c r="L217" t="str">
        <f>IF(Table1[[#This Row],[Age]]&lt;20,"&lt;20",IF(Table1[[#This Row],[Age]]&lt;=70,"20-70","&gt;70"))</f>
        <v>20-70</v>
      </c>
      <c r="M217" t="s">
        <v>45</v>
      </c>
      <c r="N217" t="s">
        <v>30</v>
      </c>
      <c r="O217">
        <v>93.26</v>
      </c>
      <c r="P217">
        <v>9</v>
      </c>
      <c r="Q217">
        <v>41.966999999999999</v>
      </c>
      <c r="R217">
        <v>881.30700000000002</v>
      </c>
      <c r="S217">
        <v>839.34</v>
      </c>
      <c r="T217">
        <v>4.7619047620000003</v>
      </c>
      <c r="U217">
        <v>41.966999999999999</v>
      </c>
      <c r="V217">
        <v>8.8000000000000007</v>
      </c>
    </row>
    <row r="218" spans="1:22" x14ac:dyDescent="0.2">
      <c r="A218" t="s">
        <v>249</v>
      </c>
      <c r="B218" s="1">
        <v>43544</v>
      </c>
      <c r="C218" s="2">
        <v>0.80347222222222225</v>
      </c>
      <c r="D218" s="2" t="str">
        <f>IF(Table1[[#This Row],[Time]]&lt;$D$1,$C$1,IF(Table1[[#This Row],[Time]]&lt;$D$2,$C$2,$C$3))</f>
        <v>Evening</v>
      </c>
      <c r="E218">
        <f>MONTH(Table1[[#This Row],[Date]])</f>
        <v>3</v>
      </c>
      <c r="F218" t="str">
        <f>VLOOKUP(Table1[[#This Row],[Month]],dctMonth[],2,FALSE)</f>
        <v>March</v>
      </c>
      <c r="G218" t="s">
        <v>43</v>
      </c>
      <c r="H218" t="s">
        <v>44</v>
      </c>
      <c r="I218" t="s">
        <v>28</v>
      </c>
      <c r="J218" t="s">
        <v>32</v>
      </c>
      <c r="K218">
        <v>64</v>
      </c>
      <c r="L218" t="str">
        <f>IF(Table1[[#This Row],[Age]]&lt;20,"&lt;20",IF(Table1[[#This Row],[Age]]&lt;=70,"20-70","&gt;70"))</f>
        <v>20-70</v>
      </c>
      <c r="M218" t="s">
        <v>33</v>
      </c>
      <c r="N218" t="s">
        <v>24</v>
      </c>
      <c r="O218">
        <v>92.36</v>
      </c>
      <c r="P218">
        <v>5</v>
      </c>
      <c r="Q218">
        <v>23.09</v>
      </c>
      <c r="R218">
        <v>484.89</v>
      </c>
      <c r="S218">
        <v>461.8</v>
      </c>
      <c r="T218">
        <v>4.7619047620000003</v>
      </c>
      <c r="U218">
        <v>23.09</v>
      </c>
      <c r="V218">
        <v>4.9000000000000004</v>
      </c>
    </row>
    <row r="219" spans="1:22" x14ac:dyDescent="0.2">
      <c r="A219" t="s">
        <v>250</v>
      </c>
      <c r="B219" s="1">
        <v>43469</v>
      </c>
      <c r="C219" s="2">
        <v>0.55833333333333335</v>
      </c>
      <c r="D219" s="2" t="str">
        <f>IF(Table1[[#This Row],[Time]]&lt;$D$1,$C$1,IF(Table1[[#This Row],[Time]]&lt;$D$2,$C$2,$C$3))</f>
        <v>Afternoon</v>
      </c>
      <c r="E219">
        <f>MONTH(Table1[[#This Row],[Date]])</f>
        <v>1</v>
      </c>
      <c r="F219" t="str">
        <f>VLOOKUP(Table1[[#This Row],[Month]],dctMonth[],2,FALSE)</f>
        <v>January</v>
      </c>
      <c r="G219" t="s">
        <v>43</v>
      </c>
      <c r="H219" t="s">
        <v>44</v>
      </c>
      <c r="I219" t="s">
        <v>28</v>
      </c>
      <c r="J219" t="s">
        <v>32</v>
      </c>
      <c r="K219">
        <v>22</v>
      </c>
      <c r="L219" t="str">
        <f>IF(Table1[[#This Row],[Age]]&lt;20,"&lt;20",IF(Table1[[#This Row],[Age]]&lt;=70,"20-70","&gt;70"))</f>
        <v>20-70</v>
      </c>
      <c r="M219" t="s">
        <v>37</v>
      </c>
      <c r="N219" t="s">
        <v>34</v>
      </c>
      <c r="O219">
        <v>46.42</v>
      </c>
      <c r="P219">
        <v>3</v>
      </c>
      <c r="Q219">
        <v>6.9630000000000001</v>
      </c>
      <c r="R219">
        <v>146.22300000000001</v>
      </c>
      <c r="S219">
        <v>139.26</v>
      </c>
      <c r="T219">
        <v>4.7619047620000003</v>
      </c>
      <c r="U219">
        <v>6.9630000000000001</v>
      </c>
      <c r="V219">
        <v>4.4000000000000004</v>
      </c>
    </row>
    <row r="220" spans="1:22" x14ac:dyDescent="0.2">
      <c r="A220" t="s">
        <v>251</v>
      </c>
      <c r="B220" s="1">
        <v>43535</v>
      </c>
      <c r="C220" s="2">
        <v>0.66180555555555554</v>
      </c>
      <c r="D220" s="2" t="str">
        <f>IF(Table1[[#This Row],[Time]]&lt;$D$1,$C$1,IF(Table1[[#This Row],[Time]]&lt;$D$2,$C$2,$C$3))</f>
        <v>Afternoon</v>
      </c>
      <c r="E220">
        <f>MONTH(Table1[[#This Row],[Date]])</f>
        <v>3</v>
      </c>
      <c r="F220" t="str">
        <f>VLOOKUP(Table1[[#This Row],[Month]],dctMonth[],2,FALSE)</f>
        <v>March</v>
      </c>
      <c r="G220" t="s">
        <v>43</v>
      </c>
      <c r="H220" t="s">
        <v>44</v>
      </c>
      <c r="I220" t="s">
        <v>21</v>
      </c>
      <c r="J220" t="s">
        <v>22</v>
      </c>
      <c r="K220">
        <v>18</v>
      </c>
      <c r="L220" t="str">
        <f>IF(Table1[[#This Row],[Age]]&lt;20,"&lt;20",IF(Table1[[#This Row],[Age]]&lt;=70,"20-70","&gt;70"))</f>
        <v>&lt;20</v>
      </c>
      <c r="M220" t="s">
        <v>37</v>
      </c>
      <c r="N220" t="s">
        <v>30</v>
      </c>
      <c r="O220">
        <v>29.61</v>
      </c>
      <c r="P220">
        <v>7</v>
      </c>
      <c r="Q220">
        <v>10.3635</v>
      </c>
      <c r="R220">
        <v>217.6335</v>
      </c>
      <c r="S220">
        <v>207.27</v>
      </c>
      <c r="T220">
        <v>4.7619047620000003</v>
      </c>
      <c r="U220">
        <v>10.3635</v>
      </c>
      <c r="V220">
        <v>6.5</v>
      </c>
    </row>
    <row r="221" spans="1:22" x14ac:dyDescent="0.2">
      <c r="A221" t="s">
        <v>252</v>
      </c>
      <c r="B221" s="1">
        <v>43546</v>
      </c>
      <c r="C221" s="2">
        <v>0.62847222222222221</v>
      </c>
      <c r="D221" s="2" t="str">
        <f>IF(Table1[[#This Row],[Time]]&lt;$D$1,$C$1,IF(Table1[[#This Row],[Time]]&lt;$D$2,$C$2,$C$3))</f>
        <v>Afternoon</v>
      </c>
      <c r="E221">
        <f>MONTH(Table1[[#This Row],[Date]])</f>
        <v>3</v>
      </c>
      <c r="F221" t="str">
        <f>VLOOKUP(Table1[[#This Row],[Month]],dctMonth[],2,FALSE)</f>
        <v>March</v>
      </c>
      <c r="G221" t="s">
        <v>19</v>
      </c>
      <c r="H221" t="s">
        <v>20</v>
      </c>
      <c r="I221" t="s">
        <v>28</v>
      </c>
      <c r="J221" t="s">
        <v>32</v>
      </c>
      <c r="K221">
        <v>86</v>
      </c>
      <c r="L221" t="str">
        <f>IF(Table1[[#This Row],[Age]]&lt;20,"&lt;20",IF(Table1[[#This Row],[Age]]&lt;=70,"20-70","&gt;70"))</f>
        <v>&gt;70</v>
      </c>
      <c r="M221" t="s">
        <v>33</v>
      </c>
      <c r="N221" t="s">
        <v>34</v>
      </c>
      <c r="O221">
        <v>18.28</v>
      </c>
      <c r="P221">
        <v>1</v>
      </c>
      <c r="Q221">
        <v>0.91400000000000003</v>
      </c>
      <c r="R221">
        <v>19.193999999999999</v>
      </c>
      <c r="S221">
        <v>18.28</v>
      </c>
      <c r="T221">
        <v>4.7619047620000003</v>
      </c>
      <c r="U221">
        <v>0.91400000000000003</v>
      </c>
      <c r="V221">
        <v>8.3000000000000007</v>
      </c>
    </row>
    <row r="222" spans="1:22" x14ac:dyDescent="0.2">
      <c r="A222" t="s">
        <v>253</v>
      </c>
      <c r="B222" s="1">
        <v>43548</v>
      </c>
      <c r="C222" s="2">
        <v>0.76875000000000004</v>
      </c>
      <c r="D222" s="2" t="str">
        <f>IF(Table1[[#This Row],[Time]]&lt;$D$1,$C$1,IF(Table1[[#This Row],[Time]]&lt;$D$2,$C$2,$C$3))</f>
        <v>Evening</v>
      </c>
      <c r="E222">
        <f>MONTH(Table1[[#This Row],[Date]])</f>
        <v>3</v>
      </c>
      <c r="F222" t="str">
        <f>VLOOKUP(Table1[[#This Row],[Month]],dctMonth[],2,FALSE)</f>
        <v>March</v>
      </c>
      <c r="G222" t="s">
        <v>43</v>
      </c>
      <c r="H222" t="s">
        <v>44</v>
      </c>
      <c r="I222" t="s">
        <v>28</v>
      </c>
      <c r="J222" t="s">
        <v>22</v>
      </c>
      <c r="K222">
        <v>83</v>
      </c>
      <c r="L222" t="str">
        <f>IF(Table1[[#This Row],[Age]]&lt;20,"&lt;20",IF(Table1[[#This Row],[Age]]&lt;=70,"20-70","&gt;70"))</f>
        <v>&gt;70</v>
      </c>
      <c r="M222" t="s">
        <v>37</v>
      </c>
      <c r="N222" t="s">
        <v>30</v>
      </c>
      <c r="O222">
        <v>24.77</v>
      </c>
      <c r="P222">
        <v>5</v>
      </c>
      <c r="Q222">
        <v>6.1924999999999999</v>
      </c>
      <c r="R222">
        <v>130.04249999999999</v>
      </c>
      <c r="S222">
        <v>123.85</v>
      </c>
      <c r="T222">
        <v>4.7619047620000003</v>
      </c>
      <c r="U222">
        <v>6.1924999999999999</v>
      </c>
      <c r="V222">
        <v>8.5</v>
      </c>
    </row>
    <row r="223" spans="1:22" x14ac:dyDescent="0.2">
      <c r="A223" t="s">
        <v>254</v>
      </c>
      <c r="B223" s="1">
        <v>43517</v>
      </c>
      <c r="C223" s="2">
        <v>0.70486111111111116</v>
      </c>
      <c r="D223" s="2" t="str">
        <f>IF(Table1[[#This Row],[Time]]&lt;$D$1,$C$1,IF(Table1[[#This Row],[Time]]&lt;$D$2,$C$2,$C$3))</f>
        <v>Afternoon</v>
      </c>
      <c r="E223">
        <f>MONTH(Table1[[#This Row],[Date]])</f>
        <v>2</v>
      </c>
      <c r="F223" t="str">
        <f>VLOOKUP(Table1[[#This Row],[Month]],dctMonth[],2,FALSE)</f>
        <v>February</v>
      </c>
      <c r="G223" t="s">
        <v>19</v>
      </c>
      <c r="H223" t="s">
        <v>20</v>
      </c>
      <c r="I223" t="s">
        <v>21</v>
      </c>
      <c r="J223" t="s">
        <v>22</v>
      </c>
      <c r="K223">
        <v>77</v>
      </c>
      <c r="L223" t="str">
        <f>IF(Table1[[#This Row],[Age]]&lt;20,"&lt;20",IF(Table1[[#This Row],[Age]]&lt;=70,"20-70","&gt;70"))</f>
        <v>&gt;70</v>
      </c>
      <c r="M223" t="s">
        <v>29</v>
      </c>
      <c r="N223" t="s">
        <v>30</v>
      </c>
      <c r="O223">
        <v>94.64</v>
      </c>
      <c r="P223">
        <v>3</v>
      </c>
      <c r="Q223">
        <v>14.196</v>
      </c>
      <c r="R223">
        <v>298.11599999999999</v>
      </c>
      <c r="S223">
        <v>283.92</v>
      </c>
      <c r="T223">
        <v>4.7619047620000003</v>
      </c>
      <c r="U223">
        <v>14.196</v>
      </c>
      <c r="V223">
        <v>5.5</v>
      </c>
    </row>
    <row r="224" spans="1:22" x14ac:dyDescent="0.2">
      <c r="A224" t="s">
        <v>255</v>
      </c>
      <c r="B224" s="1">
        <v>43508</v>
      </c>
      <c r="C224" s="2">
        <v>0.54027777777777775</v>
      </c>
      <c r="D224" s="2" t="str">
        <f>IF(Table1[[#This Row],[Time]]&lt;$D$1,$C$1,IF(Table1[[#This Row],[Time]]&lt;$D$2,$C$2,$C$3))</f>
        <v>Afternoon</v>
      </c>
      <c r="E224">
        <f>MONTH(Table1[[#This Row],[Date]])</f>
        <v>2</v>
      </c>
      <c r="F224" t="str">
        <f>VLOOKUP(Table1[[#This Row],[Month]],dctMonth[],2,FALSE)</f>
        <v>February</v>
      </c>
      <c r="G224" t="s">
        <v>43</v>
      </c>
      <c r="H224" t="s">
        <v>44</v>
      </c>
      <c r="I224" t="s">
        <v>28</v>
      </c>
      <c r="J224" t="s">
        <v>32</v>
      </c>
      <c r="K224">
        <v>30</v>
      </c>
      <c r="L224" t="str">
        <f>IF(Table1[[#This Row],[Age]]&lt;20,"&lt;20",IF(Table1[[#This Row],[Age]]&lt;=70,"20-70","&gt;70"))</f>
        <v>20-70</v>
      </c>
      <c r="M224" t="s">
        <v>47</v>
      </c>
      <c r="N224" t="s">
        <v>24</v>
      </c>
      <c r="O224">
        <v>94.87</v>
      </c>
      <c r="P224">
        <v>8</v>
      </c>
      <c r="Q224">
        <v>37.948</v>
      </c>
      <c r="R224">
        <v>796.90800000000002</v>
      </c>
      <c r="S224">
        <v>758.96</v>
      </c>
      <c r="T224">
        <v>4.7619047620000003</v>
      </c>
      <c r="U224">
        <v>37.948</v>
      </c>
      <c r="V224">
        <v>8.6999999999999993</v>
      </c>
    </row>
    <row r="225" spans="1:22" x14ac:dyDescent="0.2">
      <c r="A225" t="s">
        <v>256</v>
      </c>
      <c r="B225" s="1">
        <v>43534</v>
      </c>
      <c r="C225" s="2">
        <v>0.79097222222222219</v>
      </c>
      <c r="D225" s="2" t="str">
        <f>IF(Table1[[#This Row],[Time]]&lt;$D$1,$C$1,IF(Table1[[#This Row],[Time]]&lt;$D$2,$C$2,$C$3))</f>
        <v>Evening</v>
      </c>
      <c r="E225">
        <f>MONTH(Table1[[#This Row],[Date]])</f>
        <v>3</v>
      </c>
      <c r="F225" t="str">
        <f>VLOOKUP(Table1[[#This Row],[Month]],dctMonth[],2,FALSE)</f>
        <v>March</v>
      </c>
      <c r="G225" t="s">
        <v>43</v>
      </c>
      <c r="H225" t="s">
        <v>44</v>
      </c>
      <c r="I225" t="s">
        <v>28</v>
      </c>
      <c r="J225" t="s">
        <v>22</v>
      </c>
      <c r="K225">
        <v>34</v>
      </c>
      <c r="L225" t="str">
        <f>IF(Table1[[#This Row],[Age]]&lt;20,"&lt;20",IF(Table1[[#This Row],[Age]]&lt;=70,"20-70","&gt;70"))</f>
        <v>20-70</v>
      </c>
      <c r="M225" t="s">
        <v>45</v>
      </c>
      <c r="N225" t="s">
        <v>34</v>
      </c>
      <c r="O225">
        <v>57.34</v>
      </c>
      <c r="P225">
        <v>3</v>
      </c>
      <c r="Q225">
        <v>8.6010000000000009</v>
      </c>
      <c r="R225">
        <v>180.62100000000001</v>
      </c>
      <c r="S225">
        <v>172.02</v>
      </c>
      <c r="T225">
        <v>4.7619047620000003</v>
      </c>
      <c r="U225">
        <v>8.6010000000000009</v>
      </c>
      <c r="V225">
        <v>7.9</v>
      </c>
    </row>
    <row r="226" spans="1:22" x14ac:dyDescent="0.2">
      <c r="A226" t="s">
        <v>257</v>
      </c>
      <c r="B226" s="1">
        <v>43496</v>
      </c>
      <c r="C226" s="2">
        <v>0.57222222222222219</v>
      </c>
      <c r="D226" s="2" t="str">
        <f>IF(Table1[[#This Row],[Time]]&lt;$D$1,$C$1,IF(Table1[[#This Row],[Time]]&lt;$D$2,$C$2,$C$3))</f>
        <v>Afternoon</v>
      </c>
      <c r="E226">
        <f>MONTH(Table1[[#This Row],[Date]])</f>
        <v>1</v>
      </c>
      <c r="F226" t="str">
        <f>VLOOKUP(Table1[[#This Row],[Month]],dctMonth[],2,FALSE)</f>
        <v>January</v>
      </c>
      <c r="G226" t="s">
        <v>43</v>
      </c>
      <c r="H226" t="s">
        <v>44</v>
      </c>
      <c r="I226" t="s">
        <v>28</v>
      </c>
      <c r="J226" t="s">
        <v>32</v>
      </c>
      <c r="K226">
        <v>77</v>
      </c>
      <c r="L226" t="str">
        <f>IF(Table1[[#This Row],[Age]]&lt;20,"&lt;20",IF(Table1[[#This Row],[Age]]&lt;=70,"20-70","&gt;70"))</f>
        <v>&gt;70</v>
      </c>
      <c r="M226" t="s">
        <v>29</v>
      </c>
      <c r="N226" t="s">
        <v>24</v>
      </c>
      <c r="O226">
        <v>45.35</v>
      </c>
      <c r="P226">
        <v>6</v>
      </c>
      <c r="Q226">
        <v>13.605</v>
      </c>
      <c r="R226">
        <v>285.70499999999998</v>
      </c>
      <c r="S226">
        <v>272.10000000000002</v>
      </c>
      <c r="T226">
        <v>4.7619047620000003</v>
      </c>
      <c r="U226">
        <v>13.605</v>
      </c>
      <c r="V226">
        <v>6.1</v>
      </c>
    </row>
    <row r="227" spans="1:22" x14ac:dyDescent="0.2">
      <c r="A227" t="s">
        <v>258</v>
      </c>
      <c r="B227" s="1">
        <v>43530</v>
      </c>
      <c r="C227" s="2">
        <v>0.57361111111111107</v>
      </c>
      <c r="D227" s="2" t="str">
        <f>IF(Table1[[#This Row],[Time]]&lt;$D$1,$C$1,IF(Table1[[#This Row],[Time]]&lt;$D$2,$C$2,$C$3))</f>
        <v>Afternoon</v>
      </c>
      <c r="E227">
        <f>MONTH(Table1[[#This Row],[Date]])</f>
        <v>3</v>
      </c>
      <c r="F227" t="str">
        <f>VLOOKUP(Table1[[#This Row],[Month]],dctMonth[],2,FALSE)</f>
        <v>March</v>
      </c>
      <c r="G227" t="s">
        <v>43</v>
      </c>
      <c r="H227" t="s">
        <v>44</v>
      </c>
      <c r="I227" t="s">
        <v>28</v>
      </c>
      <c r="J227" t="s">
        <v>32</v>
      </c>
      <c r="K227">
        <v>16</v>
      </c>
      <c r="L227" t="str">
        <f>IF(Table1[[#This Row],[Age]]&lt;20,"&lt;20",IF(Table1[[#This Row],[Age]]&lt;=70,"20-70","&gt;70"))</f>
        <v>&lt;20</v>
      </c>
      <c r="M227" t="s">
        <v>45</v>
      </c>
      <c r="N227" t="s">
        <v>24</v>
      </c>
      <c r="O227">
        <v>62.08</v>
      </c>
      <c r="P227">
        <v>7</v>
      </c>
      <c r="Q227">
        <v>21.728000000000002</v>
      </c>
      <c r="R227">
        <v>456.28800000000001</v>
      </c>
      <c r="S227">
        <v>434.56</v>
      </c>
      <c r="T227">
        <v>4.7619047620000003</v>
      </c>
      <c r="U227">
        <v>21.728000000000002</v>
      </c>
      <c r="V227">
        <v>5.4</v>
      </c>
    </row>
    <row r="228" spans="1:22" x14ac:dyDescent="0.2">
      <c r="A228" t="s">
        <v>259</v>
      </c>
      <c r="B228" s="1">
        <v>43513</v>
      </c>
      <c r="C228" s="2">
        <v>0.75416666666666665</v>
      </c>
      <c r="D228" s="2" t="str">
        <f>IF(Table1[[#This Row],[Time]]&lt;$D$1,$C$1,IF(Table1[[#This Row],[Time]]&lt;$D$2,$C$2,$C$3))</f>
        <v>Evening</v>
      </c>
      <c r="E228">
        <f>MONTH(Table1[[#This Row],[Date]])</f>
        <v>2</v>
      </c>
      <c r="F228" t="str">
        <f>VLOOKUP(Table1[[#This Row],[Month]],dctMonth[],2,FALSE)</f>
        <v>February</v>
      </c>
      <c r="G228" t="s">
        <v>26</v>
      </c>
      <c r="H228" t="s">
        <v>27</v>
      </c>
      <c r="I228" t="s">
        <v>28</v>
      </c>
      <c r="J228" t="s">
        <v>32</v>
      </c>
      <c r="K228">
        <v>35</v>
      </c>
      <c r="L228" t="str">
        <f>IF(Table1[[#This Row],[Age]]&lt;20,"&lt;20",IF(Table1[[#This Row],[Age]]&lt;=70,"20-70","&gt;70"))</f>
        <v>20-70</v>
      </c>
      <c r="M228" t="s">
        <v>29</v>
      </c>
      <c r="N228" t="s">
        <v>30</v>
      </c>
      <c r="O228">
        <v>11.81</v>
      </c>
      <c r="P228">
        <v>5</v>
      </c>
      <c r="Q228">
        <v>2.9525000000000001</v>
      </c>
      <c r="R228">
        <v>62.002499999999998</v>
      </c>
      <c r="S228">
        <v>59.05</v>
      </c>
      <c r="T228">
        <v>4.7619047620000003</v>
      </c>
      <c r="U228">
        <v>2.9525000000000001</v>
      </c>
      <c r="V228">
        <v>9.4</v>
      </c>
    </row>
    <row r="229" spans="1:22" x14ac:dyDescent="0.2">
      <c r="A229" t="s">
        <v>260</v>
      </c>
      <c r="B229" s="1">
        <v>43517</v>
      </c>
      <c r="C229" s="2">
        <v>0.52638888888888891</v>
      </c>
      <c r="D229" s="2" t="str">
        <f>IF(Table1[[#This Row],[Time]]&lt;$D$1,$C$1,IF(Table1[[#This Row],[Time]]&lt;$D$2,$C$2,$C$3))</f>
        <v>Afternoon</v>
      </c>
      <c r="E229">
        <f>MONTH(Table1[[#This Row],[Date]])</f>
        <v>2</v>
      </c>
      <c r="F229" t="str">
        <f>VLOOKUP(Table1[[#This Row],[Month]],dctMonth[],2,FALSE)</f>
        <v>February</v>
      </c>
      <c r="G229" t="s">
        <v>26</v>
      </c>
      <c r="H229" t="s">
        <v>27</v>
      </c>
      <c r="I229" t="s">
        <v>21</v>
      </c>
      <c r="J229" t="s">
        <v>22</v>
      </c>
      <c r="K229">
        <v>56</v>
      </c>
      <c r="L229" t="str">
        <f>IF(Table1[[#This Row],[Age]]&lt;20,"&lt;20",IF(Table1[[#This Row],[Age]]&lt;=70,"20-70","&gt;70"))</f>
        <v>20-70</v>
      </c>
      <c r="M229" t="s">
        <v>47</v>
      </c>
      <c r="N229" t="s">
        <v>30</v>
      </c>
      <c r="O229">
        <v>12.54</v>
      </c>
      <c r="P229">
        <v>1</v>
      </c>
      <c r="Q229">
        <v>0.627</v>
      </c>
      <c r="R229">
        <v>13.167</v>
      </c>
      <c r="S229">
        <v>12.54</v>
      </c>
      <c r="T229">
        <v>4.7619047620000003</v>
      </c>
      <c r="U229">
        <v>0.627</v>
      </c>
      <c r="V229">
        <v>8.1999999999999993</v>
      </c>
    </row>
    <row r="230" spans="1:22" x14ac:dyDescent="0.2">
      <c r="A230" t="s">
        <v>261</v>
      </c>
      <c r="B230" s="1">
        <v>43544</v>
      </c>
      <c r="C230" s="2">
        <v>0.66388888888888886</v>
      </c>
      <c r="D230" s="2" t="str">
        <f>IF(Table1[[#This Row],[Time]]&lt;$D$1,$C$1,IF(Table1[[#This Row],[Time]]&lt;$D$2,$C$2,$C$3))</f>
        <v>Afternoon</v>
      </c>
      <c r="E230">
        <f>MONTH(Table1[[#This Row],[Date]])</f>
        <v>3</v>
      </c>
      <c r="F230" t="str">
        <f>VLOOKUP(Table1[[#This Row],[Month]],dctMonth[],2,FALSE)</f>
        <v>March</v>
      </c>
      <c r="G230" t="s">
        <v>19</v>
      </c>
      <c r="H230" t="s">
        <v>20</v>
      </c>
      <c r="I230" t="s">
        <v>28</v>
      </c>
      <c r="J230" t="s">
        <v>32</v>
      </c>
      <c r="K230">
        <v>28</v>
      </c>
      <c r="L230" t="str">
        <f>IF(Table1[[#This Row],[Age]]&lt;20,"&lt;20",IF(Table1[[#This Row],[Age]]&lt;=70,"20-70","&gt;70"))</f>
        <v>20-70</v>
      </c>
      <c r="M230" t="s">
        <v>45</v>
      </c>
      <c r="N230" t="s">
        <v>30</v>
      </c>
      <c r="O230">
        <v>43.25</v>
      </c>
      <c r="P230">
        <v>2</v>
      </c>
      <c r="Q230">
        <v>4.3250000000000002</v>
      </c>
      <c r="R230">
        <v>90.825000000000003</v>
      </c>
      <c r="S230">
        <v>86.5</v>
      </c>
      <c r="T230">
        <v>4.7619047620000003</v>
      </c>
      <c r="U230">
        <v>4.3250000000000002</v>
      </c>
      <c r="V230">
        <v>6.2</v>
      </c>
    </row>
    <row r="231" spans="1:22" x14ac:dyDescent="0.2">
      <c r="A231" t="s">
        <v>262</v>
      </c>
      <c r="B231" s="1">
        <v>43476</v>
      </c>
      <c r="C231" s="2">
        <v>0.60347222222222219</v>
      </c>
      <c r="D231" s="2" t="str">
        <f>IF(Table1[[#This Row],[Time]]&lt;$D$1,$C$1,IF(Table1[[#This Row],[Time]]&lt;$D$2,$C$2,$C$3))</f>
        <v>Afternoon</v>
      </c>
      <c r="E231">
        <f>MONTH(Table1[[#This Row],[Date]])</f>
        <v>1</v>
      </c>
      <c r="F231" t="str">
        <f>VLOOKUP(Table1[[#This Row],[Month]],dctMonth[],2,FALSE)</f>
        <v>January</v>
      </c>
      <c r="G231" t="s">
        <v>26</v>
      </c>
      <c r="H231" t="s">
        <v>27</v>
      </c>
      <c r="I231" t="s">
        <v>21</v>
      </c>
      <c r="J231" t="s">
        <v>22</v>
      </c>
      <c r="K231">
        <v>40</v>
      </c>
      <c r="L231" t="str">
        <f>IF(Table1[[#This Row],[Age]]&lt;20,"&lt;20",IF(Table1[[#This Row],[Age]]&lt;=70,"20-70","&gt;70"))</f>
        <v>20-70</v>
      </c>
      <c r="M231" t="s">
        <v>37</v>
      </c>
      <c r="N231" t="s">
        <v>34</v>
      </c>
      <c r="O231">
        <v>87.16</v>
      </c>
      <c r="P231">
        <v>2</v>
      </c>
      <c r="Q231">
        <v>8.7159999999999993</v>
      </c>
      <c r="R231">
        <v>183.036</v>
      </c>
      <c r="S231">
        <v>174.32</v>
      </c>
      <c r="T231">
        <v>4.7619047620000003</v>
      </c>
      <c r="U231">
        <v>8.7159999999999993</v>
      </c>
      <c r="V231">
        <v>9.6999999999999993</v>
      </c>
    </row>
    <row r="232" spans="1:22" x14ac:dyDescent="0.2">
      <c r="A232" t="s">
        <v>263</v>
      </c>
      <c r="B232" s="1">
        <v>43491</v>
      </c>
      <c r="C232" s="2">
        <v>0.80138888888888893</v>
      </c>
      <c r="D232" s="2" t="str">
        <f>IF(Table1[[#This Row],[Time]]&lt;$D$1,$C$1,IF(Table1[[#This Row],[Time]]&lt;$D$2,$C$2,$C$3))</f>
        <v>Evening</v>
      </c>
      <c r="E232">
        <f>MONTH(Table1[[#This Row],[Date]])</f>
        <v>1</v>
      </c>
      <c r="F232" t="str">
        <f>VLOOKUP(Table1[[#This Row],[Month]],dctMonth[],2,FALSE)</f>
        <v>January</v>
      </c>
      <c r="G232" t="s">
        <v>43</v>
      </c>
      <c r="H232" t="s">
        <v>44</v>
      </c>
      <c r="I232" t="s">
        <v>21</v>
      </c>
      <c r="J232" t="s">
        <v>32</v>
      </c>
      <c r="K232">
        <v>56</v>
      </c>
      <c r="L232" t="str">
        <f>IF(Table1[[#This Row],[Age]]&lt;20,"&lt;20",IF(Table1[[#This Row],[Age]]&lt;=70,"20-70","&gt;70"))</f>
        <v>20-70</v>
      </c>
      <c r="M232" t="s">
        <v>23</v>
      </c>
      <c r="N232" t="s">
        <v>24</v>
      </c>
      <c r="O232">
        <v>69.37</v>
      </c>
      <c r="P232">
        <v>9</v>
      </c>
      <c r="Q232">
        <v>31.2165</v>
      </c>
      <c r="R232">
        <v>655.54650000000004</v>
      </c>
      <c r="S232">
        <v>624.33000000000004</v>
      </c>
      <c r="T232">
        <v>4.7619047620000003</v>
      </c>
      <c r="U232">
        <v>31.2165</v>
      </c>
      <c r="V232">
        <v>4</v>
      </c>
    </row>
    <row r="233" spans="1:22" x14ac:dyDescent="0.2">
      <c r="A233" t="s">
        <v>264</v>
      </c>
      <c r="B233" s="1">
        <v>43496</v>
      </c>
      <c r="C233" s="2">
        <v>0.68333333333333335</v>
      </c>
      <c r="D233" s="2" t="str">
        <f>IF(Table1[[#This Row],[Time]]&lt;$D$1,$C$1,IF(Table1[[#This Row],[Time]]&lt;$D$2,$C$2,$C$3))</f>
        <v>Afternoon</v>
      </c>
      <c r="E233">
        <f>MONTH(Table1[[#This Row],[Date]])</f>
        <v>1</v>
      </c>
      <c r="F233" t="str">
        <f>VLOOKUP(Table1[[#This Row],[Month]],dctMonth[],2,FALSE)</f>
        <v>January</v>
      </c>
      <c r="G233" t="s">
        <v>26</v>
      </c>
      <c r="H233" t="s">
        <v>27</v>
      </c>
      <c r="I233" t="s">
        <v>21</v>
      </c>
      <c r="J233" t="s">
        <v>32</v>
      </c>
      <c r="K233">
        <v>49</v>
      </c>
      <c r="L233" t="str">
        <f>IF(Table1[[#This Row],[Age]]&lt;20,"&lt;20",IF(Table1[[#This Row],[Age]]&lt;=70,"20-70","&gt;70"))</f>
        <v>20-70</v>
      </c>
      <c r="M233" t="s">
        <v>29</v>
      </c>
      <c r="N233" t="s">
        <v>24</v>
      </c>
      <c r="O233">
        <v>37.06</v>
      </c>
      <c r="P233">
        <v>4</v>
      </c>
      <c r="Q233">
        <v>7.4119999999999999</v>
      </c>
      <c r="R233">
        <v>155.65199999999999</v>
      </c>
      <c r="S233">
        <v>148.24</v>
      </c>
      <c r="T233">
        <v>4.7619047620000003</v>
      </c>
      <c r="U233">
        <v>7.4119999999999999</v>
      </c>
      <c r="V233">
        <v>9.6999999999999993</v>
      </c>
    </row>
    <row r="234" spans="1:22" x14ac:dyDescent="0.2">
      <c r="A234" t="s">
        <v>265</v>
      </c>
      <c r="B234" s="1">
        <v>43522</v>
      </c>
      <c r="C234" s="2">
        <v>0.45277777777777778</v>
      </c>
      <c r="D234" s="2" t="str">
        <f>IF(Table1[[#This Row],[Time]]&lt;$D$1,$C$1,IF(Table1[[#This Row],[Time]]&lt;$D$2,$C$2,$C$3))</f>
        <v>Morning</v>
      </c>
      <c r="E234">
        <f>MONTH(Table1[[#This Row],[Date]])</f>
        <v>2</v>
      </c>
      <c r="F234" t="str">
        <f>VLOOKUP(Table1[[#This Row],[Month]],dctMonth[],2,FALSE)</f>
        <v>February</v>
      </c>
      <c r="G234" t="s">
        <v>43</v>
      </c>
      <c r="H234" t="s">
        <v>44</v>
      </c>
      <c r="I234" t="s">
        <v>21</v>
      </c>
      <c r="J234" t="s">
        <v>22</v>
      </c>
      <c r="K234">
        <v>52</v>
      </c>
      <c r="L234" t="str">
        <f>IF(Table1[[#This Row],[Age]]&lt;20,"&lt;20",IF(Table1[[#This Row],[Age]]&lt;=70,"20-70","&gt;70"))</f>
        <v>20-70</v>
      </c>
      <c r="M234" t="s">
        <v>29</v>
      </c>
      <c r="N234" t="s">
        <v>30</v>
      </c>
      <c r="O234">
        <v>90.7</v>
      </c>
      <c r="P234">
        <v>6</v>
      </c>
      <c r="Q234">
        <v>27.21</v>
      </c>
      <c r="R234">
        <v>571.41</v>
      </c>
      <c r="S234">
        <v>544.20000000000005</v>
      </c>
      <c r="T234">
        <v>4.7619047620000003</v>
      </c>
      <c r="U234">
        <v>27.21</v>
      </c>
      <c r="V234">
        <v>5.3</v>
      </c>
    </row>
    <row r="235" spans="1:22" x14ac:dyDescent="0.2">
      <c r="A235" t="s">
        <v>266</v>
      </c>
      <c r="B235" s="1">
        <v>43535</v>
      </c>
      <c r="C235" s="2">
        <v>0.53819444444444442</v>
      </c>
      <c r="D235" s="2" t="str">
        <f>IF(Table1[[#This Row],[Time]]&lt;$D$1,$C$1,IF(Table1[[#This Row],[Time]]&lt;$D$2,$C$2,$C$3))</f>
        <v>Afternoon</v>
      </c>
      <c r="E235">
        <f>MONTH(Table1[[#This Row],[Date]])</f>
        <v>3</v>
      </c>
      <c r="F235" t="str">
        <f>VLOOKUP(Table1[[#This Row],[Month]],dctMonth[],2,FALSE)</f>
        <v>March</v>
      </c>
      <c r="G235" t="s">
        <v>19</v>
      </c>
      <c r="H235" t="s">
        <v>20</v>
      </c>
      <c r="I235" t="s">
        <v>28</v>
      </c>
      <c r="J235" t="s">
        <v>22</v>
      </c>
      <c r="K235">
        <v>56</v>
      </c>
      <c r="L235" t="str">
        <f>IF(Table1[[#This Row],[Age]]&lt;20,"&lt;20",IF(Table1[[#This Row],[Age]]&lt;=70,"20-70","&gt;70"))</f>
        <v>20-70</v>
      </c>
      <c r="M235" t="s">
        <v>33</v>
      </c>
      <c r="N235" t="s">
        <v>24</v>
      </c>
      <c r="O235">
        <v>63.42</v>
      </c>
      <c r="P235">
        <v>8</v>
      </c>
      <c r="Q235">
        <v>25.367999999999999</v>
      </c>
      <c r="R235">
        <v>532.72799999999995</v>
      </c>
      <c r="S235">
        <v>507.36</v>
      </c>
      <c r="T235">
        <v>4.7619047620000003</v>
      </c>
      <c r="U235">
        <v>25.367999999999999</v>
      </c>
      <c r="V235">
        <v>7.4</v>
      </c>
    </row>
    <row r="236" spans="1:22" x14ac:dyDescent="0.2">
      <c r="A236" t="s">
        <v>267</v>
      </c>
      <c r="B236" s="1">
        <v>43491</v>
      </c>
      <c r="C236" s="2">
        <v>0.81111111111111112</v>
      </c>
      <c r="D236" s="2" t="str">
        <f>IF(Table1[[#This Row],[Time]]&lt;$D$1,$C$1,IF(Table1[[#This Row],[Time]]&lt;$D$2,$C$2,$C$3))</f>
        <v>Evening</v>
      </c>
      <c r="E236">
        <f>MONTH(Table1[[#This Row],[Date]])</f>
        <v>1</v>
      </c>
      <c r="F236" t="str">
        <f>VLOOKUP(Table1[[#This Row],[Month]],dctMonth[],2,FALSE)</f>
        <v>January</v>
      </c>
      <c r="G236" t="s">
        <v>43</v>
      </c>
      <c r="H236" t="s">
        <v>44</v>
      </c>
      <c r="I236" t="s">
        <v>28</v>
      </c>
      <c r="J236" t="s">
        <v>22</v>
      </c>
      <c r="K236">
        <v>81</v>
      </c>
      <c r="L236" t="str">
        <f>IF(Table1[[#This Row],[Age]]&lt;20,"&lt;20",IF(Table1[[#This Row],[Age]]&lt;=70,"20-70","&gt;70"))</f>
        <v>&gt;70</v>
      </c>
      <c r="M236" t="s">
        <v>47</v>
      </c>
      <c r="N236" t="s">
        <v>30</v>
      </c>
      <c r="O236">
        <v>81.37</v>
      </c>
      <c r="P236">
        <v>2</v>
      </c>
      <c r="Q236">
        <v>8.1370000000000005</v>
      </c>
      <c r="R236">
        <v>170.87700000000001</v>
      </c>
      <c r="S236">
        <v>162.74</v>
      </c>
      <c r="T236">
        <v>4.7619047620000003</v>
      </c>
      <c r="U236">
        <v>8.1370000000000005</v>
      </c>
      <c r="V236">
        <v>6.5</v>
      </c>
    </row>
    <row r="237" spans="1:22" x14ac:dyDescent="0.2">
      <c r="A237" t="s">
        <v>268</v>
      </c>
      <c r="B237" s="1">
        <v>43536</v>
      </c>
      <c r="C237" s="2">
        <v>0.57777777777777772</v>
      </c>
      <c r="D237" s="2" t="str">
        <f>IF(Table1[[#This Row],[Time]]&lt;$D$1,$C$1,IF(Table1[[#This Row],[Time]]&lt;$D$2,$C$2,$C$3))</f>
        <v>Afternoon</v>
      </c>
      <c r="E237">
        <f>MONTH(Table1[[#This Row],[Date]])</f>
        <v>3</v>
      </c>
      <c r="F237" t="str">
        <f>VLOOKUP(Table1[[#This Row],[Month]],dctMonth[],2,FALSE)</f>
        <v>March</v>
      </c>
      <c r="G237" t="s">
        <v>43</v>
      </c>
      <c r="H237" t="s">
        <v>44</v>
      </c>
      <c r="I237" t="s">
        <v>21</v>
      </c>
      <c r="J237" t="s">
        <v>22</v>
      </c>
      <c r="K237">
        <v>28</v>
      </c>
      <c r="L237" t="str">
        <f>IF(Table1[[#This Row],[Age]]&lt;20,"&lt;20",IF(Table1[[#This Row],[Age]]&lt;=70,"20-70","&gt;70"))</f>
        <v>20-70</v>
      </c>
      <c r="M237" t="s">
        <v>29</v>
      </c>
      <c r="N237" t="s">
        <v>34</v>
      </c>
      <c r="O237">
        <v>10.59</v>
      </c>
      <c r="P237">
        <v>3</v>
      </c>
      <c r="Q237">
        <v>1.5885</v>
      </c>
      <c r="R237">
        <v>33.358499999999999</v>
      </c>
      <c r="S237">
        <v>31.77</v>
      </c>
      <c r="T237">
        <v>4.7619047620000003</v>
      </c>
      <c r="U237">
        <v>1.5885</v>
      </c>
      <c r="V237">
        <v>8.6999999999999993</v>
      </c>
    </row>
    <row r="238" spans="1:22" x14ac:dyDescent="0.2">
      <c r="A238" t="s">
        <v>269</v>
      </c>
      <c r="B238" s="1">
        <v>43507</v>
      </c>
      <c r="C238" s="2">
        <v>0.45416666666666666</v>
      </c>
      <c r="D238" s="2" t="str">
        <f>IF(Table1[[#This Row],[Time]]&lt;$D$1,$C$1,IF(Table1[[#This Row],[Time]]&lt;$D$2,$C$2,$C$3))</f>
        <v>Morning</v>
      </c>
      <c r="E238">
        <f>MONTH(Table1[[#This Row],[Date]])</f>
        <v>2</v>
      </c>
      <c r="F238" t="str">
        <f>VLOOKUP(Table1[[#This Row],[Month]],dctMonth[],2,FALSE)</f>
        <v>February</v>
      </c>
      <c r="G238" t="s">
        <v>43</v>
      </c>
      <c r="H238" t="s">
        <v>44</v>
      </c>
      <c r="I238" t="s">
        <v>28</v>
      </c>
      <c r="J238" t="s">
        <v>22</v>
      </c>
      <c r="K238">
        <v>24</v>
      </c>
      <c r="L238" t="str">
        <f>IF(Table1[[#This Row],[Age]]&lt;20,"&lt;20",IF(Table1[[#This Row],[Age]]&lt;=70,"20-70","&gt;70"))</f>
        <v>20-70</v>
      </c>
      <c r="M238" t="s">
        <v>23</v>
      </c>
      <c r="N238" t="s">
        <v>30</v>
      </c>
      <c r="O238">
        <v>84.09</v>
      </c>
      <c r="P238">
        <v>9</v>
      </c>
      <c r="Q238">
        <v>37.840499999999999</v>
      </c>
      <c r="R238">
        <v>794.65049999999997</v>
      </c>
      <c r="S238">
        <v>756.81</v>
      </c>
      <c r="T238">
        <v>4.7619047620000003</v>
      </c>
      <c r="U238">
        <v>37.840499999999999</v>
      </c>
      <c r="V238">
        <v>8</v>
      </c>
    </row>
    <row r="239" spans="1:22" x14ac:dyDescent="0.2">
      <c r="A239" t="s">
        <v>270</v>
      </c>
      <c r="B239" s="1">
        <v>43517</v>
      </c>
      <c r="C239" s="2">
        <v>0.77152777777777781</v>
      </c>
      <c r="D239" s="2" t="str">
        <f>IF(Table1[[#This Row],[Time]]&lt;$D$1,$C$1,IF(Table1[[#This Row],[Time]]&lt;$D$2,$C$2,$C$3))</f>
        <v>Evening</v>
      </c>
      <c r="E239">
        <f>MONTH(Table1[[#This Row],[Date]])</f>
        <v>2</v>
      </c>
      <c r="F239" t="str">
        <f>VLOOKUP(Table1[[#This Row],[Month]],dctMonth[],2,FALSE)</f>
        <v>February</v>
      </c>
      <c r="G239" t="s">
        <v>43</v>
      </c>
      <c r="H239" t="s">
        <v>44</v>
      </c>
      <c r="I239" t="s">
        <v>21</v>
      </c>
      <c r="J239" t="s">
        <v>32</v>
      </c>
      <c r="K239">
        <v>79</v>
      </c>
      <c r="L239" t="str">
        <f>IF(Table1[[#This Row],[Age]]&lt;20,"&lt;20",IF(Table1[[#This Row],[Age]]&lt;=70,"20-70","&gt;70"))</f>
        <v>&gt;70</v>
      </c>
      <c r="M239" t="s">
        <v>47</v>
      </c>
      <c r="N239" t="s">
        <v>30</v>
      </c>
      <c r="O239">
        <v>73.819999999999993</v>
      </c>
      <c r="P239">
        <v>4</v>
      </c>
      <c r="Q239">
        <v>14.763999999999999</v>
      </c>
      <c r="R239">
        <v>310.04399999999998</v>
      </c>
      <c r="S239">
        <v>295.27999999999997</v>
      </c>
      <c r="T239">
        <v>4.7619047620000003</v>
      </c>
      <c r="U239">
        <v>14.763999999999999</v>
      </c>
      <c r="V239">
        <v>6.7</v>
      </c>
    </row>
    <row r="240" spans="1:22" x14ac:dyDescent="0.2">
      <c r="A240" t="s">
        <v>271</v>
      </c>
      <c r="B240" s="1">
        <v>43533</v>
      </c>
      <c r="C240" s="2">
        <v>0.76666666666666672</v>
      </c>
      <c r="D240" s="2" t="str">
        <f>IF(Table1[[#This Row],[Time]]&lt;$D$1,$C$1,IF(Table1[[#This Row],[Time]]&lt;$D$2,$C$2,$C$3))</f>
        <v>Evening</v>
      </c>
      <c r="E240">
        <f>MONTH(Table1[[#This Row],[Date]])</f>
        <v>3</v>
      </c>
      <c r="F240" t="str">
        <f>VLOOKUP(Table1[[#This Row],[Month]],dctMonth[],2,FALSE)</f>
        <v>March</v>
      </c>
      <c r="G240" t="s">
        <v>19</v>
      </c>
      <c r="H240" t="s">
        <v>20</v>
      </c>
      <c r="I240" t="s">
        <v>21</v>
      </c>
      <c r="J240" t="s">
        <v>32</v>
      </c>
      <c r="K240">
        <v>20</v>
      </c>
      <c r="L240" t="str">
        <f>IF(Table1[[#This Row],[Age]]&lt;20,"&lt;20",IF(Table1[[#This Row],[Age]]&lt;=70,"20-70","&gt;70"))</f>
        <v>20-70</v>
      </c>
      <c r="M240" t="s">
        <v>23</v>
      </c>
      <c r="N240" t="s">
        <v>24</v>
      </c>
      <c r="O240">
        <v>51.94</v>
      </c>
      <c r="P240">
        <v>10</v>
      </c>
      <c r="Q240">
        <v>25.97</v>
      </c>
      <c r="R240">
        <v>545.37</v>
      </c>
      <c r="S240">
        <v>519.4</v>
      </c>
      <c r="T240">
        <v>4.7619047620000003</v>
      </c>
      <c r="U240">
        <v>25.97</v>
      </c>
      <c r="V240">
        <v>6.5</v>
      </c>
    </row>
    <row r="241" spans="1:22" x14ac:dyDescent="0.2">
      <c r="A241" t="s">
        <v>272</v>
      </c>
      <c r="B241" s="1">
        <v>43485</v>
      </c>
      <c r="C241" s="2">
        <v>0.75624999999999998</v>
      </c>
      <c r="D241" s="2" t="str">
        <f>IF(Table1[[#This Row],[Time]]&lt;$D$1,$C$1,IF(Table1[[#This Row],[Time]]&lt;$D$2,$C$2,$C$3))</f>
        <v>Evening</v>
      </c>
      <c r="E241">
        <f>MONTH(Table1[[#This Row],[Date]])</f>
        <v>1</v>
      </c>
      <c r="F241" t="str">
        <f>VLOOKUP(Table1[[#This Row],[Month]],dctMonth[],2,FALSE)</f>
        <v>January</v>
      </c>
      <c r="G241" t="s">
        <v>19</v>
      </c>
      <c r="H241" t="s">
        <v>20</v>
      </c>
      <c r="I241" t="s">
        <v>28</v>
      </c>
      <c r="J241" t="s">
        <v>22</v>
      </c>
      <c r="K241">
        <v>77</v>
      </c>
      <c r="L241" t="str">
        <f>IF(Table1[[#This Row],[Age]]&lt;20,"&lt;20",IF(Table1[[#This Row],[Age]]&lt;=70,"20-70","&gt;70"))</f>
        <v>&gt;70</v>
      </c>
      <c r="M241" t="s">
        <v>37</v>
      </c>
      <c r="N241" t="s">
        <v>24</v>
      </c>
      <c r="O241">
        <v>93.14</v>
      </c>
      <c r="P241">
        <v>2</v>
      </c>
      <c r="Q241">
        <v>9.3140000000000001</v>
      </c>
      <c r="R241">
        <v>195.59399999999999</v>
      </c>
      <c r="S241">
        <v>186.28</v>
      </c>
      <c r="T241">
        <v>4.7619047620000003</v>
      </c>
      <c r="U241">
        <v>9.3140000000000001</v>
      </c>
      <c r="V241">
        <v>4.0999999999999996</v>
      </c>
    </row>
    <row r="242" spans="1:22" x14ac:dyDescent="0.2">
      <c r="A242" t="s">
        <v>273</v>
      </c>
      <c r="B242" s="1">
        <v>43493</v>
      </c>
      <c r="C242" s="2">
        <v>0.63611111111111107</v>
      </c>
      <c r="D242" s="2" t="str">
        <f>IF(Table1[[#This Row],[Time]]&lt;$D$1,$C$1,IF(Table1[[#This Row],[Time]]&lt;$D$2,$C$2,$C$3))</f>
        <v>Afternoon</v>
      </c>
      <c r="E242">
        <f>MONTH(Table1[[#This Row],[Date]])</f>
        <v>1</v>
      </c>
      <c r="F242" t="str">
        <f>VLOOKUP(Table1[[#This Row],[Month]],dctMonth[],2,FALSE)</f>
        <v>January</v>
      </c>
      <c r="G242" t="s">
        <v>26</v>
      </c>
      <c r="H242" t="s">
        <v>27</v>
      </c>
      <c r="I242" t="s">
        <v>28</v>
      </c>
      <c r="J242" t="s">
        <v>32</v>
      </c>
      <c r="K242">
        <v>27</v>
      </c>
      <c r="L242" t="str">
        <f>IF(Table1[[#This Row],[Age]]&lt;20,"&lt;20",IF(Table1[[#This Row],[Age]]&lt;=70,"20-70","&gt;70"))</f>
        <v>20-70</v>
      </c>
      <c r="M242" t="s">
        <v>23</v>
      </c>
      <c r="N242" t="s">
        <v>34</v>
      </c>
      <c r="O242">
        <v>17.41</v>
      </c>
      <c r="P242">
        <v>5</v>
      </c>
      <c r="Q242">
        <v>4.3525</v>
      </c>
      <c r="R242">
        <v>91.402500000000003</v>
      </c>
      <c r="S242">
        <v>87.05</v>
      </c>
      <c r="T242">
        <v>4.7619047620000003</v>
      </c>
      <c r="U242">
        <v>4.3525</v>
      </c>
      <c r="V242">
        <v>4.9000000000000004</v>
      </c>
    </row>
    <row r="243" spans="1:22" x14ac:dyDescent="0.2">
      <c r="A243" t="s">
        <v>274</v>
      </c>
      <c r="B243" s="1">
        <v>43529</v>
      </c>
      <c r="C243" s="2">
        <v>0.71319444444444446</v>
      </c>
      <c r="D243" s="2" t="str">
        <f>IF(Table1[[#This Row],[Time]]&lt;$D$1,$C$1,IF(Table1[[#This Row],[Time]]&lt;$D$2,$C$2,$C$3))</f>
        <v>Evening</v>
      </c>
      <c r="E243">
        <f>MONTH(Table1[[#This Row],[Date]])</f>
        <v>3</v>
      </c>
      <c r="F243" t="str">
        <f>VLOOKUP(Table1[[#This Row],[Month]],dctMonth[],2,FALSE)</f>
        <v>March</v>
      </c>
      <c r="G243" t="s">
        <v>26</v>
      </c>
      <c r="H243" t="s">
        <v>27</v>
      </c>
      <c r="I243" t="s">
        <v>21</v>
      </c>
      <c r="J243" t="s">
        <v>22</v>
      </c>
      <c r="K243">
        <v>77</v>
      </c>
      <c r="L243" t="str">
        <f>IF(Table1[[#This Row],[Age]]&lt;20,"&lt;20",IF(Table1[[#This Row],[Age]]&lt;=70,"20-70","&gt;70"))</f>
        <v>&gt;70</v>
      </c>
      <c r="M243" t="s">
        <v>47</v>
      </c>
      <c r="N243" t="s">
        <v>34</v>
      </c>
      <c r="O243">
        <v>44.22</v>
      </c>
      <c r="P243">
        <v>5</v>
      </c>
      <c r="Q243">
        <v>11.055</v>
      </c>
      <c r="R243">
        <v>232.155</v>
      </c>
      <c r="S243">
        <v>221.1</v>
      </c>
      <c r="T243">
        <v>4.7619047620000003</v>
      </c>
      <c r="U243">
        <v>11.055</v>
      </c>
      <c r="V243">
        <v>8.6</v>
      </c>
    </row>
    <row r="244" spans="1:22" x14ac:dyDescent="0.2">
      <c r="A244" t="s">
        <v>275</v>
      </c>
      <c r="B244" s="1">
        <v>43526</v>
      </c>
      <c r="C244" s="2">
        <v>0.80972222222222223</v>
      </c>
      <c r="D244" s="2" t="str">
        <f>IF(Table1[[#This Row],[Time]]&lt;$D$1,$C$1,IF(Table1[[#This Row],[Time]]&lt;$D$2,$C$2,$C$3))</f>
        <v>Evening</v>
      </c>
      <c r="E244">
        <f>MONTH(Table1[[#This Row],[Date]])</f>
        <v>3</v>
      </c>
      <c r="F244" t="str">
        <f>VLOOKUP(Table1[[#This Row],[Month]],dctMonth[],2,FALSE)</f>
        <v>March</v>
      </c>
      <c r="G244" t="s">
        <v>43</v>
      </c>
      <c r="H244" t="s">
        <v>44</v>
      </c>
      <c r="I244" t="s">
        <v>21</v>
      </c>
      <c r="J244" t="s">
        <v>22</v>
      </c>
      <c r="K244">
        <v>60</v>
      </c>
      <c r="L244" t="str">
        <f>IF(Table1[[#This Row],[Age]]&lt;20,"&lt;20",IF(Table1[[#This Row],[Age]]&lt;=70,"20-70","&gt;70"))</f>
        <v>20-70</v>
      </c>
      <c r="M244" t="s">
        <v>29</v>
      </c>
      <c r="N244" t="s">
        <v>30</v>
      </c>
      <c r="O244">
        <v>13.22</v>
      </c>
      <c r="P244">
        <v>5</v>
      </c>
      <c r="Q244">
        <v>3.3050000000000002</v>
      </c>
      <c r="R244">
        <v>69.405000000000001</v>
      </c>
      <c r="S244">
        <v>66.099999999999994</v>
      </c>
      <c r="T244">
        <v>4.7619047620000003</v>
      </c>
      <c r="U244">
        <v>3.3050000000000002</v>
      </c>
      <c r="V244">
        <v>4.3</v>
      </c>
    </row>
    <row r="245" spans="1:22" x14ac:dyDescent="0.2">
      <c r="A245" t="s">
        <v>276</v>
      </c>
      <c r="B245" s="1">
        <v>43476</v>
      </c>
      <c r="C245" s="2">
        <v>0.47222222222222221</v>
      </c>
      <c r="D245" s="2" t="str">
        <f>IF(Table1[[#This Row],[Time]]&lt;$D$1,$C$1,IF(Table1[[#This Row],[Time]]&lt;$D$2,$C$2,$C$3))</f>
        <v>Morning</v>
      </c>
      <c r="E245">
        <f>MONTH(Table1[[#This Row],[Date]])</f>
        <v>1</v>
      </c>
      <c r="F245" t="str">
        <f>VLOOKUP(Table1[[#This Row],[Month]],dctMonth[],2,FALSE)</f>
        <v>January</v>
      </c>
      <c r="G245" t="s">
        <v>19</v>
      </c>
      <c r="H245" t="s">
        <v>20</v>
      </c>
      <c r="I245" t="s">
        <v>28</v>
      </c>
      <c r="J245" t="s">
        <v>32</v>
      </c>
      <c r="K245">
        <v>27</v>
      </c>
      <c r="L245" t="str">
        <f>IF(Table1[[#This Row],[Age]]&lt;20,"&lt;20",IF(Table1[[#This Row],[Age]]&lt;=70,"20-70","&gt;70"))</f>
        <v>20-70</v>
      </c>
      <c r="M245" t="s">
        <v>47</v>
      </c>
      <c r="N245" t="s">
        <v>24</v>
      </c>
      <c r="O245">
        <v>89.69</v>
      </c>
      <c r="P245">
        <v>1</v>
      </c>
      <c r="Q245">
        <v>4.4844999999999997</v>
      </c>
      <c r="R245">
        <v>94.174499999999995</v>
      </c>
      <c r="S245">
        <v>89.69</v>
      </c>
      <c r="T245">
        <v>4.7619047620000003</v>
      </c>
      <c r="U245">
        <v>4.4844999999999997</v>
      </c>
      <c r="V245">
        <v>4.9000000000000004</v>
      </c>
    </row>
    <row r="246" spans="1:22" x14ac:dyDescent="0.2">
      <c r="A246" t="s">
        <v>277</v>
      </c>
      <c r="B246" s="1">
        <v>43476</v>
      </c>
      <c r="C246" s="2">
        <v>0.7006944444444444</v>
      </c>
      <c r="D246" s="2" t="str">
        <f>IF(Table1[[#This Row],[Time]]&lt;$D$1,$C$1,IF(Table1[[#This Row],[Time]]&lt;$D$2,$C$2,$C$3))</f>
        <v>Afternoon</v>
      </c>
      <c r="E246">
        <f>MONTH(Table1[[#This Row],[Date]])</f>
        <v>1</v>
      </c>
      <c r="F246" t="str">
        <f>VLOOKUP(Table1[[#This Row],[Month]],dctMonth[],2,FALSE)</f>
        <v>January</v>
      </c>
      <c r="G246" t="s">
        <v>19</v>
      </c>
      <c r="H246" t="s">
        <v>20</v>
      </c>
      <c r="I246" t="s">
        <v>28</v>
      </c>
      <c r="J246" t="s">
        <v>32</v>
      </c>
      <c r="K246">
        <v>52</v>
      </c>
      <c r="L246" t="str">
        <f>IF(Table1[[#This Row],[Age]]&lt;20,"&lt;20",IF(Table1[[#This Row],[Age]]&lt;=70,"20-70","&gt;70"))</f>
        <v>20-70</v>
      </c>
      <c r="M246" t="s">
        <v>45</v>
      </c>
      <c r="N246" t="s">
        <v>34</v>
      </c>
      <c r="O246">
        <v>24.94</v>
      </c>
      <c r="P246">
        <v>9</v>
      </c>
      <c r="Q246">
        <v>11.223000000000001</v>
      </c>
      <c r="R246">
        <v>235.68299999999999</v>
      </c>
      <c r="S246">
        <v>224.46</v>
      </c>
      <c r="T246">
        <v>4.7619047620000003</v>
      </c>
      <c r="U246">
        <v>11.223000000000001</v>
      </c>
      <c r="V246">
        <v>5.6</v>
      </c>
    </row>
    <row r="247" spans="1:22" x14ac:dyDescent="0.2">
      <c r="A247" t="s">
        <v>278</v>
      </c>
      <c r="B247" s="1">
        <v>43535</v>
      </c>
      <c r="C247" s="2">
        <v>0.50069444444444444</v>
      </c>
      <c r="D247" s="2" t="str">
        <f>IF(Table1[[#This Row],[Time]]&lt;$D$1,$C$1,IF(Table1[[#This Row],[Time]]&lt;$D$2,$C$2,$C$3))</f>
        <v>Afternoon</v>
      </c>
      <c r="E247">
        <f>MONTH(Table1[[#This Row],[Date]])</f>
        <v>3</v>
      </c>
      <c r="F247" t="str">
        <f>VLOOKUP(Table1[[#This Row],[Month]],dctMonth[],2,FALSE)</f>
        <v>March</v>
      </c>
      <c r="G247" t="s">
        <v>19</v>
      </c>
      <c r="H247" t="s">
        <v>20</v>
      </c>
      <c r="I247" t="s">
        <v>28</v>
      </c>
      <c r="J247" t="s">
        <v>32</v>
      </c>
      <c r="K247">
        <v>68</v>
      </c>
      <c r="L247" t="str">
        <f>IF(Table1[[#This Row],[Age]]&lt;20,"&lt;20",IF(Table1[[#This Row],[Age]]&lt;=70,"20-70","&gt;70"))</f>
        <v>20-70</v>
      </c>
      <c r="M247" t="s">
        <v>23</v>
      </c>
      <c r="N247" t="s">
        <v>34</v>
      </c>
      <c r="O247">
        <v>59.77</v>
      </c>
      <c r="P247">
        <v>2</v>
      </c>
      <c r="Q247">
        <v>5.9770000000000003</v>
      </c>
      <c r="R247">
        <v>125.517</v>
      </c>
      <c r="S247">
        <v>119.54</v>
      </c>
      <c r="T247">
        <v>4.7619047620000003</v>
      </c>
      <c r="U247">
        <v>5.9770000000000003</v>
      </c>
      <c r="V247">
        <v>5.8</v>
      </c>
    </row>
    <row r="248" spans="1:22" x14ac:dyDescent="0.2">
      <c r="A248" t="s">
        <v>279</v>
      </c>
      <c r="B248" s="1">
        <v>43524</v>
      </c>
      <c r="C248" s="2">
        <v>0.77569444444444446</v>
      </c>
      <c r="D248" s="2" t="str">
        <f>IF(Table1[[#This Row],[Time]]&lt;$D$1,$C$1,IF(Table1[[#This Row],[Time]]&lt;$D$2,$C$2,$C$3))</f>
        <v>Evening</v>
      </c>
      <c r="E248">
        <f>MONTH(Table1[[#This Row],[Date]])</f>
        <v>2</v>
      </c>
      <c r="F248" t="str">
        <f>VLOOKUP(Table1[[#This Row],[Month]],dctMonth[],2,FALSE)</f>
        <v>February</v>
      </c>
      <c r="G248" t="s">
        <v>26</v>
      </c>
      <c r="H248" t="s">
        <v>27</v>
      </c>
      <c r="I248" t="s">
        <v>21</v>
      </c>
      <c r="J248" t="s">
        <v>32</v>
      </c>
      <c r="K248">
        <v>68</v>
      </c>
      <c r="L248" t="str">
        <f>IF(Table1[[#This Row],[Age]]&lt;20,"&lt;20",IF(Table1[[#This Row],[Age]]&lt;=70,"20-70","&gt;70"))</f>
        <v>20-70</v>
      </c>
      <c r="M248" t="s">
        <v>47</v>
      </c>
      <c r="N248" t="s">
        <v>34</v>
      </c>
      <c r="O248">
        <v>93.2</v>
      </c>
      <c r="P248">
        <v>2</v>
      </c>
      <c r="Q248">
        <v>9.32</v>
      </c>
      <c r="R248">
        <v>195.72</v>
      </c>
      <c r="S248">
        <v>186.4</v>
      </c>
      <c r="T248">
        <v>4.7619047620000003</v>
      </c>
      <c r="U248">
        <v>9.32</v>
      </c>
      <c r="V248">
        <v>6</v>
      </c>
    </row>
    <row r="249" spans="1:22" x14ac:dyDescent="0.2">
      <c r="A249" t="s">
        <v>280</v>
      </c>
      <c r="B249" s="1">
        <v>43470</v>
      </c>
      <c r="C249" s="2">
        <v>0.47569444444444442</v>
      </c>
      <c r="D249" s="2" t="str">
        <f>IF(Table1[[#This Row],[Time]]&lt;$D$1,$C$1,IF(Table1[[#This Row],[Time]]&lt;$D$2,$C$2,$C$3))</f>
        <v>Morning</v>
      </c>
      <c r="E249">
        <f>MONTH(Table1[[#This Row],[Date]])</f>
        <v>1</v>
      </c>
      <c r="F249" t="str">
        <f>VLOOKUP(Table1[[#This Row],[Month]],dctMonth[],2,FALSE)</f>
        <v>January</v>
      </c>
      <c r="G249" t="s">
        <v>19</v>
      </c>
      <c r="H249" t="s">
        <v>20</v>
      </c>
      <c r="I249" t="s">
        <v>21</v>
      </c>
      <c r="J249" t="s">
        <v>32</v>
      </c>
      <c r="K249">
        <v>81</v>
      </c>
      <c r="L249" t="str">
        <f>IF(Table1[[#This Row],[Age]]&lt;20,"&lt;20",IF(Table1[[#This Row],[Age]]&lt;=70,"20-70","&gt;70"))</f>
        <v>&gt;70</v>
      </c>
      <c r="M249" t="s">
        <v>33</v>
      </c>
      <c r="N249" t="s">
        <v>30</v>
      </c>
      <c r="O249">
        <v>62.65</v>
      </c>
      <c r="P249">
        <v>4</v>
      </c>
      <c r="Q249">
        <v>12.53</v>
      </c>
      <c r="R249">
        <v>263.13</v>
      </c>
      <c r="S249">
        <v>250.6</v>
      </c>
      <c r="T249">
        <v>4.7619047620000003</v>
      </c>
      <c r="U249">
        <v>12.53</v>
      </c>
      <c r="V249">
        <v>4.2</v>
      </c>
    </row>
    <row r="250" spans="1:22" x14ac:dyDescent="0.2">
      <c r="A250" t="s">
        <v>281</v>
      </c>
      <c r="B250" s="1">
        <v>43498</v>
      </c>
      <c r="C250" s="2">
        <v>0.77916666666666667</v>
      </c>
      <c r="D250" s="2" t="str">
        <f>IF(Table1[[#This Row],[Time]]&lt;$D$1,$C$1,IF(Table1[[#This Row],[Time]]&lt;$D$2,$C$2,$C$3))</f>
        <v>Evening</v>
      </c>
      <c r="E250">
        <f>MONTH(Table1[[#This Row],[Date]])</f>
        <v>2</v>
      </c>
      <c r="F250" t="str">
        <f>VLOOKUP(Table1[[#This Row],[Month]],dctMonth[],2,FALSE)</f>
        <v>February</v>
      </c>
      <c r="G250" t="s">
        <v>43</v>
      </c>
      <c r="H250" t="s">
        <v>44</v>
      </c>
      <c r="I250" t="s">
        <v>28</v>
      </c>
      <c r="J250" t="s">
        <v>32</v>
      </c>
      <c r="K250">
        <v>24</v>
      </c>
      <c r="L250" t="str">
        <f>IF(Table1[[#This Row],[Age]]&lt;20,"&lt;20",IF(Table1[[#This Row],[Age]]&lt;=70,"20-70","&gt;70"))</f>
        <v>20-70</v>
      </c>
      <c r="M250" t="s">
        <v>33</v>
      </c>
      <c r="N250" t="s">
        <v>34</v>
      </c>
      <c r="O250">
        <v>93.87</v>
      </c>
      <c r="P250">
        <v>8</v>
      </c>
      <c r="Q250">
        <v>37.548000000000002</v>
      </c>
      <c r="R250">
        <v>788.50800000000004</v>
      </c>
      <c r="S250">
        <v>750.96</v>
      </c>
      <c r="T250">
        <v>4.7619047620000003</v>
      </c>
      <c r="U250">
        <v>37.548000000000002</v>
      </c>
      <c r="V250">
        <v>8.3000000000000007</v>
      </c>
    </row>
    <row r="251" spans="1:22" x14ac:dyDescent="0.2">
      <c r="A251" t="s">
        <v>282</v>
      </c>
      <c r="B251" s="1">
        <v>43466</v>
      </c>
      <c r="C251" s="2">
        <v>0.61597222222222225</v>
      </c>
      <c r="D251" s="2" t="str">
        <f>IF(Table1[[#This Row],[Time]]&lt;$D$1,$C$1,IF(Table1[[#This Row],[Time]]&lt;$D$2,$C$2,$C$3))</f>
        <v>Afternoon</v>
      </c>
      <c r="E251">
        <f>MONTH(Table1[[#This Row],[Date]])</f>
        <v>1</v>
      </c>
      <c r="F251" t="str">
        <f>VLOOKUP(Table1[[#This Row],[Month]],dctMonth[],2,FALSE)</f>
        <v>January</v>
      </c>
      <c r="G251" t="s">
        <v>19</v>
      </c>
      <c r="H251" t="s">
        <v>20</v>
      </c>
      <c r="I251" t="s">
        <v>21</v>
      </c>
      <c r="J251" t="s">
        <v>32</v>
      </c>
      <c r="K251">
        <v>58</v>
      </c>
      <c r="L251" t="str">
        <f>IF(Table1[[#This Row],[Age]]&lt;20,"&lt;20",IF(Table1[[#This Row],[Age]]&lt;=70,"20-70","&gt;70"))</f>
        <v>20-70</v>
      </c>
      <c r="M251" t="s">
        <v>33</v>
      </c>
      <c r="N251" t="s">
        <v>30</v>
      </c>
      <c r="O251">
        <v>47.59</v>
      </c>
      <c r="P251">
        <v>8</v>
      </c>
      <c r="Q251">
        <v>19.036000000000001</v>
      </c>
      <c r="R251">
        <v>399.75599999999997</v>
      </c>
      <c r="S251">
        <v>380.72</v>
      </c>
      <c r="T251">
        <v>4.7619047620000003</v>
      </c>
      <c r="U251">
        <v>19.036000000000001</v>
      </c>
      <c r="V251">
        <v>5.7</v>
      </c>
    </row>
    <row r="252" spans="1:22" x14ac:dyDescent="0.2">
      <c r="A252" t="s">
        <v>283</v>
      </c>
      <c r="B252" s="1">
        <v>43505</v>
      </c>
      <c r="C252" s="2">
        <v>0.82152777777777775</v>
      </c>
      <c r="D252" s="2" t="str">
        <f>IF(Table1[[#This Row],[Time]]&lt;$D$1,$C$1,IF(Table1[[#This Row],[Time]]&lt;$D$2,$C$2,$C$3))</f>
        <v>Evening</v>
      </c>
      <c r="E252">
        <f>MONTH(Table1[[#This Row],[Date]])</f>
        <v>2</v>
      </c>
      <c r="F252" t="str">
        <f>VLOOKUP(Table1[[#This Row],[Month]],dctMonth[],2,FALSE)</f>
        <v>February</v>
      </c>
      <c r="G252" t="s">
        <v>43</v>
      </c>
      <c r="H252" t="s">
        <v>44</v>
      </c>
      <c r="I252" t="s">
        <v>21</v>
      </c>
      <c r="J252" t="s">
        <v>22</v>
      </c>
      <c r="K252">
        <v>70</v>
      </c>
      <c r="L252" t="str">
        <f>IF(Table1[[#This Row],[Age]]&lt;20,"&lt;20",IF(Table1[[#This Row],[Age]]&lt;=70,"20-70","&gt;70"))</f>
        <v>20-70</v>
      </c>
      <c r="M252" t="s">
        <v>29</v>
      </c>
      <c r="N252" t="s">
        <v>30</v>
      </c>
      <c r="O252">
        <v>81.400000000000006</v>
      </c>
      <c r="P252">
        <v>3</v>
      </c>
      <c r="Q252">
        <v>12.21</v>
      </c>
      <c r="R252">
        <v>256.41000000000003</v>
      </c>
      <c r="S252">
        <v>244.2</v>
      </c>
      <c r="T252">
        <v>4.7619047620000003</v>
      </c>
      <c r="U252">
        <v>12.21</v>
      </c>
      <c r="V252">
        <v>4.8</v>
      </c>
    </row>
    <row r="253" spans="1:22" x14ac:dyDescent="0.2">
      <c r="A253" t="s">
        <v>284</v>
      </c>
      <c r="B253" s="1">
        <v>43488</v>
      </c>
      <c r="C253" s="2">
        <v>0.58611111111111114</v>
      </c>
      <c r="D253" s="2" t="str">
        <f>IF(Table1[[#This Row],[Time]]&lt;$D$1,$C$1,IF(Table1[[#This Row],[Time]]&lt;$D$2,$C$2,$C$3))</f>
        <v>Afternoon</v>
      </c>
      <c r="E253">
        <f>MONTH(Table1[[#This Row],[Date]])</f>
        <v>1</v>
      </c>
      <c r="F253" t="str">
        <f>VLOOKUP(Table1[[#This Row],[Month]],dctMonth[],2,FALSE)</f>
        <v>January</v>
      </c>
      <c r="G253" t="s">
        <v>19</v>
      </c>
      <c r="H253" t="s">
        <v>20</v>
      </c>
      <c r="I253" t="s">
        <v>21</v>
      </c>
      <c r="J253" t="s">
        <v>32</v>
      </c>
      <c r="K253">
        <v>38</v>
      </c>
      <c r="L253" t="str">
        <f>IF(Table1[[#This Row],[Age]]&lt;20,"&lt;20",IF(Table1[[#This Row],[Age]]&lt;=70,"20-70","&gt;70"))</f>
        <v>20-70</v>
      </c>
      <c r="M253" t="s">
        <v>47</v>
      </c>
      <c r="N253" t="s">
        <v>24</v>
      </c>
      <c r="O253">
        <v>17.940000000000001</v>
      </c>
      <c r="P253">
        <v>5</v>
      </c>
      <c r="Q253">
        <v>4.4850000000000003</v>
      </c>
      <c r="R253">
        <v>94.185000000000002</v>
      </c>
      <c r="S253">
        <v>89.7</v>
      </c>
      <c r="T253">
        <v>4.7619047620000003</v>
      </c>
      <c r="U253">
        <v>4.4850000000000003</v>
      </c>
      <c r="V253">
        <v>6.8</v>
      </c>
    </row>
    <row r="254" spans="1:22" x14ac:dyDescent="0.2">
      <c r="A254" t="s">
        <v>285</v>
      </c>
      <c r="B254" s="1">
        <v>43472</v>
      </c>
      <c r="C254" s="2">
        <v>0.6743055555555556</v>
      </c>
      <c r="D254" s="2" t="str">
        <f>IF(Table1[[#This Row],[Time]]&lt;$D$1,$C$1,IF(Table1[[#This Row],[Time]]&lt;$D$2,$C$2,$C$3))</f>
        <v>Afternoon</v>
      </c>
      <c r="E254">
        <f>MONTH(Table1[[#This Row],[Date]])</f>
        <v>1</v>
      </c>
      <c r="F254" t="str">
        <f>VLOOKUP(Table1[[#This Row],[Month]],dctMonth[],2,FALSE)</f>
        <v>January</v>
      </c>
      <c r="G254" t="s">
        <v>19</v>
      </c>
      <c r="H254" t="s">
        <v>20</v>
      </c>
      <c r="I254" t="s">
        <v>21</v>
      </c>
      <c r="J254" t="s">
        <v>32</v>
      </c>
      <c r="K254">
        <v>72</v>
      </c>
      <c r="L254" t="str">
        <f>IF(Table1[[#This Row],[Age]]&lt;20,"&lt;20",IF(Table1[[#This Row],[Age]]&lt;=70,"20-70","&gt;70"))</f>
        <v>&gt;70</v>
      </c>
      <c r="M254" t="s">
        <v>29</v>
      </c>
      <c r="N254" t="s">
        <v>34</v>
      </c>
      <c r="O254">
        <v>77.72</v>
      </c>
      <c r="P254">
        <v>4</v>
      </c>
      <c r="Q254">
        <v>15.544</v>
      </c>
      <c r="R254">
        <v>326.42399999999998</v>
      </c>
      <c r="S254">
        <v>310.88</v>
      </c>
      <c r="T254">
        <v>4.7619047620000003</v>
      </c>
      <c r="U254">
        <v>15.544</v>
      </c>
      <c r="V254">
        <v>8.8000000000000007</v>
      </c>
    </row>
    <row r="255" spans="1:22" x14ac:dyDescent="0.2">
      <c r="A255" t="s">
        <v>286</v>
      </c>
      <c r="B255" s="1">
        <v>43479</v>
      </c>
      <c r="C255" s="2">
        <v>0.79583333333333328</v>
      </c>
      <c r="D255" s="2" t="str">
        <f>IF(Table1[[#This Row],[Time]]&lt;$D$1,$C$1,IF(Table1[[#This Row],[Time]]&lt;$D$2,$C$2,$C$3))</f>
        <v>Evening</v>
      </c>
      <c r="E255">
        <f>MONTH(Table1[[#This Row],[Date]])</f>
        <v>1</v>
      </c>
      <c r="F255" t="str">
        <f>VLOOKUP(Table1[[#This Row],[Month]],dctMonth[],2,FALSE)</f>
        <v>January</v>
      </c>
      <c r="G255" t="s">
        <v>43</v>
      </c>
      <c r="H255" t="s">
        <v>44</v>
      </c>
      <c r="I255" t="s">
        <v>28</v>
      </c>
      <c r="J255" t="s">
        <v>32</v>
      </c>
      <c r="K255">
        <v>54</v>
      </c>
      <c r="L255" t="str">
        <f>IF(Table1[[#This Row],[Age]]&lt;20,"&lt;20",IF(Table1[[#This Row],[Age]]&lt;=70,"20-70","&gt;70"))</f>
        <v>20-70</v>
      </c>
      <c r="M255" t="s">
        <v>45</v>
      </c>
      <c r="N255" t="s">
        <v>34</v>
      </c>
      <c r="O255">
        <v>73.06</v>
      </c>
      <c r="P255">
        <v>7</v>
      </c>
      <c r="Q255">
        <v>25.571000000000002</v>
      </c>
      <c r="R255">
        <v>536.99099999999999</v>
      </c>
      <c r="S255">
        <v>511.42</v>
      </c>
      <c r="T255">
        <v>4.7619047620000003</v>
      </c>
      <c r="U255">
        <v>25.571000000000002</v>
      </c>
      <c r="V255">
        <v>4.2</v>
      </c>
    </row>
    <row r="256" spans="1:22" x14ac:dyDescent="0.2">
      <c r="A256" t="s">
        <v>287</v>
      </c>
      <c r="B256" s="1">
        <v>43498</v>
      </c>
      <c r="C256" s="2">
        <v>0.64861111111111114</v>
      </c>
      <c r="D256" s="2" t="str">
        <f>IF(Table1[[#This Row],[Time]]&lt;$D$1,$C$1,IF(Table1[[#This Row],[Time]]&lt;$D$2,$C$2,$C$3))</f>
        <v>Afternoon</v>
      </c>
      <c r="E256">
        <f>MONTH(Table1[[#This Row],[Date]])</f>
        <v>2</v>
      </c>
      <c r="F256" t="str">
        <f>VLOOKUP(Table1[[#This Row],[Month]],dctMonth[],2,FALSE)</f>
        <v>February</v>
      </c>
      <c r="G256" t="s">
        <v>43</v>
      </c>
      <c r="H256" t="s">
        <v>44</v>
      </c>
      <c r="I256" t="s">
        <v>21</v>
      </c>
      <c r="J256" t="s">
        <v>32</v>
      </c>
      <c r="K256">
        <v>32</v>
      </c>
      <c r="L256" t="str">
        <f>IF(Table1[[#This Row],[Age]]&lt;20,"&lt;20",IF(Table1[[#This Row],[Age]]&lt;=70,"20-70","&gt;70"))</f>
        <v>20-70</v>
      </c>
      <c r="M256" t="s">
        <v>45</v>
      </c>
      <c r="N256" t="s">
        <v>24</v>
      </c>
      <c r="O256">
        <v>46.55</v>
      </c>
      <c r="P256">
        <v>9</v>
      </c>
      <c r="Q256">
        <v>20.947500000000002</v>
      </c>
      <c r="R256">
        <v>439.89749999999998</v>
      </c>
      <c r="S256">
        <v>418.95</v>
      </c>
      <c r="T256">
        <v>4.7619047620000003</v>
      </c>
      <c r="U256">
        <v>20.947500000000002</v>
      </c>
      <c r="V256">
        <v>6.4</v>
      </c>
    </row>
    <row r="257" spans="1:22" x14ac:dyDescent="0.2">
      <c r="A257" t="s">
        <v>288</v>
      </c>
      <c r="B257" s="1">
        <v>43541</v>
      </c>
      <c r="C257" s="2">
        <v>0.79583333333333328</v>
      </c>
      <c r="D257" s="2" t="str">
        <f>IF(Table1[[#This Row],[Time]]&lt;$D$1,$C$1,IF(Table1[[#This Row],[Time]]&lt;$D$2,$C$2,$C$3))</f>
        <v>Evening</v>
      </c>
      <c r="E257">
        <f>MONTH(Table1[[#This Row],[Date]])</f>
        <v>3</v>
      </c>
      <c r="F257" t="str">
        <f>VLOOKUP(Table1[[#This Row],[Month]],dctMonth[],2,FALSE)</f>
        <v>March</v>
      </c>
      <c r="G257" t="s">
        <v>26</v>
      </c>
      <c r="H257" t="s">
        <v>27</v>
      </c>
      <c r="I257" t="s">
        <v>21</v>
      </c>
      <c r="J257" t="s">
        <v>32</v>
      </c>
      <c r="K257">
        <v>35</v>
      </c>
      <c r="L257" t="str">
        <f>IF(Table1[[#This Row],[Age]]&lt;20,"&lt;20",IF(Table1[[#This Row],[Age]]&lt;=70,"20-70","&gt;70"))</f>
        <v>20-70</v>
      </c>
      <c r="M257" t="s">
        <v>47</v>
      </c>
      <c r="N257" t="s">
        <v>34</v>
      </c>
      <c r="O257">
        <v>35.19</v>
      </c>
      <c r="P257">
        <v>10</v>
      </c>
      <c r="Q257">
        <v>17.594999999999999</v>
      </c>
      <c r="R257">
        <v>369.495</v>
      </c>
      <c r="S257">
        <v>351.9</v>
      </c>
      <c r="T257">
        <v>4.7619047620000003</v>
      </c>
      <c r="U257">
        <v>17.594999999999999</v>
      </c>
      <c r="V257">
        <v>8.4</v>
      </c>
    </row>
    <row r="258" spans="1:22" x14ac:dyDescent="0.2">
      <c r="A258" t="s">
        <v>289</v>
      </c>
      <c r="B258" s="1">
        <v>43526</v>
      </c>
      <c r="C258" s="2">
        <v>0.82222222222222219</v>
      </c>
      <c r="D258" s="2" t="str">
        <f>IF(Table1[[#This Row],[Time]]&lt;$D$1,$C$1,IF(Table1[[#This Row],[Time]]&lt;$D$2,$C$2,$C$3))</f>
        <v>Evening</v>
      </c>
      <c r="E258">
        <f>MONTH(Table1[[#This Row],[Date]])</f>
        <v>3</v>
      </c>
      <c r="F258" t="str">
        <f>VLOOKUP(Table1[[#This Row],[Month]],dctMonth[],2,FALSE)</f>
        <v>March</v>
      </c>
      <c r="G258" t="s">
        <v>26</v>
      </c>
      <c r="H258" t="s">
        <v>27</v>
      </c>
      <c r="I258" t="s">
        <v>28</v>
      </c>
      <c r="J258" t="s">
        <v>22</v>
      </c>
      <c r="K258">
        <v>82</v>
      </c>
      <c r="L258" t="str">
        <f>IF(Table1[[#This Row],[Age]]&lt;20,"&lt;20",IF(Table1[[#This Row],[Age]]&lt;=70,"20-70","&gt;70"))</f>
        <v>&gt;70</v>
      </c>
      <c r="M258" t="s">
        <v>37</v>
      </c>
      <c r="N258" t="s">
        <v>34</v>
      </c>
      <c r="O258">
        <v>14.39</v>
      </c>
      <c r="P258">
        <v>2</v>
      </c>
      <c r="Q258">
        <v>1.4390000000000001</v>
      </c>
      <c r="R258">
        <v>30.219000000000001</v>
      </c>
      <c r="S258">
        <v>28.78</v>
      </c>
      <c r="T258">
        <v>4.7619047620000003</v>
      </c>
      <c r="U258">
        <v>1.4390000000000001</v>
      </c>
      <c r="V258">
        <v>7.2</v>
      </c>
    </row>
    <row r="259" spans="1:22" x14ac:dyDescent="0.2">
      <c r="A259" t="s">
        <v>290</v>
      </c>
      <c r="B259" s="1">
        <v>43540</v>
      </c>
      <c r="C259" s="2">
        <v>0.47361111111111109</v>
      </c>
      <c r="D259" s="2" t="str">
        <f>IF(Table1[[#This Row],[Time]]&lt;$D$1,$C$1,IF(Table1[[#This Row],[Time]]&lt;$D$2,$C$2,$C$3))</f>
        <v>Morning</v>
      </c>
      <c r="E259">
        <f>MONTH(Table1[[#This Row],[Date]])</f>
        <v>3</v>
      </c>
      <c r="F259" t="str">
        <f>VLOOKUP(Table1[[#This Row],[Month]],dctMonth[],2,FALSE)</f>
        <v>March</v>
      </c>
      <c r="G259" t="s">
        <v>19</v>
      </c>
      <c r="H259" t="s">
        <v>20</v>
      </c>
      <c r="I259" t="s">
        <v>28</v>
      </c>
      <c r="J259" t="s">
        <v>32</v>
      </c>
      <c r="K259">
        <v>59</v>
      </c>
      <c r="L259" t="str">
        <f>IF(Table1[[#This Row],[Age]]&lt;20,"&lt;20",IF(Table1[[#This Row],[Age]]&lt;=70,"20-70","&gt;70"))</f>
        <v>20-70</v>
      </c>
      <c r="M259" t="s">
        <v>33</v>
      </c>
      <c r="N259" t="s">
        <v>30</v>
      </c>
      <c r="O259">
        <v>23.75</v>
      </c>
      <c r="P259">
        <v>4</v>
      </c>
      <c r="Q259">
        <v>4.75</v>
      </c>
      <c r="R259">
        <v>99.75</v>
      </c>
      <c r="S259">
        <v>95</v>
      </c>
      <c r="T259">
        <v>4.7619047620000003</v>
      </c>
      <c r="U259">
        <v>4.75</v>
      </c>
      <c r="V259">
        <v>5.2</v>
      </c>
    </row>
    <row r="260" spans="1:22" x14ac:dyDescent="0.2">
      <c r="A260" t="s">
        <v>291</v>
      </c>
      <c r="B260" s="1">
        <v>43471</v>
      </c>
      <c r="C260" s="2">
        <v>0.47430555555555554</v>
      </c>
      <c r="D260" s="2" t="str">
        <f>IF(Table1[[#This Row],[Time]]&lt;$D$1,$C$1,IF(Table1[[#This Row],[Time]]&lt;$D$2,$C$2,$C$3))</f>
        <v>Morning</v>
      </c>
      <c r="E260">
        <f>MONTH(Table1[[#This Row],[Date]])</f>
        <v>1</v>
      </c>
      <c r="F260" t="str">
        <f>VLOOKUP(Table1[[#This Row],[Month]],dctMonth[],2,FALSE)</f>
        <v>January</v>
      </c>
      <c r="G260" t="s">
        <v>19</v>
      </c>
      <c r="H260" t="s">
        <v>20</v>
      </c>
      <c r="I260" t="s">
        <v>21</v>
      </c>
      <c r="J260" t="s">
        <v>32</v>
      </c>
      <c r="K260">
        <v>43</v>
      </c>
      <c r="L260" t="str">
        <f>IF(Table1[[#This Row],[Age]]&lt;20,"&lt;20",IF(Table1[[#This Row],[Age]]&lt;=70,"20-70","&gt;70"))</f>
        <v>20-70</v>
      </c>
      <c r="M260" t="s">
        <v>33</v>
      </c>
      <c r="N260" t="s">
        <v>30</v>
      </c>
      <c r="O260">
        <v>58.9</v>
      </c>
      <c r="P260">
        <v>8</v>
      </c>
      <c r="Q260">
        <v>23.56</v>
      </c>
      <c r="R260">
        <v>494.76</v>
      </c>
      <c r="S260">
        <v>471.2</v>
      </c>
      <c r="T260">
        <v>4.7619047620000003</v>
      </c>
      <c r="U260">
        <v>23.56</v>
      </c>
      <c r="V260">
        <v>8.9</v>
      </c>
    </row>
    <row r="261" spans="1:22" x14ac:dyDescent="0.2">
      <c r="A261" t="s">
        <v>292</v>
      </c>
      <c r="B261" s="1">
        <v>43494</v>
      </c>
      <c r="C261" s="2">
        <v>0.59166666666666667</v>
      </c>
      <c r="D261" s="2" t="str">
        <f>IF(Table1[[#This Row],[Time]]&lt;$D$1,$C$1,IF(Table1[[#This Row],[Time]]&lt;$D$2,$C$2,$C$3))</f>
        <v>Afternoon</v>
      </c>
      <c r="E261">
        <f>MONTH(Table1[[#This Row],[Date]])</f>
        <v>1</v>
      </c>
      <c r="F261" t="str">
        <f>VLOOKUP(Table1[[#This Row],[Month]],dctMonth[],2,FALSE)</f>
        <v>January</v>
      </c>
      <c r="G261" t="s">
        <v>43</v>
      </c>
      <c r="H261" t="s">
        <v>44</v>
      </c>
      <c r="I261" t="s">
        <v>21</v>
      </c>
      <c r="J261" t="s">
        <v>32</v>
      </c>
      <c r="K261">
        <v>89</v>
      </c>
      <c r="L261" t="str">
        <f>IF(Table1[[#This Row],[Age]]&lt;20,"&lt;20",IF(Table1[[#This Row],[Age]]&lt;=70,"20-70","&gt;70"))</f>
        <v>&gt;70</v>
      </c>
      <c r="M261" t="s">
        <v>47</v>
      </c>
      <c r="N261" t="s">
        <v>30</v>
      </c>
      <c r="O261">
        <v>32.619999999999997</v>
      </c>
      <c r="P261">
        <v>4</v>
      </c>
      <c r="Q261">
        <v>6.524</v>
      </c>
      <c r="R261">
        <v>137.00399999999999</v>
      </c>
      <c r="S261">
        <v>130.47999999999999</v>
      </c>
      <c r="T261">
        <v>4.7619047620000003</v>
      </c>
      <c r="U261">
        <v>6.524</v>
      </c>
      <c r="V261">
        <v>9</v>
      </c>
    </row>
    <row r="262" spans="1:22" x14ac:dyDescent="0.2">
      <c r="A262" t="s">
        <v>293</v>
      </c>
      <c r="B262" s="1">
        <v>43496</v>
      </c>
      <c r="C262" s="2">
        <v>0.44861111111111113</v>
      </c>
      <c r="D262" s="2" t="str">
        <f>IF(Table1[[#This Row],[Time]]&lt;$D$1,$C$1,IF(Table1[[#This Row],[Time]]&lt;$D$2,$C$2,$C$3))</f>
        <v>Morning</v>
      </c>
      <c r="E262">
        <f>MONTH(Table1[[#This Row],[Date]])</f>
        <v>1</v>
      </c>
      <c r="F262" t="str">
        <f>VLOOKUP(Table1[[#This Row],[Month]],dctMonth[],2,FALSE)</f>
        <v>January</v>
      </c>
      <c r="G262" t="s">
        <v>19</v>
      </c>
      <c r="H262" t="s">
        <v>20</v>
      </c>
      <c r="I262" t="s">
        <v>21</v>
      </c>
      <c r="J262" t="s">
        <v>32</v>
      </c>
      <c r="K262">
        <v>86</v>
      </c>
      <c r="L262" t="str">
        <f>IF(Table1[[#This Row],[Age]]&lt;20,"&lt;20",IF(Table1[[#This Row],[Age]]&lt;=70,"20-70","&gt;70"))</f>
        <v>&gt;70</v>
      </c>
      <c r="M262" t="s">
        <v>29</v>
      </c>
      <c r="N262" t="s">
        <v>34</v>
      </c>
      <c r="O262">
        <v>66.349999999999994</v>
      </c>
      <c r="P262">
        <v>1</v>
      </c>
      <c r="Q262">
        <v>3.3174999999999999</v>
      </c>
      <c r="R262">
        <v>69.667500000000004</v>
      </c>
      <c r="S262">
        <v>66.349999999999994</v>
      </c>
      <c r="T262">
        <v>4.7619047620000003</v>
      </c>
      <c r="U262">
        <v>3.3174999999999999</v>
      </c>
      <c r="V262">
        <v>9.6999999999999993</v>
      </c>
    </row>
    <row r="263" spans="1:22" x14ac:dyDescent="0.2">
      <c r="A263" t="s">
        <v>294</v>
      </c>
      <c r="B263" s="1">
        <v>43501</v>
      </c>
      <c r="C263" s="2">
        <v>0.42777777777777776</v>
      </c>
      <c r="D263" s="2" t="str">
        <f>IF(Table1[[#This Row],[Time]]&lt;$D$1,$C$1,IF(Table1[[#This Row],[Time]]&lt;$D$2,$C$2,$C$3))</f>
        <v>Morning</v>
      </c>
      <c r="E263">
        <f>MONTH(Table1[[#This Row],[Date]])</f>
        <v>2</v>
      </c>
      <c r="F263" t="str">
        <f>VLOOKUP(Table1[[#This Row],[Month]],dctMonth[],2,FALSE)</f>
        <v>February</v>
      </c>
      <c r="G263" t="s">
        <v>19</v>
      </c>
      <c r="H263" t="s">
        <v>20</v>
      </c>
      <c r="I263" t="s">
        <v>21</v>
      </c>
      <c r="J263" t="s">
        <v>32</v>
      </c>
      <c r="K263">
        <v>90</v>
      </c>
      <c r="L263" t="str">
        <f>IF(Table1[[#This Row],[Age]]&lt;20,"&lt;20",IF(Table1[[#This Row],[Age]]&lt;=70,"20-70","&gt;70"))</f>
        <v>&gt;70</v>
      </c>
      <c r="M263" t="s">
        <v>33</v>
      </c>
      <c r="N263" t="s">
        <v>24</v>
      </c>
      <c r="O263">
        <v>25.91</v>
      </c>
      <c r="P263">
        <v>6</v>
      </c>
      <c r="Q263">
        <v>7.7729999999999997</v>
      </c>
      <c r="R263">
        <v>163.233</v>
      </c>
      <c r="S263">
        <v>155.46</v>
      </c>
      <c r="T263">
        <v>4.7619047620000003</v>
      </c>
      <c r="U263">
        <v>7.7729999999999997</v>
      </c>
      <c r="V263">
        <v>8.6999999999999993</v>
      </c>
    </row>
    <row r="264" spans="1:22" x14ac:dyDescent="0.2">
      <c r="A264" t="s">
        <v>295</v>
      </c>
      <c r="B264" s="1">
        <v>43509</v>
      </c>
      <c r="C264" s="2">
        <v>0.52638888888888891</v>
      </c>
      <c r="D264" s="2" t="str">
        <f>IF(Table1[[#This Row],[Time]]&lt;$D$1,$C$1,IF(Table1[[#This Row],[Time]]&lt;$D$2,$C$2,$C$3))</f>
        <v>Afternoon</v>
      </c>
      <c r="E264">
        <f>MONTH(Table1[[#This Row],[Date]])</f>
        <v>2</v>
      </c>
      <c r="F264" t="str">
        <f>VLOOKUP(Table1[[#This Row],[Month]],dctMonth[],2,FALSE)</f>
        <v>February</v>
      </c>
      <c r="G264" t="s">
        <v>19</v>
      </c>
      <c r="H264" t="s">
        <v>20</v>
      </c>
      <c r="I264" t="s">
        <v>21</v>
      </c>
      <c r="J264" t="s">
        <v>32</v>
      </c>
      <c r="K264">
        <v>69</v>
      </c>
      <c r="L264" t="str">
        <f>IF(Table1[[#This Row],[Age]]&lt;20,"&lt;20",IF(Table1[[#This Row],[Age]]&lt;=70,"20-70","&gt;70"))</f>
        <v>20-70</v>
      </c>
      <c r="M264" t="s">
        <v>29</v>
      </c>
      <c r="N264" t="s">
        <v>24</v>
      </c>
      <c r="O264">
        <v>32.25</v>
      </c>
      <c r="P264">
        <v>4</v>
      </c>
      <c r="Q264">
        <v>6.45</v>
      </c>
      <c r="R264">
        <v>135.44999999999999</v>
      </c>
      <c r="S264">
        <v>129</v>
      </c>
      <c r="T264">
        <v>4.7619047620000003</v>
      </c>
      <c r="U264">
        <v>6.45</v>
      </c>
      <c r="V264">
        <v>6.5</v>
      </c>
    </row>
    <row r="265" spans="1:22" x14ac:dyDescent="0.2">
      <c r="A265" t="s">
        <v>296</v>
      </c>
      <c r="B265" s="1">
        <v>43503</v>
      </c>
      <c r="C265" s="2">
        <v>0.54513888888888884</v>
      </c>
      <c r="D265" s="2" t="str">
        <f>IF(Table1[[#This Row],[Time]]&lt;$D$1,$C$1,IF(Table1[[#This Row],[Time]]&lt;$D$2,$C$2,$C$3))</f>
        <v>Afternoon</v>
      </c>
      <c r="E265">
        <f>MONTH(Table1[[#This Row],[Date]])</f>
        <v>2</v>
      </c>
      <c r="F265" t="str">
        <f>VLOOKUP(Table1[[#This Row],[Month]],dctMonth[],2,FALSE)</f>
        <v>February</v>
      </c>
      <c r="G265" t="s">
        <v>26</v>
      </c>
      <c r="H265" t="s">
        <v>27</v>
      </c>
      <c r="I265" t="s">
        <v>21</v>
      </c>
      <c r="J265" t="s">
        <v>32</v>
      </c>
      <c r="K265">
        <v>82</v>
      </c>
      <c r="L265" t="str">
        <f>IF(Table1[[#This Row],[Age]]&lt;20,"&lt;20",IF(Table1[[#This Row],[Age]]&lt;=70,"20-70","&gt;70"))</f>
        <v>&gt;70</v>
      </c>
      <c r="M265" t="s">
        <v>29</v>
      </c>
      <c r="N265" t="s">
        <v>34</v>
      </c>
      <c r="O265">
        <v>65.94</v>
      </c>
      <c r="P265">
        <v>4</v>
      </c>
      <c r="Q265">
        <v>13.188000000000001</v>
      </c>
      <c r="R265">
        <v>276.94799999999998</v>
      </c>
      <c r="S265">
        <v>263.76</v>
      </c>
      <c r="T265">
        <v>4.7619047620000003</v>
      </c>
      <c r="U265">
        <v>13.188000000000001</v>
      </c>
      <c r="V265">
        <v>6.9</v>
      </c>
    </row>
    <row r="266" spans="1:22" x14ac:dyDescent="0.2">
      <c r="A266" t="s">
        <v>297</v>
      </c>
      <c r="B266" s="1">
        <v>43543</v>
      </c>
      <c r="C266" s="2">
        <v>0.55902777777777779</v>
      </c>
      <c r="D266" s="2" t="str">
        <f>IF(Table1[[#This Row],[Time]]&lt;$D$1,$C$1,IF(Table1[[#This Row],[Time]]&lt;$D$2,$C$2,$C$3))</f>
        <v>Afternoon</v>
      </c>
      <c r="E266">
        <f>MONTH(Table1[[#This Row],[Date]])</f>
        <v>3</v>
      </c>
      <c r="F266" t="str">
        <f>VLOOKUP(Table1[[#This Row],[Month]],dctMonth[],2,FALSE)</f>
        <v>March</v>
      </c>
      <c r="G266" t="s">
        <v>19</v>
      </c>
      <c r="H266" t="s">
        <v>20</v>
      </c>
      <c r="I266" t="s">
        <v>28</v>
      </c>
      <c r="J266" t="s">
        <v>22</v>
      </c>
      <c r="K266">
        <v>62</v>
      </c>
      <c r="L266" t="str">
        <f>IF(Table1[[#This Row],[Age]]&lt;20,"&lt;20",IF(Table1[[#This Row],[Age]]&lt;=70,"20-70","&gt;70"))</f>
        <v>20-70</v>
      </c>
      <c r="M266" t="s">
        <v>29</v>
      </c>
      <c r="N266" t="s">
        <v>24</v>
      </c>
      <c r="O266">
        <v>75.06</v>
      </c>
      <c r="P266">
        <v>9</v>
      </c>
      <c r="Q266">
        <v>33.777000000000001</v>
      </c>
      <c r="R266">
        <v>709.31700000000001</v>
      </c>
      <c r="S266">
        <v>675.54</v>
      </c>
      <c r="T266">
        <v>4.7619047620000003</v>
      </c>
      <c r="U266">
        <v>33.777000000000001</v>
      </c>
      <c r="V266">
        <v>6.2</v>
      </c>
    </row>
    <row r="267" spans="1:22" x14ac:dyDescent="0.2">
      <c r="A267" t="s">
        <v>298</v>
      </c>
      <c r="B267" s="1">
        <v>43531</v>
      </c>
      <c r="C267" s="2">
        <v>0.62013888888888891</v>
      </c>
      <c r="D267" s="2" t="str">
        <f>IF(Table1[[#This Row],[Time]]&lt;$D$1,$C$1,IF(Table1[[#This Row],[Time]]&lt;$D$2,$C$2,$C$3))</f>
        <v>Afternoon</v>
      </c>
      <c r="E267">
        <f>MONTH(Table1[[#This Row],[Date]])</f>
        <v>3</v>
      </c>
      <c r="F267" t="str">
        <f>VLOOKUP(Table1[[#This Row],[Month]],dctMonth[],2,FALSE)</f>
        <v>March</v>
      </c>
      <c r="G267" t="s">
        <v>26</v>
      </c>
      <c r="H267" t="s">
        <v>27</v>
      </c>
      <c r="I267" t="s">
        <v>28</v>
      </c>
      <c r="J267" t="s">
        <v>22</v>
      </c>
      <c r="K267">
        <v>69</v>
      </c>
      <c r="L267" t="str">
        <f>IF(Table1[[#This Row],[Age]]&lt;20,"&lt;20",IF(Table1[[#This Row],[Age]]&lt;=70,"20-70","&gt;70"))</f>
        <v>20-70</v>
      </c>
      <c r="M267" t="s">
        <v>47</v>
      </c>
      <c r="N267" t="s">
        <v>24</v>
      </c>
      <c r="O267">
        <v>16.45</v>
      </c>
      <c r="P267">
        <v>4</v>
      </c>
      <c r="Q267">
        <v>3.29</v>
      </c>
      <c r="R267">
        <v>69.09</v>
      </c>
      <c r="S267">
        <v>65.8</v>
      </c>
      <c r="T267">
        <v>4.7619047620000003</v>
      </c>
      <c r="U267">
        <v>3.29</v>
      </c>
      <c r="V267">
        <v>5.6</v>
      </c>
    </row>
    <row r="268" spans="1:22" x14ac:dyDescent="0.2">
      <c r="A268" t="s">
        <v>299</v>
      </c>
      <c r="B268" s="1">
        <v>43537</v>
      </c>
      <c r="C268" s="2">
        <v>0.80694444444444446</v>
      </c>
      <c r="D268" s="2" t="str">
        <f>IF(Table1[[#This Row],[Time]]&lt;$D$1,$C$1,IF(Table1[[#This Row],[Time]]&lt;$D$2,$C$2,$C$3))</f>
        <v>Evening</v>
      </c>
      <c r="E268">
        <f>MONTH(Table1[[#This Row],[Date]])</f>
        <v>3</v>
      </c>
      <c r="F268" t="str">
        <f>VLOOKUP(Table1[[#This Row],[Month]],dctMonth[],2,FALSE)</f>
        <v>March</v>
      </c>
      <c r="G268" t="s">
        <v>43</v>
      </c>
      <c r="H268" t="s">
        <v>44</v>
      </c>
      <c r="I268" t="s">
        <v>21</v>
      </c>
      <c r="J268" t="s">
        <v>22</v>
      </c>
      <c r="K268">
        <v>36</v>
      </c>
      <c r="L268" t="str">
        <f>IF(Table1[[#This Row],[Age]]&lt;20,"&lt;20",IF(Table1[[#This Row],[Age]]&lt;=70,"20-70","&gt;70"))</f>
        <v>20-70</v>
      </c>
      <c r="M268" t="s">
        <v>47</v>
      </c>
      <c r="N268" t="s">
        <v>30</v>
      </c>
      <c r="O268">
        <v>38.299999999999997</v>
      </c>
      <c r="P268">
        <v>4</v>
      </c>
      <c r="Q268">
        <v>7.66</v>
      </c>
      <c r="R268">
        <v>160.86000000000001</v>
      </c>
      <c r="S268">
        <v>153.19999999999999</v>
      </c>
      <c r="T268">
        <v>4.7619047620000003</v>
      </c>
      <c r="U268">
        <v>7.66</v>
      </c>
      <c r="V268">
        <v>5.7</v>
      </c>
    </row>
    <row r="269" spans="1:22" x14ac:dyDescent="0.2">
      <c r="A269" t="s">
        <v>300</v>
      </c>
      <c r="B269" s="1">
        <v>43505</v>
      </c>
      <c r="C269" s="2">
        <v>0.45833333333333331</v>
      </c>
      <c r="D269" s="2" t="str">
        <f>IF(Table1[[#This Row],[Time]]&lt;$D$1,$C$1,IF(Table1[[#This Row],[Time]]&lt;$D$2,$C$2,$C$3))</f>
        <v>Morning</v>
      </c>
      <c r="E269">
        <f>MONTH(Table1[[#This Row],[Date]])</f>
        <v>2</v>
      </c>
      <c r="F269" t="str">
        <f>VLOOKUP(Table1[[#This Row],[Month]],dctMonth[],2,FALSE)</f>
        <v>February</v>
      </c>
      <c r="G269" t="s">
        <v>19</v>
      </c>
      <c r="H269" t="s">
        <v>20</v>
      </c>
      <c r="I269" t="s">
        <v>21</v>
      </c>
      <c r="J269" t="s">
        <v>22</v>
      </c>
      <c r="K269">
        <v>27</v>
      </c>
      <c r="L269" t="str">
        <f>IF(Table1[[#This Row],[Age]]&lt;20,"&lt;20",IF(Table1[[#This Row],[Age]]&lt;=70,"20-70","&gt;70"))</f>
        <v>20-70</v>
      </c>
      <c r="M269" t="s">
        <v>37</v>
      </c>
      <c r="N269" t="s">
        <v>30</v>
      </c>
      <c r="O269">
        <v>22.24</v>
      </c>
      <c r="P269">
        <v>10</v>
      </c>
      <c r="Q269">
        <v>11.12</v>
      </c>
      <c r="R269">
        <v>233.52</v>
      </c>
      <c r="S269">
        <v>222.4</v>
      </c>
      <c r="T269">
        <v>4.7619047620000003</v>
      </c>
      <c r="U269">
        <v>11.12</v>
      </c>
      <c r="V269">
        <v>4.2</v>
      </c>
    </row>
    <row r="270" spans="1:22" x14ac:dyDescent="0.2">
      <c r="A270" t="s">
        <v>301</v>
      </c>
      <c r="B270" s="1">
        <v>43522</v>
      </c>
      <c r="C270" s="2">
        <v>0.80833333333333335</v>
      </c>
      <c r="D270" s="2" t="str">
        <f>IF(Table1[[#This Row],[Time]]&lt;$D$1,$C$1,IF(Table1[[#This Row],[Time]]&lt;$D$2,$C$2,$C$3))</f>
        <v>Evening</v>
      </c>
      <c r="E270">
        <f>MONTH(Table1[[#This Row],[Date]])</f>
        <v>2</v>
      </c>
      <c r="F270" t="str">
        <f>VLOOKUP(Table1[[#This Row],[Month]],dctMonth[],2,FALSE)</f>
        <v>February</v>
      </c>
      <c r="G270" t="s">
        <v>43</v>
      </c>
      <c r="H270" t="s">
        <v>44</v>
      </c>
      <c r="I270" t="s">
        <v>28</v>
      </c>
      <c r="J270" t="s">
        <v>32</v>
      </c>
      <c r="K270">
        <v>56</v>
      </c>
      <c r="L270" t="str">
        <f>IF(Table1[[#This Row],[Age]]&lt;20,"&lt;20",IF(Table1[[#This Row],[Age]]&lt;=70,"20-70","&gt;70"))</f>
        <v>20-70</v>
      </c>
      <c r="M270" t="s">
        <v>37</v>
      </c>
      <c r="N270" t="s">
        <v>24</v>
      </c>
      <c r="O270">
        <v>54.45</v>
      </c>
      <c r="P270">
        <v>1</v>
      </c>
      <c r="Q270">
        <v>2.7225000000000001</v>
      </c>
      <c r="R270">
        <v>57.172499999999999</v>
      </c>
      <c r="S270">
        <v>54.45</v>
      </c>
      <c r="T270">
        <v>4.7619047620000003</v>
      </c>
      <c r="U270">
        <v>2.7225000000000001</v>
      </c>
      <c r="V270">
        <v>7.9</v>
      </c>
    </row>
    <row r="271" spans="1:22" x14ac:dyDescent="0.2">
      <c r="A271" t="s">
        <v>302</v>
      </c>
      <c r="B271" s="1">
        <v>43536</v>
      </c>
      <c r="C271" s="2">
        <v>0.52986111111111112</v>
      </c>
      <c r="D271" s="2" t="str">
        <f>IF(Table1[[#This Row],[Time]]&lt;$D$1,$C$1,IF(Table1[[#This Row],[Time]]&lt;$D$2,$C$2,$C$3))</f>
        <v>Afternoon</v>
      </c>
      <c r="E271">
        <f>MONTH(Table1[[#This Row],[Date]])</f>
        <v>3</v>
      </c>
      <c r="F271" t="str">
        <f>VLOOKUP(Table1[[#This Row],[Month]],dctMonth[],2,FALSE)</f>
        <v>March</v>
      </c>
      <c r="G271" t="s">
        <v>19</v>
      </c>
      <c r="H271" t="s">
        <v>20</v>
      </c>
      <c r="I271" t="s">
        <v>21</v>
      </c>
      <c r="J271" t="s">
        <v>22</v>
      </c>
      <c r="K271">
        <v>23</v>
      </c>
      <c r="L271" t="str">
        <f>IF(Table1[[#This Row],[Age]]&lt;20,"&lt;20",IF(Table1[[#This Row],[Age]]&lt;=70,"20-70","&gt;70"))</f>
        <v>20-70</v>
      </c>
      <c r="M271" t="s">
        <v>37</v>
      </c>
      <c r="N271" t="s">
        <v>34</v>
      </c>
      <c r="O271">
        <v>98.4</v>
      </c>
      <c r="P271">
        <v>7</v>
      </c>
      <c r="Q271">
        <v>34.44</v>
      </c>
      <c r="R271">
        <v>723.24</v>
      </c>
      <c r="S271">
        <v>688.8</v>
      </c>
      <c r="T271">
        <v>4.7619047620000003</v>
      </c>
      <c r="U271">
        <v>34.44</v>
      </c>
      <c r="V271">
        <v>8.6999999999999993</v>
      </c>
    </row>
    <row r="272" spans="1:22" x14ac:dyDescent="0.2">
      <c r="A272" t="s">
        <v>303</v>
      </c>
      <c r="B272" s="1">
        <v>43538</v>
      </c>
      <c r="C272" s="2">
        <v>0.72361111111111109</v>
      </c>
      <c r="D272" s="2" t="str">
        <f>IF(Table1[[#This Row],[Time]]&lt;$D$1,$C$1,IF(Table1[[#This Row],[Time]]&lt;$D$2,$C$2,$C$3))</f>
        <v>Evening</v>
      </c>
      <c r="E272">
        <f>MONTH(Table1[[#This Row],[Date]])</f>
        <v>3</v>
      </c>
      <c r="F272" t="str">
        <f>VLOOKUP(Table1[[#This Row],[Month]],dctMonth[],2,FALSE)</f>
        <v>March</v>
      </c>
      <c r="G272" t="s">
        <v>26</v>
      </c>
      <c r="H272" t="s">
        <v>27</v>
      </c>
      <c r="I272" t="s">
        <v>28</v>
      </c>
      <c r="J272" t="s">
        <v>32</v>
      </c>
      <c r="K272">
        <v>38</v>
      </c>
      <c r="L272" t="str">
        <f>IF(Table1[[#This Row],[Age]]&lt;20,"&lt;20",IF(Table1[[#This Row],[Age]]&lt;=70,"20-70","&gt;70"))</f>
        <v>20-70</v>
      </c>
      <c r="M272" t="s">
        <v>33</v>
      </c>
      <c r="N272" t="s">
        <v>34</v>
      </c>
      <c r="O272">
        <v>35.47</v>
      </c>
      <c r="P272">
        <v>4</v>
      </c>
      <c r="Q272">
        <v>7.0940000000000003</v>
      </c>
      <c r="R272">
        <v>148.97399999999999</v>
      </c>
      <c r="S272">
        <v>141.88</v>
      </c>
      <c r="T272">
        <v>4.7619047620000003</v>
      </c>
      <c r="U272">
        <v>7.0940000000000003</v>
      </c>
      <c r="V272">
        <v>6.9</v>
      </c>
    </row>
    <row r="273" spans="1:22" x14ac:dyDescent="0.2">
      <c r="A273" t="s">
        <v>304</v>
      </c>
      <c r="B273" s="1">
        <v>43473</v>
      </c>
      <c r="C273" s="2">
        <v>0.87152777777777779</v>
      </c>
      <c r="D273" s="2" t="str">
        <f>IF(Table1[[#This Row],[Time]]&lt;$D$1,$C$1,IF(Table1[[#This Row],[Time]]&lt;$D$2,$C$2,$C$3))</f>
        <v>Evening</v>
      </c>
      <c r="E273">
        <f>MONTH(Table1[[#This Row],[Date]])</f>
        <v>1</v>
      </c>
      <c r="F273" t="str">
        <f>VLOOKUP(Table1[[#This Row],[Month]],dctMonth[],2,FALSE)</f>
        <v>January</v>
      </c>
      <c r="G273" t="s">
        <v>43</v>
      </c>
      <c r="H273" t="s">
        <v>44</v>
      </c>
      <c r="I273" t="s">
        <v>21</v>
      </c>
      <c r="J273" t="s">
        <v>22</v>
      </c>
      <c r="K273">
        <v>51</v>
      </c>
      <c r="L273" t="str">
        <f>IF(Table1[[#This Row],[Age]]&lt;20,"&lt;20",IF(Table1[[#This Row],[Age]]&lt;=70,"20-70","&gt;70"))</f>
        <v>20-70</v>
      </c>
      <c r="M273" t="s">
        <v>45</v>
      </c>
      <c r="N273" t="s">
        <v>30</v>
      </c>
      <c r="O273">
        <v>74.599999999999994</v>
      </c>
      <c r="P273">
        <v>10</v>
      </c>
      <c r="Q273">
        <v>37.299999999999997</v>
      </c>
      <c r="R273">
        <v>783.3</v>
      </c>
      <c r="S273">
        <v>746</v>
      </c>
      <c r="T273">
        <v>4.7619047620000003</v>
      </c>
      <c r="U273">
        <v>37.299999999999997</v>
      </c>
      <c r="V273">
        <v>9.5</v>
      </c>
    </row>
    <row r="274" spans="1:22" x14ac:dyDescent="0.2">
      <c r="A274" t="s">
        <v>305</v>
      </c>
      <c r="B274" s="1">
        <v>43470</v>
      </c>
      <c r="C274" s="2">
        <v>0.67013888888888884</v>
      </c>
      <c r="D274" s="2" t="str">
        <f>IF(Table1[[#This Row],[Time]]&lt;$D$1,$C$1,IF(Table1[[#This Row],[Time]]&lt;$D$2,$C$2,$C$3))</f>
        <v>Afternoon</v>
      </c>
      <c r="E274">
        <f>MONTH(Table1[[#This Row],[Date]])</f>
        <v>1</v>
      </c>
      <c r="F274" t="str">
        <f>VLOOKUP(Table1[[#This Row],[Month]],dctMonth[],2,FALSE)</f>
        <v>January</v>
      </c>
      <c r="G274" t="s">
        <v>19</v>
      </c>
      <c r="H274" t="s">
        <v>20</v>
      </c>
      <c r="I274" t="s">
        <v>21</v>
      </c>
      <c r="J274" t="s">
        <v>32</v>
      </c>
      <c r="K274">
        <v>67</v>
      </c>
      <c r="L274" t="str">
        <f>IF(Table1[[#This Row],[Age]]&lt;20,"&lt;20",IF(Table1[[#This Row],[Age]]&lt;=70,"20-70","&gt;70"))</f>
        <v>20-70</v>
      </c>
      <c r="M274" t="s">
        <v>33</v>
      </c>
      <c r="N274" t="s">
        <v>34</v>
      </c>
      <c r="O274">
        <v>70.739999999999995</v>
      </c>
      <c r="P274">
        <v>4</v>
      </c>
      <c r="Q274">
        <v>14.148</v>
      </c>
      <c r="R274">
        <v>297.108</v>
      </c>
      <c r="S274">
        <v>282.95999999999998</v>
      </c>
      <c r="T274">
        <v>4.7619047620000003</v>
      </c>
      <c r="U274">
        <v>14.148</v>
      </c>
      <c r="V274">
        <v>4.4000000000000004</v>
      </c>
    </row>
    <row r="275" spans="1:22" x14ac:dyDescent="0.2">
      <c r="A275" t="s">
        <v>306</v>
      </c>
      <c r="B275" s="1">
        <v>43469</v>
      </c>
      <c r="C275" s="2">
        <v>0.56527777777777777</v>
      </c>
      <c r="D275" s="2" t="str">
        <f>IF(Table1[[#This Row],[Time]]&lt;$D$1,$C$1,IF(Table1[[#This Row],[Time]]&lt;$D$2,$C$2,$C$3))</f>
        <v>Afternoon</v>
      </c>
      <c r="E275">
        <f>MONTH(Table1[[#This Row],[Date]])</f>
        <v>1</v>
      </c>
      <c r="F275" t="str">
        <f>VLOOKUP(Table1[[#This Row],[Month]],dctMonth[],2,FALSE)</f>
        <v>January</v>
      </c>
      <c r="G275" t="s">
        <v>19</v>
      </c>
      <c r="H275" t="s">
        <v>20</v>
      </c>
      <c r="I275" t="s">
        <v>21</v>
      </c>
      <c r="J275" t="s">
        <v>22</v>
      </c>
      <c r="K275">
        <v>42</v>
      </c>
      <c r="L275" t="str">
        <f>IF(Table1[[#This Row],[Age]]&lt;20,"&lt;20",IF(Table1[[#This Row],[Age]]&lt;=70,"20-70","&gt;70"))</f>
        <v>20-70</v>
      </c>
      <c r="M275" t="s">
        <v>33</v>
      </c>
      <c r="N275" t="s">
        <v>24</v>
      </c>
      <c r="O275">
        <v>35.54</v>
      </c>
      <c r="P275">
        <v>10</v>
      </c>
      <c r="Q275">
        <v>17.77</v>
      </c>
      <c r="R275">
        <v>373.17</v>
      </c>
      <c r="S275">
        <v>355.4</v>
      </c>
      <c r="T275">
        <v>4.7619047620000003</v>
      </c>
      <c r="U275">
        <v>17.77</v>
      </c>
      <c r="V275">
        <v>7</v>
      </c>
    </row>
    <row r="276" spans="1:22" x14ac:dyDescent="0.2">
      <c r="A276" t="s">
        <v>307</v>
      </c>
      <c r="B276" s="1">
        <v>43530</v>
      </c>
      <c r="C276" s="2">
        <v>0.75902777777777775</v>
      </c>
      <c r="D276" s="2" t="str">
        <f>IF(Table1[[#This Row],[Time]]&lt;$D$1,$C$1,IF(Table1[[#This Row],[Time]]&lt;$D$2,$C$2,$C$3))</f>
        <v>Evening</v>
      </c>
      <c r="E276">
        <f>MONTH(Table1[[#This Row],[Date]])</f>
        <v>3</v>
      </c>
      <c r="F276" t="str">
        <f>VLOOKUP(Table1[[#This Row],[Month]],dctMonth[],2,FALSE)</f>
        <v>March</v>
      </c>
      <c r="G276" t="s">
        <v>43</v>
      </c>
      <c r="H276" t="s">
        <v>44</v>
      </c>
      <c r="I276" t="s">
        <v>28</v>
      </c>
      <c r="J276" t="s">
        <v>22</v>
      </c>
      <c r="K276">
        <v>88</v>
      </c>
      <c r="L276" t="str">
        <f>IF(Table1[[#This Row],[Age]]&lt;20,"&lt;20",IF(Table1[[#This Row],[Age]]&lt;=70,"20-70","&gt;70"))</f>
        <v>&gt;70</v>
      </c>
      <c r="M276" t="s">
        <v>37</v>
      </c>
      <c r="N276" t="s">
        <v>24</v>
      </c>
      <c r="O276">
        <v>67.430000000000007</v>
      </c>
      <c r="P276">
        <v>5</v>
      </c>
      <c r="Q276">
        <v>16.857500000000002</v>
      </c>
      <c r="R276">
        <v>354.00749999999999</v>
      </c>
      <c r="S276">
        <v>337.15</v>
      </c>
      <c r="T276">
        <v>4.7619047620000003</v>
      </c>
      <c r="U276">
        <v>16.857500000000002</v>
      </c>
      <c r="V276">
        <v>6.3</v>
      </c>
    </row>
    <row r="277" spans="1:22" x14ac:dyDescent="0.2">
      <c r="A277" t="s">
        <v>308</v>
      </c>
      <c r="B277" s="1">
        <v>43468</v>
      </c>
      <c r="C277" s="2">
        <v>0.80347222222222225</v>
      </c>
      <c r="D277" s="2" t="str">
        <f>IF(Table1[[#This Row],[Time]]&lt;$D$1,$C$1,IF(Table1[[#This Row],[Time]]&lt;$D$2,$C$2,$C$3))</f>
        <v>Evening</v>
      </c>
      <c r="E277">
        <f>MONTH(Table1[[#This Row],[Date]])</f>
        <v>1</v>
      </c>
      <c r="F277" t="str">
        <f>VLOOKUP(Table1[[#This Row],[Month]],dctMonth[],2,FALSE)</f>
        <v>January</v>
      </c>
      <c r="G277" t="s">
        <v>26</v>
      </c>
      <c r="H277" t="s">
        <v>27</v>
      </c>
      <c r="I277" t="s">
        <v>21</v>
      </c>
      <c r="J277" t="s">
        <v>22</v>
      </c>
      <c r="K277">
        <v>45</v>
      </c>
      <c r="L277" t="str">
        <f>IF(Table1[[#This Row],[Age]]&lt;20,"&lt;20",IF(Table1[[#This Row],[Age]]&lt;=70,"20-70","&gt;70"))</f>
        <v>20-70</v>
      </c>
      <c r="M277" t="s">
        <v>23</v>
      </c>
      <c r="N277" t="s">
        <v>30</v>
      </c>
      <c r="O277">
        <v>21.12</v>
      </c>
      <c r="P277">
        <v>2</v>
      </c>
      <c r="Q277">
        <v>2.1120000000000001</v>
      </c>
      <c r="R277">
        <v>44.351999999999997</v>
      </c>
      <c r="S277">
        <v>42.24</v>
      </c>
      <c r="T277">
        <v>4.7619047620000003</v>
      </c>
      <c r="U277">
        <v>2.1120000000000001</v>
      </c>
      <c r="V277">
        <v>9.6999999999999993</v>
      </c>
    </row>
    <row r="278" spans="1:22" x14ac:dyDescent="0.2">
      <c r="A278" t="s">
        <v>309</v>
      </c>
      <c r="B278" s="1">
        <v>43472</v>
      </c>
      <c r="C278" s="2">
        <v>0.48888888888888887</v>
      </c>
      <c r="D278" s="2" t="str">
        <f>IF(Table1[[#This Row],[Time]]&lt;$D$1,$C$1,IF(Table1[[#This Row],[Time]]&lt;$D$2,$C$2,$C$3))</f>
        <v>Morning</v>
      </c>
      <c r="E278">
        <f>MONTH(Table1[[#This Row],[Date]])</f>
        <v>1</v>
      </c>
      <c r="F278" t="str">
        <f>VLOOKUP(Table1[[#This Row],[Month]],dctMonth[],2,FALSE)</f>
        <v>January</v>
      </c>
      <c r="G278" t="s">
        <v>19</v>
      </c>
      <c r="H278" t="s">
        <v>20</v>
      </c>
      <c r="I278" t="s">
        <v>21</v>
      </c>
      <c r="J278" t="s">
        <v>22</v>
      </c>
      <c r="K278">
        <v>20</v>
      </c>
      <c r="L278" t="str">
        <f>IF(Table1[[#This Row],[Age]]&lt;20,"&lt;20",IF(Table1[[#This Row],[Age]]&lt;=70,"20-70","&gt;70"))</f>
        <v>20-70</v>
      </c>
      <c r="M278" t="s">
        <v>33</v>
      </c>
      <c r="N278" t="s">
        <v>34</v>
      </c>
      <c r="O278">
        <v>21.54</v>
      </c>
      <c r="P278">
        <v>9</v>
      </c>
      <c r="Q278">
        <v>9.6929999999999996</v>
      </c>
      <c r="R278">
        <v>203.553</v>
      </c>
      <c r="S278">
        <v>193.86</v>
      </c>
      <c r="T278">
        <v>4.7619047620000003</v>
      </c>
      <c r="U278">
        <v>9.6929999999999996</v>
      </c>
      <c r="V278">
        <v>8.8000000000000007</v>
      </c>
    </row>
    <row r="279" spans="1:22" x14ac:dyDescent="0.2">
      <c r="A279" t="s">
        <v>310</v>
      </c>
      <c r="B279" s="1">
        <v>43492</v>
      </c>
      <c r="C279" s="2">
        <v>0.66041666666666665</v>
      </c>
      <c r="D279" s="2" t="str">
        <f>IF(Table1[[#This Row],[Time]]&lt;$D$1,$C$1,IF(Table1[[#This Row],[Time]]&lt;$D$2,$C$2,$C$3))</f>
        <v>Afternoon</v>
      </c>
      <c r="E279">
        <f>MONTH(Table1[[#This Row],[Date]])</f>
        <v>1</v>
      </c>
      <c r="F279" t="str">
        <f>VLOOKUP(Table1[[#This Row],[Month]],dctMonth[],2,FALSE)</f>
        <v>January</v>
      </c>
      <c r="G279" t="s">
        <v>19</v>
      </c>
      <c r="H279" t="s">
        <v>20</v>
      </c>
      <c r="I279" t="s">
        <v>28</v>
      </c>
      <c r="J279" t="s">
        <v>22</v>
      </c>
      <c r="K279">
        <v>81</v>
      </c>
      <c r="L279" t="str">
        <f>IF(Table1[[#This Row],[Age]]&lt;20,"&lt;20",IF(Table1[[#This Row],[Age]]&lt;=70,"20-70","&gt;70"))</f>
        <v>&gt;70</v>
      </c>
      <c r="M279" t="s">
        <v>33</v>
      </c>
      <c r="N279" t="s">
        <v>30</v>
      </c>
      <c r="O279">
        <v>12.03</v>
      </c>
      <c r="P279">
        <v>2</v>
      </c>
      <c r="Q279">
        <v>1.2030000000000001</v>
      </c>
      <c r="R279">
        <v>25.263000000000002</v>
      </c>
      <c r="S279">
        <v>24.06</v>
      </c>
      <c r="T279">
        <v>4.7619047620000003</v>
      </c>
      <c r="U279">
        <v>1.2030000000000001</v>
      </c>
      <c r="V279">
        <v>5.0999999999999996</v>
      </c>
    </row>
    <row r="280" spans="1:22" x14ac:dyDescent="0.2">
      <c r="A280" t="s">
        <v>311</v>
      </c>
      <c r="B280" s="1">
        <v>43522</v>
      </c>
      <c r="C280" s="2">
        <v>0.70277777777777772</v>
      </c>
      <c r="D280" s="2" t="str">
        <f>IF(Table1[[#This Row],[Time]]&lt;$D$1,$C$1,IF(Table1[[#This Row],[Time]]&lt;$D$2,$C$2,$C$3))</f>
        <v>Afternoon</v>
      </c>
      <c r="E280">
        <f>MONTH(Table1[[#This Row],[Date]])</f>
        <v>2</v>
      </c>
      <c r="F280" t="str">
        <f>VLOOKUP(Table1[[#This Row],[Month]],dctMonth[],2,FALSE)</f>
        <v>February</v>
      </c>
      <c r="G280" t="s">
        <v>43</v>
      </c>
      <c r="H280" t="s">
        <v>44</v>
      </c>
      <c r="I280" t="s">
        <v>28</v>
      </c>
      <c r="J280" t="s">
        <v>22</v>
      </c>
      <c r="K280">
        <v>74</v>
      </c>
      <c r="L280" t="str">
        <f>IF(Table1[[#This Row],[Age]]&lt;20,"&lt;20",IF(Table1[[#This Row],[Age]]&lt;=70,"20-70","&gt;70"))</f>
        <v>&gt;70</v>
      </c>
      <c r="M280" t="s">
        <v>23</v>
      </c>
      <c r="N280" t="s">
        <v>24</v>
      </c>
      <c r="O280">
        <v>99.71</v>
      </c>
      <c r="P280">
        <v>6</v>
      </c>
      <c r="Q280">
        <v>29.913</v>
      </c>
      <c r="R280">
        <v>628.173</v>
      </c>
      <c r="S280">
        <v>598.26</v>
      </c>
      <c r="T280">
        <v>4.7619047620000003</v>
      </c>
      <c r="U280">
        <v>29.913</v>
      </c>
      <c r="V280">
        <v>7.9</v>
      </c>
    </row>
    <row r="281" spans="1:22" x14ac:dyDescent="0.2">
      <c r="A281" t="s">
        <v>312</v>
      </c>
      <c r="B281" s="1">
        <v>43472</v>
      </c>
      <c r="C281" s="2">
        <v>0.86944444444444446</v>
      </c>
      <c r="D281" s="2" t="str">
        <f>IF(Table1[[#This Row],[Time]]&lt;$D$1,$C$1,IF(Table1[[#This Row],[Time]]&lt;$D$2,$C$2,$C$3))</f>
        <v>Evening</v>
      </c>
      <c r="E281">
        <f>MONTH(Table1[[#This Row],[Date]])</f>
        <v>1</v>
      </c>
      <c r="F281" t="str">
        <f>VLOOKUP(Table1[[#This Row],[Month]],dctMonth[],2,FALSE)</f>
        <v>January</v>
      </c>
      <c r="G281" t="s">
        <v>43</v>
      </c>
      <c r="H281" t="s">
        <v>44</v>
      </c>
      <c r="I281" t="s">
        <v>28</v>
      </c>
      <c r="J281" t="s">
        <v>32</v>
      </c>
      <c r="K281">
        <v>20</v>
      </c>
      <c r="L281" t="str">
        <f>IF(Table1[[#This Row],[Age]]&lt;20,"&lt;20",IF(Table1[[#This Row],[Age]]&lt;=70,"20-70","&gt;70"))</f>
        <v>20-70</v>
      </c>
      <c r="M281" t="s">
        <v>47</v>
      </c>
      <c r="N281" t="s">
        <v>30</v>
      </c>
      <c r="O281">
        <v>47.97</v>
      </c>
      <c r="P281">
        <v>7</v>
      </c>
      <c r="Q281">
        <v>16.7895</v>
      </c>
      <c r="R281">
        <v>352.5795</v>
      </c>
      <c r="S281">
        <v>335.79</v>
      </c>
      <c r="T281">
        <v>4.7619047620000003</v>
      </c>
      <c r="U281">
        <v>16.7895</v>
      </c>
      <c r="V281">
        <v>6.2</v>
      </c>
    </row>
    <row r="282" spans="1:22" x14ac:dyDescent="0.2">
      <c r="A282" t="s">
        <v>313</v>
      </c>
      <c r="B282" s="1">
        <v>43472</v>
      </c>
      <c r="C282" s="2">
        <v>0.73333333333333328</v>
      </c>
      <c r="D282" s="2" t="str">
        <f>IF(Table1[[#This Row],[Time]]&lt;$D$1,$C$1,IF(Table1[[#This Row],[Time]]&lt;$D$2,$C$2,$C$3))</f>
        <v>Evening</v>
      </c>
      <c r="E282">
        <f>MONTH(Table1[[#This Row],[Date]])</f>
        <v>1</v>
      </c>
      <c r="F282" t="str">
        <f>VLOOKUP(Table1[[#This Row],[Month]],dctMonth[],2,FALSE)</f>
        <v>January</v>
      </c>
      <c r="G282" t="s">
        <v>26</v>
      </c>
      <c r="H282" t="s">
        <v>27</v>
      </c>
      <c r="I282" t="s">
        <v>21</v>
      </c>
      <c r="J282" t="s">
        <v>22</v>
      </c>
      <c r="K282">
        <v>32</v>
      </c>
      <c r="L282" t="str">
        <f>IF(Table1[[#This Row],[Age]]&lt;20,"&lt;20",IF(Table1[[#This Row],[Age]]&lt;=70,"20-70","&gt;70"))</f>
        <v>20-70</v>
      </c>
      <c r="M282" t="s">
        <v>33</v>
      </c>
      <c r="N282" t="s">
        <v>30</v>
      </c>
      <c r="O282">
        <v>21.82</v>
      </c>
      <c r="P282">
        <v>10</v>
      </c>
      <c r="Q282">
        <v>10.91</v>
      </c>
      <c r="R282">
        <v>229.11</v>
      </c>
      <c r="S282">
        <v>218.2</v>
      </c>
      <c r="T282">
        <v>4.7619047620000003</v>
      </c>
      <c r="U282">
        <v>10.91</v>
      </c>
      <c r="V282">
        <v>7.1</v>
      </c>
    </row>
    <row r="283" spans="1:22" x14ac:dyDescent="0.2">
      <c r="A283" t="s">
        <v>314</v>
      </c>
      <c r="B283" s="1">
        <v>43498</v>
      </c>
      <c r="C283" s="2">
        <v>0.55763888888888891</v>
      </c>
      <c r="D283" s="2" t="str">
        <f>IF(Table1[[#This Row],[Time]]&lt;$D$1,$C$1,IF(Table1[[#This Row],[Time]]&lt;$D$2,$C$2,$C$3))</f>
        <v>Afternoon</v>
      </c>
      <c r="E283">
        <f>MONTH(Table1[[#This Row],[Date]])</f>
        <v>2</v>
      </c>
      <c r="F283" t="str">
        <f>VLOOKUP(Table1[[#This Row],[Month]],dctMonth[],2,FALSE)</f>
        <v>February</v>
      </c>
      <c r="G283" t="s">
        <v>26</v>
      </c>
      <c r="H283" t="s">
        <v>27</v>
      </c>
      <c r="I283" t="s">
        <v>28</v>
      </c>
      <c r="J283" t="s">
        <v>22</v>
      </c>
      <c r="K283">
        <v>45</v>
      </c>
      <c r="L283" t="str">
        <f>IF(Table1[[#This Row],[Age]]&lt;20,"&lt;20",IF(Table1[[#This Row],[Age]]&lt;=70,"20-70","&gt;70"))</f>
        <v>20-70</v>
      </c>
      <c r="M283" t="s">
        <v>47</v>
      </c>
      <c r="N283" t="s">
        <v>24</v>
      </c>
      <c r="O283">
        <v>95.42</v>
      </c>
      <c r="P283">
        <v>4</v>
      </c>
      <c r="Q283">
        <v>19.084</v>
      </c>
      <c r="R283">
        <v>400.76400000000001</v>
      </c>
      <c r="S283">
        <v>381.68</v>
      </c>
      <c r="T283">
        <v>4.7619047620000003</v>
      </c>
      <c r="U283">
        <v>19.084</v>
      </c>
      <c r="V283">
        <v>6.4</v>
      </c>
    </row>
    <row r="284" spans="1:22" x14ac:dyDescent="0.2">
      <c r="A284" t="s">
        <v>315</v>
      </c>
      <c r="B284" s="1">
        <v>43544</v>
      </c>
      <c r="C284" s="2">
        <v>0.68611111111111112</v>
      </c>
      <c r="D284" s="2" t="str">
        <f>IF(Table1[[#This Row],[Time]]&lt;$D$1,$C$1,IF(Table1[[#This Row],[Time]]&lt;$D$2,$C$2,$C$3))</f>
        <v>Afternoon</v>
      </c>
      <c r="E284">
        <f>MONTH(Table1[[#This Row],[Date]])</f>
        <v>3</v>
      </c>
      <c r="F284" t="str">
        <f>VLOOKUP(Table1[[#This Row],[Month]],dctMonth[],2,FALSE)</f>
        <v>March</v>
      </c>
      <c r="G284" t="s">
        <v>26</v>
      </c>
      <c r="H284" t="s">
        <v>27</v>
      </c>
      <c r="I284" t="s">
        <v>21</v>
      </c>
      <c r="J284" t="s">
        <v>32</v>
      </c>
      <c r="K284">
        <v>69</v>
      </c>
      <c r="L284" t="str">
        <f>IF(Table1[[#This Row],[Age]]&lt;20,"&lt;20",IF(Table1[[#This Row],[Age]]&lt;=70,"20-70","&gt;70"))</f>
        <v>20-70</v>
      </c>
      <c r="M284" t="s">
        <v>47</v>
      </c>
      <c r="N284" t="s">
        <v>30</v>
      </c>
      <c r="O284">
        <v>70.989999999999995</v>
      </c>
      <c r="P284">
        <v>10</v>
      </c>
      <c r="Q284">
        <v>35.494999999999997</v>
      </c>
      <c r="R284">
        <v>745.39499999999998</v>
      </c>
      <c r="S284">
        <v>709.9</v>
      </c>
      <c r="T284">
        <v>4.7619047620000003</v>
      </c>
      <c r="U284">
        <v>35.494999999999997</v>
      </c>
      <c r="V284">
        <v>5.7</v>
      </c>
    </row>
    <row r="285" spans="1:22" x14ac:dyDescent="0.2">
      <c r="A285" t="s">
        <v>316</v>
      </c>
      <c r="B285" s="1">
        <v>43544</v>
      </c>
      <c r="C285" s="2">
        <v>0.83125000000000004</v>
      </c>
      <c r="D285" s="2" t="str">
        <f>IF(Table1[[#This Row],[Time]]&lt;$D$1,$C$1,IF(Table1[[#This Row],[Time]]&lt;$D$2,$C$2,$C$3))</f>
        <v>Evening</v>
      </c>
      <c r="E285">
        <f>MONTH(Table1[[#This Row],[Date]])</f>
        <v>3</v>
      </c>
      <c r="F285" t="str">
        <f>VLOOKUP(Table1[[#This Row],[Month]],dctMonth[],2,FALSE)</f>
        <v>March</v>
      </c>
      <c r="G285" t="s">
        <v>19</v>
      </c>
      <c r="H285" t="s">
        <v>20</v>
      </c>
      <c r="I285" t="s">
        <v>21</v>
      </c>
      <c r="J285" t="s">
        <v>32</v>
      </c>
      <c r="K285">
        <v>26</v>
      </c>
      <c r="L285" t="str">
        <f>IF(Table1[[#This Row],[Age]]&lt;20,"&lt;20",IF(Table1[[#This Row],[Age]]&lt;=70,"20-70","&gt;70"))</f>
        <v>20-70</v>
      </c>
      <c r="M285" t="s">
        <v>37</v>
      </c>
      <c r="N285" t="s">
        <v>34</v>
      </c>
      <c r="O285">
        <v>44.02</v>
      </c>
      <c r="P285">
        <v>10</v>
      </c>
      <c r="Q285">
        <v>22.01</v>
      </c>
      <c r="R285">
        <v>462.21</v>
      </c>
      <c r="S285">
        <v>440.2</v>
      </c>
      <c r="T285">
        <v>4.7619047620000003</v>
      </c>
      <c r="U285">
        <v>22.01</v>
      </c>
      <c r="V285">
        <v>9.6</v>
      </c>
    </row>
    <row r="286" spans="1:22" x14ac:dyDescent="0.2">
      <c r="A286" t="s">
        <v>317</v>
      </c>
      <c r="B286" s="1">
        <v>43511</v>
      </c>
      <c r="C286" s="2">
        <v>0.70902777777777781</v>
      </c>
      <c r="D286" s="2" t="str">
        <f>IF(Table1[[#This Row],[Time]]&lt;$D$1,$C$1,IF(Table1[[#This Row],[Time]]&lt;$D$2,$C$2,$C$3))</f>
        <v>Evening</v>
      </c>
      <c r="E286">
        <f>MONTH(Table1[[#This Row],[Date]])</f>
        <v>2</v>
      </c>
      <c r="F286" t="str">
        <f>VLOOKUP(Table1[[#This Row],[Month]],dctMonth[],2,FALSE)</f>
        <v>February</v>
      </c>
      <c r="G286" t="s">
        <v>19</v>
      </c>
      <c r="H286" t="s">
        <v>20</v>
      </c>
      <c r="I286" t="s">
        <v>28</v>
      </c>
      <c r="J286" t="s">
        <v>22</v>
      </c>
      <c r="K286">
        <v>52</v>
      </c>
      <c r="L286" t="str">
        <f>IF(Table1[[#This Row],[Age]]&lt;20,"&lt;20",IF(Table1[[#This Row],[Age]]&lt;=70,"20-70","&gt;70"))</f>
        <v>20-70</v>
      </c>
      <c r="M286" t="s">
        <v>33</v>
      </c>
      <c r="N286" t="s">
        <v>34</v>
      </c>
      <c r="O286">
        <v>69.959999999999994</v>
      </c>
      <c r="P286">
        <v>8</v>
      </c>
      <c r="Q286">
        <v>27.984000000000002</v>
      </c>
      <c r="R286">
        <v>587.66399999999999</v>
      </c>
      <c r="S286">
        <v>559.67999999999995</v>
      </c>
      <c r="T286">
        <v>4.7619047620000003</v>
      </c>
      <c r="U286">
        <v>27.984000000000002</v>
      </c>
      <c r="V286">
        <v>6.4</v>
      </c>
    </row>
    <row r="287" spans="1:22" x14ac:dyDescent="0.2">
      <c r="A287" t="s">
        <v>318</v>
      </c>
      <c r="B287" s="1">
        <v>43530</v>
      </c>
      <c r="C287" s="2">
        <v>0.56180555555555556</v>
      </c>
      <c r="D287" s="2" t="str">
        <f>IF(Table1[[#This Row],[Time]]&lt;$D$1,$C$1,IF(Table1[[#This Row],[Time]]&lt;$D$2,$C$2,$C$3))</f>
        <v>Afternoon</v>
      </c>
      <c r="E287">
        <f>MONTH(Table1[[#This Row],[Date]])</f>
        <v>3</v>
      </c>
      <c r="F287" t="str">
        <f>VLOOKUP(Table1[[#This Row],[Month]],dctMonth[],2,FALSE)</f>
        <v>March</v>
      </c>
      <c r="G287" t="s">
        <v>26</v>
      </c>
      <c r="H287" t="s">
        <v>27</v>
      </c>
      <c r="I287" t="s">
        <v>28</v>
      </c>
      <c r="J287" t="s">
        <v>32</v>
      </c>
      <c r="K287">
        <v>38</v>
      </c>
      <c r="L287" t="str">
        <f>IF(Table1[[#This Row],[Age]]&lt;20,"&lt;20",IF(Table1[[#This Row],[Age]]&lt;=70,"20-70","&gt;70"))</f>
        <v>20-70</v>
      </c>
      <c r="M287" t="s">
        <v>33</v>
      </c>
      <c r="N287" t="s">
        <v>34</v>
      </c>
      <c r="O287">
        <v>37</v>
      </c>
      <c r="P287">
        <v>1</v>
      </c>
      <c r="Q287">
        <v>1.85</v>
      </c>
      <c r="R287">
        <v>38.85</v>
      </c>
      <c r="S287">
        <v>37</v>
      </c>
      <c r="T287">
        <v>4.7619047620000003</v>
      </c>
      <c r="U287">
        <v>1.85</v>
      </c>
      <c r="V287">
        <v>7.9</v>
      </c>
    </row>
    <row r="288" spans="1:22" x14ac:dyDescent="0.2">
      <c r="A288" t="s">
        <v>319</v>
      </c>
      <c r="B288" s="1">
        <v>43471</v>
      </c>
      <c r="C288" s="2">
        <v>0.46458333333333335</v>
      </c>
      <c r="D288" s="2" t="str">
        <f>IF(Table1[[#This Row],[Time]]&lt;$D$1,$C$1,IF(Table1[[#This Row],[Time]]&lt;$D$2,$C$2,$C$3))</f>
        <v>Morning</v>
      </c>
      <c r="E288">
        <f>MONTH(Table1[[#This Row],[Date]])</f>
        <v>1</v>
      </c>
      <c r="F288" t="str">
        <f>VLOOKUP(Table1[[#This Row],[Month]],dctMonth[],2,FALSE)</f>
        <v>January</v>
      </c>
      <c r="G288" t="s">
        <v>19</v>
      </c>
      <c r="H288" t="s">
        <v>20</v>
      </c>
      <c r="I288" t="s">
        <v>28</v>
      </c>
      <c r="J288" t="s">
        <v>22</v>
      </c>
      <c r="K288">
        <v>85</v>
      </c>
      <c r="L288" t="str">
        <f>IF(Table1[[#This Row],[Age]]&lt;20,"&lt;20",IF(Table1[[#This Row],[Age]]&lt;=70,"20-70","&gt;70"))</f>
        <v>&gt;70</v>
      </c>
      <c r="M288" t="s">
        <v>37</v>
      </c>
      <c r="N288" t="s">
        <v>30</v>
      </c>
      <c r="O288">
        <v>15.34</v>
      </c>
      <c r="P288">
        <v>1</v>
      </c>
      <c r="Q288">
        <v>0.76700000000000002</v>
      </c>
      <c r="R288">
        <v>16.106999999999999</v>
      </c>
      <c r="S288">
        <v>15.34</v>
      </c>
      <c r="T288">
        <v>4.7619047620000003</v>
      </c>
      <c r="U288">
        <v>0.76700000000000002</v>
      </c>
      <c r="V288">
        <v>6.5</v>
      </c>
    </row>
    <row r="289" spans="1:22" x14ac:dyDescent="0.2">
      <c r="A289" t="s">
        <v>320</v>
      </c>
      <c r="B289" s="1">
        <v>43528</v>
      </c>
      <c r="C289" s="2">
        <v>0.62638888888888888</v>
      </c>
      <c r="D289" s="2" t="str">
        <f>IF(Table1[[#This Row],[Time]]&lt;$D$1,$C$1,IF(Table1[[#This Row],[Time]]&lt;$D$2,$C$2,$C$3))</f>
        <v>Afternoon</v>
      </c>
      <c r="E289">
        <f>MONTH(Table1[[#This Row],[Date]])</f>
        <v>3</v>
      </c>
      <c r="F289" t="str">
        <f>VLOOKUP(Table1[[#This Row],[Month]],dctMonth[],2,FALSE)</f>
        <v>March</v>
      </c>
      <c r="G289" t="s">
        <v>19</v>
      </c>
      <c r="H289" t="s">
        <v>20</v>
      </c>
      <c r="I289" t="s">
        <v>21</v>
      </c>
      <c r="J289" t="s">
        <v>32</v>
      </c>
      <c r="K289">
        <v>46</v>
      </c>
      <c r="L289" t="str">
        <f>IF(Table1[[#This Row],[Age]]&lt;20,"&lt;20",IF(Table1[[#This Row],[Age]]&lt;=70,"20-70","&gt;70"))</f>
        <v>20-70</v>
      </c>
      <c r="M289" t="s">
        <v>23</v>
      </c>
      <c r="N289" t="s">
        <v>24</v>
      </c>
      <c r="O289">
        <v>99.83</v>
      </c>
      <c r="P289">
        <v>6</v>
      </c>
      <c r="Q289">
        <v>29.949000000000002</v>
      </c>
      <c r="R289">
        <v>628.92899999999997</v>
      </c>
      <c r="S289">
        <v>598.98</v>
      </c>
      <c r="T289">
        <v>4.7619047620000003</v>
      </c>
      <c r="U289">
        <v>29.949000000000002</v>
      </c>
      <c r="V289">
        <v>8.5</v>
      </c>
    </row>
    <row r="290" spans="1:22" x14ac:dyDescent="0.2">
      <c r="A290" t="s">
        <v>321</v>
      </c>
      <c r="B290" s="1">
        <v>43536</v>
      </c>
      <c r="C290" s="2">
        <v>0.59791666666666665</v>
      </c>
      <c r="D290" s="2" t="str">
        <f>IF(Table1[[#This Row],[Time]]&lt;$D$1,$C$1,IF(Table1[[#This Row],[Time]]&lt;$D$2,$C$2,$C$3))</f>
        <v>Afternoon</v>
      </c>
      <c r="E290">
        <f>MONTH(Table1[[#This Row],[Date]])</f>
        <v>3</v>
      </c>
      <c r="F290" t="str">
        <f>VLOOKUP(Table1[[#This Row],[Month]],dctMonth[],2,FALSE)</f>
        <v>March</v>
      </c>
      <c r="G290" t="s">
        <v>19</v>
      </c>
      <c r="H290" t="s">
        <v>20</v>
      </c>
      <c r="I290" t="s">
        <v>21</v>
      </c>
      <c r="J290" t="s">
        <v>22</v>
      </c>
      <c r="K290">
        <v>75</v>
      </c>
      <c r="L290" t="str">
        <f>IF(Table1[[#This Row],[Age]]&lt;20,"&lt;20",IF(Table1[[#This Row],[Age]]&lt;=70,"20-70","&gt;70"))</f>
        <v>&gt;70</v>
      </c>
      <c r="M290" t="s">
        <v>23</v>
      </c>
      <c r="N290" t="s">
        <v>30</v>
      </c>
      <c r="O290">
        <v>47.67</v>
      </c>
      <c r="P290">
        <v>4</v>
      </c>
      <c r="Q290">
        <v>9.5340000000000007</v>
      </c>
      <c r="R290">
        <v>200.214</v>
      </c>
      <c r="S290">
        <v>190.68</v>
      </c>
      <c r="T290">
        <v>4.7619047620000003</v>
      </c>
      <c r="U290">
        <v>9.5340000000000007</v>
      </c>
      <c r="V290">
        <v>9.1</v>
      </c>
    </row>
    <row r="291" spans="1:22" x14ac:dyDescent="0.2">
      <c r="A291" t="s">
        <v>322</v>
      </c>
      <c r="B291" s="1">
        <v>43516</v>
      </c>
      <c r="C291" s="2">
        <v>0.75069444444444444</v>
      </c>
      <c r="D291" s="2" t="str">
        <f>IF(Table1[[#This Row],[Time]]&lt;$D$1,$C$1,IF(Table1[[#This Row],[Time]]&lt;$D$2,$C$2,$C$3))</f>
        <v>Evening</v>
      </c>
      <c r="E291">
        <f>MONTH(Table1[[#This Row],[Date]])</f>
        <v>2</v>
      </c>
      <c r="F291" t="str">
        <f>VLOOKUP(Table1[[#This Row],[Month]],dctMonth[],2,FALSE)</f>
        <v>February</v>
      </c>
      <c r="G291" t="s">
        <v>43</v>
      </c>
      <c r="H291" t="s">
        <v>44</v>
      </c>
      <c r="I291" t="s">
        <v>28</v>
      </c>
      <c r="J291" t="s">
        <v>32</v>
      </c>
      <c r="K291">
        <v>28</v>
      </c>
      <c r="L291" t="str">
        <f>IF(Table1[[#This Row],[Age]]&lt;20,"&lt;20",IF(Table1[[#This Row],[Age]]&lt;=70,"20-70","&gt;70"))</f>
        <v>20-70</v>
      </c>
      <c r="M291" t="s">
        <v>23</v>
      </c>
      <c r="N291" t="s">
        <v>30</v>
      </c>
      <c r="O291">
        <v>66.680000000000007</v>
      </c>
      <c r="P291">
        <v>5</v>
      </c>
      <c r="Q291">
        <v>16.670000000000002</v>
      </c>
      <c r="R291">
        <v>350.07</v>
      </c>
      <c r="S291">
        <v>333.4</v>
      </c>
      <c r="T291">
        <v>4.7619047620000003</v>
      </c>
      <c r="U291">
        <v>16.670000000000002</v>
      </c>
      <c r="V291">
        <v>7.6</v>
      </c>
    </row>
    <row r="292" spans="1:22" x14ac:dyDescent="0.2">
      <c r="A292" t="s">
        <v>323</v>
      </c>
      <c r="B292" s="1">
        <v>43548</v>
      </c>
      <c r="C292" s="2">
        <v>0.61736111111111114</v>
      </c>
      <c r="D292" s="2" t="str">
        <f>IF(Table1[[#This Row],[Time]]&lt;$D$1,$C$1,IF(Table1[[#This Row],[Time]]&lt;$D$2,$C$2,$C$3))</f>
        <v>Afternoon</v>
      </c>
      <c r="E292">
        <f>MONTH(Table1[[#This Row],[Date]])</f>
        <v>3</v>
      </c>
      <c r="F292" t="str">
        <f>VLOOKUP(Table1[[#This Row],[Month]],dctMonth[],2,FALSE)</f>
        <v>March</v>
      </c>
      <c r="G292" t="s">
        <v>26</v>
      </c>
      <c r="H292" t="s">
        <v>27</v>
      </c>
      <c r="I292" t="s">
        <v>21</v>
      </c>
      <c r="J292" t="s">
        <v>32</v>
      </c>
      <c r="K292">
        <v>44</v>
      </c>
      <c r="L292" t="str">
        <f>IF(Table1[[#This Row],[Age]]&lt;20,"&lt;20",IF(Table1[[#This Row],[Age]]&lt;=70,"20-70","&gt;70"))</f>
        <v>20-70</v>
      </c>
      <c r="M292" t="s">
        <v>33</v>
      </c>
      <c r="N292" t="s">
        <v>30</v>
      </c>
      <c r="O292">
        <v>74.86</v>
      </c>
      <c r="P292">
        <v>1</v>
      </c>
      <c r="Q292">
        <v>3.7429999999999999</v>
      </c>
      <c r="R292">
        <v>78.602999999999994</v>
      </c>
      <c r="S292">
        <v>74.86</v>
      </c>
      <c r="T292">
        <v>4.7619047620000003</v>
      </c>
      <c r="U292">
        <v>3.7429999999999999</v>
      </c>
      <c r="V292">
        <v>6.9</v>
      </c>
    </row>
    <row r="293" spans="1:22" x14ac:dyDescent="0.2">
      <c r="A293" t="s">
        <v>324</v>
      </c>
      <c r="B293" s="1">
        <v>43496</v>
      </c>
      <c r="C293" s="2">
        <v>0.50138888888888888</v>
      </c>
      <c r="D293" s="2" t="str">
        <f>IF(Table1[[#This Row],[Time]]&lt;$D$1,$C$1,IF(Table1[[#This Row],[Time]]&lt;$D$2,$C$2,$C$3))</f>
        <v>Afternoon</v>
      </c>
      <c r="E293">
        <f>MONTH(Table1[[#This Row],[Date]])</f>
        <v>1</v>
      </c>
      <c r="F293" t="str">
        <f>VLOOKUP(Table1[[#This Row],[Month]],dctMonth[],2,FALSE)</f>
        <v>January</v>
      </c>
      <c r="G293" t="s">
        <v>26</v>
      </c>
      <c r="H293" t="s">
        <v>27</v>
      </c>
      <c r="I293" t="s">
        <v>28</v>
      </c>
      <c r="J293" t="s">
        <v>22</v>
      </c>
      <c r="K293">
        <v>50</v>
      </c>
      <c r="L293" t="str">
        <f>IF(Table1[[#This Row],[Age]]&lt;20,"&lt;20",IF(Table1[[#This Row],[Age]]&lt;=70,"20-70","&gt;70"))</f>
        <v>20-70</v>
      </c>
      <c r="M293" t="s">
        <v>37</v>
      </c>
      <c r="N293" t="s">
        <v>30</v>
      </c>
      <c r="O293">
        <v>23.75</v>
      </c>
      <c r="P293">
        <v>9</v>
      </c>
      <c r="Q293">
        <v>10.6875</v>
      </c>
      <c r="R293">
        <v>224.4375</v>
      </c>
      <c r="S293">
        <v>213.75</v>
      </c>
      <c r="T293">
        <v>4.7619047620000003</v>
      </c>
      <c r="U293">
        <v>10.6875</v>
      </c>
      <c r="V293">
        <v>9.5</v>
      </c>
    </row>
    <row r="294" spans="1:22" x14ac:dyDescent="0.2">
      <c r="A294" t="s">
        <v>325</v>
      </c>
      <c r="B294" s="1">
        <v>43490</v>
      </c>
      <c r="C294" s="2">
        <v>0.5625</v>
      </c>
      <c r="D294" s="2" t="str">
        <f>IF(Table1[[#This Row],[Time]]&lt;$D$1,$C$1,IF(Table1[[#This Row],[Time]]&lt;$D$2,$C$2,$C$3))</f>
        <v>Afternoon</v>
      </c>
      <c r="E294">
        <f>MONTH(Table1[[#This Row],[Date]])</f>
        <v>1</v>
      </c>
      <c r="F294" t="str">
        <f>VLOOKUP(Table1[[#This Row],[Month]],dctMonth[],2,FALSE)</f>
        <v>January</v>
      </c>
      <c r="G294" t="s">
        <v>43</v>
      </c>
      <c r="H294" t="s">
        <v>44</v>
      </c>
      <c r="I294" t="s">
        <v>28</v>
      </c>
      <c r="J294" t="s">
        <v>22</v>
      </c>
      <c r="K294">
        <v>28</v>
      </c>
      <c r="L294" t="str">
        <f>IF(Table1[[#This Row],[Age]]&lt;20,"&lt;20",IF(Table1[[#This Row],[Age]]&lt;=70,"20-70","&gt;70"))</f>
        <v>20-70</v>
      </c>
      <c r="M294" t="s">
        <v>45</v>
      </c>
      <c r="N294" t="s">
        <v>34</v>
      </c>
      <c r="O294">
        <v>48.51</v>
      </c>
      <c r="P294">
        <v>7</v>
      </c>
      <c r="Q294">
        <v>16.9785</v>
      </c>
      <c r="R294">
        <v>356.54849999999999</v>
      </c>
      <c r="S294">
        <v>339.57</v>
      </c>
      <c r="T294">
        <v>4.7619047620000003</v>
      </c>
      <c r="U294">
        <v>16.9785</v>
      </c>
      <c r="V294">
        <v>5.2</v>
      </c>
    </row>
    <row r="295" spans="1:22" x14ac:dyDescent="0.2">
      <c r="A295" t="s">
        <v>326</v>
      </c>
      <c r="B295" s="1">
        <v>43499</v>
      </c>
      <c r="C295" s="2">
        <v>0.60972222222222228</v>
      </c>
      <c r="D295" s="2" t="str">
        <f>IF(Table1[[#This Row],[Time]]&lt;$D$1,$C$1,IF(Table1[[#This Row],[Time]]&lt;$D$2,$C$2,$C$3))</f>
        <v>Afternoon</v>
      </c>
      <c r="E295">
        <f>MONTH(Table1[[#This Row],[Date]])</f>
        <v>2</v>
      </c>
      <c r="F295" t="str">
        <f>VLOOKUP(Table1[[#This Row],[Month]],dctMonth[],2,FALSE)</f>
        <v>February</v>
      </c>
      <c r="G295" t="s">
        <v>19</v>
      </c>
      <c r="H295" t="s">
        <v>20</v>
      </c>
      <c r="I295" t="s">
        <v>21</v>
      </c>
      <c r="J295" t="s">
        <v>22</v>
      </c>
      <c r="K295">
        <v>84</v>
      </c>
      <c r="L295" t="str">
        <f>IF(Table1[[#This Row],[Age]]&lt;20,"&lt;20",IF(Table1[[#This Row],[Age]]&lt;=70,"20-70","&gt;70"))</f>
        <v>&gt;70</v>
      </c>
      <c r="M295" t="s">
        <v>33</v>
      </c>
      <c r="N295" t="s">
        <v>30</v>
      </c>
      <c r="O295">
        <v>94.88</v>
      </c>
      <c r="P295">
        <v>7</v>
      </c>
      <c r="Q295">
        <v>33.207999999999998</v>
      </c>
      <c r="R295">
        <v>697.36800000000005</v>
      </c>
      <c r="S295">
        <v>664.16</v>
      </c>
      <c r="T295">
        <v>4.7619047620000003</v>
      </c>
      <c r="U295">
        <v>33.207999999999998</v>
      </c>
      <c r="V295">
        <v>4.2</v>
      </c>
    </row>
    <row r="296" spans="1:22" x14ac:dyDescent="0.2">
      <c r="A296" t="s">
        <v>327</v>
      </c>
      <c r="B296" s="1">
        <v>43489</v>
      </c>
      <c r="C296" s="2">
        <v>0.73402777777777772</v>
      </c>
      <c r="D296" s="2" t="str">
        <f>IF(Table1[[#This Row],[Time]]&lt;$D$1,$C$1,IF(Table1[[#This Row],[Time]]&lt;$D$2,$C$2,$C$3))</f>
        <v>Evening</v>
      </c>
      <c r="E296">
        <f>MONTH(Table1[[#This Row],[Date]])</f>
        <v>1</v>
      </c>
      <c r="F296" t="str">
        <f>VLOOKUP(Table1[[#This Row],[Month]],dctMonth[],2,FALSE)</f>
        <v>January</v>
      </c>
      <c r="G296" t="s">
        <v>43</v>
      </c>
      <c r="H296" t="s">
        <v>44</v>
      </c>
      <c r="I296" t="s">
        <v>21</v>
      </c>
      <c r="J296" t="s">
        <v>32</v>
      </c>
      <c r="K296">
        <v>34</v>
      </c>
      <c r="L296" t="str">
        <f>IF(Table1[[#This Row],[Age]]&lt;20,"&lt;20",IF(Table1[[#This Row],[Age]]&lt;=70,"20-70","&gt;70"))</f>
        <v>20-70</v>
      </c>
      <c r="M296" t="s">
        <v>29</v>
      </c>
      <c r="N296" t="s">
        <v>34</v>
      </c>
      <c r="O296">
        <v>40.299999999999997</v>
      </c>
      <c r="P296">
        <v>10</v>
      </c>
      <c r="Q296">
        <v>20.149999999999999</v>
      </c>
      <c r="R296">
        <v>423.15</v>
      </c>
      <c r="S296">
        <v>403</v>
      </c>
      <c r="T296">
        <v>4.7619047620000003</v>
      </c>
      <c r="U296">
        <v>20.149999999999999</v>
      </c>
      <c r="V296">
        <v>7</v>
      </c>
    </row>
    <row r="297" spans="1:22" x14ac:dyDescent="0.2">
      <c r="A297" t="s">
        <v>328</v>
      </c>
      <c r="B297" s="1">
        <v>43538</v>
      </c>
      <c r="C297" s="2">
        <v>0.72222222222222221</v>
      </c>
      <c r="D297" s="2" t="str">
        <f>IF(Table1[[#This Row],[Time]]&lt;$D$1,$C$1,IF(Table1[[#This Row],[Time]]&lt;$D$2,$C$2,$C$3))</f>
        <v>Evening</v>
      </c>
      <c r="E297">
        <f>MONTH(Table1[[#This Row],[Date]])</f>
        <v>3</v>
      </c>
      <c r="F297" t="str">
        <f>VLOOKUP(Table1[[#This Row],[Month]],dctMonth[],2,FALSE)</f>
        <v>March</v>
      </c>
      <c r="G297" t="s">
        <v>26</v>
      </c>
      <c r="H297" t="s">
        <v>27</v>
      </c>
      <c r="I297" t="s">
        <v>28</v>
      </c>
      <c r="J297" t="s">
        <v>32</v>
      </c>
      <c r="K297">
        <v>35</v>
      </c>
      <c r="L297" t="str">
        <f>IF(Table1[[#This Row],[Age]]&lt;20,"&lt;20",IF(Table1[[#This Row],[Age]]&lt;=70,"20-70","&gt;70"))</f>
        <v>20-70</v>
      </c>
      <c r="M297" t="s">
        <v>29</v>
      </c>
      <c r="N297" t="s">
        <v>24</v>
      </c>
      <c r="O297">
        <v>27.85</v>
      </c>
      <c r="P297">
        <v>7</v>
      </c>
      <c r="Q297">
        <v>9.7475000000000005</v>
      </c>
      <c r="R297">
        <v>204.69749999999999</v>
      </c>
      <c r="S297">
        <v>194.95</v>
      </c>
      <c r="T297">
        <v>4.7619047620000003</v>
      </c>
      <c r="U297">
        <v>9.7475000000000005</v>
      </c>
      <c r="V297">
        <v>6</v>
      </c>
    </row>
    <row r="298" spans="1:22" x14ac:dyDescent="0.2">
      <c r="A298" t="s">
        <v>329</v>
      </c>
      <c r="B298" s="1">
        <v>43514</v>
      </c>
      <c r="C298" s="2">
        <v>0.85347222222222219</v>
      </c>
      <c r="D298" s="2" t="str">
        <f>IF(Table1[[#This Row],[Time]]&lt;$D$1,$C$1,IF(Table1[[#This Row],[Time]]&lt;$D$2,$C$2,$C$3))</f>
        <v>Evening</v>
      </c>
      <c r="E298">
        <f>MONTH(Table1[[#This Row],[Date]])</f>
        <v>2</v>
      </c>
      <c r="F298" t="str">
        <f>VLOOKUP(Table1[[#This Row],[Month]],dctMonth[],2,FALSE)</f>
        <v>February</v>
      </c>
      <c r="G298" t="s">
        <v>19</v>
      </c>
      <c r="H298" t="s">
        <v>20</v>
      </c>
      <c r="I298" t="s">
        <v>21</v>
      </c>
      <c r="J298" t="s">
        <v>22</v>
      </c>
      <c r="K298">
        <v>44</v>
      </c>
      <c r="L298" t="str">
        <f>IF(Table1[[#This Row],[Age]]&lt;20,"&lt;20",IF(Table1[[#This Row],[Age]]&lt;=70,"20-70","&gt;70"))</f>
        <v>20-70</v>
      </c>
      <c r="M298" t="s">
        <v>29</v>
      </c>
      <c r="N298" t="s">
        <v>30</v>
      </c>
      <c r="O298">
        <v>62.48</v>
      </c>
      <c r="P298">
        <v>1</v>
      </c>
      <c r="Q298">
        <v>3.1240000000000001</v>
      </c>
      <c r="R298">
        <v>65.603999999999999</v>
      </c>
      <c r="S298">
        <v>62.48</v>
      </c>
      <c r="T298">
        <v>4.7619047620000003</v>
      </c>
      <c r="U298">
        <v>3.1240000000000001</v>
      </c>
      <c r="V298">
        <v>4.7</v>
      </c>
    </row>
    <row r="299" spans="1:22" x14ac:dyDescent="0.2">
      <c r="A299" t="s">
        <v>330</v>
      </c>
      <c r="B299" s="1">
        <v>43486</v>
      </c>
      <c r="C299" s="2">
        <v>0.41666666666666669</v>
      </c>
      <c r="D299" s="2" t="str">
        <f>IF(Table1[[#This Row],[Time]]&lt;$D$1,$C$1,IF(Table1[[#This Row],[Time]]&lt;$D$2,$C$2,$C$3))</f>
        <v>Morning</v>
      </c>
      <c r="E299">
        <f>MONTH(Table1[[#This Row],[Date]])</f>
        <v>1</v>
      </c>
      <c r="F299" t="str">
        <f>VLOOKUP(Table1[[#This Row],[Month]],dctMonth[],2,FALSE)</f>
        <v>January</v>
      </c>
      <c r="G299" t="s">
        <v>19</v>
      </c>
      <c r="H299" t="s">
        <v>20</v>
      </c>
      <c r="I299" t="s">
        <v>21</v>
      </c>
      <c r="J299" t="s">
        <v>22</v>
      </c>
      <c r="K299">
        <v>88</v>
      </c>
      <c r="L299" t="str">
        <f>IF(Table1[[#This Row],[Age]]&lt;20,"&lt;20",IF(Table1[[#This Row],[Age]]&lt;=70,"20-70","&gt;70"))</f>
        <v>&gt;70</v>
      </c>
      <c r="M299" t="s">
        <v>45</v>
      </c>
      <c r="N299" t="s">
        <v>30</v>
      </c>
      <c r="O299">
        <v>36.36</v>
      </c>
      <c r="P299">
        <v>2</v>
      </c>
      <c r="Q299">
        <v>3.6360000000000001</v>
      </c>
      <c r="R299">
        <v>76.355999999999995</v>
      </c>
      <c r="S299">
        <v>72.72</v>
      </c>
      <c r="T299">
        <v>4.7619047620000003</v>
      </c>
      <c r="U299">
        <v>3.6360000000000001</v>
      </c>
      <c r="V299">
        <v>7.1</v>
      </c>
    </row>
    <row r="300" spans="1:22" x14ac:dyDescent="0.2">
      <c r="A300" t="s">
        <v>331</v>
      </c>
      <c r="B300" s="1">
        <v>43537</v>
      </c>
      <c r="C300" s="2">
        <v>0.49027777777777776</v>
      </c>
      <c r="D300" s="2" t="str">
        <f>IF(Table1[[#This Row],[Time]]&lt;$D$1,$C$1,IF(Table1[[#This Row],[Time]]&lt;$D$2,$C$2,$C$3))</f>
        <v>Morning</v>
      </c>
      <c r="E300">
        <f>MONTH(Table1[[#This Row],[Date]])</f>
        <v>3</v>
      </c>
      <c r="F300" t="str">
        <f>VLOOKUP(Table1[[#This Row],[Month]],dctMonth[],2,FALSE)</f>
        <v>March</v>
      </c>
      <c r="G300" t="s">
        <v>43</v>
      </c>
      <c r="H300" t="s">
        <v>44</v>
      </c>
      <c r="I300" t="s">
        <v>28</v>
      </c>
      <c r="J300" t="s">
        <v>32</v>
      </c>
      <c r="K300">
        <v>29</v>
      </c>
      <c r="L300" t="str">
        <f>IF(Table1[[#This Row],[Age]]&lt;20,"&lt;20",IF(Table1[[#This Row],[Age]]&lt;=70,"20-70","&gt;70"))</f>
        <v>20-70</v>
      </c>
      <c r="M300" t="s">
        <v>23</v>
      </c>
      <c r="N300" t="s">
        <v>24</v>
      </c>
      <c r="O300">
        <v>18.11</v>
      </c>
      <c r="P300">
        <v>10</v>
      </c>
      <c r="Q300">
        <v>9.0549999999999997</v>
      </c>
      <c r="R300">
        <v>190.155</v>
      </c>
      <c r="S300">
        <v>181.1</v>
      </c>
      <c r="T300">
        <v>4.7619047620000003</v>
      </c>
      <c r="U300">
        <v>9.0549999999999997</v>
      </c>
      <c r="V300">
        <v>5.9</v>
      </c>
    </row>
    <row r="301" spans="1:22" x14ac:dyDescent="0.2">
      <c r="A301" t="s">
        <v>332</v>
      </c>
      <c r="B301" s="1">
        <v>43527</v>
      </c>
      <c r="C301" s="2">
        <v>0.5708333333333333</v>
      </c>
      <c r="D301" s="2" t="str">
        <f>IF(Table1[[#This Row],[Time]]&lt;$D$1,$C$1,IF(Table1[[#This Row],[Time]]&lt;$D$2,$C$2,$C$3))</f>
        <v>Afternoon</v>
      </c>
      <c r="E301">
        <f>MONTH(Table1[[#This Row],[Date]])</f>
        <v>3</v>
      </c>
      <c r="F301" t="str">
        <f>VLOOKUP(Table1[[#This Row],[Month]],dctMonth[],2,FALSE)</f>
        <v>March</v>
      </c>
      <c r="G301" t="s">
        <v>26</v>
      </c>
      <c r="H301" t="s">
        <v>27</v>
      </c>
      <c r="I301" t="s">
        <v>21</v>
      </c>
      <c r="J301" t="s">
        <v>22</v>
      </c>
      <c r="K301">
        <v>32</v>
      </c>
      <c r="L301" t="str">
        <f>IF(Table1[[#This Row],[Age]]&lt;20,"&lt;20",IF(Table1[[#This Row],[Age]]&lt;=70,"20-70","&gt;70"))</f>
        <v>20-70</v>
      </c>
      <c r="M301" t="s">
        <v>29</v>
      </c>
      <c r="N301" t="s">
        <v>30</v>
      </c>
      <c r="O301">
        <v>51.92</v>
      </c>
      <c r="P301">
        <v>5</v>
      </c>
      <c r="Q301">
        <v>12.98</v>
      </c>
      <c r="R301">
        <v>272.58</v>
      </c>
      <c r="S301">
        <v>259.60000000000002</v>
      </c>
      <c r="T301">
        <v>4.7619047620000003</v>
      </c>
      <c r="U301">
        <v>12.98</v>
      </c>
      <c r="V301">
        <v>7.5</v>
      </c>
    </row>
    <row r="302" spans="1:22" x14ac:dyDescent="0.2">
      <c r="A302" t="s">
        <v>333</v>
      </c>
      <c r="B302" s="1">
        <v>43553</v>
      </c>
      <c r="C302" s="2">
        <v>0.61388888888888893</v>
      </c>
      <c r="D302" s="2" t="str">
        <f>IF(Table1[[#This Row],[Time]]&lt;$D$1,$C$1,IF(Table1[[#This Row],[Time]]&lt;$D$2,$C$2,$C$3))</f>
        <v>Afternoon</v>
      </c>
      <c r="E302">
        <f>MONTH(Table1[[#This Row],[Date]])</f>
        <v>3</v>
      </c>
      <c r="F302" t="str">
        <f>VLOOKUP(Table1[[#This Row],[Month]],dctMonth[],2,FALSE)</f>
        <v>March</v>
      </c>
      <c r="G302" t="s">
        <v>26</v>
      </c>
      <c r="H302" t="s">
        <v>27</v>
      </c>
      <c r="I302" t="s">
        <v>28</v>
      </c>
      <c r="J302" t="s">
        <v>32</v>
      </c>
      <c r="K302">
        <v>66</v>
      </c>
      <c r="L302" t="str">
        <f>IF(Table1[[#This Row],[Age]]&lt;20,"&lt;20",IF(Table1[[#This Row],[Age]]&lt;=70,"20-70","&gt;70"))</f>
        <v>20-70</v>
      </c>
      <c r="M302" t="s">
        <v>29</v>
      </c>
      <c r="N302" t="s">
        <v>30</v>
      </c>
      <c r="O302">
        <v>28.84</v>
      </c>
      <c r="P302">
        <v>4</v>
      </c>
      <c r="Q302">
        <v>5.7679999999999998</v>
      </c>
      <c r="R302">
        <v>121.128</v>
      </c>
      <c r="S302">
        <v>115.36</v>
      </c>
      <c r="T302">
        <v>4.7619047620000003</v>
      </c>
      <c r="U302">
        <v>5.7679999999999998</v>
      </c>
      <c r="V302">
        <v>6.4</v>
      </c>
    </row>
    <row r="303" spans="1:22" x14ac:dyDescent="0.2">
      <c r="A303" t="s">
        <v>334</v>
      </c>
      <c r="B303" s="1">
        <v>43475</v>
      </c>
      <c r="C303" s="2">
        <v>0.59444444444444444</v>
      </c>
      <c r="D303" s="2" t="str">
        <f>IF(Table1[[#This Row],[Time]]&lt;$D$1,$C$1,IF(Table1[[#This Row],[Time]]&lt;$D$2,$C$2,$C$3))</f>
        <v>Afternoon</v>
      </c>
      <c r="E303">
        <f>MONTH(Table1[[#This Row],[Date]])</f>
        <v>1</v>
      </c>
      <c r="F303" t="str">
        <f>VLOOKUP(Table1[[#This Row],[Month]],dctMonth[],2,FALSE)</f>
        <v>January</v>
      </c>
      <c r="G303" t="s">
        <v>19</v>
      </c>
      <c r="H303" t="s">
        <v>20</v>
      </c>
      <c r="I303" t="s">
        <v>21</v>
      </c>
      <c r="J303" t="s">
        <v>32</v>
      </c>
      <c r="K303">
        <v>46</v>
      </c>
      <c r="L303" t="str">
        <f>IF(Table1[[#This Row],[Age]]&lt;20,"&lt;20",IF(Table1[[#This Row],[Age]]&lt;=70,"20-70","&gt;70"))</f>
        <v>20-70</v>
      </c>
      <c r="M303" t="s">
        <v>33</v>
      </c>
      <c r="N303" t="s">
        <v>24</v>
      </c>
      <c r="O303">
        <v>78.38</v>
      </c>
      <c r="P303">
        <v>6</v>
      </c>
      <c r="Q303">
        <v>23.513999999999999</v>
      </c>
      <c r="R303">
        <v>493.79399999999998</v>
      </c>
      <c r="S303">
        <v>470.28</v>
      </c>
      <c r="T303">
        <v>4.7619047620000003</v>
      </c>
      <c r="U303">
        <v>23.513999999999999</v>
      </c>
      <c r="V303">
        <v>5.8</v>
      </c>
    </row>
    <row r="304" spans="1:22" x14ac:dyDescent="0.2">
      <c r="A304" t="s">
        <v>335</v>
      </c>
      <c r="B304" s="1">
        <v>43490</v>
      </c>
      <c r="C304" s="2">
        <v>0.66249999999999998</v>
      </c>
      <c r="D304" s="2" t="str">
        <f>IF(Table1[[#This Row],[Time]]&lt;$D$1,$C$1,IF(Table1[[#This Row],[Time]]&lt;$D$2,$C$2,$C$3))</f>
        <v>Afternoon</v>
      </c>
      <c r="E304">
        <f>MONTH(Table1[[#This Row],[Date]])</f>
        <v>1</v>
      </c>
      <c r="F304" t="str">
        <f>VLOOKUP(Table1[[#This Row],[Month]],dctMonth[],2,FALSE)</f>
        <v>January</v>
      </c>
      <c r="G304" t="s">
        <v>19</v>
      </c>
      <c r="H304" t="s">
        <v>20</v>
      </c>
      <c r="I304" t="s">
        <v>21</v>
      </c>
      <c r="J304" t="s">
        <v>32</v>
      </c>
      <c r="K304">
        <v>44</v>
      </c>
      <c r="L304" t="str">
        <f>IF(Table1[[#This Row],[Age]]&lt;20,"&lt;20",IF(Table1[[#This Row],[Age]]&lt;=70,"20-70","&gt;70"))</f>
        <v>20-70</v>
      </c>
      <c r="M304" t="s">
        <v>33</v>
      </c>
      <c r="N304" t="s">
        <v>30</v>
      </c>
      <c r="O304">
        <v>60.01</v>
      </c>
      <c r="P304">
        <v>4</v>
      </c>
      <c r="Q304">
        <v>12.002000000000001</v>
      </c>
      <c r="R304">
        <v>252.042</v>
      </c>
      <c r="S304">
        <v>240.04</v>
      </c>
      <c r="T304">
        <v>4.7619047620000003</v>
      </c>
      <c r="U304">
        <v>12.002000000000001</v>
      </c>
      <c r="V304">
        <v>4.5</v>
      </c>
    </row>
    <row r="305" spans="1:22" x14ac:dyDescent="0.2">
      <c r="A305" t="s">
        <v>336</v>
      </c>
      <c r="B305" s="1">
        <v>43484</v>
      </c>
      <c r="C305" s="2">
        <v>0.43125000000000002</v>
      </c>
      <c r="D305" s="2" t="str">
        <f>IF(Table1[[#This Row],[Time]]&lt;$D$1,$C$1,IF(Table1[[#This Row],[Time]]&lt;$D$2,$C$2,$C$3))</f>
        <v>Morning</v>
      </c>
      <c r="E305">
        <f>MONTH(Table1[[#This Row],[Date]])</f>
        <v>1</v>
      </c>
      <c r="F305" t="str">
        <f>VLOOKUP(Table1[[#This Row],[Month]],dctMonth[],2,FALSE)</f>
        <v>January</v>
      </c>
      <c r="G305" t="s">
        <v>26</v>
      </c>
      <c r="H305" t="s">
        <v>27</v>
      </c>
      <c r="I305" t="s">
        <v>21</v>
      </c>
      <c r="J305" t="s">
        <v>22</v>
      </c>
      <c r="K305">
        <v>56</v>
      </c>
      <c r="L305" t="str">
        <f>IF(Table1[[#This Row],[Age]]&lt;20,"&lt;20",IF(Table1[[#This Row],[Age]]&lt;=70,"20-70","&gt;70"))</f>
        <v>20-70</v>
      </c>
      <c r="M305" t="s">
        <v>33</v>
      </c>
      <c r="N305" t="s">
        <v>30</v>
      </c>
      <c r="O305">
        <v>88.61</v>
      </c>
      <c r="P305">
        <v>1</v>
      </c>
      <c r="Q305">
        <v>4.4305000000000003</v>
      </c>
      <c r="R305">
        <v>93.040499999999994</v>
      </c>
      <c r="S305">
        <v>88.61</v>
      </c>
      <c r="T305">
        <v>4.7619047620000003</v>
      </c>
      <c r="U305">
        <v>4.4305000000000003</v>
      </c>
      <c r="V305">
        <v>7.7</v>
      </c>
    </row>
    <row r="306" spans="1:22" x14ac:dyDescent="0.2">
      <c r="A306" t="s">
        <v>337</v>
      </c>
      <c r="B306" s="1">
        <v>43467</v>
      </c>
      <c r="C306" s="2">
        <v>0.75624999999999998</v>
      </c>
      <c r="D306" s="2" t="str">
        <f>IF(Table1[[#This Row],[Time]]&lt;$D$1,$C$1,IF(Table1[[#This Row],[Time]]&lt;$D$2,$C$2,$C$3))</f>
        <v>Evening</v>
      </c>
      <c r="E306">
        <f>MONTH(Table1[[#This Row],[Date]])</f>
        <v>1</v>
      </c>
      <c r="F306" t="str">
        <f>VLOOKUP(Table1[[#This Row],[Month]],dctMonth[],2,FALSE)</f>
        <v>January</v>
      </c>
      <c r="G306" t="s">
        <v>26</v>
      </c>
      <c r="H306" t="s">
        <v>27</v>
      </c>
      <c r="I306" t="s">
        <v>28</v>
      </c>
      <c r="J306" t="s">
        <v>32</v>
      </c>
      <c r="K306">
        <v>37</v>
      </c>
      <c r="L306" t="str">
        <f>IF(Table1[[#This Row],[Age]]&lt;20,"&lt;20",IF(Table1[[#This Row],[Age]]&lt;=70,"20-70","&gt;70"))</f>
        <v>20-70</v>
      </c>
      <c r="M306" t="s">
        <v>47</v>
      </c>
      <c r="N306" t="s">
        <v>34</v>
      </c>
      <c r="O306">
        <v>99.82</v>
      </c>
      <c r="P306">
        <v>2</v>
      </c>
      <c r="Q306">
        <v>9.9819999999999993</v>
      </c>
      <c r="R306">
        <v>209.62200000000001</v>
      </c>
      <c r="S306">
        <v>199.64</v>
      </c>
      <c r="T306">
        <v>4.7619047620000003</v>
      </c>
      <c r="U306">
        <v>9.9819999999999993</v>
      </c>
      <c r="V306">
        <v>6.7</v>
      </c>
    </row>
    <row r="307" spans="1:22" x14ac:dyDescent="0.2">
      <c r="A307" t="s">
        <v>338</v>
      </c>
      <c r="B307" s="1">
        <v>43536</v>
      </c>
      <c r="C307" s="2">
        <v>0.69861111111111107</v>
      </c>
      <c r="D307" s="2" t="str">
        <f>IF(Table1[[#This Row],[Time]]&lt;$D$1,$C$1,IF(Table1[[#This Row],[Time]]&lt;$D$2,$C$2,$C$3))</f>
        <v>Afternoon</v>
      </c>
      <c r="E307">
        <f>MONTH(Table1[[#This Row],[Date]])</f>
        <v>3</v>
      </c>
      <c r="F307" t="str">
        <f>VLOOKUP(Table1[[#This Row],[Month]],dctMonth[],2,FALSE)</f>
        <v>March</v>
      </c>
      <c r="G307" t="s">
        <v>43</v>
      </c>
      <c r="H307" t="s">
        <v>44</v>
      </c>
      <c r="I307" t="s">
        <v>21</v>
      </c>
      <c r="J307" t="s">
        <v>32</v>
      </c>
      <c r="K307">
        <v>49</v>
      </c>
      <c r="L307" t="str">
        <f>IF(Table1[[#This Row],[Age]]&lt;20,"&lt;20",IF(Table1[[#This Row],[Age]]&lt;=70,"20-70","&gt;70"))</f>
        <v>20-70</v>
      </c>
      <c r="M307" t="s">
        <v>23</v>
      </c>
      <c r="N307" t="s">
        <v>34</v>
      </c>
      <c r="O307">
        <v>39.01</v>
      </c>
      <c r="P307">
        <v>1</v>
      </c>
      <c r="Q307">
        <v>1.9504999999999999</v>
      </c>
      <c r="R307">
        <v>40.960500000000003</v>
      </c>
      <c r="S307">
        <v>39.01</v>
      </c>
      <c r="T307">
        <v>4.7619047620000003</v>
      </c>
      <c r="U307">
        <v>1.9504999999999999</v>
      </c>
      <c r="V307">
        <v>4.7</v>
      </c>
    </row>
    <row r="308" spans="1:22" x14ac:dyDescent="0.2">
      <c r="A308" t="s">
        <v>339</v>
      </c>
      <c r="B308" s="1">
        <v>43521</v>
      </c>
      <c r="C308" s="2">
        <v>0.64652777777777781</v>
      </c>
      <c r="D308" s="2" t="str">
        <f>IF(Table1[[#This Row],[Time]]&lt;$D$1,$C$1,IF(Table1[[#This Row],[Time]]&lt;$D$2,$C$2,$C$3))</f>
        <v>Afternoon</v>
      </c>
      <c r="E308">
        <f>MONTH(Table1[[#This Row],[Date]])</f>
        <v>2</v>
      </c>
      <c r="F308" t="str">
        <f>VLOOKUP(Table1[[#This Row],[Month]],dctMonth[],2,FALSE)</f>
        <v>February</v>
      </c>
      <c r="G308" t="s">
        <v>26</v>
      </c>
      <c r="H308" t="s">
        <v>27</v>
      </c>
      <c r="I308" t="s">
        <v>28</v>
      </c>
      <c r="J308" t="s">
        <v>32</v>
      </c>
      <c r="K308">
        <v>20</v>
      </c>
      <c r="L308" t="str">
        <f>IF(Table1[[#This Row],[Age]]&lt;20,"&lt;20",IF(Table1[[#This Row],[Age]]&lt;=70,"20-70","&gt;70"))</f>
        <v>20-70</v>
      </c>
      <c r="M308" t="s">
        <v>45</v>
      </c>
      <c r="N308" t="s">
        <v>30</v>
      </c>
      <c r="O308">
        <v>48.61</v>
      </c>
      <c r="P308">
        <v>1</v>
      </c>
      <c r="Q308">
        <v>2.4304999999999999</v>
      </c>
      <c r="R308">
        <v>51.040500000000002</v>
      </c>
      <c r="S308">
        <v>48.61</v>
      </c>
      <c r="T308">
        <v>4.7619047620000003</v>
      </c>
      <c r="U308">
        <v>2.4304999999999999</v>
      </c>
      <c r="V308">
        <v>4.4000000000000004</v>
      </c>
    </row>
    <row r="309" spans="1:22" x14ac:dyDescent="0.2">
      <c r="A309" t="s">
        <v>340</v>
      </c>
      <c r="B309" s="1">
        <v>43542</v>
      </c>
      <c r="C309" s="2">
        <v>0.71875</v>
      </c>
      <c r="D309" s="2" t="str">
        <f>IF(Table1[[#This Row],[Time]]&lt;$D$1,$C$1,IF(Table1[[#This Row],[Time]]&lt;$D$2,$C$2,$C$3))</f>
        <v>Evening</v>
      </c>
      <c r="E309">
        <f>MONTH(Table1[[#This Row],[Date]])</f>
        <v>3</v>
      </c>
      <c r="F309" t="str">
        <f>VLOOKUP(Table1[[#This Row],[Month]],dctMonth[],2,FALSE)</f>
        <v>March</v>
      </c>
      <c r="G309" t="s">
        <v>19</v>
      </c>
      <c r="H309" t="s">
        <v>20</v>
      </c>
      <c r="I309" t="s">
        <v>28</v>
      </c>
      <c r="J309" t="s">
        <v>22</v>
      </c>
      <c r="K309">
        <v>62</v>
      </c>
      <c r="L309" t="str">
        <f>IF(Table1[[#This Row],[Age]]&lt;20,"&lt;20",IF(Table1[[#This Row],[Age]]&lt;=70,"20-70","&gt;70"))</f>
        <v>20-70</v>
      </c>
      <c r="M309" t="s">
        <v>29</v>
      </c>
      <c r="N309" t="s">
        <v>34</v>
      </c>
      <c r="O309">
        <v>51.19</v>
      </c>
      <c r="P309">
        <v>4</v>
      </c>
      <c r="Q309">
        <v>10.238</v>
      </c>
      <c r="R309">
        <v>214.99799999999999</v>
      </c>
      <c r="S309">
        <v>204.76</v>
      </c>
      <c r="T309">
        <v>4.7619047620000003</v>
      </c>
      <c r="U309">
        <v>10.238</v>
      </c>
      <c r="V309">
        <v>4.7</v>
      </c>
    </row>
    <row r="310" spans="1:22" x14ac:dyDescent="0.2">
      <c r="A310" t="s">
        <v>341</v>
      </c>
      <c r="B310" s="1">
        <v>43519</v>
      </c>
      <c r="C310" s="2">
        <v>0.52013888888888893</v>
      </c>
      <c r="D310" s="2" t="str">
        <f>IF(Table1[[#This Row],[Time]]&lt;$D$1,$C$1,IF(Table1[[#This Row],[Time]]&lt;$D$2,$C$2,$C$3))</f>
        <v>Afternoon</v>
      </c>
      <c r="E310">
        <f>MONTH(Table1[[#This Row],[Date]])</f>
        <v>2</v>
      </c>
      <c r="F310" t="str">
        <f>VLOOKUP(Table1[[#This Row],[Month]],dctMonth[],2,FALSE)</f>
        <v>February</v>
      </c>
      <c r="G310" t="s">
        <v>43</v>
      </c>
      <c r="H310" t="s">
        <v>44</v>
      </c>
      <c r="I310" t="s">
        <v>28</v>
      </c>
      <c r="J310" t="s">
        <v>22</v>
      </c>
      <c r="K310">
        <v>33</v>
      </c>
      <c r="L310" t="str">
        <f>IF(Table1[[#This Row],[Age]]&lt;20,"&lt;20",IF(Table1[[#This Row],[Age]]&lt;=70,"20-70","&gt;70"))</f>
        <v>20-70</v>
      </c>
      <c r="M310" t="s">
        <v>29</v>
      </c>
      <c r="N310" t="s">
        <v>30</v>
      </c>
      <c r="O310">
        <v>14.96</v>
      </c>
      <c r="P310">
        <v>8</v>
      </c>
      <c r="Q310">
        <v>5.984</v>
      </c>
      <c r="R310">
        <v>125.664</v>
      </c>
      <c r="S310">
        <v>119.68</v>
      </c>
      <c r="T310">
        <v>4.7619047620000003</v>
      </c>
      <c r="U310">
        <v>5.984</v>
      </c>
      <c r="V310">
        <v>8.6</v>
      </c>
    </row>
    <row r="311" spans="1:22" x14ac:dyDescent="0.2">
      <c r="A311" t="s">
        <v>342</v>
      </c>
      <c r="B311" s="1">
        <v>43550</v>
      </c>
      <c r="C311" s="2">
        <v>0.84305555555555556</v>
      </c>
      <c r="D311" s="2" t="str">
        <f>IF(Table1[[#This Row],[Time]]&lt;$D$1,$C$1,IF(Table1[[#This Row],[Time]]&lt;$D$2,$C$2,$C$3))</f>
        <v>Evening</v>
      </c>
      <c r="E311">
        <f>MONTH(Table1[[#This Row],[Date]])</f>
        <v>3</v>
      </c>
      <c r="F311" t="str">
        <f>VLOOKUP(Table1[[#This Row],[Month]],dctMonth[],2,FALSE)</f>
        <v>March</v>
      </c>
      <c r="G311" t="s">
        <v>19</v>
      </c>
      <c r="H311" t="s">
        <v>20</v>
      </c>
      <c r="I311" t="s">
        <v>21</v>
      </c>
      <c r="J311" t="s">
        <v>32</v>
      </c>
      <c r="K311">
        <v>42</v>
      </c>
      <c r="L311" t="str">
        <f>IF(Table1[[#This Row],[Age]]&lt;20,"&lt;20",IF(Table1[[#This Row],[Age]]&lt;=70,"20-70","&gt;70"))</f>
        <v>20-70</v>
      </c>
      <c r="M311" t="s">
        <v>29</v>
      </c>
      <c r="N311" t="s">
        <v>24</v>
      </c>
      <c r="O311">
        <v>72.2</v>
      </c>
      <c r="P311">
        <v>7</v>
      </c>
      <c r="Q311">
        <v>25.27</v>
      </c>
      <c r="R311">
        <v>530.66999999999996</v>
      </c>
      <c r="S311">
        <v>505.4</v>
      </c>
      <c r="T311">
        <v>4.7619047620000003</v>
      </c>
      <c r="U311">
        <v>25.27</v>
      </c>
      <c r="V311">
        <v>4.3</v>
      </c>
    </row>
    <row r="312" spans="1:22" x14ac:dyDescent="0.2">
      <c r="A312" t="s">
        <v>343</v>
      </c>
      <c r="B312" s="1">
        <v>43554</v>
      </c>
      <c r="C312" s="2">
        <v>0.55694444444444446</v>
      </c>
      <c r="D312" s="2" t="str">
        <f>IF(Table1[[#This Row],[Time]]&lt;$D$1,$C$1,IF(Table1[[#This Row],[Time]]&lt;$D$2,$C$2,$C$3))</f>
        <v>Afternoon</v>
      </c>
      <c r="E312">
        <f>MONTH(Table1[[#This Row],[Date]])</f>
        <v>3</v>
      </c>
      <c r="F312" t="str">
        <f>VLOOKUP(Table1[[#This Row],[Month]],dctMonth[],2,FALSE)</f>
        <v>March</v>
      </c>
      <c r="G312" t="s">
        <v>19</v>
      </c>
      <c r="H312" t="s">
        <v>20</v>
      </c>
      <c r="I312" t="s">
        <v>28</v>
      </c>
      <c r="J312" t="s">
        <v>22</v>
      </c>
      <c r="K312">
        <v>76</v>
      </c>
      <c r="L312" t="str">
        <f>IF(Table1[[#This Row],[Age]]&lt;20,"&lt;20",IF(Table1[[#This Row],[Age]]&lt;=70,"20-70","&gt;70"))</f>
        <v>&gt;70</v>
      </c>
      <c r="M312" t="s">
        <v>37</v>
      </c>
      <c r="N312" t="s">
        <v>30</v>
      </c>
      <c r="O312">
        <v>40.229999999999997</v>
      </c>
      <c r="P312">
        <v>7</v>
      </c>
      <c r="Q312">
        <v>14.080500000000001</v>
      </c>
      <c r="R312">
        <v>295.69049999999999</v>
      </c>
      <c r="S312">
        <v>281.61</v>
      </c>
      <c r="T312">
        <v>4.7619047620000003</v>
      </c>
      <c r="U312">
        <v>14.080500000000001</v>
      </c>
      <c r="V312">
        <v>9.6</v>
      </c>
    </row>
    <row r="313" spans="1:22" x14ac:dyDescent="0.2">
      <c r="A313" t="s">
        <v>344</v>
      </c>
      <c r="B313" s="1">
        <v>43513</v>
      </c>
      <c r="C313" s="2">
        <v>0.71458333333333335</v>
      </c>
      <c r="D313" s="2" t="str">
        <f>IF(Table1[[#This Row],[Time]]&lt;$D$1,$C$1,IF(Table1[[#This Row],[Time]]&lt;$D$2,$C$2,$C$3))</f>
        <v>Evening</v>
      </c>
      <c r="E313">
        <f>MONTH(Table1[[#This Row],[Date]])</f>
        <v>2</v>
      </c>
      <c r="F313" t="str">
        <f>VLOOKUP(Table1[[#This Row],[Month]],dctMonth[],2,FALSE)</f>
        <v>February</v>
      </c>
      <c r="G313" t="s">
        <v>19</v>
      </c>
      <c r="H313" t="s">
        <v>20</v>
      </c>
      <c r="I313" t="s">
        <v>21</v>
      </c>
      <c r="J313" t="s">
        <v>22</v>
      </c>
      <c r="K313">
        <v>80</v>
      </c>
      <c r="L313" t="str">
        <f>IF(Table1[[#This Row],[Age]]&lt;20,"&lt;20",IF(Table1[[#This Row],[Age]]&lt;=70,"20-70","&gt;70"))</f>
        <v>&gt;70</v>
      </c>
      <c r="M313" t="s">
        <v>33</v>
      </c>
      <c r="N313" t="s">
        <v>30</v>
      </c>
      <c r="O313">
        <v>88.79</v>
      </c>
      <c r="P313">
        <v>8</v>
      </c>
      <c r="Q313">
        <v>35.515999999999998</v>
      </c>
      <c r="R313">
        <v>745.83600000000001</v>
      </c>
      <c r="S313">
        <v>710.32</v>
      </c>
      <c r="T313">
        <v>4.7619047620000003</v>
      </c>
      <c r="U313">
        <v>35.515999999999998</v>
      </c>
      <c r="V313">
        <v>4.0999999999999996</v>
      </c>
    </row>
    <row r="314" spans="1:22" x14ac:dyDescent="0.2">
      <c r="A314" t="s">
        <v>345</v>
      </c>
      <c r="B314" s="1">
        <v>43545</v>
      </c>
      <c r="C314" s="2">
        <v>0.44444444444444442</v>
      </c>
      <c r="D314" s="2" t="str">
        <f>IF(Table1[[#This Row],[Time]]&lt;$D$1,$C$1,IF(Table1[[#This Row],[Time]]&lt;$D$2,$C$2,$C$3))</f>
        <v>Morning</v>
      </c>
      <c r="E314">
        <f>MONTH(Table1[[#This Row],[Date]])</f>
        <v>3</v>
      </c>
      <c r="F314" t="str">
        <f>VLOOKUP(Table1[[#This Row],[Month]],dctMonth[],2,FALSE)</f>
        <v>March</v>
      </c>
      <c r="G314" t="s">
        <v>19</v>
      </c>
      <c r="H314" t="s">
        <v>20</v>
      </c>
      <c r="I314" t="s">
        <v>21</v>
      </c>
      <c r="J314" t="s">
        <v>22</v>
      </c>
      <c r="K314">
        <v>80</v>
      </c>
      <c r="L314" t="str">
        <f>IF(Table1[[#This Row],[Age]]&lt;20,"&lt;20",IF(Table1[[#This Row],[Age]]&lt;=70,"20-70","&gt;70"))</f>
        <v>&gt;70</v>
      </c>
      <c r="M314" t="s">
        <v>29</v>
      </c>
      <c r="N314" t="s">
        <v>24</v>
      </c>
      <c r="O314">
        <v>26.48</v>
      </c>
      <c r="P314">
        <v>3</v>
      </c>
      <c r="Q314">
        <v>3.972</v>
      </c>
      <c r="R314">
        <v>83.412000000000006</v>
      </c>
      <c r="S314">
        <v>79.44</v>
      </c>
      <c r="T314">
        <v>4.7619047620000003</v>
      </c>
      <c r="U314">
        <v>3.972</v>
      </c>
      <c r="V314">
        <v>4.7</v>
      </c>
    </row>
    <row r="315" spans="1:22" x14ac:dyDescent="0.2">
      <c r="A315" t="s">
        <v>346</v>
      </c>
      <c r="B315" s="1">
        <v>43529</v>
      </c>
      <c r="C315" s="2">
        <v>0.73819444444444449</v>
      </c>
      <c r="D315" s="2" t="str">
        <f>IF(Table1[[#This Row],[Time]]&lt;$D$1,$C$1,IF(Table1[[#This Row],[Time]]&lt;$D$2,$C$2,$C$3))</f>
        <v>Evening</v>
      </c>
      <c r="E315">
        <f>MONTH(Table1[[#This Row],[Date]])</f>
        <v>3</v>
      </c>
      <c r="F315" t="str">
        <f>VLOOKUP(Table1[[#This Row],[Month]],dctMonth[],2,FALSE)</f>
        <v>March</v>
      </c>
      <c r="G315" t="s">
        <v>19</v>
      </c>
      <c r="H315" t="s">
        <v>20</v>
      </c>
      <c r="I315" t="s">
        <v>28</v>
      </c>
      <c r="J315" t="s">
        <v>22</v>
      </c>
      <c r="K315">
        <v>56</v>
      </c>
      <c r="L315" t="str">
        <f>IF(Table1[[#This Row],[Age]]&lt;20,"&lt;20",IF(Table1[[#This Row],[Age]]&lt;=70,"20-70","&gt;70"))</f>
        <v>20-70</v>
      </c>
      <c r="M315" t="s">
        <v>47</v>
      </c>
      <c r="N315" t="s">
        <v>30</v>
      </c>
      <c r="O315">
        <v>81.91</v>
      </c>
      <c r="P315">
        <v>2</v>
      </c>
      <c r="Q315">
        <v>8.1910000000000007</v>
      </c>
      <c r="R315">
        <v>172.011</v>
      </c>
      <c r="S315">
        <v>163.82</v>
      </c>
      <c r="T315">
        <v>4.7619047620000003</v>
      </c>
      <c r="U315">
        <v>8.1910000000000007</v>
      </c>
      <c r="V315">
        <v>7.8</v>
      </c>
    </row>
    <row r="316" spans="1:22" x14ac:dyDescent="0.2">
      <c r="A316" t="s">
        <v>347</v>
      </c>
      <c r="B316" s="1">
        <v>43496</v>
      </c>
      <c r="C316" s="2">
        <v>0.58611111111111114</v>
      </c>
      <c r="D316" s="2" t="str">
        <f>IF(Table1[[#This Row],[Time]]&lt;$D$1,$C$1,IF(Table1[[#This Row],[Time]]&lt;$D$2,$C$2,$C$3))</f>
        <v>Afternoon</v>
      </c>
      <c r="E316">
        <f>MONTH(Table1[[#This Row],[Date]])</f>
        <v>1</v>
      </c>
      <c r="F316" t="str">
        <f>VLOOKUP(Table1[[#This Row],[Month]],dctMonth[],2,FALSE)</f>
        <v>January</v>
      </c>
      <c r="G316" t="s">
        <v>43</v>
      </c>
      <c r="H316" t="s">
        <v>44</v>
      </c>
      <c r="I316" t="s">
        <v>21</v>
      </c>
      <c r="J316" t="s">
        <v>32</v>
      </c>
      <c r="K316">
        <v>86</v>
      </c>
      <c r="L316" t="str">
        <f>IF(Table1[[#This Row],[Age]]&lt;20,"&lt;20",IF(Table1[[#This Row],[Age]]&lt;=70,"20-70","&gt;70"))</f>
        <v>&gt;70</v>
      </c>
      <c r="M316" t="s">
        <v>37</v>
      </c>
      <c r="N316" t="s">
        <v>30</v>
      </c>
      <c r="O316">
        <v>79.930000000000007</v>
      </c>
      <c r="P316">
        <v>6</v>
      </c>
      <c r="Q316">
        <v>23.978999999999999</v>
      </c>
      <c r="R316">
        <v>503.55900000000003</v>
      </c>
      <c r="S316">
        <v>479.58</v>
      </c>
      <c r="T316">
        <v>4.7619047620000003</v>
      </c>
      <c r="U316">
        <v>23.978999999999999</v>
      </c>
      <c r="V316">
        <v>5.5</v>
      </c>
    </row>
    <row r="317" spans="1:22" x14ac:dyDescent="0.2">
      <c r="A317" t="s">
        <v>348</v>
      </c>
      <c r="B317" s="1">
        <v>43501</v>
      </c>
      <c r="C317" s="2">
        <v>0.79513888888888884</v>
      </c>
      <c r="D317" s="2" t="str">
        <f>IF(Table1[[#This Row],[Time]]&lt;$D$1,$C$1,IF(Table1[[#This Row],[Time]]&lt;$D$2,$C$2,$C$3))</f>
        <v>Evening</v>
      </c>
      <c r="E317">
        <f>MONTH(Table1[[#This Row],[Date]])</f>
        <v>2</v>
      </c>
      <c r="F317" t="str">
        <f>VLOOKUP(Table1[[#This Row],[Month]],dctMonth[],2,FALSE)</f>
        <v>February</v>
      </c>
      <c r="G317" t="s">
        <v>26</v>
      </c>
      <c r="H317" t="s">
        <v>27</v>
      </c>
      <c r="I317" t="s">
        <v>21</v>
      </c>
      <c r="J317" t="s">
        <v>32</v>
      </c>
      <c r="K317">
        <v>64</v>
      </c>
      <c r="L317" t="str">
        <f>IF(Table1[[#This Row],[Age]]&lt;20,"&lt;20",IF(Table1[[#This Row],[Age]]&lt;=70,"20-70","&gt;70"))</f>
        <v>20-70</v>
      </c>
      <c r="M317" t="s">
        <v>47</v>
      </c>
      <c r="N317" t="s">
        <v>24</v>
      </c>
      <c r="O317">
        <v>69.33</v>
      </c>
      <c r="P317">
        <v>2</v>
      </c>
      <c r="Q317">
        <v>6.9329999999999998</v>
      </c>
      <c r="R317">
        <v>145.59299999999999</v>
      </c>
      <c r="S317">
        <v>138.66</v>
      </c>
      <c r="T317">
        <v>4.7619047620000003</v>
      </c>
      <c r="U317">
        <v>6.9329999999999998</v>
      </c>
      <c r="V317">
        <v>9.6999999999999993</v>
      </c>
    </row>
    <row r="318" spans="1:22" x14ac:dyDescent="0.2">
      <c r="A318" t="s">
        <v>349</v>
      </c>
      <c r="B318" s="1">
        <v>43497</v>
      </c>
      <c r="C318" s="2">
        <v>0.42222222222222222</v>
      </c>
      <c r="D318" s="2" t="str">
        <f>IF(Table1[[#This Row],[Time]]&lt;$D$1,$C$1,IF(Table1[[#This Row],[Time]]&lt;$D$2,$C$2,$C$3))</f>
        <v>Morning</v>
      </c>
      <c r="E318">
        <f>MONTH(Table1[[#This Row],[Date]])</f>
        <v>2</v>
      </c>
      <c r="F318" t="str">
        <f>VLOOKUP(Table1[[#This Row],[Month]],dctMonth[],2,FALSE)</f>
        <v>February</v>
      </c>
      <c r="G318" t="s">
        <v>19</v>
      </c>
      <c r="H318" t="s">
        <v>20</v>
      </c>
      <c r="I318" t="s">
        <v>21</v>
      </c>
      <c r="J318" t="s">
        <v>22</v>
      </c>
      <c r="K318">
        <v>39</v>
      </c>
      <c r="L318" t="str">
        <f>IF(Table1[[#This Row],[Age]]&lt;20,"&lt;20",IF(Table1[[#This Row],[Age]]&lt;=70,"20-70","&gt;70"))</f>
        <v>20-70</v>
      </c>
      <c r="M318" t="s">
        <v>45</v>
      </c>
      <c r="N318" t="s">
        <v>34</v>
      </c>
      <c r="O318">
        <v>14.23</v>
      </c>
      <c r="P318">
        <v>5</v>
      </c>
      <c r="Q318">
        <v>3.5575000000000001</v>
      </c>
      <c r="R318">
        <v>74.707499999999996</v>
      </c>
      <c r="S318">
        <v>71.150000000000006</v>
      </c>
      <c r="T318">
        <v>4.7619047620000003</v>
      </c>
      <c r="U318">
        <v>3.5575000000000001</v>
      </c>
      <c r="V318">
        <v>4.4000000000000004</v>
      </c>
    </row>
    <row r="319" spans="1:22" x14ac:dyDescent="0.2">
      <c r="A319" t="s">
        <v>350</v>
      </c>
      <c r="B319" s="1">
        <v>43531</v>
      </c>
      <c r="C319" s="2">
        <v>0.55000000000000004</v>
      </c>
      <c r="D319" s="2" t="str">
        <f>IF(Table1[[#This Row],[Time]]&lt;$D$1,$C$1,IF(Table1[[#This Row],[Time]]&lt;$D$2,$C$2,$C$3))</f>
        <v>Afternoon</v>
      </c>
      <c r="E319">
        <f>MONTH(Table1[[#This Row],[Date]])</f>
        <v>3</v>
      </c>
      <c r="F319" t="str">
        <f>VLOOKUP(Table1[[#This Row],[Month]],dctMonth[],2,FALSE)</f>
        <v>March</v>
      </c>
      <c r="G319" t="s">
        <v>19</v>
      </c>
      <c r="H319" t="s">
        <v>20</v>
      </c>
      <c r="I319" t="s">
        <v>21</v>
      </c>
      <c r="J319" t="s">
        <v>22</v>
      </c>
      <c r="K319">
        <v>57</v>
      </c>
      <c r="L319" t="str">
        <f>IF(Table1[[#This Row],[Age]]&lt;20,"&lt;20",IF(Table1[[#This Row],[Age]]&lt;=70,"20-70","&gt;70"))</f>
        <v>20-70</v>
      </c>
      <c r="M319" t="s">
        <v>23</v>
      </c>
      <c r="N319" t="s">
        <v>30</v>
      </c>
      <c r="O319">
        <v>15.55</v>
      </c>
      <c r="P319">
        <v>9</v>
      </c>
      <c r="Q319">
        <v>6.9974999999999996</v>
      </c>
      <c r="R319">
        <v>146.94749999999999</v>
      </c>
      <c r="S319">
        <v>139.94999999999999</v>
      </c>
      <c r="T319">
        <v>4.7619047620000003</v>
      </c>
      <c r="U319">
        <v>6.9974999999999996</v>
      </c>
      <c r="V319">
        <v>5</v>
      </c>
    </row>
    <row r="320" spans="1:22" x14ac:dyDescent="0.2">
      <c r="A320" t="s">
        <v>351</v>
      </c>
      <c r="B320" s="1">
        <v>43506</v>
      </c>
      <c r="C320" s="2">
        <v>0.86875000000000002</v>
      </c>
      <c r="D320" s="2" t="str">
        <f>IF(Table1[[#This Row],[Time]]&lt;$D$1,$C$1,IF(Table1[[#This Row],[Time]]&lt;$D$2,$C$2,$C$3))</f>
        <v>Evening</v>
      </c>
      <c r="E320">
        <f>MONTH(Table1[[#This Row],[Date]])</f>
        <v>2</v>
      </c>
      <c r="F320" t="str">
        <f>VLOOKUP(Table1[[#This Row],[Month]],dctMonth[],2,FALSE)</f>
        <v>February</v>
      </c>
      <c r="G320" t="s">
        <v>26</v>
      </c>
      <c r="H320" t="s">
        <v>27</v>
      </c>
      <c r="I320" t="s">
        <v>21</v>
      </c>
      <c r="J320" t="s">
        <v>22</v>
      </c>
      <c r="K320">
        <v>48</v>
      </c>
      <c r="L320" t="str">
        <f>IF(Table1[[#This Row],[Age]]&lt;20,"&lt;20",IF(Table1[[#This Row],[Age]]&lt;=70,"20-70","&gt;70"))</f>
        <v>20-70</v>
      </c>
      <c r="M320" t="s">
        <v>29</v>
      </c>
      <c r="N320" t="s">
        <v>30</v>
      </c>
      <c r="O320">
        <v>78.13</v>
      </c>
      <c r="P320">
        <v>10</v>
      </c>
      <c r="Q320">
        <v>39.064999999999998</v>
      </c>
      <c r="R320">
        <v>820.36500000000001</v>
      </c>
      <c r="S320">
        <v>781.3</v>
      </c>
      <c r="T320">
        <v>4.7619047620000003</v>
      </c>
      <c r="U320">
        <v>39.064999999999998</v>
      </c>
      <c r="V320">
        <v>4.4000000000000004</v>
      </c>
    </row>
    <row r="321" spans="1:22" x14ac:dyDescent="0.2">
      <c r="A321" t="s">
        <v>352</v>
      </c>
      <c r="B321" s="1">
        <v>43510</v>
      </c>
      <c r="C321" s="2">
        <v>0.72847222222222219</v>
      </c>
      <c r="D321" s="2" t="str">
        <f>IF(Table1[[#This Row],[Time]]&lt;$D$1,$C$1,IF(Table1[[#This Row],[Time]]&lt;$D$2,$C$2,$C$3))</f>
        <v>Evening</v>
      </c>
      <c r="E321">
        <f>MONTH(Table1[[#This Row],[Date]])</f>
        <v>2</v>
      </c>
      <c r="F321" t="str">
        <f>VLOOKUP(Table1[[#This Row],[Month]],dctMonth[],2,FALSE)</f>
        <v>February</v>
      </c>
      <c r="G321" t="s">
        <v>26</v>
      </c>
      <c r="H321" t="s">
        <v>27</v>
      </c>
      <c r="I321" t="s">
        <v>21</v>
      </c>
      <c r="J321" t="s">
        <v>32</v>
      </c>
      <c r="K321">
        <v>25</v>
      </c>
      <c r="L321" t="str">
        <f>IF(Table1[[#This Row],[Age]]&lt;20,"&lt;20",IF(Table1[[#This Row],[Age]]&lt;=70,"20-70","&gt;70"))</f>
        <v>20-70</v>
      </c>
      <c r="M321" t="s">
        <v>45</v>
      </c>
      <c r="N321" t="s">
        <v>30</v>
      </c>
      <c r="O321">
        <v>99.37</v>
      </c>
      <c r="P321">
        <v>2</v>
      </c>
      <c r="Q321">
        <v>9.9369999999999994</v>
      </c>
      <c r="R321">
        <v>208.67699999999999</v>
      </c>
      <c r="S321">
        <v>198.74</v>
      </c>
      <c r="T321">
        <v>4.7619047620000003</v>
      </c>
      <c r="U321">
        <v>9.9369999999999994</v>
      </c>
      <c r="V321">
        <v>5.2</v>
      </c>
    </row>
    <row r="322" spans="1:22" x14ac:dyDescent="0.2">
      <c r="A322" t="s">
        <v>353</v>
      </c>
      <c r="B322" s="1">
        <v>43505</v>
      </c>
      <c r="C322" s="2">
        <v>0.43402777777777779</v>
      </c>
      <c r="D322" s="2" t="str">
        <f>IF(Table1[[#This Row],[Time]]&lt;$D$1,$C$1,IF(Table1[[#This Row],[Time]]&lt;$D$2,$C$2,$C$3))</f>
        <v>Morning</v>
      </c>
      <c r="E322">
        <f>MONTH(Table1[[#This Row],[Date]])</f>
        <v>2</v>
      </c>
      <c r="F322" t="str">
        <f>VLOOKUP(Table1[[#This Row],[Month]],dctMonth[],2,FALSE)</f>
        <v>February</v>
      </c>
      <c r="G322" t="s">
        <v>26</v>
      </c>
      <c r="H322" t="s">
        <v>27</v>
      </c>
      <c r="I322" t="s">
        <v>21</v>
      </c>
      <c r="J322" t="s">
        <v>22</v>
      </c>
      <c r="K322">
        <v>74</v>
      </c>
      <c r="L322" t="str">
        <f>IF(Table1[[#This Row],[Age]]&lt;20,"&lt;20",IF(Table1[[#This Row],[Age]]&lt;=70,"20-70","&gt;70"))</f>
        <v>&gt;70</v>
      </c>
      <c r="M322" t="s">
        <v>45</v>
      </c>
      <c r="N322" t="s">
        <v>30</v>
      </c>
      <c r="O322">
        <v>21.08</v>
      </c>
      <c r="P322">
        <v>3</v>
      </c>
      <c r="Q322">
        <v>3.1619999999999999</v>
      </c>
      <c r="R322">
        <v>66.402000000000001</v>
      </c>
      <c r="S322">
        <v>63.24</v>
      </c>
      <c r="T322">
        <v>4.7619047620000003</v>
      </c>
      <c r="U322">
        <v>3.1619999999999999</v>
      </c>
      <c r="V322">
        <v>7.3</v>
      </c>
    </row>
    <row r="323" spans="1:22" x14ac:dyDescent="0.2">
      <c r="A323" t="s">
        <v>354</v>
      </c>
      <c r="B323" s="1">
        <v>43475</v>
      </c>
      <c r="C323" s="2">
        <v>0.48194444444444445</v>
      </c>
      <c r="D323" s="2" t="str">
        <f>IF(Table1[[#This Row],[Time]]&lt;$D$1,$C$1,IF(Table1[[#This Row],[Time]]&lt;$D$2,$C$2,$C$3))</f>
        <v>Morning</v>
      </c>
      <c r="E323">
        <f>MONTH(Table1[[#This Row],[Date]])</f>
        <v>1</v>
      </c>
      <c r="F323" t="str">
        <f>VLOOKUP(Table1[[#This Row],[Month]],dctMonth[],2,FALSE)</f>
        <v>January</v>
      </c>
      <c r="G323" t="s">
        <v>26</v>
      </c>
      <c r="H323" t="s">
        <v>27</v>
      </c>
      <c r="I323" t="s">
        <v>21</v>
      </c>
      <c r="J323" t="s">
        <v>32</v>
      </c>
      <c r="K323">
        <v>59</v>
      </c>
      <c r="L323" t="str">
        <f>IF(Table1[[#This Row],[Age]]&lt;20,"&lt;20",IF(Table1[[#This Row],[Age]]&lt;=70,"20-70","&gt;70"))</f>
        <v>20-70</v>
      </c>
      <c r="M323" t="s">
        <v>29</v>
      </c>
      <c r="N323" t="s">
        <v>30</v>
      </c>
      <c r="O323">
        <v>74.790000000000006</v>
      </c>
      <c r="P323">
        <v>5</v>
      </c>
      <c r="Q323">
        <v>18.697500000000002</v>
      </c>
      <c r="R323">
        <v>392.64749999999998</v>
      </c>
      <c r="S323">
        <v>373.95</v>
      </c>
      <c r="T323">
        <v>4.7619047620000003</v>
      </c>
      <c r="U323">
        <v>18.697500000000002</v>
      </c>
      <c r="V323">
        <v>4.9000000000000004</v>
      </c>
    </row>
    <row r="324" spans="1:22" x14ac:dyDescent="0.2">
      <c r="A324" t="s">
        <v>355</v>
      </c>
      <c r="B324" s="1">
        <v>43535</v>
      </c>
      <c r="C324" s="2">
        <v>0.79027777777777775</v>
      </c>
      <c r="D324" s="2" t="str">
        <f>IF(Table1[[#This Row],[Time]]&lt;$D$1,$C$1,IF(Table1[[#This Row],[Time]]&lt;$D$2,$C$2,$C$3))</f>
        <v>Evening</v>
      </c>
      <c r="E324">
        <f>MONTH(Table1[[#This Row],[Date]])</f>
        <v>3</v>
      </c>
      <c r="F324" t="str">
        <f>VLOOKUP(Table1[[#This Row],[Month]],dctMonth[],2,FALSE)</f>
        <v>March</v>
      </c>
      <c r="G324" t="s">
        <v>26</v>
      </c>
      <c r="H324" t="s">
        <v>27</v>
      </c>
      <c r="I324" t="s">
        <v>21</v>
      </c>
      <c r="J324" t="s">
        <v>22</v>
      </c>
      <c r="K324">
        <v>51</v>
      </c>
      <c r="L324" t="str">
        <f>IF(Table1[[#This Row],[Age]]&lt;20,"&lt;20",IF(Table1[[#This Row],[Age]]&lt;=70,"20-70","&gt;70"))</f>
        <v>20-70</v>
      </c>
      <c r="M324" t="s">
        <v>23</v>
      </c>
      <c r="N324" t="s">
        <v>34</v>
      </c>
      <c r="O324">
        <v>29.67</v>
      </c>
      <c r="P324">
        <v>7</v>
      </c>
      <c r="Q324">
        <v>10.384499999999999</v>
      </c>
      <c r="R324">
        <v>218.0745</v>
      </c>
      <c r="S324">
        <v>207.69</v>
      </c>
      <c r="T324">
        <v>4.7619047620000003</v>
      </c>
      <c r="U324">
        <v>10.384499999999999</v>
      </c>
      <c r="V324">
        <v>8.1</v>
      </c>
    </row>
    <row r="325" spans="1:22" x14ac:dyDescent="0.2">
      <c r="A325" t="s">
        <v>356</v>
      </c>
      <c r="B325" s="1">
        <v>43514</v>
      </c>
      <c r="C325" s="2">
        <v>0.68611111111111112</v>
      </c>
      <c r="D325" s="2" t="str">
        <f>IF(Table1[[#This Row],[Time]]&lt;$D$1,$C$1,IF(Table1[[#This Row],[Time]]&lt;$D$2,$C$2,$C$3))</f>
        <v>Afternoon</v>
      </c>
      <c r="E325">
        <f>MONTH(Table1[[#This Row],[Date]])</f>
        <v>2</v>
      </c>
      <c r="F325" t="str">
        <f>VLOOKUP(Table1[[#This Row],[Month]],dctMonth[],2,FALSE)</f>
        <v>February</v>
      </c>
      <c r="G325" t="s">
        <v>26</v>
      </c>
      <c r="H325" t="s">
        <v>27</v>
      </c>
      <c r="I325" t="s">
        <v>21</v>
      </c>
      <c r="J325" t="s">
        <v>32</v>
      </c>
      <c r="K325">
        <v>46</v>
      </c>
      <c r="L325" t="str">
        <f>IF(Table1[[#This Row],[Age]]&lt;20,"&lt;20",IF(Table1[[#This Row],[Age]]&lt;=70,"20-70","&gt;70"))</f>
        <v>20-70</v>
      </c>
      <c r="M325" t="s">
        <v>23</v>
      </c>
      <c r="N325" t="s">
        <v>24</v>
      </c>
      <c r="O325">
        <v>44.07</v>
      </c>
      <c r="P325">
        <v>4</v>
      </c>
      <c r="Q325">
        <v>8.8140000000000001</v>
      </c>
      <c r="R325">
        <v>185.09399999999999</v>
      </c>
      <c r="S325">
        <v>176.28</v>
      </c>
      <c r="T325">
        <v>4.7619047620000003</v>
      </c>
      <c r="U325">
        <v>8.8140000000000001</v>
      </c>
      <c r="V325">
        <v>8.4</v>
      </c>
    </row>
    <row r="326" spans="1:22" x14ac:dyDescent="0.2">
      <c r="A326" t="s">
        <v>357</v>
      </c>
      <c r="B326" s="1">
        <v>43522</v>
      </c>
      <c r="C326" s="2">
        <v>0.85138888888888886</v>
      </c>
      <c r="D326" s="2" t="str">
        <f>IF(Table1[[#This Row],[Time]]&lt;$D$1,$C$1,IF(Table1[[#This Row],[Time]]&lt;$D$2,$C$2,$C$3))</f>
        <v>Evening</v>
      </c>
      <c r="E326">
        <f>MONTH(Table1[[#This Row],[Date]])</f>
        <v>2</v>
      </c>
      <c r="F326" t="str">
        <f>VLOOKUP(Table1[[#This Row],[Month]],dctMonth[],2,FALSE)</f>
        <v>February</v>
      </c>
      <c r="G326" t="s">
        <v>26</v>
      </c>
      <c r="H326" t="s">
        <v>27</v>
      </c>
      <c r="I326" t="s">
        <v>28</v>
      </c>
      <c r="J326" t="s">
        <v>22</v>
      </c>
      <c r="K326">
        <v>77</v>
      </c>
      <c r="L326" t="str">
        <f>IF(Table1[[#This Row],[Age]]&lt;20,"&lt;20",IF(Table1[[#This Row],[Age]]&lt;=70,"20-70","&gt;70"))</f>
        <v>&gt;70</v>
      </c>
      <c r="M326" t="s">
        <v>45</v>
      </c>
      <c r="N326" t="s">
        <v>30</v>
      </c>
      <c r="O326">
        <v>22.93</v>
      </c>
      <c r="P326">
        <v>9</v>
      </c>
      <c r="Q326">
        <v>10.3185</v>
      </c>
      <c r="R326">
        <v>216.6885</v>
      </c>
      <c r="S326">
        <v>206.37</v>
      </c>
      <c r="T326">
        <v>4.7619047620000003</v>
      </c>
      <c r="U326">
        <v>10.3185</v>
      </c>
      <c r="V326">
        <v>5.5</v>
      </c>
    </row>
    <row r="327" spans="1:22" x14ac:dyDescent="0.2">
      <c r="A327" t="s">
        <v>358</v>
      </c>
      <c r="B327" s="1">
        <v>43483</v>
      </c>
      <c r="C327" s="2">
        <v>0.63055555555555554</v>
      </c>
      <c r="D327" s="2" t="str">
        <f>IF(Table1[[#This Row],[Time]]&lt;$D$1,$C$1,IF(Table1[[#This Row],[Time]]&lt;$D$2,$C$2,$C$3))</f>
        <v>Afternoon</v>
      </c>
      <c r="E327">
        <f>MONTH(Table1[[#This Row],[Date]])</f>
        <v>1</v>
      </c>
      <c r="F327" t="str">
        <f>VLOOKUP(Table1[[#This Row],[Month]],dctMonth[],2,FALSE)</f>
        <v>January</v>
      </c>
      <c r="G327" t="s">
        <v>26</v>
      </c>
      <c r="H327" t="s">
        <v>27</v>
      </c>
      <c r="I327" t="s">
        <v>28</v>
      </c>
      <c r="J327" t="s">
        <v>22</v>
      </c>
      <c r="K327">
        <v>70</v>
      </c>
      <c r="L327" t="str">
        <f>IF(Table1[[#This Row],[Age]]&lt;20,"&lt;20",IF(Table1[[#This Row],[Age]]&lt;=70,"20-70","&gt;70"))</f>
        <v>20-70</v>
      </c>
      <c r="M327" t="s">
        <v>23</v>
      </c>
      <c r="N327" t="s">
        <v>30</v>
      </c>
      <c r="O327">
        <v>39.42</v>
      </c>
      <c r="P327">
        <v>1</v>
      </c>
      <c r="Q327">
        <v>1.9710000000000001</v>
      </c>
      <c r="R327">
        <v>41.390999999999998</v>
      </c>
      <c r="S327">
        <v>39.42</v>
      </c>
      <c r="T327">
        <v>4.7619047620000003</v>
      </c>
      <c r="U327">
        <v>1.9710000000000001</v>
      </c>
      <c r="V327">
        <v>8.4</v>
      </c>
    </row>
    <row r="328" spans="1:22" x14ac:dyDescent="0.2">
      <c r="A328" t="s">
        <v>359</v>
      </c>
      <c r="B328" s="1">
        <v>43511</v>
      </c>
      <c r="C328" s="2">
        <v>0.75208333333333333</v>
      </c>
      <c r="D328" s="2" t="str">
        <f>IF(Table1[[#This Row],[Time]]&lt;$D$1,$C$1,IF(Table1[[#This Row],[Time]]&lt;$D$2,$C$2,$C$3))</f>
        <v>Evening</v>
      </c>
      <c r="E328">
        <f>MONTH(Table1[[#This Row],[Date]])</f>
        <v>2</v>
      </c>
      <c r="F328" t="str">
        <f>VLOOKUP(Table1[[#This Row],[Month]],dctMonth[],2,FALSE)</f>
        <v>February</v>
      </c>
      <c r="G328" t="s">
        <v>19</v>
      </c>
      <c r="H328" t="s">
        <v>20</v>
      </c>
      <c r="I328" t="s">
        <v>28</v>
      </c>
      <c r="J328" t="s">
        <v>32</v>
      </c>
      <c r="K328">
        <v>50</v>
      </c>
      <c r="L328" t="str">
        <f>IF(Table1[[#This Row],[Age]]&lt;20,"&lt;20",IF(Table1[[#This Row],[Age]]&lt;=70,"20-70","&gt;70"))</f>
        <v>20-70</v>
      </c>
      <c r="M328" t="s">
        <v>23</v>
      </c>
      <c r="N328" t="s">
        <v>24</v>
      </c>
      <c r="O328">
        <v>15.26</v>
      </c>
      <c r="P328">
        <v>6</v>
      </c>
      <c r="Q328">
        <v>4.5780000000000003</v>
      </c>
      <c r="R328">
        <v>96.138000000000005</v>
      </c>
      <c r="S328">
        <v>91.56</v>
      </c>
      <c r="T328">
        <v>4.7619047620000003</v>
      </c>
      <c r="U328">
        <v>4.5780000000000003</v>
      </c>
      <c r="V328">
        <v>9.8000000000000007</v>
      </c>
    </row>
    <row r="329" spans="1:22" x14ac:dyDescent="0.2">
      <c r="A329" t="s">
        <v>360</v>
      </c>
      <c r="B329" s="1">
        <v>43532</v>
      </c>
      <c r="C329" s="2">
        <v>0.55625000000000002</v>
      </c>
      <c r="D329" s="2" t="str">
        <f>IF(Table1[[#This Row],[Time]]&lt;$D$1,$C$1,IF(Table1[[#This Row],[Time]]&lt;$D$2,$C$2,$C$3))</f>
        <v>Afternoon</v>
      </c>
      <c r="E329">
        <f>MONTH(Table1[[#This Row],[Date]])</f>
        <v>3</v>
      </c>
      <c r="F329" t="str">
        <f>VLOOKUP(Table1[[#This Row],[Month]],dctMonth[],2,FALSE)</f>
        <v>March</v>
      </c>
      <c r="G329" t="s">
        <v>19</v>
      </c>
      <c r="H329" t="s">
        <v>20</v>
      </c>
      <c r="I329" t="s">
        <v>28</v>
      </c>
      <c r="J329" t="s">
        <v>22</v>
      </c>
      <c r="K329">
        <v>89</v>
      </c>
      <c r="L329" t="str">
        <f>IF(Table1[[#This Row],[Age]]&lt;20,"&lt;20",IF(Table1[[#This Row],[Age]]&lt;=70,"20-70","&gt;70"))</f>
        <v>&gt;70</v>
      </c>
      <c r="M329" t="s">
        <v>47</v>
      </c>
      <c r="N329" t="s">
        <v>30</v>
      </c>
      <c r="O329">
        <v>61.77</v>
      </c>
      <c r="P329">
        <v>5</v>
      </c>
      <c r="Q329">
        <v>15.442500000000001</v>
      </c>
      <c r="R329">
        <v>324.29250000000002</v>
      </c>
      <c r="S329">
        <v>308.85000000000002</v>
      </c>
      <c r="T329">
        <v>4.7619047620000003</v>
      </c>
      <c r="U329">
        <v>15.442500000000001</v>
      </c>
      <c r="V329">
        <v>6.7</v>
      </c>
    </row>
    <row r="330" spans="1:22" x14ac:dyDescent="0.2">
      <c r="A330" t="s">
        <v>361</v>
      </c>
      <c r="B330" s="1">
        <v>43482</v>
      </c>
      <c r="C330" s="2">
        <v>0.53333333333333333</v>
      </c>
      <c r="D330" s="2" t="str">
        <f>IF(Table1[[#This Row],[Time]]&lt;$D$1,$C$1,IF(Table1[[#This Row],[Time]]&lt;$D$2,$C$2,$C$3))</f>
        <v>Afternoon</v>
      </c>
      <c r="E330">
        <f>MONTH(Table1[[#This Row],[Date]])</f>
        <v>1</v>
      </c>
      <c r="F330" t="str">
        <f>VLOOKUP(Table1[[#This Row],[Month]],dctMonth[],2,FALSE)</f>
        <v>January</v>
      </c>
      <c r="G330" t="s">
        <v>19</v>
      </c>
      <c r="H330" t="s">
        <v>20</v>
      </c>
      <c r="I330" t="s">
        <v>28</v>
      </c>
      <c r="J330" t="s">
        <v>32</v>
      </c>
      <c r="K330">
        <v>88</v>
      </c>
      <c r="L330" t="str">
        <f>IF(Table1[[#This Row],[Age]]&lt;20,"&lt;20",IF(Table1[[#This Row],[Age]]&lt;=70,"20-70","&gt;70"))</f>
        <v>&gt;70</v>
      </c>
      <c r="M330" t="s">
        <v>33</v>
      </c>
      <c r="N330" t="s">
        <v>34</v>
      </c>
      <c r="O330">
        <v>21.52</v>
      </c>
      <c r="P330">
        <v>6</v>
      </c>
      <c r="Q330">
        <v>6.4560000000000004</v>
      </c>
      <c r="R330">
        <v>135.57599999999999</v>
      </c>
      <c r="S330">
        <v>129.12</v>
      </c>
      <c r="T330">
        <v>4.7619047620000003</v>
      </c>
      <c r="U330">
        <v>6.4560000000000004</v>
      </c>
      <c r="V330">
        <v>9.4</v>
      </c>
    </row>
    <row r="331" spans="1:22" x14ac:dyDescent="0.2">
      <c r="A331" t="s">
        <v>362</v>
      </c>
      <c r="B331" s="1">
        <v>43536</v>
      </c>
      <c r="C331" s="2">
        <v>0.82847222222222228</v>
      </c>
      <c r="D331" s="2" t="str">
        <f>IF(Table1[[#This Row],[Time]]&lt;$D$1,$C$1,IF(Table1[[#This Row],[Time]]&lt;$D$2,$C$2,$C$3))</f>
        <v>Evening</v>
      </c>
      <c r="E331">
        <f>MONTH(Table1[[#This Row],[Date]])</f>
        <v>3</v>
      </c>
      <c r="F331" t="str">
        <f>VLOOKUP(Table1[[#This Row],[Month]],dctMonth[],2,FALSE)</f>
        <v>March</v>
      </c>
      <c r="G331" t="s">
        <v>43</v>
      </c>
      <c r="H331" t="s">
        <v>44</v>
      </c>
      <c r="I331" t="s">
        <v>28</v>
      </c>
      <c r="J331" t="s">
        <v>32</v>
      </c>
      <c r="K331">
        <v>37</v>
      </c>
      <c r="L331" t="str">
        <f>IF(Table1[[#This Row],[Age]]&lt;20,"&lt;20",IF(Table1[[#This Row],[Age]]&lt;=70,"20-70","&gt;70"))</f>
        <v>20-70</v>
      </c>
      <c r="M331" t="s">
        <v>37</v>
      </c>
      <c r="N331" t="s">
        <v>24</v>
      </c>
      <c r="O331">
        <v>97.74</v>
      </c>
      <c r="P331">
        <v>4</v>
      </c>
      <c r="Q331">
        <v>19.547999999999998</v>
      </c>
      <c r="R331">
        <v>410.50799999999998</v>
      </c>
      <c r="S331">
        <v>390.96</v>
      </c>
      <c r="T331">
        <v>4.7619047620000003</v>
      </c>
      <c r="U331">
        <v>19.547999999999998</v>
      </c>
      <c r="V331">
        <v>6.4</v>
      </c>
    </row>
    <row r="332" spans="1:22" x14ac:dyDescent="0.2">
      <c r="A332" t="s">
        <v>363</v>
      </c>
      <c r="B332" s="1">
        <v>43533</v>
      </c>
      <c r="C332" s="2">
        <v>0.79791666666666672</v>
      </c>
      <c r="D332" s="2" t="str">
        <f>IF(Table1[[#This Row],[Time]]&lt;$D$1,$C$1,IF(Table1[[#This Row],[Time]]&lt;$D$2,$C$2,$C$3))</f>
        <v>Evening</v>
      </c>
      <c r="E332">
        <f>MONTH(Table1[[#This Row],[Date]])</f>
        <v>3</v>
      </c>
      <c r="F332" t="str">
        <f>VLOOKUP(Table1[[#This Row],[Month]],dctMonth[],2,FALSE)</f>
        <v>March</v>
      </c>
      <c r="G332" t="s">
        <v>19</v>
      </c>
      <c r="H332" t="s">
        <v>20</v>
      </c>
      <c r="I332" t="s">
        <v>21</v>
      </c>
      <c r="J332" t="s">
        <v>32</v>
      </c>
      <c r="K332">
        <v>20</v>
      </c>
      <c r="L332" t="str">
        <f>IF(Table1[[#This Row],[Age]]&lt;20,"&lt;20",IF(Table1[[#This Row],[Age]]&lt;=70,"20-70","&gt;70"))</f>
        <v>20-70</v>
      </c>
      <c r="M332" t="s">
        <v>45</v>
      </c>
      <c r="N332" t="s">
        <v>30</v>
      </c>
      <c r="O332">
        <v>99.78</v>
      </c>
      <c r="P332">
        <v>5</v>
      </c>
      <c r="Q332">
        <v>24.945</v>
      </c>
      <c r="R332">
        <v>523.84500000000003</v>
      </c>
      <c r="S332">
        <v>498.9</v>
      </c>
      <c r="T332">
        <v>4.7619047620000003</v>
      </c>
      <c r="U332">
        <v>24.945</v>
      </c>
      <c r="V332">
        <v>5.4</v>
      </c>
    </row>
    <row r="333" spans="1:22" x14ac:dyDescent="0.2">
      <c r="A333" t="s">
        <v>364</v>
      </c>
      <c r="B333" s="1">
        <v>43536</v>
      </c>
      <c r="C333" s="2">
        <v>0.6875</v>
      </c>
      <c r="D333" s="2" t="str">
        <f>IF(Table1[[#This Row],[Time]]&lt;$D$1,$C$1,IF(Table1[[#This Row],[Time]]&lt;$D$2,$C$2,$C$3))</f>
        <v>Afternoon</v>
      </c>
      <c r="E333">
        <f>MONTH(Table1[[#This Row],[Date]])</f>
        <v>3</v>
      </c>
      <c r="F333" t="str">
        <f>VLOOKUP(Table1[[#This Row],[Month]],dctMonth[],2,FALSE)</f>
        <v>March</v>
      </c>
      <c r="G333" t="s">
        <v>26</v>
      </c>
      <c r="H333" t="s">
        <v>27</v>
      </c>
      <c r="I333" t="s">
        <v>21</v>
      </c>
      <c r="J333" t="s">
        <v>32</v>
      </c>
      <c r="K333">
        <v>17</v>
      </c>
      <c r="L333" t="str">
        <f>IF(Table1[[#This Row],[Age]]&lt;20,"&lt;20",IF(Table1[[#This Row],[Age]]&lt;=70,"20-70","&gt;70"))</f>
        <v>&lt;20</v>
      </c>
      <c r="M333" t="s">
        <v>45</v>
      </c>
      <c r="N333" t="s">
        <v>30</v>
      </c>
      <c r="O333">
        <v>94.26</v>
      </c>
      <c r="P333">
        <v>4</v>
      </c>
      <c r="Q333">
        <v>18.852</v>
      </c>
      <c r="R333">
        <v>395.892</v>
      </c>
      <c r="S333">
        <v>377.04</v>
      </c>
      <c r="T333">
        <v>4.7619047620000003</v>
      </c>
      <c r="U333">
        <v>18.852</v>
      </c>
      <c r="V333">
        <v>8.6</v>
      </c>
    </row>
    <row r="334" spans="1:22" x14ac:dyDescent="0.2">
      <c r="A334" t="s">
        <v>365</v>
      </c>
      <c r="B334" s="1">
        <v>43490</v>
      </c>
      <c r="C334" s="2">
        <v>0.42430555555555555</v>
      </c>
      <c r="D334" s="2" t="str">
        <f>IF(Table1[[#This Row],[Time]]&lt;$D$1,$C$1,IF(Table1[[#This Row],[Time]]&lt;$D$2,$C$2,$C$3))</f>
        <v>Morning</v>
      </c>
      <c r="E334">
        <f>MONTH(Table1[[#This Row],[Date]])</f>
        <v>1</v>
      </c>
      <c r="F334" t="str">
        <f>VLOOKUP(Table1[[#This Row],[Month]],dctMonth[],2,FALSE)</f>
        <v>January</v>
      </c>
      <c r="G334" t="s">
        <v>43</v>
      </c>
      <c r="H334" t="s">
        <v>44</v>
      </c>
      <c r="I334" t="s">
        <v>21</v>
      </c>
      <c r="J334" t="s">
        <v>32</v>
      </c>
      <c r="K334">
        <v>29</v>
      </c>
      <c r="L334" t="str">
        <f>IF(Table1[[#This Row],[Age]]&lt;20,"&lt;20",IF(Table1[[#This Row],[Age]]&lt;=70,"20-70","&gt;70"))</f>
        <v>20-70</v>
      </c>
      <c r="M334" t="s">
        <v>23</v>
      </c>
      <c r="N334" t="s">
        <v>34</v>
      </c>
      <c r="O334">
        <v>51.13</v>
      </c>
      <c r="P334">
        <v>4</v>
      </c>
      <c r="Q334">
        <v>10.226000000000001</v>
      </c>
      <c r="R334">
        <v>214.74600000000001</v>
      </c>
      <c r="S334">
        <v>204.52</v>
      </c>
      <c r="T334">
        <v>4.7619047620000003</v>
      </c>
      <c r="U334">
        <v>10.226000000000001</v>
      </c>
      <c r="V334">
        <v>4</v>
      </c>
    </row>
    <row r="335" spans="1:22" x14ac:dyDescent="0.2">
      <c r="A335" t="s">
        <v>366</v>
      </c>
      <c r="B335" s="1">
        <v>43549</v>
      </c>
      <c r="C335" s="2">
        <v>0.54652777777777772</v>
      </c>
      <c r="D335" s="2" t="str">
        <f>IF(Table1[[#This Row],[Time]]&lt;$D$1,$C$1,IF(Table1[[#This Row],[Time]]&lt;$D$2,$C$2,$C$3))</f>
        <v>Afternoon</v>
      </c>
      <c r="E335">
        <f>MONTH(Table1[[#This Row],[Date]])</f>
        <v>3</v>
      </c>
      <c r="F335" t="str">
        <f>VLOOKUP(Table1[[#This Row],[Month]],dctMonth[],2,FALSE)</f>
        <v>March</v>
      </c>
      <c r="G335" t="s">
        <v>19</v>
      </c>
      <c r="H335" t="s">
        <v>20</v>
      </c>
      <c r="I335" t="s">
        <v>21</v>
      </c>
      <c r="J335" t="s">
        <v>32</v>
      </c>
      <c r="K335">
        <v>40</v>
      </c>
      <c r="L335" t="str">
        <f>IF(Table1[[#This Row],[Age]]&lt;20,"&lt;20",IF(Table1[[#This Row],[Age]]&lt;=70,"20-70","&gt;70"))</f>
        <v>20-70</v>
      </c>
      <c r="M335" t="s">
        <v>29</v>
      </c>
      <c r="N335" t="s">
        <v>30</v>
      </c>
      <c r="O335">
        <v>36.36</v>
      </c>
      <c r="P335">
        <v>4</v>
      </c>
      <c r="Q335">
        <v>7.2720000000000002</v>
      </c>
      <c r="R335">
        <v>152.71199999999999</v>
      </c>
      <c r="S335">
        <v>145.44</v>
      </c>
      <c r="T335">
        <v>4.7619047620000003</v>
      </c>
      <c r="U335">
        <v>7.2720000000000002</v>
      </c>
      <c r="V335">
        <v>7.6</v>
      </c>
    </row>
    <row r="336" spans="1:22" x14ac:dyDescent="0.2">
      <c r="A336" t="s">
        <v>367</v>
      </c>
      <c r="B336" s="1">
        <v>43503</v>
      </c>
      <c r="C336" s="2">
        <v>0.78333333333333333</v>
      </c>
      <c r="D336" s="2" t="str">
        <f>IF(Table1[[#This Row],[Time]]&lt;$D$1,$C$1,IF(Table1[[#This Row],[Time]]&lt;$D$2,$C$2,$C$3))</f>
        <v>Evening</v>
      </c>
      <c r="E336">
        <f>MONTH(Table1[[#This Row],[Date]])</f>
        <v>2</v>
      </c>
      <c r="F336" t="str">
        <f>VLOOKUP(Table1[[#This Row],[Month]],dctMonth[],2,FALSE)</f>
        <v>February</v>
      </c>
      <c r="G336" t="s">
        <v>43</v>
      </c>
      <c r="H336" t="s">
        <v>44</v>
      </c>
      <c r="I336" t="s">
        <v>28</v>
      </c>
      <c r="J336" t="s">
        <v>32</v>
      </c>
      <c r="K336">
        <v>57</v>
      </c>
      <c r="L336" t="str">
        <f>IF(Table1[[#This Row],[Age]]&lt;20,"&lt;20",IF(Table1[[#This Row],[Age]]&lt;=70,"20-70","&gt;70"))</f>
        <v>20-70</v>
      </c>
      <c r="M336" t="s">
        <v>33</v>
      </c>
      <c r="N336" t="s">
        <v>30</v>
      </c>
      <c r="O336">
        <v>22.02</v>
      </c>
      <c r="P336">
        <v>9</v>
      </c>
      <c r="Q336">
        <v>9.9090000000000007</v>
      </c>
      <c r="R336">
        <v>208.089</v>
      </c>
      <c r="S336">
        <v>198.18</v>
      </c>
      <c r="T336">
        <v>4.7619047620000003</v>
      </c>
      <c r="U336">
        <v>9.9090000000000007</v>
      </c>
      <c r="V336">
        <v>6.8</v>
      </c>
    </row>
    <row r="337" spans="1:22" x14ac:dyDescent="0.2">
      <c r="A337" t="s">
        <v>368</v>
      </c>
      <c r="B337" s="1">
        <v>43513</v>
      </c>
      <c r="C337" s="2">
        <v>0.7270833333333333</v>
      </c>
      <c r="D337" s="2" t="str">
        <f>IF(Table1[[#This Row],[Time]]&lt;$D$1,$C$1,IF(Table1[[#This Row],[Time]]&lt;$D$2,$C$2,$C$3))</f>
        <v>Evening</v>
      </c>
      <c r="E337">
        <f>MONTH(Table1[[#This Row],[Date]])</f>
        <v>2</v>
      </c>
      <c r="F337" t="str">
        <f>VLOOKUP(Table1[[#This Row],[Month]],dctMonth[],2,FALSE)</f>
        <v>February</v>
      </c>
      <c r="G337" t="s">
        <v>19</v>
      </c>
      <c r="H337" t="s">
        <v>20</v>
      </c>
      <c r="I337" t="s">
        <v>28</v>
      </c>
      <c r="J337" t="s">
        <v>32</v>
      </c>
      <c r="K337">
        <v>54</v>
      </c>
      <c r="L337" t="str">
        <f>IF(Table1[[#This Row],[Age]]&lt;20,"&lt;20",IF(Table1[[#This Row],[Age]]&lt;=70,"20-70","&gt;70"))</f>
        <v>20-70</v>
      </c>
      <c r="M337" t="s">
        <v>45</v>
      </c>
      <c r="N337" t="s">
        <v>34</v>
      </c>
      <c r="O337">
        <v>32.9</v>
      </c>
      <c r="P337">
        <v>3</v>
      </c>
      <c r="Q337">
        <v>4.9349999999999996</v>
      </c>
      <c r="R337">
        <v>103.63500000000001</v>
      </c>
      <c r="S337">
        <v>98.7</v>
      </c>
      <c r="T337">
        <v>4.7619047620000003</v>
      </c>
      <c r="U337">
        <v>4.9349999999999996</v>
      </c>
      <c r="V337">
        <v>9.1</v>
      </c>
    </row>
    <row r="338" spans="1:22" x14ac:dyDescent="0.2">
      <c r="A338" t="s">
        <v>369</v>
      </c>
      <c r="B338" s="1">
        <v>43499</v>
      </c>
      <c r="C338" s="2">
        <v>0.66597222222222219</v>
      </c>
      <c r="D338" s="2" t="str">
        <f>IF(Table1[[#This Row],[Time]]&lt;$D$1,$C$1,IF(Table1[[#This Row],[Time]]&lt;$D$2,$C$2,$C$3))</f>
        <v>Afternoon</v>
      </c>
      <c r="E338">
        <f>MONTH(Table1[[#This Row],[Date]])</f>
        <v>2</v>
      </c>
      <c r="F338" t="str">
        <f>VLOOKUP(Table1[[#This Row],[Month]],dctMonth[],2,FALSE)</f>
        <v>February</v>
      </c>
      <c r="G338" t="s">
        <v>19</v>
      </c>
      <c r="H338" t="s">
        <v>20</v>
      </c>
      <c r="I338" t="s">
        <v>28</v>
      </c>
      <c r="J338" t="s">
        <v>32</v>
      </c>
      <c r="K338">
        <v>45</v>
      </c>
      <c r="L338" t="str">
        <f>IF(Table1[[#This Row],[Age]]&lt;20,"&lt;20",IF(Table1[[#This Row],[Age]]&lt;=70,"20-70","&gt;70"))</f>
        <v>20-70</v>
      </c>
      <c r="M338" t="s">
        <v>47</v>
      </c>
      <c r="N338" t="s">
        <v>30</v>
      </c>
      <c r="O338">
        <v>77.02</v>
      </c>
      <c r="P338">
        <v>5</v>
      </c>
      <c r="Q338">
        <v>19.254999999999999</v>
      </c>
      <c r="R338">
        <v>404.35500000000002</v>
      </c>
      <c r="S338">
        <v>385.1</v>
      </c>
      <c r="T338">
        <v>4.7619047620000003</v>
      </c>
      <c r="U338">
        <v>19.254999999999999</v>
      </c>
      <c r="V338">
        <v>5.5</v>
      </c>
    </row>
    <row r="339" spans="1:22" x14ac:dyDescent="0.2">
      <c r="A339" t="s">
        <v>370</v>
      </c>
      <c r="B339" s="1">
        <v>43538</v>
      </c>
      <c r="C339" s="2">
        <v>0.47291666666666665</v>
      </c>
      <c r="D339" s="2" t="str">
        <f>IF(Table1[[#This Row],[Time]]&lt;$D$1,$C$1,IF(Table1[[#This Row],[Time]]&lt;$D$2,$C$2,$C$3))</f>
        <v>Morning</v>
      </c>
      <c r="E339">
        <f>MONTH(Table1[[#This Row],[Date]])</f>
        <v>3</v>
      </c>
      <c r="F339" t="str">
        <f>VLOOKUP(Table1[[#This Row],[Month]],dctMonth[],2,FALSE)</f>
        <v>March</v>
      </c>
      <c r="G339" t="s">
        <v>19</v>
      </c>
      <c r="H339" t="s">
        <v>20</v>
      </c>
      <c r="I339" t="s">
        <v>21</v>
      </c>
      <c r="J339" t="s">
        <v>32</v>
      </c>
      <c r="K339">
        <v>44</v>
      </c>
      <c r="L339" t="str">
        <f>IF(Table1[[#This Row],[Age]]&lt;20,"&lt;20",IF(Table1[[#This Row],[Age]]&lt;=70,"20-70","&gt;70"))</f>
        <v>20-70</v>
      </c>
      <c r="M339" t="s">
        <v>45</v>
      </c>
      <c r="N339" t="s">
        <v>34</v>
      </c>
      <c r="O339">
        <v>23.48</v>
      </c>
      <c r="P339">
        <v>2</v>
      </c>
      <c r="Q339">
        <v>2.3479999999999999</v>
      </c>
      <c r="R339">
        <v>49.308</v>
      </c>
      <c r="S339">
        <v>46.96</v>
      </c>
      <c r="T339">
        <v>4.7619047620000003</v>
      </c>
      <c r="U339">
        <v>2.3479999999999999</v>
      </c>
      <c r="V339">
        <v>7.9</v>
      </c>
    </row>
    <row r="340" spans="1:22" x14ac:dyDescent="0.2">
      <c r="A340" t="s">
        <v>371</v>
      </c>
      <c r="B340" s="1">
        <v>43548</v>
      </c>
      <c r="C340" s="2">
        <v>0.57499999999999996</v>
      </c>
      <c r="D340" s="2" t="str">
        <f>IF(Table1[[#This Row],[Time]]&lt;$D$1,$C$1,IF(Table1[[#This Row],[Time]]&lt;$D$2,$C$2,$C$3))</f>
        <v>Afternoon</v>
      </c>
      <c r="E340">
        <f>MONTH(Table1[[#This Row],[Date]])</f>
        <v>3</v>
      </c>
      <c r="F340" t="str">
        <f>VLOOKUP(Table1[[#This Row],[Month]],dctMonth[],2,FALSE)</f>
        <v>March</v>
      </c>
      <c r="G340" t="s">
        <v>26</v>
      </c>
      <c r="H340" t="s">
        <v>27</v>
      </c>
      <c r="I340" t="s">
        <v>21</v>
      </c>
      <c r="J340" t="s">
        <v>32</v>
      </c>
      <c r="K340">
        <v>88</v>
      </c>
      <c r="L340" t="str">
        <f>IF(Table1[[#This Row],[Age]]&lt;20,"&lt;20",IF(Table1[[#This Row],[Age]]&lt;=70,"20-70","&gt;70"))</f>
        <v>&gt;70</v>
      </c>
      <c r="M340" t="s">
        <v>37</v>
      </c>
      <c r="N340" t="s">
        <v>24</v>
      </c>
      <c r="O340">
        <v>14.7</v>
      </c>
      <c r="P340">
        <v>5</v>
      </c>
      <c r="Q340">
        <v>3.6749999999999998</v>
      </c>
      <c r="R340">
        <v>77.174999999999997</v>
      </c>
      <c r="S340">
        <v>73.5</v>
      </c>
      <c r="T340">
        <v>4.7619047620000003</v>
      </c>
      <c r="U340">
        <v>3.6749999999999998</v>
      </c>
      <c r="V340">
        <v>8.5</v>
      </c>
    </row>
    <row r="341" spans="1:22" x14ac:dyDescent="0.2">
      <c r="A341" t="s">
        <v>372</v>
      </c>
      <c r="B341" s="1">
        <v>43545</v>
      </c>
      <c r="C341" s="2">
        <v>0.4284722222222222</v>
      </c>
      <c r="D341" s="2" t="str">
        <f>IF(Table1[[#This Row],[Time]]&lt;$D$1,$C$1,IF(Table1[[#This Row],[Time]]&lt;$D$2,$C$2,$C$3))</f>
        <v>Morning</v>
      </c>
      <c r="E341">
        <f>MONTH(Table1[[#This Row],[Date]])</f>
        <v>3</v>
      </c>
      <c r="F341" t="str">
        <f>VLOOKUP(Table1[[#This Row],[Month]],dctMonth[],2,FALSE)</f>
        <v>March</v>
      </c>
      <c r="G341" t="s">
        <v>19</v>
      </c>
      <c r="H341" t="s">
        <v>20</v>
      </c>
      <c r="I341" t="s">
        <v>21</v>
      </c>
      <c r="J341" t="s">
        <v>22</v>
      </c>
      <c r="K341">
        <v>84</v>
      </c>
      <c r="L341" t="str">
        <f>IF(Table1[[#This Row],[Age]]&lt;20,"&lt;20",IF(Table1[[#This Row],[Age]]&lt;=70,"20-70","&gt;70"))</f>
        <v>&gt;70</v>
      </c>
      <c r="M341" t="s">
        <v>29</v>
      </c>
      <c r="N341" t="s">
        <v>34</v>
      </c>
      <c r="O341">
        <v>28.45</v>
      </c>
      <c r="P341">
        <v>5</v>
      </c>
      <c r="Q341">
        <v>7.1124999999999998</v>
      </c>
      <c r="R341">
        <v>149.36250000000001</v>
      </c>
      <c r="S341">
        <v>142.25</v>
      </c>
      <c r="T341">
        <v>4.7619047620000003</v>
      </c>
      <c r="U341">
        <v>7.1124999999999998</v>
      </c>
      <c r="V341">
        <v>9.1</v>
      </c>
    </row>
    <row r="342" spans="1:22" x14ac:dyDescent="0.2">
      <c r="A342" t="s">
        <v>373</v>
      </c>
      <c r="B342" s="1">
        <v>43543</v>
      </c>
      <c r="C342" s="2">
        <v>0.65902777777777777</v>
      </c>
      <c r="D342" s="2" t="str">
        <f>IF(Table1[[#This Row],[Time]]&lt;$D$1,$C$1,IF(Table1[[#This Row],[Time]]&lt;$D$2,$C$2,$C$3))</f>
        <v>Afternoon</v>
      </c>
      <c r="E342">
        <f>MONTH(Table1[[#This Row],[Date]])</f>
        <v>3</v>
      </c>
      <c r="F342" t="str">
        <f>VLOOKUP(Table1[[#This Row],[Month]],dctMonth[],2,FALSE)</f>
        <v>March</v>
      </c>
      <c r="G342" t="s">
        <v>19</v>
      </c>
      <c r="H342" t="s">
        <v>20</v>
      </c>
      <c r="I342" t="s">
        <v>28</v>
      </c>
      <c r="J342" t="s">
        <v>32</v>
      </c>
      <c r="K342">
        <v>24</v>
      </c>
      <c r="L342" t="str">
        <f>IF(Table1[[#This Row],[Age]]&lt;20,"&lt;20",IF(Table1[[#This Row],[Age]]&lt;=70,"20-70","&gt;70"))</f>
        <v>20-70</v>
      </c>
      <c r="M342" t="s">
        <v>47</v>
      </c>
      <c r="N342" t="s">
        <v>24</v>
      </c>
      <c r="O342">
        <v>76.400000000000006</v>
      </c>
      <c r="P342">
        <v>9</v>
      </c>
      <c r="Q342">
        <v>34.380000000000003</v>
      </c>
      <c r="R342">
        <v>721.98</v>
      </c>
      <c r="S342">
        <v>687.6</v>
      </c>
      <c r="T342">
        <v>4.7619047620000003</v>
      </c>
      <c r="U342">
        <v>34.380000000000003</v>
      </c>
      <c r="V342">
        <v>7.5</v>
      </c>
    </row>
    <row r="343" spans="1:22" x14ac:dyDescent="0.2">
      <c r="A343" t="s">
        <v>374</v>
      </c>
      <c r="B343" s="1">
        <v>43520</v>
      </c>
      <c r="C343" s="2">
        <v>0.54305555555555551</v>
      </c>
      <c r="D343" s="2" t="str">
        <f>IF(Table1[[#This Row],[Time]]&lt;$D$1,$C$1,IF(Table1[[#This Row],[Time]]&lt;$D$2,$C$2,$C$3))</f>
        <v>Afternoon</v>
      </c>
      <c r="E343">
        <f>MONTH(Table1[[#This Row],[Date]])</f>
        <v>2</v>
      </c>
      <c r="F343" t="str">
        <f>VLOOKUP(Table1[[#This Row],[Month]],dctMonth[],2,FALSE)</f>
        <v>February</v>
      </c>
      <c r="G343" t="s">
        <v>43</v>
      </c>
      <c r="H343" t="s">
        <v>44</v>
      </c>
      <c r="I343" t="s">
        <v>28</v>
      </c>
      <c r="J343" t="s">
        <v>22</v>
      </c>
      <c r="K343">
        <v>77</v>
      </c>
      <c r="L343" t="str">
        <f>IF(Table1[[#This Row],[Age]]&lt;20,"&lt;20",IF(Table1[[#This Row],[Age]]&lt;=70,"20-70","&gt;70"))</f>
        <v>&gt;70</v>
      </c>
      <c r="M343" t="s">
        <v>37</v>
      </c>
      <c r="N343" t="s">
        <v>30</v>
      </c>
      <c r="O343">
        <v>57.95</v>
      </c>
      <c r="P343">
        <v>6</v>
      </c>
      <c r="Q343">
        <v>17.385000000000002</v>
      </c>
      <c r="R343">
        <v>365.08499999999998</v>
      </c>
      <c r="S343">
        <v>347.7</v>
      </c>
      <c r="T343">
        <v>4.7619047620000003</v>
      </c>
      <c r="U343">
        <v>17.385000000000002</v>
      </c>
      <c r="V343">
        <v>5.2</v>
      </c>
    </row>
    <row r="344" spans="1:22" x14ac:dyDescent="0.2">
      <c r="A344" t="s">
        <v>375</v>
      </c>
      <c r="B344" s="1">
        <v>43552</v>
      </c>
      <c r="C344" s="2">
        <v>0.54027777777777775</v>
      </c>
      <c r="D344" s="2" t="str">
        <f>IF(Table1[[#This Row],[Time]]&lt;$D$1,$C$1,IF(Table1[[#This Row],[Time]]&lt;$D$2,$C$2,$C$3))</f>
        <v>Afternoon</v>
      </c>
      <c r="E344">
        <f>MONTH(Table1[[#This Row],[Date]])</f>
        <v>3</v>
      </c>
      <c r="F344" t="str">
        <f>VLOOKUP(Table1[[#This Row],[Month]],dctMonth[],2,FALSE)</f>
        <v>March</v>
      </c>
      <c r="G344" t="s">
        <v>26</v>
      </c>
      <c r="H344" t="s">
        <v>27</v>
      </c>
      <c r="I344" t="s">
        <v>28</v>
      </c>
      <c r="J344" t="s">
        <v>22</v>
      </c>
      <c r="K344">
        <v>37</v>
      </c>
      <c r="L344" t="str">
        <f>IF(Table1[[#This Row],[Age]]&lt;20,"&lt;20",IF(Table1[[#This Row],[Age]]&lt;=70,"20-70","&gt;70"))</f>
        <v>20-70</v>
      </c>
      <c r="M344" t="s">
        <v>29</v>
      </c>
      <c r="N344" t="s">
        <v>34</v>
      </c>
      <c r="O344">
        <v>47.65</v>
      </c>
      <c r="P344">
        <v>3</v>
      </c>
      <c r="Q344">
        <v>7.1475</v>
      </c>
      <c r="R344">
        <v>150.0975</v>
      </c>
      <c r="S344">
        <v>142.94999999999999</v>
      </c>
      <c r="T344">
        <v>4.7619047620000003</v>
      </c>
      <c r="U344">
        <v>7.1475</v>
      </c>
      <c r="V344">
        <v>9.5</v>
      </c>
    </row>
    <row r="345" spans="1:22" x14ac:dyDescent="0.2">
      <c r="A345" t="s">
        <v>376</v>
      </c>
      <c r="B345" s="1">
        <v>43501</v>
      </c>
      <c r="C345" s="2">
        <v>0.6430555555555556</v>
      </c>
      <c r="D345" s="2" t="str">
        <f>IF(Table1[[#This Row],[Time]]&lt;$D$1,$C$1,IF(Table1[[#This Row],[Time]]&lt;$D$2,$C$2,$C$3))</f>
        <v>Afternoon</v>
      </c>
      <c r="E345">
        <f>MONTH(Table1[[#This Row],[Date]])</f>
        <v>2</v>
      </c>
      <c r="F345" t="str">
        <f>VLOOKUP(Table1[[#This Row],[Month]],dctMonth[],2,FALSE)</f>
        <v>February</v>
      </c>
      <c r="G345" t="s">
        <v>43</v>
      </c>
      <c r="H345" t="s">
        <v>44</v>
      </c>
      <c r="I345" t="s">
        <v>21</v>
      </c>
      <c r="J345" t="s">
        <v>22</v>
      </c>
      <c r="K345">
        <v>77</v>
      </c>
      <c r="L345" t="str">
        <f>IF(Table1[[#This Row],[Age]]&lt;20,"&lt;20",IF(Table1[[#This Row],[Age]]&lt;=70,"20-70","&gt;70"))</f>
        <v>&gt;70</v>
      </c>
      <c r="M345" t="s">
        <v>45</v>
      </c>
      <c r="N345" t="s">
        <v>34</v>
      </c>
      <c r="O345">
        <v>42.82</v>
      </c>
      <c r="P345">
        <v>9</v>
      </c>
      <c r="Q345">
        <v>19.268999999999998</v>
      </c>
      <c r="R345">
        <v>404.649</v>
      </c>
      <c r="S345">
        <v>385.38</v>
      </c>
      <c r="T345">
        <v>4.7619047620000003</v>
      </c>
      <c r="U345">
        <v>19.268999999999998</v>
      </c>
      <c r="V345">
        <v>8.9</v>
      </c>
    </row>
    <row r="346" spans="1:22" x14ac:dyDescent="0.2">
      <c r="A346" t="s">
        <v>377</v>
      </c>
      <c r="B346" s="1">
        <v>43506</v>
      </c>
      <c r="C346" s="2">
        <v>0.76597222222222228</v>
      </c>
      <c r="D346" s="2" t="str">
        <f>IF(Table1[[#This Row],[Time]]&lt;$D$1,$C$1,IF(Table1[[#This Row],[Time]]&lt;$D$2,$C$2,$C$3))</f>
        <v>Evening</v>
      </c>
      <c r="E346">
        <f>MONTH(Table1[[#This Row],[Date]])</f>
        <v>2</v>
      </c>
      <c r="F346" t="str">
        <f>VLOOKUP(Table1[[#This Row],[Month]],dctMonth[],2,FALSE)</f>
        <v>February</v>
      </c>
      <c r="G346" t="s">
        <v>43</v>
      </c>
      <c r="H346" t="s">
        <v>44</v>
      </c>
      <c r="I346" t="s">
        <v>21</v>
      </c>
      <c r="J346" t="s">
        <v>32</v>
      </c>
      <c r="K346">
        <v>43</v>
      </c>
      <c r="L346" t="str">
        <f>IF(Table1[[#This Row],[Age]]&lt;20,"&lt;20",IF(Table1[[#This Row],[Age]]&lt;=70,"20-70","&gt;70"))</f>
        <v>20-70</v>
      </c>
      <c r="M346" t="s">
        <v>29</v>
      </c>
      <c r="N346" t="s">
        <v>34</v>
      </c>
      <c r="O346">
        <v>48.09</v>
      </c>
      <c r="P346">
        <v>3</v>
      </c>
      <c r="Q346">
        <v>7.2134999999999998</v>
      </c>
      <c r="R346">
        <v>151.48349999999999</v>
      </c>
      <c r="S346">
        <v>144.27000000000001</v>
      </c>
      <c r="T346">
        <v>4.7619047620000003</v>
      </c>
      <c r="U346">
        <v>7.2134999999999998</v>
      </c>
      <c r="V346">
        <v>7.8</v>
      </c>
    </row>
    <row r="347" spans="1:22" x14ac:dyDescent="0.2">
      <c r="A347" t="s">
        <v>378</v>
      </c>
      <c r="B347" s="1">
        <v>43529</v>
      </c>
      <c r="C347" s="2">
        <v>0.79583333333333328</v>
      </c>
      <c r="D347" s="2" t="str">
        <f>IF(Table1[[#This Row],[Time]]&lt;$D$1,$C$1,IF(Table1[[#This Row],[Time]]&lt;$D$2,$C$2,$C$3))</f>
        <v>Evening</v>
      </c>
      <c r="E347">
        <f>MONTH(Table1[[#This Row],[Date]])</f>
        <v>3</v>
      </c>
      <c r="F347" t="str">
        <f>VLOOKUP(Table1[[#This Row],[Month]],dctMonth[],2,FALSE)</f>
        <v>March</v>
      </c>
      <c r="G347" t="s">
        <v>43</v>
      </c>
      <c r="H347" t="s">
        <v>44</v>
      </c>
      <c r="I347" t="s">
        <v>21</v>
      </c>
      <c r="J347" t="s">
        <v>22</v>
      </c>
      <c r="K347">
        <v>86</v>
      </c>
      <c r="L347" t="str">
        <f>IF(Table1[[#This Row],[Age]]&lt;20,"&lt;20",IF(Table1[[#This Row],[Age]]&lt;=70,"20-70","&gt;70"))</f>
        <v>&gt;70</v>
      </c>
      <c r="M347" t="s">
        <v>23</v>
      </c>
      <c r="N347" t="s">
        <v>24</v>
      </c>
      <c r="O347">
        <v>55.97</v>
      </c>
      <c r="P347">
        <v>7</v>
      </c>
      <c r="Q347">
        <v>19.589500000000001</v>
      </c>
      <c r="R347">
        <v>411.37950000000001</v>
      </c>
      <c r="S347">
        <v>391.79</v>
      </c>
      <c r="T347">
        <v>4.7619047620000003</v>
      </c>
      <c r="U347">
        <v>19.589500000000001</v>
      </c>
      <c r="V347">
        <v>8.9</v>
      </c>
    </row>
    <row r="348" spans="1:22" x14ac:dyDescent="0.2">
      <c r="A348" t="s">
        <v>379</v>
      </c>
      <c r="B348" s="1">
        <v>43511</v>
      </c>
      <c r="C348" s="2">
        <v>0.84791666666666665</v>
      </c>
      <c r="D348" s="2" t="str">
        <f>IF(Table1[[#This Row],[Time]]&lt;$D$1,$C$1,IF(Table1[[#This Row],[Time]]&lt;$D$2,$C$2,$C$3))</f>
        <v>Evening</v>
      </c>
      <c r="E348">
        <f>MONTH(Table1[[#This Row],[Date]])</f>
        <v>2</v>
      </c>
      <c r="F348" t="str">
        <f>VLOOKUP(Table1[[#This Row],[Month]],dctMonth[],2,FALSE)</f>
        <v>February</v>
      </c>
      <c r="G348" t="s">
        <v>43</v>
      </c>
      <c r="H348" t="s">
        <v>44</v>
      </c>
      <c r="I348" t="s">
        <v>21</v>
      </c>
      <c r="J348" t="s">
        <v>22</v>
      </c>
      <c r="K348">
        <v>73</v>
      </c>
      <c r="L348" t="str">
        <f>IF(Table1[[#This Row],[Age]]&lt;20,"&lt;20",IF(Table1[[#This Row],[Age]]&lt;=70,"20-70","&gt;70"))</f>
        <v>&gt;70</v>
      </c>
      <c r="M348" t="s">
        <v>23</v>
      </c>
      <c r="N348" t="s">
        <v>30</v>
      </c>
      <c r="O348">
        <v>76.900000000000006</v>
      </c>
      <c r="P348">
        <v>7</v>
      </c>
      <c r="Q348">
        <v>26.914999999999999</v>
      </c>
      <c r="R348">
        <v>565.21500000000003</v>
      </c>
      <c r="S348">
        <v>538.29999999999995</v>
      </c>
      <c r="T348">
        <v>4.7619047620000003</v>
      </c>
      <c r="U348">
        <v>26.914999999999999</v>
      </c>
      <c r="V348">
        <v>7.7</v>
      </c>
    </row>
    <row r="349" spans="1:22" x14ac:dyDescent="0.2">
      <c r="A349" t="s">
        <v>380</v>
      </c>
      <c r="B349" s="1">
        <v>43495</v>
      </c>
      <c r="C349" s="2">
        <v>0.68333333333333335</v>
      </c>
      <c r="D349" s="2" t="str">
        <f>IF(Table1[[#This Row],[Time]]&lt;$D$1,$C$1,IF(Table1[[#This Row],[Time]]&lt;$D$2,$C$2,$C$3))</f>
        <v>Afternoon</v>
      </c>
      <c r="E349">
        <f>MONTH(Table1[[#This Row],[Date]])</f>
        <v>1</v>
      </c>
      <c r="F349" t="str">
        <f>VLOOKUP(Table1[[#This Row],[Month]],dctMonth[],2,FALSE)</f>
        <v>January</v>
      </c>
      <c r="G349" t="s">
        <v>26</v>
      </c>
      <c r="H349" t="s">
        <v>27</v>
      </c>
      <c r="I349" t="s">
        <v>28</v>
      </c>
      <c r="J349" t="s">
        <v>22</v>
      </c>
      <c r="K349">
        <v>56</v>
      </c>
      <c r="L349" t="str">
        <f>IF(Table1[[#This Row],[Age]]&lt;20,"&lt;20",IF(Table1[[#This Row],[Age]]&lt;=70,"20-70","&gt;70"))</f>
        <v>20-70</v>
      </c>
      <c r="M349" t="s">
        <v>45</v>
      </c>
      <c r="N349" t="s">
        <v>24</v>
      </c>
      <c r="O349">
        <v>97.03</v>
      </c>
      <c r="P349">
        <v>5</v>
      </c>
      <c r="Q349">
        <v>24.2575</v>
      </c>
      <c r="R349">
        <v>509.40750000000003</v>
      </c>
      <c r="S349">
        <v>485.15</v>
      </c>
      <c r="T349">
        <v>4.7619047620000003</v>
      </c>
      <c r="U349">
        <v>24.2575</v>
      </c>
      <c r="V349">
        <v>9.3000000000000007</v>
      </c>
    </row>
    <row r="350" spans="1:22" x14ac:dyDescent="0.2">
      <c r="A350" t="s">
        <v>381</v>
      </c>
      <c r="B350" s="1">
        <v>43510</v>
      </c>
      <c r="C350" s="2">
        <v>0.62777777777777777</v>
      </c>
      <c r="D350" s="2" t="str">
        <f>IF(Table1[[#This Row],[Time]]&lt;$D$1,$C$1,IF(Table1[[#This Row],[Time]]&lt;$D$2,$C$2,$C$3))</f>
        <v>Afternoon</v>
      </c>
      <c r="E350">
        <f>MONTH(Table1[[#This Row],[Date]])</f>
        <v>2</v>
      </c>
      <c r="F350" t="str">
        <f>VLOOKUP(Table1[[#This Row],[Month]],dctMonth[],2,FALSE)</f>
        <v>February</v>
      </c>
      <c r="G350" t="s">
        <v>19</v>
      </c>
      <c r="H350" t="s">
        <v>20</v>
      </c>
      <c r="I350" t="s">
        <v>28</v>
      </c>
      <c r="J350" t="s">
        <v>32</v>
      </c>
      <c r="K350">
        <v>80</v>
      </c>
      <c r="L350" t="str">
        <f>IF(Table1[[#This Row],[Age]]&lt;20,"&lt;20",IF(Table1[[#This Row],[Age]]&lt;=70,"20-70","&gt;70"))</f>
        <v>&gt;70</v>
      </c>
      <c r="M350" t="s">
        <v>37</v>
      </c>
      <c r="N350" t="s">
        <v>30</v>
      </c>
      <c r="O350">
        <v>44.65</v>
      </c>
      <c r="P350">
        <v>3</v>
      </c>
      <c r="Q350">
        <v>6.6974999999999998</v>
      </c>
      <c r="R350">
        <v>140.64750000000001</v>
      </c>
      <c r="S350">
        <v>133.94999999999999</v>
      </c>
      <c r="T350">
        <v>4.7619047620000003</v>
      </c>
      <c r="U350">
        <v>6.6974999999999998</v>
      </c>
      <c r="V350">
        <v>6.2</v>
      </c>
    </row>
    <row r="351" spans="1:22" x14ac:dyDescent="0.2">
      <c r="A351" t="s">
        <v>382</v>
      </c>
      <c r="B351" s="1">
        <v>43523</v>
      </c>
      <c r="C351" s="2">
        <v>0.67361111111111116</v>
      </c>
      <c r="D351" s="2" t="str">
        <f>IF(Table1[[#This Row],[Time]]&lt;$D$1,$C$1,IF(Table1[[#This Row],[Time]]&lt;$D$2,$C$2,$C$3))</f>
        <v>Afternoon</v>
      </c>
      <c r="E351">
        <f>MONTH(Table1[[#This Row],[Date]])</f>
        <v>2</v>
      </c>
      <c r="F351" t="str">
        <f>VLOOKUP(Table1[[#This Row],[Month]],dctMonth[],2,FALSE)</f>
        <v>February</v>
      </c>
      <c r="G351" t="s">
        <v>19</v>
      </c>
      <c r="H351" t="s">
        <v>20</v>
      </c>
      <c r="I351" t="s">
        <v>28</v>
      </c>
      <c r="J351" t="s">
        <v>22</v>
      </c>
      <c r="K351">
        <v>66</v>
      </c>
      <c r="L351" t="str">
        <f>IF(Table1[[#This Row],[Age]]&lt;20,"&lt;20",IF(Table1[[#This Row],[Age]]&lt;=70,"20-70","&gt;70"))</f>
        <v>20-70</v>
      </c>
      <c r="M351" t="s">
        <v>47</v>
      </c>
      <c r="N351" t="s">
        <v>24</v>
      </c>
      <c r="O351">
        <v>77.930000000000007</v>
      </c>
      <c r="P351">
        <v>9</v>
      </c>
      <c r="Q351">
        <v>35.0685</v>
      </c>
      <c r="R351">
        <v>736.43849999999998</v>
      </c>
      <c r="S351">
        <v>701.37</v>
      </c>
      <c r="T351">
        <v>4.7619047620000003</v>
      </c>
      <c r="U351">
        <v>35.0685</v>
      </c>
      <c r="V351">
        <v>7.6</v>
      </c>
    </row>
    <row r="352" spans="1:22" x14ac:dyDescent="0.2">
      <c r="A352" t="s">
        <v>383</v>
      </c>
      <c r="B352" s="1">
        <v>43500</v>
      </c>
      <c r="C352" s="2">
        <v>0.50972222222222219</v>
      </c>
      <c r="D352" s="2" t="str">
        <f>IF(Table1[[#This Row],[Time]]&lt;$D$1,$C$1,IF(Table1[[#This Row],[Time]]&lt;$D$2,$C$2,$C$3))</f>
        <v>Afternoon</v>
      </c>
      <c r="E352">
        <f>MONTH(Table1[[#This Row],[Date]])</f>
        <v>2</v>
      </c>
      <c r="F352" t="str">
        <f>VLOOKUP(Table1[[#This Row],[Month]],dctMonth[],2,FALSE)</f>
        <v>February</v>
      </c>
      <c r="G352" t="s">
        <v>19</v>
      </c>
      <c r="H352" t="s">
        <v>20</v>
      </c>
      <c r="I352" t="s">
        <v>21</v>
      </c>
      <c r="J352" t="s">
        <v>32</v>
      </c>
      <c r="K352">
        <v>90</v>
      </c>
      <c r="L352" t="str">
        <f>IF(Table1[[#This Row],[Age]]&lt;20,"&lt;20",IF(Table1[[#This Row],[Age]]&lt;=70,"20-70","&gt;70"))</f>
        <v>&gt;70</v>
      </c>
      <c r="M352" t="s">
        <v>29</v>
      </c>
      <c r="N352" t="s">
        <v>30</v>
      </c>
      <c r="O352">
        <v>71.95</v>
      </c>
      <c r="P352">
        <v>1</v>
      </c>
      <c r="Q352">
        <v>3.5975000000000001</v>
      </c>
      <c r="R352">
        <v>75.547499999999999</v>
      </c>
      <c r="S352">
        <v>71.95</v>
      </c>
      <c r="T352">
        <v>4.7619047620000003</v>
      </c>
      <c r="U352">
        <v>3.5975000000000001</v>
      </c>
      <c r="V352">
        <v>7.3</v>
      </c>
    </row>
    <row r="353" spans="1:22" x14ac:dyDescent="0.2">
      <c r="A353" t="s">
        <v>384</v>
      </c>
      <c r="B353" s="1">
        <v>43485</v>
      </c>
      <c r="C353" s="2">
        <v>0.42569444444444443</v>
      </c>
      <c r="D353" s="2" t="str">
        <f>IF(Table1[[#This Row],[Time]]&lt;$D$1,$C$1,IF(Table1[[#This Row],[Time]]&lt;$D$2,$C$2,$C$3))</f>
        <v>Morning</v>
      </c>
      <c r="E353">
        <f>MONTH(Table1[[#This Row],[Date]])</f>
        <v>1</v>
      </c>
      <c r="F353" t="str">
        <f>VLOOKUP(Table1[[#This Row],[Month]],dctMonth[],2,FALSE)</f>
        <v>January</v>
      </c>
      <c r="G353" t="s">
        <v>26</v>
      </c>
      <c r="H353" t="s">
        <v>27</v>
      </c>
      <c r="I353" t="s">
        <v>21</v>
      </c>
      <c r="J353" t="s">
        <v>22</v>
      </c>
      <c r="K353">
        <v>59</v>
      </c>
      <c r="L353" t="str">
        <f>IF(Table1[[#This Row],[Age]]&lt;20,"&lt;20",IF(Table1[[#This Row],[Age]]&lt;=70,"20-70","&gt;70"))</f>
        <v>20-70</v>
      </c>
      <c r="M353" t="s">
        <v>33</v>
      </c>
      <c r="N353" t="s">
        <v>30</v>
      </c>
      <c r="O353">
        <v>89.25</v>
      </c>
      <c r="P353">
        <v>8</v>
      </c>
      <c r="Q353">
        <v>35.700000000000003</v>
      </c>
      <c r="R353">
        <v>749.7</v>
      </c>
      <c r="S353">
        <v>714</v>
      </c>
      <c r="T353">
        <v>4.7619047620000003</v>
      </c>
      <c r="U353">
        <v>35.700000000000003</v>
      </c>
      <c r="V353">
        <v>4.7</v>
      </c>
    </row>
    <row r="354" spans="1:22" x14ac:dyDescent="0.2">
      <c r="A354" t="s">
        <v>385</v>
      </c>
      <c r="B354" s="1">
        <v>43552</v>
      </c>
      <c r="C354" s="2">
        <v>0.73472222222222228</v>
      </c>
      <c r="D354" s="2" t="str">
        <f>IF(Table1[[#This Row],[Time]]&lt;$D$1,$C$1,IF(Table1[[#This Row],[Time]]&lt;$D$2,$C$2,$C$3))</f>
        <v>Evening</v>
      </c>
      <c r="E354">
        <f>MONTH(Table1[[#This Row],[Date]])</f>
        <v>3</v>
      </c>
      <c r="F354" t="str">
        <f>VLOOKUP(Table1[[#This Row],[Month]],dctMonth[],2,FALSE)</f>
        <v>March</v>
      </c>
      <c r="G354" t="s">
        <v>19</v>
      </c>
      <c r="H354" t="s">
        <v>20</v>
      </c>
      <c r="I354" t="s">
        <v>28</v>
      </c>
      <c r="J354" t="s">
        <v>32</v>
      </c>
      <c r="K354">
        <v>26</v>
      </c>
      <c r="L354" t="str">
        <f>IF(Table1[[#This Row],[Age]]&lt;20,"&lt;20",IF(Table1[[#This Row],[Age]]&lt;=70,"20-70","&gt;70"))</f>
        <v>20-70</v>
      </c>
      <c r="M354" t="s">
        <v>29</v>
      </c>
      <c r="N354" t="s">
        <v>30</v>
      </c>
      <c r="O354">
        <v>26.02</v>
      </c>
      <c r="P354">
        <v>7</v>
      </c>
      <c r="Q354">
        <v>9.1069999999999993</v>
      </c>
      <c r="R354">
        <v>191.24700000000001</v>
      </c>
      <c r="S354">
        <v>182.14</v>
      </c>
      <c r="T354">
        <v>4.7619047620000003</v>
      </c>
      <c r="U354">
        <v>9.1069999999999993</v>
      </c>
      <c r="V354">
        <v>5.0999999999999996</v>
      </c>
    </row>
    <row r="355" spans="1:22" x14ac:dyDescent="0.2">
      <c r="A355" t="s">
        <v>386</v>
      </c>
      <c r="B355" s="1">
        <v>43523</v>
      </c>
      <c r="C355" s="2">
        <v>0.46250000000000002</v>
      </c>
      <c r="D355" s="2" t="str">
        <f>IF(Table1[[#This Row],[Time]]&lt;$D$1,$C$1,IF(Table1[[#This Row],[Time]]&lt;$D$2,$C$2,$C$3))</f>
        <v>Morning</v>
      </c>
      <c r="E355">
        <f>MONTH(Table1[[#This Row],[Date]])</f>
        <v>2</v>
      </c>
      <c r="F355" t="str">
        <f>VLOOKUP(Table1[[#This Row],[Month]],dctMonth[],2,FALSE)</f>
        <v>February</v>
      </c>
      <c r="G355" t="s">
        <v>43</v>
      </c>
      <c r="H355" t="s">
        <v>44</v>
      </c>
      <c r="I355" t="s">
        <v>28</v>
      </c>
      <c r="J355" t="s">
        <v>22</v>
      </c>
      <c r="K355">
        <v>62</v>
      </c>
      <c r="L355" t="str">
        <f>IF(Table1[[#This Row],[Age]]&lt;20,"&lt;20",IF(Table1[[#This Row],[Age]]&lt;=70,"20-70","&gt;70"))</f>
        <v>20-70</v>
      </c>
      <c r="M355" t="s">
        <v>23</v>
      </c>
      <c r="N355" t="s">
        <v>34</v>
      </c>
      <c r="O355">
        <v>13.5</v>
      </c>
      <c r="P355">
        <v>10</v>
      </c>
      <c r="Q355">
        <v>6.75</v>
      </c>
      <c r="R355">
        <v>141.75</v>
      </c>
      <c r="S355">
        <v>135</v>
      </c>
      <c r="T355">
        <v>4.7619047620000003</v>
      </c>
      <c r="U355">
        <v>6.75</v>
      </c>
      <c r="V355">
        <v>4.8</v>
      </c>
    </row>
    <row r="356" spans="1:22" x14ac:dyDescent="0.2">
      <c r="A356" t="s">
        <v>387</v>
      </c>
      <c r="B356" s="1">
        <v>43511</v>
      </c>
      <c r="C356" s="2">
        <v>0.62013888888888891</v>
      </c>
      <c r="D356" s="2" t="str">
        <f>IF(Table1[[#This Row],[Time]]&lt;$D$1,$C$1,IF(Table1[[#This Row],[Time]]&lt;$D$2,$C$2,$C$3))</f>
        <v>Afternoon</v>
      </c>
      <c r="E356">
        <f>MONTH(Table1[[#This Row],[Date]])</f>
        <v>2</v>
      </c>
      <c r="F356" t="str">
        <f>VLOOKUP(Table1[[#This Row],[Month]],dctMonth[],2,FALSE)</f>
        <v>February</v>
      </c>
      <c r="G356" t="s">
        <v>26</v>
      </c>
      <c r="H356" t="s">
        <v>27</v>
      </c>
      <c r="I356" t="s">
        <v>21</v>
      </c>
      <c r="J356" t="s">
        <v>22</v>
      </c>
      <c r="K356">
        <v>45</v>
      </c>
      <c r="L356" t="str">
        <f>IF(Table1[[#This Row],[Age]]&lt;20,"&lt;20",IF(Table1[[#This Row],[Age]]&lt;=70,"20-70","&gt;70"))</f>
        <v>20-70</v>
      </c>
      <c r="M356" t="s">
        <v>47</v>
      </c>
      <c r="N356" t="s">
        <v>34</v>
      </c>
      <c r="O356">
        <v>99.3</v>
      </c>
      <c r="P356">
        <v>10</v>
      </c>
      <c r="Q356">
        <v>49.65</v>
      </c>
      <c r="R356">
        <v>1042.6500000000001</v>
      </c>
      <c r="S356">
        <v>993</v>
      </c>
      <c r="T356">
        <v>4.7619047620000003</v>
      </c>
      <c r="U356">
        <v>49.65</v>
      </c>
      <c r="V356">
        <v>6.6</v>
      </c>
    </row>
    <row r="357" spans="1:22" x14ac:dyDescent="0.2">
      <c r="A357" t="s">
        <v>388</v>
      </c>
      <c r="B357" s="1">
        <v>43491</v>
      </c>
      <c r="C357" s="2">
        <v>0.76527777777777772</v>
      </c>
      <c r="D357" s="2" t="str">
        <f>IF(Table1[[#This Row],[Time]]&lt;$D$1,$C$1,IF(Table1[[#This Row],[Time]]&lt;$D$2,$C$2,$C$3))</f>
        <v>Evening</v>
      </c>
      <c r="E357">
        <f>MONTH(Table1[[#This Row],[Date]])</f>
        <v>1</v>
      </c>
      <c r="F357" t="str">
        <f>VLOOKUP(Table1[[#This Row],[Month]],dctMonth[],2,FALSE)</f>
        <v>January</v>
      </c>
      <c r="G357" t="s">
        <v>19</v>
      </c>
      <c r="H357" t="s">
        <v>20</v>
      </c>
      <c r="I357" t="s">
        <v>28</v>
      </c>
      <c r="J357" t="s">
        <v>32</v>
      </c>
      <c r="K357">
        <v>34</v>
      </c>
      <c r="L357" t="str">
        <f>IF(Table1[[#This Row],[Age]]&lt;20,"&lt;20",IF(Table1[[#This Row],[Age]]&lt;=70,"20-70","&gt;70"))</f>
        <v>20-70</v>
      </c>
      <c r="M357" t="s">
        <v>29</v>
      </c>
      <c r="N357" t="s">
        <v>30</v>
      </c>
      <c r="O357">
        <v>51.69</v>
      </c>
      <c r="P357">
        <v>7</v>
      </c>
      <c r="Q357">
        <v>18.0915</v>
      </c>
      <c r="R357">
        <v>379.92149999999998</v>
      </c>
      <c r="S357">
        <v>361.83</v>
      </c>
      <c r="T357">
        <v>4.7619047620000003</v>
      </c>
      <c r="U357">
        <v>18.0915</v>
      </c>
      <c r="V357">
        <v>5.5</v>
      </c>
    </row>
    <row r="358" spans="1:22" x14ac:dyDescent="0.2">
      <c r="A358" t="s">
        <v>389</v>
      </c>
      <c r="B358" s="1">
        <v>43538</v>
      </c>
      <c r="C358" s="2">
        <v>0.79305555555555551</v>
      </c>
      <c r="D358" s="2" t="str">
        <f>IF(Table1[[#This Row],[Time]]&lt;$D$1,$C$1,IF(Table1[[#This Row],[Time]]&lt;$D$2,$C$2,$C$3))</f>
        <v>Evening</v>
      </c>
      <c r="E358">
        <f>MONTH(Table1[[#This Row],[Date]])</f>
        <v>3</v>
      </c>
      <c r="F358" t="str">
        <f>VLOOKUP(Table1[[#This Row],[Month]],dctMonth[],2,FALSE)</f>
        <v>March</v>
      </c>
      <c r="G358" t="s">
        <v>43</v>
      </c>
      <c r="H358" t="s">
        <v>44</v>
      </c>
      <c r="I358" t="s">
        <v>21</v>
      </c>
      <c r="J358" t="s">
        <v>22</v>
      </c>
      <c r="K358">
        <v>45</v>
      </c>
      <c r="L358" t="str">
        <f>IF(Table1[[#This Row],[Age]]&lt;20,"&lt;20",IF(Table1[[#This Row],[Age]]&lt;=70,"20-70","&gt;70"))</f>
        <v>20-70</v>
      </c>
      <c r="M358" t="s">
        <v>47</v>
      </c>
      <c r="N358" t="s">
        <v>34</v>
      </c>
      <c r="O358">
        <v>54.73</v>
      </c>
      <c r="P358">
        <v>7</v>
      </c>
      <c r="Q358">
        <v>19.1555</v>
      </c>
      <c r="R358">
        <v>402.26549999999997</v>
      </c>
      <c r="S358">
        <v>383.11</v>
      </c>
      <c r="T358">
        <v>4.7619047620000003</v>
      </c>
      <c r="U358">
        <v>19.1555</v>
      </c>
      <c r="V358">
        <v>8.5</v>
      </c>
    </row>
    <row r="359" spans="1:22" x14ac:dyDescent="0.2">
      <c r="A359" t="s">
        <v>390</v>
      </c>
      <c r="B359" s="1">
        <v>43526</v>
      </c>
      <c r="C359" s="2">
        <v>0.59444444444444444</v>
      </c>
      <c r="D359" s="2" t="str">
        <f>IF(Table1[[#This Row],[Time]]&lt;$D$1,$C$1,IF(Table1[[#This Row],[Time]]&lt;$D$2,$C$2,$C$3))</f>
        <v>Afternoon</v>
      </c>
      <c r="E359">
        <f>MONTH(Table1[[#This Row],[Date]])</f>
        <v>3</v>
      </c>
      <c r="F359" t="str">
        <f>VLOOKUP(Table1[[#This Row],[Month]],dctMonth[],2,FALSE)</f>
        <v>March</v>
      </c>
      <c r="G359" t="s">
        <v>43</v>
      </c>
      <c r="H359" t="s">
        <v>44</v>
      </c>
      <c r="I359" t="s">
        <v>21</v>
      </c>
      <c r="J359" t="s">
        <v>32</v>
      </c>
      <c r="K359">
        <v>32</v>
      </c>
      <c r="L359" t="str">
        <f>IF(Table1[[#This Row],[Age]]&lt;20,"&lt;20",IF(Table1[[#This Row],[Age]]&lt;=70,"20-70","&gt;70"))</f>
        <v>20-70</v>
      </c>
      <c r="M359" t="s">
        <v>33</v>
      </c>
      <c r="N359" t="s">
        <v>30</v>
      </c>
      <c r="O359">
        <v>27</v>
      </c>
      <c r="P359">
        <v>9</v>
      </c>
      <c r="Q359">
        <v>12.15</v>
      </c>
      <c r="R359">
        <v>255.15</v>
      </c>
      <c r="S359">
        <v>243</v>
      </c>
      <c r="T359">
        <v>4.7619047620000003</v>
      </c>
      <c r="U359">
        <v>12.15</v>
      </c>
      <c r="V359">
        <v>4.8</v>
      </c>
    </row>
    <row r="360" spans="1:22" x14ac:dyDescent="0.2">
      <c r="A360" t="s">
        <v>391</v>
      </c>
      <c r="B360" s="1">
        <v>43528</v>
      </c>
      <c r="C360" s="2">
        <v>0.65555555555555556</v>
      </c>
      <c r="D360" s="2" t="str">
        <f>IF(Table1[[#This Row],[Time]]&lt;$D$1,$C$1,IF(Table1[[#This Row],[Time]]&lt;$D$2,$C$2,$C$3))</f>
        <v>Afternoon</v>
      </c>
      <c r="E360">
        <f>MONTH(Table1[[#This Row],[Date]])</f>
        <v>3</v>
      </c>
      <c r="F360" t="str">
        <f>VLOOKUP(Table1[[#This Row],[Month]],dctMonth[],2,FALSE)</f>
        <v>March</v>
      </c>
      <c r="G360" t="s">
        <v>26</v>
      </c>
      <c r="H360" t="s">
        <v>27</v>
      </c>
      <c r="I360" t="s">
        <v>28</v>
      </c>
      <c r="J360" t="s">
        <v>22</v>
      </c>
      <c r="K360">
        <v>77</v>
      </c>
      <c r="L360" t="str">
        <f>IF(Table1[[#This Row],[Age]]&lt;20,"&lt;20",IF(Table1[[#This Row],[Age]]&lt;=70,"20-70","&gt;70"))</f>
        <v>&gt;70</v>
      </c>
      <c r="M360" t="s">
        <v>29</v>
      </c>
      <c r="N360" t="s">
        <v>30</v>
      </c>
      <c r="O360">
        <v>30.24</v>
      </c>
      <c r="P360">
        <v>1</v>
      </c>
      <c r="Q360">
        <v>1.512</v>
      </c>
      <c r="R360">
        <v>31.751999999999999</v>
      </c>
      <c r="S360">
        <v>30.24</v>
      </c>
      <c r="T360">
        <v>4.7619047620000003</v>
      </c>
      <c r="U360">
        <v>1.512</v>
      </c>
      <c r="V360">
        <v>8.4</v>
      </c>
    </row>
    <row r="361" spans="1:22" x14ac:dyDescent="0.2">
      <c r="A361" t="s">
        <v>392</v>
      </c>
      <c r="B361" s="1">
        <v>43472</v>
      </c>
      <c r="C361" s="2">
        <v>0.51388888888888884</v>
      </c>
      <c r="D361" s="2" t="str">
        <f>IF(Table1[[#This Row],[Time]]&lt;$D$1,$C$1,IF(Table1[[#This Row],[Time]]&lt;$D$2,$C$2,$C$3))</f>
        <v>Afternoon</v>
      </c>
      <c r="E361">
        <f>MONTH(Table1[[#This Row],[Date]])</f>
        <v>1</v>
      </c>
      <c r="F361" t="str">
        <f>VLOOKUP(Table1[[#This Row],[Month]],dctMonth[],2,FALSE)</f>
        <v>January</v>
      </c>
      <c r="G361" t="s">
        <v>43</v>
      </c>
      <c r="H361" t="s">
        <v>44</v>
      </c>
      <c r="I361" t="s">
        <v>21</v>
      </c>
      <c r="J361" t="s">
        <v>22</v>
      </c>
      <c r="K361">
        <v>58</v>
      </c>
      <c r="L361" t="str">
        <f>IF(Table1[[#This Row],[Age]]&lt;20,"&lt;20",IF(Table1[[#This Row],[Age]]&lt;=70,"20-70","&gt;70"))</f>
        <v>20-70</v>
      </c>
      <c r="M361" t="s">
        <v>45</v>
      </c>
      <c r="N361" t="s">
        <v>34</v>
      </c>
      <c r="O361">
        <v>89.14</v>
      </c>
      <c r="P361">
        <v>4</v>
      </c>
      <c r="Q361">
        <v>17.827999999999999</v>
      </c>
      <c r="R361">
        <v>374.38799999999998</v>
      </c>
      <c r="S361">
        <v>356.56</v>
      </c>
      <c r="T361">
        <v>4.7619047620000003</v>
      </c>
      <c r="U361">
        <v>17.827999999999999</v>
      </c>
      <c r="V361">
        <v>7.8</v>
      </c>
    </row>
    <row r="362" spans="1:22" x14ac:dyDescent="0.2">
      <c r="A362" t="s">
        <v>393</v>
      </c>
      <c r="B362" s="1">
        <v>43532</v>
      </c>
      <c r="C362" s="2">
        <v>0.83402777777777781</v>
      </c>
      <c r="D362" s="2" t="str">
        <f>IF(Table1[[#This Row],[Time]]&lt;$D$1,$C$1,IF(Table1[[#This Row],[Time]]&lt;$D$2,$C$2,$C$3))</f>
        <v>Evening</v>
      </c>
      <c r="E362">
        <f>MONTH(Table1[[#This Row],[Date]])</f>
        <v>3</v>
      </c>
      <c r="F362" t="str">
        <f>VLOOKUP(Table1[[#This Row],[Month]],dctMonth[],2,FALSE)</f>
        <v>March</v>
      </c>
      <c r="G362" t="s">
        <v>26</v>
      </c>
      <c r="H362" t="s">
        <v>27</v>
      </c>
      <c r="I362" t="s">
        <v>28</v>
      </c>
      <c r="J362" t="s">
        <v>22</v>
      </c>
      <c r="K362">
        <v>51</v>
      </c>
      <c r="L362" t="str">
        <f>IF(Table1[[#This Row],[Age]]&lt;20,"&lt;20",IF(Table1[[#This Row],[Age]]&lt;=70,"20-70","&gt;70"))</f>
        <v>20-70</v>
      </c>
      <c r="M362" t="s">
        <v>47</v>
      </c>
      <c r="N362" t="s">
        <v>34</v>
      </c>
      <c r="O362">
        <v>37.549999999999997</v>
      </c>
      <c r="P362">
        <v>10</v>
      </c>
      <c r="Q362">
        <v>18.774999999999999</v>
      </c>
      <c r="R362">
        <v>394.27499999999998</v>
      </c>
      <c r="S362">
        <v>375.5</v>
      </c>
      <c r="T362">
        <v>4.7619047620000003</v>
      </c>
      <c r="U362">
        <v>18.774999999999999</v>
      </c>
      <c r="V362">
        <v>9.3000000000000007</v>
      </c>
    </row>
    <row r="363" spans="1:22" x14ac:dyDescent="0.2">
      <c r="A363" t="s">
        <v>394</v>
      </c>
      <c r="B363" s="1">
        <v>43474</v>
      </c>
      <c r="C363" s="2">
        <v>0.57291666666666663</v>
      </c>
      <c r="D363" s="2" t="str">
        <f>IF(Table1[[#This Row],[Time]]&lt;$D$1,$C$1,IF(Table1[[#This Row],[Time]]&lt;$D$2,$C$2,$C$3))</f>
        <v>Afternoon</v>
      </c>
      <c r="E363">
        <f>MONTH(Table1[[#This Row],[Date]])</f>
        <v>1</v>
      </c>
      <c r="F363" t="str">
        <f>VLOOKUP(Table1[[#This Row],[Month]],dctMonth[],2,FALSE)</f>
        <v>January</v>
      </c>
      <c r="G363" t="s">
        <v>26</v>
      </c>
      <c r="H363" t="s">
        <v>27</v>
      </c>
      <c r="I363" t="s">
        <v>28</v>
      </c>
      <c r="J363" t="s">
        <v>22</v>
      </c>
      <c r="K363">
        <v>66</v>
      </c>
      <c r="L363" t="str">
        <f>IF(Table1[[#This Row],[Age]]&lt;20,"&lt;20",IF(Table1[[#This Row],[Age]]&lt;=70,"20-70","&gt;70"))</f>
        <v>20-70</v>
      </c>
      <c r="M363" t="s">
        <v>37</v>
      </c>
      <c r="N363" t="s">
        <v>30</v>
      </c>
      <c r="O363">
        <v>95.44</v>
      </c>
      <c r="P363">
        <v>10</v>
      </c>
      <c r="Q363">
        <v>47.72</v>
      </c>
      <c r="R363">
        <v>1002.12</v>
      </c>
      <c r="S363">
        <v>954.4</v>
      </c>
      <c r="T363">
        <v>4.7619047620000003</v>
      </c>
      <c r="U363">
        <v>47.72</v>
      </c>
      <c r="V363">
        <v>5.2</v>
      </c>
    </row>
    <row r="364" spans="1:22" x14ac:dyDescent="0.2">
      <c r="A364" t="s">
        <v>395</v>
      </c>
      <c r="B364" s="1">
        <v>43525</v>
      </c>
      <c r="C364" s="2">
        <v>0.65277777777777779</v>
      </c>
      <c r="D364" s="2" t="str">
        <f>IF(Table1[[#This Row],[Time]]&lt;$D$1,$C$1,IF(Table1[[#This Row],[Time]]&lt;$D$2,$C$2,$C$3))</f>
        <v>Afternoon</v>
      </c>
      <c r="E364">
        <f>MONTH(Table1[[#This Row],[Date]])</f>
        <v>3</v>
      </c>
      <c r="F364" t="str">
        <f>VLOOKUP(Table1[[#This Row],[Month]],dctMonth[],2,FALSE)</f>
        <v>March</v>
      </c>
      <c r="G364" t="s">
        <v>43</v>
      </c>
      <c r="H364" t="s">
        <v>44</v>
      </c>
      <c r="I364" t="s">
        <v>28</v>
      </c>
      <c r="J364" t="s">
        <v>32</v>
      </c>
      <c r="K364">
        <v>37</v>
      </c>
      <c r="L364" t="str">
        <f>IF(Table1[[#This Row],[Age]]&lt;20,"&lt;20",IF(Table1[[#This Row],[Age]]&lt;=70,"20-70","&gt;70"))</f>
        <v>20-70</v>
      </c>
      <c r="M364" t="s">
        <v>29</v>
      </c>
      <c r="N364" t="s">
        <v>24</v>
      </c>
      <c r="O364">
        <v>27.5</v>
      </c>
      <c r="P364">
        <v>3</v>
      </c>
      <c r="Q364">
        <v>4.125</v>
      </c>
      <c r="R364">
        <v>86.625</v>
      </c>
      <c r="S364">
        <v>82.5</v>
      </c>
      <c r="T364">
        <v>4.7619047620000003</v>
      </c>
      <c r="U364">
        <v>4.125</v>
      </c>
      <c r="V364">
        <v>6.5</v>
      </c>
    </row>
    <row r="365" spans="1:22" x14ac:dyDescent="0.2">
      <c r="A365" t="s">
        <v>396</v>
      </c>
      <c r="B365" s="1">
        <v>43540</v>
      </c>
      <c r="C365" s="2">
        <v>0.70694444444444449</v>
      </c>
      <c r="D365" s="2" t="str">
        <f>IF(Table1[[#This Row],[Time]]&lt;$D$1,$C$1,IF(Table1[[#This Row],[Time]]&lt;$D$2,$C$2,$C$3))</f>
        <v>Afternoon</v>
      </c>
      <c r="E365">
        <f>MONTH(Table1[[#This Row],[Date]])</f>
        <v>3</v>
      </c>
      <c r="F365" t="str">
        <f>VLOOKUP(Table1[[#This Row],[Month]],dctMonth[],2,FALSE)</f>
        <v>March</v>
      </c>
      <c r="G365" t="s">
        <v>43</v>
      </c>
      <c r="H365" t="s">
        <v>44</v>
      </c>
      <c r="I365" t="s">
        <v>28</v>
      </c>
      <c r="J365" t="s">
        <v>32</v>
      </c>
      <c r="K365">
        <v>56</v>
      </c>
      <c r="L365" t="str">
        <f>IF(Table1[[#This Row],[Age]]&lt;20,"&lt;20",IF(Table1[[#This Row],[Age]]&lt;=70,"20-70","&gt;70"))</f>
        <v>20-70</v>
      </c>
      <c r="M365" t="s">
        <v>37</v>
      </c>
      <c r="N365" t="s">
        <v>30</v>
      </c>
      <c r="O365">
        <v>74.97</v>
      </c>
      <c r="P365">
        <v>1</v>
      </c>
      <c r="Q365">
        <v>3.7484999999999999</v>
      </c>
      <c r="R365">
        <v>78.718500000000006</v>
      </c>
      <c r="S365">
        <v>74.97</v>
      </c>
      <c r="T365">
        <v>4.7619047620000003</v>
      </c>
      <c r="U365">
        <v>3.7484999999999999</v>
      </c>
      <c r="V365">
        <v>5.6</v>
      </c>
    </row>
    <row r="366" spans="1:22" x14ac:dyDescent="0.2">
      <c r="A366" t="s">
        <v>397</v>
      </c>
      <c r="B366" s="1">
        <v>43513</v>
      </c>
      <c r="C366" s="2">
        <v>0.46666666666666667</v>
      </c>
      <c r="D366" s="2" t="str">
        <f>IF(Table1[[#This Row],[Time]]&lt;$D$1,$C$1,IF(Table1[[#This Row],[Time]]&lt;$D$2,$C$2,$C$3))</f>
        <v>Morning</v>
      </c>
      <c r="E366">
        <f>MONTH(Table1[[#This Row],[Date]])</f>
        <v>2</v>
      </c>
      <c r="F366" t="str">
        <f>VLOOKUP(Table1[[#This Row],[Month]],dctMonth[],2,FALSE)</f>
        <v>February</v>
      </c>
      <c r="G366" t="s">
        <v>19</v>
      </c>
      <c r="H366" t="s">
        <v>20</v>
      </c>
      <c r="I366" t="s">
        <v>21</v>
      </c>
      <c r="J366" t="s">
        <v>32</v>
      </c>
      <c r="K366">
        <v>20</v>
      </c>
      <c r="L366" t="str">
        <f>IF(Table1[[#This Row],[Age]]&lt;20,"&lt;20",IF(Table1[[#This Row],[Age]]&lt;=70,"20-70","&gt;70"))</f>
        <v>20-70</v>
      </c>
      <c r="M366" t="s">
        <v>45</v>
      </c>
      <c r="N366" t="s">
        <v>34</v>
      </c>
      <c r="O366">
        <v>80.959999999999994</v>
      </c>
      <c r="P366">
        <v>8</v>
      </c>
      <c r="Q366">
        <v>32.384</v>
      </c>
      <c r="R366">
        <v>680.06399999999996</v>
      </c>
      <c r="S366">
        <v>647.67999999999995</v>
      </c>
      <c r="T366">
        <v>4.7619047620000003</v>
      </c>
      <c r="U366">
        <v>32.384</v>
      </c>
      <c r="V366">
        <v>7.4</v>
      </c>
    </row>
    <row r="367" spans="1:22" x14ac:dyDescent="0.2">
      <c r="A367" t="s">
        <v>398</v>
      </c>
      <c r="B367" s="1">
        <v>43523</v>
      </c>
      <c r="C367" s="2">
        <v>0.6333333333333333</v>
      </c>
      <c r="D367" s="2" t="str">
        <f>IF(Table1[[#This Row],[Time]]&lt;$D$1,$C$1,IF(Table1[[#This Row],[Time]]&lt;$D$2,$C$2,$C$3))</f>
        <v>Afternoon</v>
      </c>
      <c r="E367">
        <f>MONTH(Table1[[#This Row],[Date]])</f>
        <v>2</v>
      </c>
      <c r="F367" t="str">
        <f>VLOOKUP(Table1[[#This Row],[Month]],dctMonth[],2,FALSE)</f>
        <v>February</v>
      </c>
      <c r="G367" t="s">
        <v>26</v>
      </c>
      <c r="H367" t="s">
        <v>27</v>
      </c>
      <c r="I367" t="s">
        <v>28</v>
      </c>
      <c r="J367" t="s">
        <v>22</v>
      </c>
      <c r="K367">
        <v>56</v>
      </c>
      <c r="L367" t="str">
        <f>IF(Table1[[#This Row],[Age]]&lt;20,"&lt;20",IF(Table1[[#This Row],[Age]]&lt;=70,"20-70","&gt;70"))</f>
        <v>20-70</v>
      </c>
      <c r="M367" t="s">
        <v>45</v>
      </c>
      <c r="N367" t="s">
        <v>30</v>
      </c>
      <c r="O367">
        <v>94.47</v>
      </c>
      <c r="P367">
        <v>8</v>
      </c>
      <c r="Q367">
        <v>37.787999999999997</v>
      </c>
      <c r="R367">
        <v>793.548</v>
      </c>
      <c r="S367">
        <v>755.76</v>
      </c>
      <c r="T367">
        <v>4.7619047620000003</v>
      </c>
      <c r="U367">
        <v>37.787999999999997</v>
      </c>
      <c r="V367">
        <v>9.1</v>
      </c>
    </row>
    <row r="368" spans="1:22" x14ac:dyDescent="0.2">
      <c r="A368" t="s">
        <v>399</v>
      </c>
      <c r="B368" s="1">
        <v>43531</v>
      </c>
      <c r="C368" s="2">
        <v>0.85902777777777772</v>
      </c>
      <c r="D368" s="2" t="str">
        <f>IF(Table1[[#This Row],[Time]]&lt;$D$1,$C$1,IF(Table1[[#This Row],[Time]]&lt;$D$2,$C$2,$C$3))</f>
        <v>Evening</v>
      </c>
      <c r="E368">
        <f>MONTH(Table1[[#This Row],[Date]])</f>
        <v>3</v>
      </c>
      <c r="F368" t="str">
        <f>VLOOKUP(Table1[[#This Row],[Month]],dctMonth[],2,FALSE)</f>
        <v>March</v>
      </c>
      <c r="G368" t="s">
        <v>26</v>
      </c>
      <c r="H368" t="s">
        <v>27</v>
      </c>
      <c r="I368" t="s">
        <v>28</v>
      </c>
      <c r="J368" t="s">
        <v>32</v>
      </c>
      <c r="K368">
        <v>22</v>
      </c>
      <c r="L368" t="str">
        <f>IF(Table1[[#This Row],[Age]]&lt;20,"&lt;20",IF(Table1[[#This Row],[Age]]&lt;=70,"20-70","&gt;70"))</f>
        <v>20-70</v>
      </c>
      <c r="M368" t="s">
        <v>45</v>
      </c>
      <c r="N368" t="s">
        <v>24</v>
      </c>
      <c r="O368">
        <v>99.79</v>
      </c>
      <c r="P368">
        <v>2</v>
      </c>
      <c r="Q368">
        <v>9.9789999999999992</v>
      </c>
      <c r="R368">
        <v>209.559</v>
      </c>
      <c r="S368">
        <v>199.58</v>
      </c>
      <c r="T368">
        <v>4.7619047620000003</v>
      </c>
      <c r="U368">
        <v>9.9789999999999992</v>
      </c>
      <c r="V368">
        <v>8</v>
      </c>
    </row>
    <row r="369" spans="1:22" x14ac:dyDescent="0.2">
      <c r="A369" t="s">
        <v>400</v>
      </c>
      <c r="B369" s="1">
        <v>43486</v>
      </c>
      <c r="C369" s="2">
        <v>0.73888888888888893</v>
      </c>
      <c r="D369" s="2" t="str">
        <f>IF(Table1[[#This Row],[Time]]&lt;$D$1,$C$1,IF(Table1[[#This Row],[Time]]&lt;$D$2,$C$2,$C$3))</f>
        <v>Evening</v>
      </c>
      <c r="E369">
        <f>MONTH(Table1[[#This Row],[Date]])</f>
        <v>1</v>
      </c>
      <c r="F369" t="str">
        <f>VLOOKUP(Table1[[#This Row],[Month]],dctMonth[],2,FALSE)</f>
        <v>January</v>
      </c>
      <c r="G369" t="s">
        <v>19</v>
      </c>
      <c r="H369" t="s">
        <v>20</v>
      </c>
      <c r="I369" t="s">
        <v>28</v>
      </c>
      <c r="J369" t="s">
        <v>32</v>
      </c>
      <c r="K369">
        <v>54</v>
      </c>
      <c r="L369" t="str">
        <f>IF(Table1[[#This Row],[Age]]&lt;20,"&lt;20",IF(Table1[[#This Row],[Age]]&lt;=70,"20-70","&gt;70"))</f>
        <v>20-70</v>
      </c>
      <c r="M369" t="s">
        <v>33</v>
      </c>
      <c r="N369" t="s">
        <v>30</v>
      </c>
      <c r="O369">
        <v>73.22</v>
      </c>
      <c r="P369">
        <v>6</v>
      </c>
      <c r="Q369">
        <v>21.966000000000001</v>
      </c>
      <c r="R369">
        <v>461.286</v>
      </c>
      <c r="S369">
        <v>439.32</v>
      </c>
      <c r="T369">
        <v>4.7619047620000003</v>
      </c>
      <c r="U369">
        <v>21.966000000000001</v>
      </c>
      <c r="V369">
        <v>7.2</v>
      </c>
    </row>
    <row r="370" spans="1:22" x14ac:dyDescent="0.2">
      <c r="A370" t="s">
        <v>401</v>
      </c>
      <c r="B370" s="1">
        <v>43515</v>
      </c>
      <c r="C370" s="2">
        <v>0.68263888888888891</v>
      </c>
      <c r="D370" s="2" t="str">
        <f>IF(Table1[[#This Row],[Time]]&lt;$D$1,$C$1,IF(Table1[[#This Row],[Time]]&lt;$D$2,$C$2,$C$3))</f>
        <v>Afternoon</v>
      </c>
      <c r="E370">
        <f>MONTH(Table1[[#This Row],[Date]])</f>
        <v>2</v>
      </c>
      <c r="F370" t="str">
        <f>VLOOKUP(Table1[[#This Row],[Month]],dctMonth[],2,FALSE)</f>
        <v>February</v>
      </c>
      <c r="G370" t="s">
        <v>26</v>
      </c>
      <c r="H370" t="s">
        <v>27</v>
      </c>
      <c r="I370" t="s">
        <v>28</v>
      </c>
      <c r="J370" t="s">
        <v>22</v>
      </c>
      <c r="K370">
        <v>25</v>
      </c>
      <c r="L370" t="str">
        <f>IF(Table1[[#This Row],[Age]]&lt;20,"&lt;20",IF(Table1[[#This Row],[Age]]&lt;=70,"20-70","&gt;70"))</f>
        <v>20-70</v>
      </c>
      <c r="M370" t="s">
        <v>45</v>
      </c>
      <c r="N370" t="s">
        <v>30</v>
      </c>
      <c r="O370">
        <v>41.24</v>
      </c>
      <c r="P370">
        <v>4</v>
      </c>
      <c r="Q370">
        <v>8.2479999999999993</v>
      </c>
      <c r="R370">
        <v>173.208</v>
      </c>
      <c r="S370">
        <v>164.96</v>
      </c>
      <c r="T370">
        <v>4.7619047620000003</v>
      </c>
      <c r="U370">
        <v>8.2479999999999993</v>
      </c>
      <c r="V370">
        <v>7.1</v>
      </c>
    </row>
    <row r="371" spans="1:22" x14ac:dyDescent="0.2">
      <c r="A371" t="s">
        <v>402</v>
      </c>
      <c r="B371" s="1">
        <v>43471</v>
      </c>
      <c r="C371" s="2">
        <v>0.5083333333333333</v>
      </c>
      <c r="D371" s="2" t="str">
        <f>IF(Table1[[#This Row],[Time]]&lt;$D$1,$C$1,IF(Table1[[#This Row],[Time]]&lt;$D$2,$C$2,$C$3))</f>
        <v>Afternoon</v>
      </c>
      <c r="E371">
        <f>MONTH(Table1[[#This Row],[Date]])</f>
        <v>1</v>
      </c>
      <c r="F371" t="str">
        <f>VLOOKUP(Table1[[#This Row],[Month]],dctMonth[],2,FALSE)</f>
        <v>January</v>
      </c>
      <c r="G371" t="s">
        <v>26</v>
      </c>
      <c r="H371" t="s">
        <v>27</v>
      </c>
      <c r="I371" t="s">
        <v>28</v>
      </c>
      <c r="J371" t="s">
        <v>22</v>
      </c>
      <c r="K371">
        <v>25</v>
      </c>
      <c r="L371" t="str">
        <f>IF(Table1[[#This Row],[Age]]&lt;20,"&lt;20",IF(Table1[[#This Row],[Age]]&lt;=70,"20-70","&gt;70"))</f>
        <v>20-70</v>
      </c>
      <c r="M371" t="s">
        <v>47</v>
      </c>
      <c r="N371" t="s">
        <v>30</v>
      </c>
      <c r="O371">
        <v>81.680000000000007</v>
      </c>
      <c r="P371">
        <v>4</v>
      </c>
      <c r="Q371">
        <v>16.335999999999999</v>
      </c>
      <c r="R371">
        <v>343.05599999999998</v>
      </c>
      <c r="S371">
        <v>326.72000000000003</v>
      </c>
      <c r="T371">
        <v>4.7619047620000003</v>
      </c>
      <c r="U371">
        <v>16.335999999999999</v>
      </c>
      <c r="V371">
        <v>9.1</v>
      </c>
    </row>
    <row r="372" spans="1:22" x14ac:dyDescent="0.2">
      <c r="A372" t="s">
        <v>403</v>
      </c>
      <c r="B372" s="1">
        <v>43538</v>
      </c>
      <c r="C372" s="2">
        <v>0.81458333333333333</v>
      </c>
      <c r="D372" s="2" t="str">
        <f>IF(Table1[[#This Row],[Time]]&lt;$D$1,$C$1,IF(Table1[[#This Row],[Time]]&lt;$D$2,$C$2,$C$3))</f>
        <v>Evening</v>
      </c>
      <c r="E372">
        <f>MONTH(Table1[[#This Row],[Date]])</f>
        <v>3</v>
      </c>
      <c r="F372" t="str">
        <f>VLOOKUP(Table1[[#This Row],[Month]],dctMonth[],2,FALSE)</f>
        <v>March</v>
      </c>
      <c r="G372" t="s">
        <v>26</v>
      </c>
      <c r="H372" t="s">
        <v>27</v>
      </c>
      <c r="I372" t="s">
        <v>28</v>
      </c>
      <c r="J372" t="s">
        <v>22</v>
      </c>
      <c r="K372">
        <v>27</v>
      </c>
      <c r="L372" t="str">
        <f>IF(Table1[[#This Row],[Age]]&lt;20,"&lt;20",IF(Table1[[#This Row],[Age]]&lt;=70,"20-70","&gt;70"))</f>
        <v>20-70</v>
      </c>
      <c r="M372" t="s">
        <v>29</v>
      </c>
      <c r="N372" t="s">
        <v>30</v>
      </c>
      <c r="O372">
        <v>51.32</v>
      </c>
      <c r="P372">
        <v>9</v>
      </c>
      <c r="Q372">
        <v>23.094000000000001</v>
      </c>
      <c r="R372">
        <v>484.97399999999999</v>
      </c>
      <c r="S372">
        <v>461.88</v>
      </c>
      <c r="T372">
        <v>4.7619047620000003</v>
      </c>
      <c r="U372">
        <v>23.094000000000001</v>
      </c>
      <c r="V372">
        <v>5.6</v>
      </c>
    </row>
    <row r="373" spans="1:22" x14ac:dyDescent="0.2">
      <c r="A373" t="s">
        <v>404</v>
      </c>
      <c r="B373" s="1">
        <v>43548</v>
      </c>
      <c r="C373" s="2">
        <v>0.43680555555555556</v>
      </c>
      <c r="D373" s="2" t="str">
        <f>IF(Table1[[#This Row],[Time]]&lt;$D$1,$C$1,IF(Table1[[#This Row],[Time]]&lt;$D$2,$C$2,$C$3))</f>
        <v>Morning</v>
      </c>
      <c r="E373">
        <f>MONTH(Table1[[#This Row],[Date]])</f>
        <v>3</v>
      </c>
      <c r="F373" t="str">
        <f>VLOOKUP(Table1[[#This Row],[Month]],dctMonth[],2,FALSE)</f>
        <v>March</v>
      </c>
      <c r="G373" t="s">
        <v>19</v>
      </c>
      <c r="H373" t="s">
        <v>20</v>
      </c>
      <c r="I373" t="s">
        <v>21</v>
      </c>
      <c r="J373" t="s">
        <v>32</v>
      </c>
      <c r="K373">
        <v>25</v>
      </c>
      <c r="L373" t="str">
        <f>IF(Table1[[#This Row],[Age]]&lt;20,"&lt;20",IF(Table1[[#This Row],[Age]]&lt;=70,"20-70","&gt;70"))</f>
        <v>20-70</v>
      </c>
      <c r="M373" t="s">
        <v>33</v>
      </c>
      <c r="N373" t="s">
        <v>30</v>
      </c>
      <c r="O373">
        <v>65.94</v>
      </c>
      <c r="P373">
        <v>4</v>
      </c>
      <c r="Q373">
        <v>13.188000000000001</v>
      </c>
      <c r="R373">
        <v>276.94799999999998</v>
      </c>
      <c r="S373">
        <v>263.76</v>
      </c>
      <c r="T373">
        <v>4.7619047620000003</v>
      </c>
      <c r="U373">
        <v>13.188000000000001</v>
      </c>
      <c r="V373">
        <v>6</v>
      </c>
    </row>
    <row r="374" spans="1:22" x14ac:dyDescent="0.2">
      <c r="A374" t="s">
        <v>405</v>
      </c>
      <c r="B374" s="1">
        <v>43492</v>
      </c>
      <c r="C374" s="2">
        <v>0.60277777777777775</v>
      </c>
      <c r="D374" s="2" t="str">
        <f>IF(Table1[[#This Row],[Time]]&lt;$D$1,$C$1,IF(Table1[[#This Row],[Time]]&lt;$D$2,$C$2,$C$3))</f>
        <v>Afternoon</v>
      </c>
      <c r="E374">
        <f>MONTH(Table1[[#This Row],[Date]])</f>
        <v>1</v>
      </c>
      <c r="F374" t="str">
        <f>VLOOKUP(Table1[[#This Row],[Month]],dctMonth[],2,FALSE)</f>
        <v>January</v>
      </c>
      <c r="G374" t="s">
        <v>26</v>
      </c>
      <c r="H374" t="s">
        <v>27</v>
      </c>
      <c r="I374" t="s">
        <v>28</v>
      </c>
      <c r="J374" t="s">
        <v>22</v>
      </c>
      <c r="K374">
        <v>20</v>
      </c>
      <c r="L374" t="str">
        <f>IF(Table1[[#This Row],[Age]]&lt;20,"&lt;20",IF(Table1[[#This Row],[Age]]&lt;=70,"20-70","&gt;70"))</f>
        <v>20-70</v>
      </c>
      <c r="M374" t="s">
        <v>37</v>
      </c>
      <c r="N374" t="s">
        <v>30</v>
      </c>
      <c r="O374">
        <v>14.36</v>
      </c>
      <c r="P374">
        <v>10</v>
      </c>
      <c r="Q374">
        <v>7.18</v>
      </c>
      <c r="R374">
        <v>150.78</v>
      </c>
      <c r="S374">
        <v>143.6</v>
      </c>
      <c r="T374">
        <v>4.7619047620000003</v>
      </c>
      <c r="U374">
        <v>7.18</v>
      </c>
      <c r="V374">
        <v>5.4</v>
      </c>
    </row>
    <row r="375" spans="1:22" x14ac:dyDescent="0.2">
      <c r="A375" t="s">
        <v>406</v>
      </c>
      <c r="B375" s="1">
        <v>43530</v>
      </c>
      <c r="C375" s="2">
        <v>0.53194444444444444</v>
      </c>
      <c r="D375" s="2" t="str">
        <f>IF(Table1[[#This Row],[Time]]&lt;$D$1,$C$1,IF(Table1[[#This Row],[Time]]&lt;$D$2,$C$2,$C$3))</f>
        <v>Afternoon</v>
      </c>
      <c r="E375">
        <f>MONTH(Table1[[#This Row],[Date]])</f>
        <v>3</v>
      </c>
      <c r="F375" t="str">
        <f>VLOOKUP(Table1[[#This Row],[Month]],dctMonth[],2,FALSE)</f>
        <v>March</v>
      </c>
      <c r="G375" t="s">
        <v>19</v>
      </c>
      <c r="H375" t="s">
        <v>20</v>
      </c>
      <c r="I375" t="s">
        <v>21</v>
      </c>
      <c r="J375" t="s">
        <v>32</v>
      </c>
      <c r="K375">
        <v>28</v>
      </c>
      <c r="L375" t="str">
        <f>IF(Table1[[#This Row],[Age]]&lt;20,"&lt;20",IF(Table1[[#This Row],[Age]]&lt;=70,"20-70","&gt;70"))</f>
        <v>20-70</v>
      </c>
      <c r="M375" t="s">
        <v>29</v>
      </c>
      <c r="N375" t="s">
        <v>34</v>
      </c>
      <c r="O375">
        <v>21.5</v>
      </c>
      <c r="P375">
        <v>9</v>
      </c>
      <c r="Q375">
        <v>9.6750000000000007</v>
      </c>
      <c r="R375">
        <v>203.17500000000001</v>
      </c>
      <c r="S375">
        <v>193.5</v>
      </c>
      <c r="T375">
        <v>4.7619047620000003</v>
      </c>
      <c r="U375">
        <v>9.6750000000000007</v>
      </c>
      <c r="V375">
        <v>7.8</v>
      </c>
    </row>
    <row r="376" spans="1:22" x14ac:dyDescent="0.2">
      <c r="A376" t="s">
        <v>407</v>
      </c>
      <c r="B376" s="1">
        <v>43498</v>
      </c>
      <c r="C376" s="2">
        <v>0.81944444444444442</v>
      </c>
      <c r="D376" s="2" t="str">
        <f>IF(Table1[[#This Row],[Time]]&lt;$D$1,$C$1,IF(Table1[[#This Row],[Time]]&lt;$D$2,$C$2,$C$3))</f>
        <v>Evening</v>
      </c>
      <c r="E376">
        <f>MONTH(Table1[[#This Row],[Date]])</f>
        <v>2</v>
      </c>
      <c r="F376" t="str">
        <f>VLOOKUP(Table1[[#This Row],[Month]],dctMonth[],2,FALSE)</f>
        <v>February</v>
      </c>
      <c r="G376" t="s">
        <v>43</v>
      </c>
      <c r="H376" t="s">
        <v>44</v>
      </c>
      <c r="I376" t="s">
        <v>21</v>
      </c>
      <c r="J376" t="s">
        <v>22</v>
      </c>
      <c r="K376">
        <v>68</v>
      </c>
      <c r="L376" t="str">
        <f>IF(Table1[[#This Row],[Age]]&lt;20,"&lt;20",IF(Table1[[#This Row],[Age]]&lt;=70,"20-70","&gt;70"))</f>
        <v>20-70</v>
      </c>
      <c r="M376" t="s">
        <v>29</v>
      </c>
      <c r="N376" t="s">
        <v>30</v>
      </c>
      <c r="O376">
        <v>26.26</v>
      </c>
      <c r="P376">
        <v>7</v>
      </c>
      <c r="Q376">
        <v>9.1910000000000007</v>
      </c>
      <c r="R376">
        <v>193.011</v>
      </c>
      <c r="S376">
        <v>183.82</v>
      </c>
      <c r="T376">
        <v>4.7619047620000003</v>
      </c>
      <c r="U376">
        <v>9.1910000000000007</v>
      </c>
      <c r="V376">
        <v>9.9</v>
      </c>
    </row>
    <row r="377" spans="1:22" x14ac:dyDescent="0.2">
      <c r="A377" t="s">
        <v>408</v>
      </c>
      <c r="B377" s="1">
        <v>43490</v>
      </c>
      <c r="C377" s="2">
        <v>0.81874999999999998</v>
      </c>
      <c r="D377" s="2" t="str">
        <f>IF(Table1[[#This Row],[Time]]&lt;$D$1,$C$1,IF(Table1[[#This Row],[Time]]&lt;$D$2,$C$2,$C$3))</f>
        <v>Evening</v>
      </c>
      <c r="E377">
        <f>MONTH(Table1[[#This Row],[Date]])</f>
        <v>1</v>
      </c>
      <c r="F377" t="str">
        <f>VLOOKUP(Table1[[#This Row],[Month]],dctMonth[],2,FALSE)</f>
        <v>January</v>
      </c>
      <c r="G377" t="s">
        <v>43</v>
      </c>
      <c r="H377" t="s">
        <v>44</v>
      </c>
      <c r="I377" t="s">
        <v>28</v>
      </c>
      <c r="J377" t="s">
        <v>22</v>
      </c>
      <c r="K377">
        <v>20</v>
      </c>
      <c r="L377" t="str">
        <f>IF(Table1[[#This Row],[Age]]&lt;20,"&lt;20",IF(Table1[[#This Row],[Age]]&lt;=70,"20-70","&gt;70"))</f>
        <v>20-70</v>
      </c>
      <c r="M377" t="s">
        <v>47</v>
      </c>
      <c r="N377" t="s">
        <v>34</v>
      </c>
      <c r="O377">
        <v>60.96</v>
      </c>
      <c r="P377">
        <v>2</v>
      </c>
      <c r="Q377">
        <v>6.0960000000000001</v>
      </c>
      <c r="R377">
        <v>128.01599999999999</v>
      </c>
      <c r="S377">
        <v>121.92</v>
      </c>
      <c r="T377">
        <v>4.7619047620000003</v>
      </c>
      <c r="U377">
        <v>6.0960000000000001</v>
      </c>
      <c r="V377">
        <v>4.9000000000000004</v>
      </c>
    </row>
    <row r="378" spans="1:22" x14ac:dyDescent="0.2">
      <c r="A378" t="s">
        <v>409</v>
      </c>
      <c r="B378" s="1">
        <v>43538</v>
      </c>
      <c r="C378" s="2">
        <v>0.74583333333333335</v>
      </c>
      <c r="D378" s="2" t="str">
        <f>IF(Table1[[#This Row],[Time]]&lt;$D$1,$C$1,IF(Table1[[#This Row],[Time]]&lt;$D$2,$C$2,$C$3))</f>
        <v>Evening</v>
      </c>
      <c r="E378">
        <f>MONTH(Table1[[#This Row],[Date]])</f>
        <v>3</v>
      </c>
      <c r="F378" t="str">
        <f>VLOOKUP(Table1[[#This Row],[Month]],dctMonth[],2,FALSE)</f>
        <v>March</v>
      </c>
      <c r="G378" t="s">
        <v>26</v>
      </c>
      <c r="H378" t="s">
        <v>27</v>
      </c>
      <c r="I378" t="s">
        <v>28</v>
      </c>
      <c r="J378" t="s">
        <v>22</v>
      </c>
      <c r="K378">
        <v>49</v>
      </c>
      <c r="L378" t="str">
        <f>IF(Table1[[#This Row],[Age]]&lt;20,"&lt;20",IF(Table1[[#This Row],[Age]]&lt;=70,"20-70","&gt;70"))</f>
        <v>20-70</v>
      </c>
      <c r="M378" t="s">
        <v>33</v>
      </c>
      <c r="N378" t="s">
        <v>24</v>
      </c>
      <c r="O378">
        <v>70.11</v>
      </c>
      <c r="P378">
        <v>6</v>
      </c>
      <c r="Q378">
        <v>21.033000000000001</v>
      </c>
      <c r="R378">
        <v>441.69299999999998</v>
      </c>
      <c r="S378">
        <v>420.66</v>
      </c>
      <c r="T378">
        <v>4.7619047620000003</v>
      </c>
      <c r="U378">
        <v>21.033000000000001</v>
      </c>
      <c r="V378">
        <v>5.2</v>
      </c>
    </row>
    <row r="379" spans="1:22" x14ac:dyDescent="0.2">
      <c r="A379" t="s">
        <v>410</v>
      </c>
      <c r="B379" s="1">
        <v>43494</v>
      </c>
      <c r="C379" s="2">
        <v>0.51736111111111116</v>
      </c>
      <c r="D379" s="2" t="str">
        <f>IF(Table1[[#This Row],[Time]]&lt;$D$1,$C$1,IF(Table1[[#This Row],[Time]]&lt;$D$2,$C$2,$C$3))</f>
        <v>Afternoon</v>
      </c>
      <c r="E379">
        <f>MONTH(Table1[[#This Row],[Date]])</f>
        <v>1</v>
      </c>
      <c r="F379" t="str">
        <f>VLOOKUP(Table1[[#This Row],[Month]],dctMonth[],2,FALSE)</f>
        <v>January</v>
      </c>
      <c r="G379" t="s">
        <v>26</v>
      </c>
      <c r="H379" t="s">
        <v>27</v>
      </c>
      <c r="I379" t="s">
        <v>28</v>
      </c>
      <c r="J379" t="s">
        <v>32</v>
      </c>
      <c r="K379">
        <v>26</v>
      </c>
      <c r="L379" t="str">
        <f>IF(Table1[[#This Row],[Age]]&lt;20,"&lt;20",IF(Table1[[#This Row],[Age]]&lt;=70,"20-70","&gt;70"))</f>
        <v>20-70</v>
      </c>
      <c r="M379" t="s">
        <v>47</v>
      </c>
      <c r="N379" t="s">
        <v>30</v>
      </c>
      <c r="O379">
        <v>42.08</v>
      </c>
      <c r="P379">
        <v>6</v>
      </c>
      <c r="Q379">
        <v>12.624000000000001</v>
      </c>
      <c r="R379">
        <v>265.10399999999998</v>
      </c>
      <c r="S379">
        <v>252.48</v>
      </c>
      <c r="T379">
        <v>4.7619047620000003</v>
      </c>
      <c r="U379">
        <v>12.624000000000001</v>
      </c>
      <c r="V379">
        <v>8.9</v>
      </c>
    </row>
    <row r="380" spans="1:22" x14ac:dyDescent="0.2">
      <c r="A380" t="s">
        <v>411</v>
      </c>
      <c r="B380" s="1">
        <v>43468</v>
      </c>
      <c r="C380" s="2">
        <v>0.69930555555555551</v>
      </c>
      <c r="D380" s="2" t="str">
        <f>IF(Table1[[#This Row],[Time]]&lt;$D$1,$C$1,IF(Table1[[#This Row],[Time]]&lt;$D$2,$C$2,$C$3))</f>
        <v>Afternoon</v>
      </c>
      <c r="E380">
        <f>MONTH(Table1[[#This Row],[Date]])</f>
        <v>1</v>
      </c>
      <c r="F380" t="str">
        <f>VLOOKUP(Table1[[#This Row],[Month]],dctMonth[],2,FALSE)</f>
        <v>January</v>
      </c>
      <c r="G380" t="s">
        <v>19</v>
      </c>
      <c r="H380" t="s">
        <v>20</v>
      </c>
      <c r="I380" t="s">
        <v>28</v>
      </c>
      <c r="J380" t="s">
        <v>22</v>
      </c>
      <c r="K380">
        <v>38</v>
      </c>
      <c r="L380" t="str">
        <f>IF(Table1[[#This Row],[Age]]&lt;20,"&lt;20",IF(Table1[[#This Row],[Age]]&lt;=70,"20-70","&gt;70"))</f>
        <v>20-70</v>
      </c>
      <c r="M380" t="s">
        <v>33</v>
      </c>
      <c r="N380" t="s">
        <v>34</v>
      </c>
      <c r="O380">
        <v>67.09</v>
      </c>
      <c r="P380">
        <v>5</v>
      </c>
      <c r="Q380">
        <v>16.772500000000001</v>
      </c>
      <c r="R380">
        <v>352.22250000000003</v>
      </c>
      <c r="S380">
        <v>335.45</v>
      </c>
      <c r="T380">
        <v>4.7619047620000003</v>
      </c>
      <c r="U380">
        <v>16.772500000000001</v>
      </c>
      <c r="V380">
        <v>9.1</v>
      </c>
    </row>
    <row r="381" spans="1:22" x14ac:dyDescent="0.2">
      <c r="A381" t="s">
        <v>412</v>
      </c>
      <c r="B381" s="1">
        <v>43479</v>
      </c>
      <c r="C381" s="2">
        <v>0.53611111111111109</v>
      </c>
      <c r="D381" s="2" t="str">
        <f>IF(Table1[[#This Row],[Time]]&lt;$D$1,$C$1,IF(Table1[[#This Row],[Time]]&lt;$D$2,$C$2,$C$3))</f>
        <v>Afternoon</v>
      </c>
      <c r="E381">
        <f>MONTH(Table1[[#This Row],[Date]])</f>
        <v>1</v>
      </c>
      <c r="F381" t="str">
        <f>VLOOKUP(Table1[[#This Row],[Month]],dctMonth[],2,FALSE)</f>
        <v>January</v>
      </c>
      <c r="G381" t="s">
        <v>19</v>
      </c>
      <c r="H381" t="s">
        <v>20</v>
      </c>
      <c r="I381" t="s">
        <v>21</v>
      </c>
      <c r="J381" t="s">
        <v>22</v>
      </c>
      <c r="K381">
        <v>39</v>
      </c>
      <c r="L381" t="str">
        <f>IF(Table1[[#This Row],[Age]]&lt;20,"&lt;20",IF(Table1[[#This Row],[Age]]&lt;=70,"20-70","&gt;70"))</f>
        <v>20-70</v>
      </c>
      <c r="M381" t="s">
        <v>47</v>
      </c>
      <c r="N381" t="s">
        <v>24</v>
      </c>
      <c r="O381">
        <v>96.7</v>
      </c>
      <c r="P381">
        <v>5</v>
      </c>
      <c r="Q381">
        <v>24.175000000000001</v>
      </c>
      <c r="R381">
        <v>507.67500000000001</v>
      </c>
      <c r="S381">
        <v>483.5</v>
      </c>
      <c r="T381">
        <v>4.7619047620000003</v>
      </c>
      <c r="U381">
        <v>24.175000000000001</v>
      </c>
      <c r="V381">
        <v>7</v>
      </c>
    </row>
    <row r="382" spans="1:22" x14ac:dyDescent="0.2">
      <c r="A382" t="s">
        <v>413</v>
      </c>
      <c r="B382" s="1">
        <v>43470</v>
      </c>
      <c r="C382" s="2">
        <v>0.82638888888888884</v>
      </c>
      <c r="D382" s="2" t="str">
        <f>IF(Table1[[#This Row],[Time]]&lt;$D$1,$C$1,IF(Table1[[#This Row],[Time]]&lt;$D$2,$C$2,$C$3))</f>
        <v>Evening</v>
      </c>
      <c r="E382">
        <f>MONTH(Table1[[#This Row],[Date]])</f>
        <v>1</v>
      </c>
      <c r="F382" t="str">
        <f>VLOOKUP(Table1[[#This Row],[Month]],dctMonth[],2,FALSE)</f>
        <v>January</v>
      </c>
      <c r="G382" t="s">
        <v>43</v>
      </c>
      <c r="H382" t="s">
        <v>44</v>
      </c>
      <c r="I382" t="s">
        <v>21</v>
      </c>
      <c r="J382" t="s">
        <v>22</v>
      </c>
      <c r="K382">
        <v>48</v>
      </c>
      <c r="L382" t="str">
        <f>IF(Table1[[#This Row],[Age]]&lt;20,"&lt;20",IF(Table1[[#This Row],[Age]]&lt;=70,"20-70","&gt;70"))</f>
        <v>20-70</v>
      </c>
      <c r="M382" t="s">
        <v>33</v>
      </c>
      <c r="N382" t="s">
        <v>34</v>
      </c>
      <c r="O382">
        <v>35.380000000000003</v>
      </c>
      <c r="P382">
        <v>9</v>
      </c>
      <c r="Q382">
        <v>15.920999999999999</v>
      </c>
      <c r="R382">
        <v>334.34100000000001</v>
      </c>
      <c r="S382">
        <v>318.42</v>
      </c>
      <c r="T382">
        <v>4.7619047620000003</v>
      </c>
      <c r="U382">
        <v>15.920999999999999</v>
      </c>
      <c r="V382">
        <v>9.6</v>
      </c>
    </row>
    <row r="383" spans="1:22" x14ac:dyDescent="0.2">
      <c r="A383" t="s">
        <v>414</v>
      </c>
      <c r="B383" s="1">
        <v>43518</v>
      </c>
      <c r="C383" s="2">
        <v>0.76180555555555551</v>
      </c>
      <c r="D383" s="2" t="str">
        <f>IF(Table1[[#This Row],[Time]]&lt;$D$1,$C$1,IF(Table1[[#This Row],[Time]]&lt;$D$2,$C$2,$C$3))</f>
        <v>Evening</v>
      </c>
      <c r="E383">
        <f>MONTH(Table1[[#This Row],[Date]])</f>
        <v>2</v>
      </c>
      <c r="F383" t="str">
        <f>VLOOKUP(Table1[[#This Row],[Month]],dctMonth[],2,FALSE)</f>
        <v>February</v>
      </c>
      <c r="G383" t="s">
        <v>26</v>
      </c>
      <c r="H383" t="s">
        <v>27</v>
      </c>
      <c r="I383" t="s">
        <v>28</v>
      </c>
      <c r="J383" t="s">
        <v>32</v>
      </c>
      <c r="K383">
        <v>57</v>
      </c>
      <c r="L383" t="str">
        <f>IF(Table1[[#This Row],[Age]]&lt;20,"&lt;20",IF(Table1[[#This Row],[Age]]&lt;=70,"20-70","&gt;70"))</f>
        <v>20-70</v>
      </c>
      <c r="M383" t="s">
        <v>37</v>
      </c>
      <c r="N383" t="s">
        <v>24</v>
      </c>
      <c r="O383">
        <v>95.49</v>
      </c>
      <c r="P383">
        <v>7</v>
      </c>
      <c r="Q383">
        <v>33.421500000000002</v>
      </c>
      <c r="R383">
        <v>701.85149999999999</v>
      </c>
      <c r="S383">
        <v>668.43</v>
      </c>
      <c r="T383">
        <v>4.7619047620000003</v>
      </c>
      <c r="U383">
        <v>33.421500000000002</v>
      </c>
      <c r="V383">
        <v>8.6999999999999993</v>
      </c>
    </row>
    <row r="384" spans="1:22" x14ac:dyDescent="0.2">
      <c r="A384" t="s">
        <v>415</v>
      </c>
      <c r="B384" s="1">
        <v>43502</v>
      </c>
      <c r="C384" s="2">
        <v>0.72222222222222221</v>
      </c>
      <c r="D384" s="2" t="str">
        <f>IF(Table1[[#This Row],[Time]]&lt;$D$1,$C$1,IF(Table1[[#This Row],[Time]]&lt;$D$2,$C$2,$C$3))</f>
        <v>Evening</v>
      </c>
      <c r="E384">
        <f>MONTH(Table1[[#This Row],[Date]])</f>
        <v>2</v>
      </c>
      <c r="F384" t="str">
        <f>VLOOKUP(Table1[[#This Row],[Month]],dctMonth[],2,FALSE)</f>
        <v>February</v>
      </c>
      <c r="G384" t="s">
        <v>26</v>
      </c>
      <c r="H384" t="s">
        <v>27</v>
      </c>
      <c r="I384" t="s">
        <v>21</v>
      </c>
      <c r="J384" t="s">
        <v>32</v>
      </c>
      <c r="K384">
        <v>34</v>
      </c>
      <c r="L384" t="str">
        <f>IF(Table1[[#This Row],[Age]]&lt;20,"&lt;20",IF(Table1[[#This Row],[Age]]&lt;=70,"20-70","&gt;70"))</f>
        <v>20-70</v>
      </c>
      <c r="M384" t="s">
        <v>47</v>
      </c>
      <c r="N384" t="s">
        <v>24</v>
      </c>
      <c r="O384">
        <v>96.98</v>
      </c>
      <c r="P384">
        <v>4</v>
      </c>
      <c r="Q384">
        <v>19.396000000000001</v>
      </c>
      <c r="R384">
        <v>407.31599999999997</v>
      </c>
      <c r="S384">
        <v>387.92</v>
      </c>
      <c r="T384">
        <v>4.7619047620000003</v>
      </c>
      <c r="U384">
        <v>19.396000000000001</v>
      </c>
      <c r="V384">
        <v>9.4</v>
      </c>
    </row>
    <row r="385" spans="1:22" x14ac:dyDescent="0.2">
      <c r="A385" t="s">
        <v>416</v>
      </c>
      <c r="B385" s="1">
        <v>43495</v>
      </c>
      <c r="C385" s="2">
        <v>0.56388888888888888</v>
      </c>
      <c r="D385" s="2" t="str">
        <f>IF(Table1[[#This Row],[Time]]&lt;$D$1,$C$1,IF(Table1[[#This Row],[Time]]&lt;$D$2,$C$2,$C$3))</f>
        <v>Afternoon</v>
      </c>
      <c r="E385">
        <f>MONTH(Table1[[#This Row],[Date]])</f>
        <v>1</v>
      </c>
      <c r="F385" t="str">
        <f>VLOOKUP(Table1[[#This Row],[Month]],dctMonth[],2,FALSE)</f>
        <v>January</v>
      </c>
      <c r="G385" t="s">
        <v>43</v>
      </c>
      <c r="H385" t="s">
        <v>44</v>
      </c>
      <c r="I385" t="s">
        <v>28</v>
      </c>
      <c r="J385" t="s">
        <v>22</v>
      </c>
      <c r="K385">
        <v>68</v>
      </c>
      <c r="L385" t="str">
        <f>IF(Table1[[#This Row],[Age]]&lt;20,"&lt;20",IF(Table1[[#This Row],[Age]]&lt;=70,"20-70","&gt;70"))</f>
        <v>20-70</v>
      </c>
      <c r="M385" t="s">
        <v>29</v>
      </c>
      <c r="N385" t="s">
        <v>34</v>
      </c>
      <c r="O385">
        <v>23.65</v>
      </c>
      <c r="P385">
        <v>4</v>
      </c>
      <c r="Q385">
        <v>4.7300000000000004</v>
      </c>
      <c r="R385">
        <v>99.33</v>
      </c>
      <c r="S385">
        <v>94.6</v>
      </c>
      <c r="T385">
        <v>4.7619047620000003</v>
      </c>
      <c r="U385">
        <v>4.7300000000000004</v>
      </c>
      <c r="V385">
        <v>4</v>
      </c>
    </row>
    <row r="386" spans="1:22" x14ac:dyDescent="0.2">
      <c r="A386" t="s">
        <v>417</v>
      </c>
      <c r="B386" s="1">
        <v>43476</v>
      </c>
      <c r="C386" s="2">
        <v>0.44236111111111109</v>
      </c>
      <c r="D386" s="2" t="str">
        <f>IF(Table1[[#This Row],[Time]]&lt;$D$1,$C$1,IF(Table1[[#This Row],[Time]]&lt;$D$2,$C$2,$C$3))</f>
        <v>Morning</v>
      </c>
      <c r="E386">
        <f>MONTH(Table1[[#This Row],[Date]])</f>
        <v>1</v>
      </c>
      <c r="F386" t="str">
        <f>VLOOKUP(Table1[[#This Row],[Month]],dctMonth[],2,FALSE)</f>
        <v>January</v>
      </c>
      <c r="G386" t="s">
        <v>19</v>
      </c>
      <c r="H386" t="s">
        <v>20</v>
      </c>
      <c r="I386" t="s">
        <v>21</v>
      </c>
      <c r="J386" t="s">
        <v>32</v>
      </c>
      <c r="K386">
        <v>79</v>
      </c>
      <c r="L386" t="str">
        <f>IF(Table1[[#This Row],[Age]]&lt;20,"&lt;20",IF(Table1[[#This Row],[Age]]&lt;=70,"20-70","&gt;70"))</f>
        <v>&gt;70</v>
      </c>
      <c r="M386" t="s">
        <v>37</v>
      </c>
      <c r="N386" t="s">
        <v>34</v>
      </c>
      <c r="O386">
        <v>82.33</v>
      </c>
      <c r="P386">
        <v>4</v>
      </c>
      <c r="Q386">
        <v>16.466000000000001</v>
      </c>
      <c r="R386">
        <v>345.786</v>
      </c>
      <c r="S386">
        <v>329.32</v>
      </c>
      <c r="T386">
        <v>4.7619047620000003</v>
      </c>
      <c r="U386">
        <v>16.466000000000001</v>
      </c>
      <c r="V386">
        <v>7.5</v>
      </c>
    </row>
    <row r="387" spans="1:22" x14ac:dyDescent="0.2">
      <c r="A387" t="s">
        <v>418</v>
      </c>
      <c r="B387" s="1">
        <v>43543</v>
      </c>
      <c r="C387" s="2">
        <v>0.60763888888888884</v>
      </c>
      <c r="D387" s="2" t="str">
        <f>IF(Table1[[#This Row],[Time]]&lt;$D$1,$C$1,IF(Table1[[#This Row],[Time]]&lt;$D$2,$C$2,$C$3))</f>
        <v>Afternoon</v>
      </c>
      <c r="E387">
        <f>MONTH(Table1[[#This Row],[Date]])</f>
        <v>3</v>
      </c>
      <c r="F387" t="str">
        <f>VLOOKUP(Table1[[#This Row],[Month]],dctMonth[],2,FALSE)</f>
        <v>March</v>
      </c>
      <c r="G387" t="s">
        <v>26</v>
      </c>
      <c r="H387" t="s">
        <v>27</v>
      </c>
      <c r="I387" t="s">
        <v>28</v>
      </c>
      <c r="J387" t="s">
        <v>22</v>
      </c>
      <c r="K387">
        <v>84</v>
      </c>
      <c r="L387" t="str">
        <f>IF(Table1[[#This Row],[Age]]&lt;20,"&lt;20",IF(Table1[[#This Row],[Age]]&lt;=70,"20-70","&gt;70"))</f>
        <v>&gt;70</v>
      </c>
      <c r="M387" t="s">
        <v>29</v>
      </c>
      <c r="N387" t="s">
        <v>30</v>
      </c>
      <c r="O387">
        <v>26.61</v>
      </c>
      <c r="P387">
        <v>2</v>
      </c>
      <c r="Q387">
        <v>2.661</v>
      </c>
      <c r="R387">
        <v>55.881</v>
      </c>
      <c r="S387">
        <v>53.22</v>
      </c>
      <c r="T387">
        <v>4.7619047620000003</v>
      </c>
      <c r="U387">
        <v>2.661</v>
      </c>
      <c r="V387">
        <v>4.2</v>
      </c>
    </row>
    <row r="388" spans="1:22" x14ac:dyDescent="0.2">
      <c r="A388" t="s">
        <v>419</v>
      </c>
      <c r="B388" s="1">
        <v>43479</v>
      </c>
      <c r="C388" s="2">
        <v>0.50624999999999998</v>
      </c>
      <c r="D388" s="2" t="str">
        <f>IF(Table1[[#This Row],[Time]]&lt;$D$1,$C$1,IF(Table1[[#This Row],[Time]]&lt;$D$2,$C$2,$C$3))</f>
        <v>Afternoon</v>
      </c>
      <c r="E388">
        <f>MONTH(Table1[[#This Row],[Date]])</f>
        <v>1</v>
      </c>
      <c r="F388" t="str">
        <f>VLOOKUP(Table1[[#This Row],[Month]],dctMonth[],2,FALSE)</f>
        <v>January</v>
      </c>
      <c r="G388" t="s">
        <v>43</v>
      </c>
      <c r="H388" t="s">
        <v>44</v>
      </c>
      <c r="I388" t="s">
        <v>28</v>
      </c>
      <c r="J388" t="s">
        <v>22</v>
      </c>
      <c r="K388">
        <v>76</v>
      </c>
      <c r="L388" t="str">
        <f>IF(Table1[[#This Row],[Age]]&lt;20,"&lt;20",IF(Table1[[#This Row],[Age]]&lt;=70,"20-70","&gt;70"))</f>
        <v>&gt;70</v>
      </c>
      <c r="M388" t="s">
        <v>45</v>
      </c>
      <c r="N388" t="s">
        <v>30</v>
      </c>
      <c r="O388">
        <v>99.69</v>
      </c>
      <c r="P388">
        <v>5</v>
      </c>
      <c r="Q388">
        <v>24.922499999999999</v>
      </c>
      <c r="R388">
        <v>523.37249999999995</v>
      </c>
      <c r="S388">
        <v>498.45</v>
      </c>
      <c r="T388">
        <v>4.7619047620000003</v>
      </c>
      <c r="U388">
        <v>24.922499999999999</v>
      </c>
      <c r="V388">
        <v>9.9</v>
      </c>
    </row>
    <row r="389" spans="1:22" x14ac:dyDescent="0.2">
      <c r="A389" t="s">
        <v>420</v>
      </c>
      <c r="B389" s="1">
        <v>43525</v>
      </c>
      <c r="C389" s="2">
        <v>0.64722222222222225</v>
      </c>
      <c r="D389" s="2" t="str">
        <f>IF(Table1[[#This Row],[Time]]&lt;$D$1,$C$1,IF(Table1[[#This Row],[Time]]&lt;$D$2,$C$2,$C$3))</f>
        <v>Afternoon</v>
      </c>
      <c r="E389">
        <f>MONTH(Table1[[#This Row],[Date]])</f>
        <v>3</v>
      </c>
      <c r="F389" t="str">
        <f>VLOOKUP(Table1[[#This Row],[Month]],dctMonth[],2,FALSE)</f>
        <v>March</v>
      </c>
      <c r="G389" t="s">
        <v>26</v>
      </c>
      <c r="H389" t="s">
        <v>27</v>
      </c>
      <c r="I389" t="s">
        <v>21</v>
      </c>
      <c r="J389" t="s">
        <v>22</v>
      </c>
      <c r="K389">
        <v>84</v>
      </c>
      <c r="L389" t="str">
        <f>IF(Table1[[#This Row],[Age]]&lt;20,"&lt;20",IF(Table1[[#This Row],[Age]]&lt;=70,"20-70","&gt;70"))</f>
        <v>&gt;70</v>
      </c>
      <c r="M389" t="s">
        <v>45</v>
      </c>
      <c r="N389" t="s">
        <v>24</v>
      </c>
      <c r="O389">
        <v>74.89</v>
      </c>
      <c r="P389">
        <v>4</v>
      </c>
      <c r="Q389">
        <v>14.978</v>
      </c>
      <c r="R389">
        <v>314.53800000000001</v>
      </c>
      <c r="S389">
        <v>299.56</v>
      </c>
      <c r="T389">
        <v>4.7619047620000003</v>
      </c>
      <c r="U389">
        <v>14.978</v>
      </c>
      <c r="V389">
        <v>4.2</v>
      </c>
    </row>
    <row r="390" spans="1:22" x14ac:dyDescent="0.2">
      <c r="A390" t="s">
        <v>421</v>
      </c>
      <c r="B390" s="1">
        <v>43471</v>
      </c>
      <c r="C390" s="2">
        <v>0.58194444444444449</v>
      </c>
      <c r="D390" s="2" t="str">
        <f>IF(Table1[[#This Row],[Time]]&lt;$D$1,$C$1,IF(Table1[[#This Row],[Time]]&lt;$D$2,$C$2,$C$3))</f>
        <v>Afternoon</v>
      </c>
      <c r="E390">
        <f>MONTH(Table1[[#This Row],[Date]])</f>
        <v>1</v>
      </c>
      <c r="F390" t="str">
        <f>VLOOKUP(Table1[[#This Row],[Month]],dctMonth[],2,FALSE)</f>
        <v>January</v>
      </c>
      <c r="G390" t="s">
        <v>19</v>
      </c>
      <c r="H390" t="s">
        <v>20</v>
      </c>
      <c r="I390" t="s">
        <v>28</v>
      </c>
      <c r="J390" t="s">
        <v>22</v>
      </c>
      <c r="K390">
        <v>72</v>
      </c>
      <c r="L390" t="str">
        <f>IF(Table1[[#This Row],[Age]]&lt;20,"&lt;20",IF(Table1[[#This Row],[Age]]&lt;=70,"20-70","&gt;70"))</f>
        <v>&gt;70</v>
      </c>
      <c r="M390" t="s">
        <v>45</v>
      </c>
      <c r="N390" t="s">
        <v>24</v>
      </c>
      <c r="O390">
        <v>40.94</v>
      </c>
      <c r="P390">
        <v>5</v>
      </c>
      <c r="Q390">
        <v>10.234999999999999</v>
      </c>
      <c r="R390">
        <v>214.935</v>
      </c>
      <c r="S390">
        <v>204.7</v>
      </c>
      <c r="T390">
        <v>4.7619047620000003</v>
      </c>
      <c r="U390">
        <v>10.234999999999999</v>
      </c>
      <c r="V390">
        <v>9.9</v>
      </c>
    </row>
    <row r="391" spans="1:22" x14ac:dyDescent="0.2">
      <c r="A391" t="s">
        <v>422</v>
      </c>
      <c r="B391" s="1">
        <v>43496</v>
      </c>
      <c r="C391" s="2">
        <v>0.55486111111111114</v>
      </c>
      <c r="D391" s="2" t="str">
        <f>IF(Table1[[#This Row],[Time]]&lt;$D$1,$C$1,IF(Table1[[#This Row],[Time]]&lt;$D$2,$C$2,$C$3))</f>
        <v>Afternoon</v>
      </c>
      <c r="E391">
        <f>MONTH(Table1[[#This Row],[Date]])</f>
        <v>1</v>
      </c>
      <c r="F391" t="str">
        <f>VLOOKUP(Table1[[#This Row],[Month]],dctMonth[],2,FALSE)</f>
        <v>January</v>
      </c>
      <c r="G391" t="s">
        <v>43</v>
      </c>
      <c r="H391" t="s">
        <v>44</v>
      </c>
      <c r="I391" t="s">
        <v>21</v>
      </c>
      <c r="J391" t="s">
        <v>32</v>
      </c>
      <c r="K391">
        <v>71</v>
      </c>
      <c r="L391" t="str">
        <f>IF(Table1[[#This Row],[Age]]&lt;20,"&lt;20",IF(Table1[[#This Row],[Age]]&lt;=70,"20-70","&gt;70"))</f>
        <v>&gt;70</v>
      </c>
      <c r="M391" t="s">
        <v>37</v>
      </c>
      <c r="N391" t="s">
        <v>30</v>
      </c>
      <c r="O391">
        <v>75.819999999999993</v>
      </c>
      <c r="P391">
        <v>1</v>
      </c>
      <c r="Q391">
        <v>3.7909999999999999</v>
      </c>
      <c r="R391">
        <v>79.611000000000004</v>
      </c>
      <c r="S391">
        <v>75.819999999999993</v>
      </c>
      <c r="T391">
        <v>4.7619047620000003</v>
      </c>
      <c r="U391">
        <v>3.7909999999999999</v>
      </c>
      <c r="V391">
        <v>5.8</v>
      </c>
    </row>
    <row r="392" spans="1:22" x14ac:dyDescent="0.2">
      <c r="A392" t="s">
        <v>423</v>
      </c>
      <c r="B392" s="1">
        <v>43535</v>
      </c>
      <c r="C392" s="2">
        <v>0.56736111111111109</v>
      </c>
      <c r="D392" s="2" t="str">
        <f>IF(Table1[[#This Row],[Time]]&lt;$D$1,$C$1,IF(Table1[[#This Row],[Time]]&lt;$D$2,$C$2,$C$3))</f>
        <v>Afternoon</v>
      </c>
      <c r="E392">
        <f>MONTH(Table1[[#This Row],[Date]])</f>
        <v>3</v>
      </c>
      <c r="F392" t="str">
        <f>VLOOKUP(Table1[[#This Row],[Month]],dctMonth[],2,FALSE)</f>
        <v>March</v>
      </c>
      <c r="G392" t="s">
        <v>26</v>
      </c>
      <c r="H392" t="s">
        <v>27</v>
      </c>
      <c r="I392" t="s">
        <v>28</v>
      </c>
      <c r="J392" t="s">
        <v>32</v>
      </c>
      <c r="K392">
        <v>76</v>
      </c>
      <c r="L392" t="str">
        <f>IF(Table1[[#This Row],[Age]]&lt;20,"&lt;20",IF(Table1[[#This Row],[Age]]&lt;=70,"20-70","&gt;70"))</f>
        <v>&gt;70</v>
      </c>
      <c r="M392" t="s">
        <v>45</v>
      </c>
      <c r="N392" t="s">
        <v>30</v>
      </c>
      <c r="O392">
        <v>46.77</v>
      </c>
      <c r="P392">
        <v>6</v>
      </c>
      <c r="Q392">
        <v>14.031000000000001</v>
      </c>
      <c r="R392">
        <v>294.65100000000001</v>
      </c>
      <c r="S392">
        <v>280.62</v>
      </c>
      <c r="T392">
        <v>4.7619047620000003</v>
      </c>
      <c r="U392">
        <v>14.031000000000001</v>
      </c>
      <c r="V392">
        <v>6</v>
      </c>
    </row>
    <row r="393" spans="1:22" x14ac:dyDescent="0.2">
      <c r="A393" t="s">
        <v>424</v>
      </c>
      <c r="B393" s="1">
        <v>43516</v>
      </c>
      <c r="C393" s="2">
        <v>0.7006944444444444</v>
      </c>
      <c r="D393" s="2" t="str">
        <f>IF(Table1[[#This Row],[Time]]&lt;$D$1,$C$1,IF(Table1[[#This Row],[Time]]&lt;$D$2,$C$2,$C$3))</f>
        <v>Afternoon</v>
      </c>
      <c r="E393">
        <f>MONTH(Table1[[#This Row],[Date]])</f>
        <v>2</v>
      </c>
      <c r="F393" t="str">
        <f>VLOOKUP(Table1[[#This Row],[Month]],dctMonth[],2,FALSE)</f>
        <v>February</v>
      </c>
      <c r="G393" t="s">
        <v>19</v>
      </c>
      <c r="H393" t="s">
        <v>20</v>
      </c>
      <c r="I393" t="s">
        <v>28</v>
      </c>
      <c r="J393" t="s">
        <v>22</v>
      </c>
      <c r="K393">
        <v>87</v>
      </c>
      <c r="L393" t="str">
        <f>IF(Table1[[#This Row],[Age]]&lt;20,"&lt;20",IF(Table1[[#This Row],[Age]]&lt;=70,"20-70","&gt;70"))</f>
        <v>&gt;70</v>
      </c>
      <c r="M393" t="s">
        <v>23</v>
      </c>
      <c r="N393" t="s">
        <v>34</v>
      </c>
      <c r="O393">
        <v>32.32</v>
      </c>
      <c r="P393">
        <v>10</v>
      </c>
      <c r="Q393">
        <v>16.16</v>
      </c>
      <c r="R393">
        <v>339.36</v>
      </c>
      <c r="S393">
        <v>323.2</v>
      </c>
      <c r="T393">
        <v>4.7619047620000003</v>
      </c>
      <c r="U393">
        <v>16.16</v>
      </c>
      <c r="V393">
        <v>10</v>
      </c>
    </row>
    <row r="394" spans="1:22" x14ac:dyDescent="0.2">
      <c r="A394" t="s">
        <v>425</v>
      </c>
      <c r="B394" s="1">
        <v>43492</v>
      </c>
      <c r="C394" s="2">
        <v>0.62152777777777779</v>
      </c>
      <c r="D394" s="2" t="str">
        <f>IF(Table1[[#This Row],[Time]]&lt;$D$1,$C$1,IF(Table1[[#This Row],[Time]]&lt;$D$2,$C$2,$C$3))</f>
        <v>Afternoon</v>
      </c>
      <c r="E394">
        <f>MONTH(Table1[[#This Row],[Date]])</f>
        <v>1</v>
      </c>
      <c r="F394" t="str">
        <f>VLOOKUP(Table1[[#This Row],[Month]],dctMonth[],2,FALSE)</f>
        <v>January</v>
      </c>
      <c r="G394" t="s">
        <v>26</v>
      </c>
      <c r="H394" t="s">
        <v>27</v>
      </c>
      <c r="I394" t="s">
        <v>21</v>
      </c>
      <c r="J394" t="s">
        <v>22</v>
      </c>
      <c r="K394">
        <v>24</v>
      </c>
      <c r="L394" t="str">
        <f>IF(Table1[[#This Row],[Age]]&lt;20,"&lt;20",IF(Table1[[#This Row],[Age]]&lt;=70,"20-70","&gt;70"))</f>
        <v>20-70</v>
      </c>
      <c r="M394" t="s">
        <v>47</v>
      </c>
      <c r="N394" t="s">
        <v>24</v>
      </c>
      <c r="O394">
        <v>54.07</v>
      </c>
      <c r="P394">
        <v>9</v>
      </c>
      <c r="Q394">
        <v>24.331499999999998</v>
      </c>
      <c r="R394">
        <v>510.9615</v>
      </c>
      <c r="S394">
        <v>486.63</v>
      </c>
      <c r="T394">
        <v>4.7619047620000003</v>
      </c>
      <c r="U394">
        <v>24.331499999999998</v>
      </c>
      <c r="V394">
        <v>9.5</v>
      </c>
    </row>
    <row r="395" spans="1:22" x14ac:dyDescent="0.2">
      <c r="A395" t="s">
        <v>426</v>
      </c>
      <c r="B395" s="1">
        <v>43534</v>
      </c>
      <c r="C395" s="2">
        <v>0.58611111111111114</v>
      </c>
      <c r="D395" s="2" t="str">
        <f>IF(Table1[[#This Row],[Time]]&lt;$D$1,$C$1,IF(Table1[[#This Row],[Time]]&lt;$D$2,$C$2,$C$3))</f>
        <v>Afternoon</v>
      </c>
      <c r="E395">
        <f>MONTH(Table1[[#This Row],[Date]])</f>
        <v>3</v>
      </c>
      <c r="F395" t="str">
        <f>VLOOKUP(Table1[[#This Row],[Month]],dctMonth[],2,FALSE)</f>
        <v>March</v>
      </c>
      <c r="G395" t="s">
        <v>43</v>
      </c>
      <c r="H395" t="s">
        <v>44</v>
      </c>
      <c r="I395" t="s">
        <v>28</v>
      </c>
      <c r="J395" t="s">
        <v>32</v>
      </c>
      <c r="K395">
        <v>51</v>
      </c>
      <c r="L395" t="str">
        <f>IF(Table1[[#This Row],[Age]]&lt;20,"&lt;20",IF(Table1[[#This Row],[Age]]&lt;=70,"20-70","&gt;70"))</f>
        <v>20-70</v>
      </c>
      <c r="M395" t="s">
        <v>45</v>
      </c>
      <c r="N395" t="s">
        <v>34</v>
      </c>
      <c r="O395">
        <v>18.22</v>
      </c>
      <c r="P395">
        <v>7</v>
      </c>
      <c r="Q395">
        <v>6.3769999999999998</v>
      </c>
      <c r="R395">
        <v>133.917</v>
      </c>
      <c r="S395">
        <v>127.54</v>
      </c>
      <c r="T395">
        <v>4.7619047620000003</v>
      </c>
      <c r="U395">
        <v>6.3769999999999998</v>
      </c>
      <c r="V395">
        <v>6.6</v>
      </c>
    </row>
    <row r="396" spans="1:22" x14ac:dyDescent="0.2">
      <c r="A396" t="s">
        <v>427</v>
      </c>
      <c r="B396" s="1">
        <v>43511</v>
      </c>
      <c r="C396" s="2">
        <v>0.52152777777777781</v>
      </c>
      <c r="D396" s="2" t="str">
        <f>IF(Table1[[#This Row],[Time]]&lt;$D$1,$C$1,IF(Table1[[#This Row],[Time]]&lt;$D$2,$C$2,$C$3))</f>
        <v>Afternoon</v>
      </c>
      <c r="E396">
        <f>MONTH(Table1[[#This Row],[Date]])</f>
        <v>2</v>
      </c>
      <c r="F396" t="str">
        <f>VLOOKUP(Table1[[#This Row],[Month]],dctMonth[],2,FALSE)</f>
        <v>February</v>
      </c>
      <c r="G396" t="s">
        <v>26</v>
      </c>
      <c r="H396" t="s">
        <v>27</v>
      </c>
      <c r="I396" t="s">
        <v>21</v>
      </c>
      <c r="J396" t="s">
        <v>22</v>
      </c>
      <c r="K396">
        <v>79</v>
      </c>
      <c r="L396" t="str">
        <f>IF(Table1[[#This Row],[Age]]&lt;20,"&lt;20",IF(Table1[[#This Row],[Age]]&lt;=70,"20-70","&gt;70"))</f>
        <v>&gt;70</v>
      </c>
      <c r="M396" t="s">
        <v>47</v>
      </c>
      <c r="N396" t="s">
        <v>30</v>
      </c>
      <c r="O396">
        <v>80.48</v>
      </c>
      <c r="P396">
        <v>3</v>
      </c>
      <c r="Q396">
        <v>12.071999999999999</v>
      </c>
      <c r="R396">
        <v>253.512</v>
      </c>
      <c r="S396">
        <v>241.44</v>
      </c>
      <c r="T396">
        <v>4.7619047620000003</v>
      </c>
      <c r="U396">
        <v>12.071999999999999</v>
      </c>
      <c r="V396">
        <v>8.1</v>
      </c>
    </row>
    <row r="397" spans="1:22" x14ac:dyDescent="0.2">
      <c r="A397" t="s">
        <v>428</v>
      </c>
      <c r="B397" s="1">
        <v>43491</v>
      </c>
      <c r="C397" s="2">
        <v>0.61875000000000002</v>
      </c>
      <c r="D397" s="2" t="str">
        <f>IF(Table1[[#This Row],[Time]]&lt;$D$1,$C$1,IF(Table1[[#This Row],[Time]]&lt;$D$2,$C$2,$C$3))</f>
        <v>Afternoon</v>
      </c>
      <c r="E397">
        <f>MONTH(Table1[[#This Row],[Date]])</f>
        <v>1</v>
      </c>
      <c r="F397" t="str">
        <f>VLOOKUP(Table1[[#This Row],[Month]],dctMonth[],2,FALSE)</f>
        <v>January</v>
      </c>
      <c r="G397" t="s">
        <v>43</v>
      </c>
      <c r="H397" t="s">
        <v>44</v>
      </c>
      <c r="I397" t="s">
        <v>28</v>
      </c>
      <c r="J397" t="s">
        <v>22</v>
      </c>
      <c r="K397">
        <v>16</v>
      </c>
      <c r="L397" t="str">
        <f>IF(Table1[[#This Row],[Age]]&lt;20,"&lt;20",IF(Table1[[#This Row],[Age]]&lt;=70,"20-70","&gt;70"))</f>
        <v>&lt;20</v>
      </c>
      <c r="M397" t="s">
        <v>47</v>
      </c>
      <c r="N397" t="s">
        <v>30</v>
      </c>
      <c r="O397">
        <v>37.950000000000003</v>
      </c>
      <c r="P397">
        <v>10</v>
      </c>
      <c r="Q397">
        <v>18.975000000000001</v>
      </c>
      <c r="R397">
        <v>398.47500000000002</v>
      </c>
      <c r="S397">
        <v>379.5</v>
      </c>
      <c r="T397">
        <v>4.7619047620000003</v>
      </c>
      <c r="U397">
        <v>18.975000000000001</v>
      </c>
      <c r="V397">
        <v>9.6999999999999993</v>
      </c>
    </row>
    <row r="398" spans="1:22" x14ac:dyDescent="0.2">
      <c r="A398" t="s">
        <v>429</v>
      </c>
      <c r="B398" s="1">
        <v>43509</v>
      </c>
      <c r="C398" s="2">
        <v>0.76875000000000004</v>
      </c>
      <c r="D398" s="2" t="str">
        <f>IF(Table1[[#This Row],[Time]]&lt;$D$1,$C$1,IF(Table1[[#This Row],[Time]]&lt;$D$2,$C$2,$C$3))</f>
        <v>Evening</v>
      </c>
      <c r="E398">
        <f>MONTH(Table1[[#This Row],[Date]])</f>
        <v>2</v>
      </c>
      <c r="F398" t="str">
        <f>VLOOKUP(Table1[[#This Row],[Month]],dctMonth[],2,FALSE)</f>
        <v>February</v>
      </c>
      <c r="G398" t="s">
        <v>19</v>
      </c>
      <c r="H398" t="s">
        <v>20</v>
      </c>
      <c r="I398" t="s">
        <v>21</v>
      </c>
      <c r="J398" t="s">
        <v>32</v>
      </c>
      <c r="K398">
        <v>62</v>
      </c>
      <c r="L398" t="str">
        <f>IF(Table1[[#This Row],[Age]]&lt;20,"&lt;20",IF(Table1[[#This Row],[Age]]&lt;=70,"20-70","&gt;70"))</f>
        <v>20-70</v>
      </c>
      <c r="M398" t="s">
        <v>29</v>
      </c>
      <c r="N398" t="s">
        <v>24</v>
      </c>
      <c r="O398">
        <v>76.819999999999993</v>
      </c>
      <c r="P398">
        <v>1</v>
      </c>
      <c r="Q398">
        <v>3.8410000000000002</v>
      </c>
      <c r="R398">
        <v>80.661000000000001</v>
      </c>
      <c r="S398">
        <v>76.819999999999993</v>
      </c>
      <c r="T398">
        <v>4.7619047620000003</v>
      </c>
      <c r="U398">
        <v>3.8410000000000002</v>
      </c>
      <c r="V398">
        <v>7.2</v>
      </c>
    </row>
    <row r="399" spans="1:22" x14ac:dyDescent="0.2">
      <c r="A399" t="s">
        <v>430</v>
      </c>
      <c r="B399" s="1">
        <v>43533</v>
      </c>
      <c r="C399" s="2">
        <v>0.53125</v>
      </c>
      <c r="D399" s="2" t="str">
        <f>IF(Table1[[#This Row],[Time]]&lt;$D$1,$C$1,IF(Table1[[#This Row],[Time]]&lt;$D$2,$C$2,$C$3))</f>
        <v>Afternoon</v>
      </c>
      <c r="E399">
        <f>MONTH(Table1[[#This Row],[Date]])</f>
        <v>3</v>
      </c>
      <c r="F399" t="str">
        <f>VLOOKUP(Table1[[#This Row],[Month]],dctMonth[],2,FALSE)</f>
        <v>March</v>
      </c>
      <c r="G399" t="s">
        <v>19</v>
      </c>
      <c r="H399" t="s">
        <v>20</v>
      </c>
      <c r="I399" t="s">
        <v>21</v>
      </c>
      <c r="J399" t="s">
        <v>22</v>
      </c>
      <c r="K399">
        <v>23</v>
      </c>
      <c r="L399" t="str">
        <f>IF(Table1[[#This Row],[Age]]&lt;20,"&lt;20",IF(Table1[[#This Row],[Age]]&lt;=70,"20-70","&gt;70"))</f>
        <v>20-70</v>
      </c>
      <c r="M399" t="s">
        <v>37</v>
      </c>
      <c r="N399" t="s">
        <v>34</v>
      </c>
      <c r="O399">
        <v>52.26</v>
      </c>
      <c r="P399">
        <v>10</v>
      </c>
      <c r="Q399">
        <v>26.13</v>
      </c>
      <c r="R399">
        <v>548.73</v>
      </c>
      <c r="S399">
        <v>522.6</v>
      </c>
      <c r="T399">
        <v>4.7619047620000003</v>
      </c>
      <c r="U399">
        <v>26.13</v>
      </c>
      <c r="V399">
        <v>6.2</v>
      </c>
    </row>
    <row r="400" spans="1:22" x14ac:dyDescent="0.2">
      <c r="A400" t="s">
        <v>431</v>
      </c>
      <c r="B400" s="1">
        <v>43530</v>
      </c>
      <c r="C400" s="2">
        <v>0.44166666666666665</v>
      </c>
      <c r="D400" s="2" t="str">
        <f>IF(Table1[[#This Row],[Time]]&lt;$D$1,$C$1,IF(Table1[[#This Row],[Time]]&lt;$D$2,$C$2,$C$3))</f>
        <v>Morning</v>
      </c>
      <c r="E400">
        <f>MONTH(Table1[[#This Row],[Date]])</f>
        <v>3</v>
      </c>
      <c r="F400" t="str">
        <f>VLOOKUP(Table1[[#This Row],[Month]],dctMonth[],2,FALSE)</f>
        <v>March</v>
      </c>
      <c r="G400" t="s">
        <v>19</v>
      </c>
      <c r="H400" t="s">
        <v>20</v>
      </c>
      <c r="I400" t="s">
        <v>28</v>
      </c>
      <c r="J400" t="s">
        <v>22</v>
      </c>
      <c r="K400">
        <v>86</v>
      </c>
      <c r="L400" t="str">
        <f>IF(Table1[[#This Row],[Age]]&lt;20,"&lt;20",IF(Table1[[#This Row],[Age]]&lt;=70,"20-70","&gt;70"))</f>
        <v>&gt;70</v>
      </c>
      <c r="M400" t="s">
        <v>23</v>
      </c>
      <c r="N400" t="s">
        <v>24</v>
      </c>
      <c r="O400">
        <v>79.739999999999995</v>
      </c>
      <c r="P400">
        <v>1</v>
      </c>
      <c r="Q400">
        <v>3.9870000000000001</v>
      </c>
      <c r="R400">
        <v>83.727000000000004</v>
      </c>
      <c r="S400">
        <v>79.739999999999995</v>
      </c>
      <c r="T400">
        <v>4.7619047620000003</v>
      </c>
      <c r="U400">
        <v>3.9870000000000001</v>
      </c>
      <c r="V400">
        <v>7.3</v>
      </c>
    </row>
    <row r="401" spans="1:22" x14ac:dyDescent="0.2">
      <c r="A401" t="s">
        <v>432</v>
      </c>
      <c r="B401" s="1">
        <v>43489</v>
      </c>
      <c r="C401" s="2">
        <v>0.85833333333333328</v>
      </c>
      <c r="D401" s="2" t="str">
        <f>IF(Table1[[#This Row],[Time]]&lt;$D$1,$C$1,IF(Table1[[#This Row],[Time]]&lt;$D$2,$C$2,$C$3))</f>
        <v>Evening</v>
      </c>
      <c r="E401">
        <f>MONTH(Table1[[#This Row],[Date]])</f>
        <v>1</v>
      </c>
      <c r="F401" t="str">
        <f>VLOOKUP(Table1[[#This Row],[Month]],dctMonth[],2,FALSE)</f>
        <v>January</v>
      </c>
      <c r="G401" t="s">
        <v>19</v>
      </c>
      <c r="H401" t="s">
        <v>20</v>
      </c>
      <c r="I401" t="s">
        <v>28</v>
      </c>
      <c r="J401" t="s">
        <v>22</v>
      </c>
      <c r="K401">
        <v>20</v>
      </c>
      <c r="L401" t="str">
        <f>IF(Table1[[#This Row],[Age]]&lt;20,"&lt;20",IF(Table1[[#This Row],[Age]]&lt;=70,"20-70","&gt;70"))</f>
        <v>20-70</v>
      </c>
      <c r="M401" t="s">
        <v>23</v>
      </c>
      <c r="N401" t="s">
        <v>24</v>
      </c>
      <c r="O401">
        <v>77.5</v>
      </c>
      <c r="P401">
        <v>5</v>
      </c>
      <c r="Q401">
        <v>19.375</v>
      </c>
      <c r="R401">
        <v>406.875</v>
      </c>
      <c r="S401">
        <v>387.5</v>
      </c>
      <c r="T401">
        <v>4.7619047620000003</v>
      </c>
      <c r="U401">
        <v>19.375</v>
      </c>
      <c r="V401">
        <v>4.3</v>
      </c>
    </row>
    <row r="402" spans="1:22" x14ac:dyDescent="0.2">
      <c r="A402" t="s">
        <v>433</v>
      </c>
      <c r="B402" s="1">
        <v>43537</v>
      </c>
      <c r="C402" s="2">
        <v>0.59444444444444444</v>
      </c>
      <c r="D402" s="2" t="str">
        <f>IF(Table1[[#This Row],[Time]]&lt;$D$1,$C$1,IF(Table1[[#This Row],[Time]]&lt;$D$2,$C$2,$C$3))</f>
        <v>Afternoon</v>
      </c>
      <c r="E402">
        <f>MONTH(Table1[[#This Row],[Date]])</f>
        <v>3</v>
      </c>
      <c r="F402" t="str">
        <f>VLOOKUP(Table1[[#This Row],[Month]],dctMonth[],2,FALSE)</f>
        <v>March</v>
      </c>
      <c r="G402" t="s">
        <v>19</v>
      </c>
      <c r="H402" t="s">
        <v>20</v>
      </c>
      <c r="I402" t="s">
        <v>28</v>
      </c>
      <c r="J402" t="s">
        <v>22</v>
      </c>
      <c r="K402">
        <v>65</v>
      </c>
      <c r="L402" t="str">
        <f>IF(Table1[[#This Row],[Age]]&lt;20,"&lt;20",IF(Table1[[#This Row],[Age]]&lt;=70,"20-70","&gt;70"))</f>
        <v>20-70</v>
      </c>
      <c r="M402" t="s">
        <v>45</v>
      </c>
      <c r="N402" t="s">
        <v>24</v>
      </c>
      <c r="O402">
        <v>54.27</v>
      </c>
      <c r="P402">
        <v>5</v>
      </c>
      <c r="Q402">
        <v>13.567500000000001</v>
      </c>
      <c r="R402">
        <v>284.91750000000002</v>
      </c>
      <c r="S402">
        <v>271.35000000000002</v>
      </c>
      <c r="T402">
        <v>4.7619047620000003</v>
      </c>
      <c r="U402">
        <v>13.567500000000001</v>
      </c>
      <c r="V402">
        <v>4.5999999999999996</v>
      </c>
    </row>
    <row r="403" spans="1:22" x14ac:dyDescent="0.2">
      <c r="A403" t="s">
        <v>434</v>
      </c>
      <c r="B403" s="1">
        <v>43539</v>
      </c>
      <c r="C403" s="2">
        <v>0.43472222222222223</v>
      </c>
      <c r="D403" s="2" t="str">
        <f>IF(Table1[[#This Row],[Time]]&lt;$D$1,$C$1,IF(Table1[[#This Row],[Time]]&lt;$D$2,$C$2,$C$3))</f>
        <v>Morning</v>
      </c>
      <c r="E403">
        <f>MONTH(Table1[[#This Row],[Date]])</f>
        <v>3</v>
      </c>
      <c r="F403" t="str">
        <f>VLOOKUP(Table1[[#This Row],[Month]],dctMonth[],2,FALSE)</f>
        <v>March</v>
      </c>
      <c r="G403" t="s">
        <v>43</v>
      </c>
      <c r="H403" t="s">
        <v>44</v>
      </c>
      <c r="I403" t="s">
        <v>28</v>
      </c>
      <c r="J403" t="s">
        <v>32</v>
      </c>
      <c r="K403">
        <v>51</v>
      </c>
      <c r="L403" t="str">
        <f>IF(Table1[[#This Row],[Age]]&lt;20,"&lt;20",IF(Table1[[#This Row],[Age]]&lt;=70,"20-70","&gt;70"))</f>
        <v>20-70</v>
      </c>
      <c r="M403" t="s">
        <v>33</v>
      </c>
      <c r="N403" t="s">
        <v>30</v>
      </c>
      <c r="O403">
        <v>13.59</v>
      </c>
      <c r="P403">
        <v>9</v>
      </c>
      <c r="Q403">
        <v>6.1154999999999999</v>
      </c>
      <c r="R403">
        <v>128.4255</v>
      </c>
      <c r="S403">
        <v>122.31</v>
      </c>
      <c r="T403">
        <v>4.7619047620000003</v>
      </c>
      <c r="U403">
        <v>6.1154999999999999</v>
      </c>
      <c r="V403">
        <v>5.8</v>
      </c>
    </row>
    <row r="404" spans="1:22" x14ac:dyDescent="0.2">
      <c r="A404" t="s">
        <v>435</v>
      </c>
      <c r="B404" s="1">
        <v>43529</v>
      </c>
      <c r="C404" s="2">
        <v>0.5625</v>
      </c>
      <c r="D404" s="2" t="str">
        <f>IF(Table1[[#This Row],[Time]]&lt;$D$1,$C$1,IF(Table1[[#This Row],[Time]]&lt;$D$2,$C$2,$C$3))</f>
        <v>Afternoon</v>
      </c>
      <c r="E404">
        <f>MONTH(Table1[[#This Row],[Date]])</f>
        <v>3</v>
      </c>
      <c r="F404" t="str">
        <f>VLOOKUP(Table1[[#This Row],[Month]],dctMonth[],2,FALSE)</f>
        <v>March</v>
      </c>
      <c r="G404" t="s">
        <v>43</v>
      </c>
      <c r="H404" t="s">
        <v>44</v>
      </c>
      <c r="I404" t="s">
        <v>21</v>
      </c>
      <c r="J404" t="s">
        <v>22</v>
      </c>
      <c r="K404">
        <v>55</v>
      </c>
      <c r="L404" t="str">
        <f>IF(Table1[[#This Row],[Age]]&lt;20,"&lt;20",IF(Table1[[#This Row],[Age]]&lt;=70,"20-70","&gt;70"))</f>
        <v>20-70</v>
      </c>
      <c r="M404" t="s">
        <v>23</v>
      </c>
      <c r="N404" t="s">
        <v>34</v>
      </c>
      <c r="O404">
        <v>41.06</v>
      </c>
      <c r="P404">
        <v>6</v>
      </c>
      <c r="Q404">
        <v>12.318</v>
      </c>
      <c r="R404">
        <v>258.678</v>
      </c>
      <c r="S404">
        <v>246.36</v>
      </c>
      <c r="T404">
        <v>4.7619047620000003</v>
      </c>
      <c r="U404">
        <v>12.318</v>
      </c>
      <c r="V404">
        <v>8.3000000000000007</v>
      </c>
    </row>
    <row r="405" spans="1:22" x14ac:dyDescent="0.2">
      <c r="A405" t="s">
        <v>436</v>
      </c>
      <c r="B405" s="1">
        <v>43528</v>
      </c>
      <c r="C405" s="2">
        <v>0.68611111111111112</v>
      </c>
      <c r="D405" s="2" t="str">
        <f>IF(Table1[[#This Row],[Time]]&lt;$D$1,$C$1,IF(Table1[[#This Row],[Time]]&lt;$D$2,$C$2,$C$3))</f>
        <v>Afternoon</v>
      </c>
      <c r="E405">
        <f>MONTH(Table1[[#This Row],[Date]])</f>
        <v>3</v>
      </c>
      <c r="F405" t="str">
        <f>VLOOKUP(Table1[[#This Row],[Month]],dctMonth[],2,FALSE)</f>
        <v>March</v>
      </c>
      <c r="G405" t="s">
        <v>43</v>
      </c>
      <c r="H405" t="s">
        <v>44</v>
      </c>
      <c r="I405" t="s">
        <v>21</v>
      </c>
      <c r="J405" t="s">
        <v>32</v>
      </c>
      <c r="K405">
        <v>33</v>
      </c>
      <c r="L405" t="str">
        <f>IF(Table1[[#This Row],[Age]]&lt;20,"&lt;20",IF(Table1[[#This Row],[Age]]&lt;=70,"20-70","&gt;70"))</f>
        <v>20-70</v>
      </c>
      <c r="M405" t="s">
        <v>29</v>
      </c>
      <c r="N405" t="s">
        <v>30</v>
      </c>
      <c r="O405">
        <v>19.239999999999998</v>
      </c>
      <c r="P405">
        <v>9</v>
      </c>
      <c r="Q405">
        <v>8.6579999999999995</v>
      </c>
      <c r="R405">
        <v>181.81800000000001</v>
      </c>
      <c r="S405">
        <v>173.16</v>
      </c>
      <c r="T405">
        <v>4.7619047620000003</v>
      </c>
      <c r="U405">
        <v>8.6579999999999995</v>
      </c>
      <c r="V405">
        <v>8</v>
      </c>
    </row>
    <row r="406" spans="1:22" x14ac:dyDescent="0.2">
      <c r="A406" t="s">
        <v>437</v>
      </c>
      <c r="B406" s="1">
        <v>43549</v>
      </c>
      <c r="C406" s="2">
        <v>0.84583333333333333</v>
      </c>
      <c r="D406" s="2" t="str">
        <f>IF(Table1[[#This Row],[Time]]&lt;$D$1,$C$1,IF(Table1[[#This Row],[Time]]&lt;$D$2,$C$2,$C$3))</f>
        <v>Evening</v>
      </c>
      <c r="E406">
        <f>MONTH(Table1[[#This Row],[Date]])</f>
        <v>3</v>
      </c>
      <c r="F406" t="str">
        <f>VLOOKUP(Table1[[#This Row],[Month]],dctMonth[],2,FALSE)</f>
        <v>March</v>
      </c>
      <c r="G406" t="s">
        <v>26</v>
      </c>
      <c r="H406" t="s">
        <v>27</v>
      </c>
      <c r="I406" t="s">
        <v>28</v>
      </c>
      <c r="J406" t="s">
        <v>22</v>
      </c>
      <c r="K406">
        <v>17</v>
      </c>
      <c r="L406" t="str">
        <f>IF(Table1[[#This Row],[Age]]&lt;20,"&lt;20",IF(Table1[[#This Row],[Age]]&lt;=70,"20-70","&gt;70"))</f>
        <v>&lt;20</v>
      </c>
      <c r="M406" t="s">
        <v>45</v>
      </c>
      <c r="N406" t="s">
        <v>34</v>
      </c>
      <c r="O406">
        <v>39.43</v>
      </c>
      <c r="P406">
        <v>6</v>
      </c>
      <c r="Q406">
        <v>11.829000000000001</v>
      </c>
      <c r="R406">
        <v>248.40899999999999</v>
      </c>
      <c r="S406">
        <v>236.58</v>
      </c>
      <c r="T406">
        <v>4.7619047620000003</v>
      </c>
      <c r="U406">
        <v>11.829000000000001</v>
      </c>
      <c r="V406">
        <v>9.4</v>
      </c>
    </row>
    <row r="407" spans="1:22" x14ac:dyDescent="0.2">
      <c r="A407" t="s">
        <v>438</v>
      </c>
      <c r="B407" s="1">
        <v>43536</v>
      </c>
      <c r="C407" s="2">
        <v>0.83611111111111114</v>
      </c>
      <c r="D407" s="2" t="str">
        <f>IF(Table1[[#This Row],[Time]]&lt;$D$1,$C$1,IF(Table1[[#This Row],[Time]]&lt;$D$2,$C$2,$C$3))</f>
        <v>Evening</v>
      </c>
      <c r="E407">
        <f>MONTH(Table1[[#This Row],[Date]])</f>
        <v>3</v>
      </c>
      <c r="F407" t="str">
        <f>VLOOKUP(Table1[[#This Row],[Month]],dctMonth[],2,FALSE)</f>
        <v>March</v>
      </c>
      <c r="G407" t="s">
        <v>26</v>
      </c>
      <c r="H407" t="s">
        <v>27</v>
      </c>
      <c r="I407" t="s">
        <v>28</v>
      </c>
      <c r="J407" t="s">
        <v>32</v>
      </c>
      <c r="K407">
        <v>44</v>
      </c>
      <c r="L407" t="str">
        <f>IF(Table1[[#This Row],[Age]]&lt;20,"&lt;20",IF(Table1[[#This Row],[Age]]&lt;=70,"20-70","&gt;70"))</f>
        <v>20-70</v>
      </c>
      <c r="M407" t="s">
        <v>33</v>
      </c>
      <c r="N407" t="s">
        <v>34</v>
      </c>
      <c r="O407">
        <v>46.22</v>
      </c>
      <c r="P407">
        <v>4</v>
      </c>
      <c r="Q407">
        <v>9.2439999999999998</v>
      </c>
      <c r="R407">
        <v>194.124</v>
      </c>
      <c r="S407">
        <v>184.88</v>
      </c>
      <c r="T407">
        <v>4.7619047620000003</v>
      </c>
      <c r="U407">
        <v>9.2439999999999998</v>
      </c>
      <c r="V407">
        <v>6.2</v>
      </c>
    </row>
    <row r="408" spans="1:22" x14ac:dyDescent="0.2">
      <c r="A408" t="s">
        <v>439</v>
      </c>
      <c r="B408" s="1">
        <v>43500</v>
      </c>
      <c r="C408" s="2">
        <v>0.56805555555555554</v>
      </c>
      <c r="D408" s="2" t="str">
        <f>IF(Table1[[#This Row],[Time]]&lt;$D$1,$C$1,IF(Table1[[#This Row],[Time]]&lt;$D$2,$C$2,$C$3))</f>
        <v>Afternoon</v>
      </c>
      <c r="E408">
        <f>MONTH(Table1[[#This Row],[Date]])</f>
        <v>2</v>
      </c>
      <c r="F408" t="str">
        <f>VLOOKUP(Table1[[#This Row],[Month]],dctMonth[],2,FALSE)</f>
        <v>February</v>
      </c>
      <c r="G408" t="s">
        <v>26</v>
      </c>
      <c r="H408" t="s">
        <v>27</v>
      </c>
      <c r="I408" t="s">
        <v>21</v>
      </c>
      <c r="J408" t="s">
        <v>32</v>
      </c>
      <c r="K408">
        <v>24</v>
      </c>
      <c r="L408" t="str">
        <f>IF(Table1[[#This Row],[Age]]&lt;20,"&lt;20",IF(Table1[[#This Row],[Age]]&lt;=70,"20-70","&gt;70"))</f>
        <v>20-70</v>
      </c>
      <c r="M408" t="s">
        <v>33</v>
      </c>
      <c r="N408" t="s">
        <v>24</v>
      </c>
      <c r="O408">
        <v>13.98</v>
      </c>
      <c r="P408">
        <v>1</v>
      </c>
      <c r="Q408">
        <v>0.69899999999999995</v>
      </c>
      <c r="R408">
        <v>14.679</v>
      </c>
      <c r="S408">
        <v>13.98</v>
      </c>
      <c r="T408">
        <v>4.7619047620000003</v>
      </c>
      <c r="U408">
        <v>0.69899999999999995</v>
      </c>
      <c r="V408">
        <v>9.8000000000000007</v>
      </c>
    </row>
    <row r="409" spans="1:22" x14ac:dyDescent="0.2">
      <c r="A409" t="s">
        <v>440</v>
      </c>
      <c r="B409" s="1">
        <v>43518</v>
      </c>
      <c r="C409" s="2">
        <v>0.4465277777777778</v>
      </c>
      <c r="D409" s="2" t="str">
        <f>IF(Table1[[#This Row],[Time]]&lt;$D$1,$C$1,IF(Table1[[#This Row],[Time]]&lt;$D$2,$C$2,$C$3))</f>
        <v>Morning</v>
      </c>
      <c r="E409">
        <f>MONTH(Table1[[#This Row],[Date]])</f>
        <v>2</v>
      </c>
      <c r="F409" t="str">
        <f>VLOOKUP(Table1[[#This Row],[Month]],dctMonth[],2,FALSE)</f>
        <v>February</v>
      </c>
      <c r="G409" t="s">
        <v>43</v>
      </c>
      <c r="H409" t="s">
        <v>44</v>
      </c>
      <c r="I409" t="s">
        <v>28</v>
      </c>
      <c r="J409" t="s">
        <v>22</v>
      </c>
      <c r="K409">
        <v>50</v>
      </c>
      <c r="L409" t="str">
        <f>IF(Table1[[#This Row],[Age]]&lt;20,"&lt;20",IF(Table1[[#This Row],[Age]]&lt;=70,"20-70","&gt;70"))</f>
        <v>20-70</v>
      </c>
      <c r="M409" t="s">
        <v>47</v>
      </c>
      <c r="N409" t="s">
        <v>24</v>
      </c>
      <c r="O409">
        <v>39.75</v>
      </c>
      <c r="P409">
        <v>5</v>
      </c>
      <c r="Q409">
        <v>9.9375</v>
      </c>
      <c r="R409">
        <v>208.6875</v>
      </c>
      <c r="S409">
        <v>198.75</v>
      </c>
      <c r="T409">
        <v>4.7619047620000003</v>
      </c>
      <c r="U409">
        <v>9.9375</v>
      </c>
      <c r="V409">
        <v>9.6</v>
      </c>
    </row>
    <row r="410" spans="1:22" x14ac:dyDescent="0.2">
      <c r="A410" t="s">
        <v>441</v>
      </c>
      <c r="B410" s="1">
        <v>43512</v>
      </c>
      <c r="C410" s="2">
        <v>0.72916666666666663</v>
      </c>
      <c r="D410" s="2" t="str">
        <f>IF(Table1[[#This Row],[Time]]&lt;$D$1,$C$1,IF(Table1[[#This Row],[Time]]&lt;$D$2,$C$2,$C$3))</f>
        <v>Evening</v>
      </c>
      <c r="E410">
        <f>MONTH(Table1[[#This Row],[Date]])</f>
        <v>2</v>
      </c>
      <c r="F410" t="str">
        <f>VLOOKUP(Table1[[#This Row],[Month]],dctMonth[],2,FALSE)</f>
        <v>February</v>
      </c>
      <c r="G410" t="s">
        <v>26</v>
      </c>
      <c r="H410" t="s">
        <v>27</v>
      </c>
      <c r="I410" t="s">
        <v>21</v>
      </c>
      <c r="J410" t="s">
        <v>22</v>
      </c>
      <c r="K410">
        <v>45</v>
      </c>
      <c r="L410" t="str">
        <f>IF(Table1[[#This Row],[Age]]&lt;20,"&lt;20",IF(Table1[[#This Row],[Age]]&lt;=70,"20-70","&gt;70"))</f>
        <v>20-70</v>
      </c>
      <c r="M410" t="s">
        <v>47</v>
      </c>
      <c r="N410" t="s">
        <v>24</v>
      </c>
      <c r="O410">
        <v>97.79</v>
      </c>
      <c r="P410">
        <v>7</v>
      </c>
      <c r="Q410">
        <v>34.226500000000001</v>
      </c>
      <c r="R410">
        <v>718.75649999999996</v>
      </c>
      <c r="S410">
        <v>684.53</v>
      </c>
      <c r="T410">
        <v>4.7619047620000003</v>
      </c>
      <c r="U410">
        <v>34.226500000000001</v>
      </c>
      <c r="V410">
        <v>4.9000000000000004</v>
      </c>
    </row>
    <row r="411" spans="1:22" x14ac:dyDescent="0.2">
      <c r="A411" t="s">
        <v>442</v>
      </c>
      <c r="B411" s="1">
        <v>43484</v>
      </c>
      <c r="C411" s="2">
        <v>0.64444444444444449</v>
      </c>
      <c r="D411" s="2" t="str">
        <f>IF(Table1[[#This Row],[Time]]&lt;$D$1,$C$1,IF(Table1[[#This Row],[Time]]&lt;$D$2,$C$2,$C$3))</f>
        <v>Afternoon</v>
      </c>
      <c r="E411">
        <f>MONTH(Table1[[#This Row],[Date]])</f>
        <v>1</v>
      </c>
      <c r="F411" t="str">
        <f>VLOOKUP(Table1[[#This Row],[Month]],dctMonth[],2,FALSE)</f>
        <v>January</v>
      </c>
      <c r="G411" t="s">
        <v>19</v>
      </c>
      <c r="H411" t="s">
        <v>20</v>
      </c>
      <c r="I411" t="s">
        <v>21</v>
      </c>
      <c r="J411" t="s">
        <v>32</v>
      </c>
      <c r="K411">
        <v>34</v>
      </c>
      <c r="L411" t="str">
        <f>IF(Table1[[#This Row],[Age]]&lt;20,"&lt;20",IF(Table1[[#This Row],[Age]]&lt;=70,"20-70","&gt;70"))</f>
        <v>20-70</v>
      </c>
      <c r="M411" t="s">
        <v>37</v>
      </c>
      <c r="N411" t="s">
        <v>34</v>
      </c>
      <c r="O411">
        <v>67.260000000000005</v>
      </c>
      <c r="P411">
        <v>4</v>
      </c>
      <c r="Q411">
        <v>13.452</v>
      </c>
      <c r="R411">
        <v>282.49200000000002</v>
      </c>
      <c r="S411">
        <v>269.04000000000002</v>
      </c>
      <c r="T411">
        <v>4.7619047620000003</v>
      </c>
      <c r="U411">
        <v>13.452</v>
      </c>
      <c r="V411">
        <v>8</v>
      </c>
    </row>
    <row r="412" spans="1:22" x14ac:dyDescent="0.2">
      <c r="A412" t="s">
        <v>443</v>
      </c>
      <c r="B412" s="1">
        <v>43476</v>
      </c>
      <c r="C412" s="2">
        <v>0.79652777777777772</v>
      </c>
      <c r="D412" s="2" t="str">
        <f>IF(Table1[[#This Row],[Time]]&lt;$D$1,$C$1,IF(Table1[[#This Row],[Time]]&lt;$D$2,$C$2,$C$3))</f>
        <v>Evening</v>
      </c>
      <c r="E412">
        <f>MONTH(Table1[[#This Row],[Date]])</f>
        <v>1</v>
      </c>
      <c r="F412" t="str">
        <f>VLOOKUP(Table1[[#This Row],[Month]],dctMonth[],2,FALSE)</f>
        <v>January</v>
      </c>
      <c r="G412" t="s">
        <v>19</v>
      </c>
      <c r="H412" t="s">
        <v>20</v>
      </c>
      <c r="I412" t="s">
        <v>28</v>
      </c>
      <c r="J412" t="s">
        <v>32</v>
      </c>
      <c r="K412">
        <v>51</v>
      </c>
      <c r="L412" t="str">
        <f>IF(Table1[[#This Row],[Age]]&lt;20,"&lt;20",IF(Table1[[#This Row],[Age]]&lt;=70,"20-70","&gt;70"))</f>
        <v>20-70</v>
      </c>
      <c r="M412" t="s">
        <v>45</v>
      </c>
      <c r="N412" t="s">
        <v>34</v>
      </c>
      <c r="O412">
        <v>13.79</v>
      </c>
      <c r="P412">
        <v>5</v>
      </c>
      <c r="Q412">
        <v>3.4474999999999998</v>
      </c>
      <c r="R412">
        <v>72.397499999999994</v>
      </c>
      <c r="S412">
        <v>68.95</v>
      </c>
      <c r="T412">
        <v>4.7619047620000003</v>
      </c>
      <c r="U412">
        <v>3.4474999999999998</v>
      </c>
      <c r="V412">
        <v>7.8</v>
      </c>
    </row>
    <row r="413" spans="1:22" x14ac:dyDescent="0.2">
      <c r="A413" t="s">
        <v>444</v>
      </c>
      <c r="B413" s="1">
        <v>43469</v>
      </c>
      <c r="C413" s="2">
        <v>0.79236111111111107</v>
      </c>
      <c r="D413" s="2" t="str">
        <f>IF(Table1[[#This Row],[Time]]&lt;$D$1,$C$1,IF(Table1[[#This Row],[Time]]&lt;$D$2,$C$2,$C$3))</f>
        <v>Evening</v>
      </c>
      <c r="E413">
        <f>MONTH(Table1[[#This Row],[Date]])</f>
        <v>1</v>
      </c>
      <c r="F413" t="str">
        <f>VLOOKUP(Table1[[#This Row],[Month]],dctMonth[],2,FALSE)</f>
        <v>January</v>
      </c>
      <c r="G413" t="s">
        <v>43</v>
      </c>
      <c r="H413" t="s">
        <v>44</v>
      </c>
      <c r="I413" t="s">
        <v>21</v>
      </c>
      <c r="J413" t="s">
        <v>22</v>
      </c>
      <c r="K413">
        <v>42</v>
      </c>
      <c r="L413" t="str">
        <f>IF(Table1[[#This Row],[Age]]&lt;20,"&lt;20",IF(Table1[[#This Row],[Age]]&lt;=70,"20-70","&gt;70"))</f>
        <v>20-70</v>
      </c>
      <c r="M413" t="s">
        <v>47</v>
      </c>
      <c r="N413" t="s">
        <v>30</v>
      </c>
      <c r="O413">
        <v>68.709999999999994</v>
      </c>
      <c r="P413">
        <v>4</v>
      </c>
      <c r="Q413">
        <v>13.742000000000001</v>
      </c>
      <c r="R413">
        <v>288.58199999999999</v>
      </c>
      <c r="S413">
        <v>274.83999999999997</v>
      </c>
      <c r="T413">
        <v>4.7619047620000003</v>
      </c>
      <c r="U413">
        <v>13.742000000000001</v>
      </c>
      <c r="V413">
        <v>4.0999999999999996</v>
      </c>
    </row>
    <row r="414" spans="1:22" x14ac:dyDescent="0.2">
      <c r="A414" t="s">
        <v>445</v>
      </c>
      <c r="B414" s="1">
        <v>43528</v>
      </c>
      <c r="C414" s="2">
        <v>0.82499999999999996</v>
      </c>
      <c r="D414" s="2" t="str">
        <f>IF(Table1[[#This Row],[Time]]&lt;$D$1,$C$1,IF(Table1[[#This Row],[Time]]&lt;$D$2,$C$2,$C$3))</f>
        <v>Evening</v>
      </c>
      <c r="E414">
        <f>MONTH(Table1[[#This Row],[Date]])</f>
        <v>3</v>
      </c>
      <c r="F414" t="str">
        <f>VLOOKUP(Table1[[#This Row],[Month]],dctMonth[],2,FALSE)</f>
        <v>March</v>
      </c>
      <c r="G414" t="s">
        <v>19</v>
      </c>
      <c r="H414" t="s">
        <v>20</v>
      </c>
      <c r="I414" t="s">
        <v>28</v>
      </c>
      <c r="J414" t="s">
        <v>22</v>
      </c>
      <c r="K414">
        <v>81</v>
      </c>
      <c r="L414" t="str">
        <f>IF(Table1[[#This Row],[Age]]&lt;20,"&lt;20",IF(Table1[[#This Row],[Age]]&lt;=70,"20-70","&gt;70"))</f>
        <v>&gt;70</v>
      </c>
      <c r="M414" t="s">
        <v>33</v>
      </c>
      <c r="N414" t="s">
        <v>24</v>
      </c>
      <c r="O414">
        <v>56.53</v>
      </c>
      <c r="P414">
        <v>4</v>
      </c>
      <c r="Q414">
        <v>11.305999999999999</v>
      </c>
      <c r="R414">
        <v>237.42599999999999</v>
      </c>
      <c r="S414">
        <v>226.12</v>
      </c>
      <c r="T414">
        <v>4.7619047620000003</v>
      </c>
      <c r="U414">
        <v>11.305999999999999</v>
      </c>
      <c r="V414">
        <v>5.5</v>
      </c>
    </row>
    <row r="415" spans="1:22" x14ac:dyDescent="0.2">
      <c r="A415" t="s">
        <v>446</v>
      </c>
      <c r="B415" s="1">
        <v>43493</v>
      </c>
      <c r="C415" s="2">
        <v>0.80833333333333335</v>
      </c>
      <c r="D415" s="2" t="str">
        <f>IF(Table1[[#This Row],[Time]]&lt;$D$1,$C$1,IF(Table1[[#This Row],[Time]]&lt;$D$2,$C$2,$C$3))</f>
        <v>Evening</v>
      </c>
      <c r="E415">
        <f>MONTH(Table1[[#This Row],[Date]])</f>
        <v>1</v>
      </c>
      <c r="F415" t="str">
        <f>VLOOKUP(Table1[[#This Row],[Month]],dctMonth[],2,FALSE)</f>
        <v>January</v>
      </c>
      <c r="G415" t="s">
        <v>26</v>
      </c>
      <c r="H415" t="s">
        <v>27</v>
      </c>
      <c r="I415" t="s">
        <v>28</v>
      </c>
      <c r="J415" t="s">
        <v>22</v>
      </c>
      <c r="K415">
        <v>26</v>
      </c>
      <c r="L415" t="str">
        <f>IF(Table1[[#This Row],[Age]]&lt;20,"&lt;20",IF(Table1[[#This Row],[Age]]&lt;=70,"20-70","&gt;70"))</f>
        <v>20-70</v>
      </c>
      <c r="M415" t="s">
        <v>47</v>
      </c>
      <c r="N415" t="s">
        <v>24</v>
      </c>
      <c r="O415">
        <v>23.82</v>
      </c>
      <c r="P415">
        <v>5</v>
      </c>
      <c r="Q415">
        <v>5.9550000000000001</v>
      </c>
      <c r="R415">
        <v>125.05500000000001</v>
      </c>
      <c r="S415">
        <v>119.1</v>
      </c>
      <c r="T415">
        <v>4.7619047620000003</v>
      </c>
      <c r="U415">
        <v>5.9550000000000001</v>
      </c>
      <c r="V415">
        <v>5.4</v>
      </c>
    </row>
    <row r="416" spans="1:22" x14ac:dyDescent="0.2">
      <c r="A416" t="s">
        <v>447</v>
      </c>
      <c r="B416" s="1">
        <v>43467</v>
      </c>
      <c r="C416" s="2">
        <v>0.54166666666666663</v>
      </c>
      <c r="D416" s="2" t="str">
        <f>IF(Table1[[#This Row],[Time]]&lt;$D$1,$C$1,IF(Table1[[#This Row],[Time]]&lt;$D$2,$C$2,$C$3))</f>
        <v>Afternoon</v>
      </c>
      <c r="E416">
        <f>MONTH(Table1[[#This Row],[Date]])</f>
        <v>1</v>
      </c>
      <c r="F416" t="str">
        <f>VLOOKUP(Table1[[#This Row],[Month]],dctMonth[],2,FALSE)</f>
        <v>January</v>
      </c>
      <c r="G416" t="s">
        <v>43</v>
      </c>
      <c r="H416" t="s">
        <v>44</v>
      </c>
      <c r="I416" t="s">
        <v>28</v>
      </c>
      <c r="J416" t="s">
        <v>22</v>
      </c>
      <c r="K416">
        <v>62</v>
      </c>
      <c r="L416" t="str">
        <f>IF(Table1[[#This Row],[Age]]&lt;20,"&lt;20",IF(Table1[[#This Row],[Age]]&lt;=70,"20-70","&gt;70"))</f>
        <v>20-70</v>
      </c>
      <c r="M416" t="s">
        <v>23</v>
      </c>
      <c r="N416" t="s">
        <v>30</v>
      </c>
      <c r="O416">
        <v>34.21</v>
      </c>
      <c r="P416">
        <v>10</v>
      </c>
      <c r="Q416">
        <v>17.105</v>
      </c>
      <c r="R416">
        <v>359.20499999999998</v>
      </c>
      <c r="S416">
        <v>342.1</v>
      </c>
      <c r="T416">
        <v>4.7619047620000003</v>
      </c>
      <c r="U416">
        <v>17.105</v>
      </c>
      <c r="V416">
        <v>5.0999999999999996</v>
      </c>
    </row>
    <row r="417" spans="1:22" x14ac:dyDescent="0.2">
      <c r="A417" t="s">
        <v>448</v>
      </c>
      <c r="B417" s="1">
        <v>43490</v>
      </c>
      <c r="C417" s="2">
        <v>0.60347222222222219</v>
      </c>
      <c r="D417" s="2" t="str">
        <f>IF(Table1[[#This Row],[Time]]&lt;$D$1,$C$1,IF(Table1[[#This Row],[Time]]&lt;$D$2,$C$2,$C$3))</f>
        <v>Afternoon</v>
      </c>
      <c r="E417">
        <f>MONTH(Table1[[#This Row],[Date]])</f>
        <v>1</v>
      </c>
      <c r="F417" t="str">
        <f>VLOOKUP(Table1[[#This Row],[Month]],dctMonth[],2,FALSE)</f>
        <v>January</v>
      </c>
      <c r="G417" t="s">
        <v>43</v>
      </c>
      <c r="H417" t="s">
        <v>44</v>
      </c>
      <c r="I417" t="s">
        <v>28</v>
      </c>
      <c r="J417" t="s">
        <v>32</v>
      </c>
      <c r="K417">
        <v>64</v>
      </c>
      <c r="L417" t="str">
        <f>IF(Table1[[#This Row],[Age]]&lt;20,"&lt;20",IF(Table1[[#This Row],[Age]]&lt;=70,"20-70","&gt;70"))</f>
        <v>20-70</v>
      </c>
      <c r="M417" t="s">
        <v>37</v>
      </c>
      <c r="N417" t="s">
        <v>24</v>
      </c>
      <c r="O417">
        <v>21.87</v>
      </c>
      <c r="P417">
        <v>2</v>
      </c>
      <c r="Q417">
        <v>2.1869999999999998</v>
      </c>
      <c r="R417">
        <v>45.927</v>
      </c>
      <c r="S417">
        <v>43.74</v>
      </c>
      <c r="T417">
        <v>4.7619047620000003</v>
      </c>
      <c r="U417">
        <v>2.1869999999999998</v>
      </c>
      <c r="V417">
        <v>6.9</v>
      </c>
    </row>
    <row r="418" spans="1:22" x14ac:dyDescent="0.2">
      <c r="A418" t="s">
        <v>449</v>
      </c>
      <c r="B418" s="1">
        <v>43469</v>
      </c>
      <c r="C418" s="2">
        <v>0.55625000000000002</v>
      </c>
      <c r="D418" s="2" t="str">
        <f>IF(Table1[[#This Row],[Time]]&lt;$D$1,$C$1,IF(Table1[[#This Row],[Time]]&lt;$D$2,$C$2,$C$3))</f>
        <v>Afternoon</v>
      </c>
      <c r="E418">
        <f>MONTH(Table1[[#This Row],[Date]])</f>
        <v>1</v>
      </c>
      <c r="F418" t="str">
        <f>VLOOKUP(Table1[[#This Row],[Month]],dctMonth[],2,FALSE)</f>
        <v>January</v>
      </c>
      <c r="G418" t="s">
        <v>19</v>
      </c>
      <c r="H418" t="s">
        <v>20</v>
      </c>
      <c r="I418" t="s">
        <v>21</v>
      </c>
      <c r="J418" t="s">
        <v>32</v>
      </c>
      <c r="K418">
        <v>73</v>
      </c>
      <c r="L418" t="str">
        <f>IF(Table1[[#This Row],[Age]]&lt;20,"&lt;20",IF(Table1[[#This Row],[Age]]&lt;=70,"20-70","&gt;70"))</f>
        <v>&gt;70</v>
      </c>
      <c r="M418" t="s">
        <v>23</v>
      </c>
      <c r="N418" t="s">
        <v>30</v>
      </c>
      <c r="O418">
        <v>20.97</v>
      </c>
      <c r="P418">
        <v>5</v>
      </c>
      <c r="Q418">
        <v>5.2424999999999997</v>
      </c>
      <c r="R418">
        <v>110.0925</v>
      </c>
      <c r="S418">
        <v>104.85</v>
      </c>
      <c r="T418">
        <v>4.7619047620000003</v>
      </c>
      <c r="U418">
        <v>5.2424999999999997</v>
      </c>
      <c r="V418">
        <v>7.8</v>
      </c>
    </row>
    <row r="419" spans="1:22" x14ac:dyDescent="0.2">
      <c r="A419" t="s">
        <v>450</v>
      </c>
      <c r="B419" s="1">
        <v>43534</v>
      </c>
      <c r="C419" s="2">
        <v>0.78819444444444442</v>
      </c>
      <c r="D419" s="2" t="str">
        <f>IF(Table1[[#This Row],[Time]]&lt;$D$1,$C$1,IF(Table1[[#This Row],[Time]]&lt;$D$2,$C$2,$C$3))</f>
        <v>Evening</v>
      </c>
      <c r="E419">
        <f>MONTH(Table1[[#This Row],[Date]])</f>
        <v>3</v>
      </c>
      <c r="F419" t="str">
        <f>VLOOKUP(Table1[[#This Row],[Month]],dctMonth[],2,FALSE)</f>
        <v>March</v>
      </c>
      <c r="G419" t="s">
        <v>19</v>
      </c>
      <c r="H419" t="s">
        <v>20</v>
      </c>
      <c r="I419" t="s">
        <v>28</v>
      </c>
      <c r="J419" t="s">
        <v>32</v>
      </c>
      <c r="K419">
        <v>85</v>
      </c>
      <c r="L419" t="str">
        <f>IF(Table1[[#This Row],[Age]]&lt;20,"&lt;20",IF(Table1[[#This Row],[Age]]&lt;=70,"20-70","&gt;70"))</f>
        <v>&gt;70</v>
      </c>
      <c r="M419" t="s">
        <v>37</v>
      </c>
      <c r="N419" t="s">
        <v>24</v>
      </c>
      <c r="O419">
        <v>25.84</v>
      </c>
      <c r="P419">
        <v>3</v>
      </c>
      <c r="Q419">
        <v>3.8759999999999999</v>
      </c>
      <c r="R419">
        <v>81.396000000000001</v>
      </c>
      <c r="S419">
        <v>77.52</v>
      </c>
      <c r="T419">
        <v>4.7619047620000003</v>
      </c>
      <c r="U419">
        <v>3.8759999999999999</v>
      </c>
      <c r="V419">
        <v>6.6</v>
      </c>
    </row>
    <row r="420" spans="1:22" x14ac:dyDescent="0.2">
      <c r="A420" t="s">
        <v>451</v>
      </c>
      <c r="B420" s="1">
        <v>43546</v>
      </c>
      <c r="C420" s="2">
        <v>0.81666666666666665</v>
      </c>
      <c r="D420" s="2" t="str">
        <f>IF(Table1[[#This Row],[Time]]&lt;$D$1,$C$1,IF(Table1[[#This Row],[Time]]&lt;$D$2,$C$2,$C$3))</f>
        <v>Evening</v>
      </c>
      <c r="E420">
        <f>MONTH(Table1[[#This Row],[Date]])</f>
        <v>3</v>
      </c>
      <c r="F420" t="str">
        <f>VLOOKUP(Table1[[#This Row],[Month]],dctMonth[],2,FALSE)</f>
        <v>March</v>
      </c>
      <c r="G420" t="s">
        <v>19</v>
      </c>
      <c r="H420" t="s">
        <v>20</v>
      </c>
      <c r="I420" t="s">
        <v>28</v>
      </c>
      <c r="J420" t="s">
        <v>32</v>
      </c>
      <c r="K420">
        <v>65</v>
      </c>
      <c r="L420" t="str">
        <f>IF(Table1[[#This Row],[Age]]&lt;20,"&lt;20",IF(Table1[[#This Row],[Age]]&lt;=70,"20-70","&gt;70"))</f>
        <v>20-70</v>
      </c>
      <c r="M420" t="s">
        <v>33</v>
      </c>
      <c r="N420" t="s">
        <v>24</v>
      </c>
      <c r="O420">
        <v>50.93</v>
      </c>
      <c r="P420">
        <v>8</v>
      </c>
      <c r="Q420">
        <v>20.372</v>
      </c>
      <c r="R420">
        <v>427.81200000000001</v>
      </c>
      <c r="S420">
        <v>407.44</v>
      </c>
      <c r="T420">
        <v>4.7619047620000003</v>
      </c>
      <c r="U420">
        <v>20.372</v>
      </c>
      <c r="V420">
        <v>9.1999999999999993</v>
      </c>
    </row>
    <row r="421" spans="1:22" x14ac:dyDescent="0.2">
      <c r="A421" t="s">
        <v>452</v>
      </c>
      <c r="B421" s="1">
        <v>43490</v>
      </c>
      <c r="C421" s="2">
        <v>0.68611111111111112</v>
      </c>
      <c r="D421" s="2" t="str">
        <f>IF(Table1[[#This Row],[Time]]&lt;$D$1,$C$1,IF(Table1[[#This Row],[Time]]&lt;$D$2,$C$2,$C$3))</f>
        <v>Afternoon</v>
      </c>
      <c r="E421">
        <f>MONTH(Table1[[#This Row],[Date]])</f>
        <v>1</v>
      </c>
      <c r="F421" t="str">
        <f>VLOOKUP(Table1[[#This Row],[Month]],dctMonth[],2,FALSE)</f>
        <v>January</v>
      </c>
      <c r="G421" t="s">
        <v>43</v>
      </c>
      <c r="H421" t="s">
        <v>44</v>
      </c>
      <c r="I421" t="s">
        <v>28</v>
      </c>
      <c r="J421" t="s">
        <v>32</v>
      </c>
      <c r="K421">
        <v>48</v>
      </c>
      <c r="L421" t="str">
        <f>IF(Table1[[#This Row],[Age]]&lt;20,"&lt;20",IF(Table1[[#This Row],[Age]]&lt;=70,"20-70","&gt;70"))</f>
        <v>20-70</v>
      </c>
      <c r="M421" t="s">
        <v>23</v>
      </c>
      <c r="N421" t="s">
        <v>24</v>
      </c>
      <c r="O421">
        <v>96.11</v>
      </c>
      <c r="P421">
        <v>1</v>
      </c>
      <c r="Q421">
        <v>4.8055000000000003</v>
      </c>
      <c r="R421">
        <v>100.91549999999999</v>
      </c>
      <c r="S421">
        <v>96.11</v>
      </c>
      <c r="T421">
        <v>4.7619047620000003</v>
      </c>
      <c r="U421">
        <v>4.8055000000000003</v>
      </c>
      <c r="V421">
        <v>7.8</v>
      </c>
    </row>
    <row r="422" spans="1:22" x14ac:dyDescent="0.2">
      <c r="A422" t="s">
        <v>453</v>
      </c>
      <c r="B422" s="1">
        <v>43473</v>
      </c>
      <c r="C422" s="2">
        <v>0.57499999999999996</v>
      </c>
      <c r="D422" s="2" t="str">
        <f>IF(Table1[[#This Row],[Time]]&lt;$D$1,$C$1,IF(Table1[[#This Row],[Time]]&lt;$D$2,$C$2,$C$3))</f>
        <v>Afternoon</v>
      </c>
      <c r="E422">
        <f>MONTH(Table1[[#This Row],[Date]])</f>
        <v>1</v>
      </c>
      <c r="F422" t="str">
        <f>VLOOKUP(Table1[[#This Row],[Month]],dctMonth[],2,FALSE)</f>
        <v>January</v>
      </c>
      <c r="G422" t="s">
        <v>26</v>
      </c>
      <c r="H422" t="s">
        <v>27</v>
      </c>
      <c r="I422" t="s">
        <v>28</v>
      </c>
      <c r="J422" t="s">
        <v>22</v>
      </c>
      <c r="K422">
        <v>40</v>
      </c>
      <c r="L422" t="str">
        <f>IF(Table1[[#This Row],[Age]]&lt;20,"&lt;20",IF(Table1[[#This Row],[Age]]&lt;=70,"20-70","&gt;70"))</f>
        <v>20-70</v>
      </c>
      <c r="M422" t="s">
        <v>33</v>
      </c>
      <c r="N422" t="s">
        <v>34</v>
      </c>
      <c r="O422">
        <v>45.38</v>
      </c>
      <c r="P422">
        <v>4</v>
      </c>
      <c r="Q422">
        <v>9.0760000000000005</v>
      </c>
      <c r="R422">
        <v>190.596</v>
      </c>
      <c r="S422">
        <v>181.52</v>
      </c>
      <c r="T422">
        <v>4.7619047620000003</v>
      </c>
      <c r="U422">
        <v>9.0760000000000005</v>
      </c>
      <c r="V422">
        <v>8.6999999999999993</v>
      </c>
    </row>
    <row r="423" spans="1:22" x14ac:dyDescent="0.2">
      <c r="A423" t="s">
        <v>454</v>
      </c>
      <c r="B423" s="1">
        <v>43487</v>
      </c>
      <c r="C423" s="2">
        <v>0.45624999999999999</v>
      </c>
      <c r="D423" s="2" t="str">
        <f>IF(Table1[[#This Row],[Time]]&lt;$D$1,$C$1,IF(Table1[[#This Row],[Time]]&lt;$D$2,$C$2,$C$3))</f>
        <v>Morning</v>
      </c>
      <c r="E423">
        <f>MONTH(Table1[[#This Row],[Date]])</f>
        <v>1</v>
      </c>
      <c r="F423" t="str">
        <f>VLOOKUP(Table1[[#This Row],[Month]],dctMonth[],2,FALSE)</f>
        <v>January</v>
      </c>
      <c r="G423" t="s">
        <v>26</v>
      </c>
      <c r="H423" t="s">
        <v>27</v>
      </c>
      <c r="I423" t="s">
        <v>21</v>
      </c>
      <c r="J423" t="s">
        <v>22</v>
      </c>
      <c r="K423">
        <v>76</v>
      </c>
      <c r="L423" t="str">
        <f>IF(Table1[[#This Row],[Age]]&lt;20,"&lt;20",IF(Table1[[#This Row],[Age]]&lt;=70,"20-70","&gt;70"))</f>
        <v>&gt;70</v>
      </c>
      <c r="M423" t="s">
        <v>23</v>
      </c>
      <c r="N423" t="s">
        <v>24</v>
      </c>
      <c r="O423">
        <v>81.510000000000005</v>
      </c>
      <c r="P423">
        <v>1</v>
      </c>
      <c r="Q423">
        <v>4.0754999999999999</v>
      </c>
      <c r="R423">
        <v>85.585499999999996</v>
      </c>
      <c r="S423">
        <v>81.510000000000005</v>
      </c>
      <c r="T423">
        <v>4.7619047620000003</v>
      </c>
      <c r="U423">
        <v>4.0754999999999999</v>
      </c>
      <c r="V423">
        <v>9.1999999999999993</v>
      </c>
    </row>
    <row r="424" spans="1:22" x14ac:dyDescent="0.2">
      <c r="A424" t="s">
        <v>455</v>
      </c>
      <c r="B424" s="1">
        <v>43477</v>
      </c>
      <c r="C424" s="2">
        <v>0.71736111111111112</v>
      </c>
      <c r="D424" s="2" t="str">
        <f>IF(Table1[[#This Row],[Time]]&lt;$D$1,$C$1,IF(Table1[[#This Row],[Time]]&lt;$D$2,$C$2,$C$3))</f>
        <v>Evening</v>
      </c>
      <c r="E424">
        <f>MONTH(Table1[[#This Row],[Date]])</f>
        <v>1</v>
      </c>
      <c r="F424" t="str">
        <f>VLOOKUP(Table1[[#This Row],[Month]],dctMonth[],2,FALSE)</f>
        <v>January</v>
      </c>
      <c r="G424" t="s">
        <v>43</v>
      </c>
      <c r="H424" t="s">
        <v>44</v>
      </c>
      <c r="I424" t="s">
        <v>28</v>
      </c>
      <c r="J424" t="s">
        <v>22</v>
      </c>
      <c r="K424">
        <v>42</v>
      </c>
      <c r="L424" t="str">
        <f>IF(Table1[[#This Row],[Age]]&lt;20,"&lt;20",IF(Table1[[#This Row],[Age]]&lt;=70,"20-70","&gt;70"))</f>
        <v>20-70</v>
      </c>
      <c r="M424" t="s">
        <v>23</v>
      </c>
      <c r="N424" t="s">
        <v>24</v>
      </c>
      <c r="O424">
        <v>57.22</v>
      </c>
      <c r="P424">
        <v>2</v>
      </c>
      <c r="Q424">
        <v>5.7220000000000004</v>
      </c>
      <c r="R424">
        <v>120.16200000000001</v>
      </c>
      <c r="S424">
        <v>114.44</v>
      </c>
      <c r="T424">
        <v>4.7619047620000003</v>
      </c>
      <c r="U424">
        <v>5.7220000000000004</v>
      </c>
      <c r="V424">
        <v>8.3000000000000007</v>
      </c>
    </row>
    <row r="425" spans="1:22" x14ac:dyDescent="0.2">
      <c r="A425" t="s">
        <v>456</v>
      </c>
      <c r="B425" s="1">
        <v>43500</v>
      </c>
      <c r="C425" s="2">
        <v>0.43263888888888891</v>
      </c>
      <c r="D425" s="2" t="str">
        <f>IF(Table1[[#This Row],[Time]]&lt;$D$1,$C$1,IF(Table1[[#This Row],[Time]]&lt;$D$2,$C$2,$C$3))</f>
        <v>Morning</v>
      </c>
      <c r="E425">
        <f>MONTH(Table1[[#This Row],[Date]])</f>
        <v>2</v>
      </c>
      <c r="F425" t="str">
        <f>VLOOKUP(Table1[[#This Row],[Month]],dctMonth[],2,FALSE)</f>
        <v>February</v>
      </c>
      <c r="G425" t="s">
        <v>19</v>
      </c>
      <c r="H425" t="s">
        <v>20</v>
      </c>
      <c r="I425" t="s">
        <v>21</v>
      </c>
      <c r="J425" t="s">
        <v>22</v>
      </c>
      <c r="K425">
        <v>50</v>
      </c>
      <c r="L425" t="str">
        <f>IF(Table1[[#This Row],[Age]]&lt;20,"&lt;20",IF(Table1[[#This Row],[Age]]&lt;=70,"20-70","&gt;70"))</f>
        <v>20-70</v>
      </c>
      <c r="M425" t="s">
        <v>29</v>
      </c>
      <c r="N425" t="s">
        <v>30</v>
      </c>
      <c r="O425">
        <v>25.22</v>
      </c>
      <c r="P425">
        <v>7</v>
      </c>
      <c r="Q425">
        <v>8.827</v>
      </c>
      <c r="R425">
        <v>185.36699999999999</v>
      </c>
      <c r="S425">
        <v>176.54</v>
      </c>
      <c r="T425">
        <v>4.7619047620000003</v>
      </c>
      <c r="U425">
        <v>8.827</v>
      </c>
      <c r="V425">
        <v>8.1999999999999993</v>
      </c>
    </row>
    <row r="426" spans="1:22" x14ac:dyDescent="0.2">
      <c r="A426" t="s">
        <v>457</v>
      </c>
      <c r="B426" s="1">
        <v>43552</v>
      </c>
      <c r="C426" s="2">
        <v>0.58125000000000004</v>
      </c>
      <c r="D426" s="2" t="str">
        <f>IF(Table1[[#This Row],[Time]]&lt;$D$1,$C$1,IF(Table1[[#This Row],[Time]]&lt;$D$2,$C$2,$C$3))</f>
        <v>Afternoon</v>
      </c>
      <c r="E426">
        <f>MONTH(Table1[[#This Row],[Date]])</f>
        <v>3</v>
      </c>
      <c r="F426" t="str">
        <f>VLOOKUP(Table1[[#This Row],[Month]],dctMonth[],2,FALSE)</f>
        <v>March</v>
      </c>
      <c r="G426" t="s">
        <v>26</v>
      </c>
      <c r="H426" t="s">
        <v>27</v>
      </c>
      <c r="I426" t="s">
        <v>21</v>
      </c>
      <c r="J426" t="s">
        <v>22</v>
      </c>
      <c r="K426">
        <v>48</v>
      </c>
      <c r="L426" t="str">
        <f>IF(Table1[[#This Row],[Age]]&lt;20,"&lt;20",IF(Table1[[#This Row],[Age]]&lt;=70,"20-70","&gt;70"))</f>
        <v>20-70</v>
      </c>
      <c r="M426" t="s">
        <v>45</v>
      </c>
      <c r="N426" t="s">
        <v>24</v>
      </c>
      <c r="O426">
        <v>38.6</v>
      </c>
      <c r="P426">
        <v>3</v>
      </c>
      <c r="Q426">
        <v>5.79</v>
      </c>
      <c r="R426">
        <v>121.59</v>
      </c>
      <c r="S426">
        <v>115.8</v>
      </c>
      <c r="T426">
        <v>4.7619047620000003</v>
      </c>
      <c r="U426">
        <v>5.79</v>
      </c>
      <c r="V426">
        <v>7.5</v>
      </c>
    </row>
    <row r="427" spans="1:22" x14ac:dyDescent="0.2">
      <c r="A427" t="s">
        <v>458</v>
      </c>
      <c r="B427" s="1">
        <v>43488</v>
      </c>
      <c r="C427" s="2">
        <v>0.56180555555555556</v>
      </c>
      <c r="D427" s="2" t="str">
        <f>IF(Table1[[#This Row],[Time]]&lt;$D$1,$C$1,IF(Table1[[#This Row],[Time]]&lt;$D$2,$C$2,$C$3))</f>
        <v>Afternoon</v>
      </c>
      <c r="E427">
        <f>MONTH(Table1[[#This Row],[Date]])</f>
        <v>1</v>
      </c>
      <c r="F427" t="str">
        <f>VLOOKUP(Table1[[#This Row],[Month]],dctMonth[],2,FALSE)</f>
        <v>January</v>
      </c>
      <c r="G427" t="s">
        <v>26</v>
      </c>
      <c r="H427" t="s">
        <v>27</v>
      </c>
      <c r="I427" t="s">
        <v>28</v>
      </c>
      <c r="J427" t="s">
        <v>22</v>
      </c>
      <c r="K427">
        <v>76</v>
      </c>
      <c r="L427" t="str">
        <f>IF(Table1[[#This Row],[Age]]&lt;20,"&lt;20",IF(Table1[[#This Row],[Age]]&lt;=70,"20-70","&gt;70"))</f>
        <v>&gt;70</v>
      </c>
      <c r="M427" t="s">
        <v>29</v>
      </c>
      <c r="N427" t="s">
        <v>30</v>
      </c>
      <c r="O427">
        <v>84.05</v>
      </c>
      <c r="P427">
        <v>3</v>
      </c>
      <c r="Q427">
        <v>12.6075</v>
      </c>
      <c r="R427">
        <v>264.75749999999999</v>
      </c>
      <c r="S427">
        <v>252.15</v>
      </c>
      <c r="T427">
        <v>4.7619047620000003</v>
      </c>
      <c r="U427">
        <v>12.6075</v>
      </c>
      <c r="V427">
        <v>9.8000000000000007</v>
      </c>
    </row>
    <row r="428" spans="1:22" x14ac:dyDescent="0.2">
      <c r="A428" t="s">
        <v>459</v>
      </c>
      <c r="B428" s="1">
        <v>43504</v>
      </c>
      <c r="C428" s="2">
        <v>0.54166666666666663</v>
      </c>
      <c r="D428" s="2" t="str">
        <f>IF(Table1[[#This Row],[Time]]&lt;$D$1,$C$1,IF(Table1[[#This Row],[Time]]&lt;$D$2,$C$2,$C$3))</f>
        <v>Afternoon</v>
      </c>
      <c r="E428">
        <f>MONTH(Table1[[#This Row],[Date]])</f>
        <v>2</v>
      </c>
      <c r="F428" t="str">
        <f>VLOOKUP(Table1[[#This Row],[Month]],dctMonth[],2,FALSE)</f>
        <v>February</v>
      </c>
      <c r="G428" t="s">
        <v>26</v>
      </c>
      <c r="H428" t="s">
        <v>27</v>
      </c>
      <c r="I428" t="s">
        <v>21</v>
      </c>
      <c r="J428" t="s">
        <v>22</v>
      </c>
      <c r="K428">
        <v>87</v>
      </c>
      <c r="L428" t="str">
        <f>IF(Table1[[#This Row],[Age]]&lt;20,"&lt;20",IF(Table1[[#This Row],[Age]]&lt;=70,"20-70","&gt;70"))</f>
        <v>&gt;70</v>
      </c>
      <c r="M428" t="s">
        <v>47</v>
      </c>
      <c r="N428" t="s">
        <v>34</v>
      </c>
      <c r="O428">
        <v>97.21</v>
      </c>
      <c r="P428">
        <v>10</v>
      </c>
      <c r="Q428">
        <v>48.604999999999997</v>
      </c>
      <c r="R428">
        <v>1020.705</v>
      </c>
      <c r="S428">
        <v>972.1</v>
      </c>
      <c r="T428">
        <v>4.7619047620000003</v>
      </c>
      <c r="U428">
        <v>48.604999999999997</v>
      </c>
      <c r="V428">
        <v>8.6999999999999993</v>
      </c>
    </row>
    <row r="429" spans="1:22" x14ac:dyDescent="0.2">
      <c r="A429" t="s">
        <v>460</v>
      </c>
      <c r="B429" s="1">
        <v>43543</v>
      </c>
      <c r="C429" s="2">
        <v>0.8208333333333333</v>
      </c>
      <c r="D429" s="2" t="str">
        <f>IF(Table1[[#This Row],[Time]]&lt;$D$1,$C$1,IF(Table1[[#This Row],[Time]]&lt;$D$2,$C$2,$C$3))</f>
        <v>Evening</v>
      </c>
      <c r="E429">
        <f>MONTH(Table1[[#This Row],[Date]])</f>
        <v>3</v>
      </c>
      <c r="F429" t="str">
        <f>VLOOKUP(Table1[[#This Row],[Month]],dctMonth[],2,FALSE)</f>
        <v>March</v>
      </c>
      <c r="G429" t="s">
        <v>43</v>
      </c>
      <c r="H429" t="s">
        <v>44</v>
      </c>
      <c r="I429" t="s">
        <v>21</v>
      </c>
      <c r="J429" t="s">
        <v>32</v>
      </c>
      <c r="K429">
        <v>73</v>
      </c>
      <c r="L429" t="str">
        <f>IF(Table1[[#This Row],[Age]]&lt;20,"&lt;20",IF(Table1[[#This Row],[Age]]&lt;=70,"20-70","&gt;70"))</f>
        <v>&gt;70</v>
      </c>
      <c r="M429" t="s">
        <v>47</v>
      </c>
      <c r="N429" t="s">
        <v>34</v>
      </c>
      <c r="O429">
        <v>25.42</v>
      </c>
      <c r="P429">
        <v>8</v>
      </c>
      <c r="Q429">
        <v>10.167999999999999</v>
      </c>
      <c r="R429">
        <v>213.52799999999999</v>
      </c>
      <c r="S429">
        <v>203.36</v>
      </c>
      <c r="T429">
        <v>4.7619047620000003</v>
      </c>
      <c r="U429">
        <v>10.167999999999999</v>
      </c>
      <c r="V429">
        <v>6.7</v>
      </c>
    </row>
    <row r="430" spans="1:22" x14ac:dyDescent="0.2">
      <c r="A430" t="s">
        <v>461</v>
      </c>
      <c r="B430" s="1">
        <v>43533</v>
      </c>
      <c r="C430" s="2">
        <v>0.65</v>
      </c>
      <c r="D430" s="2" t="str">
        <f>IF(Table1[[#This Row],[Time]]&lt;$D$1,$C$1,IF(Table1[[#This Row],[Time]]&lt;$D$2,$C$2,$C$3))</f>
        <v>Afternoon</v>
      </c>
      <c r="E430">
        <f>MONTH(Table1[[#This Row],[Date]])</f>
        <v>3</v>
      </c>
      <c r="F430" t="str">
        <f>VLOOKUP(Table1[[#This Row],[Month]],dctMonth[],2,FALSE)</f>
        <v>March</v>
      </c>
      <c r="G430" t="s">
        <v>26</v>
      </c>
      <c r="H430" t="s">
        <v>27</v>
      </c>
      <c r="I430" t="s">
        <v>28</v>
      </c>
      <c r="J430" t="s">
        <v>32</v>
      </c>
      <c r="K430">
        <v>52</v>
      </c>
      <c r="L430" t="str">
        <f>IF(Table1[[#This Row],[Age]]&lt;20,"&lt;20",IF(Table1[[#This Row],[Age]]&lt;=70,"20-70","&gt;70"))</f>
        <v>20-70</v>
      </c>
      <c r="M430" t="s">
        <v>47</v>
      </c>
      <c r="N430" t="s">
        <v>30</v>
      </c>
      <c r="O430">
        <v>16.28</v>
      </c>
      <c r="P430">
        <v>1</v>
      </c>
      <c r="Q430">
        <v>0.81399999999999995</v>
      </c>
      <c r="R430">
        <v>17.094000000000001</v>
      </c>
      <c r="S430">
        <v>16.28</v>
      </c>
      <c r="T430">
        <v>4.7619047620000003</v>
      </c>
      <c r="U430">
        <v>0.81399999999999995</v>
      </c>
      <c r="V430">
        <v>5</v>
      </c>
    </row>
    <row r="431" spans="1:22" x14ac:dyDescent="0.2">
      <c r="A431" t="s">
        <v>462</v>
      </c>
      <c r="B431" s="1">
        <v>43467</v>
      </c>
      <c r="C431" s="2">
        <v>0.56944444444444442</v>
      </c>
      <c r="D431" s="2" t="str">
        <f>IF(Table1[[#This Row],[Time]]&lt;$D$1,$C$1,IF(Table1[[#This Row],[Time]]&lt;$D$2,$C$2,$C$3))</f>
        <v>Afternoon</v>
      </c>
      <c r="E431">
        <f>MONTH(Table1[[#This Row],[Date]])</f>
        <v>1</v>
      </c>
      <c r="F431" t="str">
        <f>VLOOKUP(Table1[[#This Row],[Month]],dctMonth[],2,FALSE)</f>
        <v>January</v>
      </c>
      <c r="G431" t="s">
        <v>43</v>
      </c>
      <c r="H431" t="s">
        <v>44</v>
      </c>
      <c r="I431" t="s">
        <v>21</v>
      </c>
      <c r="J431" t="s">
        <v>32</v>
      </c>
      <c r="K431">
        <v>78</v>
      </c>
      <c r="L431" t="str">
        <f>IF(Table1[[#This Row],[Age]]&lt;20,"&lt;20",IF(Table1[[#This Row],[Age]]&lt;=70,"20-70","&gt;70"))</f>
        <v>&gt;70</v>
      </c>
      <c r="M431" t="s">
        <v>47</v>
      </c>
      <c r="N431" t="s">
        <v>30</v>
      </c>
      <c r="O431">
        <v>40.61</v>
      </c>
      <c r="P431">
        <v>9</v>
      </c>
      <c r="Q431">
        <v>18.2745</v>
      </c>
      <c r="R431">
        <v>383.7645</v>
      </c>
      <c r="S431">
        <v>365.49</v>
      </c>
      <c r="T431">
        <v>4.7619047620000003</v>
      </c>
      <c r="U431">
        <v>18.2745</v>
      </c>
      <c r="V431">
        <v>7</v>
      </c>
    </row>
    <row r="432" spans="1:22" x14ac:dyDescent="0.2">
      <c r="A432" t="s">
        <v>463</v>
      </c>
      <c r="B432" s="1">
        <v>43486</v>
      </c>
      <c r="C432" s="2">
        <v>0.75069444444444444</v>
      </c>
      <c r="D432" s="2" t="str">
        <f>IF(Table1[[#This Row],[Time]]&lt;$D$1,$C$1,IF(Table1[[#This Row],[Time]]&lt;$D$2,$C$2,$C$3))</f>
        <v>Evening</v>
      </c>
      <c r="E432">
        <f>MONTH(Table1[[#This Row],[Date]])</f>
        <v>1</v>
      </c>
      <c r="F432" t="str">
        <f>VLOOKUP(Table1[[#This Row],[Month]],dctMonth[],2,FALSE)</f>
        <v>January</v>
      </c>
      <c r="G432" t="s">
        <v>19</v>
      </c>
      <c r="H432" t="s">
        <v>20</v>
      </c>
      <c r="I432" t="s">
        <v>21</v>
      </c>
      <c r="J432" t="s">
        <v>32</v>
      </c>
      <c r="K432">
        <v>38</v>
      </c>
      <c r="L432" t="str">
        <f>IF(Table1[[#This Row],[Age]]&lt;20,"&lt;20",IF(Table1[[#This Row],[Age]]&lt;=70,"20-70","&gt;70"))</f>
        <v>20-70</v>
      </c>
      <c r="M432" t="s">
        <v>23</v>
      </c>
      <c r="N432" t="s">
        <v>30</v>
      </c>
      <c r="O432">
        <v>53.17</v>
      </c>
      <c r="P432">
        <v>7</v>
      </c>
      <c r="Q432">
        <v>18.609500000000001</v>
      </c>
      <c r="R432">
        <v>390.79950000000002</v>
      </c>
      <c r="S432">
        <v>372.19</v>
      </c>
      <c r="T432">
        <v>4.7619047620000003</v>
      </c>
      <c r="U432">
        <v>18.609500000000001</v>
      </c>
      <c r="V432">
        <v>8.9</v>
      </c>
    </row>
    <row r="433" spans="1:22" x14ac:dyDescent="0.2">
      <c r="A433" t="s">
        <v>464</v>
      </c>
      <c r="B433" s="1">
        <v>43544</v>
      </c>
      <c r="C433" s="2">
        <v>0.57847222222222228</v>
      </c>
      <c r="D433" s="2" t="str">
        <f>IF(Table1[[#This Row],[Time]]&lt;$D$1,$C$1,IF(Table1[[#This Row],[Time]]&lt;$D$2,$C$2,$C$3))</f>
        <v>Afternoon</v>
      </c>
      <c r="E433">
        <f>MONTH(Table1[[#This Row],[Date]])</f>
        <v>3</v>
      </c>
      <c r="F433" t="str">
        <f>VLOOKUP(Table1[[#This Row],[Month]],dctMonth[],2,FALSE)</f>
        <v>March</v>
      </c>
      <c r="G433" t="s">
        <v>43</v>
      </c>
      <c r="H433" t="s">
        <v>44</v>
      </c>
      <c r="I433" t="s">
        <v>21</v>
      </c>
      <c r="J433" t="s">
        <v>22</v>
      </c>
      <c r="K433">
        <v>81</v>
      </c>
      <c r="L433" t="str">
        <f>IF(Table1[[#This Row],[Age]]&lt;20,"&lt;20",IF(Table1[[#This Row],[Age]]&lt;=70,"20-70","&gt;70"))</f>
        <v>&gt;70</v>
      </c>
      <c r="M433" t="s">
        <v>45</v>
      </c>
      <c r="N433" t="s">
        <v>34</v>
      </c>
      <c r="O433">
        <v>20.87</v>
      </c>
      <c r="P433">
        <v>3</v>
      </c>
      <c r="Q433">
        <v>3.1305000000000001</v>
      </c>
      <c r="R433">
        <v>65.740499999999997</v>
      </c>
      <c r="S433">
        <v>62.61</v>
      </c>
      <c r="T433">
        <v>4.7619047620000003</v>
      </c>
      <c r="U433">
        <v>3.1305000000000001</v>
      </c>
      <c r="V433">
        <v>8</v>
      </c>
    </row>
    <row r="434" spans="1:22" x14ac:dyDescent="0.2">
      <c r="A434" t="s">
        <v>465</v>
      </c>
      <c r="B434" s="1">
        <v>43523</v>
      </c>
      <c r="C434" s="2">
        <v>0.7270833333333333</v>
      </c>
      <c r="D434" s="2" t="str">
        <f>IF(Table1[[#This Row],[Time]]&lt;$D$1,$C$1,IF(Table1[[#This Row],[Time]]&lt;$D$2,$C$2,$C$3))</f>
        <v>Evening</v>
      </c>
      <c r="E434">
        <f>MONTH(Table1[[#This Row],[Date]])</f>
        <v>2</v>
      </c>
      <c r="F434" t="str">
        <f>VLOOKUP(Table1[[#This Row],[Month]],dctMonth[],2,FALSE)</f>
        <v>February</v>
      </c>
      <c r="G434" t="s">
        <v>43</v>
      </c>
      <c r="H434" t="s">
        <v>44</v>
      </c>
      <c r="I434" t="s">
        <v>28</v>
      </c>
      <c r="J434" t="s">
        <v>32</v>
      </c>
      <c r="K434">
        <v>87</v>
      </c>
      <c r="L434" t="str">
        <f>IF(Table1[[#This Row],[Age]]&lt;20,"&lt;20",IF(Table1[[#This Row],[Age]]&lt;=70,"20-70","&gt;70"))</f>
        <v>&gt;70</v>
      </c>
      <c r="M434" t="s">
        <v>37</v>
      </c>
      <c r="N434" t="s">
        <v>30</v>
      </c>
      <c r="O434">
        <v>67.27</v>
      </c>
      <c r="P434">
        <v>5</v>
      </c>
      <c r="Q434">
        <v>16.817499999999999</v>
      </c>
      <c r="R434">
        <v>353.16750000000002</v>
      </c>
      <c r="S434">
        <v>336.35</v>
      </c>
      <c r="T434">
        <v>4.7619047620000003</v>
      </c>
      <c r="U434">
        <v>16.817499999999999</v>
      </c>
      <c r="V434">
        <v>6.9</v>
      </c>
    </row>
    <row r="435" spans="1:22" x14ac:dyDescent="0.2">
      <c r="A435" t="s">
        <v>466</v>
      </c>
      <c r="B435" s="1">
        <v>43532</v>
      </c>
      <c r="C435" s="2">
        <v>0.45347222222222222</v>
      </c>
      <c r="D435" s="2" t="str">
        <f>IF(Table1[[#This Row],[Time]]&lt;$D$1,$C$1,IF(Table1[[#This Row],[Time]]&lt;$D$2,$C$2,$C$3))</f>
        <v>Morning</v>
      </c>
      <c r="E435">
        <f>MONTH(Table1[[#This Row],[Date]])</f>
        <v>3</v>
      </c>
      <c r="F435" t="str">
        <f>VLOOKUP(Table1[[#This Row],[Month]],dctMonth[],2,FALSE)</f>
        <v>March</v>
      </c>
      <c r="G435" t="s">
        <v>19</v>
      </c>
      <c r="H435" t="s">
        <v>20</v>
      </c>
      <c r="I435" t="s">
        <v>21</v>
      </c>
      <c r="J435" t="s">
        <v>22</v>
      </c>
      <c r="K435">
        <v>22</v>
      </c>
      <c r="L435" t="str">
        <f>IF(Table1[[#This Row],[Age]]&lt;20,"&lt;20",IF(Table1[[#This Row],[Age]]&lt;=70,"20-70","&gt;70"))</f>
        <v>20-70</v>
      </c>
      <c r="M435" t="s">
        <v>33</v>
      </c>
      <c r="N435" t="s">
        <v>24</v>
      </c>
      <c r="O435">
        <v>90.65</v>
      </c>
      <c r="P435">
        <v>10</v>
      </c>
      <c r="Q435">
        <v>45.325000000000003</v>
      </c>
      <c r="R435">
        <v>951.82500000000005</v>
      </c>
      <c r="S435">
        <v>906.5</v>
      </c>
      <c r="T435">
        <v>4.7619047620000003</v>
      </c>
      <c r="U435">
        <v>45.325000000000003</v>
      </c>
      <c r="V435">
        <v>7.3</v>
      </c>
    </row>
    <row r="436" spans="1:22" x14ac:dyDescent="0.2">
      <c r="A436" t="s">
        <v>467</v>
      </c>
      <c r="B436" s="1">
        <v>43496</v>
      </c>
      <c r="C436" s="2">
        <v>0.82499999999999996</v>
      </c>
      <c r="D436" s="2" t="str">
        <f>IF(Table1[[#This Row],[Time]]&lt;$D$1,$C$1,IF(Table1[[#This Row],[Time]]&lt;$D$2,$C$2,$C$3))</f>
        <v>Evening</v>
      </c>
      <c r="E436">
        <f>MONTH(Table1[[#This Row],[Date]])</f>
        <v>1</v>
      </c>
      <c r="F436" t="str">
        <f>VLOOKUP(Table1[[#This Row],[Month]],dctMonth[],2,FALSE)</f>
        <v>January</v>
      </c>
      <c r="G436" t="s">
        <v>43</v>
      </c>
      <c r="H436" t="s">
        <v>44</v>
      </c>
      <c r="I436" t="s">
        <v>28</v>
      </c>
      <c r="J436" t="s">
        <v>32</v>
      </c>
      <c r="K436">
        <v>78</v>
      </c>
      <c r="L436" t="str">
        <f>IF(Table1[[#This Row],[Age]]&lt;20,"&lt;20",IF(Table1[[#This Row],[Age]]&lt;=70,"20-70","&gt;70"))</f>
        <v>&gt;70</v>
      </c>
      <c r="M436" t="s">
        <v>47</v>
      </c>
      <c r="N436" t="s">
        <v>34</v>
      </c>
      <c r="O436">
        <v>69.08</v>
      </c>
      <c r="P436">
        <v>2</v>
      </c>
      <c r="Q436">
        <v>6.9080000000000004</v>
      </c>
      <c r="R436">
        <v>145.06800000000001</v>
      </c>
      <c r="S436">
        <v>138.16</v>
      </c>
      <c r="T436">
        <v>4.7619047620000003</v>
      </c>
      <c r="U436">
        <v>6.9080000000000004</v>
      </c>
      <c r="V436">
        <v>6.9</v>
      </c>
    </row>
    <row r="437" spans="1:22" x14ac:dyDescent="0.2">
      <c r="A437" t="s">
        <v>468</v>
      </c>
      <c r="B437" s="1">
        <v>43532</v>
      </c>
      <c r="C437" s="2">
        <v>0.70347222222222228</v>
      </c>
      <c r="D437" s="2" t="str">
        <f>IF(Table1[[#This Row],[Time]]&lt;$D$1,$C$1,IF(Table1[[#This Row],[Time]]&lt;$D$2,$C$2,$C$3))</f>
        <v>Afternoon</v>
      </c>
      <c r="E437">
        <f>MONTH(Table1[[#This Row],[Date]])</f>
        <v>3</v>
      </c>
      <c r="F437" t="str">
        <f>VLOOKUP(Table1[[#This Row],[Month]],dctMonth[],2,FALSE)</f>
        <v>March</v>
      </c>
      <c r="G437" t="s">
        <v>26</v>
      </c>
      <c r="H437" t="s">
        <v>27</v>
      </c>
      <c r="I437" t="s">
        <v>28</v>
      </c>
      <c r="J437" t="s">
        <v>32</v>
      </c>
      <c r="K437">
        <v>27</v>
      </c>
      <c r="L437" t="str">
        <f>IF(Table1[[#This Row],[Age]]&lt;20,"&lt;20",IF(Table1[[#This Row],[Age]]&lt;=70,"20-70","&gt;70"))</f>
        <v>20-70</v>
      </c>
      <c r="M437" t="s">
        <v>45</v>
      </c>
      <c r="N437" t="s">
        <v>24</v>
      </c>
      <c r="O437">
        <v>43.27</v>
      </c>
      <c r="P437">
        <v>2</v>
      </c>
      <c r="Q437">
        <v>4.327</v>
      </c>
      <c r="R437">
        <v>90.867000000000004</v>
      </c>
      <c r="S437">
        <v>86.54</v>
      </c>
      <c r="T437">
        <v>4.7619047620000003</v>
      </c>
      <c r="U437">
        <v>4.327</v>
      </c>
      <c r="V437">
        <v>5.7</v>
      </c>
    </row>
    <row r="438" spans="1:22" x14ac:dyDescent="0.2">
      <c r="A438" t="s">
        <v>469</v>
      </c>
      <c r="B438" s="1">
        <v>43478</v>
      </c>
      <c r="C438" s="2">
        <v>0.80138888888888893</v>
      </c>
      <c r="D438" s="2" t="str">
        <f>IF(Table1[[#This Row],[Time]]&lt;$D$1,$C$1,IF(Table1[[#This Row],[Time]]&lt;$D$2,$C$2,$C$3))</f>
        <v>Evening</v>
      </c>
      <c r="E438">
        <f>MONTH(Table1[[#This Row],[Date]])</f>
        <v>1</v>
      </c>
      <c r="F438" t="str">
        <f>VLOOKUP(Table1[[#This Row],[Month]],dctMonth[],2,FALSE)</f>
        <v>January</v>
      </c>
      <c r="G438" t="s">
        <v>19</v>
      </c>
      <c r="H438" t="s">
        <v>20</v>
      </c>
      <c r="I438" t="s">
        <v>28</v>
      </c>
      <c r="J438" t="s">
        <v>22</v>
      </c>
      <c r="K438">
        <v>33</v>
      </c>
      <c r="L438" t="str">
        <f>IF(Table1[[#This Row],[Age]]&lt;20,"&lt;20",IF(Table1[[#This Row],[Age]]&lt;=70,"20-70","&gt;70"))</f>
        <v>20-70</v>
      </c>
      <c r="M438" t="s">
        <v>29</v>
      </c>
      <c r="N438" t="s">
        <v>24</v>
      </c>
      <c r="O438">
        <v>23.46</v>
      </c>
      <c r="P438">
        <v>6</v>
      </c>
      <c r="Q438">
        <v>7.0380000000000003</v>
      </c>
      <c r="R438">
        <v>147.798</v>
      </c>
      <c r="S438">
        <v>140.76</v>
      </c>
      <c r="T438">
        <v>4.7619047620000003</v>
      </c>
      <c r="U438">
        <v>7.0380000000000003</v>
      </c>
      <c r="V438">
        <v>6.4</v>
      </c>
    </row>
    <row r="439" spans="1:22" x14ac:dyDescent="0.2">
      <c r="A439" t="s">
        <v>470</v>
      </c>
      <c r="B439" s="1">
        <v>43533</v>
      </c>
      <c r="C439" s="2">
        <v>0.60833333333333328</v>
      </c>
      <c r="D439" s="2" t="str">
        <f>IF(Table1[[#This Row],[Time]]&lt;$D$1,$C$1,IF(Table1[[#This Row],[Time]]&lt;$D$2,$C$2,$C$3))</f>
        <v>Afternoon</v>
      </c>
      <c r="E439">
        <f>MONTH(Table1[[#This Row],[Date]])</f>
        <v>3</v>
      </c>
      <c r="F439" t="str">
        <f>VLOOKUP(Table1[[#This Row],[Month]],dctMonth[],2,FALSE)</f>
        <v>March</v>
      </c>
      <c r="G439" t="s">
        <v>43</v>
      </c>
      <c r="H439" t="s">
        <v>44</v>
      </c>
      <c r="I439" t="s">
        <v>28</v>
      </c>
      <c r="J439" t="s">
        <v>32</v>
      </c>
      <c r="K439">
        <v>44</v>
      </c>
      <c r="L439" t="str">
        <f>IF(Table1[[#This Row],[Age]]&lt;20,"&lt;20",IF(Table1[[#This Row],[Age]]&lt;=70,"20-70","&gt;70"))</f>
        <v>20-70</v>
      </c>
      <c r="M439" t="s">
        <v>47</v>
      </c>
      <c r="N439" t="s">
        <v>34</v>
      </c>
      <c r="O439">
        <v>95.54</v>
      </c>
      <c r="P439">
        <v>7</v>
      </c>
      <c r="Q439">
        <v>33.439</v>
      </c>
      <c r="R439">
        <v>702.21900000000005</v>
      </c>
      <c r="S439">
        <v>668.78</v>
      </c>
      <c r="T439">
        <v>4.7619047620000003</v>
      </c>
      <c r="U439">
        <v>33.439</v>
      </c>
      <c r="V439">
        <v>9.6</v>
      </c>
    </row>
    <row r="440" spans="1:22" x14ac:dyDescent="0.2">
      <c r="A440" t="s">
        <v>471</v>
      </c>
      <c r="B440" s="1">
        <v>43518</v>
      </c>
      <c r="C440" s="2">
        <v>0.7631944444444444</v>
      </c>
      <c r="D440" s="2" t="str">
        <f>IF(Table1[[#This Row],[Time]]&lt;$D$1,$C$1,IF(Table1[[#This Row],[Time]]&lt;$D$2,$C$2,$C$3))</f>
        <v>Evening</v>
      </c>
      <c r="E440">
        <f>MONTH(Table1[[#This Row],[Date]])</f>
        <v>2</v>
      </c>
      <c r="F440" t="str">
        <f>VLOOKUP(Table1[[#This Row],[Month]],dctMonth[],2,FALSE)</f>
        <v>February</v>
      </c>
      <c r="G440" t="s">
        <v>43</v>
      </c>
      <c r="H440" t="s">
        <v>44</v>
      </c>
      <c r="I440" t="s">
        <v>28</v>
      </c>
      <c r="J440" t="s">
        <v>22</v>
      </c>
      <c r="K440">
        <v>27</v>
      </c>
      <c r="L440" t="str">
        <f>IF(Table1[[#This Row],[Age]]&lt;20,"&lt;20",IF(Table1[[#This Row],[Age]]&lt;=70,"20-70","&gt;70"))</f>
        <v>20-70</v>
      </c>
      <c r="M440" t="s">
        <v>47</v>
      </c>
      <c r="N440" t="s">
        <v>34</v>
      </c>
      <c r="O440">
        <v>47.44</v>
      </c>
      <c r="P440">
        <v>1</v>
      </c>
      <c r="Q440">
        <v>2.3719999999999999</v>
      </c>
      <c r="R440">
        <v>49.811999999999998</v>
      </c>
      <c r="S440">
        <v>47.44</v>
      </c>
      <c r="T440">
        <v>4.7619047620000003</v>
      </c>
      <c r="U440">
        <v>2.3719999999999999</v>
      </c>
      <c r="V440">
        <v>6.8</v>
      </c>
    </row>
    <row r="441" spans="1:22" x14ac:dyDescent="0.2">
      <c r="A441" t="s">
        <v>472</v>
      </c>
      <c r="B441" s="1">
        <v>43543</v>
      </c>
      <c r="C441" s="2">
        <v>0.79791666666666672</v>
      </c>
      <c r="D441" s="2" t="str">
        <f>IF(Table1[[#This Row],[Time]]&lt;$D$1,$C$1,IF(Table1[[#This Row],[Time]]&lt;$D$2,$C$2,$C$3))</f>
        <v>Evening</v>
      </c>
      <c r="E441">
        <f>MONTH(Table1[[#This Row],[Date]])</f>
        <v>3</v>
      </c>
      <c r="F441" t="str">
        <f>VLOOKUP(Table1[[#This Row],[Month]],dctMonth[],2,FALSE)</f>
        <v>March</v>
      </c>
      <c r="G441" t="s">
        <v>26</v>
      </c>
      <c r="H441" t="s">
        <v>27</v>
      </c>
      <c r="I441" t="s">
        <v>28</v>
      </c>
      <c r="J441" t="s">
        <v>32</v>
      </c>
      <c r="K441">
        <v>23</v>
      </c>
      <c r="L441" t="str">
        <f>IF(Table1[[#This Row],[Age]]&lt;20,"&lt;20",IF(Table1[[#This Row],[Age]]&lt;=70,"20-70","&gt;70"))</f>
        <v>20-70</v>
      </c>
      <c r="M441" t="s">
        <v>37</v>
      </c>
      <c r="N441" t="s">
        <v>24</v>
      </c>
      <c r="O441">
        <v>99.24</v>
      </c>
      <c r="P441">
        <v>9</v>
      </c>
      <c r="Q441">
        <v>44.658000000000001</v>
      </c>
      <c r="R441">
        <v>937.81799999999998</v>
      </c>
      <c r="S441">
        <v>893.16</v>
      </c>
      <c r="T441">
        <v>4.7619047620000003</v>
      </c>
      <c r="U441">
        <v>44.658000000000001</v>
      </c>
      <c r="V441">
        <v>9</v>
      </c>
    </row>
    <row r="442" spans="1:22" x14ac:dyDescent="0.2">
      <c r="A442" t="s">
        <v>473</v>
      </c>
      <c r="B442" s="1">
        <v>43485</v>
      </c>
      <c r="C442" s="2">
        <v>0.70208333333333328</v>
      </c>
      <c r="D442" s="2" t="str">
        <f>IF(Table1[[#This Row],[Time]]&lt;$D$1,$C$1,IF(Table1[[#This Row],[Time]]&lt;$D$2,$C$2,$C$3))</f>
        <v>Afternoon</v>
      </c>
      <c r="E442">
        <f>MONTH(Table1[[#This Row],[Date]])</f>
        <v>1</v>
      </c>
      <c r="F442" t="str">
        <f>VLOOKUP(Table1[[#This Row],[Month]],dctMonth[],2,FALSE)</f>
        <v>January</v>
      </c>
      <c r="G442" t="s">
        <v>26</v>
      </c>
      <c r="H442" t="s">
        <v>27</v>
      </c>
      <c r="I442" t="s">
        <v>21</v>
      </c>
      <c r="J442" t="s">
        <v>32</v>
      </c>
      <c r="K442">
        <v>36</v>
      </c>
      <c r="L442" t="str">
        <f>IF(Table1[[#This Row],[Age]]&lt;20,"&lt;20",IF(Table1[[#This Row],[Age]]&lt;=70,"20-70","&gt;70"))</f>
        <v>20-70</v>
      </c>
      <c r="M442" t="s">
        <v>37</v>
      </c>
      <c r="N442" t="s">
        <v>24</v>
      </c>
      <c r="O442">
        <v>82.93</v>
      </c>
      <c r="P442">
        <v>4</v>
      </c>
      <c r="Q442">
        <v>16.585999999999999</v>
      </c>
      <c r="R442">
        <v>348.30599999999998</v>
      </c>
      <c r="S442">
        <v>331.72</v>
      </c>
      <c r="T442">
        <v>4.7619047620000003</v>
      </c>
      <c r="U442">
        <v>16.585999999999999</v>
      </c>
      <c r="V442">
        <v>9.6</v>
      </c>
    </row>
    <row r="443" spans="1:22" x14ac:dyDescent="0.2">
      <c r="A443" t="s">
        <v>474</v>
      </c>
      <c r="B443" s="1">
        <v>43532</v>
      </c>
      <c r="C443" s="2">
        <v>0.65069444444444446</v>
      </c>
      <c r="D443" s="2" t="str">
        <f>IF(Table1[[#This Row],[Time]]&lt;$D$1,$C$1,IF(Table1[[#This Row],[Time]]&lt;$D$2,$C$2,$C$3))</f>
        <v>Afternoon</v>
      </c>
      <c r="E443">
        <f>MONTH(Table1[[#This Row],[Date]])</f>
        <v>3</v>
      </c>
      <c r="F443" t="str">
        <f>VLOOKUP(Table1[[#This Row],[Month]],dctMonth[],2,FALSE)</f>
        <v>March</v>
      </c>
      <c r="G443" t="s">
        <v>19</v>
      </c>
      <c r="H443" t="s">
        <v>20</v>
      </c>
      <c r="I443" t="s">
        <v>28</v>
      </c>
      <c r="J443" t="s">
        <v>32</v>
      </c>
      <c r="K443">
        <v>89</v>
      </c>
      <c r="L443" t="str">
        <f>IF(Table1[[#This Row],[Age]]&lt;20,"&lt;20",IF(Table1[[#This Row],[Age]]&lt;=70,"20-70","&gt;70"))</f>
        <v>&gt;70</v>
      </c>
      <c r="M443" t="s">
        <v>33</v>
      </c>
      <c r="N443" t="s">
        <v>34</v>
      </c>
      <c r="O443">
        <v>33.99</v>
      </c>
      <c r="P443">
        <v>6</v>
      </c>
      <c r="Q443">
        <v>10.196999999999999</v>
      </c>
      <c r="R443">
        <v>214.137</v>
      </c>
      <c r="S443">
        <v>203.94</v>
      </c>
      <c r="T443">
        <v>4.7619047620000003</v>
      </c>
      <c r="U443">
        <v>10.196999999999999</v>
      </c>
      <c r="V443">
        <v>7.7</v>
      </c>
    </row>
    <row r="444" spans="1:22" x14ac:dyDescent="0.2">
      <c r="A444" t="s">
        <v>475</v>
      </c>
      <c r="B444" s="1">
        <v>43532</v>
      </c>
      <c r="C444" s="2">
        <v>0.84375</v>
      </c>
      <c r="D444" s="2" t="str">
        <f>IF(Table1[[#This Row],[Time]]&lt;$D$1,$C$1,IF(Table1[[#This Row],[Time]]&lt;$D$2,$C$2,$C$3))</f>
        <v>Evening</v>
      </c>
      <c r="E444">
        <f>MONTH(Table1[[#This Row],[Date]])</f>
        <v>3</v>
      </c>
      <c r="F444" t="str">
        <f>VLOOKUP(Table1[[#This Row],[Month]],dctMonth[],2,FALSE)</f>
        <v>March</v>
      </c>
      <c r="G444" t="s">
        <v>26</v>
      </c>
      <c r="H444" t="s">
        <v>27</v>
      </c>
      <c r="I444" t="s">
        <v>21</v>
      </c>
      <c r="J444" t="s">
        <v>32</v>
      </c>
      <c r="K444">
        <v>84</v>
      </c>
      <c r="L444" t="str">
        <f>IF(Table1[[#This Row],[Age]]&lt;20,"&lt;20",IF(Table1[[#This Row],[Age]]&lt;=70,"20-70","&gt;70"))</f>
        <v>&gt;70</v>
      </c>
      <c r="M444" t="s">
        <v>45</v>
      </c>
      <c r="N444" t="s">
        <v>24</v>
      </c>
      <c r="O444">
        <v>17.04</v>
      </c>
      <c r="P444">
        <v>4</v>
      </c>
      <c r="Q444">
        <v>3.4079999999999999</v>
      </c>
      <c r="R444">
        <v>71.567999999999998</v>
      </c>
      <c r="S444">
        <v>68.16</v>
      </c>
      <c r="T444">
        <v>4.7619047620000003</v>
      </c>
      <c r="U444">
        <v>3.4079999999999999</v>
      </c>
      <c r="V444">
        <v>7</v>
      </c>
    </row>
    <row r="445" spans="1:22" x14ac:dyDescent="0.2">
      <c r="A445" t="s">
        <v>476</v>
      </c>
      <c r="B445" s="1">
        <v>43503</v>
      </c>
      <c r="C445" s="2">
        <v>0.60972222222222228</v>
      </c>
      <c r="D445" s="2" t="str">
        <f>IF(Table1[[#This Row],[Time]]&lt;$D$1,$C$1,IF(Table1[[#This Row],[Time]]&lt;$D$2,$C$2,$C$3))</f>
        <v>Afternoon</v>
      </c>
      <c r="E445">
        <f>MONTH(Table1[[#This Row],[Date]])</f>
        <v>2</v>
      </c>
      <c r="F445" t="str">
        <f>VLOOKUP(Table1[[#This Row],[Month]],dctMonth[],2,FALSE)</f>
        <v>February</v>
      </c>
      <c r="G445" t="s">
        <v>26</v>
      </c>
      <c r="H445" t="s">
        <v>27</v>
      </c>
      <c r="I445" t="s">
        <v>28</v>
      </c>
      <c r="J445" t="s">
        <v>22</v>
      </c>
      <c r="K445">
        <v>59</v>
      </c>
      <c r="L445" t="str">
        <f>IF(Table1[[#This Row],[Age]]&lt;20,"&lt;20",IF(Table1[[#This Row],[Age]]&lt;=70,"20-70","&gt;70"))</f>
        <v>20-70</v>
      </c>
      <c r="M445" t="s">
        <v>29</v>
      </c>
      <c r="N445" t="s">
        <v>34</v>
      </c>
      <c r="O445">
        <v>40.86</v>
      </c>
      <c r="P445">
        <v>8</v>
      </c>
      <c r="Q445">
        <v>16.344000000000001</v>
      </c>
      <c r="R445">
        <v>343.22399999999999</v>
      </c>
      <c r="S445">
        <v>326.88</v>
      </c>
      <c r="T445">
        <v>4.7619047620000003</v>
      </c>
      <c r="U445">
        <v>16.344000000000001</v>
      </c>
      <c r="V445">
        <v>6.5</v>
      </c>
    </row>
    <row r="446" spans="1:22" x14ac:dyDescent="0.2">
      <c r="A446" t="s">
        <v>477</v>
      </c>
      <c r="B446" s="1">
        <v>43480</v>
      </c>
      <c r="C446" s="2">
        <v>0.80902777777777779</v>
      </c>
      <c r="D446" s="2" t="str">
        <f>IF(Table1[[#This Row],[Time]]&lt;$D$1,$C$1,IF(Table1[[#This Row],[Time]]&lt;$D$2,$C$2,$C$3))</f>
        <v>Evening</v>
      </c>
      <c r="E446">
        <f>MONTH(Table1[[#This Row],[Date]])</f>
        <v>1</v>
      </c>
      <c r="F446" t="str">
        <f>VLOOKUP(Table1[[#This Row],[Month]],dctMonth[],2,FALSE)</f>
        <v>January</v>
      </c>
      <c r="G446" t="s">
        <v>26</v>
      </c>
      <c r="H446" t="s">
        <v>27</v>
      </c>
      <c r="I446" t="s">
        <v>21</v>
      </c>
      <c r="J446" t="s">
        <v>32</v>
      </c>
      <c r="K446">
        <v>81</v>
      </c>
      <c r="L446" t="str">
        <f>IF(Table1[[#This Row],[Age]]&lt;20,"&lt;20",IF(Table1[[#This Row],[Age]]&lt;=70,"20-70","&gt;70"))</f>
        <v>&gt;70</v>
      </c>
      <c r="M446" t="s">
        <v>45</v>
      </c>
      <c r="N446" t="s">
        <v>30</v>
      </c>
      <c r="O446">
        <v>17.440000000000001</v>
      </c>
      <c r="P446">
        <v>5</v>
      </c>
      <c r="Q446">
        <v>4.3600000000000003</v>
      </c>
      <c r="R446">
        <v>91.56</v>
      </c>
      <c r="S446">
        <v>87.2</v>
      </c>
      <c r="T446">
        <v>4.7619047620000003</v>
      </c>
      <c r="U446">
        <v>4.3600000000000003</v>
      </c>
      <c r="V446">
        <v>8.1</v>
      </c>
    </row>
    <row r="447" spans="1:22" x14ac:dyDescent="0.2">
      <c r="A447" t="s">
        <v>478</v>
      </c>
      <c r="B447" s="1">
        <v>43546</v>
      </c>
      <c r="C447" s="2">
        <v>0.81597222222222221</v>
      </c>
      <c r="D447" s="2" t="str">
        <f>IF(Table1[[#This Row],[Time]]&lt;$D$1,$C$1,IF(Table1[[#This Row],[Time]]&lt;$D$2,$C$2,$C$3))</f>
        <v>Evening</v>
      </c>
      <c r="E447">
        <f>MONTH(Table1[[#This Row],[Date]])</f>
        <v>3</v>
      </c>
      <c r="F447" t="str">
        <f>VLOOKUP(Table1[[#This Row],[Month]],dctMonth[],2,FALSE)</f>
        <v>March</v>
      </c>
      <c r="G447" t="s">
        <v>43</v>
      </c>
      <c r="H447" t="s">
        <v>44</v>
      </c>
      <c r="I447" t="s">
        <v>21</v>
      </c>
      <c r="J447" t="s">
        <v>22</v>
      </c>
      <c r="K447">
        <v>75</v>
      </c>
      <c r="L447" t="str">
        <f>IF(Table1[[#This Row],[Age]]&lt;20,"&lt;20",IF(Table1[[#This Row],[Age]]&lt;=70,"20-70","&gt;70"))</f>
        <v>&gt;70</v>
      </c>
      <c r="M447" t="s">
        <v>37</v>
      </c>
      <c r="N447" t="s">
        <v>34</v>
      </c>
      <c r="O447">
        <v>88.43</v>
      </c>
      <c r="P447">
        <v>8</v>
      </c>
      <c r="Q447">
        <v>35.372</v>
      </c>
      <c r="R447">
        <v>742.81200000000001</v>
      </c>
      <c r="S447">
        <v>707.44</v>
      </c>
      <c r="T447">
        <v>4.7619047620000003</v>
      </c>
      <c r="U447">
        <v>35.372</v>
      </c>
      <c r="V447">
        <v>4.3</v>
      </c>
    </row>
    <row r="448" spans="1:22" x14ac:dyDescent="0.2">
      <c r="A448" t="s">
        <v>479</v>
      </c>
      <c r="B448" s="1">
        <v>43480</v>
      </c>
      <c r="C448" s="2">
        <v>0.65416666666666667</v>
      </c>
      <c r="D448" s="2" t="str">
        <f>IF(Table1[[#This Row],[Time]]&lt;$D$1,$C$1,IF(Table1[[#This Row],[Time]]&lt;$D$2,$C$2,$C$3))</f>
        <v>Afternoon</v>
      </c>
      <c r="E448">
        <f>MONTH(Table1[[#This Row],[Date]])</f>
        <v>1</v>
      </c>
      <c r="F448" t="str">
        <f>VLOOKUP(Table1[[#This Row],[Month]],dctMonth[],2,FALSE)</f>
        <v>January</v>
      </c>
      <c r="G448" t="s">
        <v>19</v>
      </c>
      <c r="H448" t="s">
        <v>20</v>
      </c>
      <c r="I448" t="s">
        <v>21</v>
      </c>
      <c r="J448" t="s">
        <v>22</v>
      </c>
      <c r="K448">
        <v>35</v>
      </c>
      <c r="L448" t="str">
        <f>IF(Table1[[#This Row],[Age]]&lt;20,"&lt;20",IF(Table1[[#This Row],[Age]]&lt;=70,"20-70","&gt;70"))</f>
        <v>20-70</v>
      </c>
      <c r="M448" t="s">
        <v>33</v>
      </c>
      <c r="N448" t="s">
        <v>34</v>
      </c>
      <c r="O448">
        <v>89.21</v>
      </c>
      <c r="P448">
        <v>9</v>
      </c>
      <c r="Q448">
        <v>40.144500000000001</v>
      </c>
      <c r="R448">
        <v>843.03449999999998</v>
      </c>
      <c r="S448">
        <v>802.89</v>
      </c>
      <c r="T448">
        <v>4.7619047620000003</v>
      </c>
      <c r="U448">
        <v>40.144500000000001</v>
      </c>
      <c r="V448">
        <v>6.5</v>
      </c>
    </row>
    <row r="449" spans="1:22" x14ac:dyDescent="0.2">
      <c r="A449" t="s">
        <v>480</v>
      </c>
      <c r="B449" s="1">
        <v>43473</v>
      </c>
      <c r="C449" s="2">
        <v>0.59097222222222223</v>
      </c>
      <c r="D449" s="2" t="str">
        <f>IF(Table1[[#This Row],[Time]]&lt;$D$1,$C$1,IF(Table1[[#This Row],[Time]]&lt;$D$2,$C$2,$C$3))</f>
        <v>Afternoon</v>
      </c>
      <c r="E449">
        <f>MONTH(Table1[[#This Row],[Date]])</f>
        <v>1</v>
      </c>
      <c r="F449" t="str">
        <f>VLOOKUP(Table1[[#This Row],[Month]],dctMonth[],2,FALSE)</f>
        <v>January</v>
      </c>
      <c r="G449" t="s">
        <v>26</v>
      </c>
      <c r="H449" t="s">
        <v>27</v>
      </c>
      <c r="I449" t="s">
        <v>28</v>
      </c>
      <c r="J449" t="s">
        <v>32</v>
      </c>
      <c r="K449">
        <v>55</v>
      </c>
      <c r="L449" t="str">
        <f>IF(Table1[[#This Row],[Age]]&lt;20,"&lt;20",IF(Table1[[#This Row],[Age]]&lt;=70,"20-70","&gt;70"))</f>
        <v>20-70</v>
      </c>
      <c r="M449" t="s">
        <v>47</v>
      </c>
      <c r="N449" t="s">
        <v>24</v>
      </c>
      <c r="O449">
        <v>12.78</v>
      </c>
      <c r="P449">
        <v>1</v>
      </c>
      <c r="Q449">
        <v>0.63900000000000001</v>
      </c>
      <c r="R449">
        <v>13.419</v>
      </c>
      <c r="S449">
        <v>12.78</v>
      </c>
      <c r="T449">
        <v>4.7619047620000003</v>
      </c>
      <c r="U449">
        <v>0.63900000000000001</v>
      </c>
      <c r="V449">
        <v>9.5</v>
      </c>
    </row>
    <row r="450" spans="1:22" x14ac:dyDescent="0.2">
      <c r="A450" t="s">
        <v>481</v>
      </c>
      <c r="B450" s="1">
        <v>43480</v>
      </c>
      <c r="C450" s="2">
        <v>0.4465277777777778</v>
      </c>
      <c r="D450" s="2" t="str">
        <f>IF(Table1[[#This Row],[Time]]&lt;$D$1,$C$1,IF(Table1[[#This Row],[Time]]&lt;$D$2,$C$2,$C$3))</f>
        <v>Morning</v>
      </c>
      <c r="E450">
        <f>MONTH(Table1[[#This Row],[Date]])</f>
        <v>1</v>
      </c>
      <c r="F450" t="str">
        <f>VLOOKUP(Table1[[#This Row],[Month]],dctMonth[],2,FALSE)</f>
        <v>January</v>
      </c>
      <c r="G450" t="s">
        <v>19</v>
      </c>
      <c r="H450" t="s">
        <v>20</v>
      </c>
      <c r="I450" t="s">
        <v>28</v>
      </c>
      <c r="J450" t="s">
        <v>22</v>
      </c>
      <c r="K450">
        <v>46</v>
      </c>
      <c r="L450" t="str">
        <f>IF(Table1[[#This Row],[Age]]&lt;20,"&lt;20",IF(Table1[[#This Row],[Age]]&lt;=70,"20-70","&gt;70"))</f>
        <v>20-70</v>
      </c>
      <c r="M450" t="s">
        <v>37</v>
      </c>
      <c r="N450" t="s">
        <v>30</v>
      </c>
      <c r="O450">
        <v>19.100000000000001</v>
      </c>
      <c r="P450">
        <v>7</v>
      </c>
      <c r="Q450">
        <v>6.6849999999999996</v>
      </c>
      <c r="R450">
        <v>140.38499999999999</v>
      </c>
      <c r="S450">
        <v>133.69999999999999</v>
      </c>
      <c r="T450">
        <v>4.7619047620000003</v>
      </c>
      <c r="U450">
        <v>6.6849999999999996</v>
      </c>
      <c r="V450">
        <v>9.6999999999999993</v>
      </c>
    </row>
    <row r="451" spans="1:22" x14ac:dyDescent="0.2">
      <c r="A451" t="s">
        <v>482</v>
      </c>
      <c r="B451" s="1">
        <v>43493</v>
      </c>
      <c r="C451" s="2">
        <v>0.74861111111111112</v>
      </c>
      <c r="D451" s="2" t="str">
        <f>IF(Table1[[#This Row],[Time]]&lt;$D$1,$C$1,IF(Table1[[#This Row],[Time]]&lt;$D$2,$C$2,$C$3))</f>
        <v>Evening</v>
      </c>
      <c r="E451">
        <f>MONTH(Table1[[#This Row],[Date]])</f>
        <v>1</v>
      </c>
      <c r="F451" t="str">
        <f>VLOOKUP(Table1[[#This Row],[Month]],dctMonth[],2,FALSE)</f>
        <v>January</v>
      </c>
      <c r="G451" t="s">
        <v>43</v>
      </c>
      <c r="H451" t="s">
        <v>44</v>
      </c>
      <c r="I451" t="s">
        <v>21</v>
      </c>
      <c r="J451" t="s">
        <v>22</v>
      </c>
      <c r="K451">
        <v>66</v>
      </c>
      <c r="L451" t="str">
        <f>IF(Table1[[#This Row],[Age]]&lt;20,"&lt;20",IF(Table1[[#This Row],[Age]]&lt;=70,"20-70","&gt;70"))</f>
        <v>20-70</v>
      </c>
      <c r="M451" t="s">
        <v>23</v>
      </c>
      <c r="N451" t="s">
        <v>34</v>
      </c>
      <c r="O451">
        <v>19.149999999999999</v>
      </c>
      <c r="P451">
        <v>1</v>
      </c>
      <c r="Q451">
        <v>0.95750000000000002</v>
      </c>
      <c r="R451">
        <v>20.107500000000002</v>
      </c>
      <c r="S451">
        <v>19.149999999999999</v>
      </c>
      <c r="T451">
        <v>4.7619047620000003</v>
      </c>
      <c r="U451">
        <v>0.95750000000000002</v>
      </c>
      <c r="V451">
        <v>9.5</v>
      </c>
    </row>
    <row r="452" spans="1:22" x14ac:dyDescent="0.2">
      <c r="A452" t="s">
        <v>483</v>
      </c>
      <c r="B452" s="1">
        <v>43510</v>
      </c>
      <c r="C452" s="2">
        <v>0.47638888888888886</v>
      </c>
      <c r="D452" s="2" t="str">
        <f>IF(Table1[[#This Row],[Time]]&lt;$D$1,$C$1,IF(Table1[[#This Row],[Time]]&lt;$D$2,$C$2,$C$3))</f>
        <v>Morning</v>
      </c>
      <c r="E452">
        <f>MONTH(Table1[[#This Row],[Date]])</f>
        <v>2</v>
      </c>
      <c r="F452" t="str">
        <f>VLOOKUP(Table1[[#This Row],[Month]],dctMonth[],2,FALSE)</f>
        <v>February</v>
      </c>
      <c r="G452" t="s">
        <v>26</v>
      </c>
      <c r="H452" t="s">
        <v>27</v>
      </c>
      <c r="I452" t="s">
        <v>21</v>
      </c>
      <c r="J452" t="s">
        <v>32</v>
      </c>
      <c r="K452">
        <v>44</v>
      </c>
      <c r="L452" t="str">
        <f>IF(Table1[[#This Row],[Age]]&lt;20,"&lt;20",IF(Table1[[#This Row],[Age]]&lt;=70,"20-70","&gt;70"))</f>
        <v>20-70</v>
      </c>
      <c r="M452" t="s">
        <v>45</v>
      </c>
      <c r="N452" t="s">
        <v>34</v>
      </c>
      <c r="O452">
        <v>27.66</v>
      </c>
      <c r="P452">
        <v>10</v>
      </c>
      <c r="Q452">
        <v>13.83</v>
      </c>
      <c r="R452">
        <v>290.43</v>
      </c>
      <c r="S452">
        <v>276.60000000000002</v>
      </c>
      <c r="T452">
        <v>4.7619047620000003</v>
      </c>
      <c r="U452">
        <v>13.83</v>
      </c>
      <c r="V452">
        <v>8.9</v>
      </c>
    </row>
    <row r="453" spans="1:22" x14ac:dyDescent="0.2">
      <c r="A453" t="s">
        <v>484</v>
      </c>
      <c r="B453" s="1">
        <v>43534</v>
      </c>
      <c r="C453" s="2">
        <v>0.73472222222222228</v>
      </c>
      <c r="D453" s="2" t="str">
        <f>IF(Table1[[#This Row],[Time]]&lt;$D$1,$C$1,IF(Table1[[#This Row],[Time]]&lt;$D$2,$C$2,$C$3))</f>
        <v>Evening</v>
      </c>
      <c r="E453">
        <f>MONTH(Table1[[#This Row],[Date]])</f>
        <v>3</v>
      </c>
      <c r="F453" t="str">
        <f>VLOOKUP(Table1[[#This Row],[Month]],dctMonth[],2,FALSE)</f>
        <v>March</v>
      </c>
      <c r="G453" t="s">
        <v>26</v>
      </c>
      <c r="H453" t="s">
        <v>27</v>
      </c>
      <c r="I453" t="s">
        <v>28</v>
      </c>
      <c r="J453" t="s">
        <v>32</v>
      </c>
      <c r="K453">
        <v>69</v>
      </c>
      <c r="L453" t="str">
        <f>IF(Table1[[#This Row],[Age]]&lt;20,"&lt;20",IF(Table1[[#This Row],[Age]]&lt;=70,"20-70","&gt;70"))</f>
        <v>20-70</v>
      </c>
      <c r="M453" t="s">
        <v>47</v>
      </c>
      <c r="N453" t="s">
        <v>34</v>
      </c>
      <c r="O453">
        <v>45.74</v>
      </c>
      <c r="P453">
        <v>3</v>
      </c>
      <c r="Q453">
        <v>6.8609999999999998</v>
      </c>
      <c r="R453">
        <v>144.08099999999999</v>
      </c>
      <c r="S453">
        <v>137.22</v>
      </c>
      <c r="T453">
        <v>4.7619047620000003</v>
      </c>
      <c r="U453">
        <v>6.8609999999999998</v>
      </c>
      <c r="V453">
        <v>6.5</v>
      </c>
    </row>
    <row r="454" spans="1:22" x14ac:dyDescent="0.2">
      <c r="A454" t="s">
        <v>485</v>
      </c>
      <c r="B454" s="1">
        <v>43477</v>
      </c>
      <c r="C454" s="2">
        <v>0.83819444444444446</v>
      </c>
      <c r="D454" s="2" t="str">
        <f>IF(Table1[[#This Row],[Time]]&lt;$D$1,$C$1,IF(Table1[[#This Row],[Time]]&lt;$D$2,$C$2,$C$3))</f>
        <v>Evening</v>
      </c>
      <c r="E454">
        <f>MONTH(Table1[[#This Row],[Date]])</f>
        <v>1</v>
      </c>
      <c r="F454" t="str">
        <f>VLOOKUP(Table1[[#This Row],[Month]],dctMonth[],2,FALSE)</f>
        <v>January</v>
      </c>
      <c r="G454" t="s">
        <v>43</v>
      </c>
      <c r="H454" t="s">
        <v>44</v>
      </c>
      <c r="I454" t="s">
        <v>21</v>
      </c>
      <c r="J454" t="s">
        <v>22</v>
      </c>
      <c r="K454">
        <v>45</v>
      </c>
      <c r="L454" t="str">
        <f>IF(Table1[[#This Row],[Age]]&lt;20,"&lt;20",IF(Table1[[#This Row],[Age]]&lt;=70,"20-70","&gt;70"))</f>
        <v>20-70</v>
      </c>
      <c r="M454" t="s">
        <v>23</v>
      </c>
      <c r="N454" t="s">
        <v>34</v>
      </c>
      <c r="O454">
        <v>27.07</v>
      </c>
      <c r="P454">
        <v>1</v>
      </c>
      <c r="Q454">
        <v>1.3534999999999999</v>
      </c>
      <c r="R454">
        <v>28.423500000000001</v>
      </c>
      <c r="S454">
        <v>27.07</v>
      </c>
      <c r="T454">
        <v>4.7619047620000003</v>
      </c>
      <c r="U454">
        <v>1.3534999999999999</v>
      </c>
      <c r="V454">
        <v>5.3</v>
      </c>
    </row>
    <row r="455" spans="1:22" x14ac:dyDescent="0.2">
      <c r="A455" t="s">
        <v>486</v>
      </c>
      <c r="B455" s="1">
        <v>43550</v>
      </c>
      <c r="C455" s="2">
        <v>0.4597222222222222</v>
      </c>
      <c r="D455" s="2" t="str">
        <f>IF(Table1[[#This Row],[Time]]&lt;$D$1,$C$1,IF(Table1[[#This Row],[Time]]&lt;$D$2,$C$2,$C$3))</f>
        <v>Morning</v>
      </c>
      <c r="E455">
        <f>MONTH(Table1[[#This Row],[Date]])</f>
        <v>3</v>
      </c>
      <c r="F455" t="str">
        <f>VLOOKUP(Table1[[#This Row],[Month]],dctMonth[],2,FALSE)</f>
        <v>March</v>
      </c>
      <c r="G455" t="s">
        <v>43</v>
      </c>
      <c r="H455" t="s">
        <v>44</v>
      </c>
      <c r="I455" t="s">
        <v>21</v>
      </c>
      <c r="J455" t="s">
        <v>22</v>
      </c>
      <c r="K455">
        <v>19</v>
      </c>
      <c r="L455" t="str">
        <f>IF(Table1[[#This Row],[Age]]&lt;20,"&lt;20",IF(Table1[[#This Row],[Age]]&lt;=70,"20-70","&gt;70"))</f>
        <v>&lt;20</v>
      </c>
      <c r="M455" t="s">
        <v>37</v>
      </c>
      <c r="N455" t="s">
        <v>34</v>
      </c>
      <c r="O455">
        <v>39.119999999999997</v>
      </c>
      <c r="P455">
        <v>1</v>
      </c>
      <c r="Q455">
        <v>1.956</v>
      </c>
      <c r="R455">
        <v>41.076000000000001</v>
      </c>
      <c r="S455">
        <v>39.119999999999997</v>
      </c>
      <c r="T455">
        <v>4.7619047620000003</v>
      </c>
      <c r="U455">
        <v>1.956</v>
      </c>
      <c r="V455">
        <v>9.6</v>
      </c>
    </row>
    <row r="456" spans="1:22" x14ac:dyDescent="0.2">
      <c r="A456" t="s">
        <v>487</v>
      </c>
      <c r="B456" s="1">
        <v>43466</v>
      </c>
      <c r="C456" s="2">
        <v>0.79652777777777772</v>
      </c>
      <c r="D456" s="2" t="str">
        <f>IF(Table1[[#This Row],[Time]]&lt;$D$1,$C$1,IF(Table1[[#This Row],[Time]]&lt;$D$2,$C$2,$C$3))</f>
        <v>Evening</v>
      </c>
      <c r="E456">
        <f>MONTH(Table1[[#This Row],[Date]])</f>
        <v>1</v>
      </c>
      <c r="F456" t="str">
        <f>VLOOKUP(Table1[[#This Row],[Month]],dctMonth[],2,FALSE)</f>
        <v>January</v>
      </c>
      <c r="G456" t="s">
        <v>43</v>
      </c>
      <c r="H456" t="s">
        <v>44</v>
      </c>
      <c r="I456" t="s">
        <v>28</v>
      </c>
      <c r="J456" t="s">
        <v>22</v>
      </c>
      <c r="K456">
        <v>41</v>
      </c>
      <c r="L456" t="str">
        <f>IF(Table1[[#This Row],[Age]]&lt;20,"&lt;20",IF(Table1[[#This Row],[Age]]&lt;=70,"20-70","&gt;70"))</f>
        <v>20-70</v>
      </c>
      <c r="M456" t="s">
        <v>29</v>
      </c>
      <c r="N456" t="s">
        <v>30</v>
      </c>
      <c r="O456">
        <v>74.709999999999994</v>
      </c>
      <c r="P456">
        <v>6</v>
      </c>
      <c r="Q456">
        <v>22.413</v>
      </c>
      <c r="R456">
        <v>470.673</v>
      </c>
      <c r="S456">
        <v>448.26</v>
      </c>
      <c r="T456">
        <v>4.7619047620000003</v>
      </c>
      <c r="U456">
        <v>22.413</v>
      </c>
      <c r="V456">
        <v>6.7</v>
      </c>
    </row>
    <row r="457" spans="1:22" x14ac:dyDescent="0.2">
      <c r="A457" t="s">
        <v>488</v>
      </c>
      <c r="B457" s="1">
        <v>43467</v>
      </c>
      <c r="C457" s="2">
        <v>0.78472222222222221</v>
      </c>
      <c r="D457" s="2" t="str">
        <f>IF(Table1[[#This Row],[Time]]&lt;$D$1,$C$1,IF(Table1[[#This Row],[Time]]&lt;$D$2,$C$2,$C$3))</f>
        <v>Evening</v>
      </c>
      <c r="E457">
        <f>MONTH(Table1[[#This Row],[Date]])</f>
        <v>1</v>
      </c>
      <c r="F457" t="str">
        <f>VLOOKUP(Table1[[#This Row],[Month]],dctMonth[],2,FALSE)</f>
        <v>January</v>
      </c>
      <c r="G457" t="s">
        <v>43</v>
      </c>
      <c r="H457" t="s">
        <v>44</v>
      </c>
      <c r="I457" t="s">
        <v>28</v>
      </c>
      <c r="J457" t="s">
        <v>32</v>
      </c>
      <c r="K457">
        <v>60</v>
      </c>
      <c r="L457" t="str">
        <f>IF(Table1[[#This Row],[Age]]&lt;20,"&lt;20",IF(Table1[[#This Row],[Age]]&lt;=70,"20-70","&gt;70"))</f>
        <v>20-70</v>
      </c>
      <c r="M457" t="s">
        <v>29</v>
      </c>
      <c r="N457" t="s">
        <v>30</v>
      </c>
      <c r="O457">
        <v>22.01</v>
      </c>
      <c r="P457">
        <v>6</v>
      </c>
      <c r="Q457">
        <v>6.6029999999999998</v>
      </c>
      <c r="R457">
        <v>138.66300000000001</v>
      </c>
      <c r="S457">
        <v>132.06</v>
      </c>
      <c r="T457">
        <v>4.7619047620000003</v>
      </c>
      <c r="U457">
        <v>6.6029999999999998</v>
      </c>
      <c r="V457">
        <v>7.6</v>
      </c>
    </row>
    <row r="458" spans="1:22" x14ac:dyDescent="0.2">
      <c r="A458" t="s">
        <v>489</v>
      </c>
      <c r="B458" s="1">
        <v>43540</v>
      </c>
      <c r="C458" s="2">
        <v>0.52986111111111112</v>
      </c>
      <c r="D458" s="2" t="str">
        <f>IF(Table1[[#This Row],[Time]]&lt;$D$1,$C$1,IF(Table1[[#This Row],[Time]]&lt;$D$2,$C$2,$C$3))</f>
        <v>Afternoon</v>
      </c>
      <c r="E458">
        <f>MONTH(Table1[[#This Row],[Date]])</f>
        <v>3</v>
      </c>
      <c r="F458" t="str">
        <f>VLOOKUP(Table1[[#This Row],[Month]],dctMonth[],2,FALSE)</f>
        <v>March</v>
      </c>
      <c r="G458" t="s">
        <v>19</v>
      </c>
      <c r="H458" t="s">
        <v>20</v>
      </c>
      <c r="I458" t="s">
        <v>28</v>
      </c>
      <c r="J458" t="s">
        <v>22</v>
      </c>
      <c r="K458">
        <v>47</v>
      </c>
      <c r="L458" t="str">
        <f>IF(Table1[[#This Row],[Age]]&lt;20,"&lt;20",IF(Table1[[#This Row],[Age]]&lt;=70,"20-70","&gt;70"))</f>
        <v>20-70</v>
      </c>
      <c r="M458" t="s">
        <v>45</v>
      </c>
      <c r="N458" t="s">
        <v>24</v>
      </c>
      <c r="O458">
        <v>63.61</v>
      </c>
      <c r="P458">
        <v>5</v>
      </c>
      <c r="Q458">
        <v>15.9025</v>
      </c>
      <c r="R458">
        <v>333.95249999999999</v>
      </c>
      <c r="S458">
        <v>318.05</v>
      </c>
      <c r="T458">
        <v>4.7619047620000003</v>
      </c>
      <c r="U458">
        <v>15.9025</v>
      </c>
      <c r="V458">
        <v>4.8</v>
      </c>
    </row>
    <row r="459" spans="1:22" x14ac:dyDescent="0.2">
      <c r="A459" t="s">
        <v>490</v>
      </c>
      <c r="B459" s="1">
        <v>43527</v>
      </c>
      <c r="C459" s="2">
        <v>0.63124999999999998</v>
      </c>
      <c r="D459" s="2" t="str">
        <f>IF(Table1[[#This Row],[Time]]&lt;$D$1,$C$1,IF(Table1[[#This Row],[Time]]&lt;$D$2,$C$2,$C$3))</f>
        <v>Afternoon</v>
      </c>
      <c r="E459">
        <f>MONTH(Table1[[#This Row],[Date]])</f>
        <v>3</v>
      </c>
      <c r="F459" t="str">
        <f>VLOOKUP(Table1[[#This Row],[Month]],dctMonth[],2,FALSE)</f>
        <v>March</v>
      </c>
      <c r="G459" t="s">
        <v>19</v>
      </c>
      <c r="H459" t="s">
        <v>20</v>
      </c>
      <c r="I459" t="s">
        <v>28</v>
      </c>
      <c r="J459" t="s">
        <v>32</v>
      </c>
      <c r="K459">
        <v>74</v>
      </c>
      <c r="L459" t="str">
        <f>IF(Table1[[#This Row],[Age]]&lt;20,"&lt;20",IF(Table1[[#This Row],[Age]]&lt;=70,"20-70","&gt;70"))</f>
        <v>&gt;70</v>
      </c>
      <c r="M459" t="s">
        <v>23</v>
      </c>
      <c r="N459" t="s">
        <v>24</v>
      </c>
      <c r="O459">
        <v>25</v>
      </c>
      <c r="P459">
        <v>1</v>
      </c>
      <c r="Q459">
        <v>1.25</v>
      </c>
      <c r="R459">
        <v>26.25</v>
      </c>
      <c r="S459">
        <v>25</v>
      </c>
      <c r="T459">
        <v>4.7619047620000003</v>
      </c>
      <c r="U459">
        <v>1.25</v>
      </c>
      <c r="V459">
        <v>5.5</v>
      </c>
    </row>
    <row r="460" spans="1:22" x14ac:dyDescent="0.2">
      <c r="A460" t="s">
        <v>491</v>
      </c>
      <c r="B460" s="1">
        <v>43496</v>
      </c>
      <c r="C460" s="2">
        <v>0.57430555555555551</v>
      </c>
      <c r="D460" s="2" t="str">
        <f>IF(Table1[[#This Row],[Time]]&lt;$D$1,$C$1,IF(Table1[[#This Row],[Time]]&lt;$D$2,$C$2,$C$3))</f>
        <v>Afternoon</v>
      </c>
      <c r="E460">
        <f>MONTH(Table1[[#This Row],[Date]])</f>
        <v>1</v>
      </c>
      <c r="F460" t="str">
        <f>VLOOKUP(Table1[[#This Row],[Month]],dctMonth[],2,FALSE)</f>
        <v>January</v>
      </c>
      <c r="G460" t="s">
        <v>19</v>
      </c>
      <c r="H460" t="s">
        <v>20</v>
      </c>
      <c r="I460" t="s">
        <v>21</v>
      </c>
      <c r="J460" t="s">
        <v>32</v>
      </c>
      <c r="K460">
        <v>72</v>
      </c>
      <c r="L460" t="str">
        <f>IF(Table1[[#This Row],[Age]]&lt;20,"&lt;20",IF(Table1[[#This Row],[Age]]&lt;=70,"20-70","&gt;70"))</f>
        <v>&gt;70</v>
      </c>
      <c r="M460" t="s">
        <v>29</v>
      </c>
      <c r="N460" t="s">
        <v>30</v>
      </c>
      <c r="O460">
        <v>20.77</v>
      </c>
      <c r="P460">
        <v>4</v>
      </c>
      <c r="Q460">
        <v>4.1539999999999999</v>
      </c>
      <c r="R460">
        <v>87.233999999999995</v>
      </c>
      <c r="S460">
        <v>83.08</v>
      </c>
      <c r="T460">
        <v>4.7619047620000003</v>
      </c>
      <c r="U460">
        <v>4.1539999999999999</v>
      </c>
      <c r="V460">
        <v>4.7</v>
      </c>
    </row>
    <row r="461" spans="1:22" x14ac:dyDescent="0.2">
      <c r="A461" t="s">
        <v>492</v>
      </c>
      <c r="B461" s="1">
        <v>43509</v>
      </c>
      <c r="C461" s="2">
        <v>0.70763888888888893</v>
      </c>
      <c r="D461" s="2" t="str">
        <f>IF(Table1[[#This Row],[Time]]&lt;$D$1,$C$1,IF(Table1[[#This Row],[Time]]&lt;$D$2,$C$2,$C$3))</f>
        <v>Afternoon</v>
      </c>
      <c r="E461">
        <f>MONTH(Table1[[#This Row],[Date]])</f>
        <v>2</v>
      </c>
      <c r="F461" t="str">
        <f>VLOOKUP(Table1[[#This Row],[Month]],dctMonth[],2,FALSE)</f>
        <v>February</v>
      </c>
      <c r="G461" t="s">
        <v>43</v>
      </c>
      <c r="H461" t="s">
        <v>44</v>
      </c>
      <c r="I461" t="s">
        <v>21</v>
      </c>
      <c r="J461" t="s">
        <v>22</v>
      </c>
      <c r="K461">
        <v>30</v>
      </c>
      <c r="L461" t="str">
        <f>IF(Table1[[#This Row],[Age]]&lt;20,"&lt;20",IF(Table1[[#This Row],[Age]]&lt;=70,"20-70","&gt;70"))</f>
        <v>20-70</v>
      </c>
      <c r="M461" t="s">
        <v>47</v>
      </c>
      <c r="N461" t="s">
        <v>30</v>
      </c>
      <c r="O461">
        <v>29.56</v>
      </c>
      <c r="P461">
        <v>5</v>
      </c>
      <c r="Q461">
        <v>7.39</v>
      </c>
      <c r="R461">
        <v>155.19</v>
      </c>
      <c r="S461">
        <v>147.80000000000001</v>
      </c>
      <c r="T461">
        <v>4.7619047620000003</v>
      </c>
      <c r="U461">
        <v>7.39</v>
      </c>
      <c r="V461">
        <v>6.9</v>
      </c>
    </row>
    <row r="462" spans="1:22" x14ac:dyDescent="0.2">
      <c r="A462" t="s">
        <v>493</v>
      </c>
      <c r="B462" s="1">
        <v>43511</v>
      </c>
      <c r="C462" s="2">
        <v>0.59375</v>
      </c>
      <c r="D462" s="2" t="str">
        <f>IF(Table1[[#This Row],[Time]]&lt;$D$1,$C$1,IF(Table1[[#This Row],[Time]]&lt;$D$2,$C$2,$C$3))</f>
        <v>Afternoon</v>
      </c>
      <c r="E462">
        <f>MONTH(Table1[[#This Row],[Date]])</f>
        <v>2</v>
      </c>
      <c r="F462" t="str">
        <f>VLOOKUP(Table1[[#This Row],[Month]],dctMonth[],2,FALSE)</f>
        <v>February</v>
      </c>
      <c r="G462" t="s">
        <v>43</v>
      </c>
      <c r="H462" t="s">
        <v>44</v>
      </c>
      <c r="I462" t="s">
        <v>21</v>
      </c>
      <c r="J462" t="s">
        <v>22</v>
      </c>
      <c r="K462">
        <v>84</v>
      </c>
      <c r="L462" t="str">
        <f>IF(Table1[[#This Row],[Age]]&lt;20,"&lt;20",IF(Table1[[#This Row],[Age]]&lt;=70,"20-70","&gt;70"))</f>
        <v>&gt;70</v>
      </c>
      <c r="M462" t="s">
        <v>45</v>
      </c>
      <c r="N462" t="s">
        <v>34</v>
      </c>
      <c r="O462">
        <v>77.400000000000006</v>
      </c>
      <c r="P462">
        <v>9</v>
      </c>
      <c r="Q462">
        <v>34.83</v>
      </c>
      <c r="R462">
        <v>731.43</v>
      </c>
      <c r="S462">
        <v>696.6</v>
      </c>
      <c r="T462">
        <v>4.7619047620000003</v>
      </c>
      <c r="U462">
        <v>34.83</v>
      </c>
      <c r="V462">
        <v>4.5</v>
      </c>
    </row>
    <row r="463" spans="1:22" x14ac:dyDescent="0.2">
      <c r="A463" t="s">
        <v>494</v>
      </c>
      <c r="B463" s="1">
        <v>43503</v>
      </c>
      <c r="C463" s="2">
        <v>0.85</v>
      </c>
      <c r="D463" s="2" t="str">
        <f>IF(Table1[[#This Row],[Time]]&lt;$D$1,$C$1,IF(Table1[[#This Row],[Time]]&lt;$D$2,$C$2,$C$3))</f>
        <v>Evening</v>
      </c>
      <c r="E463">
        <f>MONTH(Table1[[#This Row],[Date]])</f>
        <v>2</v>
      </c>
      <c r="F463" t="str">
        <f>VLOOKUP(Table1[[#This Row],[Month]],dctMonth[],2,FALSE)</f>
        <v>February</v>
      </c>
      <c r="G463" t="s">
        <v>43</v>
      </c>
      <c r="H463" t="s">
        <v>44</v>
      </c>
      <c r="I463" t="s">
        <v>28</v>
      </c>
      <c r="J463" t="s">
        <v>32</v>
      </c>
      <c r="K463">
        <v>46</v>
      </c>
      <c r="L463" t="str">
        <f>IF(Table1[[#This Row],[Age]]&lt;20,"&lt;20",IF(Table1[[#This Row],[Age]]&lt;=70,"20-70","&gt;70"))</f>
        <v>20-70</v>
      </c>
      <c r="M463" t="s">
        <v>29</v>
      </c>
      <c r="N463" t="s">
        <v>30</v>
      </c>
      <c r="O463">
        <v>79.39</v>
      </c>
      <c r="P463">
        <v>10</v>
      </c>
      <c r="Q463">
        <v>39.695</v>
      </c>
      <c r="R463">
        <v>833.59500000000003</v>
      </c>
      <c r="S463">
        <v>793.9</v>
      </c>
      <c r="T463">
        <v>4.7619047620000003</v>
      </c>
      <c r="U463">
        <v>39.695</v>
      </c>
      <c r="V463">
        <v>6.2</v>
      </c>
    </row>
    <row r="464" spans="1:22" x14ac:dyDescent="0.2">
      <c r="A464" t="s">
        <v>495</v>
      </c>
      <c r="B464" s="1">
        <v>43492</v>
      </c>
      <c r="C464" s="2">
        <v>0.58194444444444449</v>
      </c>
      <c r="D464" s="2" t="str">
        <f>IF(Table1[[#This Row],[Time]]&lt;$D$1,$C$1,IF(Table1[[#This Row],[Time]]&lt;$D$2,$C$2,$C$3))</f>
        <v>Afternoon</v>
      </c>
      <c r="E464">
        <f>MONTH(Table1[[#This Row],[Date]])</f>
        <v>1</v>
      </c>
      <c r="F464" t="str">
        <f>VLOOKUP(Table1[[#This Row],[Month]],dctMonth[],2,FALSE)</f>
        <v>January</v>
      </c>
      <c r="G464" t="s">
        <v>26</v>
      </c>
      <c r="H464" t="s">
        <v>27</v>
      </c>
      <c r="I464" t="s">
        <v>21</v>
      </c>
      <c r="J464" t="s">
        <v>22</v>
      </c>
      <c r="K464">
        <v>86</v>
      </c>
      <c r="L464" t="str">
        <f>IF(Table1[[#This Row],[Age]]&lt;20,"&lt;20",IF(Table1[[#This Row],[Age]]&lt;=70,"20-70","&gt;70"))</f>
        <v>&gt;70</v>
      </c>
      <c r="M464" t="s">
        <v>29</v>
      </c>
      <c r="N464" t="s">
        <v>30</v>
      </c>
      <c r="O464">
        <v>46.57</v>
      </c>
      <c r="P464">
        <v>10</v>
      </c>
      <c r="Q464">
        <v>23.285</v>
      </c>
      <c r="R464">
        <v>488.98500000000001</v>
      </c>
      <c r="S464">
        <v>465.7</v>
      </c>
      <c r="T464">
        <v>4.7619047620000003</v>
      </c>
      <c r="U464">
        <v>23.285</v>
      </c>
      <c r="V464">
        <v>7.6</v>
      </c>
    </row>
    <row r="465" spans="1:22" x14ac:dyDescent="0.2">
      <c r="A465" t="s">
        <v>496</v>
      </c>
      <c r="B465" s="1">
        <v>43519</v>
      </c>
      <c r="C465" s="2">
        <v>0.70277777777777772</v>
      </c>
      <c r="D465" s="2" t="str">
        <f>IF(Table1[[#This Row],[Time]]&lt;$D$1,$C$1,IF(Table1[[#This Row],[Time]]&lt;$D$2,$C$2,$C$3))</f>
        <v>Afternoon</v>
      </c>
      <c r="E465">
        <f>MONTH(Table1[[#This Row],[Date]])</f>
        <v>2</v>
      </c>
      <c r="F465" t="str">
        <f>VLOOKUP(Table1[[#This Row],[Month]],dctMonth[],2,FALSE)</f>
        <v>February</v>
      </c>
      <c r="G465" t="s">
        <v>26</v>
      </c>
      <c r="H465" t="s">
        <v>27</v>
      </c>
      <c r="I465" t="s">
        <v>28</v>
      </c>
      <c r="J465" t="s">
        <v>32</v>
      </c>
      <c r="K465">
        <v>28</v>
      </c>
      <c r="L465" t="str">
        <f>IF(Table1[[#This Row],[Age]]&lt;20,"&lt;20",IF(Table1[[#This Row],[Age]]&lt;=70,"20-70","&gt;70"))</f>
        <v>20-70</v>
      </c>
      <c r="M465" t="s">
        <v>45</v>
      </c>
      <c r="N465" t="s">
        <v>34</v>
      </c>
      <c r="O465">
        <v>35.89</v>
      </c>
      <c r="P465">
        <v>1</v>
      </c>
      <c r="Q465">
        <v>1.7945</v>
      </c>
      <c r="R465">
        <v>37.6845</v>
      </c>
      <c r="S465">
        <v>35.89</v>
      </c>
      <c r="T465">
        <v>4.7619047620000003</v>
      </c>
      <c r="U465">
        <v>1.7945</v>
      </c>
      <c r="V465">
        <v>7.9</v>
      </c>
    </row>
    <row r="466" spans="1:22" x14ac:dyDescent="0.2">
      <c r="A466" t="s">
        <v>497</v>
      </c>
      <c r="B466" s="1">
        <v>43499</v>
      </c>
      <c r="C466" s="2">
        <v>0.6381944444444444</v>
      </c>
      <c r="D466" s="2" t="str">
        <f>IF(Table1[[#This Row],[Time]]&lt;$D$1,$C$1,IF(Table1[[#This Row],[Time]]&lt;$D$2,$C$2,$C$3))</f>
        <v>Afternoon</v>
      </c>
      <c r="E466">
        <f>MONTH(Table1[[#This Row],[Date]])</f>
        <v>2</v>
      </c>
      <c r="F466" t="str">
        <f>VLOOKUP(Table1[[#This Row],[Month]],dctMonth[],2,FALSE)</f>
        <v>February</v>
      </c>
      <c r="G466" t="s">
        <v>26</v>
      </c>
      <c r="H466" t="s">
        <v>27</v>
      </c>
      <c r="I466" t="s">
        <v>28</v>
      </c>
      <c r="J466" t="s">
        <v>32</v>
      </c>
      <c r="K466">
        <v>42</v>
      </c>
      <c r="L466" t="str">
        <f>IF(Table1[[#This Row],[Age]]&lt;20,"&lt;20",IF(Table1[[#This Row],[Age]]&lt;=70,"20-70","&gt;70"))</f>
        <v>20-70</v>
      </c>
      <c r="M466" t="s">
        <v>45</v>
      </c>
      <c r="N466" t="s">
        <v>30</v>
      </c>
      <c r="O466">
        <v>40.520000000000003</v>
      </c>
      <c r="P466">
        <v>5</v>
      </c>
      <c r="Q466">
        <v>10.130000000000001</v>
      </c>
      <c r="R466">
        <v>212.73</v>
      </c>
      <c r="S466">
        <v>202.6</v>
      </c>
      <c r="T466">
        <v>4.7619047620000003</v>
      </c>
      <c r="U466">
        <v>10.130000000000001</v>
      </c>
      <c r="V466">
        <v>4.5</v>
      </c>
    </row>
    <row r="467" spans="1:22" x14ac:dyDescent="0.2">
      <c r="A467" t="s">
        <v>498</v>
      </c>
      <c r="B467" s="1">
        <v>43527</v>
      </c>
      <c r="C467" s="2">
        <v>0.51736111111111116</v>
      </c>
      <c r="D467" s="2" t="str">
        <f>IF(Table1[[#This Row],[Time]]&lt;$D$1,$C$1,IF(Table1[[#This Row],[Time]]&lt;$D$2,$C$2,$C$3))</f>
        <v>Afternoon</v>
      </c>
      <c r="E467">
        <f>MONTH(Table1[[#This Row],[Date]])</f>
        <v>3</v>
      </c>
      <c r="F467" t="str">
        <f>VLOOKUP(Table1[[#This Row],[Month]],dctMonth[],2,FALSE)</f>
        <v>March</v>
      </c>
      <c r="G467" t="s">
        <v>43</v>
      </c>
      <c r="H467" t="s">
        <v>44</v>
      </c>
      <c r="I467" t="s">
        <v>21</v>
      </c>
      <c r="J467" t="s">
        <v>22</v>
      </c>
      <c r="K467">
        <v>50</v>
      </c>
      <c r="L467" t="str">
        <f>IF(Table1[[#This Row],[Age]]&lt;20,"&lt;20",IF(Table1[[#This Row],[Age]]&lt;=70,"20-70","&gt;70"))</f>
        <v>20-70</v>
      </c>
      <c r="M467" t="s">
        <v>45</v>
      </c>
      <c r="N467" t="s">
        <v>34</v>
      </c>
      <c r="O467">
        <v>73.05</v>
      </c>
      <c r="P467">
        <v>10</v>
      </c>
      <c r="Q467">
        <v>36.524999999999999</v>
      </c>
      <c r="R467">
        <v>767.02499999999998</v>
      </c>
      <c r="S467">
        <v>730.5</v>
      </c>
      <c r="T467">
        <v>4.7619047620000003</v>
      </c>
      <c r="U467">
        <v>36.524999999999999</v>
      </c>
      <c r="V467">
        <v>8.6999999999999993</v>
      </c>
    </row>
    <row r="468" spans="1:22" x14ac:dyDescent="0.2">
      <c r="A468" t="s">
        <v>499</v>
      </c>
      <c r="B468" s="1">
        <v>43499</v>
      </c>
      <c r="C468" s="2">
        <v>0.41805555555555557</v>
      </c>
      <c r="D468" s="2" t="str">
        <f>IF(Table1[[#This Row],[Time]]&lt;$D$1,$C$1,IF(Table1[[#This Row],[Time]]&lt;$D$2,$C$2,$C$3))</f>
        <v>Morning</v>
      </c>
      <c r="E468">
        <f>MONTH(Table1[[#This Row],[Date]])</f>
        <v>2</v>
      </c>
      <c r="F468" t="str">
        <f>VLOOKUP(Table1[[#This Row],[Month]],dctMonth[],2,FALSE)</f>
        <v>February</v>
      </c>
      <c r="G468" t="s">
        <v>26</v>
      </c>
      <c r="H468" t="s">
        <v>27</v>
      </c>
      <c r="I468" t="s">
        <v>28</v>
      </c>
      <c r="J468" t="s">
        <v>22</v>
      </c>
      <c r="K468">
        <v>26</v>
      </c>
      <c r="L468" t="str">
        <f>IF(Table1[[#This Row],[Age]]&lt;20,"&lt;20",IF(Table1[[#This Row],[Age]]&lt;=70,"20-70","&gt;70"))</f>
        <v>20-70</v>
      </c>
      <c r="M468" t="s">
        <v>37</v>
      </c>
      <c r="N468" t="s">
        <v>30</v>
      </c>
      <c r="O468">
        <v>73.95</v>
      </c>
      <c r="P468">
        <v>4</v>
      </c>
      <c r="Q468">
        <v>14.79</v>
      </c>
      <c r="R468">
        <v>310.58999999999997</v>
      </c>
      <c r="S468">
        <v>295.8</v>
      </c>
      <c r="T468">
        <v>4.7619047620000003</v>
      </c>
      <c r="U468">
        <v>14.79</v>
      </c>
      <c r="V468">
        <v>6.1</v>
      </c>
    </row>
    <row r="469" spans="1:22" x14ac:dyDescent="0.2">
      <c r="A469" t="s">
        <v>500</v>
      </c>
      <c r="B469" s="1">
        <v>43541</v>
      </c>
      <c r="C469" s="2">
        <v>0.79027777777777775</v>
      </c>
      <c r="D469" s="2" t="str">
        <f>IF(Table1[[#This Row],[Time]]&lt;$D$1,$C$1,IF(Table1[[#This Row],[Time]]&lt;$D$2,$C$2,$C$3))</f>
        <v>Evening</v>
      </c>
      <c r="E469">
        <f>MONTH(Table1[[#This Row],[Date]])</f>
        <v>3</v>
      </c>
      <c r="F469" t="str">
        <f>VLOOKUP(Table1[[#This Row],[Month]],dctMonth[],2,FALSE)</f>
        <v>March</v>
      </c>
      <c r="G469" t="s">
        <v>26</v>
      </c>
      <c r="H469" t="s">
        <v>27</v>
      </c>
      <c r="I469" t="s">
        <v>21</v>
      </c>
      <c r="J469" t="s">
        <v>22</v>
      </c>
      <c r="K469">
        <v>34</v>
      </c>
      <c r="L469" t="str">
        <f>IF(Table1[[#This Row],[Age]]&lt;20,"&lt;20",IF(Table1[[#This Row],[Age]]&lt;=70,"20-70","&gt;70"))</f>
        <v>20-70</v>
      </c>
      <c r="M469" t="s">
        <v>45</v>
      </c>
      <c r="N469" t="s">
        <v>30</v>
      </c>
      <c r="O469">
        <v>22.62</v>
      </c>
      <c r="P469">
        <v>1</v>
      </c>
      <c r="Q469">
        <v>1.131</v>
      </c>
      <c r="R469">
        <v>23.751000000000001</v>
      </c>
      <c r="S469">
        <v>22.62</v>
      </c>
      <c r="T469">
        <v>4.7619047620000003</v>
      </c>
      <c r="U469">
        <v>1.131</v>
      </c>
      <c r="V469">
        <v>6.4</v>
      </c>
    </row>
    <row r="470" spans="1:22" x14ac:dyDescent="0.2">
      <c r="A470" t="s">
        <v>501</v>
      </c>
      <c r="B470" s="1">
        <v>43552</v>
      </c>
      <c r="C470" s="2">
        <v>0.64652777777777781</v>
      </c>
      <c r="D470" s="2" t="str">
        <f>IF(Table1[[#This Row],[Time]]&lt;$D$1,$C$1,IF(Table1[[#This Row],[Time]]&lt;$D$2,$C$2,$C$3))</f>
        <v>Afternoon</v>
      </c>
      <c r="E470">
        <f>MONTH(Table1[[#This Row],[Date]])</f>
        <v>3</v>
      </c>
      <c r="F470" t="str">
        <f>VLOOKUP(Table1[[#This Row],[Month]],dctMonth[],2,FALSE)</f>
        <v>March</v>
      </c>
      <c r="G470" t="s">
        <v>19</v>
      </c>
      <c r="H470" t="s">
        <v>20</v>
      </c>
      <c r="I470" t="s">
        <v>21</v>
      </c>
      <c r="J470" t="s">
        <v>32</v>
      </c>
      <c r="K470">
        <v>86</v>
      </c>
      <c r="L470" t="str">
        <f>IF(Table1[[#This Row],[Age]]&lt;20,"&lt;20",IF(Table1[[#This Row],[Age]]&lt;=70,"20-70","&gt;70"))</f>
        <v>&gt;70</v>
      </c>
      <c r="M470" t="s">
        <v>45</v>
      </c>
      <c r="N470" t="s">
        <v>34</v>
      </c>
      <c r="O470">
        <v>51.34</v>
      </c>
      <c r="P470">
        <v>5</v>
      </c>
      <c r="Q470">
        <v>12.835000000000001</v>
      </c>
      <c r="R470">
        <v>269.53500000000003</v>
      </c>
      <c r="S470">
        <v>256.7</v>
      </c>
      <c r="T470">
        <v>4.7619047620000003</v>
      </c>
      <c r="U470">
        <v>12.835000000000001</v>
      </c>
      <c r="V470">
        <v>9.1</v>
      </c>
    </row>
    <row r="471" spans="1:22" x14ac:dyDescent="0.2">
      <c r="A471" t="s">
        <v>502</v>
      </c>
      <c r="B471" s="1">
        <v>43526</v>
      </c>
      <c r="C471" s="2">
        <v>0.47361111111111109</v>
      </c>
      <c r="D471" s="2" t="str">
        <f>IF(Table1[[#This Row],[Time]]&lt;$D$1,$C$1,IF(Table1[[#This Row],[Time]]&lt;$D$2,$C$2,$C$3))</f>
        <v>Morning</v>
      </c>
      <c r="E471">
        <f>MONTH(Table1[[#This Row],[Date]])</f>
        <v>3</v>
      </c>
      <c r="F471" t="str">
        <f>VLOOKUP(Table1[[#This Row],[Month]],dctMonth[],2,FALSE)</f>
        <v>March</v>
      </c>
      <c r="G471" t="s">
        <v>26</v>
      </c>
      <c r="H471" t="s">
        <v>27</v>
      </c>
      <c r="I471" t="s">
        <v>21</v>
      </c>
      <c r="J471" t="s">
        <v>22</v>
      </c>
      <c r="K471">
        <v>34</v>
      </c>
      <c r="L471" t="str">
        <f>IF(Table1[[#This Row],[Age]]&lt;20,"&lt;20",IF(Table1[[#This Row],[Age]]&lt;=70,"20-70","&gt;70"))</f>
        <v>20-70</v>
      </c>
      <c r="M471" t="s">
        <v>37</v>
      </c>
      <c r="N471" t="s">
        <v>34</v>
      </c>
      <c r="O471">
        <v>54.55</v>
      </c>
      <c r="P471">
        <v>10</v>
      </c>
      <c r="Q471">
        <v>27.274999999999999</v>
      </c>
      <c r="R471">
        <v>572.77499999999998</v>
      </c>
      <c r="S471">
        <v>545.5</v>
      </c>
      <c r="T471">
        <v>4.7619047620000003</v>
      </c>
      <c r="U471">
        <v>27.274999999999999</v>
      </c>
      <c r="V471">
        <v>7.1</v>
      </c>
    </row>
    <row r="472" spans="1:22" x14ac:dyDescent="0.2">
      <c r="A472" t="s">
        <v>503</v>
      </c>
      <c r="B472" s="1">
        <v>43504</v>
      </c>
      <c r="C472" s="2">
        <v>0.55000000000000004</v>
      </c>
      <c r="D472" s="2" t="str">
        <f>IF(Table1[[#This Row],[Time]]&lt;$D$1,$C$1,IF(Table1[[#This Row],[Time]]&lt;$D$2,$C$2,$C$3))</f>
        <v>Afternoon</v>
      </c>
      <c r="E472">
        <f>MONTH(Table1[[#This Row],[Date]])</f>
        <v>2</v>
      </c>
      <c r="F472" t="str">
        <f>VLOOKUP(Table1[[#This Row],[Month]],dctMonth[],2,FALSE)</f>
        <v>February</v>
      </c>
      <c r="G472" t="s">
        <v>26</v>
      </c>
      <c r="H472" t="s">
        <v>27</v>
      </c>
      <c r="I472" t="s">
        <v>21</v>
      </c>
      <c r="J472" t="s">
        <v>22</v>
      </c>
      <c r="K472">
        <v>50</v>
      </c>
      <c r="L472" t="str">
        <f>IF(Table1[[#This Row],[Age]]&lt;20,"&lt;20",IF(Table1[[#This Row],[Age]]&lt;=70,"20-70","&gt;70"))</f>
        <v>20-70</v>
      </c>
      <c r="M472" t="s">
        <v>23</v>
      </c>
      <c r="N472" t="s">
        <v>34</v>
      </c>
      <c r="O472">
        <v>37.15</v>
      </c>
      <c r="P472">
        <v>7</v>
      </c>
      <c r="Q472">
        <v>13.0025</v>
      </c>
      <c r="R472">
        <v>273.05250000000001</v>
      </c>
      <c r="S472">
        <v>260.05</v>
      </c>
      <c r="T472">
        <v>4.7619047620000003</v>
      </c>
      <c r="U472">
        <v>13.0025</v>
      </c>
      <c r="V472">
        <v>7.7</v>
      </c>
    </row>
    <row r="473" spans="1:22" x14ac:dyDescent="0.2">
      <c r="A473" t="s">
        <v>504</v>
      </c>
      <c r="B473" s="1">
        <v>43546</v>
      </c>
      <c r="C473" s="2">
        <v>0.7729166666666667</v>
      </c>
      <c r="D473" s="2" t="str">
        <f>IF(Table1[[#This Row],[Time]]&lt;$D$1,$C$1,IF(Table1[[#This Row],[Time]]&lt;$D$2,$C$2,$C$3))</f>
        <v>Evening</v>
      </c>
      <c r="E473">
        <f>MONTH(Table1[[#This Row],[Date]])</f>
        <v>3</v>
      </c>
      <c r="F473" t="str">
        <f>VLOOKUP(Table1[[#This Row],[Month]],dctMonth[],2,FALSE)</f>
        <v>March</v>
      </c>
      <c r="G473" t="s">
        <v>43</v>
      </c>
      <c r="H473" t="s">
        <v>44</v>
      </c>
      <c r="I473" t="s">
        <v>28</v>
      </c>
      <c r="J473" t="s">
        <v>32</v>
      </c>
      <c r="K473">
        <v>34</v>
      </c>
      <c r="L473" t="str">
        <f>IF(Table1[[#This Row],[Age]]&lt;20,"&lt;20",IF(Table1[[#This Row],[Age]]&lt;=70,"20-70","&gt;70"))</f>
        <v>20-70</v>
      </c>
      <c r="M473" t="s">
        <v>37</v>
      </c>
      <c r="N473" t="s">
        <v>30</v>
      </c>
      <c r="O473">
        <v>37.020000000000003</v>
      </c>
      <c r="P473">
        <v>6</v>
      </c>
      <c r="Q473">
        <v>11.106</v>
      </c>
      <c r="R473">
        <v>233.226</v>
      </c>
      <c r="S473">
        <v>222.12</v>
      </c>
      <c r="T473">
        <v>4.7619047620000003</v>
      </c>
      <c r="U473">
        <v>11.106</v>
      </c>
      <c r="V473">
        <v>4.5</v>
      </c>
    </row>
    <row r="474" spans="1:22" x14ac:dyDescent="0.2">
      <c r="A474" t="s">
        <v>505</v>
      </c>
      <c r="B474" s="1">
        <v>43505</v>
      </c>
      <c r="C474" s="2">
        <v>0.41805555555555557</v>
      </c>
      <c r="D474" s="2" t="str">
        <f>IF(Table1[[#This Row],[Time]]&lt;$D$1,$C$1,IF(Table1[[#This Row],[Time]]&lt;$D$2,$C$2,$C$3))</f>
        <v>Morning</v>
      </c>
      <c r="E474">
        <f>MONTH(Table1[[#This Row],[Date]])</f>
        <v>2</v>
      </c>
      <c r="F474" t="str">
        <f>VLOOKUP(Table1[[#This Row],[Month]],dctMonth[],2,FALSE)</f>
        <v>February</v>
      </c>
      <c r="G474" t="s">
        <v>26</v>
      </c>
      <c r="H474" t="s">
        <v>27</v>
      </c>
      <c r="I474" t="s">
        <v>28</v>
      </c>
      <c r="J474" t="s">
        <v>32</v>
      </c>
      <c r="K474">
        <v>43</v>
      </c>
      <c r="L474" t="str">
        <f>IF(Table1[[#This Row],[Age]]&lt;20,"&lt;20",IF(Table1[[#This Row],[Age]]&lt;=70,"20-70","&gt;70"))</f>
        <v>20-70</v>
      </c>
      <c r="M474" t="s">
        <v>45</v>
      </c>
      <c r="N474" t="s">
        <v>24</v>
      </c>
      <c r="O474">
        <v>21.58</v>
      </c>
      <c r="P474">
        <v>1</v>
      </c>
      <c r="Q474">
        <v>1.079</v>
      </c>
      <c r="R474">
        <v>22.658999999999999</v>
      </c>
      <c r="S474">
        <v>21.58</v>
      </c>
      <c r="T474">
        <v>4.7619047620000003</v>
      </c>
      <c r="U474">
        <v>1.079</v>
      </c>
      <c r="V474">
        <v>7.2</v>
      </c>
    </row>
    <row r="475" spans="1:22" x14ac:dyDescent="0.2">
      <c r="A475" t="s">
        <v>506</v>
      </c>
      <c r="B475" s="1">
        <v>43511</v>
      </c>
      <c r="C475" s="2">
        <v>0.47291666666666665</v>
      </c>
      <c r="D475" s="2" t="str">
        <f>IF(Table1[[#This Row],[Time]]&lt;$D$1,$C$1,IF(Table1[[#This Row],[Time]]&lt;$D$2,$C$2,$C$3))</f>
        <v>Morning</v>
      </c>
      <c r="E475">
        <f>MONTH(Table1[[#This Row],[Date]])</f>
        <v>2</v>
      </c>
      <c r="F475" t="str">
        <f>VLOOKUP(Table1[[#This Row],[Month]],dctMonth[],2,FALSE)</f>
        <v>February</v>
      </c>
      <c r="G475" t="s">
        <v>26</v>
      </c>
      <c r="H475" t="s">
        <v>27</v>
      </c>
      <c r="I475" t="s">
        <v>21</v>
      </c>
      <c r="J475" t="s">
        <v>22</v>
      </c>
      <c r="K475">
        <v>32</v>
      </c>
      <c r="L475" t="str">
        <f>IF(Table1[[#This Row],[Age]]&lt;20,"&lt;20",IF(Table1[[#This Row],[Age]]&lt;=70,"20-70","&gt;70"))</f>
        <v>20-70</v>
      </c>
      <c r="M475" t="s">
        <v>29</v>
      </c>
      <c r="N475" t="s">
        <v>30</v>
      </c>
      <c r="O475">
        <v>98.84</v>
      </c>
      <c r="P475">
        <v>1</v>
      </c>
      <c r="Q475">
        <v>4.9420000000000002</v>
      </c>
      <c r="R475">
        <v>103.782</v>
      </c>
      <c r="S475">
        <v>98.84</v>
      </c>
      <c r="T475">
        <v>4.7619047620000003</v>
      </c>
      <c r="U475">
        <v>4.9420000000000002</v>
      </c>
      <c r="V475">
        <v>8.4</v>
      </c>
    </row>
    <row r="476" spans="1:22" x14ac:dyDescent="0.2">
      <c r="A476" t="s">
        <v>507</v>
      </c>
      <c r="B476" s="1">
        <v>43488</v>
      </c>
      <c r="C476" s="2">
        <v>0.50694444444444442</v>
      </c>
      <c r="D476" s="2" t="str">
        <f>IF(Table1[[#This Row],[Time]]&lt;$D$1,$C$1,IF(Table1[[#This Row],[Time]]&lt;$D$2,$C$2,$C$3))</f>
        <v>Afternoon</v>
      </c>
      <c r="E476">
        <f>MONTH(Table1[[#This Row],[Date]])</f>
        <v>1</v>
      </c>
      <c r="F476" t="str">
        <f>VLOOKUP(Table1[[#This Row],[Month]],dctMonth[],2,FALSE)</f>
        <v>January</v>
      </c>
      <c r="G476" t="s">
        <v>26</v>
      </c>
      <c r="H476" t="s">
        <v>27</v>
      </c>
      <c r="I476" t="s">
        <v>21</v>
      </c>
      <c r="J476" t="s">
        <v>22</v>
      </c>
      <c r="K476">
        <v>80</v>
      </c>
      <c r="L476" t="str">
        <f>IF(Table1[[#This Row],[Age]]&lt;20,"&lt;20",IF(Table1[[#This Row],[Age]]&lt;=70,"20-70","&gt;70"))</f>
        <v>&gt;70</v>
      </c>
      <c r="M476" t="s">
        <v>33</v>
      </c>
      <c r="N476" t="s">
        <v>24</v>
      </c>
      <c r="O476">
        <v>83.77</v>
      </c>
      <c r="P476">
        <v>6</v>
      </c>
      <c r="Q476">
        <v>25.131</v>
      </c>
      <c r="R476">
        <v>527.75099999999998</v>
      </c>
      <c r="S476">
        <v>502.62</v>
      </c>
      <c r="T476">
        <v>4.7619047620000003</v>
      </c>
      <c r="U476">
        <v>25.131</v>
      </c>
      <c r="V476">
        <v>5.4</v>
      </c>
    </row>
    <row r="477" spans="1:22" x14ac:dyDescent="0.2">
      <c r="A477" t="s">
        <v>508</v>
      </c>
      <c r="B477" s="1">
        <v>43490</v>
      </c>
      <c r="C477" s="2">
        <v>0.4861111111111111</v>
      </c>
      <c r="D477" s="2" t="str">
        <f>IF(Table1[[#This Row],[Time]]&lt;$D$1,$C$1,IF(Table1[[#This Row],[Time]]&lt;$D$2,$C$2,$C$3))</f>
        <v>Morning</v>
      </c>
      <c r="E477">
        <f>MONTH(Table1[[#This Row],[Date]])</f>
        <v>1</v>
      </c>
      <c r="F477" t="str">
        <f>VLOOKUP(Table1[[#This Row],[Month]],dctMonth[],2,FALSE)</f>
        <v>January</v>
      </c>
      <c r="G477" t="s">
        <v>19</v>
      </c>
      <c r="H477" t="s">
        <v>20</v>
      </c>
      <c r="I477" t="s">
        <v>21</v>
      </c>
      <c r="J477" t="s">
        <v>22</v>
      </c>
      <c r="K477">
        <v>28</v>
      </c>
      <c r="L477" t="str">
        <f>IF(Table1[[#This Row],[Age]]&lt;20,"&lt;20",IF(Table1[[#This Row],[Age]]&lt;=70,"20-70","&gt;70"))</f>
        <v>20-70</v>
      </c>
      <c r="M477" t="s">
        <v>37</v>
      </c>
      <c r="N477" t="s">
        <v>30</v>
      </c>
      <c r="O477">
        <v>40.049999999999997</v>
      </c>
      <c r="P477">
        <v>4</v>
      </c>
      <c r="Q477">
        <v>8.01</v>
      </c>
      <c r="R477">
        <v>168.21</v>
      </c>
      <c r="S477">
        <v>160.19999999999999</v>
      </c>
      <c r="T477">
        <v>4.7619047620000003</v>
      </c>
      <c r="U477">
        <v>8.01</v>
      </c>
      <c r="V477">
        <v>9.6999999999999993</v>
      </c>
    </row>
    <row r="478" spans="1:22" x14ac:dyDescent="0.2">
      <c r="A478" t="s">
        <v>509</v>
      </c>
      <c r="B478" s="1">
        <v>43498</v>
      </c>
      <c r="C478" s="2">
        <v>0.77152777777777781</v>
      </c>
      <c r="D478" s="2" t="str">
        <f>IF(Table1[[#This Row],[Time]]&lt;$D$1,$C$1,IF(Table1[[#This Row],[Time]]&lt;$D$2,$C$2,$C$3))</f>
        <v>Evening</v>
      </c>
      <c r="E478">
        <f>MONTH(Table1[[#This Row],[Date]])</f>
        <v>2</v>
      </c>
      <c r="F478" t="str">
        <f>VLOOKUP(Table1[[#This Row],[Month]],dctMonth[],2,FALSE)</f>
        <v>February</v>
      </c>
      <c r="G478" t="s">
        <v>19</v>
      </c>
      <c r="H478" t="s">
        <v>20</v>
      </c>
      <c r="I478" t="s">
        <v>21</v>
      </c>
      <c r="J478" t="s">
        <v>32</v>
      </c>
      <c r="K478">
        <v>43</v>
      </c>
      <c r="L478" t="str">
        <f>IF(Table1[[#This Row],[Age]]&lt;20,"&lt;20",IF(Table1[[#This Row],[Age]]&lt;=70,"20-70","&gt;70"))</f>
        <v>20-70</v>
      </c>
      <c r="M478" t="s">
        <v>47</v>
      </c>
      <c r="N478" t="s">
        <v>34</v>
      </c>
      <c r="O478">
        <v>43.13</v>
      </c>
      <c r="P478">
        <v>10</v>
      </c>
      <c r="Q478">
        <v>21.565000000000001</v>
      </c>
      <c r="R478">
        <v>452.86500000000001</v>
      </c>
      <c r="S478">
        <v>431.3</v>
      </c>
      <c r="T478">
        <v>4.7619047620000003</v>
      </c>
      <c r="U478">
        <v>21.565000000000001</v>
      </c>
      <c r="V478">
        <v>5.5</v>
      </c>
    </row>
    <row r="479" spans="1:22" x14ac:dyDescent="0.2">
      <c r="A479" t="s">
        <v>510</v>
      </c>
      <c r="B479" s="1">
        <v>43554</v>
      </c>
      <c r="C479" s="2">
        <v>0.74861111111111112</v>
      </c>
      <c r="D479" s="2" t="str">
        <f>IF(Table1[[#This Row],[Time]]&lt;$D$1,$C$1,IF(Table1[[#This Row],[Time]]&lt;$D$2,$C$2,$C$3))</f>
        <v>Evening</v>
      </c>
      <c r="E479">
        <f>MONTH(Table1[[#This Row],[Date]])</f>
        <v>3</v>
      </c>
      <c r="F479" t="str">
        <f>VLOOKUP(Table1[[#This Row],[Month]],dctMonth[],2,FALSE)</f>
        <v>March</v>
      </c>
      <c r="G479" t="s">
        <v>43</v>
      </c>
      <c r="H479" t="s">
        <v>44</v>
      </c>
      <c r="I479" t="s">
        <v>21</v>
      </c>
      <c r="J479" t="s">
        <v>32</v>
      </c>
      <c r="K479">
        <v>22</v>
      </c>
      <c r="L479" t="str">
        <f>IF(Table1[[#This Row],[Age]]&lt;20,"&lt;20",IF(Table1[[#This Row],[Age]]&lt;=70,"20-70","&gt;70"))</f>
        <v>20-70</v>
      </c>
      <c r="M479" t="s">
        <v>23</v>
      </c>
      <c r="N479" t="s">
        <v>30</v>
      </c>
      <c r="O479">
        <v>72.569999999999993</v>
      </c>
      <c r="P479">
        <v>8</v>
      </c>
      <c r="Q479">
        <v>29.027999999999999</v>
      </c>
      <c r="R479">
        <v>609.58799999999997</v>
      </c>
      <c r="S479">
        <v>580.55999999999995</v>
      </c>
      <c r="T479">
        <v>4.7619047620000003</v>
      </c>
      <c r="U479">
        <v>29.027999999999999</v>
      </c>
      <c r="V479">
        <v>4.5999999999999996</v>
      </c>
    </row>
    <row r="480" spans="1:22" x14ac:dyDescent="0.2">
      <c r="A480" t="s">
        <v>511</v>
      </c>
      <c r="B480" s="1">
        <v>43554</v>
      </c>
      <c r="C480" s="2">
        <v>0.71111111111111114</v>
      </c>
      <c r="D480" s="2" t="str">
        <f>IF(Table1[[#This Row],[Time]]&lt;$D$1,$C$1,IF(Table1[[#This Row],[Time]]&lt;$D$2,$C$2,$C$3))</f>
        <v>Evening</v>
      </c>
      <c r="E480">
        <f>MONTH(Table1[[#This Row],[Date]])</f>
        <v>3</v>
      </c>
      <c r="F480" t="str">
        <f>VLOOKUP(Table1[[#This Row],[Month]],dctMonth[],2,FALSE)</f>
        <v>March</v>
      </c>
      <c r="G480" t="s">
        <v>19</v>
      </c>
      <c r="H480" t="s">
        <v>20</v>
      </c>
      <c r="I480" t="s">
        <v>21</v>
      </c>
      <c r="J480" t="s">
        <v>22</v>
      </c>
      <c r="K480">
        <v>65</v>
      </c>
      <c r="L480" t="str">
        <f>IF(Table1[[#This Row],[Age]]&lt;20,"&lt;20",IF(Table1[[#This Row],[Age]]&lt;=70,"20-70","&gt;70"))</f>
        <v>20-70</v>
      </c>
      <c r="M480" t="s">
        <v>29</v>
      </c>
      <c r="N480" t="s">
        <v>30</v>
      </c>
      <c r="O480">
        <v>64.44</v>
      </c>
      <c r="P480">
        <v>5</v>
      </c>
      <c r="Q480">
        <v>16.11</v>
      </c>
      <c r="R480">
        <v>338.31</v>
      </c>
      <c r="S480">
        <v>322.2</v>
      </c>
      <c r="T480">
        <v>4.7619047620000003</v>
      </c>
      <c r="U480">
        <v>16.11</v>
      </c>
      <c r="V480">
        <v>6.6</v>
      </c>
    </row>
    <row r="481" spans="1:22" x14ac:dyDescent="0.2">
      <c r="A481" t="s">
        <v>512</v>
      </c>
      <c r="B481" s="1">
        <v>43521</v>
      </c>
      <c r="C481" s="2">
        <v>0.85763888888888884</v>
      </c>
      <c r="D481" s="2" t="str">
        <f>IF(Table1[[#This Row],[Time]]&lt;$D$1,$C$1,IF(Table1[[#This Row],[Time]]&lt;$D$2,$C$2,$C$3))</f>
        <v>Evening</v>
      </c>
      <c r="E481">
        <f>MONTH(Table1[[#This Row],[Date]])</f>
        <v>2</v>
      </c>
      <c r="F481" t="str">
        <f>VLOOKUP(Table1[[#This Row],[Month]],dctMonth[],2,FALSE)</f>
        <v>February</v>
      </c>
      <c r="G481" t="s">
        <v>19</v>
      </c>
      <c r="H481" t="s">
        <v>20</v>
      </c>
      <c r="I481" t="s">
        <v>28</v>
      </c>
      <c r="J481" t="s">
        <v>32</v>
      </c>
      <c r="K481">
        <v>86</v>
      </c>
      <c r="L481" t="str">
        <f>IF(Table1[[#This Row],[Age]]&lt;20,"&lt;20",IF(Table1[[#This Row],[Age]]&lt;=70,"20-70","&gt;70"))</f>
        <v>&gt;70</v>
      </c>
      <c r="M481" t="s">
        <v>23</v>
      </c>
      <c r="N481" t="s">
        <v>34</v>
      </c>
      <c r="O481">
        <v>65.180000000000007</v>
      </c>
      <c r="P481">
        <v>3</v>
      </c>
      <c r="Q481">
        <v>9.7769999999999992</v>
      </c>
      <c r="R481">
        <v>205.31700000000001</v>
      </c>
      <c r="S481">
        <v>195.54</v>
      </c>
      <c r="T481">
        <v>4.7619047620000003</v>
      </c>
      <c r="U481">
        <v>9.7769999999999992</v>
      </c>
      <c r="V481">
        <v>6.3</v>
      </c>
    </row>
    <row r="482" spans="1:22" x14ac:dyDescent="0.2">
      <c r="A482" t="s">
        <v>513</v>
      </c>
      <c r="B482" s="1">
        <v>43542</v>
      </c>
      <c r="C482" s="2">
        <v>0.67361111111111116</v>
      </c>
      <c r="D482" s="2" t="str">
        <f>IF(Table1[[#This Row],[Time]]&lt;$D$1,$C$1,IF(Table1[[#This Row],[Time]]&lt;$D$2,$C$2,$C$3))</f>
        <v>Afternoon</v>
      </c>
      <c r="E482">
        <f>MONTH(Table1[[#This Row],[Date]])</f>
        <v>3</v>
      </c>
      <c r="F482" t="str">
        <f>VLOOKUP(Table1[[#This Row],[Month]],dctMonth[],2,FALSE)</f>
        <v>March</v>
      </c>
      <c r="G482" t="s">
        <v>19</v>
      </c>
      <c r="H482" t="s">
        <v>20</v>
      </c>
      <c r="I482" t="s">
        <v>28</v>
      </c>
      <c r="J482" t="s">
        <v>22</v>
      </c>
      <c r="K482">
        <v>43</v>
      </c>
      <c r="L482" t="str">
        <f>IF(Table1[[#This Row],[Age]]&lt;20,"&lt;20",IF(Table1[[#This Row],[Age]]&lt;=70,"20-70","&gt;70"))</f>
        <v>20-70</v>
      </c>
      <c r="M482" t="s">
        <v>37</v>
      </c>
      <c r="N482" t="s">
        <v>34</v>
      </c>
      <c r="O482">
        <v>33.26</v>
      </c>
      <c r="P482">
        <v>5</v>
      </c>
      <c r="Q482">
        <v>8.3149999999999995</v>
      </c>
      <c r="R482">
        <v>174.61500000000001</v>
      </c>
      <c r="S482">
        <v>166.3</v>
      </c>
      <c r="T482">
        <v>4.7619047620000003</v>
      </c>
      <c r="U482">
        <v>8.3149999999999995</v>
      </c>
      <c r="V482">
        <v>4.2</v>
      </c>
    </row>
    <row r="483" spans="1:22" x14ac:dyDescent="0.2">
      <c r="A483" t="s">
        <v>514</v>
      </c>
      <c r="B483" s="1">
        <v>43531</v>
      </c>
      <c r="C483" s="2">
        <v>0.70416666666666672</v>
      </c>
      <c r="D483" s="2" t="str">
        <f>IF(Table1[[#This Row],[Time]]&lt;$D$1,$C$1,IF(Table1[[#This Row],[Time]]&lt;$D$2,$C$2,$C$3))</f>
        <v>Afternoon</v>
      </c>
      <c r="E483">
        <f>MONTH(Table1[[#This Row],[Date]])</f>
        <v>3</v>
      </c>
      <c r="F483" t="str">
        <f>VLOOKUP(Table1[[#This Row],[Month]],dctMonth[],2,FALSE)</f>
        <v>March</v>
      </c>
      <c r="G483" t="s">
        <v>26</v>
      </c>
      <c r="H483" t="s">
        <v>27</v>
      </c>
      <c r="I483" t="s">
        <v>28</v>
      </c>
      <c r="J483" t="s">
        <v>32</v>
      </c>
      <c r="K483">
        <v>43</v>
      </c>
      <c r="L483" t="str">
        <f>IF(Table1[[#This Row],[Age]]&lt;20,"&lt;20",IF(Table1[[#This Row],[Age]]&lt;=70,"20-70","&gt;70"))</f>
        <v>20-70</v>
      </c>
      <c r="M483" t="s">
        <v>29</v>
      </c>
      <c r="N483" t="s">
        <v>24</v>
      </c>
      <c r="O483">
        <v>84.07</v>
      </c>
      <c r="P483">
        <v>4</v>
      </c>
      <c r="Q483">
        <v>16.814</v>
      </c>
      <c r="R483">
        <v>353.09399999999999</v>
      </c>
      <c r="S483">
        <v>336.28</v>
      </c>
      <c r="T483">
        <v>4.7619047620000003</v>
      </c>
      <c r="U483">
        <v>16.814</v>
      </c>
      <c r="V483">
        <v>4.4000000000000004</v>
      </c>
    </row>
    <row r="484" spans="1:22" x14ac:dyDescent="0.2">
      <c r="A484" t="s">
        <v>515</v>
      </c>
      <c r="B484" s="1">
        <v>43540</v>
      </c>
      <c r="C484" s="2">
        <v>0.42430555555555555</v>
      </c>
      <c r="D484" s="2" t="str">
        <f>IF(Table1[[#This Row],[Time]]&lt;$D$1,$C$1,IF(Table1[[#This Row],[Time]]&lt;$D$2,$C$2,$C$3))</f>
        <v>Morning</v>
      </c>
      <c r="E484">
        <f>MONTH(Table1[[#This Row],[Date]])</f>
        <v>3</v>
      </c>
      <c r="F484" t="str">
        <f>VLOOKUP(Table1[[#This Row],[Month]],dctMonth[],2,FALSE)</f>
        <v>March</v>
      </c>
      <c r="G484" t="s">
        <v>43</v>
      </c>
      <c r="H484" t="s">
        <v>44</v>
      </c>
      <c r="I484" t="s">
        <v>28</v>
      </c>
      <c r="J484" t="s">
        <v>32</v>
      </c>
      <c r="K484">
        <v>22</v>
      </c>
      <c r="L484" t="str">
        <f>IF(Table1[[#This Row],[Age]]&lt;20,"&lt;20",IF(Table1[[#This Row],[Age]]&lt;=70,"20-70","&gt;70"))</f>
        <v>20-70</v>
      </c>
      <c r="M484" t="s">
        <v>37</v>
      </c>
      <c r="N484" t="s">
        <v>24</v>
      </c>
      <c r="O484">
        <v>34.369999999999997</v>
      </c>
      <c r="P484">
        <v>10</v>
      </c>
      <c r="Q484">
        <v>17.184999999999999</v>
      </c>
      <c r="R484">
        <v>360.88499999999999</v>
      </c>
      <c r="S484">
        <v>343.7</v>
      </c>
      <c r="T484">
        <v>4.7619047620000003</v>
      </c>
      <c r="U484">
        <v>17.184999999999999</v>
      </c>
      <c r="V484">
        <v>6.7</v>
      </c>
    </row>
    <row r="485" spans="1:22" x14ac:dyDescent="0.2">
      <c r="A485" t="s">
        <v>516</v>
      </c>
      <c r="B485" s="1">
        <v>43494</v>
      </c>
      <c r="C485" s="2">
        <v>0.47638888888888886</v>
      </c>
      <c r="D485" s="2" t="str">
        <f>IF(Table1[[#This Row],[Time]]&lt;$D$1,$C$1,IF(Table1[[#This Row],[Time]]&lt;$D$2,$C$2,$C$3))</f>
        <v>Morning</v>
      </c>
      <c r="E485">
        <f>MONTH(Table1[[#This Row],[Date]])</f>
        <v>1</v>
      </c>
      <c r="F485" t="str">
        <f>VLOOKUP(Table1[[#This Row],[Month]],dctMonth[],2,FALSE)</f>
        <v>January</v>
      </c>
      <c r="G485" t="s">
        <v>19</v>
      </c>
      <c r="H485" t="s">
        <v>20</v>
      </c>
      <c r="I485" t="s">
        <v>28</v>
      </c>
      <c r="J485" t="s">
        <v>32</v>
      </c>
      <c r="K485">
        <v>57</v>
      </c>
      <c r="L485" t="str">
        <f>IF(Table1[[#This Row],[Age]]&lt;20,"&lt;20",IF(Table1[[#This Row],[Age]]&lt;=70,"20-70","&gt;70"))</f>
        <v>20-70</v>
      </c>
      <c r="M485" t="s">
        <v>29</v>
      </c>
      <c r="N485" t="s">
        <v>24</v>
      </c>
      <c r="O485">
        <v>38.6</v>
      </c>
      <c r="P485">
        <v>1</v>
      </c>
      <c r="Q485">
        <v>1.93</v>
      </c>
      <c r="R485">
        <v>40.53</v>
      </c>
      <c r="S485">
        <v>38.6</v>
      </c>
      <c r="T485">
        <v>4.7619047620000003</v>
      </c>
      <c r="U485">
        <v>1.93</v>
      </c>
      <c r="V485">
        <v>6.7</v>
      </c>
    </row>
    <row r="486" spans="1:22" x14ac:dyDescent="0.2">
      <c r="A486" t="s">
        <v>517</v>
      </c>
      <c r="B486" s="1">
        <v>43498</v>
      </c>
      <c r="C486" s="2">
        <v>0.85347222222222219</v>
      </c>
      <c r="D486" s="2" t="str">
        <f>IF(Table1[[#This Row],[Time]]&lt;$D$1,$C$1,IF(Table1[[#This Row],[Time]]&lt;$D$2,$C$2,$C$3))</f>
        <v>Evening</v>
      </c>
      <c r="E486">
        <f>MONTH(Table1[[#This Row],[Date]])</f>
        <v>2</v>
      </c>
      <c r="F486" t="str">
        <f>VLOOKUP(Table1[[#This Row],[Month]],dctMonth[],2,FALSE)</f>
        <v>February</v>
      </c>
      <c r="G486" t="s">
        <v>26</v>
      </c>
      <c r="H486" t="s">
        <v>27</v>
      </c>
      <c r="I486" t="s">
        <v>28</v>
      </c>
      <c r="J486" t="s">
        <v>32</v>
      </c>
      <c r="K486">
        <v>73</v>
      </c>
      <c r="L486" t="str">
        <f>IF(Table1[[#This Row],[Age]]&lt;20,"&lt;20",IF(Table1[[#This Row],[Age]]&lt;=70,"20-70","&gt;70"))</f>
        <v>&gt;70</v>
      </c>
      <c r="M486" t="s">
        <v>45</v>
      </c>
      <c r="N486" t="s">
        <v>30</v>
      </c>
      <c r="O486">
        <v>65.97</v>
      </c>
      <c r="P486">
        <v>8</v>
      </c>
      <c r="Q486">
        <v>26.388000000000002</v>
      </c>
      <c r="R486">
        <v>554.14800000000002</v>
      </c>
      <c r="S486">
        <v>527.76</v>
      </c>
      <c r="T486">
        <v>4.7619047620000003</v>
      </c>
      <c r="U486">
        <v>26.388000000000002</v>
      </c>
      <c r="V486">
        <v>8.4</v>
      </c>
    </row>
    <row r="487" spans="1:22" x14ac:dyDescent="0.2">
      <c r="A487" t="s">
        <v>518</v>
      </c>
      <c r="B487" s="1">
        <v>43511</v>
      </c>
      <c r="C487" s="2">
        <v>0.5083333333333333</v>
      </c>
      <c r="D487" s="2" t="str">
        <f>IF(Table1[[#This Row],[Time]]&lt;$D$1,$C$1,IF(Table1[[#This Row],[Time]]&lt;$D$2,$C$2,$C$3))</f>
        <v>Afternoon</v>
      </c>
      <c r="E487">
        <f>MONTH(Table1[[#This Row],[Date]])</f>
        <v>2</v>
      </c>
      <c r="F487" t="str">
        <f>VLOOKUP(Table1[[#This Row],[Month]],dctMonth[],2,FALSE)</f>
        <v>February</v>
      </c>
      <c r="G487" t="s">
        <v>26</v>
      </c>
      <c r="H487" t="s">
        <v>27</v>
      </c>
      <c r="I487" t="s">
        <v>28</v>
      </c>
      <c r="J487" t="s">
        <v>22</v>
      </c>
      <c r="K487">
        <v>34</v>
      </c>
      <c r="L487" t="str">
        <f>IF(Table1[[#This Row],[Age]]&lt;20,"&lt;20",IF(Table1[[#This Row],[Age]]&lt;=70,"20-70","&gt;70"))</f>
        <v>20-70</v>
      </c>
      <c r="M487" t="s">
        <v>29</v>
      </c>
      <c r="N487" t="s">
        <v>30</v>
      </c>
      <c r="O487">
        <v>32.799999999999997</v>
      </c>
      <c r="P487">
        <v>10</v>
      </c>
      <c r="Q487">
        <v>16.399999999999999</v>
      </c>
      <c r="R487">
        <v>344.4</v>
      </c>
      <c r="S487">
        <v>328</v>
      </c>
      <c r="T487">
        <v>4.7619047620000003</v>
      </c>
      <c r="U487">
        <v>16.399999999999999</v>
      </c>
      <c r="V487">
        <v>6.2</v>
      </c>
    </row>
    <row r="488" spans="1:22" x14ac:dyDescent="0.2">
      <c r="A488" t="s">
        <v>519</v>
      </c>
      <c r="B488" s="1">
        <v>43473</v>
      </c>
      <c r="C488" s="2">
        <v>0.54513888888888884</v>
      </c>
      <c r="D488" s="2" t="str">
        <f>IF(Table1[[#This Row],[Time]]&lt;$D$1,$C$1,IF(Table1[[#This Row],[Time]]&lt;$D$2,$C$2,$C$3))</f>
        <v>Afternoon</v>
      </c>
      <c r="E488">
        <f>MONTH(Table1[[#This Row],[Date]])</f>
        <v>1</v>
      </c>
      <c r="F488" t="str">
        <f>VLOOKUP(Table1[[#This Row],[Month]],dctMonth[],2,FALSE)</f>
        <v>January</v>
      </c>
      <c r="G488" t="s">
        <v>19</v>
      </c>
      <c r="H488" t="s">
        <v>20</v>
      </c>
      <c r="I488" t="s">
        <v>28</v>
      </c>
      <c r="J488" t="s">
        <v>32</v>
      </c>
      <c r="K488">
        <v>55</v>
      </c>
      <c r="L488" t="str">
        <f>IF(Table1[[#This Row],[Age]]&lt;20,"&lt;20",IF(Table1[[#This Row],[Age]]&lt;=70,"20-70","&gt;70"))</f>
        <v>20-70</v>
      </c>
      <c r="M488" t="s">
        <v>37</v>
      </c>
      <c r="N488" t="s">
        <v>24</v>
      </c>
      <c r="O488">
        <v>37.14</v>
      </c>
      <c r="P488">
        <v>5</v>
      </c>
      <c r="Q488">
        <v>9.2850000000000001</v>
      </c>
      <c r="R488">
        <v>194.98500000000001</v>
      </c>
      <c r="S488">
        <v>185.7</v>
      </c>
      <c r="T488">
        <v>4.7619047620000003</v>
      </c>
      <c r="U488">
        <v>9.2850000000000001</v>
      </c>
      <c r="V488">
        <v>5</v>
      </c>
    </row>
    <row r="489" spans="1:22" x14ac:dyDescent="0.2">
      <c r="A489" t="s">
        <v>520</v>
      </c>
      <c r="B489" s="1">
        <v>43508</v>
      </c>
      <c r="C489" s="2">
        <v>0.67986111111111114</v>
      </c>
      <c r="D489" s="2" t="str">
        <f>IF(Table1[[#This Row],[Time]]&lt;$D$1,$C$1,IF(Table1[[#This Row],[Time]]&lt;$D$2,$C$2,$C$3))</f>
        <v>Afternoon</v>
      </c>
      <c r="E489">
        <f>MONTH(Table1[[#This Row],[Date]])</f>
        <v>2</v>
      </c>
      <c r="F489" t="str">
        <f>VLOOKUP(Table1[[#This Row],[Month]],dctMonth[],2,FALSE)</f>
        <v>February</v>
      </c>
      <c r="G489" t="s">
        <v>43</v>
      </c>
      <c r="H489" t="s">
        <v>44</v>
      </c>
      <c r="I489" t="s">
        <v>21</v>
      </c>
      <c r="J489" t="s">
        <v>32</v>
      </c>
      <c r="K489">
        <v>26</v>
      </c>
      <c r="L489" t="str">
        <f>IF(Table1[[#This Row],[Age]]&lt;20,"&lt;20",IF(Table1[[#This Row],[Age]]&lt;=70,"20-70","&gt;70"))</f>
        <v>20-70</v>
      </c>
      <c r="M489" t="s">
        <v>33</v>
      </c>
      <c r="N489" t="s">
        <v>30</v>
      </c>
      <c r="O489">
        <v>60.38</v>
      </c>
      <c r="P489">
        <v>10</v>
      </c>
      <c r="Q489">
        <v>30.19</v>
      </c>
      <c r="R489">
        <v>633.99</v>
      </c>
      <c r="S489">
        <v>603.79999999999995</v>
      </c>
      <c r="T489">
        <v>4.7619047620000003</v>
      </c>
      <c r="U489">
        <v>30.19</v>
      </c>
      <c r="V489">
        <v>6</v>
      </c>
    </row>
    <row r="490" spans="1:22" x14ac:dyDescent="0.2">
      <c r="A490" t="s">
        <v>521</v>
      </c>
      <c r="B490" s="1">
        <v>43466</v>
      </c>
      <c r="C490" s="2">
        <v>0.82499999999999996</v>
      </c>
      <c r="D490" s="2" t="str">
        <f>IF(Table1[[#This Row],[Time]]&lt;$D$1,$C$1,IF(Table1[[#This Row],[Time]]&lt;$D$2,$C$2,$C$3))</f>
        <v>Evening</v>
      </c>
      <c r="E490">
        <f>MONTH(Table1[[#This Row],[Date]])</f>
        <v>1</v>
      </c>
      <c r="F490" t="str">
        <f>VLOOKUP(Table1[[#This Row],[Month]],dctMonth[],2,FALSE)</f>
        <v>January</v>
      </c>
      <c r="G490" t="s">
        <v>26</v>
      </c>
      <c r="H490" t="s">
        <v>27</v>
      </c>
      <c r="I490" t="s">
        <v>21</v>
      </c>
      <c r="J490" t="s">
        <v>22</v>
      </c>
      <c r="K490">
        <v>56</v>
      </c>
      <c r="L490" t="str">
        <f>IF(Table1[[#This Row],[Age]]&lt;20,"&lt;20",IF(Table1[[#This Row],[Age]]&lt;=70,"20-70","&gt;70"))</f>
        <v>20-70</v>
      </c>
      <c r="M490" t="s">
        <v>37</v>
      </c>
      <c r="N490" t="s">
        <v>34</v>
      </c>
      <c r="O490">
        <v>36.979999999999997</v>
      </c>
      <c r="P490">
        <v>10</v>
      </c>
      <c r="Q490">
        <v>18.489999999999998</v>
      </c>
      <c r="R490">
        <v>388.29</v>
      </c>
      <c r="S490">
        <v>369.8</v>
      </c>
      <c r="T490">
        <v>4.7619047620000003</v>
      </c>
      <c r="U490">
        <v>18.489999999999998</v>
      </c>
      <c r="V490">
        <v>7</v>
      </c>
    </row>
    <row r="491" spans="1:22" x14ac:dyDescent="0.2">
      <c r="A491" t="s">
        <v>522</v>
      </c>
      <c r="B491" s="1">
        <v>43545</v>
      </c>
      <c r="C491" s="2">
        <v>0.64236111111111116</v>
      </c>
      <c r="D491" s="2" t="str">
        <f>IF(Table1[[#This Row],[Time]]&lt;$D$1,$C$1,IF(Table1[[#This Row],[Time]]&lt;$D$2,$C$2,$C$3))</f>
        <v>Afternoon</v>
      </c>
      <c r="E491">
        <f>MONTH(Table1[[#This Row],[Date]])</f>
        <v>3</v>
      </c>
      <c r="F491" t="str">
        <f>VLOOKUP(Table1[[#This Row],[Month]],dctMonth[],2,FALSE)</f>
        <v>March</v>
      </c>
      <c r="G491" t="s">
        <v>43</v>
      </c>
      <c r="H491" t="s">
        <v>44</v>
      </c>
      <c r="I491" t="s">
        <v>21</v>
      </c>
      <c r="J491" t="s">
        <v>22</v>
      </c>
      <c r="K491">
        <v>43</v>
      </c>
      <c r="L491" t="str">
        <f>IF(Table1[[#This Row],[Age]]&lt;20,"&lt;20",IF(Table1[[#This Row],[Age]]&lt;=70,"20-70","&gt;70"))</f>
        <v>20-70</v>
      </c>
      <c r="M491" t="s">
        <v>37</v>
      </c>
      <c r="N491" t="s">
        <v>24</v>
      </c>
      <c r="O491">
        <v>49.49</v>
      </c>
      <c r="P491">
        <v>4</v>
      </c>
      <c r="Q491">
        <v>9.8979999999999997</v>
      </c>
      <c r="R491">
        <v>207.858</v>
      </c>
      <c r="S491">
        <v>197.96</v>
      </c>
      <c r="T491">
        <v>4.7619047620000003</v>
      </c>
      <c r="U491">
        <v>9.8979999999999997</v>
      </c>
      <c r="V491">
        <v>6.6</v>
      </c>
    </row>
    <row r="492" spans="1:22" x14ac:dyDescent="0.2">
      <c r="A492" t="s">
        <v>523</v>
      </c>
      <c r="B492" s="1">
        <v>43524</v>
      </c>
      <c r="C492" s="2">
        <v>0.61250000000000004</v>
      </c>
      <c r="D492" s="2" t="str">
        <f>IF(Table1[[#This Row],[Time]]&lt;$D$1,$C$1,IF(Table1[[#This Row],[Time]]&lt;$D$2,$C$2,$C$3))</f>
        <v>Afternoon</v>
      </c>
      <c r="E492">
        <f>MONTH(Table1[[#This Row],[Date]])</f>
        <v>2</v>
      </c>
      <c r="F492" t="str">
        <f>VLOOKUP(Table1[[#This Row],[Month]],dctMonth[],2,FALSE)</f>
        <v>February</v>
      </c>
      <c r="G492" t="s">
        <v>43</v>
      </c>
      <c r="H492" t="s">
        <v>44</v>
      </c>
      <c r="I492" t="s">
        <v>28</v>
      </c>
      <c r="J492" t="s">
        <v>22</v>
      </c>
      <c r="K492">
        <v>28</v>
      </c>
      <c r="L492" t="str">
        <f>IF(Table1[[#This Row],[Age]]&lt;20,"&lt;20",IF(Table1[[#This Row],[Age]]&lt;=70,"20-70","&gt;70"))</f>
        <v>20-70</v>
      </c>
      <c r="M492" t="s">
        <v>47</v>
      </c>
      <c r="N492" t="s">
        <v>30</v>
      </c>
      <c r="O492">
        <v>41.09</v>
      </c>
      <c r="P492">
        <v>10</v>
      </c>
      <c r="Q492">
        <v>20.545000000000002</v>
      </c>
      <c r="R492">
        <v>431.44499999999999</v>
      </c>
      <c r="S492">
        <v>410.9</v>
      </c>
      <c r="T492">
        <v>4.7619047620000003</v>
      </c>
      <c r="U492">
        <v>20.545000000000002</v>
      </c>
      <c r="V492">
        <v>7.3</v>
      </c>
    </row>
    <row r="493" spans="1:22" x14ac:dyDescent="0.2">
      <c r="A493" t="s">
        <v>524</v>
      </c>
      <c r="B493" s="1">
        <v>43547</v>
      </c>
      <c r="C493" s="2">
        <v>0.79097222222222219</v>
      </c>
      <c r="D493" s="2" t="str">
        <f>IF(Table1[[#This Row],[Time]]&lt;$D$1,$C$1,IF(Table1[[#This Row],[Time]]&lt;$D$2,$C$2,$C$3))</f>
        <v>Evening</v>
      </c>
      <c r="E493">
        <f>MONTH(Table1[[#This Row],[Date]])</f>
        <v>3</v>
      </c>
      <c r="F493" t="str">
        <f>VLOOKUP(Table1[[#This Row],[Month]],dctMonth[],2,FALSE)</f>
        <v>March</v>
      </c>
      <c r="G493" t="s">
        <v>19</v>
      </c>
      <c r="H493" t="s">
        <v>20</v>
      </c>
      <c r="I493" t="s">
        <v>28</v>
      </c>
      <c r="J493" t="s">
        <v>32</v>
      </c>
      <c r="K493">
        <v>61</v>
      </c>
      <c r="L493" t="str">
        <f>IF(Table1[[#This Row],[Age]]&lt;20,"&lt;20",IF(Table1[[#This Row],[Age]]&lt;=70,"20-70","&gt;70"))</f>
        <v>20-70</v>
      </c>
      <c r="M493" t="s">
        <v>47</v>
      </c>
      <c r="N493" t="s">
        <v>24</v>
      </c>
      <c r="O493">
        <v>37.15</v>
      </c>
      <c r="P493">
        <v>4</v>
      </c>
      <c r="Q493">
        <v>7.43</v>
      </c>
      <c r="R493">
        <v>156.03</v>
      </c>
      <c r="S493">
        <v>148.6</v>
      </c>
      <c r="T493">
        <v>4.7619047620000003</v>
      </c>
      <c r="U493">
        <v>7.43</v>
      </c>
      <c r="V493">
        <v>8.3000000000000007</v>
      </c>
    </row>
    <row r="494" spans="1:22" x14ac:dyDescent="0.2">
      <c r="A494" t="s">
        <v>525</v>
      </c>
      <c r="B494" s="1">
        <v>43495</v>
      </c>
      <c r="C494" s="2">
        <v>0.86597222222222225</v>
      </c>
      <c r="D494" s="2" t="str">
        <f>IF(Table1[[#This Row],[Time]]&lt;$D$1,$C$1,IF(Table1[[#This Row],[Time]]&lt;$D$2,$C$2,$C$3))</f>
        <v>Evening</v>
      </c>
      <c r="E494">
        <f>MONTH(Table1[[#This Row],[Date]])</f>
        <v>1</v>
      </c>
      <c r="F494" t="str">
        <f>VLOOKUP(Table1[[#This Row],[Month]],dctMonth[],2,FALSE)</f>
        <v>January</v>
      </c>
      <c r="G494" t="s">
        <v>26</v>
      </c>
      <c r="H494" t="s">
        <v>27</v>
      </c>
      <c r="I494" t="s">
        <v>28</v>
      </c>
      <c r="J494" t="s">
        <v>32</v>
      </c>
      <c r="K494">
        <v>35</v>
      </c>
      <c r="L494" t="str">
        <f>IF(Table1[[#This Row],[Age]]&lt;20,"&lt;20",IF(Table1[[#This Row],[Age]]&lt;=70,"20-70","&gt;70"))</f>
        <v>20-70</v>
      </c>
      <c r="M494" t="s">
        <v>33</v>
      </c>
      <c r="N494" t="s">
        <v>30</v>
      </c>
      <c r="O494">
        <v>22.96</v>
      </c>
      <c r="P494">
        <v>1</v>
      </c>
      <c r="Q494">
        <v>1.1479999999999999</v>
      </c>
      <c r="R494">
        <v>24.108000000000001</v>
      </c>
      <c r="S494">
        <v>22.96</v>
      </c>
      <c r="T494">
        <v>4.7619047620000003</v>
      </c>
      <c r="U494">
        <v>1.1479999999999999</v>
      </c>
      <c r="V494">
        <v>4.3</v>
      </c>
    </row>
    <row r="495" spans="1:22" x14ac:dyDescent="0.2">
      <c r="A495" t="s">
        <v>526</v>
      </c>
      <c r="B495" s="1">
        <v>43500</v>
      </c>
      <c r="C495" s="2">
        <v>0.55625000000000002</v>
      </c>
      <c r="D495" s="2" t="str">
        <f>IF(Table1[[#This Row],[Time]]&lt;$D$1,$C$1,IF(Table1[[#This Row],[Time]]&lt;$D$2,$C$2,$C$3))</f>
        <v>Afternoon</v>
      </c>
      <c r="E495">
        <f>MONTH(Table1[[#This Row],[Date]])</f>
        <v>2</v>
      </c>
      <c r="F495" t="str">
        <f>VLOOKUP(Table1[[#This Row],[Month]],dctMonth[],2,FALSE)</f>
        <v>February</v>
      </c>
      <c r="G495" t="s">
        <v>43</v>
      </c>
      <c r="H495" t="s">
        <v>44</v>
      </c>
      <c r="I495" t="s">
        <v>21</v>
      </c>
      <c r="J495" t="s">
        <v>22</v>
      </c>
      <c r="K495">
        <v>77</v>
      </c>
      <c r="L495" t="str">
        <f>IF(Table1[[#This Row],[Age]]&lt;20,"&lt;20",IF(Table1[[#This Row],[Age]]&lt;=70,"20-70","&gt;70"))</f>
        <v>&gt;70</v>
      </c>
      <c r="M495" t="s">
        <v>33</v>
      </c>
      <c r="N495" t="s">
        <v>24</v>
      </c>
      <c r="O495">
        <v>77.680000000000007</v>
      </c>
      <c r="P495">
        <v>9</v>
      </c>
      <c r="Q495">
        <v>34.956000000000003</v>
      </c>
      <c r="R495">
        <v>734.07600000000002</v>
      </c>
      <c r="S495">
        <v>699.12</v>
      </c>
      <c r="T495">
        <v>4.7619047620000003</v>
      </c>
      <c r="U495">
        <v>34.956000000000003</v>
      </c>
      <c r="V495">
        <v>9.8000000000000007</v>
      </c>
    </row>
    <row r="496" spans="1:22" x14ac:dyDescent="0.2">
      <c r="A496" t="s">
        <v>527</v>
      </c>
      <c r="B496" s="1">
        <v>43537</v>
      </c>
      <c r="C496" s="2">
        <v>0.82499999999999996</v>
      </c>
      <c r="D496" s="2" t="str">
        <f>IF(Table1[[#This Row],[Time]]&lt;$D$1,$C$1,IF(Table1[[#This Row],[Time]]&lt;$D$2,$C$2,$C$3))</f>
        <v>Evening</v>
      </c>
      <c r="E496">
        <f>MONTH(Table1[[#This Row],[Date]])</f>
        <v>3</v>
      </c>
      <c r="F496" t="str">
        <f>VLOOKUP(Table1[[#This Row],[Month]],dctMonth[],2,FALSE)</f>
        <v>March</v>
      </c>
      <c r="G496" t="s">
        <v>43</v>
      </c>
      <c r="H496" t="s">
        <v>44</v>
      </c>
      <c r="I496" t="s">
        <v>28</v>
      </c>
      <c r="J496" t="s">
        <v>22</v>
      </c>
      <c r="K496">
        <v>66</v>
      </c>
      <c r="L496" t="str">
        <f>IF(Table1[[#This Row],[Age]]&lt;20,"&lt;20",IF(Table1[[#This Row],[Age]]&lt;=70,"20-70","&gt;70"))</f>
        <v>20-70</v>
      </c>
      <c r="M496" t="s">
        <v>47</v>
      </c>
      <c r="N496" t="s">
        <v>24</v>
      </c>
      <c r="O496">
        <v>34.700000000000003</v>
      </c>
      <c r="P496">
        <v>2</v>
      </c>
      <c r="Q496">
        <v>3.47</v>
      </c>
      <c r="R496">
        <v>72.87</v>
      </c>
      <c r="S496">
        <v>69.400000000000006</v>
      </c>
      <c r="T496">
        <v>4.7619047620000003</v>
      </c>
      <c r="U496">
        <v>3.47</v>
      </c>
      <c r="V496">
        <v>8.1999999999999993</v>
      </c>
    </row>
    <row r="497" spans="1:22" x14ac:dyDescent="0.2">
      <c r="A497" t="s">
        <v>528</v>
      </c>
      <c r="B497" s="1">
        <v>43539</v>
      </c>
      <c r="C497" s="2">
        <v>0.76388888888888884</v>
      </c>
      <c r="D497" s="2" t="str">
        <f>IF(Table1[[#This Row],[Time]]&lt;$D$1,$C$1,IF(Table1[[#This Row],[Time]]&lt;$D$2,$C$2,$C$3))</f>
        <v>Evening</v>
      </c>
      <c r="E497">
        <f>MONTH(Table1[[#This Row],[Date]])</f>
        <v>3</v>
      </c>
      <c r="F497" t="str">
        <f>VLOOKUP(Table1[[#This Row],[Month]],dctMonth[],2,FALSE)</f>
        <v>March</v>
      </c>
      <c r="G497" t="s">
        <v>19</v>
      </c>
      <c r="H497" t="s">
        <v>20</v>
      </c>
      <c r="I497" t="s">
        <v>21</v>
      </c>
      <c r="J497" t="s">
        <v>22</v>
      </c>
      <c r="K497">
        <v>32</v>
      </c>
      <c r="L497" t="str">
        <f>IF(Table1[[#This Row],[Age]]&lt;20,"&lt;20",IF(Table1[[#This Row],[Age]]&lt;=70,"20-70","&gt;70"))</f>
        <v>20-70</v>
      </c>
      <c r="M497" t="s">
        <v>47</v>
      </c>
      <c r="N497" t="s">
        <v>34</v>
      </c>
      <c r="O497">
        <v>19.66</v>
      </c>
      <c r="P497">
        <v>10</v>
      </c>
      <c r="Q497">
        <v>9.83</v>
      </c>
      <c r="R497">
        <v>206.43</v>
      </c>
      <c r="S497">
        <v>196.6</v>
      </c>
      <c r="T497">
        <v>4.7619047620000003</v>
      </c>
      <c r="U497">
        <v>9.83</v>
      </c>
      <c r="V497">
        <v>7.2</v>
      </c>
    </row>
    <row r="498" spans="1:22" x14ac:dyDescent="0.2">
      <c r="A498" t="s">
        <v>529</v>
      </c>
      <c r="B498" s="1">
        <v>43529</v>
      </c>
      <c r="C498" s="2">
        <v>0.85</v>
      </c>
      <c r="D498" s="2" t="str">
        <f>IF(Table1[[#This Row],[Time]]&lt;$D$1,$C$1,IF(Table1[[#This Row],[Time]]&lt;$D$2,$C$2,$C$3))</f>
        <v>Evening</v>
      </c>
      <c r="E498">
        <f>MONTH(Table1[[#This Row],[Date]])</f>
        <v>3</v>
      </c>
      <c r="F498" t="str">
        <f>VLOOKUP(Table1[[#This Row],[Month]],dctMonth[],2,FALSE)</f>
        <v>March</v>
      </c>
      <c r="G498" t="s">
        <v>43</v>
      </c>
      <c r="H498" t="s">
        <v>44</v>
      </c>
      <c r="I498" t="s">
        <v>21</v>
      </c>
      <c r="J498" t="s">
        <v>22</v>
      </c>
      <c r="K498">
        <v>88</v>
      </c>
      <c r="L498" t="str">
        <f>IF(Table1[[#This Row],[Age]]&lt;20,"&lt;20",IF(Table1[[#This Row],[Age]]&lt;=70,"20-70","&gt;70"))</f>
        <v>&gt;70</v>
      </c>
      <c r="M498" t="s">
        <v>23</v>
      </c>
      <c r="N498" t="s">
        <v>24</v>
      </c>
      <c r="O498">
        <v>25.32</v>
      </c>
      <c r="P498">
        <v>8</v>
      </c>
      <c r="Q498">
        <v>10.128</v>
      </c>
      <c r="R498">
        <v>212.68799999999999</v>
      </c>
      <c r="S498">
        <v>202.56</v>
      </c>
      <c r="T498">
        <v>4.7619047620000003</v>
      </c>
      <c r="U498">
        <v>10.128</v>
      </c>
      <c r="V498">
        <v>8.6999999999999993</v>
      </c>
    </row>
    <row r="499" spans="1:22" x14ac:dyDescent="0.2">
      <c r="A499" t="s">
        <v>530</v>
      </c>
      <c r="B499" s="1">
        <v>43529</v>
      </c>
      <c r="C499" s="2">
        <v>0.57222222222222219</v>
      </c>
      <c r="D499" s="2" t="str">
        <f>IF(Table1[[#This Row],[Time]]&lt;$D$1,$C$1,IF(Table1[[#This Row],[Time]]&lt;$D$2,$C$2,$C$3))</f>
        <v>Afternoon</v>
      </c>
      <c r="E499">
        <f>MONTH(Table1[[#This Row],[Date]])</f>
        <v>3</v>
      </c>
      <c r="F499" t="str">
        <f>VLOOKUP(Table1[[#This Row],[Month]],dctMonth[],2,FALSE)</f>
        <v>March</v>
      </c>
      <c r="G499" t="s">
        <v>26</v>
      </c>
      <c r="H499" t="s">
        <v>27</v>
      </c>
      <c r="I499" t="s">
        <v>21</v>
      </c>
      <c r="J499" t="s">
        <v>22</v>
      </c>
      <c r="K499">
        <v>68</v>
      </c>
      <c r="L499" t="str">
        <f>IF(Table1[[#This Row],[Age]]&lt;20,"&lt;20",IF(Table1[[#This Row],[Age]]&lt;=70,"20-70","&gt;70"))</f>
        <v>20-70</v>
      </c>
      <c r="M499" t="s">
        <v>33</v>
      </c>
      <c r="N499" t="s">
        <v>34</v>
      </c>
      <c r="O499">
        <v>12.12</v>
      </c>
      <c r="P499">
        <v>10</v>
      </c>
      <c r="Q499">
        <v>6.06</v>
      </c>
      <c r="R499">
        <v>127.26</v>
      </c>
      <c r="S499">
        <v>121.2</v>
      </c>
      <c r="T499">
        <v>4.7619047620000003</v>
      </c>
      <c r="U499">
        <v>6.06</v>
      </c>
      <c r="V499">
        <v>8.4</v>
      </c>
    </row>
    <row r="500" spans="1:22" x14ac:dyDescent="0.2">
      <c r="A500" t="s">
        <v>531</v>
      </c>
      <c r="B500" s="1">
        <v>43522</v>
      </c>
      <c r="C500" s="2">
        <v>0.49166666666666664</v>
      </c>
      <c r="D500" s="2" t="str">
        <f>IF(Table1[[#This Row],[Time]]&lt;$D$1,$C$1,IF(Table1[[#This Row],[Time]]&lt;$D$2,$C$2,$C$3))</f>
        <v>Morning</v>
      </c>
      <c r="E500">
        <f>MONTH(Table1[[#This Row],[Date]])</f>
        <v>2</v>
      </c>
      <c r="F500" t="str">
        <f>VLOOKUP(Table1[[#This Row],[Month]],dctMonth[],2,FALSE)</f>
        <v>February</v>
      </c>
      <c r="G500" t="s">
        <v>43</v>
      </c>
      <c r="H500" t="s">
        <v>44</v>
      </c>
      <c r="I500" t="s">
        <v>28</v>
      </c>
      <c r="J500" t="s">
        <v>32</v>
      </c>
      <c r="K500">
        <v>66</v>
      </c>
      <c r="L500" t="str">
        <f>IF(Table1[[#This Row],[Age]]&lt;20,"&lt;20",IF(Table1[[#This Row],[Age]]&lt;=70,"20-70","&gt;70"))</f>
        <v>20-70</v>
      </c>
      <c r="M500" t="s">
        <v>47</v>
      </c>
      <c r="N500" t="s">
        <v>24</v>
      </c>
      <c r="O500">
        <v>99.89</v>
      </c>
      <c r="P500">
        <v>2</v>
      </c>
      <c r="Q500">
        <v>9.9890000000000008</v>
      </c>
      <c r="R500">
        <v>209.76900000000001</v>
      </c>
      <c r="S500">
        <v>199.78</v>
      </c>
      <c r="T500">
        <v>4.7619047620000003</v>
      </c>
      <c r="U500">
        <v>9.9890000000000008</v>
      </c>
      <c r="V500">
        <v>7.1</v>
      </c>
    </row>
    <row r="501" spans="1:22" x14ac:dyDescent="0.2">
      <c r="A501" t="s">
        <v>532</v>
      </c>
      <c r="B501" s="1">
        <v>43544</v>
      </c>
      <c r="C501" s="2">
        <v>0.59305555555555556</v>
      </c>
      <c r="D501" s="2" t="str">
        <f>IF(Table1[[#This Row],[Time]]&lt;$D$1,$C$1,IF(Table1[[#This Row],[Time]]&lt;$D$2,$C$2,$C$3))</f>
        <v>Afternoon</v>
      </c>
      <c r="E501">
        <f>MONTH(Table1[[#This Row],[Date]])</f>
        <v>3</v>
      </c>
      <c r="F501" t="str">
        <f>VLOOKUP(Table1[[#This Row],[Month]],dctMonth[],2,FALSE)</f>
        <v>March</v>
      </c>
      <c r="G501" t="s">
        <v>43</v>
      </c>
      <c r="H501" t="s">
        <v>44</v>
      </c>
      <c r="I501" t="s">
        <v>28</v>
      </c>
      <c r="J501" t="s">
        <v>32</v>
      </c>
      <c r="K501">
        <v>43</v>
      </c>
      <c r="L501" t="str">
        <f>IF(Table1[[#This Row],[Age]]&lt;20,"&lt;20",IF(Table1[[#This Row],[Age]]&lt;=70,"20-70","&gt;70"))</f>
        <v>20-70</v>
      </c>
      <c r="M501" t="s">
        <v>37</v>
      </c>
      <c r="N501" t="s">
        <v>30</v>
      </c>
      <c r="O501">
        <v>75.92</v>
      </c>
      <c r="P501">
        <v>8</v>
      </c>
      <c r="Q501">
        <v>30.367999999999999</v>
      </c>
      <c r="R501">
        <v>637.72799999999995</v>
      </c>
      <c r="S501">
        <v>607.36</v>
      </c>
      <c r="T501">
        <v>4.7619047620000003</v>
      </c>
      <c r="U501">
        <v>30.367999999999999</v>
      </c>
      <c r="V501">
        <v>5.5</v>
      </c>
    </row>
    <row r="502" spans="1:22" x14ac:dyDescent="0.2">
      <c r="A502" t="s">
        <v>533</v>
      </c>
      <c r="B502" s="1">
        <v>43466</v>
      </c>
      <c r="C502" s="2">
        <v>0.66041666666666665</v>
      </c>
      <c r="D502" s="2" t="str">
        <f>IF(Table1[[#This Row],[Time]]&lt;$D$1,$C$1,IF(Table1[[#This Row],[Time]]&lt;$D$2,$C$2,$C$3))</f>
        <v>Afternoon</v>
      </c>
      <c r="E502">
        <f>MONTH(Table1[[#This Row],[Date]])</f>
        <v>1</v>
      </c>
      <c r="F502" t="str">
        <f>VLOOKUP(Table1[[#This Row],[Month]],dctMonth[],2,FALSE)</f>
        <v>January</v>
      </c>
      <c r="G502" t="s">
        <v>26</v>
      </c>
      <c r="H502" t="s">
        <v>27</v>
      </c>
      <c r="I502" t="s">
        <v>28</v>
      </c>
      <c r="J502" t="s">
        <v>22</v>
      </c>
      <c r="K502">
        <v>89</v>
      </c>
      <c r="L502" t="str">
        <f>IF(Table1[[#This Row],[Age]]&lt;20,"&lt;20",IF(Table1[[#This Row],[Age]]&lt;=70,"20-70","&gt;70"))</f>
        <v>&gt;70</v>
      </c>
      <c r="M502" t="s">
        <v>29</v>
      </c>
      <c r="N502" t="s">
        <v>30</v>
      </c>
      <c r="O502">
        <v>63.22</v>
      </c>
      <c r="P502">
        <v>2</v>
      </c>
      <c r="Q502">
        <v>6.3220000000000001</v>
      </c>
      <c r="R502">
        <v>132.762</v>
      </c>
      <c r="S502">
        <v>126.44</v>
      </c>
      <c r="T502">
        <v>4.7619047620000003</v>
      </c>
      <c r="U502">
        <v>6.3220000000000001</v>
      </c>
      <c r="V502">
        <v>8.5</v>
      </c>
    </row>
    <row r="503" spans="1:22" x14ac:dyDescent="0.2">
      <c r="A503" t="s">
        <v>534</v>
      </c>
      <c r="B503" s="1">
        <v>43492</v>
      </c>
      <c r="C503" s="2">
        <v>0.47013888888888888</v>
      </c>
      <c r="D503" s="2" t="str">
        <f>IF(Table1[[#This Row],[Time]]&lt;$D$1,$C$1,IF(Table1[[#This Row],[Time]]&lt;$D$2,$C$2,$C$3))</f>
        <v>Morning</v>
      </c>
      <c r="E503">
        <f>MONTH(Table1[[#This Row],[Date]])</f>
        <v>1</v>
      </c>
      <c r="F503" t="str">
        <f>VLOOKUP(Table1[[#This Row],[Month]],dctMonth[],2,FALSE)</f>
        <v>January</v>
      </c>
      <c r="G503" t="s">
        <v>26</v>
      </c>
      <c r="H503" t="s">
        <v>27</v>
      </c>
      <c r="I503" t="s">
        <v>28</v>
      </c>
      <c r="J503" t="s">
        <v>22</v>
      </c>
      <c r="K503">
        <v>32</v>
      </c>
      <c r="L503" t="str">
        <f>IF(Table1[[#This Row],[Age]]&lt;20,"&lt;20",IF(Table1[[#This Row],[Age]]&lt;=70,"20-70","&gt;70"))</f>
        <v>20-70</v>
      </c>
      <c r="M503" t="s">
        <v>45</v>
      </c>
      <c r="N503" t="s">
        <v>30</v>
      </c>
      <c r="O503">
        <v>90.24</v>
      </c>
      <c r="P503">
        <v>6</v>
      </c>
      <c r="Q503">
        <v>27.071999999999999</v>
      </c>
      <c r="R503">
        <v>568.51199999999994</v>
      </c>
      <c r="S503">
        <v>541.44000000000005</v>
      </c>
      <c r="T503">
        <v>4.7619047620000003</v>
      </c>
      <c r="U503">
        <v>27.071999999999999</v>
      </c>
      <c r="V503">
        <v>6.2</v>
      </c>
    </row>
    <row r="504" spans="1:22" x14ac:dyDescent="0.2">
      <c r="A504" t="s">
        <v>535</v>
      </c>
      <c r="B504" s="1">
        <v>43486</v>
      </c>
      <c r="C504" s="2">
        <v>0.73333333333333328</v>
      </c>
      <c r="D504" s="2" t="str">
        <f>IF(Table1[[#This Row],[Time]]&lt;$D$1,$C$1,IF(Table1[[#This Row],[Time]]&lt;$D$2,$C$2,$C$3))</f>
        <v>Evening</v>
      </c>
      <c r="E504">
        <f>MONTH(Table1[[#This Row],[Date]])</f>
        <v>1</v>
      </c>
      <c r="F504" t="str">
        <f>VLOOKUP(Table1[[#This Row],[Month]],dctMonth[],2,FALSE)</f>
        <v>January</v>
      </c>
      <c r="G504" t="s">
        <v>43</v>
      </c>
      <c r="H504" t="s">
        <v>44</v>
      </c>
      <c r="I504" t="s">
        <v>21</v>
      </c>
      <c r="J504" t="s">
        <v>22</v>
      </c>
      <c r="K504">
        <v>37</v>
      </c>
      <c r="L504" t="str">
        <f>IF(Table1[[#This Row],[Age]]&lt;20,"&lt;20",IF(Table1[[#This Row],[Age]]&lt;=70,"20-70","&gt;70"))</f>
        <v>20-70</v>
      </c>
      <c r="M504" t="s">
        <v>37</v>
      </c>
      <c r="N504" t="s">
        <v>30</v>
      </c>
      <c r="O504">
        <v>98.13</v>
      </c>
      <c r="P504">
        <v>1</v>
      </c>
      <c r="Q504">
        <v>4.9065000000000003</v>
      </c>
      <c r="R504">
        <v>103.0365</v>
      </c>
      <c r="S504">
        <v>98.13</v>
      </c>
      <c r="T504">
        <v>4.7619047620000003</v>
      </c>
      <c r="U504">
        <v>4.9065000000000003</v>
      </c>
      <c r="V504">
        <v>8.9</v>
      </c>
    </row>
    <row r="505" spans="1:22" x14ac:dyDescent="0.2">
      <c r="A505" t="s">
        <v>536</v>
      </c>
      <c r="B505" s="1">
        <v>43498</v>
      </c>
      <c r="C505" s="2">
        <v>0.65763888888888888</v>
      </c>
      <c r="D505" s="2" t="str">
        <f>IF(Table1[[#This Row],[Time]]&lt;$D$1,$C$1,IF(Table1[[#This Row],[Time]]&lt;$D$2,$C$2,$C$3))</f>
        <v>Afternoon</v>
      </c>
      <c r="E505">
        <f>MONTH(Table1[[#This Row],[Date]])</f>
        <v>2</v>
      </c>
      <c r="F505" t="str">
        <f>VLOOKUP(Table1[[#This Row],[Month]],dctMonth[],2,FALSE)</f>
        <v>February</v>
      </c>
      <c r="G505" t="s">
        <v>19</v>
      </c>
      <c r="H505" t="s">
        <v>20</v>
      </c>
      <c r="I505" t="s">
        <v>21</v>
      </c>
      <c r="J505" t="s">
        <v>22</v>
      </c>
      <c r="K505">
        <v>48</v>
      </c>
      <c r="L505" t="str">
        <f>IF(Table1[[#This Row],[Age]]&lt;20,"&lt;20",IF(Table1[[#This Row],[Age]]&lt;=70,"20-70","&gt;70"))</f>
        <v>20-70</v>
      </c>
      <c r="M505" t="s">
        <v>37</v>
      </c>
      <c r="N505" t="s">
        <v>30</v>
      </c>
      <c r="O505">
        <v>51.52</v>
      </c>
      <c r="P505">
        <v>8</v>
      </c>
      <c r="Q505">
        <v>20.608000000000001</v>
      </c>
      <c r="R505">
        <v>432.76799999999997</v>
      </c>
      <c r="S505">
        <v>412.16</v>
      </c>
      <c r="T505">
        <v>4.7619047620000003</v>
      </c>
      <c r="U505">
        <v>20.608000000000001</v>
      </c>
      <c r="V505">
        <v>9.6</v>
      </c>
    </row>
    <row r="506" spans="1:22" x14ac:dyDescent="0.2">
      <c r="A506" t="s">
        <v>537</v>
      </c>
      <c r="B506" s="1">
        <v>43499</v>
      </c>
      <c r="C506" s="2">
        <v>0.66180555555555554</v>
      </c>
      <c r="D506" s="2" t="str">
        <f>IF(Table1[[#This Row],[Time]]&lt;$D$1,$C$1,IF(Table1[[#This Row],[Time]]&lt;$D$2,$C$2,$C$3))</f>
        <v>Afternoon</v>
      </c>
      <c r="E506">
        <f>MONTH(Table1[[#This Row],[Date]])</f>
        <v>2</v>
      </c>
      <c r="F506" t="str">
        <f>VLOOKUP(Table1[[#This Row],[Month]],dctMonth[],2,FALSE)</f>
        <v>February</v>
      </c>
      <c r="G506" t="s">
        <v>43</v>
      </c>
      <c r="H506" t="s">
        <v>44</v>
      </c>
      <c r="I506" t="s">
        <v>21</v>
      </c>
      <c r="J506" t="s">
        <v>32</v>
      </c>
      <c r="K506">
        <v>67</v>
      </c>
      <c r="L506" t="str">
        <f>IF(Table1[[#This Row],[Age]]&lt;20,"&lt;20",IF(Table1[[#This Row],[Age]]&lt;=70,"20-70","&gt;70"))</f>
        <v>20-70</v>
      </c>
      <c r="M506" t="s">
        <v>37</v>
      </c>
      <c r="N506" t="s">
        <v>34</v>
      </c>
      <c r="O506">
        <v>73.97</v>
      </c>
      <c r="P506">
        <v>1</v>
      </c>
      <c r="Q506">
        <v>3.6985000000000001</v>
      </c>
      <c r="R506">
        <v>77.668499999999995</v>
      </c>
      <c r="S506">
        <v>73.97</v>
      </c>
      <c r="T506">
        <v>4.7619047620000003</v>
      </c>
      <c r="U506">
        <v>3.6985000000000001</v>
      </c>
      <c r="V506">
        <v>5.4</v>
      </c>
    </row>
    <row r="507" spans="1:22" x14ac:dyDescent="0.2">
      <c r="A507" t="s">
        <v>538</v>
      </c>
      <c r="B507" s="1">
        <v>43470</v>
      </c>
      <c r="C507" s="2">
        <v>0.52777777777777779</v>
      </c>
      <c r="D507" s="2" t="str">
        <f>IF(Table1[[#This Row],[Time]]&lt;$D$1,$C$1,IF(Table1[[#This Row],[Time]]&lt;$D$2,$C$2,$C$3))</f>
        <v>Afternoon</v>
      </c>
      <c r="E507">
        <f>MONTH(Table1[[#This Row],[Date]])</f>
        <v>1</v>
      </c>
      <c r="F507" t="str">
        <f>VLOOKUP(Table1[[#This Row],[Month]],dctMonth[],2,FALSE)</f>
        <v>January</v>
      </c>
      <c r="G507" t="s">
        <v>26</v>
      </c>
      <c r="H507" t="s">
        <v>27</v>
      </c>
      <c r="I507" t="s">
        <v>21</v>
      </c>
      <c r="J507" t="s">
        <v>22</v>
      </c>
      <c r="K507">
        <v>41</v>
      </c>
      <c r="L507" t="str">
        <f>IF(Table1[[#This Row],[Age]]&lt;20,"&lt;20",IF(Table1[[#This Row],[Age]]&lt;=70,"20-70","&gt;70"))</f>
        <v>20-70</v>
      </c>
      <c r="M507" t="s">
        <v>47</v>
      </c>
      <c r="N507" t="s">
        <v>24</v>
      </c>
      <c r="O507">
        <v>31.9</v>
      </c>
      <c r="P507">
        <v>1</v>
      </c>
      <c r="Q507">
        <v>1.595</v>
      </c>
      <c r="R507">
        <v>33.494999999999997</v>
      </c>
      <c r="S507">
        <v>31.9</v>
      </c>
      <c r="T507">
        <v>4.7619047620000003</v>
      </c>
      <c r="U507">
        <v>1.595</v>
      </c>
      <c r="V507">
        <v>9.1</v>
      </c>
    </row>
    <row r="508" spans="1:22" x14ac:dyDescent="0.2">
      <c r="A508" t="s">
        <v>539</v>
      </c>
      <c r="B508" s="1">
        <v>43492</v>
      </c>
      <c r="C508" s="2">
        <v>0.82499999999999996</v>
      </c>
      <c r="D508" s="2" t="str">
        <f>IF(Table1[[#This Row],[Time]]&lt;$D$1,$C$1,IF(Table1[[#This Row],[Time]]&lt;$D$2,$C$2,$C$3))</f>
        <v>Evening</v>
      </c>
      <c r="E508">
        <f>MONTH(Table1[[#This Row],[Date]])</f>
        <v>1</v>
      </c>
      <c r="F508" t="str">
        <f>VLOOKUP(Table1[[#This Row],[Month]],dctMonth[],2,FALSE)</f>
        <v>January</v>
      </c>
      <c r="G508" t="s">
        <v>26</v>
      </c>
      <c r="H508" t="s">
        <v>27</v>
      </c>
      <c r="I508" t="s">
        <v>28</v>
      </c>
      <c r="J508" t="s">
        <v>32</v>
      </c>
      <c r="K508">
        <v>48</v>
      </c>
      <c r="L508" t="str">
        <f>IF(Table1[[#This Row],[Age]]&lt;20,"&lt;20",IF(Table1[[#This Row],[Age]]&lt;=70,"20-70","&gt;70"))</f>
        <v>20-70</v>
      </c>
      <c r="M508" t="s">
        <v>33</v>
      </c>
      <c r="N508" t="s">
        <v>24</v>
      </c>
      <c r="O508">
        <v>69.400000000000006</v>
      </c>
      <c r="P508">
        <v>2</v>
      </c>
      <c r="Q508">
        <v>6.94</v>
      </c>
      <c r="R508">
        <v>145.74</v>
      </c>
      <c r="S508">
        <v>138.80000000000001</v>
      </c>
      <c r="T508">
        <v>4.7619047620000003</v>
      </c>
      <c r="U508">
        <v>6.94</v>
      </c>
      <c r="V508">
        <v>9</v>
      </c>
    </row>
    <row r="509" spans="1:22" x14ac:dyDescent="0.2">
      <c r="A509" t="s">
        <v>540</v>
      </c>
      <c r="B509" s="1">
        <v>43549</v>
      </c>
      <c r="C509" s="2">
        <v>0.74513888888888891</v>
      </c>
      <c r="D509" s="2" t="str">
        <f>IF(Table1[[#This Row],[Time]]&lt;$D$1,$C$1,IF(Table1[[#This Row],[Time]]&lt;$D$2,$C$2,$C$3))</f>
        <v>Evening</v>
      </c>
      <c r="E509">
        <f>MONTH(Table1[[#This Row],[Date]])</f>
        <v>3</v>
      </c>
      <c r="F509" t="str">
        <f>VLOOKUP(Table1[[#This Row],[Month]],dctMonth[],2,FALSE)</f>
        <v>March</v>
      </c>
      <c r="G509" t="s">
        <v>43</v>
      </c>
      <c r="H509" t="s">
        <v>44</v>
      </c>
      <c r="I509" t="s">
        <v>28</v>
      </c>
      <c r="J509" t="s">
        <v>22</v>
      </c>
      <c r="K509">
        <v>42</v>
      </c>
      <c r="L509" t="str">
        <f>IF(Table1[[#This Row],[Age]]&lt;20,"&lt;20",IF(Table1[[#This Row],[Age]]&lt;=70,"20-70","&gt;70"))</f>
        <v>20-70</v>
      </c>
      <c r="M509" t="s">
        <v>37</v>
      </c>
      <c r="N509" t="s">
        <v>30</v>
      </c>
      <c r="O509">
        <v>93.31</v>
      </c>
      <c r="P509">
        <v>2</v>
      </c>
      <c r="Q509">
        <v>9.3309999999999995</v>
      </c>
      <c r="R509">
        <v>195.95099999999999</v>
      </c>
      <c r="S509">
        <v>186.62</v>
      </c>
      <c r="T509">
        <v>4.7619047620000003</v>
      </c>
      <c r="U509">
        <v>9.3309999999999995</v>
      </c>
      <c r="V509">
        <v>6.3</v>
      </c>
    </row>
    <row r="510" spans="1:22" x14ac:dyDescent="0.2">
      <c r="A510" t="s">
        <v>541</v>
      </c>
      <c r="B510" s="1">
        <v>43521</v>
      </c>
      <c r="C510" s="2">
        <v>0.69166666666666665</v>
      </c>
      <c r="D510" s="2" t="str">
        <f>IF(Table1[[#This Row],[Time]]&lt;$D$1,$C$1,IF(Table1[[#This Row],[Time]]&lt;$D$2,$C$2,$C$3))</f>
        <v>Afternoon</v>
      </c>
      <c r="E510">
        <f>MONTH(Table1[[#This Row],[Date]])</f>
        <v>2</v>
      </c>
      <c r="F510" t="str">
        <f>VLOOKUP(Table1[[#This Row],[Month]],dctMonth[],2,FALSE)</f>
        <v>February</v>
      </c>
      <c r="G510" t="s">
        <v>43</v>
      </c>
      <c r="H510" t="s">
        <v>44</v>
      </c>
      <c r="I510" t="s">
        <v>28</v>
      </c>
      <c r="J510" t="s">
        <v>32</v>
      </c>
      <c r="K510">
        <v>44</v>
      </c>
      <c r="L510" t="str">
        <f>IF(Table1[[#This Row],[Age]]&lt;20,"&lt;20",IF(Table1[[#This Row],[Age]]&lt;=70,"20-70","&gt;70"))</f>
        <v>20-70</v>
      </c>
      <c r="M510" t="s">
        <v>37</v>
      </c>
      <c r="N510" t="s">
        <v>34</v>
      </c>
      <c r="O510">
        <v>88.45</v>
      </c>
      <c r="P510">
        <v>1</v>
      </c>
      <c r="Q510">
        <v>4.4225000000000003</v>
      </c>
      <c r="R510">
        <v>92.872500000000002</v>
      </c>
      <c r="S510">
        <v>88.45</v>
      </c>
      <c r="T510">
        <v>4.7619047620000003</v>
      </c>
      <c r="U510">
        <v>4.4225000000000003</v>
      </c>
      <c r="V510">
        <v>9.5</v>
      </c>
    </row>
    <row r="511" spans="1:22" x14ac:dyDescent="0.2">
      <c r="A511" t="s">
        <v>542</v>
      </c>
      <c r="B511" s="1">
        <v>43493</v>
      </c>
      <c r="C511" s="2">
        <v>0.87083333333333335</v>
      </c>
      <c r="D511" s="2" t="str">
        <f>IF(Table1[[#This Row],[Time]]&lt;$D$1,$C$1,IF(Table1[[#This Row],[Time]]&lt;$D$2,$C$2,$C$3))</f>
        <v>Evening</v>
      </c>
      <c r="E511">
        <f>MONTH(Table1[[#This Row],[Date]])</f>
        <v>1</v>
      </c>
      <c r="F511" t="str">
        <f>VLOOKUP(Table1[[#This Row],[Month]],dctMonth[],2,FALSE)</f>
        <v>January</v>
      </c>
      <c r="G511" t="s">
        <v>19</v>
      </c>
      <c r="H511" t="s">
        <v>20</v>
      </c>
      <c r="I511" t="s">
        <v>21</v>
      </c>
      <c r="J511" t="s">
        <v>32</v>
      </c>
      <c r="K511">
        <v>47</v>
      </c>
      <c r="L511" t="str">
        <f>IF(Table1[[#This Row],[Age]]&lt;20,"&lt;20",IF(Table1[[#This Row],[Age]]&lt;=70,"20-70","&gt;70"))</f>
        <v>20-70</v>
      </c>
      <c r="M511" t="s">
        <v>29</v>
      </c>
      <c r="N511" t="s">
        <v>24</v>
      </c>
      <c r="O511">
        <v>24.18</v>
      </c>
      <c r="P511">
        <v>8</v>
      </c>
      <c r="Q511">
        <v>9.6720000000000006</v>
      </c>
      <c r="R511">
        <v>203.11199999999999</v>
      </c>
      <c r="S511">
        <v>193.44</v>
      </c>
      <c r="T511">
        <v>4.7619047620000003</v>
      </c>
      <c r="U511">
        <v>9.6720000000000006</v>
      </c>
      <c r="V511">
        <v>9.8000000000000007</v>
      </c>
    </row>
    <row r="512" spans="1:22" x14ac:dyDescent="0.2">
      <c r="A512" t="s">
        <v>543</v>
      </c>
      <c r="B512" s="1">
        <v>43473</v>
      </c>
      <c r="C512" s="2">
        <v>0.53472222222222221</v>
      </c>
      <c r="D512" s="2" t="str">
        <f>IF(Table1[[#This Row],[Time]]&lt;$D$1,$C$1,IF(Table1[[#This Row],[Time]]&lt;$D$2,$C$2,$C$3))</f>
        <v>Afternoon</v>
      </c>
      <c r="E512">
        <f>MONTH(Table1[[#This Row],[Date]])</f>
        <v>1</v>
      </c>
      <c r="F512" t="str">
        <f>VLOOKUP(Table1[[#This Row],[Month]],dctMonth[],2,FALSE)</f>
        <v>January</v>
      </c>
      <c r="G512" t="s">
        <v>43</v>
      </c>
      <c r="H512" t="s">
        <v>44</v>
      </c>
      <c r="I512" t="s">
        <v>21</v>
      </c>
      <c r="J512" t="s">
        <v>22</v>
      </c>
      <c r="K512">
        <v>43</v>
      </c>
      <c r="L512" t="str">
        <f>IF(Table1[[#This Row],[Age]]&lt;20,"&lt;20",IF(Table1[[#This Row],[Age]]&lt;=70,"20-70","&gt;70"))</f>
        <v>20-70</v>
      </c>
      <c r="M512" t="s">
        <v>37</v>
      </c>
      <c r="N512" t="s">
        <v>30</v>
      </c>
      <c r="O512">
        <v>48.5</v>
      </c>
      <c r="P512">
        <v>3</v>
      </c>
      <c r="Q512">
        <v>7.2750000000000004</v>
      </c>
      <c r="R512">
        <v>152.77500000000001</v>
      </c>
      <c r="S512">
        <v>145.5</v>
      </c>
      <c r="T512">
        <v>4.7619047620000003</v>
      </c>
      <c r="U512">
        <v>7.2750000000000004</v>
      </c>
      <c r="V512">
        <v>6.7</v>
      </c>
    </row>
    <row r="513" spans="1:22" x14ac:dyDescent="0.2">
      <c r="A513" t="s">
        <v>544</v>
      </c>
      <c r="B513" s="1">
        <v>43494</v>
      </c>
      <c r="C513" s="2">
        <v>0.45</v>
      </c>
      <c r="D513" s="2" t="str">
        <f>IF(Table1[[#This Row],[Time]]&lt;$D$1,$C$1,IF(Table1[[#This Row],[Time]]&lt;$D$2,$C$2,$C$3))</f>
        <v>Morning</v>
      </c>
      <c r="E513">
        <f>MONTH(Table1[[#This Row],[Date]])</f>
        <v>1</v>
      </c>
      <c r="F513" t="str">
        <f>VLOOKUP(Table1[[#This Row],[Month]],dctMonth[],2,FALSE)</f>
        <v>January</v>
      </c>
      <c r="G513" t="s">
        <v>43</v>
      </c>
      <c r="H513" t="s">
        <v>44</v>
      </c>
      <c r="I513" t="s">
        <v>28</v>
      </c>
      <c r="J513" t="s">
        <v>22</v>
      </c>
      <c r="K513">
        <v>30</v>
      </c>
      <c r="L513" t="str">
        <f>IF(Table1[[#This Row],[Age]]&lt;20,"&lt;20",IF(Table1[[#This Row],[Age]]&lt;=70,"20-70","&gt;70"))</f>
        <v>20-70</v>
      </c>
      <c r="M513" t="s">
        <v>45</v>
      </c>
      <c r="N513" t="s">
        <v>34</v>
      </c>
      <c r="O513">
        <v>84.05</v>
      </c>
      <c r="P513">
        <v>6</v>
      </c>
      <c r="Q513">
        <v>25.215</v>
      </c>
      <c r="R513">
        <v>529.51499999999999</v>
      </c>
      <c r="S513">
        <v>504.3</v>
      </c>
      <c r="T513">
        <v>4.7619047620000003</v>
      </c>
      <c r="U513">
        <v>25.215</v>
      </c>
      <c r="V513">
        <v>7.7</v>
      </c>
    </row>
    <row r="514" spans="1:22" x14ac:dyDescent="0.2">
      <c r="A514" t="s">
        <v>545</v>
      </c>
      <c r="B514" s="1">
        <v>43553</v>
      </c>
      <c r="C514" s="2">
        <v>0.60277777777777775</v>
      </c>
      <c r="D514" s="2" t="str">
        <f>IF(Table1[[#This Row],[Time]]&lt;$D$1,$C$1,IF(Table1[[#This Row],[Time]]&lt;$D$2,$C$2,$C$3))</f>
        <v>Afternoon</v>
      </c>
      <c r="E514">
        <f>MONTH(Table1[[#This Row],[Date]])</f>
        <v>3</v>
      </c>
      <c r="F514" t="str">
        <f>VLOOKUP(Table1[[#This Row],[Month]],dctMonth[],2,FALSE)</f>
        <v>March</v>
      </c>
      <c r="G514" t="s">
        <v>43</v>
      </c>
      <c r="H514" t="s">
        <v>44</v>
      </c>
      <c r="I514" t="s">
        <v>21</v>
      </c>
      <c r="J514" t="s">
        <v>32</v>
      </c>
      <c r="K514">
        <v>63</v>
      </c>
      <c r="L514" t="str">
        <f>IF(Table1[[#This Row],[Age]]&lt;20,"&lt;20",IF(Table1[[#This Row],[Age]]&lt;=70,"20-70","&gt;70"))</f>
        <v>20-70</v>
      </c>
      <c r="M514" t="s">
        <v>23</v>
      </c>
      <c r="N514" t="s">
        <v>30</v>
      </c>
      <c r="O514">
        <v>61.29</v>
      </c>
      <c r="P514">
        <v>5</v>
      </c>
      <c r="Q514">
        <v>15.3225</v>
      </c>
      <c r="R514">
        <v>321.77249999999998</v>
      </c>
      <c r="S514">
        <v>306.45</v>
      </c>
      <c r="T514">
        <v>4.7619047620000003</v>
      </c>
      <c r="U514">
        <v>15.3225</v>
      </c>
      <c r="V514">
        <v>7</v>
      </c>
    </row>
    <row r="515" spans="1:22" x14ac:dyDescent="0.2">
      <c r="A515" t="s">
        <v>546</v>
      </c>
      <c r="B515" s="1">
        <v>43505</v>
      </c>
      <c r="C515" s="2">
        <v>0.71875</v>
      </c>
      <c r="D515" s="2" t="str">
        <f>IF(Table1[[#This Row],[Time]]&lt;$D$1,$C$1,IF(Table1[[#This Row],[Time]]&lt;$D$2,$C$2,$C$3))</f>
        <v>Evening</v>
      </c>
      <c r="E515">
        <f>MONTH(Table1[[#This Row],[Date]])</f>
        <v>2</v>
      </c>
      <c r="F515" t="str">
        <f>VLOOKUP(Table1[[#This Row],[Month]],dctMonth[],2,FALSE)</f>
        <v>February</v>
      </c>
      <c r="G515" t="s">
        <v>26</v>
      </c>
      <c r="H515" t="s">
        <v>27</v>
      </c>
      <c r="I515" t="s">
        <v>21</v>
      </c>
      <c r="J515" t="s">
        <v>22</v>
      </c>
      <c r="K515">
        <v>35</v>
      </c>
      <c r="L515" t="str">
        <f>IF(Table1[[#This Row],[Age]]&lt;20,"&lt;20",IF(Table1[[#This Row],[Age]]&lt;=70,"20-70","&gt;70"))</f>
        <v>20-70</v>
      </c>
      <c r="M515" t="s">
        <v>33</v>
      </c>
      <c r="N515" t="s">
        <v>34</v>
      </c>
      <c r="O515">
        <v>15.95</v>
      </c>
      <c r="P515">
        <v>6</v>
      </c>
      <c r="Q515">
        <v>4.7850000000000001</v>
      </c>
      <c r="R515">
        <v>100.485</v>
      </c>
      <c r="S515">
        <v>95.7</v>
      </c>
      <c r="T515">
        <v>4.7619047620000003</v>
      </c>
      <c r="U515">
        <v>4.7850000000000001</v>
      </c>
      <c r="V515">
        <v>5.0999999999999996</v>
      </c>
    </row>
    <row r="516" spans="1:22" x14ac:dyDescent="0.2">
      <c r="A516" t="s">
        <v>547</v>
      </c>
      <c r="B516" s="1">
        <v>43481</v>
      </c>
      <c r="C516" s="2">
        <v>0.75208333333333333</v>
      </c>
      <c r="D516" s="2" t="str">
        <f>IF(Table1[[#This Row],[Time]]&lt;$D$1,$C$1,IF(Table1[[#This Row],[Time]]&lt;$D$2,$C$2,$C$3))</f>
        <v>Evening</v>
      </c>
      <c r="E516">
        <f>MONTH(Table1[[#This Row],[Date]])</f>
        <v>1</v>
      </c>
      <c r="F516" t="str">
        <f>VLOOKUP(Table1[[#This Row],[Month]],dctMonth[],2,FALSE)</f>
        <v>January</v>
      </c>
      <c r="G516" t="s">
        <v>43</v>
      </c>
      <c r="H516" t="s">
        <v>44</v>
      </c>
      <c r="I516" t="s">
        <v>21</v>
      </c>
      <c r="J516" t="s">
        <v>22</v>
      </c>
      <c r="K516">
        <v>62</v>
      </c>
      <c r="L516" t="str">
        <f>IF(Table1[[#This Row],[Age]]&lt;20,"&lt;20",IF(Table1[[#This Row],[Age]]&lt;=70,"20-70","&gt;70"))</f>
        <v>20-70</v>
      </c>
      <c r="M516" t="s">
        <v>37</v>
      </c>
      <c r="N516" t="s">
        <v>34</v>
      </c>
      <c r="O516">
        <v>90.74</v>
      </c>
      <c r="P516">
        <v>7</v>
      </c>
      <c r="Q516">
        <v>31.759</v>
      </c>
      <c r="R516">
        <v>666.93899999999996</v>
      </c>
      <c r="S516">
        <v>635.17999999999995</v>
      </c>
      <c r="T516">
        <v>4.7619047620000003</v>
      </c>
      <c r="U516">
        <v>31.759</v>
      </c>
      <c r="V516">
        <v>6.2</v>
      </c>
    </row>
    <row r="517" spans="1:22" x14ac:dyDescent="0.2">
      <c r="A517" t="s">
        <v>548</v>
      </c>
      <c r="B517" s="1">
        <v>43470</v>
      </c>
      <c r="C517" s="2">
        <v>0.72847222222222219</v>
      </c>
      <c r="D517" s="2" t="str">
        <f>IF(Table1[[#This Row],[Time]]&lt;$D$1,$C$1,IF(Table1[[#This Row],[Time]]&lt;$D$2,$C$2,$C$3))</f>
        <v>Evening</v>
      </c>
      <c r="E517">
        <f>MONTH(Table1[[#This Row],[Date]])</f>
        <v>1</v>
      </c>
      <c r="F517" t="str">
        <f>VLOOKUP(Table1[[#This Row],[Month]],dctMonth[],2,FALSE)</f>
        <v>January</v>
      </c>
      <c r="G517" t="s">
        <v>19</v>
      </c>
      <c r="H517" t="s">
        <v>20</v>
      </c>
      <c r="I517" t="s">
        <v>28</v>
      </c>
      <c r="J517" t="s">
        <v>22</v>
      </c>
      <c r="K517">
        <v>75</v>
      </c>
      <c r="L517" t="str">
        <f>IF(Table1[[#This Row],[Age]]&lt;20,"&lt;20",IF(Table1[[#This Row],[Age]]&lt;=70,"20-70","&gt;70"))</f>
        <v>&gt;70</v>
      </c>
      <c r="M517" t="s">
        <v>33</v>
      </c>
      <c r="N517" t="s">
        <v>24</v>
      </c>
      <c r="O517">
        <v>42.91</v>
      </c>
      <c r="P517">
        <v>5</v>
      </c>
      <c r="Q517">
        <v>10.727499999999999</v>
      </c>
      <c r="R517">
        <v>225.2775</v>
      </c>
      <c r="S517">
        <v>214.55</v>
      </c>
      <c r="T517">
        <v>4.7619047620000003</v>
      </c>
      <c r="U517">
        <v>10.727499999999999</v>
      </c>
      <c r="V517">
        <v>6.1</v>
      </c>
    </row>
    <row r="518" spans="1:22" x14ac:dyDescent="0.2">
      <c r="A518" t="s">
        <v>549</v>
      </c>
      <c r="B518" s="1">
        <v>43492</v>
      </c>
      <c r="C518" s="2">
        <v>0.75347222222222221</v>
      </c>
      <c r="D518" s="2" t="str">
        <f>IF(Table1[[#This Row],[Time]]&lt;$D$1,$C$1,IF(Table1[[#This Row],[Time]]&lt;$D$2,$C$2,$C$3))</f>
        <v>Evening</v>
      </c>
      <c r="E518">
        <f>MONTH(Table1[[#This Row],[Date]])</f>
        <v>1</v>
      </c>
      <c r="F518" t="str">
        <f>VLOOKUP(Table1[[#This Row],[Month]],dctMonth[],2,FALSE)</f>
        <v>January</v>
      </c>
      <c r="G518" t="s">
        <v>19</v>
      </c>
      <c r="H518" t="s">
        <v>20</v>
      </c>
      <c r="I518" t="s">
        <v>28</v>
      </c>
      <c r="J518" t="s">
        <v>22</v>
      </c>
      <c r="K518">
        <v>82</v>
      </c>
      <c r="L518" t="str">
        <f>IF(Table1[[#This Row],[Age]]&lt;20,"&lt;20",IF(Table1[[#This Row],[Age]]&lt;=70,"20-70","&gt;70"))</f>
        <v>&gt;70</v>
      </c>
      <c r="M518" t="s">
        <v>47</v>
      </c>
      <c r="N518" t="s">
        <v>24</v>
      </c>
      <c r="O518">
        <v>54.28</v>
      </c>
      <c r="P518">
        <v>7</v>
      </c>
      <c r="Q518">
        <v>18.998000000000001</v>
      </c>
      <c r="R518">
        <v>398.95800000000003</v>
      </c>
      <c r="S518">
        <v>379.96</v>
      </c>
      <c r="T518">
        <v>4.7619047620000003</v>
      </c>
      <c r="U518">
        <v>18.998000000000001</v>
      </c>
      <c r="V518">
        <v>9.3000000000000007</v>
      </c>
    </row>
    <row r="519" spans="1:22" x14ac:dyDescent="0.2">
      <c r="A519" t="s">
        <v>550</v>
      </c>
      <c r="B519" s="1">
        <v>43538</v>
      </c>
      <c r="C519" s="2">
        <v>0.50486111111111109</v>
      </c>
      <c r="D519" s="2" t="str">
        <f>IF(Table1[[#This Row],[Time]]&lt;$D$1,$C$1,IF(Table1[[#This Row],[Time]]&lt;$D$2,$C$2,$C$3))</f>
        <v>Afternoon</v>
      </c>
      <c r="E519">
        <f>MONTH(Table1[[#This Row],[Date]])</f>
        <v>3</v>
      </c>
      <c r="F519" t="str">
        <f>VLOOKUP(Table1[[#This Row],[Month]],dctMonth[],2,FALSE)</f>
        <v>March</v>
      </c>
      <c r="G519" t="s">
        <v>19</v>
      </c>
      <c r="H519" t="s">
        <v>20</v>
      </c>
      <c r="I519" t="s">
        <v>28</v>
      </c>
      <c r="J519" t="s">
        <v>32</v>
      </c>
      <c r="K519">
        <v>62</v>
      </c>
      <c r="L519" t="str">
        <f>IF(Table1[[#This Row],[Age]]&lt;20,"&lt;20",IF(Table1[[#This Row],[Age]]&lt;=70,"20-70","&gt;70"))</f>
        <v>20-70</v>
      </c>
      <c r="M519" t="s">
        <v>29</v>
      </c>
      <c r="N519" t="s">
        <v>30</v>
      </c>
      <c r="O519">
        <v>99.55</v>
      </c>
      <c r="P519">
        <v>7</v>
      </c>
      <c r="Q519">
        <v>34.842500000000001</v>
      </c>
      <c r="R519">
        <v>731.6925</v>
      </c>
      <c r="S519">
        <v>696.85</v>
      </c>
      <c r="T519">
        <v>4.7619047620000003</v>
      </c>
      <c r="U519">
        <v>34.842500000000001</v>
      </c>
      <c r="V519">
        <v>7.6</v>
      </c>
    </row>
    <row r="520" spans="1:22" x14ac:dyDescent="0.2">
      <c r="A520" t="s">
        <v>551</v>
      </c>
      <c r="B520" s="1">
        <v>43519</v>
      </c>
      <c r="C520" s="2">
        <v>0.8256944444444444</v>
      </c>
      <c r="D520" s="2" t="str">
        <f>IF(Table1[[#This Row],[Time]]&lt;$D$1,$C$1,IF(Table1[[#This Row],[Time]]&lt;$D$2,$C$2,$C$3))</f>
        <v>Evening</v>
      </c>
      <c r="E520">
        <f>MONTH(Table1[[#This Row],[Date]])</f>
        <v>2</v>
      </c>
      <c r="F520" t="str">
        <f>VLOOKUP(Table1[[#This Row],[Month]],dctMonth[],2,FALSE)</f>
        <v>February</v>
      </c>
      <c r="G520" t="s">
        <v>26</v>
      </c>
      <c r="H520" t="s">
        <v>27</v>
      </c>
      <c r="I520" t="s">
        <v>21</v>
      </c>
      <c r="J520" t="s">
        <v>32</v>
      </c>
      <c r="K520">
        <v>66</v>
      </c>
      <c r="L520" t="str">
        <f>IF(Table1[[#This Row],[Age]]&lt;20,"&lt;20",IF(Table1[[#This Row],[Age]]&lt;=70,"20-70","&gt;70"))</f>
        <v>20-70</v>
      </c>
      <c r="M520" t="s">
        <v>37</v>
      </c>
      <c r="N520" t="s">
        <v>34</v>
      </c>
      <c r="O520">
        <v>58.39</v>
      </c>
      <c r="P520">
        <v>7</v>
      </c>
      <c r="Q520">
        <v>20.436499999999999</v>
      </c>
      <c r="R520">
        <v>429.16649999999998</v>
      </c>
      <c r="S520">
        <v>408.73</v>
      </c>
      <c r="T520">
        <v>4.7619047620000003</v>
      </c>
      <c r="U520">
        <v>20.436499999999999</v>
      </c>
      <c r="V520">
        <v>8.1999999999999993</v>
      </c>
    </row>
    <row r="521" spans="1:22" x14ac:dyDescent="0.2">
      <c r="A521" t="s">
        <v>552</v>
      </c>
      <c r="B521" s="1">
        <v>43542</v>
      </c>
      <c r="C521" s="2">
        <v>0.66111111111111109</v>
      </c>
      <c r="D521" s="2" t="str">
        <f>IF(Table1[[#This Row],[Time]]&lt;$D$1,$C$1,IF(Table1[[#This Row],[Time]]&lt;$D$2,$C$2,$C$3))</f>
        <v>Afternoon</v>
      </c>
      <c r="E521">
        <f>MONTH(Table1[[#This Row],[Date]])</f>
        <v>3</v>
      </c>
      <c r="F521" t="str">
        <f>VLOOKUP(Table1[[#This Row],[Month]],dctMonth[],2,FALSE)</f>
        <v>March</v>
      </c>
      <c r="G521" t="s">
        <v>26</v>
      </c>
      <c r="H521" t="s">
        <v>27</v>
      </c>
      <c r="I521" t="s">
        <v>21</v>
      </c>
      <c r="J521" t="s">
        <v>22</v>
      </c>
      <c r="K521">
        <v>76</v>
      </c>
      <c r="L521" t="str">
        <f>IF(Table1[[#This Row],[Age]]&lt;20,"&lt;20",IF(Table1[[#This Row],[Age]]&lt;=70,"20-70","&gt;70"))</f>
        <v>&gt;70</v>
      </c>
      <c r="M521" t="s">
        <v>47</v>
      </c>
      <c r="N521" t="s">
        <v>24</v>
      </c>
      <c r="O521">
        <v>51.47</v>
      </c>
      <c r="P521">
        <v>1</v>
      </c>
      <c r="Q521">
        <v>2.5735000000000001</v>
      </c>
      <c r="R521">
        <v>54.043500000000002</v>
      </c>
      <c r="S521">
        <v>51.47</v>
      </c>
      <c r="T521">
        <v>4.7619047620000003</v>
      </c>
      <c r="U521">
        <v>2.5735000000000001</v>
      </c>
      <c r="V521">
        <v>8.5</v>
      </c>
    </row>
    <row r="522" spans="1:22" x14ac:dyDescent="0.2">
      <c r="A522" t="s">
        <v>553</v>
      </c>
      <c r="B522" s="1">
        <v>43553</v>
      </c>
      <c r="C522" s="2">
        <v>0.7</v>
      </c>
      <c r="D522" s="2" t="str">
        <f>IF(Table1[[#This Row],[Time]]&lt;$D$1,$C$1,IF(Table1[[#This Row],[Time]]&lt;$D$2,$C$2,$C$3))</f>
        <v>Afternoon</v>
      </c>
      <c r="E522">
        <f>MONTH(Table1[[#This Row],[Date]])</f>
        <v>3</v>
      </c>
      <c r="F522" t="str">
        <f>VLOOKUP(Table1[[#This Row],[Month]],dctMonth[],2,FALSE)</f>
        <v>March</v>
      </c>
      <c r="G522" t="s">
        <v>43</v>
      </c>
      <c r="H522" t="s">
        <v>44</v>
      </c>
      <c r="I522" t="s">
        <v>21</v>
      </c>
      <c r="J522" t="s">
        <v>32</v>
      </c>
      <c r="K522">
        <v>84</v>
      </c>
      <c r="L522" t="str">
        <f>IF(Table1[[#This Row],[Age]]&lt;20,"&lt;20",IF(Table1[[#This Row],[Age]]&lt;=70,"20-70","&gt;70"))</f>
        <v>&gt;70</v>
      </c>
      <c r="M522" t="s">
        <v>23</v>
      </c>
      <c r="N522" t="s">
        <v>24</v>
      </c>
      <c r="O522">
        <v>54.86</v>
      </c>
      <c r="P522">
        <v>5</v>
      </c>
      <c r="Q522">
        <v>13.715</v>
      </c>
      <c r="R522">
        <v>288.01499999999999</v>
      </c>
      <c r="S522">
        <v>274.3</v>
      </c>
      <c r="T522">
        <v>4.7619047620000003</v>
      </c>
      <c r="U522">
        <v>13.715</v>
      </c>
      <c r="V522">
        <v>9.8000000000000007</v>
      </c>
    </row>
    <row r="523" spans="1:22" x14ac:dyDescent="0.2">
      <c r="A523" t="s">
        <v>554</v>
      </c>
      <c r="B523" s="1">
        <v>43487</v>
      </c>
      <c r="C523" s="2">
        <v>0.86527777777777781</v>
      </c>
      <c r="D523" s="2" t="str">
        <f>IF(Table1[[#This Row],[Time]]&lt;$D$1,$C$1,IF(Table1[[#This Row],[Time]]&lt;$D$2,$C$2,$C$3))</f>
        <v>Evening</v>
      </c>
      <c r="E523">
        <f>MONTH(Table1[[#This Row],[Date]])</f>
        <v>1</v>
      </c>
      <c r="F523" t="str">
        <f>VLOOKUP(Table1[[#This Row],[Month]],dctMonth[],2,FALSE)</f>
        <v>January</v>
      </c>
      <c r="G523" t="s">
        <v>26</v>
      </c>
      <c r="H523" t="s">
        <v>27</v>
      </c>
      <c r="I523" t="s">
        <v>21</v>
      </c>
      <c r="J523" t="s">
        <v>32</v>
      </c>
      <c r="K523">
        <v>48</v>
      </c>
      <c r="L523" t="str">
        <f>IF(Table1[[#This Row],[Age]]&lt;20,"&lt;20",IF(Table1[[#This Row],[Age]]&lt;=70,"20-70","&gt;70"))</f>
        <v>20-70</v>
      </c>
      <c r="M523" t="s">
        <v>33</v>
      </c>
      <c r="N523" t="s">
        <v>34</v>
      </c>
      <c r="O523">
        <v>39.39</v>
      </c>
      <c r="P523">
        <v>5</v>
      </c>
      <c r="Q523">
        <v>9.8475000000000001</v>
      </c>
      <c r="R523">
        <v>206.79750000000001</v>
      </c>
      <c r="S523">
        <v>196.95</v>
      </c>
      <c r="T523">
        <v>4.7619047620000003</v>
      </c>
      <c r="U523">
        <v>9.8475000000000001</v>
      </c>
      <c r="V523">
        <v>8.6999999999999993</v>
      </c>
    </row>
    <row r="524" spans="1:22" x14ac:dyDescent="0.2">
      <c r="A524" t="s">
        <v>555</v>
      </c>
      <c r="B524" s="1">
        <v>43525</v>
      </c>
      <c r="C524" s="2">
        <v>0.75972222222222219</v>
      </c>
      <c r="D524" s="2" t="str">
        <f>IF(Table1[[#This Row],[Time]]&lt;$D$1,$C$1,IF(Table1[[#This Row],[Time]]&lt;$D$2,$C$2,$C$3))</f>
        <v>Evening</v>
      </c>
      <c r="E524">
        <f>MONTH(Table1[[#This Row],[Date]])</f>
        <v>3</v>
      </c>
      <c r="F524" t="str">
        <f>VLOOKUP(Table1[[#This Row],[Month]],dctMonth[],2,FALSE)</f>
        <v>March</v>
      </c>
      <c r="G524" t="s">
        <v>19</v>
      </c>
      <c r="H524" t="s">
        <v>20</v>
      </c>
      <c r="I524" t="s">
        <v>28</v>
      </c>
      <c r="J524" t="s">
        <v>32</v>
      </c>
      <c r="K524">
        <v>63</v>
      </c>
      <c r="L524" t="str">
        <f>IF(Table1[[#This Row],[Age]]&lt;20,"&lt;20",IF(Table1[[#This Row],[Age]]&lt;=70,"20-70","&gt;70"))</f>
        <v>20-70</v>
      </c>
      <c r="M524" t="s">
        <v>33</v>
      </c>
      <c r="N524" t="s">
        <v>24</v>
      </c>
      <c r="O524">
        <v>34.729999999999997</v>
      </c>
      <c r="P524">
        <v>2</v>
      </c>
      <c r="Q524">
        <v>3.4729999999999999</v>
      </c>
      <c r="R524">
        <v>72.933000000000007</v>
      </c>
      <c r="S524">
        <v>69.459999999999994</v>
      </c>
      <c r="T524">
        <v>4.7619047620000003</v>
      </c>
      <c r="U524">
        <v>3.4729999999999999</v>
      </c>
      <c r="V524">
        <v>9.6999999999999993</v>
      </c>
    </row>
    <row r="525" spans="1:22" x14ac:dyDescent="0.2">
      <c r="A525" t="s">
        <v>556</v>
      </c>
      <c r="B525" s="1">
        <v>43482</v>
      </c>
      <c r="C525" s="2">
        <v>0.62847222222222221</v>
      </c>
      <c r="D525" s="2" t="str">
        <f>IF(Table1[[#This Row],[Time]]&lt;$D$1,$C$1,IF(Table1[[#This Row],[Time]]&lt;$D$2,$C$2,$C$3))</f>
        <v>Afternoon</v>
      </c>
      <c r="E525">
        <f>MONTH(Table1[[#This Row],[Date]])</f>
        <v>1</v>
      </c>
      <c r="F525" t="str">
        <f>VLOOKUP(Table1[[#This Row],[Month]],dctMonth[],2,FALSE)</f>
        <v>January</v>
      </c>
      <c r="G525" t="s">
        <v>26</v>
      </c>
      <c r="H525" t="s">
        <v>27</v>
      </c>
      <c r="I525" t="s">
        <v>21</v>
      </c>
      <c r="J525" t="s">
        <v>32</v>
      </c>
      <c r="K525">
        <v>69</v>
      </c>
      <c r="L525" t="str">
        <f>IF(Table1[[#This Row],[Age]]&lt;20,"&lt;20",IF(Table1[[#This Row],[Age]]&lt;=70,"20-70","&gt;70"))</f>
        <v>20-70</v>
      </c>
      <c r="M525" t="s">
        <v>37</v>
      </c>
      <c r="N525" t="s">
        <v>34</v>
      </c>
      <c r="O525">
        <v>71.92</v>
      </c>
      <c r="P525">
        <v>5</v>
      </c>
      <c r="Q525">
        <v>17.98</v>
      </c>
      <c r="R525">
        <v>377.58</v>
      </c>
      <c r="S525">
        <v>359.6</v>
      </c>
      <c r="T525">
        <v>4.7619047620000003</v>
      </c>
      <c r="U525">
        <v>17.98</v>
      </c>
      <c r="V525">
        <v>4.3</v>
      </c>
    </row>
    <row r="526" spans="1:22" x14ac:dyDescent="0.2">
      <c r="A526" t="s">
        <v>557</v>
      </c>
      <c r="B526" s="1">
        <v>43550</v>
      </c>
      <c r="C526" s="2">
        <v>0.44027777777777777</v>
      </c>
      <c r="D526" s="2" t="str">
        <f>IF(Table1[[#This Row],[Time]]&lt;$D$1,$C$1,IF(Table1[[#This Row],[Time]]&lt;$D$2,$C$2,$C$3))</f>
        <v>Morning</v>
      </c>
      <c r="E526">
        <f>MONTH(Table1[[#This Row],[Date]])</f>
        <v>3</v>
      </c>
      <c r="F526" t="str">
        <f>VLOOKUP(Table1[[#This Row],[Month]],dctMonth[],2,FALSE)</f>
        <v>March</v>
      </c>
      <c r="G526" t="s">
        <v>43</v>
      </c>
      <c r="H526" t="s">
        <v>44</v>
      </c>
      <c r="I526" t="s">
        <v>28</v>
      </c>
      <c r="J526" t="s">
        <v>22</v>
      </c>
      <c r="K526">
        <v>82</v>
      </c>
      <c r="L526" t="str">
        <f>IF(Table1[[#This Row],[Age]]&lt;20,"&lt;20",IF(Table1[[#This Row],[Age]]&lt;=70,"20-70","&gt;70"))</f>
        <v>&gt;70</v>
      </c>
      <c r="M526" t="s">
        <v>29</v>
      </c>
      <c r="N526" t="s">
        <v>34</v>
      </c>
      <c r="O526">
        <v>45.71</v>
      </c>
      <c r="P526">
        <v>3</v>
      </c>
      <c r="Q526">
        <v>6.8564999999999996</v>
      </c>
      <c r="R526">
        <v>143.98650000000001</v>
      </c>
      <c r="S526">
        <v>137.13</v>
      </c>
      <c r="T526">
        <v>4.7619047620000003</v>
      </c>
      <c r="U526">
        <v>6.8564999999999996</v>
      </c>
      <c r="V526">
        <v>7.7</v>
      </c>
    </row>
    <row r="527" spans="1:22" x14ac:dyDescent="0.2">
      <c r="A527" t="s">
        <v>558</v>
      </c>
      <c r="B527" s="1">
        <v>43544</v>
      </c>
      <c r="C527" s="2">
        <v>0.47430555555555554</v>
      </c>
      <c r="D527" s="2" t="str">
        <f>IF(Table1[[#This Row],[Time]]&lt;$D$1,$C$1,IF(Table1[[#This Row],[Time]]&lt;$D$2,$C$2,$C$3))</f>
        <v>Morning</v>
      </c>
      <c r="E527">
        <f>MONTH(Table1[[#This Row],[Date]])</f>
        <v>3</v>
      </c>
      <c r="F527" t="str">
        <f>VLOOKUP(Table1[[#This Row],[Month]],dctMonth[],2,FALSE)</f>
        <v>March</v>
      </c>
      <c r="G527" t="s">
        <v>26</v>
      </c>
      <c r="H527" t="s">
        <v>27</v>
      </c>
      <c r="I527" t="s">
        <v>21</v>
      </c>
      <c r="J527" t="s">
        <v>22</v>
      </c>
      <c r="K527">
        <v>51</v>
      </c>
      <c r="L527" t="str">
        <f>IF(Table1[[#This Row],[Age]]&lt;20,"&lt;20",IF(Table1[[#This Row],[Age]]&lt;=70,"20-70","&gt;70"))</f>
        <v>20-70</v>
      </c>
      <c r="M527" t="s">
        <v>33</v>
      </c>
      <c r="N527" t="s">
        <v>30</v>
      </c>
      <c r="O527">
        <v>83.17</v>
      </c>
      <c r="P527">
        <v>6</v>
      </c>
      <c r="Q527">
        <v>24.951000000000001</v>
      </c>
      <c r="R527">
        <v>523.971</v>
      </c>
      <c r="S527">
        <v>499.02</v>
      </c>
      <c r="T527">
        <v>4.7619047620000003</v>
      </c>
      <c r="U527">
        <v>24.951000000000001</v>
      </c>
      <c r="V527">
        <v>7.3</v>
      </c>
    </row>
    <row r="528" spans="1:22" x14ac:dyDescent="0.2">
      <c r="A528" t="s">
        <v>559</v>
      </c>
      <c r="B528" s="1">
        <v>43502</v>
      </c>
      <c r="C528" s="2">
        <v>0.57986111111111116</v>
      </c>
      <c r="D528" s="2" t="str">
        <f>IF(Table1[[#This Row],[Time]]&lt;$D$1,$C$1,IF(Table1[[#This Row],[Time]]&lt;$D$2,$C$2,$C$3))</f>
        <v>Afternoon</v>
      </c>
      <c r="E528">
        <f>MONTH(Table1[[#This Row],[Date]])</f>
        <v>2</v>
      </c>
      <c r="F528" t="str">
        <f>VLOOKUP(Table1[[#This Row],[Month]],dctMonth[],2,FALSE)</f>
        <v>February</v>
      </c>
      <c r="G528" t="s">
        <v>19</v>
      </c>
      <c r="H528" t="s">
        <v>20</v>
      </c>
      <c r="I528" t="s">
        <v>21</v>
      </c>
      <c r="J528" t="s">
        <v>22</v>
      </c>
      <c r="K528">
        <v>60</v>
      </c>
      <c r="L528" t="str">
        <f>IF(Table1[[#This Row],[Age]]&lt;20,"&lt;20",IF(Table1[[#This Row],[Age]]&lt;=70,"20-70","&gt;70"))</f>
        <v>20-70</v>
      </c>
      <c r="M528" t="s">
        <v>33</v>
      </c>
      <c r="N528" t="s">
        <v>34</v>
      </c>
      <c r="O528">
        <v>37.44</v>
      </c>
      <c r="P528">
        <v>6</v>
      </c>
      <c r="Q528">
        <v>11.231999999999999</v>
      </c>
      <c r="R528">
        <v>235.87200000000001</v>
      </c>
      <c r="S528">
        <v>224.64</v>
      </c>
      <c r="T528">
        <v>4.7619047620000003</v>
      </c>
      <c r="U528">
        <v>11.231999999999999</v>
      </c>
      <c r="V528">
        <v>5.9</v>
      </c>
    </row>
    <row r="529" spans="1:22" x14ac:dyDescent="0.2">
      <c r="A529" t="s">
        <v>560</v>
      </c>
      <c r="B529" s="1">
        <v>43466</v>
      </c>
      <c r="C529" s="2">
        <v>0.48819444444444443</v>
      </c>
      <c r="D529" s="2" t="str">
        <f>IF(Table1[[#This Row],[Time]]&lt;$D$1,$C$1,IF(Table1[[#This Row],[Time]]&lt;$D$2,$C$2,$C$3))</f>
        <v>Morning</v>
      </c>
      <c r="E529">
        <f>MONTH(Table1[[#This Row],[Date]])</f>
        <v>1</v>
      </c>
      <c r="F529" t="str">
        <f>VLOOKUP(Table1[[#This Row],[Month]],dctMonth[],2,FALSE)</f>
        <v>January</v>
      </c>
      <c r="G529" t="s">
        <v>26</v>
      </c>
      <c r="H529" t="s">
        <v>27</v>
      </c>
      <c r="I529" t="s">
        <v>28</v>
      </c>
      <c r="J529" t="s">
        <v>32</v>
      </c>
      <c r="K529">
        <v>50</v>
      </c>
      <c r="L529" t="str">
        <f>IF(Table1[[#This Row],[Age]]&lt;20,"&lt;20",IF(Table1[[#This Row],[Age]]&lt;=70,"20-70","&gt;70"))</f>
        <v>20-70</v>
      </c>
      <c r="M529" t="s">
        <v>23</v>
      </c>
      <c r="N529" t="s">
        <v>30</v>
      </c>
      <c r="O529">
        <v>62.87</v>
      </c>
      <c r="P529">
        <v>2</v>
      </c>
      <c r="Q529">
        <v>6.2869999999999999</v>
      </c>
      <c r="R529">
        <v>132.02699999999999</v>
      </c>
      <c r="S529">
        <v>125.74</v>
      </c>
      <c r="T529">
        <v>4.7619047620000003</v>
      </c>
      <c r="U529">
        <v>6.2869999999999999</v>
      </c>
      <c r="V529">
        <v>5</v>
      </c>
    </row>
    <row r="530" spans="1:22" x14ac:dyDescent="0.2">
      <c r="A530" t="s">
        <v>561</v>
      </c>
      <c r="B530" s="1">
        <v>43492</v>
      </c>
      <c r="C530" s="2">
        <v>0.60833333333333328</v>
      </c>
      <c r="D530" s="2" t="str">
        <f>IF(Table1[[#This Row],[Time]]&lt;$D$1,$C$1,IF(Table1[[#This Row],[Time]]&lt;$D$2,$C$2,$C$3))</f>
        <v>Afternoon</v>
      </c>
      <c r="E530">
        <f>MONTH(Table1[[#This Row],[Date]])</f>
        <v>1</v>
      </c>
      <c r="F530" t="str">
        <f>VLOOKUP(Table1[[#This Row],[Month]],dctMonth[],2,FALSE)</f>
        <v>January</v>
      </c>
      <c r="G530" t="s">
        <v>19</v>
      </c>
      <c r="H530" t="s">
        <v>20</v>
      </c>
      <c r="I530" t="s">
        <v>28</v>
      </c>
      <c r="J530" t="s">
        <v>32</v>
      </c>
      <c r="K530">
        <v>74</v>
      </c>
      <c r="L530" t="str">
        <f>IF(Table1[[#This Row],[Age]]&lt;20,"&lt;20",IF(Table1[[#This Row],[Age]]&lt;=70,"20-70","&gt;70"))</f>
        <v>&gt;70</v>
      </c>
      <c r="M530" t="s">
        <v>45</v>
      </c>
      <c r="N530" t="s">
        <v>34</v>
      </c>
      <c r="O530">
        <v>81.709999999999994</v>
      </c>
      <c r="P530">
        <v>6</v>
      </c>
      <c r="Q530">
        <v>24.513000000000002</v>
      </c>
      <c r="R530">
        <v>514.77300000000002</v>
      </c>
      <c r="S530">
        <v>490.26</v>
      </c>
      <c r="T530">
        <v>4.7619047620000003</v>
      </c>
      <c r="U530">
        <v>24.513000000000002</v>
      </c>
      <c r="V530">
        <v>8</v>
      </c>
    </row>
    <row r="531" spans="1:22" x14ac:dyDescent="0.2">
      <c r="A531" t="s">
        <v>562</v>
      </c>
      <c r="B531" s="1">
        <v>43521</v>
      </c>
      <c r="C531" s="2">
        <v>0.66874999999999996</v>
      </c>
      <c r="D531" s="2" t="str">
        <f>IF(Table1[[#This Row],[Time]]&lt;$D$1,$C$1,IF(Table1[[#This Row],[Time]]&lt;$D$2,$C$2,$C$3))</f>
        <v>Afternoon</v>
      </c>
      <c r="E531">
        <f>MONTH(Table1[[#This Row],[Date]])</f>
        <v>2</v>
      </c>
      <c r="F531" t="str">
        <f>VLOOKUP(Table1[[#This Row],[Month]],dctMonth[],2,FALSE)</f>
        <v>February</v>
      </c>
      <c r="G531" t="s">
        <v>19</v>
      </c>
      <c r="H531" t="s">
        <v>20</v>
      </c>
      <c r="I531" t="s">
        <v>21</v>
      </c>
      <c r="J531" t="s">
        <v>22</v>
      </c>
      <c r="K531">
        <v>16</v>
      </c>
      <c r="L531" t="str">
        <f>IF(Table1[[#This Row],[Age]]&lt;20,"&lt;20",IF(Table1[[#This Row],[Age]]&lt;=70,"20-70","&gt;70"))</f>
        <v>&lt;20</v>
      </c>
      <c r="M531" t="s">
        <v>37</v>
      </c>
      <c r="N531" t="s">
        <v>24</v>
      </c>
      <c r="O531">
        <v>91.41</v>
      </c>
      <c r="P531">
        <v>5</v>
      </c>
      <c r="Q531">
        <v>22.852499999999999</v>
      </c>
      <c r="R531">
        <v>479.90249999999997</v>
      </c>
      <c r="S531">
        <v>457.05</v>
      </c>
      <c r="T531">
        <v>4.7619047620000003</v>
      </c>
      <c r="U531">
        <v>22.852499999999999</v>
      </c>
      <c r="V531">
        <v>7.1</v>
      </c>
    </row>
    <row r="532" spans="1:22" x14ac:dyDescent="0.2">
      <c r="A532" t="s">
        <v>563</v>
      </c>
      <c r="B532" s="1">
        <v>43481</v>
      </c>
      <c r="C532" s="2">
        <v>0.8354166666666667</v>
      </c>
      <c r="D532" s="2" t="str">
        <f>IF(Table1[[#This Row],[Time]]&lt;$D$1,$C$1,IF(Table1[[#This Row],[Time]]&lt;$D$2,$C$2,$C$3))</f>
        <v>Evening</v>
      </c>
      <c r="E532">
        <f>MONTH(Table1[[#This Row],[Date]])</f>
        <v>1</v>
      </c>
      <c r="F532" t="str">
        <f>VLOOKUP(Table1[[#This Row],[Month]],dctMonth[],2,FALSE)</f>
        <v>January</v>
      </c>
      <c r="G532" t="s">
        <v>43</v>
      </c>
      <c r="H532" t="s">
        <v>44</v>
      </c>
      <c r="I532" t="s">
        <v>28</v>
      </c>
      <c r="J532" t="s">
        <v>32</v>
      </c>
      <c r="K532">
        <v>61</v>
      </c>
      <c r="L532" t="str">
        <f>IF(Table1[[#This Row],[Age]]&lt;20,"&lt;20",IF(Table1[[#This Row],[Age]]&lt;=70,"20-70","&gt;70"))</f>
        <v>20-70</v>
      </c>
      <c r="M532" t="s">
        <v>47</v>
      </c>
      <c r="N532" t="s">
        <v>34</v>
      </c>
      <c r="O532">
        <v>39.21</v>
      </c>
      <c r="P532">
        <v>4</v>
      </c>
      <c r="Q532">
        <v>7.8419999999999996</v>
      </c>
      <c r="R532">
        <v>164.68199999999999</v>
      </c>
      <c r="S532">
        <v>156.84</v>
      </c>
      <c r="T532">
        <v>4.7619047620000003</v>
      </c>
      <c r="U532">
        <v>7.8419999999999996</v>
      </c>
      <c r="V532">
        <v>9</v>
      </c>
    </row>
    <row r="533" spans="1:22" x14ac:dyDescent="0.2">
      <c r="A533" t="s">
        <v>564</v>
      </c>
      <c r="B533" s="1">
        <v>43478</v>
      </c>
      <c r="C533" s="2">
        <v>0.62152777777777779</v>
      </c>
      <c r="D533" s="2" t="str">
        <f>IF(Table1[[#This Row],[Time]]&lt;$D$1,$C$1,IF(Table1[[#This Row],[Time]]&lt;$D$2,$C$2,$C$3))</f>
        <v>Afternoon</v>
      </c>
      <c r="E533">
        <f>MONTH(Table1[[#This Row],[Date]])</f>
        <v>1</v>
      </c>
      <c r="F533" t="str">
        <f>VLOOKUP(Table1[[#This Row],[Month]],dctMonth[],2,FALSE)</f>
        <v>January</v>
      </c>
      <c r="G533" t="s">
        <v>43</v>
      </c>
      <c r="H533" t="s">
        <v>44</v>
      </c>
      <c r="I533" t="s">
        <v>21</v>
      </c>
      <c r="J533" t="s">
        <v>32</v>
      </c>
      <c r="K533">
        <v>44</v>
      </c>
      <c r="L533" t="str">
        <f>IF(Table1[[#This Row],[Age]]&lt;20,"&lt;20",IF(Table1[[#This Row],[Age]]&lt;=70,"20-70","&gt;70"))</f>
        <v>20-70</v>
      </c>
      <c r="M533" t="s">
        <v>47</v>
      </c>
      <c r="N533" t="s">
        <v>24</v>
      </c>
      <c r="O533">
        <v>59.86</v>
      </c>
      <c r="P533">
        <v>2</v>
      </c>
      <c r="Q533">
        <v>5.9859999999999998</v>
      </c>
      <c r="R533">
        <v>125.706</v>
      </c>
      <c r="S533">
        <v>119.72</v>
      </c>
      <c r="T533">
        <v>4.7619047620000003</v>
      </c>
      <c r="U533">
        <v>5.9859999999999998</v>
      </c>
      <c r="V533">
        <v>6.7</v>
      </c>
    </row>
    <row r="534" spans="1:22" x14ac:dyDescent="0.2">
      <c r="A534" t="s">
        <v>565</v>
      </c>
      <c r="B534" s="1">
        <v>43503</v>
      </c>
      <c r="C534" s="2">
        <v>0.4777777777777778</v>
      </c>
      <c r="D534" s="2" t="str">
        <f>IF(Table1[[#This Row],[Time]]&lt;$D$1,$C$1,IF(Table1[[#This Row],[Time]]&lt;$D$2,$C$2,$C$3))</f>
        <v>Morning</v>
      </c>
      <c r="E534">
        <f>MONTH(Table1[[#This Row],[Date]])</f>
        <v>2</v>
      </c>
      <c r="F534" t="str">
        <f>VLOOKUP(Table1[[#This Row],[Month]],dctMonth[],2,FALSE)</f>
        <v>February</v>
      </c>
      <c r="G534" t="s">
        <v>43</v>
      </c>
      <c r="H534" t="s">
        <v>44</v>
      </c>
      <c r="I534" t="s">
        <v>21</v>
      </c>
      <c r="J534" t="s">
        <v>22</v>
      </c>
      <c r="K534">
        <v>47</v>
      </c>
      <c r="L534" t="str">
        <f>IF(Table1[[#This Row],[Age]]&lt;20,"&lt;20",IF(Table1[[#This Row],[Age]]&lt;=70,"20-70","&gt;70"))</f>
        <v>20-70</v>
      </c>
      <c r="M534" t="s">
        <v>45</v>
      </c>
      <c r="N534" t="s">
        <v>34</v>
      </c>
      <c r="O534">
        <v>54.36</v>
      </c>
      <c r="P534">
        <v>10</v>
      </c>
      <c r="Q534">
        <v>27.18</v>
      </c>
      <c r="R534">
        <v>570.78</v>
      </c>
      <c r="S534">
        <v>543.6</v>
      </c>
      <c r="T534">
        <v>4.7619047620000003</v>
      </c>
      <c r="U534">
        <v>27.18</v>
      </c>
      <c r="V534">
        <v>6.1</v>
      </c>
    </row>
    <row r="535" spans="1:22" x14ac:dyDescent="0.2">
      <c r="A535" t="s">
        <v>566</v>
      </c>
      <c r="B535" s="1">
        <v>43513</v>
      </c>
      <c r="C535" s="2">
        <v>0.82013888888888886</v>
      </c>
      <c r="D535" s="2" t="str">
        <f>IF(Table1[[#This Row],[Time]]&lt;$D$1,$C$1,IF(Table1[[#This Row],[Time]]&lt;$D$2,$C$2,$C$3))</f>
        <v>Evening</v>
      </c>
      <c r="E535">
        <f>MONTH(Table1[[#This Row],[Date]])</f>
        <v>2</v>
      </c>
      <c r="F535" t="str">
        <f>VLOOKUP(Table1[[#This Row],[Month]],dctMonth[],2,FALSE)</f>
        <v>February</v>
      </c>
      <c r="G535" t="s">
        <v>19</v>
      </c>
      <c r="H535" t="s">
        <v>20</v>
      </c>
      <c r="I535" t="s">
        <v>28</v>
      </c>
      <c r="J535" t="s">
        <v>32</v>
      </c>
      <c r="K535">
        <v>58</v>
      </c>
      <c r="L535" t="str">
        <f>IF(Table1[[#This Row],[Age]]&lt;20,"&lt;20",IF(Table1[[#This Row],[Age]]&lt;=70,"20-70","&gt;70"))</f>
        <v>20-70</v>
      </c>
      <c r="M535" t="s">
        <v>37</v>
      </c>
      <c r="N535" t="s">
        <v>30</v>
      </c>
      <c r="O535">
        <v>98.09</v>
      </c>
      <c r="P535">
        <v>9</v>
      </c>
      <c r="Q535">
        <v>44.140500000000003</v>
      </c>
      <c r="R535">
        <v>926.95050000000003</v>
      </c>
      <c r="S535">
        <v>882.81</v>
      </c>
      <c r="T535">
        <v>4.7619047620000003</v>
      </c>
      <c r="U535">
        <v>44.140500000000003</v>
      </c>
      <c r="V535">
        <v>9.3000000000000007</v>
      </c>
    </row>
    <row r="536" spans="1:22" x14ac:dyDescent="0.2">
      <c r="A536" t="s">
        <v>567</v>
      </c>
      <c r="B536" s="1">
        <v>43508</v>
      </c>
      <c r="C536" s="2">
        <v>0.79236111111111107</v>
      </c>
      <c r="D536" s="2" t="str">
        <f>IF(Table1[[#This Row],[Time]]&lt;$D$1,$C$1,IF(Table1[[#This Row],[Time]]&lt;$D$2,$C$2,$C$3))</f>
        <v>Evening</v>
      </c>
      <c r="E536">
        <f>MONTH(Table1[[#This Row],[Date]])</f>
        <v>2</v>
      </c>
      <c r="F536" t="str">
        <f>VLOOKUP(Table1[[#This Row],[Month]],dctMonth[],2,FALSE)</f>
        <v>February</v>
      </c>
      <c r="G536" t="s">
        <v>19</v>
      </c>
      <c r="H536" t="s">
        <v>20</v>
      </c>
      <c r="I536" t="s">
        <v>28</v>
      </c>
      <c r="J536" t="s">
        <v>32</v>
      </c>
      <c r="K536">
        <v>37</v>
      </c>
      <c r="L536" t="str">
        <f>IF(Table1[[#This Row],[Age]]&lt;20,"&lt;20",IF(Table1[[#This Row],[Age]]&lt;=70,"20-70","&gt;70"))</f>
        <v>20-70</v>
      </c>
      <c r="M536" t="s">
        <v>23</v>
      </c>
      <c r="N536" t="s">
        <v>24</v>
      </c>
      <c r="O536">
        <v>25.43</v>
      </c>
      <c r="P536">
        <v>6</v>
      </c>
      <c r="Q536">
        <v>7.6289999999999996</v>
      </c>
      <c r="R536">
        <v>160.209</v>
      </c>
      <c r="S536">
        <v>152.58000000000001</v>
      </c>
      <c r="T536">
        <v>4.7619047620000003</v>
      </c>
      <c r="U536">
        <v>7.6289999999999996</v>
      </c>
      <c r="V536">
        <v>7</v>
      </c>
    </row>
    <row r="537" spans="1:22" x14ac:dyDescent="0.2">
      <c r="A537" t="s">
        <v>568</v>
      </c>
      <c r="B537" s="1">
        <v>43489</v>
      </c>
      <c r="C537" s="2">
        <v>0.75277777777777777</v>
      </c>
      <c r="D537" s="2" t="str">
        <f>IF(Table1[[#This Row],[Time]]&lt;$D$1,$C$1,IF(Table1[[#This Row],[Time]]&lt;$D$2,$C$2,$C$3))</f>
        <v>Evening</v>
      </c>
      <c r="E537">
        <f>MONTH(Table1[[#This Row],[Date]])</f>
        <v>1</v>
      </c>
      <c r="F537" t="str">
        <f>VLOOKUP(Table1[[#This Row],[Month]],dctMonth[],2,FALSE)</f>
        <v>January</v>
      </c>
      <c r="G537" t="s">
        <v>19</v>
      </c>
      <c r="H537" t="s">
        <v>20</v>
      </c>
      <c r="I537" t="s">
        <v>21</v>
      </c>
      <c r="J537" t="s">
        <v>32</v>
      </c>
      <c r="K537">
        <v>31</v>
      </c>
      <c r="L537" t="str">
        <f>IF(Table1[[#This Row],[Age]]&lt;20,"&lt;20",IF(Table1[[#This Row],[Age]]&lt;=70,"20-70","&gt;70"))</f>
        <v>20-70</v>
      </c>
      <c r="M537" t="s">
        <v>47</v>
      </c>
      <c r="N537" t="s">
        <v>34</v>
      </c>
      <c r="O537">
        <v>86.68</v>
      </c>
      <c r="P537">
        <v>8</v>
      </c>
      <c r="Q537">
        <v>34.671999999999997</v>
      </c>
      <c r="R537">
        <v>728.11199999999997</v>
      </c>
      <c r="S537">
        <v>693.44</v>
      </c>
      <c r="T537">
        <v>4.7619047620000003</v>
      </c>
      <c r="U537">
        <v>34.671999999999997</v>
      </c>
      <c r="V537">
        <v>7.2</v>
      </c>
    </row>
    <row r="538" spans="1:22" x14ac:dyDescent="0.2">
      <c r="A538" t="s">
        <v>569</v>
      </c>
      <c r="B538" s="1">
        <v>43502</v>
      </c>
      <c r="C538" s="2">
        <v>0.80555555555555558</v>
      </c>
      <c r="D538" s="2" t="str">
        <f>IF(Table1[[#This Row],[Time]]&lt;$D$1,$C$1,IF(Table1[[#This Row],[Time]]&lt;$D$2,$C$2,$C$3))</f>
        <v>Evening</v>
      </c>
      <c r="E538">
        <f>MONTH(Table1[[#This Row],[Date]])</f>
        <v>2</v>
      </c>
      <c r="F538" t="str">
        <f>VLOOKUP(Table1[[#This Row],[Month]],dctMonth[],2,FALSE)</f>
        <v>February</v>
      </c>
      <c r="G538" t="s">
        <v>43</v>
      </c>
      <c r="H538" t="s">
        <v>44</v>
      </c>
      <c r="I538" t="s">
        <v>28</v>
      </c>
      <c r="J538" t="s">
        <v>32</v>
      </c>
      <c r="K538">
        <v>21</v>
      </c>
      <c r="L538" t="str">
        <f>IF(Table1[[#This Row],[Age]]&lt;20,"&lt;20",IF(Table1[[#This Row],[Age]]&lt;=70,"20-70","&gt;70"))</f>
        <v>20-70</v>
      </c>
      <c r="M538" t="s">
        <v>29</v>
      </c>
      <c r="N538" t="s">
        <v>24</v>
      </c>
      <c r="O538">
        <v>22.95</v>
      </c>
      <c r="P538">
        <v>10</v>
      </c>
      <c r="Q538">
        <v>11.475</v>
      </c>
      <c r="R538">
        <v>240.97499999999999</v>
      </c>
      <c r="S538">
        <v>229.5</v>
      </c>
      <c r="T538">
        <v>4.7619047620000003</v>
      </c>
      <c r="U538">
        <v>11.475</v>
      </c>
      <c r="V538">
        <v>8.1999999999999993</v>
      </c>
    </row>
    <row r="539" spans="1:22" x14ac:dyDescent="0.2">
      <c r="A539" t="s">
        <v>570</v>
      </c>
      <c r="B539" s="1">
        <v>43550</v>
      </c>
      <c r="C539" s="2">
        <v>0.43819444444444444</v>
      </c>
      <c r="D539" s="2" t="str">
        <f>IF(Table1[[#This Row],[Time]]&lt;$D$1,$C$1,IF(Table1[[#This Row],[Time]]&lt;$D$2,$C$2,$C$3))</f>
        <v>Morning</v>
      </c>
      <c r="E539">
        <f>MONTH(Table1[[#This Row],[Date]])</f>
        <v>3</v>
      </c>
      <c r="F539" t="str">
        <f>VLOOKUP(Table1[[#This Row],[Month]],dctMonth[],2,FALSE)</f>
        <v>March</v>
      </c>
      <c r="G539" t="s">
        <v>26</v>
      </c>
      <c r="H539" t="s">
        <v>27</v>
      </c>
      <c r="I539" t="s">
        <v>28</v>
      </c>
      <c r="J539" t="s">
        <v>22</v>
      </c>
      <c r="K539">
        <v>36</v>
      </c>
      <c r="L539" t="str">
        <f>IF(Table1[[#This Row],[Age]]&lt;20,"&lt;20",IF(Table1[[#This Row],[Age]]&lt;=70,"20-70","&gt;70"))</f>
        <v>20-70</v>
      </c>
      <c r="M539" t="s">
        <v>45</v>
      </c>
      <c r="N539" t="s">
        <v>24</v>
      </c>
      <c r="O539">
        <v>16.309999999999999</v>
      </c>
      <c r="P539">
        <v>9</v>
      </c>
      <c r="Q539">
        <v>7.3395000000000001</v>
      </c>
      <c r="R539">
        <v>154.12950000000001</v>
      </c>
      <c r="S539">
        <v>146.79</v>
      </c>
      <c r="T539">
        <v>4.7619047620000003</v>
      </c>
      <c r="U539">
        <v>7.3395000000000001</v>
      </c>
      <c r="V539">
        <v>8.4</v>
      </c>
    </row>
    <row r="540" spans="1:22" x14ac:dyDescent="0.2">
      <c r="A540" t="s">
        <v>571</v>
      </c>
      <c r="B540" s="1">
        <v>43535</v>
      </c>
      <c r="C540" s="2">
        <v>0.56111111111111112</v>
      </c>
      <c r="D540" s="2" t="str">
        <f>IF(Table1[[#This Row],[Time]]&lt;$D$1,$C$1,IF(Table1[[#This Row],[Time]]&lt;$D$2,$C$2,$C$3))</f>
        <v>Afternoon</v>
      </c>
      <c r="E540">
        <f>MONTH(Table1[[#This Row],[Date]])</f>
        <v>3</v>
      </c>
      <c r="F540" t="str">
        <f>VLOOKUP(Table1[[#This Row],[Month]],dctMonth[],2,FALSE)</f>
        <v>March</v>
      </c>
      <c r="G540" t="s">
        <v>19</v>
      </c>
      <c r="H540" t="s">
        <v>20</v>
      </c>
      <c r="I540" t="s">
        <v>28</v>
      </c>
      <c r="J540" t="s">
        <v>22</v>
      </c>
      <c r="K540">
        <v>40</v>
      </c>
      <c r="L540" t="str">
        <f>IF(Table1[[#This Row],[Age]]&lt;20,"&lt;20",IF(Table1[[#This Row],[Age]]&lt;=70,"20-70","&gt;70"))</f>
        <v>20-70</v>
      </c>
      <c r="M540" t="s">
        <v>33</v>
      </c>
      <c r="N540" t="s">
        <v>24</v>
      </c>
      <c r="O540">
        <v>28.32</v>
      </c>
      <c r="P540">
        <v>5</v>
      </c>
      <c r="Q540">
        <v>7.08</v>
      </c>
      <c r="R540">
        <v>148.68</v>
      </c>
      <c r="S540">
        <v>141.6</v>
      </c>
      <c r="T540">
        <v>4.7619047620000003</v>
      </c>
      <c r="U540">
        <v>7.08</v>
      </c>
      <c r="V540">
        <v>6.2</v>
      </c>
    </row>
    <row r="541" spans="1:22" x14ac:dyDescent="0.2">
      <c r="A541" t="s">
        <v>572</v>
      </c>
      <c r="B541" s="1">
        <v>43503</v>
      </c>
      <c r="C541" s="2">
        <v>0.48333333333333334</v>
      </c>
      <c r="D541" s="2" t="str">
        <f>IF(Table1[[#This Row],[Time]]&lt;$D$1,$C$1,IF(Table1[[#This Row],[Time]]&lt;$D$2,$C$2,$C$3))</f>
        <v>Morning</v>
      </c>
      <c r="E541">
        <f>MONTH(Table1[[#This Row],[Date]])</f>
        <v>2</v>
      </c>
      <c r="F541" t="str">
        <f>VLOOKUP(Table1[[#This Row],[Month]],dctMonth[],2,FALSE)</f>
        <v>February</v>
      </c>
      <c r="G541" t="s">
        <v>26</v>
      </c>
      <c r="H541" t="s">
        <v>27</v>
      </c>
      <c r="I541" t="s">
        <v>28</v>
      </c>
      <c r="J541" t="s">
        <v>32</v>
      </c>
      <c r="K541">
        <v>81</v>
      </c>
      <c r="L541" t="str">
        <f>IF(Table1[[#This Row],[Age]]&lt;20,"&lt;20",IF(Table1[[#This Row],[Age]]&lt;=70,"20-70","&gt;70"))</f>
        <v>&gt;70</v>
      </c>
      <c r="M541" t="s">
        <v>33</v>
      </c>
      <c r="N541" t="s">
        <v>24</v>
      </c>
      <c r="O541">
        <v>16.670000000000002</v>
      </c>
      <c r="P541">
        <v>7</v>
      </c>
      <c r="Q541">
        <v>5.8345000000000002</v>
      </c>
      <c r="R541">
        <v>122.5245</v>
      </c>
      <c r="S541">
        <v>116.69</v>
      </c>
      <c r="T541">
        <v>4.7619047620000003</v>
      </c>
      <c r="U541">
        <v>5.8345000000000002</v>
      </c>
      <c r="V541">
        <v>7.4</v>
      </c>
    </row>
    <row r="542" spans="1:22" x14ac:dyDescent="0.2">
      <c r="A542" t="s">
        <v>573</v>
      </c>
      <c r="B542" s="1">
        <v>43470</v>
      </c>
      <c r="C542" s="2">
        <v>0.48055555555555557</v>
      </c>
      <c r="D542" s="2" t="str">
        <f>IF(Table1[[#This Row],[Time]]&lt;$D$1,$C$1,IF(Table1[[#This Row],[Time]]&lt;$D$2,$C$2,$C$3))</f>
        <v>Morning</v>
      </c>
      <c r="E542">
        <f>MONTH(Table1[[#This Row],[Date]])</f>
        <v>1</v>
      </c>
      <c r="F542" t="str">
        <f>VLOOKUP(Table1[[#This Row],[Month]],dctMonth[],2,FALSE)</f>
        <v>January</v>
      </c>
      <c r="G542" t="s">
        <v>43</v>
      </c>
      <c r="H542" t="s">
        <v>44</v>
      </c>
      <c r="I542" t="s">
        <v>21</v>
      </c>
      <c r="J542" t="s">
        <v>22</v>
      </c>
      <c r="K542">
        <v>74</v>
      </c>
      <c r="L542" t="str">
        <f>IF(Table1[[#This Row],[Age]]&lt;20,"&lt;20",IF(Table1[[#This Row],[Age]]&lt;=70,"20-70","&gt;70"))</f>
        <v>&gt;70</v>
      </c>
      <c r="M542" t="s">
        <v>47</v>
      </c>
      <c r="N542" t="s">
        <v>34</v>
      </c>
      <c r="O542">
        <v>73.959999999999994</v>
      </c>
      <c r="P542">
        <v>1</v>
      </c>
      <c r="Q542">
        <v>3.698</v>
      </c>
      <c r="R542">
        <v>77.658000000000001</v>
      </c>
      <c r="S542">
        <v>73.959999999999994</v>
      </c>
      <c r="T542">
        <v>4.7619047620000003</v>
      </c>
      <c r="U542">
        <v>3.698</v>
      </c>
      <c r="V542">
        <v>5</v>
      </c>
    </row>
    <row r="543" spans="1:22" x14ac:dyDescent="0.2">
      <c r="A543" t="s">
        <v>574</v>
      </c>
      <c r="B543" s="1">
        <v>43531</v>
      </c>
      <c r="C543" s="2">
        <v>0.48888888888888887</v>
      </c>
      <c r="D543" s="2" t="str">
        <f>IF(Table1[[#This Row],[Time]]&lt;$D$1,$C$1,IF(Table1[[#This Row],[Time]]&lt;$D$2,$C$2,$C$3))</f>
        <v>Morning</v>
      </c>
      <c r="E543">
        <f>MONTH(Table1[[#This Row],[Date]])</f>
        <v>3</v>
      </c>
      <c r="F543" t="str">
        <f>VLOOKUP(Table1[[#This Row],[Month]],dctMonth[],2,FALSE)</f>
        <v>March</v>
      </c>
      <c r="G543" t="s">
        <v>19</v>
      </c>
      <c r="H543" t="s">
        <v>20</v>
      </c>
      <c r="I543" t="s">
        <v>28</v>
      </c>
      <c r="J543" t="s">
        <v>32</v>
      </c>
      <c r="K543">
        <v>61</v>
      </c>
      <c r="L543" t="str">
        <f>IF(Table1[[#This Row],[Age]]&lt;20,"&lt;20",IF(Table1[[#This Row],[Age]]&lt;=70,"20-70","&gt;70"))</f>
        <v>20-70</v>
      </c>
      <c r="M543" t="s">
        <v>33</v>
      </c>
      <c r="N543" t="s">
        <v>24</v>
      </c>
      <c r="O543">
        <v>97.94</v>
      </c>
      <c r="P543">
        <v>1</v>
      </c>
      <c r="Q543">
        <v>4.8970000000000002</v>
      </c>
      <c r="R543">
        <v>102.837</v>
      </c>
      <c r="S543">
        <v>97.94</v>
      </c>
      <c r="T543">
        <v>4.7619047620000003</v>
      </c>
      <c r="U543">
        <v>4.8970000000000002</v>
      </c>
      <c r="V543">
        <v>6.9</v>
      </c>
    </row>
    <row r="544" spans="1:22" x14ac:dyDescent="0.2">
      <c r="A544" t="s">
        <v>575</v>
      </c>
      <c r="B544" s="1">
        <v>43521</v>
      </c>
      <c r="C544" s="2">
        <v>0.71944444444444444</v>
      </c>
      <c r="D544" s="2" t="str">
        <f>IF(Table1[[#This Row],[Time]]&lt;$D$1,$C$1,IF(Table1[[#This Row],[Time]]&lt;$D$2,$C$2,$C$3))</f>
        <v>Evening</v>
      </c>
      <c r="E544">
        <f>MONTH(Table1[[#This Row],[Date]])</f>
        <v>2</v>
      </c>
      <c r="F544" t="str">
        <f>VLOOKUP(Table1[[#This Row],[Month]],dctMonth[],2,FALSE)</f>
        <v>February</v>
      </c>
      <c r="G544" t="s">
        <v>19</v>
      </c>
      <c r="H544" t="s">
        <v>20</v>
      </c>
      <c r="I544" t="s">
        <v>28</v>
      </c>
      <c r="J544" t="s">
        <v>22</v>
      </c>
      <c r="K544">
        <v>16</v>
      </c>
      <c r="L544" t="str">
        <f>IF(Table1[[#This Row],[Age]]&lt;20,"&lt;20",IF(Table1[[#This Row],[Age]]&lt;=70,"20-70","&gt;70"))</f>
        <v>&lt;20</v>
      </c>
      <c r="M544" t="s">
        <v>47</v>
      </c>
      <c r="N544" t="s">
        <v>34</v>
      </c>
      <c r="O544">
        <v>73.05</v>
      </c>
      <c r="P544">
        <v>4</v>
      </c>
      <c r="Q544">
        <v>14.61</v>
      </c>
      <c r="R544">
        <v>306.81</v>
      </c>
      <c r="S544">
        <v>292.2</v>
      </c>
      <c r="T544">
        <v>4.7619047620000003</v>
      </c>
      <c r="U544">
        <v>14.61</v>
      </c>
      <c r="V544">
        <v>4.9000000000000004</v>
      </c>
    </row>
    <row r="545" spans="1:22" x14ac:dyDescent="0.2">
      <c r="A545" t="s">
        <v>576</v>
      </c>
      <c r="B545" s="1">
        <v>43497</v>
      </c>
      <c r="C545" s="2">
        <v>0.77986111111111112</v>
      </c>
      <c r="D545" s="2" t="str">
        <f>IF(Table1[[#This Row],[Time]]&lt;$D$1,$C$1,IF(Table1[[#This Row],[Time]]&lt;$D$2,$C$2,$C$3))</f>
        <v>Evening</v>
      </c>
      <c r="E545">
        <f>MONTH(Table1[[#This Row],[Date]])</f>
        <v>2</v>
      </c>
      <c r="F545" t="str">
        <f>VLOOKUP(Table1[[#This Row],[Month]],dctMonth[],2,FALSE)</f>
        <v>February</v>
      </c>
      <c r="G545" t="s">
        <v>26</v>
      </c>
      <c r="H545" t="s">
        <v>27</v>
      </c>
      <c r="I545" t="s">
        <v>21</v>
      </c>
      <c r="J545" t="s">
        <v>22</v>
      </c>
      <c r="K545">
        <v>88</v>
      </c>
      <c r="L545" t="str">
        <f>IF(Table1[[#This Row],[Age]]&lt;20,"&lt;20",IF(Table1[[#This Row],[Age]]&lt;=70,"20-70","&gt;70"))</f>
        <v>&gt;70</v>
      </c>
      <c r="M545" t="s">
        <v>45</v>
      </c>
      <c r="N545" t="s">
        <v>24</v>
      </c>
      <c r="O545">
        <v>87.48</v>
      </c>
      <c r="P545">
        <v>6</v>
      </c>
      <c r="Q545">
        <v>26.244</v>
      </c>
      <c r="R545">
        <v>551.12400000000002</v>
      </c>
      <c r="S545">
        <v>524.88</v>
      </c>
      <c r="T545">
        <v>4.7619047620000003</v>
      </c>
      <c r="U545">
        <v>26.244</v>
      </c>
      <c r="V545">
        <v>5.0999999999999996</v>
      </c>
    </row>
    <row r="546" spans="1:22" x14ac:dyDescent="0.2">
      <c r="A546" t="s">
        <v>577</v>
      </c>
      <c r="B546" s="1">
        <v>43487</v>
      </c>
      <c r="C546" s="2">
        <v>0.45833333333333331</v>
      </c>
      <c r="D546" s="2" t="str">
        <f>IF(Table1[[#This Row],[Time]]&lt;$D$1,$C$1,IF(Table1[[#This Row],[Time]]&lt;$D$2,$C$2,$C$3))</f>
        <v>Morning</v>
      </c>
      <c r="E546">
        <f>MONTH(Table1[[#This Row],[Date]])</f>
        <v>1</v>
      </c>
      <c r="F546" t="str">
        <f>VLOOKUP(Table1[[#This Row],[Month]],dctMonth[],2,FALSE)</f>
        <v>January</v>
      </c>
      <c r="G546" t="s">
        <v>19</v>
      </c>
      <c r="H546" t="s">
        <v>20</v>
      </c>
      <c r="I546" t="s">
        <v>28</v>
      </c>
      <c r="J546" t="s">
        <v>32</v>
      </c>
      <c r="K546">
        <v>67</v>
      </c>
      <c r="L546" t="str">
        <f>IF(Table1[[#This Row],[Age]]&lt;20,"&lt;20",IF(Table1[[#This Row],[Age]]&lt;=70,"20-70","&gt;70"))</f>
        <v>20-70</v>
      </c>
      <c r="M546" t="s">
        <v>33</v>
      </c>
      <c r="N546" t="s">
        <v>24</v>
      </c>
      <c r="O546">
        <v>30.68</v>
      </c>
      <c r="P546">
        <v>3</v>
      </c>
      <c r="Q546">
        <v>4.6020000000000003</v>
      </c>
      <c r="R546">
        <v>96.641999999999996</v>
      </c>
      <c r="S546">
        <v>92.04</v>
      </c>
      <c r="T546">
        <v>4.7619047620000003</v>
      </c>
      <c r="U546">
        <v>4.6020000000000003</v>
      </c>
      <c r="V546">
        <v>9.1</v>
      </c>
    </row>
    <row r="547" spans="1:22" x14ac:dyDescent="0.2">
      <c r="A547" t="s">
        <v>578</v>
      </c>
      <c r="B547" s="1">
        <v>43468</v>
      </c>
      <c r="C547" s="2">
        <v>0.4375</v>
      </c>
      <c r="D547" s="2" t="str">
        <f>IF(Table1[[#This Row],[Time]]&lt;$D$1,$C$1,IF(Table1[[#This Row],[Time]]&lt;$D$2,$C$2,$C$3))</f>
        <v>Morning</v>
      </c>
      <c r="E547">
        <f>MONTH(Table1[[#This Row],[Date]])</f>
        <v>1</v>
      </c>
      <c r="F547" t="str">
        <f>VLOOKUP(Table1[[#This Row],[Month]],dctMonth[],2,FALSE)</f>
        <v>January</v>
      </c>
      <c r="G547" t="s">
        <v>26</v>
      </c>
      <c r="H547" t="s">
        <v>27</v>
      </c>
      <c r="I547" t="s">
        <v>21</v>
      </c>
      <c r="J547" t="s">
        <v>32</v>
      </c>
      <c r="K547">
        <v>18</v>
      </c>
      <c r="L547" t="str">
        <f>IF(Table1[[#This Row],[Age]]&lt;20,"&lt;20",IF(Table1[[#This Row],[Age]]&lt;=70,"20-70","&gt;70"))</f>
        <v>&lt;20</v>
      </c>
      <c r="M547" t="s">
        <v>23</v>
      </c>
      <c r="N547" t="s">
        <v>34</v>
      </c>
      <c r="O547">
        <v>75.88</v>
      </c>
      <c r="P547">
        <v>1</v>
      </c>
      <c r="Q547">
        <v>3.794</v>
      </c>
      <c r="R547">
        <v>79.674000000000007</v>
      </c>
      <c r="S547">
        <v>75.88</v>
      </c>
      <c r="T547">
        <v>4.7619047620000003</v>
      </c>
      <c r="U547">
        <v>3.794</v>
      </c>
      <c r="V547">
        <v>7.1</v>
      </c>
    </row>
    <row r="548" spans="1:22" x14ac:dyDescent="0.2">
      <c r="A548" t="s">
        <v>579</v>
      </c>
      <c r="B548" s="1">
        <v>43509</v>
      </c>
      <c r="C548" s="2">
        <v>0.50972222222222219</v>
      </c>
      <c r="D548" s="2" t="str">
        <f>IF(Table1[[#This Row],[Time]]&lt;$D$1,$C$1,IF(Table1[[#This Row],[Time]]&lt;$D$2,$C$2,$C$3))</f>
        <v>Afternoon</v>
      </c>
      <c r="E548">
        <f>MONTH(Table1[[#This Row],[Date]])</f>
        <v>2</v>
      </c>
      <c r="F548" t="str">
        <f>VLOOKUP(Table1[[#This Row],[Month]],dctMonth[],2,FALSE)</f>
        <v>February</v>
      </c>
      <c r="G548" t="s">
        <v>43</v>
      </c>
      <c r="H548" t="s">
        <v>44</v>
      </c>
      <c r="I548" t="s">
        <v>21</v>
      </c>
      <c r="J548" t="s">
        <v>22</v>
      </c>
      <c r="K548">
        <v>74</v>
      </c>
      <c r="L548" t="str">
        <f>IF(Table1[[#This Row],[Age]]&lt;20,"&lt;20",IF(Table1[[#This Row],[Age]]&lt;=70,"20-70","&gt;70"))</f>
        <v>&gt;70</v>
      </c>
      <c r="M548" t="s">
        <v>37</v>
      </c>
      <c r="N548" t="s">
        <v>34</v>
      </c>
      <c r="O548">
        <v>20.18</v>
      </c>
      <c r="P548">
        <v>4</v>
      </c>
      <c r="Q548">
        <v>4.0359999999999996</v>
      </c>
      <c r="R548">
        <v>84.756</v>
      </c>
      <c r="S548">
        <v>80.72</v>
      </c>
      <c r="T548">
        <v>4.7619047620000003</v>
      </c>
      <c r="U548">
        <v>4.0359999999999996</v>
      </c>
      <c r="V548">
        <v>5</v>
      </c>
    </row>
    <row r="549" spans="1:22" x14ac:dyDescent="0.2">
      <c r="A549" t="s">
        <v>580</v>
      </c>
      <c r="B549" s="1">
        <v>43493</v>
      </c>
      <c r="C549" s="2">
        <v>0.69652777777777775</v>
      </c>
      <c r="D549" s="2" t="str">
        <f>IF(Table1[[#This Row],[Time]]&lt;$D$1,$C$1,IF(Table1[[#This Row],[Time]]&lt;$D$2,$C$2,$C$3))</f>
        <v>Afternoon</v>
      </c>
      <c r="E549">
        <f>MONTH(Table1[[#This Row],[Date]])</f>
        <v>1</v>
      </c>
      <c r="F549" t="str">
        <f>VLOOKUP(Table1[[#This Row],[Month]],dctMonth[],2,FALSE)</f>
        <v>January</v>
      </c>
      <c r="G549" t="s">
        <v>26</v>
      </c>
      <c r="H549" t="s">
        <v>27</v>
      </c>
      <c r="I549" t="s">
        <v>21</v>
      </c>
      <c r="J549" t="s">
        <v>32</v>
      </c>
      <c r="K549">
        <v>35</v>
      </c>
      <c r="L549" t="str">
        <f>IF(Table1[[#This Row],[Age]]&lt;20,"&lt;20",IF(Table1[[#This Row],[Age]]&lt;=70,"20-70","&gt;70"))</f>
        <v>20-70</v>
      </c>
      <c r="M549" t="s">
        <v>29</v>
      </c>
      <c r="N549" t="s">
        <v>34</v>
      </c>
      <c r="O549">
        <v>18.77</v>
      </c>
      <c r="P549">
        <v>6</v>
      </c>
      <c r="Q549">
        <v>5.6310000000000002</v>
      </c>
      <c r="R549">
        <v>118.251</v>
      </c>
      <c r="S549">
        <v>112.62</v>
      </c>
      <c r="T549">
        <v>4.7619047620000003</v>
      </c>
      <c r="U549">
        <v>5.6310000000000002</v>
      </c>
      <c r="V549">
        <v>5.5</v>
      </c>
    </row>
    <row r="550" spans="1:22" x14ac:dyDescent="0.2">
      <c r="A550" t="s">
        <v>581</v>
      </c>
      <c r="B550" s="1">
        <v>43470</v>
      </c>
      <c r="C550" s="2">
        <v>0.86111111111111116</v>
      </c>
      <c r="D550" s="2" t="str">
        <f>IF(Table1[[#This Row],[Time]]&lt;$D$1,$C$1,IF(Table1[[#This Row],[Time]]&lt;$D$2,$C$2,$C$3))</f>
        <v>Evening</v>
      </c>
      <c r="E550">
        <f>MONTH(Table1[[#This Row],[Date]])</f>
        <v>1</v>
      </c>
      <c r="F550" t="str">
        <f>VLOOKUP(Table1[[#This Row],[Month]],dctMonth[],2,FALSE)</f>
        <v>January</v>
      </c>
      <c r="G550" t="s">
        <v>43</v>
      </c>
      <c r="H550" t="s">
        <v>44</v>
      </c>
      <c r="I550" t="s">
        <v>28</v>
      </c>
      <c r="J550" t="s">
        <v>22</v>
      </c>
      <c r="K550">
        <v>77</v>
      </c>
      <c r="L550" t="str">
        <f>IF(Table1[[#This Row],[Age]]&lt;20,"&lt;20",IF(Table1[[#This Row],[Age]]&lt;=70,"20-70","&gt;70"))</f>
        <v>&gt;70</v>
      </c>
      <c r="M550" t="s">
        <v>45</v>
      </c>
      <c r="N550" t="s">
        <v>34</v>
      </c>
      <c r="O550">
        <v>71.2</v>
      </c>
      <c r="P550">
        <v>1</v>
      </c>
      <c r="Q550">
        <v>3.56</v>
      </c>
      <c r="R550">
        <v>74.760000000000005</v>
      </c>
      <c r="S550">
        <v>71.2</v>
      </c>
      <c r="T550">
        <v>4.7619047620000003</v>
      </c>
      <c r="U550">
        <v>3.56</v>
      </c>
      <c r="V550">
        <v>9.1999999999999993</v>
      </c>
    </row>
    <row r="551" spans="1:22" x14ac:dyDescent="0.2">
      <c r="A551" t="s">
        <v>582</v>
      </c>
      <c r="B551" s="1">
        <v>43543</v>
      </c>
      <c r="C551" s="2">
        <v>0.56944444444444442</v>
      </c>
      <c r="D551" s="2" t="str">
        <f>IF(Table1[[#This Row],[Time]]&lt;$D$1,$C$1,IF(Table1[[#This Row],[Time]]&lt;$D$2,$C$2,$C$3))</f>
        <v>Afternoon</v>
      </c>
      <c r="E551">
        <f>MONTH(Table1[[#This Row],[Date]])</f>
        <v>3</v>
      </c>
      <c r="F551" t="str">
        <f>VLOOKUP(Table1[[#This Row],[Month]],dctMonth[],2,FALSE)</f>
        <v>March</v>
      </c>
      <c r="G551" t="s">
        <v>43</v>
      </c>
      <c r="H551" t="s">
        <v>44</v>
      </c>
      <c r="I551" t="s">
        <v>21</v>
      </c>
      <c r="J551" t="s">
        <v>32</v>
      </c>
      <c r="K551">
        <v>53</v>
      </c>
      <c r="L551" t="str">
        <f>IF(Table1[[#This Row],[Age]]&lt;20,"&lt;20",IF(Table1[[#This Row],[Age]]&lt;=70,"20-70","&gt;70"))</f>
        <v>20-70</v>
      </c>
      <c r="M551" t="s">
        <v>33</v>
      </c>
      <c r="N551" t="s">
        <v>24</v>
      </c>
      <c r="O551">
        <v>38.81</v>
      </c>
      <c r="P551">
        <v>4</v>
      </c>
      <c r="Q551">
        <v>7.7619999999999996</v>
      </c>
      <c r="R551">
        <v>163.00200000000001</v>
      </c>
      <c r="S551">
        <v>155.24</v>
      </c>
      <c r="T551">
        <v>4.7619047620000003</v>
      </c>
      <c r="U551">
        <v>7.7619999999999996</v>
      </c>
      <c r="V551">
        <v>4.9000000000000004</v>
      </c>
    </row>
    <row r="552" spans="1:22" x14ac:dyDescent="0.2">
      <c r="A552" t="s">
        <v>583</v>
      </c>
      <c r="B552" s="1">
        <v>43477</v>
      </c>
      <c r="C552" s="2">
        <v>0.68263888888888891</v>
      </c>
      <c r="D552" s="2" t="str">
        <f>IF(Table1[[#This Row],[Time]]&lt;$D$1,$C$1,IF(Table1[[#This Row],[Time]]&lt;$D$2,$C$2,$C$3))</f>
        <v>Afternoon</v>
      </c>
      <c r="E552">
        <f>MONTH(Table1[[#This Row],[Date]])</f>
        <v>1</v>
      </c>
      <c r="F552" t="str">
        <f>VLOOKUP(Table1[[#This Row],[Month]],dctMonth[],2,FALSE)</f>
        <v>January</v>
      </c>
      <c r="G552" t="s">
        <v>19</v>
      </c>
      <c r="H552" t="s">
        <v>20</v>
      </c>
      <c r="I552" t="s">
        <v>28</v>
      </c>
      <c r="J552" t="s">
        <v>22</v>
      </c>
      <c r="K552">
        <v>76</v>
      </c>
      <c r="L552" t="str">
        <f>IF(Table1[[#This Row],[Age]]&lt;20,"&lt;20",IF(Table1[[#This Row],[Age]]&lt;=70,"20-70","&gt;70"))</f>
        <v>&gt;70</v>
      </c>
      <c r="M552" t="s">
        <v>47</v>
      </c>
      <c r="N552" t="s">
        <v>24</v>
      </c>
      <c r="O552">
        <v>29.42</v>
      </c>
      <c r="P552">
        <v>10</v>
      </c>
      <c r="Q552">
        <v>14.71</v>
      </c>
      <c r="R552">
        <v>308.91000000000003</v>
      </c>
      <c r="S552">
        <v>294.2</v>
      </c>
      <c r="T552">
        <v>4.7619047620000003</v>
      </c>
      <c r="U552">
        <v>14.71</v>
      </c>
      <c r="V552">
        <v>8.9</v>
      </c>
    </row>
    <row r="553" spans="1:22" x14ac:dyDescent="0.2">
      <c r="A553" t="s">
        <v>584</v>
      </c>
      <c r="B553" s="1">
        <v>43472</v>
      </c>
      <c r="C553" s="2">
        <v>0.50555555555555554</v>
      </c>
      <c r="D553" s="2" t="str">
        <f>IF(Table1[[#This Row],[Time]]&lt;$D$1,$C$1,IF(Table1[[#This Row],[Time]]&lt;$D$2,$C$2,$C$3))</f>
        <v>Afternoon</v>
      </c>
      <c r="E553">
        <f>MONTH(Table1[[#This Row],[Date]])</f>
        <v>1</v>
      </c>
      <c r="F553" t="str">
        <f>VLOOKUP(Table1[[#This Row],[Month]],dctMonth[],2,FALSE)</f>
        <v>January</v>
      </c>
      <c r="G553" t="s">
        <v>19</v>
      </c>
      <c r="H553" t="s">
        <v>20</v>
      </c>
      <c r="I553" t="s">
        <v>28</v>
      </c>
      <c r="J553" t="s">
        <v>32</v>
      </c>
      <c r="K553">
        <v>42</v>
      </c>
      <c r="L553" t="str">
        <f>IF(Table1[[#This Row],[Age]]&lt;20,"&lt;20",IF(Table1[[#This Row],[Age]]&lt;=70,"20-70","&gt;70"))</f>
        <v>20-70</v>
      </c>
      <c r="M553" t="s">
        <v>37</v>
      </c>
      <c r="N553" t="s">
        <v>34</v>
      </c>
      <c r="O553">
        <v>60.95</v>
      </c>
      <c r="P553">
        <v>9</v>
      </c>
      <c r="Q553">
        <v>27.427499999999998</v>
      </c>
      <c r="R553">
        <v>575.97749999999996</v>
      </c>
      <c r="S553">
        <v>548.54999999999995</v>
      </c>
      <c r="T553">
        <v>4.7619047620000003</v>
      </c>
      <c r="U553">
        <v>27.427499999999998</v>
      </c>
      <c r="V553">
        <v>6</v>
      </c>
    </row>
    <row r="554" spans="1:22" x14ac:dyDescent="0.2">
      <c r="A554" t="s">
        <v>585</v>
      </c>
      <c r="B554" s="1">
        <v>43491</v>
      </c>
      <c r="C554" s="2">
        <v>0.73958333333333337</v>
      </c>
      <c r="D554" s="2" t="str">
        <f>IF(Table1[[#This Row],[Time]]&lt;$D$1,$C$1,IF(Table1[[#This Row],[Time]]&lt;$D$2,$C$2,$C$3))</f>
        <v>Evening</v>
      </c>
      <c r="E554">
        <f>MONTH(Table1[[#This Row],[Date]])</f>
        <v>1</v>
      </c>
      <c r="F554" t="str">
        <f>VLOOKUP(Table1[[#This Row],[Month]],dctMonth[],2,FALSE)</f>
        <v>January</v>
      </c>
      <c r="G554" t="s">
        <v>43</v>
      </c>
      <c r="H554" t="s">
        <v>44</v>
      </c>
      <c r="I554" t="s">
        <v>28</v>
      </c>
      <c r="J554" t="s">
        <v>22</v>
      </c>
      <c r="K554">
        <v>85</v>
      </c>
      <c r="L554" t="str">
        <f>IF(Table1[[#This Row],[Age]]&lt;20,"&lt;20",IF(Table1[[#This Row],[Age]]&lt;=70,"20-70","&gt;70"))</f>
        <v>&gt;70</v>
      </c>
      <c r="M554" t="s">
        <v>37</v>
      </c>
      <c r="N554" t="s">
        <v>30</v>
      </c>
      <c r="O554">
        <v>51.54</v>
      </c>
      <c r="P554">
        <v>5</v>
      </c>
      <c r="Q554">
        <v>12.885</v>
      </c>
      <c r="R554">
        <v>270.58499999999998</v>
      </c>
      <c r="S554">
        <v>257.7</v>
      </c>
      <c r="T554">
        <v>4.7619047620000003</v>
      </c>
      <c r="U554">
        <v>12.885</v>
      </c>
      <c r="V554">
        <v>4.2</v>
      </c>
    </row>
    <row r="555" spans="1:22" x14ac:dyDescent="0.2">
      <c r="A555" t="s">
        <v>586</v>
      </c>
      <c r="B555" s="1">
        <v>43488</v>
      </c>
      <c r="C555" s="2">
        <v>0.43611111111111112</v>
      </c>
      <c r="D555" s="2" t="str">
        <f>IF(Table1[[#This Row],[Time]]&lt;$D$1,$C$1,IF(Table1[[#This Row],[Time]]&lt;$D$2,$C$2,$C$3))</f>
        <v>Morning</v>
      </c>
      <c r="E555">
        <f>MONTH(Table1[[#This Row],[Date]])</f>
        <v>1</v>
      </c>
      <c r="F555" t="str">
        <f>VLOOKUP(Table1[[#This Row],[Month]],dctMonth[],2,FALSE)</f>
        <v>January</v>
      </c>
      <c r="G555" t="s">
        <v>19</v>
      </c>
      <c r="H555" t="s">
        <v>20</v>
      </c>
      <c r="I555" t="s">
        <v>28</v>
      </c>
      <c r="J555" t="s">
        <v>22</v>
      </c>
      <c r="K555">
        <v>79</v>
      </c>
      <c r="L555" t="str">
        <f>IF(Table1[[#This Row],[Age]]&lt;20,"&lt;20",IF(Table1[[#This Row],[Age]]&lt;=70,"20-70","&gt;70"))</f>
        <v>&gt;70</v>
      </c>
      <c r="M555" t="s">
        <v>29</v>
      </c>
      <c r="N555" t="s">
        <v>30</v>
      </c>
      <c r="O555">
        <v>66.06</v>
      </c>
      <c r="P555">
        <v>6</v>
      </c>
      <c r="Q555">
        <v>19.818000000000001</v>
      </c>
      <c r="R555">
        <v>416.178</v>
      </c>
      <c r="S555">
        <v>396.36</v>
      </c>
      <c r="T555">
        <v>4.7619047620000003</v>
      </c>
      <c r="U555">
        <v>19.818000000000001</v>
      </c>
      <c r="V555">
        <v>7.3</v>
      </c>
    </row>
    <row r="556" spans="1:22" x14ac:dyDescent="0.2">
      <c r="A556" t="s">
        <v>587</v>
      </c>
      <c r="B556" s="1">
        <v>43505</v>
      </c>
      <c r="C556" s="2">
        <v>0.85486111111111107</v>
      </c>
      <c r="D556" s="2" t="str">
        <f>IF(Table1[[#This Row],[Time]]&lt;$D$1,$C$1,IF(Table1[[#This Row],[Time]]&lt;$D$2,$C$2,$C$3))</f>
        <v>Evening</v>
      </c>
      <c r="E556">
        <f>MONTH(Table1[[#This Row],[Date]])</f>
        <v>2</v>
      </c>
      <c r="F556" t="str">
        <f>VLOOKUP(Table1[[#This Row],[Month]],dctMonth[],2,FALSE)</f>
        <v>February</v>
      </c>
      <c r="G556" t="s">
        <v>43</v>
      </c>
      <c r="H556" t="s">
        <v>44</v>
      </c>
      <c r="I556" t="s">
        <v>28</v>
      </c>
      <c r="J556" t="s">
        <v>32</v>
      </c>
      <c r="K556">
        <v>56</v>
      </c>
      <c r="L556" t="str">
        <f>IF(Table1[[#This Row],[Age]]&lt;20,"&lt;20",IF(Table1[[#This Row],[Age]]&lt;=70,"20-70","&gt;70"))</f>
        <v>20-70</v>
      </c>
      <c r="M556" t="s">
        <v>47</v>
      </c>
      <c r="N556" t="s">
        <v>24</v>
      </c>
      <c r="O556">
        <v>57.27</v>
      </c>
      <c r="P556">
        <v>3</v>
      </c>
      <c r="Q556">
        <v>8.5905000000000005</v>
      </c>
      <c r="R556">
        <v>180.40049999999999</v>
      </c>
      <c r="S556">
        <v>171.81</v>
      </c>
      <c r="T556">
        <v>4.7619047620000003</v>
      </c>
      <c r="U556">
        <v>8.5905000000000005</v>
      </c>
      <c r="V556">
        <v>6.5</v>
      </c>
    </row>
    <row r="557" spans="1:22" x14ac:dyDescent="0.2">
      <c r="A557" t="s">
        <v>588</v>
      </c>
      <c r="B557" s="1">
        <v>43518</v>
      </c>
      <c r="C557" s="2">
        <v>0.45069444444444445</v>
      </c>
      <c r="D557" s="2" t="str">
        <f>IF(Table1[[#This Row],[Time]]&lt;$D$1,$C$1,IF(Table1[[#This Row],[Time]]&lt;$D$2,$C$2,$C$3))</f>
        <v>Morning</v>
      </c>
      <c r="E557">
        <f>MONTH(Table1[[#This Row],[Date]])</f>
        <v>2</v>
      </c>
      <c r="F557" t="str">
        <f>VLOOKUP(Table1[[#This Row],[Month]],dctMonth[],2,FALSE)</f>
        <v>February</v>
      </c>
      <c r="G557" t="s">
        <v>43</v>
      </c>
      <c r="H557" t="s">
        <v>44</v>
      </c>
      <c r="I557" t="s">
        <v>28</v>
      </c>
      <c r="J557" t="s">
        <v>22</v>
      </c>
      <c r="K557">
        <v>90</v>
      </c>
      <c r="L557" t="str">
        <f>IF(Table1[[#This Row],[Age]]&lt;20,"&lt;20",IF(Table1[[#This Row],[Age]]&lt;=70,"20-70","&gt;70"))</f>
        <v>&gt;70</v>
      </c>
      <c r="M557" t="s">
        <v>47</v>
      </c>
      <c r="N557" t="s">
        <v>30</v>
      </c>
      <c r="O557">
        <v>54.31</v>
      </c>
      <c r="P557">
        <v>9</v>
      </c>
      <c r="Q557">
        <v>24.439499999999999</v>
      </c>
      <c r="R557">
        <v>513.22950000000003</v>
      </c>
      <c r="S557">
        <v>488.79</v>
      </c>
      <c r="T557">
        <v>4.7619047620000003</v>
      </c>
      <c r="U557">
        <v>24.439499999999999</v>
      </c>
      <c r="V557">
        <v>8.9</v>
      </c>
    </row>
    <row r="558" spans="1:22" x14ac:dyDescent="0.2">
      <c r="A558" t="s">
        <v>589</v>
      </c>
      <c r="B558" s="1">
        <v>43501</v>
      </c>
      <c r="C558" s="2">
        <v>0.52361111111111114</v>
      </c>
      <c r="D558" s="2" t="str">
        <f>IF(Table1[[#This Row],[Time]]&lt;$D$1,$C$1,IF(Table1[[#This Row],[Time]]&lt;$D$2,$C$2,$C$3))</f>
        <v>Afternoon</v>
      </c>
      <c r="E558">
        <f>MONTH(Table1[[#This Row],[Date]])</f>
        <v>2</v>
      </c>
      <c r="F558" t="str">
        <f>VLOOKUP(Table1[[#This Row],[Month]],dctMonth[],2,FALSE)</f>
        <v>February</v>
      </c>
      <c r="G558" t="s">
        <v>43</v>
      </c>
      <c r="H558" t="s">
        <v>44</v>
      </c>
      <c r="I558" t="s">
        <v>28</v>
      </c>
      <c r="J558" t="s">
        <v>22</v>
      </c>
      <c r="K558">
        <v>49</v>
      </c>
      <c r="L558" t="str">
        <f>IF(Table1[[#This Row],[Age]]&lt;20,"&lt;20",IF(Table1[[#This Row],[Age]]&lt;=70,"20-70","&gt;70"))</f>
        <v>20-70</v>
      </c>
      <c r="M558" t="s">
        <v>23</v>
      </c>
      <c r="N558" t="s">
        <v>30</v>
      </c>
      <c r="O558">
        <v>58.24</v>
      </c>
      <c r="P558">
        <v>9</v>
      </c>
      <c r="Q558">
        <v>26.207999999999998</v>
      </c>
      <c r="R558">
        <v>550.36800000000005</v>
      </c>
      <c r="S558">
        <v>524.16</v>
      </c>
      <c r="T558">
        <v>4.7619047620000003</v>
      </c>
      <c r="U558">
        <v>26.207999999999998</v>
      </c>
      <c r="V558">
        <v>9.6999999999999993</v>
      </c>
    </row>
    <row r="559" spans="1:22" x14ac:dyDescent="0.2">
      <c r="A559" t="s">
        <v>590</v>
      </c>
      <c r="B559" s="1">
        <v>43531</v>
      </c>
      <c r="C559" s="2">
        <v>0.43263888888888891</v>
      </c>
      <c r="D559" s="2" t="str">
        <f>IF(Table1[[#This Row],[Time]]&lt;$D$1,$C$1,IF(Table1[[#This Row],[Time]]&lt;$D$2,$C$2,$C$3))</f>
        <v>Morning</v>
      </c>
      <c r="E559">
        <f>MONTH(Table1[[#This Row],[Date]])</f>
        <v>3</v>
      </c>
      <c r="F559" t="str">
        <f>VLOOKUP(Table1[[#This Row],[Month]],dctMonth[],2,FALSE)</f>
        <v>March</v>
      </c>
      <c r="G559" t="s">
        <v>26</v>
      </c>
      <c r="H559" t="s">
        <v>27</v>
      </c>
      <c r="I559" t="s">
        <v>28</v>
      </c>
      <c r="J559" t="s">
        <v>32</v>
      </c>
      <c r="K559">
        <v>82</v>
      </c>
      <c r="L559" t="str">
        <f>IF(Table1[[#This Row],[Age]]&lt;20,"&lt;20",IF(Table1[[#This Row],[Age]]&lt;=70,"20-70","&gt;70"))</f>
        <v>&gt;70</v>
      </c>
      <c r="M559" t="s">
        <v>29</v>
      </c>
      <c r="N559" t="s">
        <v>34</v>
      </c>
      <c r="O559">
        <v>22.21</v>
      </c>
      <c r="P559">
        <v>6</v>
      </c>
      <c r="Q559">
        <v>6.6630000000000003</v>
      </c>
      <c r="R559">
        <v>139.923</v>
      </c>
      <c r="S559">
        <v>133.26</v>
      </c>
      <c r="T559">
        <v>4.7619047620000003</v>
      </c>
      <c r="U559">
        <v>6.6630000000000003</v>
      </c>
      <c r="V559">
        <v>8.6</v>
      </c>
    </row>
    <row r="560" spans="1:22" x14ac:dyDescent="0.2">
      <c r="A560" t="s">
        <v>591</v>
      </c>
      <c r="B560" s="1">
        <v>43549</v>
      </c>
      <c r="C560" s="2">
        <v>0.78541666666666665</v>
      </c>
      <c r="D560" s="2" t="str">
        <f>IF(Table1[[#This Row],[Time]]&lt;$D$1,$C$1,IF(Table1[[#This Row],[Time]]&lt;$D$2,$C$2,$C$3))</f>
        <v>Evening</v>
      </c>
      <c r="E560">
        <f>MONTH(Table1[[#This Row],[Date]])</f>
        <v>3</v>
      </c>
      <c r="F560" t="str">
        <f>VLOOKUP(Table1[[#This Row],[Month]],dctMonth[],2,FALSE)</f>
        <v>March</v>
      </c>
      <c r="G560" t="s">
        <v>19</v>
      </c>
      <c r="H560" t="s">
        <v>20</v>
      </c>
      <c r="I560" t="s">
        <v>21</v>
      </c>
      <c r="J560" t="s">
        <v>32</v>
      </c>
      <c r="K560">
        <v>39</v>
      </c>
      <c r="L560" t="str">
        <f>IF(Table1[[#This Row],[Age]]&lt;20,"&lt;20",IF(Table1[[#This Row],[Age]]&lt;=70,"20-70","&gt;70"))</f>
        <v>20-70</v>
      </c>
      <c r="M560" t="s">
        <v>29</v>
      </c>
      <c r="N560" t="s">
        <v>30</v>
      </c>
      <c r="O560">
        <v>19.32</v>
      </c>
      <c r="P560">
        <v>7</v>
      </c>
      <c r="Q560">
        <v>6.7619999999999996</v>
      </c>
      <c r="R560">
        <v>142.00200000000001</v>
      </c>
      <c r="S560">
        <v>135.24</v>
      </c>
      <c r="T560">
        <v>4.7619047620000003</v>
      </c>
      <c r="U560">
        <v>6.7619999999999996</v>
      </c>
      <c r="V560">
        <v>6.9</v>
      </c>
    </row>
    <row r="561" spans="1:22" x14ac:dyDescent="0.2">
      <c r="A561" t="s">
        <v>592</v>
      </c>
      <c r="B561" s="1">
        <v>43485</v>
      </c>
      <c r="C561" s="2">
        <v>0.57291666666666663</v>
      </c>
      <c r="D561" s="2" t="str">
        <f>IF(Table1[[#This Row],[Time]]&lt;$D$1,$C$1,IF(Table1[[#This Row],[Time]]&lt;$D$2,$C$2,$C$3))</f>
        <v>Afternoon</v>
      </c>
      <c r="E561">
        <f>MONTH(Table1[[#This Row],[Date]])</f>
        <v>1</v>
      </c>
      <c r="F561" t="str">
        <f>VLOOKUP(Table1[[#This Row],[Month]],dctMonth[],2,FALSE)</f>
        <v>January</v>
      </c>
      <c r="G561" t="s">
        <v>43</v>
      </c>
      <c r="H561" t="s">
        <v>44</v>
      </c>
      <c r="I561" t="s">
        <v>28</v>
      </c>
      <c r="J561" t="s">
        <v>32</v>
      </c>
      <c r="K561">
        <v>41</v>
      </c>
      <c r="L561" t="str">
        <f>IF(Table1[[#This Row],[Age]]&lt;20,"&lt;20",IF(Table1[[#This Row],[Age]]&lt;=70,"20-70","&gt;70"))</f>
        <v>20-70</v>
      </c>
      <c r="M561" t="s">
        <v>33</v>
      </c>
      <c r="N561" t="s">
        <v>34</v>
      </c>
      <c r="O561">
        <v>37.479999999999997</v>
      </c>
      <c r="P561">
        <v>3</v>
      </c>
      <c r="Q561">
        <v>5.6219999999999999</v>
      </c>
      <c r="R561">
        <v>118.062</v>
      </c>
      <c r="S561">
        <v>112.44</v>
      </c>
      <c r="T561">
        <v>4.7619047620000003</v>
      </c>
      <c r="U561">
        <v>5.6219999999999999</v>
      </c>
      <c r="V561">
        <v>7.7</v>
      </c>
    </row>
    <row r="562" spans="1:22" x14ac:dyDescent="0.2">
      <c r="A562" t="s">
        <v>593</v>
      </c>
      <c r="B562" s="1">
        <v>43500</v>
      </c>
      <c r="C562" s="2">
        <v>0.81805555555555554</v>
      </c>
      <c r="D562" s="2" t="str">
        <f>IF(Table1[[#This Row],[Time]]&lt;$D$1,$C$1,IF(Table1[[#This Row],[Time]]&lt;$D$2,$C$2,$C$3))</f>
        <v>Evening</v>
      </c>
      <c r="E562">
        <f>MONTH(Table1[[#This Row],[Date]])</f>
        <v>2</v>
      </c>
      <c r="F562" t="str">
        <f>VLOOKUP(Table1[[#This Row],[Month]],dctMonth[],2,FALSE)</f>
        <v>February</v>
      </c>
      <c r="G562" t="s">
        <v>43</v>
      </c>
      <c r="H562" t="s">
        <v>44</v>
      </c>
      <c r="I562" t="s">
        <v>21</v>
      </c>
      <c r="J562" t="s">
        <v>22</v>
      </c>
      <c r="K562">
        <v>78</v>
      </c>
      <c r="L562" t="str">
        <f>IF(Table1[[#This Row],[Age]]&lt;20,"&lt;20",IF(Table1[[#This Row],[Age]]&lt;=70,"20-70","&gt;70"))</f>
        <v>&gt;70</v>
      </c>
      <c r="M562" t="s">
        <v>47</v>
      </c>
      <c r="N562" t="s">
        <v>30</v>
      </c>
      <c r="O562">
        <v>72.040000000000006</v>
      </c>
      <c r="P562">
        <v>2</v>
      </c>
      <c r="Q562">
        <v>7.2039999999999997</v>
      </c>
      <c r="R562">
        <v>151.28399999999999</v>
      </c>
      <c r="S562">
        <v>144.08000000000001</v>
      </c>
      <c r="T562">
        <v>4.7619047620000003</v>
      </c>
      <c r="U562">
        <v>7.2039999999999997</v>
      </c>
      <c r="V562">
        <v>9.5</v>
      </c>
    </row>
    <row r="563" spans="1:22" x14ac:dyDescent="0.2">
      <c r="A563" t="s">
        <v>594</v>
      </c>
      <c r="B563" s="1">
        <v>43495</v>
      </c>
      <c r="C563" s="2">
        <v>0.84930555555555554</v>
      </c>
      <c r="D563" s="2" t="str">
        <f>IF(Table1[[#This Row],[Time]]&lt;$D$1,$C$1,IF(Table1[[#This Row],[Time]]&lt;$D$2,$C$2,$C$3))</f>
        <v>Evening</v>
      </c>
      <c r="E563">
        <f>MONTH(Table1[[#This Row],[Date]])</f>
        <v>1</v>
      </c>
      <c r="F563" t="str">
        <f>VLOOKUP(Table1[[#This Row],[Month]],dctMonth[],2,FALSE)</f>
        <v>January</v>
      </c>
      <c r="G563" t="s">
        <v>26</v>
      </c>
      <c r="H563" t="s">
        <v>27</v>
      </c>
      <c r="I563" t="s">
        <v>21</v>
      </c>
      <c r="J563" t="s">
        <v>22</v>
      </c>
      <c r="K563">
        <v>38</v>
      </c>
      <c r="L563" t="str">
        <f>IF(Table1[[#This Row],[Age]]&lt;20,"&lt;20",IF(Table1[[#This Row],[Age]]&lt;=70,"20-70","&gt;70"))</f>
        <v>20-70</v>
      </c>
      <c r="M563" t="s">
        <v>45</v>
      </c>
      <c r="N563" t="s">
        <v>24</v>
      </c>
      <c r="O563">
        <v>98.52</v>
      </c>
      <c r="P563">
        <v>10</v>
      </c>
      <c r="Q563">
        <v>49.26</v>
      </c>
      <c r="R563">
        <v>1034.46</v>
      </c>
      <c r="S563">
        <v>985.2</v>
      </c>
      <c r="T563">
        <v>4.7619047620000003</v>
      </c>
      <c r="U563">
        <v>49.26</v>
      </c>
      <c r="V563">
        <v>4.5</v>
      </c>
    </row>
    <row r="564" spans="1:22" x14ac:dyDescent="0.2">
      <c r="A564" t="s">
        <v>595</v>
      </c>
      <c r="B564" s="1">
        <v>43467</v>
      </c>
      <c r="C564" s="2">
        <v>0.64166666666666672</v>
      </c>
      <c r="D564" s="2" t="str">
        <f>IF(Table1[[#This Row],[Time]]&lt;$D$1,$C$1,IF(Table1[[#This Row],[Time]]&lt;$D$2,$C$2,$C$3))</f>
        <v>Afternoon</v>
      </c>
      <c r="E564">
        <f>MONTH(Table1[[#This Row],[Date]])</f>
        <v>1</v>
      </c>
      <c r="F564" t="str">
        <f>VLOOKUP(Table1[[#This Row],[Month]],dctMonth[],2,FALSE)</f>
        <v>January</v>
      </c>
      <c r="G564" t="s">
        <v>19</v>
      </c>
      <c r="H564" t="s">
        <v>20</v>
      </c>
      <c r="I564" t="s">
        <v>21</v>
      </c>
      <c r="J564" t="s">
        <v>32</v>
      </c>
      <c r="K564">
        <v>24</v>
      </c>
      <c r="L564" t="str">
        <f>IF(Table1[[#This Row],[Age]]&lt;20,"&lt;20",IF(Table1[[#This Row],[Age]]&lt;=70,"20-70","&gt;70"))</f>
        <v>20-70</v>
      </c>
      <c r="M564" t="s">
        <v>45</v>
      </c>
      <c r="N564" t="s">
        <v>24</v>
      </c>
      <c r="O564">
        <v>41.66</v>
      </c>
      <c r="P564">
        <v>6</v>
      </c>
      <c r="Q564">
        <v>12.497999999999999</v>
      </c>
      <c r="R564">
        <v>262.45800000000003</v>
      </c>
      <c r="S564">
        <v>249.96</v>
      </c>
      <c r="T564">
        <v>4.7619047620000003</v>
      </c>
      <c r="U564">
        <v>12.497999999999999</v>
      </c>
      <c r="V564">
        <v>5.6</v>
      </c>
    </row>
    <row r="565" spans="1:22" x14ac:dyDescent="0.2">
      <c r="A565" t="s">
        <v>596</v>
      </c>
      <c r="B565" s="1">
        <v>43553</v>
      </c>
      <c r="C565" s="2">
        <v>0.70416666666666672</v>
      </c>
      <c r="D565" s="2" t="str">
        <f>IF(Table1[[#This Row],[Time]]&lt;$D$1,$C$1,IF(Table1[[#This Row],[Time]]&lt;$D$2,$C$2,$C$3))</f>
        <v>Afternoon</v>
      </c>
      <c r="E565">
        <f>MONTH(Table1[[#This Row],[Date]])</f>
        <v>3</v>
      </c>
      <c r="F565" t="str">
        <f>VLOOKUP(Table1[[#This Row],[Month]],dctMonth[],2,FALSE)</f>
        <v>March</v>
      </c>
      <c r="G565" t="s">
        <v>19</v>
      </c>
      <c r="H565" t="s">
        <v>20</v>
      </c>
      <c r="I565" t="s">
        <v>21</v>
      </c>
      <c r="J565" t="s">
        <v>22</v>
      </c>
      <c r="K565">
        <v>88</v>
      </c>
      <c r="L565" t="str">
        <f>IF(Table1[[#This Row],[Age]]&lt;20,"&lt;20",IF(Table1[[#This Row],[Age]]&lt;=70,"20-70","&gt;70"))</f>
        <v>&gt;70</v>
      </c>
      <c r="M565" t="s">
        <v>33</v>
      </c>
      <c r="N565" t="s">
        <v>24</v>
      </c>
      <c r="O565">
        <v>72.42</v>
      </c>
      <c r="P565">
        <v>3</v>
      </c>
      <c r="Q565">
        <v>10.863</v>
      </c>
      <c r="R565">
        <v>228.12299999999999</v>
      </c>
      <c r="S565">
        <v>217.26</v>
      </c>
      <c r="T565">
        <v>4.7619047620000003</v>
      </c>
      <c r="U565">
        <v>10.863</v>
      </c>
      <c r="V565">
        <v>8.1999999999999993</v>
      </c>
    </row>
    <row r="566" spans="1:22" x14ac:dyDescent="0.2">
      <c r="A566" t="s">
        <v>597</v>
      </c>
      <c r="B566" s="1">
        <v>43538</v>
      </c>
      <c r="C566" s="2">
        <v>0.52222222222222225</v>
      </c>
      <c r="D566" s="2" t="str">
        <f>IF(Table1[[#This Row],[Time]]&lt;$D$1,$C$1,IF(Table1[[#This Row],[Time]]&lt;$D$2,$C$2,$C$3))</f>
        <v>Afternoon</v>
      </c>
      <c r="E566">
        <f>MONTH(Table1[[#This Row],[Date]])</f>
        <v>3</v>
      </c>
      <c r="F566" t="str">
        <f>VLOOKUP(Table1[[#This Row],[Month]],dctMonth[],2,FALSE)</f>
        <v>March</v>
      </c>
      <c r="G566" t="s">
        <v>43</v>
      </c>
      <c r="H566" t="s">
        <v>44</v>
      </c>
      <c r="I566" t="s">
        <v>28</v>
      </c>
      <c r="J566" t="s">
        <v>32</v>
      </c>
      <c r="K566">
        <v>86</v>
      </c>
      <c r="L566" t="str">
        <f>IF(Table1[[#This Row],[Age]]&lt;20,"&lt;20",IF(Table1[[#This Row],[Age]]&lt;=70,"20-70","&gt;70"))</f>
        <v>&gt;70</v>
      </c>
      <c r="M566" t="s">
        <v>29</v>
      </c>
      <c r="N566" t="s">
        <v>30</v>
      </c>
      <c r="O566">
        <v>21.58</v>
      </c>
      <c r="P566">
        <v>9</v>
      </c>
      <c r="Q566">
        <v>9.7110000000000003</v>
      </c>
      <c r="R566">
        <v>203.93100000000001</v>
      </c>
      <c r="S566">
        <v>194.22</v>
      </c>
      <c r="T566">
        <v>4.7619047620000003</v>
      </c>
      <c r="U566">
        <v>9.7110000000000003</v>
      </c>
      <c r="V566">
        <v>7.3</v>
      </c>
    </row>
    <row r="567" spans="1:22" x14ac:dyDescent="0.2">
      <c r="A567" t="s">
        <v>598</v>
      </c>
      <c r="B567" s="1">
        <v>43507</v>
      </c>
      <c r="C567" s="2">
        <v>0.65416666666666667</v>
      </c>
      <c r="D567" s="2" t="str">
        <f>IF(Table1[[#This Row],[Time]]&lt;$D$1,$C$1,IF(Table1[[#This Row],[Time]]&lt;$D$2,$C$2,$C$3))</f>
        <v>Afternoon</v>
      </c>
      <c r="E567">
        <f>MONTH(Table1[[#This Row],[Date]])</f>
        <v>2</v>
      </c>
      <c r="F567" t="str">
        <f>VLOOKUP(Table1[[#This Row],[Month]],dctMonth[],2,FALSE)</f>
        <v>February</v>
      </c>
      <c r="G567" t="s">
        <v>26</v>
      </c>
      <c r="H567" t="s">
        <v>27</v>
      </c>
      <c r="I567" t="s">
        <v>28</v>
      </c>
      <c r="J567" t="s">
        <v>32</v>
      </c>
      <c r="K567">
        <v>72</v>
      </c>
      <c r="L567" t="str">
        <f>IF(Table1[[#This Row],[Age]]&lt;20,"&lt;20",IF(Table1[[#This Row],[Age]]&lt;=70,"20-70","&gt;70"))</f>
        <v>&gt;70</v>
      </c>
      <c r="M567" t="s">
        <v>45</v>
      </c>
      <c r="N567" t="s">
        <v>34</v>
      </c>
      <c r="O567">
        <v>89.2</v>
      </c>
      <c r="P567">
        <v>10</v>
      </c>
      <c r="Q567">
        <v>44.6</v>
      </c>
      <c r="R567">
        <v>936.6</v>
      </c>
      <c r="S567">
        <v>892</v>
      </c>
      <c r="T567">
        <v>4.7619047620000003</v>
      </c>
      <c r="U567">
        <v>44.6</v>
      </c>
      <c r="V567">
        <v>4.4000000000000004</v>
      </c>
    </row>
    <row r="568" spans="1:22" x14ac:dyDescent="0.2">
      <c r="A568" t="s">
        <v>599</v>
      </c>
      <c r="B568" s="1">
        <v>43495</v>
      </c>
      <c r="C568" s="2">
        <v>0.58194444444444449</v>
      </c>
      <c r="D568" s="2" t="str">
        <f>IF(Table1[[#This Row],[Time]]&lt;$D$1,$C$1,IF(Table1[[#This Row],[Time]]&lt;$D$2,$C$2,$C$3))</f>
        <v>Afternoon</v>
      </c>
      <c r="E568">
        <f>MONTH(Table1[[#This Row],[Date]])</f>
        <v>1</v>
      </c>
      <c r="F568" t="str">
        <f>VLOOKUP(Table1[[#This Row],[Month]],dctMonth[],2,FALSE)</f>
        <v>January</v>
      </c>
      <c r="G568" t="s">
        <v>43</v>
      </c>
      <c r="H568" t="s">
        <v>44</v>
      </c>
      <c r="I568" t="s">
        <v>28</v>
      </c>
      <c r="J568" t="s">
        <v>22</v>
      </c>
      <c r="K568">
        <v>78</v>
      </c>
      <c r="L568" t="str">
        <f>IF(Table1[[#This Row],[Age]]&lt;20,"&lt;20",IF(Table1[[#This Row],[Age]]&lt;=70,"20-70","&gt;70"))</f>
        <v>&gt;70</v>
      </c>
      <c r="M568" t="s">
        <v>29</v>
      </c>
      <c r="N568" t="s">
        <v>24</v>
      </c>
      <c r="O568">
        <v>42.42</v>
      </c>
      <c r="P568">
        <v>8</v>
      </c>
      <c r="Q568">
        <v>16.968</v>
      </c>
      <c r="R568">
        <v>356.32799999999997</v>
      </c>
      <c r="S568">
        <v>339.36</v>
      </c>
      <c r="T568">
        <v>4.7619047620000003</v>
      </c>
      <c r="U568">
        <v>16.968</v>
      </c>
      <c r="V568">
        <v>5.7</v>
      </c>
    </row>
    <row r="569" spans="1:22" x14ac:dyDescent="0.2">
      <c r="A569" t="s">
        <v>600</v>
      </c>
      <c r="B569" s="1">
        <v>43544</v>
      </c>
      <c r="C569" s="2">
        <v>0.63055555555555554</v>
      </c>
      <c r="D569" s="2" t="str">
        <f>IF(Table1[[#This Row],[Time]]&lt;$D$1,$C$1,IF(Table1[[#This Row],[Time]]&lt;$D$2,$C$2,$C$3))</f>
        <v>Afternoon</v>
      </c>
      <c r="E569">
        <f>MONTH(Table1[[#This Row],[Date]])</f>
        <v>3</v>
      </c>
      <c r="F569" t="str">
        <f>VLOOKUP(Table1[[#This Row],[Month]],dctMonth[],2,FALSE)</f>
        <v>March</v>
      </c>
      <c r="G569" t="s">
        <v>19</v>
      </c>
      <c r="H569" t="s">
        <v>20</v>
      </c>
      <c r="I569" t="s">
        <v>21</v>
      </c>
      <c r="J569" t="s">
        <v>32</v>
      </c>
      <c r="K569">
        <v>49</v>
      </c>
      <c r="L569" t="str">
        <f>IF(Table1[[#This Row],[Age]]&lt;20,"&lt;20",IF(Table1[[#This Row],[Age]]&lt;=70,"20-70","&gt;70"))</f>
        <v>20-70</v>
      </c>
      <c r="M569" t="s">
        <v>29</v>
      </c>
      <c r="N569" t="s">
        <v>24</v>
      </c>
      <c r="O569">
        <v>74.510000000000005</v>
      </c>
      <c r="P569">
        <v>6</v>
      </c>
      <c r="Q569">
        <v>22.353000000000002</v>
      </c>
      <c r="R569">
        <v>469.41300000000001</v>
      </c>
      <c r="S569">
        <v>447.06</v>
      </c>
      <c r="T569">
        <v>4.7619047620000003</v>
      </c>
      <c r="U569">
        <v>22.353000000000002</v>
      </c>
      <c r="V569">
        <v>5</v>
      </c>
    </row>
    <row r="570" spans="1:22" x14ac:dyDescent="0.2">
      <c r="A570" t="s">
        <v>601</v>
      </c>
      <c r="B570" s="1">
        <v>43544</v>
      </c>
      <c r="C570" s="2">
        <v>0.54305555555555551</v>
      </c>
      <c r="D570" s="2" t="str">
        <f>IF(Table1[[#This Row],[Time]]&lt;$D$1,$C$1,IF(Table1[[#This Row],[Time]]&lt;$D$2,$C$2,$C$3))</f>
        <v>Afternoon</v>
      </c>
      <c r="E570">
        <f>MONTH(Table1[[#This Row],[Date]])</f>
        <v>3</v>
      </c>
      <c r="F570" t="str">
        <f>VLOOKUP(Table1[[#This Row],[Month]],dctMonth[],2,FALSE)</f>
        <v>March</v>
      </c>
      <c r="G570" t="s">
        <v>43</v>
      </c>
      <c r="H570" t="s">
        <v>44</v>
      </c>
      <c r="I570" t="s">
        <v>28</v>
      </c>
      <c r="J570" t="s">
        <v>32</v>
      </c>
      <c r="K570">
        <v>56</v>
      </c>
      <c r="L570" t="str">
        <f>IF(Table1[[#This Row],[Age]]&lt;20,"&lt;20",IF(Table1[[#This Row],[Age]]&lt;=70,"20-70","&gt;70"))</f>
        <v>20-70</v>
      </c>
      <c r="M570" t="s">
        <v>47</v>
      </c>
      <c r="N570" t="s">
        <v>30</v>
      </c>
      <c r="O570">
        <v>99.25</v>
      </c>
      <c r="P570">
        <v>2</v>
      </c>
      <c r="Q570">
        <v>9.9250000000000007</v>
      </c>
      <c r="R570">
        <v>208.42500000000001</v>
      </c>
      <c r="S570">
        <v>198.5</v>
      </c>
      <c r="T570">
        <v>4.7619047620000003</v>
      </c>
      <c r="U570">
        <v>9.9250000000000007</v>
      </c>
      <c r="V570">
        <v>9</v>
      </c>
    </row>
    <row r="571" spans="1:22" x14ac:dyDescent="0.2">
      <c r="A571" t="s">
        <v>602</v>
      </c>
      <c r="B571" s="1">
        <v>43482</v>
      </c>
      <c r="C571" s="2">
        <v>0.54236111111111107</v>
      </c>
      <c r="D571" s="2" t="str">
        <f>IF(Table1[[#This Row],[Time]]&lt;$D$1,$C$1,IF(Table1[[#This Row],[Time]]&lt;$D$2,$C$2,$C$3))</f>
        <v>Afternoon</v>
      </c>
      <c r="E571">
        <f>MONTH(Table1[[#This Row],[Date]])</f>
        <v>1</v>
      </c>
      <c r="F571" t="str">
        <f>VLOOKUP(Table1[[#This Row],[Month]],dctMonth[],2,FALSE)</f>
        <v>January</v>
      </c>
      <c r="G571" t="s">
        <v>19</v>
      </c>
      <c r="H571" t="s">
        <v>20</v>
      </c>
      <c r="I571" t="s">
        <v>28</v>
      </c>
      <c r="J571" t="s">
        <v>22</v>
      </c>
      <c r="K571">
        <v>67</v>
      </c>
      <c r="L571" t="str">
        <f>IF(Table1[[#This Row],[Age]]&lt;20,"&lt;20",IF(Table1[[#This Row],[Age]]&lt;=70,"20-70","&gt;70"))</f>
        <v>20-70</v>
      </c>
      <c r="M571" t="s">
        <v>45</v>
      </c>
      <c r="N571" t="s">
        <v>34</v>
      </c>
      <c r="O571">
        <v>81.209999999999994</v>
      </c>
      <c r="P571">
        <v>10</v>
      </c>
      <c r="Q571">
        <v>40.604999999999997</v>
      </c>
      <c r="R571">
        <v>852.70500000000004</v>
      </c>
      <c r="S571">
        <v>812.1</v>
      </c>
      <c r="T571">
        <v>4.7619047620000003</v>
      </c>
      <c r="U571">
        <v>40.604999999999997</v>
      </c>
      <c r="V571">
        <v>6.3</v>
      </c>
    </row>
    <row r="572" spans="1:22" x14ac:dyDescent="0.2">
      <c r="A572" t="s">
        <v>603</v>
      </c>
      <c r="B572" s="1">
        <v>43499</v>
      </c>
      <c r="C572" s="2">
        <v>0.69444444444444442</v>
      </c>
      <c r="D572" s="2" t="str">
        <f>IF(Table1[[#This Row],[Time]]&lt;$D$1,$C$1,IF(Table1[[#This Row],[Time]]&lt;$D$2,$C$2,$C$3))</f>
        <v>Afternoon</v>
      </c>
      <c r="E572">
        <f>MONTH(Table1[[#This Row],[Date]])</f>
        <v>2</v>
      </c>
      <c r="F572" t="str">
        <f>VLOOKUP(Table1[[#This Row],[Month]],dctMonth[],2,FALSE)</f>
        <v>February</v>
      </c>
      <c r="G572" t="s">
        <v>26</v>
      </c>
      <c r="H572" t="s">
        <v>27</v>
      </c>
      <c r="I572" t="s">
        <v>28</v>
      </c>
      <c r="J572" t="s">
        <v>22</v>
      </c>
      <c r="K572">
        <v>42</v>
      </c>
      <c r="L572" t="str">
        <f>IF(Table1[[#This Row],[Age]]&lt;20,"&lt;20",IF(Table1[[#This Row],[Age]]&lt;=70,"20-70","&gt;70"))</f>
        <v>20-70</v>
      </c>
      <c r="M572" t="s">
        <v>37</v>
      </c>
      <c r="N572" t="s">
        <v>34</v>
      </c>
      <c r="O572">
        <v>49.33</v>
      </c>
      <c r="P572">
        <v>10</v>
      </c>
      <c r="Q572">
        <v>24.664999999999999</v>
      </c>
      <c r="R572">
        <v>517.96500000000003</v>
      </c>
      <c r="S572">
        <v>493.3</v>
      </c>
      <c r="T572">
        <v>4.7619047620000003</v>
      </c>
      <c r="U572">
        <v>24.664999999999999</v>
      </c>
      <c r="V572">
        <v>9.4</v>
      </c>
    </row>
    <row r="573" spans="1:22" x14ac:dyDescent="0.2">
      <c r="A573" t="s">
        <v>604</v>
      </c>
      <c r="B573" s="1">
        <v>43466</v>
      </c>
      <c r="C573" s="2">
        <v>0.57986111111111116</v>
      </c>
      <c r="D573" s="2" t="str">
        <f>IF(Table1[[#This Row],[Time]]&lt;$D$1,$C$1,IF(Table1[[#This Row],[Time]]&lt;$D$2,$C$2,$C$3))</f>
        <v>Afternoon</v>
      </c>
      <c r="E573">
        <f>MONTH(Table1[[#This Row],[Date]])</f>
        <v>1</v>
      </c>
      <c r="F573" t="str">
        <f>VLOOKUP(Table1[[#This Row],[Month]],dctMonth[],2,FALSE)</f>
        <v>January</v>
      </c>
      <c r="G573" t="s">
        <v>19</v>
      </c>
      <c r="H573" t="s">
        <v>20</v>
      </c>
      <c r="I573" t="s">
        <v>28</v>
      </c>
      <c r="J573" t="s">
        <v>22</v>
      </c>
      <c r="K573">
        <v>16</v>
      </c>
      <c r="L573" t="str">
        <f>IF(Table1[[#This Row],[Age]]&lt;20,"&lt;20",IF(Table1[[#This Row],[Age]]&lt;=70,"20-70","&gt;70"))</f>
        <v>&lt;20</v>
      </c>
      <c r="M573" t="s">
        <v>47</v>
      </c>
      <c r="N573" t="s">
        <v>30</v>
      </c>
      <c r="O573">
        <v>65.739999999999995</v>
      </c>
      <c r="P573">
        <v>9</v>
      </c>
      <c r="Q573">
        <v>29.582999999999998</v>
      </c>
      <c r="R573">
        <v>621.24300000000005</v>
      </c>
      <c r="S573">
        <v>591.66</v>
      </c>
      <c r="T573">
        <v>4.7619047620000003</v>
      </c>
      <c r="U573">
        <v>29.582999999999998</v>
      </c>
      <c r="V573">
        <v>7.7</v>
      </c>
    </row>
    <row r="574" spans="1:22" x14ac:dyDescent="0.2">
      <c r="A574" t="s">
        <v>605</v>
      </c>
      <c r="B574" s="1">
        <v>43475</v>
      </c>
      <c r="C574" s="2">
        <v>0.43958333333333333</v>
      </c>
      <c r="D574" s="2" t="str">
        <f>IF(Table1[[#This Row],[Time]]&lt;$D$1,$C$1,IF(Table1[[#This Row],[Time]]&lt;$D$2,$C$2,$C$3))</f>
        <v>Morning</v>
      </c>
      <c r="E574">
        <f>MONTH(Table1[[#This Row],[Date]])</f>
        <v>1</v>
      </c>
      <c r="F574" t="str">
        <f>VLOOKUP(Table1[[#This Row],[Month]],dctMonth[],2,FALSE)</f>
        <v>January</v>
      </c>
      <c r="G574" t="s">
        <v>43</v>
      </c>
      <c r="H574" t="s">
        <v>44</v>
      </c>
      <c r="I574" t="s">
        <v>28</v>
      </c>
      <c r="J574" t="s">
        <v>22</v>
      </c>
      <c r="K574">
        <v>28</v>
      </c>
      <c r="L574" t="str">
        <f>IF(Table1[[#This Row],[Age]]&lt;20,"&lt;20",IF(Table1[[#This Row],[Age]]&lt;=70,"20-70","&gt;70"))</f>
        <v>20-70</v>
      </c>
      <c r="M574" t="s">
        <v>47</v>
      </c>
      <c r="N574" t="s">
        <v>34</v>
      </c>
      <c r="O574">
        <v>79.86</v>
      </c>
      <c r="P574">
        <v>7</v>
      </c>
      <c r="Q574">
        <v>27.951000000000001</v>
      </c>
      <c r="R574">
        <v>586.971</v>
      </c>
      <c r="S574">
        <v>559.02</v>
      </c>
      <c r="T574">
        <v>4.7619047620000003</v>
      </c>
      <c r="U574">
        <v>27.951000000000001</v>
      </c>
      <c r="V574">
        <v>5.5</v>
      </c>
    </row>
    <row r="575" spans="1:22" x14ac:dyDescent="0.2">
      <c r="A575" t="s">
        <v>606</v>
      </c>
      <c r="B575" s="1">
        <v>43526</v>
      </c>
      <c r="C575" s="2">
        <v>0.6958333333333333</v>
      </c>
      <c r="D575" s="2" t="str">
        <f>IF(Table1[[#This Row],[Time]]&lt;$D$1,$C$1,IF(Table1[[#This Row],[Time]]&lt;$D$2,$C$2,$C$3))</f>
        <v>Afternoon</v>
      </c>
      <c r="E575">
        <f>MONTH(Table1[[#This Row],[Date]])</f>
        <v>3</v>
      </c>
      <c r="F575" t="str">
        <f>VLOOKUP(Table1[[#This Row],[Month]],dctMonth[],2,FALSE)</f>
        <v>March</v>
      </c>
      <c r="G575" t="s">
        <v>26</v>
      </c>
      <c r="H575" t="s">
        <v>27</v>
      </c>
      <c r="I575" t="s">
        <v>28</v>
      </c>
      <c r="J575" t="s">
        <v>22</v>
      </c>
      <c r="K575">
        <v>44</v>
      </c>
      <c r="L575" t="str">
        <f>IF(Table1[[#This Row],[Age]]&lt;20,"&lt;20",IF(Table1[[#This Row],[Age]]&lt;=70,"20-70","&gt;70"))</f>
        <v>20-70</v>
      </c>
      <c r="M575" t="s">
        <v>37</v>
      </c>
      <c r="N575" t="s">
        <v>24</v>
      </c>
      <c r="O575">
        <v>73.98</v>
      </c>
      <c r="P575">
        <v>7</v>
      </c>
      <c r="Q575">
        <v>25.893000000000001</v>
      </c>
      <c r="R575">
        <v>543.75300000000004</v>
      </c>
      <c r="S575">
        <v>517.86</v>
      </c>
      <c r="T575">
        <v>4.7619047620000003</v>
      </c>
      <c r="U575">
        <v>25.893000000000001</v>
      </c>
      <c r="V575">
        <v>4.0999999999999996</v>
      </c>
    </row>
    <row r="576" spans="1:22" x14ac:dyDescent="0.2">
      <c r="A576" t="s">
        <v>607</v>
      </c>
      <c r="B576" s="1">
        <v>43521</v>
      </c>
      <c r="C576" s="2">
        <v>0.71944444444444444</v>
      </c>
      <c r="D576" s="2" t="str">
        <f>IF(Table1[[#This Row],[Time]]&lt;$D$1,$C$1,IF(Table1[[#This Row],[Time]]&lt;$D$2,$C$2,$C$3))</f>
        <v>Evening</v>
      </c>
      <c r="E576">
        <f>MONTH(Table1[[#This Row],[Date]])</f>
        <v>2</v>
      </c>
      <c r="F576" t="str">
        <f>VLOOKUP(Table1[[#This Row],[Month]],dctMonth[],2,FALSE)</f>
        <v>February</v>
      </c>
      <c r="G576" t="s">
        <v>43</v>
      </c>
      <c r="H576" t="s">
        <v>44</v>
      </c>
      <c r="I576" t="s">
        <v>21</v>
      </c>
      <c r="J576" t="s">
        <v>22</v>
      </c>
      <c r="K576">
        <v>81</v>
      </c>
      <c r="L576" t="str">
        <f>IF(Table1[[#This Row],[Age]]&lt;20,"&lt;20",IF(Table1[[#This Row],[Age]]&lt;=70,"20-70","&gt;70"))</f>
        <v>&gt;70</v>
      </c>
      <c r="M576" t="s">
        <v>33</v>
      </c>
      <c r="N576" t="s">
        <v>34</v>
      </c>
      <c r="O576">
        <v>82.04</v>
      </c>
      <c r="P576">
        <v>5</v>
      </c>
      <c r="Q576">
        <v>20.51</v>
      </c>
      <c r="R576">
        <v>430.71</v>
      </c>
      <c r="S576">
        <v>410.2</v>
      </c>
      <c r="T576">
        <v>4.7619047620000003</v>
      </c>
      <c r="U576">
        <v>20.51</v>
      </c>
      <c r="V576">
        <v>7.6</v>
      </c>
    </row>
    <row r="577" spans="1:22" x14ac:dyDescent="0.2">
      <c r="A577" t="s">
        <v>608</v>
      </c>
      <c r="B577" s="1">
        <v>43494</v>
      </c>
      <c r="C577" s="2">
        <v>0.49166666666666664</v>
      </c>
      <c r="D577" s="2" t="str">
        <f>IF(Table1[[#This Row],[Time]]&lt;$D$1,$C$1,IF(Table1[[#This Row],[Time]]&lt;$D$2,$C$2,$C$3))</f>
        <v>Morning</v>
      </c>
      <c r="E577">
        <f>MONTH(Table1[[#This Row],[Date]])</f>
        <v>1</v>
      </c>
      <c r="F577" t="str">
        <f>VLOOKUP(Table1[[#This Row],[Month]],dctMonth[],2,FALSE)</f>
        <v>January</v>
      </c>
      <c r="G577" t="s">
        <v>43</v>
      </c>
      <c r="H577" t="s">
        <v>44</v>
      </c>
      <c r="I577" t="s">
        <v>21</v>
      </c>
      <c r="J577" t="s">
        <v>32</v>
      </c>
      <c r="K577">
        <v>74</v>
      </c>
      <c r="L577" t="str">
        <f>IF(Table1[[#This Row],[Age]]&lt;20,"&lt;20",IF(Table1[[#This Row],[Age]]&lt;=70,"20-70","&gt;70"))</f>
        <v>&gt;70</v>
      </c>
      <c r="M577" t="s">
        <v>37</v>
      </c>
      <c r="N577" t="s">
        <v>30</v>
      </c>
      <c r="O577">
        <v>26.67</v>
      </c>
      <c r="P577">
        <v>10</v>
      </c>
      <c r="Q577">
        <v>13.335000000000001</v>
      </c>
      <c r="R577">
        <v>280.03500000000003</v>
      </c>
      <c r="S577">
        <v>266.7</v>
      </c>
      <c r="T577">
        <v>4.7619047620000003</v>
      </c>
      <c r="U577">
        <v>13.335000000000001</v>
      </c>
      <c r="V577">
        <v>8.6</v>
      </c>
    </row>
    <row r="578" spans="1:22" x14ac:dyDescent="0.2">
      <c r="A578" t="s">
        <v>609</v>
      </c>
      <c r="B578" s="1">
        <v>43534</v>
      </c>
      <c r="C578" s="2">
        <v>0.81597222222222221</v>
      </c>
      <c r="D578" s="2" t="str">
        <f>IF(Table1[[#This Row],[Time]]&lt;$D$1,$C$1,IF(Table1[[#This Row],[Time]]&lt;$D$2,$C$2,$C$3))</f>
        <v>Evening</v>
      </c>
      <c r="E578">
        <f>MONTH(Table1[[#This Row],[Date]])</f>
        <v>3</v>
      </c>
      <c r="F578" t="str">
        <f>VLOOKUP(Table1[[#This Row],[Month]],dctMonth[],2,FALSE)</f>
        <v>March</v>
      </c>
      <c r="G578" t="s">
        <v>19</v>
      </c>
      <c r="H578" t="s">
        <v>20</v>
      </c>
      <c r="I578" t="s">
        <v>21</v>
      </c>
      <c r="J578" t="s">
        <v>32</v>
      </c>
      <c r="K578">
        <v>31</v>
      </c>
      <c r="L578" t="str">
        <f>IF(Table1[[#This Row],[Age]]&lt;20,"&lt;20",IF(Table1[[#This Row],[Age]]&lt;=70,"20-70","&gt;70"))</f>
        <v>20-70</v>
      </c>
      <c r="M578" t="s">
        <v>45</v>
      </c>
      <c r="N578" t="s">
        <v>24</v>
      </c>
      <c r="O578">
        <v>10.130000000000001</v>
      </c>
      <c r="P578">
        <v>7</v>
      </c>
      <c r="Q578">
        <v>3.5455000000000001</v>
      </c>
      <c r="R578">
        <v>74.455500000000001</v>
      </c>
      <c r="S578">
        <v>70.91</v>
      </c>
      <c r="T578">
        <v>4.7619047620000003</v>
      </c>
      <c r="U578">
        <v>3.5455000000000001</v>
      </c>
      <c r="V578">
        <v>8.3000000000000007</v>
      </c>
    </row>
    <row r="579" spans="1:22" x14ac:dyDescent="0.2">
      <c r="A579" t="s">
        <v>610</v>
      </c>
      <c r="B579" s="1">
        <v>43478</v>
      </c>
      <c r="C579" s="2">
        <v>0.82986111111111116</v>
      </c>
      <c r="D579" s="2" t="str">
        <f>IF(Table1[[#This Row],[Time]]&lt;$D$1,$C$1,IF(Table1[[#This Row],[Time]]&lt;$D$2,$C$2,$C$3))</f>
        <v>Evening</v>
      </c>
      <c r="E579">
        <f>MONTH(Table1[[#This Row],[Date]])</f>
        <v>1</v>
      </c>
      <c r="F579" t="str">
        <f>VLOOKUP(Table1[[#This Row],[Month]],dctMonth[],2,FALSE)</f>
        <v>January</v>
      </c>
      <c r="G579" t="s">
        <v>43</v>
      </c>
      <c r="H579" t="s">
        <v>44</v>
      </c>
      <c r="I579" t="s">
        <v>28</v>
      </c>
      <c r="J579" t="s">
        <v>32</v>
      </c>
      <c r="K579">
        <v>63</v>
      </c>
      <c r="L579" t="str">
        <f>IF(Table1[[#This Row],[Age]]&lt;20,"&lt;20",IF(Table1[[#This Row],[Age]]&lt;=70,"20-70","&gt;70"))</f>
        <v>20-70</v>
      </c>
      <c r="M579" t="s">
        <v>45</v>
      </c>
      <c r="N579" t="s">
        <v>34</v>
      </c>
      <c r="O579">
        <v>72.39</v>
      </c>
      <c r="P579">
        <v>2</v>
      </c>
      <c r="Q579">
        <v>7.2389999999999999</v>
      </c>
      <c r="R579">
        <v>152.01900000000001</v>
      </c>
      <c r="S579">
        <v>144.78</v>
      </c>
      <c r="T579">
        <v>4.7619047620000003</v>
      </c>
      <c r="U579">
        <v>7.2389999999999999</v>
      </c>
      <c r="V579">
        <v>8.1</v>
      </c>
    </row>
    <row r="580" spans="1:22" x14ac:dyDescent="0.2">
      <c r="A580" t="s">
        <v>611</v>
      </c>
      <c r="B580" s="1">
        <v>43546</v>
      </c>
      <c r="C580" s="2">
        <v>0.60624999999999996</v>
      </c>
      <c r="D580" s="2" t="str">
        <f>IF(Table1[[#This Row],[Time]]&lt;$D$1,$C$1,IF(Table1[[#This Row],[Time]]&lt;$D$2,$C$2,$C$3))</f>
        <v>Afternoon</v>
      </c>
      <c r="E580">
        <f>MONTH(Table1[[#This Row],[Date]])</f>
        <v>3</v>
      </c>
      <c r="F580" t="str">
        <f>VLOOKUP(Table1[[#This Row],[Month]],dctMonth[],2,FALSE)</f>
        <v>March</v>
      </c>
      <c r="G580" t="s">
        <v>19</v>
      </c>
      <c r="H580" t="s">
        <v>20</v>
      </c>
      <c r="I580" t="s">
        <v>28</v>
      </c>
      <c r="J580" t="s">
        <v>32</v>
      </c>
      <c r="K580">
        <v>38</v>
      </c>
      <c r="L580" t="str">
        <f>IF(Table1[[#This Row],[Age]]&lt;20,"&lt;20",IF(Table1[[#This Row],[Age]]&lt;=70,"20-70","&gt;70"))</f>
        <v>20-70</v>
      </c>
      <c r="M580" t="s">
        <v>37</v>
      </c>
      <c r="N580" t="s">
        <v>34</v>
      </c>
      <c r="O580">
        <v>85.91</v>
      </c>
      <c r="P580">
        <v>5</v>
      </c>
      <c r="Q580">
        <v>21.477499999999999</v>
      </c>
      <c r="R580">
        <v>451.02749999999997</v>
      </c>
      <c r="S580">
        <v>429.55</v>
      </c>
      <c r="T580">
        <v>4.7619047620000003</v>
      </c>
      <c r="U580">
        <v>21.477499999999999</v>
      </c>
      <c r="V580">
        <v>8.6</v>
      </c>
    </row>
    <row r="581" spans="1:22" x14ac:dyDescent="0.2">
      <c r="A581" t="s">
        <v>612</v>
      </c>
      <c r="B581" s="1">
        <v>43525</v>
      </c>
      <c r="C581" s="2">
        <v>0.8256944444444444</v>
      </c>
      <c r="D581" s="2" t="str">
        <f>IF(Table1[[#This Row],[Time]]&lt;$D$1,$C$1,IF(Table1[[#This Row],[Time]]&lt;$D$2,$C$2,$C$3))</f>
        <v>Evening</v>
      </c>
      <c r="E581">
        <f>MONTH(Table1[[#This Row],[Date]])</f>
        <v>3</v>
      </c>
      <c r="F581" t="str">
        <f>VLOOKUP(Table1[[#This Row],[Month]],dctMonth[],2,FALSE)</f>
        <v>March</v>
      </c>
      <c r="G581" t="s">
        <v>43</v>
      </c>
      <c r="H581" t="s">
        <v>44</v>
      </c>
      <c r="I581" t="s">
        <v>21</v>
      </c>
      <c r="J581" t="s">
        <v>32</v>
      </c>
      <c r="K581">
        <v>48</v>
      </c>
      <c r="L581" t="str">
        <f>IF(Table1[[#This Row],[Age]]&lt;20,"&lt;20",IF(Table1[[#This Row],[Age]]&lt;=70,"20-70","&gt;70"))</f>
        <v>20-70</v>
      </c>
      <c r="M581" t="s">
        <v>47</v>
      </c>
      <c r="N581" t="s">
        <v>24</v>
      </c>
      <c r="O581">
        <v>81.31</v>
      </c>
      <c r="P581">
        <v>7</v>
      </c>
      <c r="Q581">
        <v>28.458500000000001</v>
      </c>
      <c r="R581">
        <v>597.62850000000003</v>
      </c>
      <c r="S581">
        <v>569.16999999999996</v>
      </c>
      <c r="T581">
        <v>4.7619047620000003</v>
      </c>
      <c r="U581">
        <v>28.458500000000001</v>
      </c>
      <c r="V581">
        <v>6.3</v>
      </c>
    </row>
    <row r="582" spans="1:22" x14ac:dyDescent="0.2">
      <c r="A582" t="s">
        <v>613</v>
      </c>
      <c r="B582" s="1">
        <v>43516</v>
      </c>
      <c r="C582" s="2">
        <v>0.77986111111111112</v>
      </c>
      <c r="D582" s="2" t="str">
        <f>IF(Table1[[#This Row],[Time]]&lt;$D$1,$C$1,IF(Table1[[#This Row],[Time]]&lt;$D$2,$C$2,$C$3))</f>
        <v>Evening</v>
      </c>
      <c r="E582">
        <f>MONTH(Table1[[#This Row],[Date]])</f>
        <v>2</v>
      </c>
      <c r="F582" t="str">
        <f>VLOOKUP(Table1[[#This Row],[Month]],dctMonth[],2,FALSE)</f>
        <v>February</v>
      </c>
      <c r="G582" t="s">
        <v>43</v>
      </c>
      <c r="H582" t="s">
        <v>44</v>
      </c>
      <c r="I582" t="s">
        <v>28</v>
      </c>
      <c r="J582" t="s">
        <v>32</v>
      </c>
      <c r="K582">
        <v>60</v>
      </c>
      <c r="L582" t="str">
        <f>IF(Table1[[#This Row],[Age]]&lt;20,"&lt;20",IF(Table1[[#This Row],[Age]]&lt;=70,"20-70","&gt;70"))</f>
        <v>20-70</v>
      </c>
      <c r="M582" t="s">
        <v>45</v>
      </c>
      <c r="N582" t="s">
        <v>30</v>
      </c>
      <c r="O582">
        <v>60.3</v>
      </c>
      <c r="P582">
        <v>4</v>
      </c>
      <c r="Q582">
        <v>12.06</v>
      </c>
      <c r="R582">
        <v>253.26</v>
      </c>
      <c r="S582">
        <v>241.2</v>
      </c>
      <c r="T582">
        <v>4.7619047620000003</v>
      </c>
      <c r="U582">
        <v>12.06</v>
      </c>
      <c r="V582">
        <v>5.8</v>
      </c>
    </row>
    <row r="583" spans="1:22" x14ac:dyDescent="0.2">
      <c r="A583" t="s">
        <v>614</v>
      </c>
      <c r="B583" s="1">
        <v>43479</v>
      </c>
      <c r="C583" s="2">
        <v>0.61319444444444449</v>
      </c>
      <c r="D583" s="2" t="str">
        <f>IF(Table1[[#This Row],[Time]]&lt;$D$1,$C$1,IF(Table1[[#This Row],[Time]]&lt;$D$2,$C$2,$C$3))</f>
        <v>Afternoon</v>
      </c>
      <c r="E583">
        <f>MONTH(Table1[[#This Row],[Date]])</f>
        <v>1</v>
      </c>
      <c r="F583" t="str">
        <f>VLOOKUP(Table1[[#This Row],[Month]],dctMonth[],2,FALSE)</f>
        <v>January</v>
      </c>
      <c r="G583" t="s">
        <v>26</v>
      </c>
      <c r="H583" t="s">
        <v>27</v>
      </c>
      <c r="I583" t="s">
        <v>28</v>
      </c>
      <c r="J583" t="s">
        <v>32</v>
      </c>
      <c r="K583">
        <v>85</v>
      </c>
      <c r="L583" t="str">
        <f>IF(Table1[[#This Row],[Age]]&lt;20,"&lt;20",IF(Table1[[#This Row],[Age]]&lt;=70,"20-70","&gt;70"))</f>
        <v>&gt;70</v>
      </c>
      <c r="M583" t="s">
        <v>45</v>
      </c>
      <c r="N583" t="s">
        <v>24</v>
      </c>
      <c r="O583">
        <v>31.77</v>
      </c>
      <c r="P583">
        <v>4</v>
      </c>
      <c r="Q583">
        <v>6.3540000000000001</v>
      </c>
      <c r="R583">
        <v>133.434</v>
      </c>
      <c r="S583">
        <v>127.08</v>
      </c>
      <c r="T583">
        <v>4.7619047620000003</v>
      </c>
      <c r="U583">
        <v>6.3540000000000001</v>
      </c>
      <c r="V583">
        <v>6.2</v>
      </c>
    </row>
    <row r="584" spans="1:22" x14ac:dyDescent="0.2">
      <c r="A584" t="s">
        <v>615</v>
      </c>
      <c r="B584" s="1">
        <v>43550</v>
      </c>
      <c r="C584" s="2">
        <v>0.57916666666666672</v>
      </c>
      <c r="D584" s="2" t="str">
        <f>IF(Table1[[#This Row],[Time]]&lt;$D$1,$C$1,IF(Table1[[#This Row],[Time]]&lt;$D$2,$C$2,$C$3))</f>
        <v>Afternoon</v>
      </c>
      <c r="E584">
        <f>MONTH(Table1[[#This Row],[Date]])</f>
        <v>3</v>
      </c>
      <c r="F584" t="str">
        <f>VLOOKUP(Table1[[#This Row],[Month]],dctMonth[],2,FALSE)</f>
        <v>March</v>
      </c>
      <c r="G584" t="s">
        <v>19</v>
      </c>
      <c r="H584" t="s">
        <v>20</v>
      </c>
      <c r="I584" t="s">
        <v>28</v>
      </c>
      <c r="J584" t="s">
        <v>22</v>
      </c>
      <c r="K584">
        <v>71</v>
      </c>
      <c r="L584" t="str">
        <f>IF(Table1[[#This Row],[Age]]&lt;20,"&lt;20",IF(Table1[[#This Row],[Age]]&lt;=70,"20-70","&gt;70"))</f>
        <v>&gt;70</v>
      </c>
      <c r="M584" t="s">
        <v>23</v>
      </c>
      <c r="N584" t="s">
        <v>30</v>
      </c>
      <c r="O584">
        <v>64.27</v>
      </c>
      <c r="P584">
        <v>4</v>
      </c>
      <c r="Q584">
        <v>12.853999999999999</v>
      </c>
      <c r="R584">
        <v>269.93400000000003</v>
      </c>
      <c r="S584">
        <v>257.08</v>
      </c>
      <c r="T584">
        <v>4.7619047620000003</v>
      </c>
      <c r="U584">
        <v>12.853999999999999</v>
      </c>
      <c r="V584">
        <v>7.7</v>
      </c>
    </row>
    <row r="585" spans="1:22" x14ac:dyDescent="0.2">
      <c r="A585" t="s">
        <v>616</v>
      </c>
      <c r="B585" s="1">
        <v>43525</v>
      </c>
      <c r="C585" s="2">
        <v>0.51041666666666663</v>
      </c>
      <c r="D585" s="2" t="str">
        <f>IF(Table1[[#This Row],[Time]]&lt;$D$1,$C$1,IF(Table1[[#This Row],[Time]]&lt;$D$2,$C$2,$C$3))</f>
        <v>Afternoon</v>
      </c>
      <c r="E585">
        <f>MONTH(Table1[[#This Row],[Date]])</f>
        <v>3</v>
      </c>
      <c r="F585" t="str">
        <f>VLOOKUP(Table1[[#This Row],[Month]],dctMonth[],2,FALSE)</f>
        <v>March</v>
      </c>
      <c r="G585" t="s">
        <v>43</v>
      </c>
      <c r="H585" t="s">
        <v>44</v>
      </c>
      <c r="I585" t="s">
        <v>28</v>
      </c>
      <c r="J585" t="s">
        <v>32</v>
      </c>
      <c r="K585">
        <v>32</v>
      </c>
      <c r="L585" t="str">
        <f>IF(Table1[[#This Row],[Age]]&lt;20,"&lt;20",IF(Table1[[#This Row],[Age]]&lt;=70,"20-70","&gt;70"))</f>
        <v>20-70</v>
      </c>
      <c r="M585" t="s">
        <v>23</v>
      </c>
      <c r="N585" t="s">
        <v>24</v>
      </c>
      <c r="O585">
        <v>69.510000000000005</v>
      </c>
      <c r="P585">
        <v>2</v>
      </c>
      <c r="Q585">
        <v>6.9509999999999996</v>
      </c>
      <c r="R585">
        <v>145.971</v>
      </c>
      <c r="S585">
        <v>139.02000000000001</v>
      </c>
      <c r="T585">
        <v>4.7619047620000003</v>
      </c>
      <c r="U585">
        <v>6.9509999999999996</v>
      </c>
      <c r="V585">
        <v>8.1</v>
      </c>
    </row>
    <row r="586" spans="1:22" x14ac:dyDescent="0.2">
      <c r="A586" t="s">
        <v>617</v>
      </c>
      <c r="B586" s="1">
        <v>43472</v>
      </c>
      <c r="C586" s="2">
        <v>0.52569444444444446</v>
      </c>
      <c r="D586" s="2" t="str">
        <f>IF(Table1[[#This Row],[Time]]&lt;$D$1,$C$1,IF(Table1[[#This Row],[Time]]&lt;$D$2,$C$2,$C$3))</f>
        <v>Afternoon</v>
      </c>
      <c r="E586">
        <f>MONTH(Table1[[#This Row],[Date]])</f>
        <v>1</v>
      </c>
      <c r="F586" t="str">
        <f>VLOOKUP(Table1[[#This Row],[Month]],dctMonth[],2,FALSE)</f>
        <v>January</v>
      </c>
      <c r="G586" t="s">
        <v>26</v>
      </c>
      <c r="H586" t="s">
        <v>27</v>
      </c>
      <c r="I586" t="s">
        <v>28</v>
      </c>
      <c r="J586" t="s">
        <v>32</v>
      </c>
      <c r="K586">
        <v>52</v>
      </c>
      <c r="L586" t="str">
        <f>IF(Table1[[#This Row],[Age]]&lt;20,"&lt;20",IF(Table1[[#This Row],[Age]]&lt;=70,"20-70","&gt;70"))</f>
        <v>20-70</v>
      </c>
      <c r="M586" t="s">
        <v>45</v>
      </c>
      <c r="N586" t="s">
        <v>30</v>
      </c>
      <c r="O586">
        <v>27.22</v>
      </c>
      <c r="P586">
        <v>3</v>
      </c>
      <c r="Q586">
        <v>4.0830000000000002</v>
      </c>
      <c r="R586">
        <v>85.742999999999995</v>
      </c>
      <c r="S586">
        <v>81.66</v>
      </c>
      <c r="T586">
        <v>4.7619047620000003</v>
      </c>
      <c r="U586">
        <v>4.0830000000000002</v>
      </c>
      <c r="V586">
        <v>7.3</v>
      </c>
    </row>
    <row r="587" spans="1:22" x14ac:dyDescent="0.2">
      <c r="A587" t="s">
        <v>618</v>
      </c>
      <c r="B587" s="1">
        <v>43497</v>
      </c>
      <c r="C587" s="2">
        <v>0.82916666666666672</v>
      </c>
      <c r="D587" s="2" t="str">
        <f>IF(Table1[[#This Row],[Time]]&lt;$D$1,$C$1,IF(Table1[[#This Row],[Time]]&lt;$D$2,$C$2,$C$3))</f>
        <v>Evening</v>
      </c>
      <c r="E587">
        <f>MONTH(Table1[[#This Row],[Date]])</f>
        <v>2</v>
      </c>
      <c r="F587" t="str">
        <f>VLOOKUP(Table1[[#This Row],[Month]],dctMonth[],2,FALSE)</f>
        <v>February</v>
      </c>
      <c r="G587" t="s">
        <v>19</v>
      </c>
      <c r="H587" t="s">
        <v>20</v>
      </c>
      <c r="I587" t="s">
        <v>21</v>
      </c>
      <c r="J587" t="s">
        <v>22</v>
      </c>
      <c r="K587">
        <v>50</v>
      </c>
      <c r="L587" t="str">
        <f>IF(Table1[[#This Row],[Age]]&lt;20,"&lt;20",IF(Table1[[#This Row],[Age]]&lt;=70,"20-70","&gt;70"))</f>
        <v>20-70</v>
      </c>
      <c r="M587" t="s">
        <v>23</v>
      </c>
      <c r="N587" t="s">
        <v>30</v>
      </c>
      <c r="O587">
        <v>77.680000000000007</v>
      </c>
      <c r="P587">
        <v>4</v>
      </c>
      <c r="Q587">
        <v>15.536</v>
      </c>
      <c r="R587">
        <v>326.25599999999997</v>
      </c>
      <c r="S587">
        <v>310.72000000000003</v>
      </c>
      <c r="T587">
        <v>4.7619047620000003</v>
      </c>
      <c r="U587">
        <v>15.536</v>
      </c>
      <c r="V587">
        <v>8.4</v>
      </c>
    </row>
    <row r="588" spans="1:22" x14ac:dyDescent="0.2">
      <c r="A588" t="s">
        <v>619</v>
      </c>
      <c r="B588" s="1">
        <v>43509</v>
      </c>
      <c r="C588" s="2">
        <v>0.62916666666666665</v>
      </c>
      <c r="D588" s="2" t="str">
        <f>IF(Table1[[#This Row],[Time]]&lt;$D$1,$C$1,IF(Table1[[#This Row],[Time]]&lt;$D$2,$C$2,$C$3))</f>
        <v>Afternoon</v>
      </c>
      <c r="E588">
        <f>MONTH(Table1[[#This Row],[Date]])</f>
        <v>2</v>
      </c>
      <c r="F588" t="str">
        <f>VLOOKUP(Table1[[#This Row],[Month]],dctMonth[],2,FALSE)</f>
        <v>February</v>
      </c>
      <c r="G588" t="s">
        <v>26</v>
      </c>
      <c r="H588" t="s">
        <v>27</v>
      </c>
      <c r="I588" t="s">
        <v>21</v>
      </c>
      <c r="J588" t="s">
        <v>22</v>
      </c>
      <c r="K588">
        <v>27</v>
      </c>
      <c r="L588" t="str">
        <f>IF(Table1[[#This Row],[Age]]&lt;20,"&lt;20",IF(Table1[[#This Row],[Age]]&lt;=70,"20-70","&gt;70"))</f>
        <v>20-70</v>
      </c>
      <c r="M588" t="s">
        <v>47</v>
      </c>
      <c r="N588" t="s">
        <v>34</v>
      </c>
      <c r="O588">
        <v>92.98</v>
      </c>
      <c r="P588">
        <v>2</v>
      </c>
      <c r="Q588">
        <v>9.298</v>
      </c>
      <c r="R588">
        <v>195.25800000000001</v>
      </c>
      <c r="S588">
        <v>185.96</v>
      </c>
      <c r="T588">
        <v>4.7619047620000003</v>
      </c>
      <c r="U588">
        <v>9.298</v>
      </c>
      <c r="V588">
        <v>8</v>
      </c>
    </row>
    <row r="589" spans="1:22" x14ac:dyDescent="0.2">
      <c r="A589" t="s">
        <v>620</v>
      </c>
      <c r="B589" s="1">
        <v>43479</v>
      </c>
      <c r="C589" s="2">
        <v>0.75208333333333333</v>
      </c>
      <c r="D589" s="2" t="str">
        <f>IF(Table1[[#This Row],[Time]]&lt;$D$1,$C$1,IF(Table1[[#This Row],[Time]]&lt;$D$2,$C$2,$C$3))</f>
        <v>Evening</v>
      </c>
      <c r="E589">
        <f>MONTH(Table1[[#This Row],[Date]])</f>
        <v>1</v>
      </c>
      <c r="F589" t="str">
        <f>VLOOKUP(Table1[[#This Row],[Month]],dctMonth[],2,FALSE)</f>
        <v>January</v>
      </c>
      <c r="G589" t="s">
        <v>43</v>
      </c>
      <c r="H589" t="s">
        <v>44</v>
      </c>
      <c r="I589" t="s">
        <v>21</v>
      </c>
      <c r="J589" t="s">
        <v>22</v>
      </c>
      <c r="K589">
        <v>63</v>
      </c>
      <c r="L589" t="str">
        <f>IF(Table1[[#This Row],[Age]]&lt;20,"&lt;20",IF(Table1[[#This Row],[Age]]&lt;=70,"20-70","&gt;70"))</f>
        <v>20-70</v>
      </c>
      <c r="M589" t="s">
        <v>47</v>
      </c>
      <c r="N589" t="s">
        <v>34</v>
      </c>
      <c r="O589">
        <v>18.079999999999998</v>
      </c>
      <c r="P589">
        <v>4</v>
      </c>
      <c r="Q589">
        <v>3.6160000000000001</v>
      </c>
      <c r="R589">
        <v>75.936000000000007</v>
      </c>
      <c r="S589">
        <v>72.319999999999993</v>
      </c>
      <c r="T589">
        <v>4.7619047620000003</v>
      </c>
      <c r="U589">
        <v>3.6160000000000001</v>
      </c>
      <c r="V589">
        <v>9.5</v>
      </c>
    </row>
    <row r="590" spans="1:22" x14ac:dyDescent="0.2">
      <c r="A590" t="s">
        <v>621</v>
      </c>
      <c r="B590" s="1">
        <v>43484</v>
      </c>
      <c r="C590" s="2">
        <v>0.66527777777777775</v>
      </c>
      <c r="D590" s="2" t="str">
        <f>IF(Table1[[#This Row],[Time]]&lt;$D$1,$C$1,IF(Table1[[#This Row],[Time]]&lt;$D$2,$C$2,$C$3))</f>
        <v>Afternoon</v>
      </c>
      <c r="E590">
        <f>MONTH(Table1[[#This Row],[Date]])</f>
        <v>1</v>
      </c>
      <c r="F590" t="str">
        <f>VLOOKUP(Table1[[#This Row],[Month]],dctMonth[],2,FALSE)</f>
        <v>January</v>
      </c>
      <c r="G590" t="s">
        <v>43</v>
      </c>
      <c r="H590" t="s">
        <v>44</v>
      </c>
      <c r="I590" t="s">
        <v>28</v>
      </c>
      <c r="J590" t="s">
        <v>32</v>
      </c>
      <c r="K590">
        <v>86</v>
      </c>
      <c r="L590" t="str">
        <f>IF(Table1[[#This Row],[Age]]&lt;20,"&lt;20",IF(Table1[[#This Row],[Age]]&lt;=70,"20-70","&gt;70"))</f>
        <v>&gt;70</v>
      </c>
      <c r="M590" t="s">
        <v>37</v>
      </c>
      <c r="N590" t="s">
        <v>24</v>
      </c>
      <c r="O590">
        <v>63.06</v>
      </c>
      <c r="P590">
        <v>3</v>
      </c>
      <c r="Q590">
        <v>9.4589999999999996</v>
      </c>
      <c r="R590">
        <v>198.63900000000001</v>
      </c>
      <c r="S590">
        <v>189.18</v>
      </c>
      <c r="T590">
        <v>4.7619047620000003</v>
      </c>
      <c r="U590">
        <v>9.4589999999999996</v>
      </c>
      <c r="V590">
        <v>7</v>
      </c>
    </row>
    <row r="591" spans="1:22" x14ac:dyDescent="0.2">
      <c r="A591" t="s">
        <v>622</v>
      </c>
      <c r="B591" s="1">
        <v>43533</v>
      </c>
      <c r="C591" s="2">
        <v>0.57847222222222228</v>
      </c>
      <c r="D591" s="2" t="str">
        <f>IF(Table1[[#This Row],[Time]]&lt;$D$1,$C$1,IF(Table1[[#This Row],[Time]]&lt;$D$2,$C$2,$C$3))</f>
        <v>Afternoon</v>
      </c>
      <c r="E591">
        <f>MONTH(Table1[[#This Row],[Date]])</f>
        <v>3</v>
      </c>
      <c r="F591" t="str">
        <f>VLOOKUP(Table1[[#This Row],[Month]],dctMonth[],2,FALSE)</f>
        <v>March</v>
      </c>
      <c r="G591" t="s">
        <v>19</v>
      </c>
      <c r="H591" t="s">
        <v>20</v>
      </c>
      <c r="I591" t="s">
        <v>28</v>
      </c>
      <c r="J591" t="s">
        <v>32</v>
      </c>
      <c r="K591">
        <v>78</v>
      </c>
      <c r="L591" t="str">
        <f>IF(Table1[[#This Row],[Age]]&lt;20,"&lt;20",IF(Table1[[#This Row],[Age]]&lt;=70,"20-70","&gt;70"))</f>
        <v>&gt;70</v>
      </c>
      <c r="M591" t="s">
        <v>23</v>
      </c>
      <c r="N591" t="s">
        <v>34</v>
      </c>
      <c r="O591">
        <v>51.71</v>
      </c>
      <c r="P591">
        <v>4</v>
      </c>
      <c r="Q591">
        <v>10.342000000000001</v>
      </c>
      <c r="R591">
        <v>217.18199999999999</v>
      </c>
      <c r="S591">
        <v>206.84</v>
      </c>
      <c r="T591">
        <v>4.7619047620000003</v>
      </c>
      <c r="U591">
        <v>10.342000000000001</v>
      </c>
      <c r="V591">
        <v>9.8000000000000007</v>
      </c>
    </row>
    <row r="592" spans="1:22" x14ac:dyDescent="0.2">
      <c r="A592" t="s">
        <v>623</v>
      </c>
      <c r="B592" s="1">
        <v>43551</v>
      </c>
      <c r="C592" s="2">
        <v>0.5854166666666667</v>
      </c>
      <c r="D592" s="2" t="str">
        <f>IF(Table1[[#This Row],[Time]]&lt;$D$1,$C$1,IF(Table1[[#This Row],[Time]]&lt;$D$2,$C$2,$C$3))</f>
        <v>Afternoon</v>
      </c>
      <c r="E592">
        <f>MONTH(Table1[[#This Row],[Date]])</f>
        <v>3</v>
      </c>
      <c r="F592" t="str">
        <f>VLOOKUP(Table1[[#This Row],[Month]],dctMonth[],2,FALSE)</f>
        <v>March</v>
      </c>
      <c r="G592" t="s">
        <v>19</v>
      </c>
      <c r="H592" t="s">
        <v>20</v>
      </c>
      <c r="I592" t="s">
        <v>28</v>
      </c>
      <c r="J592" t="s">
        <v>22</v>
      </c>
      <c r="K592">
        <v>18</v>
      </c>
      <c r="L592" t="str">
        <f>IF(Table1[[#This Row],[Age]]&lt;20,"&lt;20",IF(Table1[[#This Row],[Age]]&lt;=70,"20-70","&gt;70"))</f>
        <v>&lt;20</v>
      </c>
      <c r="M592" t="s">
        <v>45</v>
      </c>
      <c r="N592" t="s">
        <v>30</v>
      </c>
      <c r="O592">
        <v>52.34</v>
      </c>
      <c r="P592">
        <v>3</v>
      </c>
      <c r="Q592">
        <v>7.851</v>
      </c>
      <c r="R592">
        <v>164.87100000000001</v>
      </c>
      <c r="S592">
        <v>157.02000000000001</v>
      </c>
      <c r="T592">
        <v>4.7619047620000003</v>
      </c>
      <c r="U592">
        <v>7.851</v>
      </c>
      <c r="V592">
        <v>9.1999999999999993</v>
      </c>
    </row>
    <row r="593" spans="1:22" x14ac:dyDescent="0.2">
      <c r="A593" t="s">
        <v>624</v>
      </c>
      <c r="B593" s="1">
        <v>43500</v>
      </c>
      <c r="C593" s="2">
        <v>0.69305555555555554</v>
      </c>
      <c r="D593" s="2" t="str">
        <f>IF(Table1[[#This Row],[Time]]&lt;$D$1,$C$1,IF(Table1[[#This Row],[Time]]&lt;$D$2,$C$2,$C$3))</f>
        <v>Afternoon</v>
      </c>
      <c r="E593">
        <f>MONTH(Table1[[#This Row],[Date]])</f>
        <v>2</v>
      </c>
      <c r="F593" t="str">
        <f>VLOOKUP(Table1[[#This Row],[Month]],dctMonth[],2,FALSE)</f>
        <v>February</v>
      </c>
      <c r="G593" t="s">
        <v>19</v>
      </c>
      <c r="H593" t="s">
        <v>20</v>
      </c>
      <c r="I593" t="s">
        <v>28</v>
      </c>
      <c r="J593" t="s">
        <v>22</v>
      </c>
      <c r="K593">
        <v>52</v>
      </c>
      <c r="L593" t="str">
        <f>IF(Table1[[#This Row],[Age]]&lt;20,"&lt;20",IF(Table1[[#This Row],[Age]]&lt;=70,"20-70","&gt;70"))</f>
        <v>20-70</v>
      </c>
      <c r="M593" t="s">
        <v>37</v>
      </c>
      <c r="N593" t="s">
        <v>24</v>
      </c>
      <c r="O593">
        <v>43.06</v>
      </c>
      <c r="P593">
        <v>5</v>
      </c>
      <c r="Q593">
        <v>10.765000000000001</v>
      </c>
      <c r="R593">
        <v>226.065</v>
      </c>
      <c r="S593">
        <v>215.3</v>
      </c>
      <c r="T593">
        <v>4.7619047620000003</v>
      </c>
      <c r="U593">
        <v>10.765000000000001</v>
      </c>
      <c r="V593">
        <v>7.7</v>
      </c>
    </row>
    <row r="594" spans="1:22" x14ac:dyDescent="0.2">
      <c r="A594" t="s">
        <v>625</v>
      </c>
      <c r="B594" s="1">
        <v>43538</v>
      </c>
      <c r="C594" s="2">
        <v>0.46319444444444446</v>
      </c>
      <c r="D594" s="2" t="str">
        <f>IF(Table1[[#This Row],[Time]]&lt;$D$1,$C$1,IF(Table1[[#This Row],[Time]]&lt;$D$2,$C$2,$C$3))</f>
        <v>Morning</v>
      </c>
      <c r="E594">
        <f>MONTH(Table1[[#This Row],[Date]])</f>
        <v>3</v>
      </c>
      <c r="F594" t="str">
        <f>VLOOKUP(Table1[[#This Row],[Month]],dctMonth[],2,FALSE)</f>
        <v>March</v>
      </c>
      <c r="G594" t="s">
        <v>26</v>
      </c>
      <c r="H594" t="s">
        <v>27</v>
      </c>
      <c r="I594" t="s">
        <v>28</v>
      </c>
      <c r="J594" t="s">
        <v>32</v>
      </c>
      <c r="K594">
        <v>82</v>
      </c>
      <c r="L594" t="str">
        <f>IF(Table1[[#This Row],[Age]]&lt;20,"&lt;20",IF(Table1[[#This Row],[Age]]&lt;=70,"20-70","&gt;70"))</f>
        <v>&gt;70</v>
      </c>
      <c r="M594" t="s">
        <v>47</v>
      </c>
      <c r="N594" t="s">
        <v>30</v>
      </c>
      <c r="O594">
        <v>59.61</v>
      </c>
      <c r="P594">
        <v>10</v>
      </c>
      <c r="Q594">
        <v>29.805</v>
      </c>
      <c r="R594">
        <v>625.90499999999997</v>
      </c>
      <c r="S594">
        <v>596.1</v>
      </c>
      <c r="T594">
        <v>4.7619047620000003</v>
      </c>
      <c r="U594">
        <v>29.805</v>
      </c>
      <c r="V594">
        <v>5.3</v>
      </c>
    </row>
    <row r="595" spans="1:22" x14ac:dyDescent="0.2">
      <c r="A595" t="s">
        <v>626</v>
      </c>
      <c r="B595" s="1">
        <v>43528</v>
      </c>
      <c r="C595" s="2">
        <v>0.51597222222222228</v>
      </c>
      <c r="D595" s="2" t="str">
        <f>IF(Table1[[#This Row],[Time]]&lt;$D$1,$C$1,IF(Table1[[#This Row],[Time]]&lt;$D$2,$C$2,$C$3))</f>
        <v>Afternoon</v>
      </c>
      <c r="E595">
        <f>MONTH(Table1[[#This Row],[Date]])</f>
        <v>3</v>
      </c>
      <c r="F595" t="str">
        <f>VLOOKUP(Table1[[#This Row],[Month]],dctMonth[],2,FALSE)</f>
        <v>March</v>
      </c>
      <c r="G595" t="s">
        <v>19</v>
      </c>
      <c r="H595" t="s">
        <v>20</v>
      </c>
      <c r="I595" t="s">
        <v>28</v>
      </c>
      <c r="J595" t="s">
        <v>32</v>
      </c>
      <c r="K595">
        <v>27</v>
      </c>
      <c r="L595" t="str">
        <f>IF(Table1[[#This Row],[Age]]&lt;20,"&lt;20",IF(Table1[[#This Row],[Age]]&lt;=70,"20-70","&gt;70"))</f>
        <v>20-70</v>
      </c>
      <c r="M595" t="s">
        <v>23</v>
      </c>
      <c r="N595" t="s">
        <v>30</v>
      </c>
      <c r="O595">
        <v>14.62</v>
      </c>
      <c r="P595">
        <v>5</v>
      </c>
      <c r="Q595">
        <v>3.6549999999999998</v>
      </c>
      <c r="R595">
        <v>76.754999999999995</v>
      </c>
      <c r="S595">
        <v>73.099999999999994</v>
      </c>
      <c r="T595">
        <v>4.7619047620000003</v>
      </c>
      <c r="U595">
        <v>3.6549999999999998</v>
      </c>
      <c r="V595">
        <v>4.4000000000000004</v>
      </c>
    </row>
    <row r="596" spans="1:22" x14ac:dyDescent="0.2">
      <c r="A596" t="s">
        <v>627</v>
      </c>
      <c r="B596" s="1">
        <v>43527</v>
      </c>
      <c r="C596" s="2">
        <v>0.45416666666666666</v>
      </c>
      <c r="D596" s="2" t="str">
        <f>IF(Table1[[#This Row],[Time]]&lt;$D$1,$C$1,IF(Table1[[#This Row],[Time]]&lt;$D$2,$C$2,$C$3))</f>
        <v>Morning</v>
      </c>
      <c r="E596">
        <f>MONTH(Table1[[#This Row],[Date]])</f>
        <v>3</v>
      </c>
      <c r="F596" t="str">
        <f>VLOOKUP(Table1[[#This Row],[Month]],dctMonth[],2,FALSE)</f>
        <v>March</v>
      </c>
      <c r="G596" t="s">
        <v>26</v>
      </c>
      <c r="H596" t="s">
        <v>27</v>
      </c>
      <c r="I596" t="s">
        <v>21</v>
      </c>
      <c r="J596" t="s">
        <v>32</v>
      </c>
      <c r="K596">
        <v>39</v>
      </c>
      <c r="L596" t="str">
        <f>IF(Table1[[#This Row],[Age]]&lt;20,"&lt;20",IF(Table1[[#This Row],[Age]]&lt;=70,"20-70","&gt;70"))</f>
        <v>20-70</v>
      </c>
      <c r="M596" t="s">
        <v>23</v>
      </c>
      <c r="N596" t="s">
        <v>34</v>
      </c>
      <c r="O596">
        <v>46.53</v>
      </c>
      <c r="P596">
        <v>6</v>
      </c>
      <c r="Q596">
        <v>13.959</v>
      </c>
      <c r="R596">
        <v>293.13900000000001</v>
      </c>
      <c r="S596">
        <v>279.18</v>
      </c>
      <c r="T596">
        <v>4.7619047620000003</v>
      </c>
      <c r="U596">
        <v>13.959</v>
      </c>
      <c r="V596">
        <v>4.3</v>
      </c>
    </row>
    <row r="597" spans="1:22" x14ac:dyDescent="0.2">
      <c r="A597" t="s">
        <v>628</v>
      </c>
      <c r="B597" s="1">
        <v>43492</v>
      </c>
      <c r="C597" s="2">
        <v>0.73472222222222228</v>
      </c>
      <c r="D597" s="2" t="str">
        <f>IF(Table1[[#This Row],[Time]]&lt;$D$1,$C$1,IF(Table1[[#This Row],[Time]]&lt;$D$2,$C$2,$C$3))</f>
        <v>Evening</v>
      </c>
      <c r="E597">
        <f>MONTH(Table1[[#This Row],[Date]])</f>
        <v>1</v>
      </c>
      <c r="F597" t="str">
        <f>VLOOKUP(Table1[[#This Row],[Month]],dctMonth[],2,FALSE)</f>
        <v>January</v>
      </c>
      <c r="G597" t="s">
        <v>26</v>
      </c>
      <c r="H597" t="s">
        <v>27</v>
      </c>
      <c r="I597" t="s">
        <v>21</v>
      </c>
      <c r="J597" t="s">
        <v>22</v>
      </c>
      <c r="K597">
        <v>74</v>
      </c>
      <c r="L597" t="str">
        <f>IF(Table1[[#This Row],[Age]]&lt;20,"&lt;20",IF(Table1[[#This Row],[Age]]&lt;=70,"20-70","&gt;70"))</f>
        <v>&gt;70</v>
      </c>
      <c r="M597" t="s">
        <v>33</v>
      </c>
      <c r="N597" t="s">
        <v>24</v>
      </c>
      <c r="O597">
        <v>24.24</v>
      </c>
      <c r="P597">
        <v>7</v>
      </c>
      <c r="Q597">
        <v>8.484</v>
      </c>
      <c r="R597">
        <v>178.16399999999999</v>
      </c>
      <c r="S597">
        <v>169.68</v>
      </c>
      <c r="T597">
        <v>4.7619047620000003</v>
      </c>
      <c r="U597">
        <v>8.484</v>
      </c>
      <c r="V597">
        <v>9.4</v>
      </c>
    </row>
    <row r="598" spans="1:22" x14ac:dyDescent="0.2">
      <c r="A598" t="s">
        <v>629</v>
      </c>
      <c r="B598" s="1">
        <v>43503</v>
      </c>
      <c r="C598" s="2">
        <v>0.59236111111111112</v>
      </c>
      <c r="D598" s="2" t="str">
        <f>IF(Table1[[#This Row],[Time]]&lt;$D$1,$C$1,IF(Table1[[#This Row],[Time]]&lt;$D$2,$C$2,$C$3))</f>
        <v>Afternoon</v>
      </c>
      <c r="E598">
        <f>MONTH(Table1[[#This Row],[Date]])</f>
        <v>2</v>
      </c>
      <c r="F598" t="str">
        <f>VLOOKUP(Table1[[#This Row],[Month]],dctMonth[],2,FALSE)</f>
        <v>February</v>
      </c>
      <c r="G598" t="s">
        <v>19</v>
      </c>
      <c r="H598" t="s">
        <v>20</v>
      </c>
      <c r="I598" t="s">
        <v>21</v>
      </c>
      <c r="J598" t="s">
        <v>22</v>
      </c>
      <c r="K598">
        <v>63</v>
      </c>
      <c r="L598" t="str">
        <f>IF(Table1[[#This Row],[Age]]&lt;20,"&lt;20",IF(Table1[[#This Row],[Age]]&lt;=70,"20-70","&gt;70"))</f>
        <v>20-70</v>
      </c>
      <c r="M598" t="s">
        <v>37</v>
      </c>
      <c r="N598" t="s">
        <v>30</v>
      </c>
      <c r="O598">
        <v>45.58</v>
      </c>
      <c r="P598">
        <v>1</v>
      </c>
      <c r="Q598">
        <v>2.2789999999999999</v>
      </c>
      <c r="R598">
        <v>47.859000000000002</v>
      </c>
      <c r="S598">
        <v>45.58</v>
      </c>
      <c r="T598">
        <v>4.7619047620000003</v>
      </c>
      <c r="U598">
        <v>2.2789999999999999</v>
      </c>
      <c r="V598">
        <v>9.8000000000000007</v>
      </c>
    </row>
    <row r="599" spans="1:22" x14ac:dyDescent="0.2">
      <c r="A599" t="s">
        <v>630</v>
      </c>
      <c r="B599" s="1">
        <v>43501</v>
      </c>
      <c r="C599" s="2">
        <v>0.49375000000000002</v>
      </c>
      <c r="D599" s="2" t="str">
        <f>IF(Table1[[#This Row],[Time]]&lt;$D$1,$C$1,IF(Table1[[#This Row],[Time]]&lt;$D$2,$C$2,$C$3))</f>
        <v>Morning</v>
      </c>
      <c r="E599">
        <f>MONTH(Table1[[#This Row],[Date]])</f>
        <v>2</v>
      </c>
      <c r="F599" t="str">
        <f>VLOOKUP(Table1[[#This Row],[Month]],dctMonth[],2,FALSE)</f>
        <v>February</v>
      </c>
      <c r="G599" t="s">
        <v>19</v>
      </c>
      <c r="H599" t="s">
        <v>20</v>
      </c>
      <c r="I599" t="s">
        <v>21</v>
      </c>
      <c r="J599" t="s">
        <v>22</v>
      </c>
      <c r="K599">
        <v>74</v>
      </c>
      <c r="L599" t="str">
        <f>IF(Table1[[#This Row],[Age]]&lt;20,"&lt;20",IF(Table1[[#This Row],[Age]]&lt;=70,"20-70","&gt;70"))</f>
        <v>&gt;70</v>
      </c>
      <c r="M599" t="s">
        <v>37</v>
      </c>
      <c r="N599" t="s">
        <v>24</v>
      </c>
      <c r="O599">
        <v>75.2</v>
      </c>
      <c r="P599">
        <v>3</v>
      </c>
      <c r="Q599">
        <v>11.28</v>
      </c>
      <c r="R599">
        <v>236.88</v>
      </c>
      <c r="S599">
        <v>225.6</v>
      </c>
      <c r="T599">
        <v>4.7619047620000003</v>
      </c>
      <c r="U599">
        <v>11.28</v>
      </c>
      <c r="V599">
        <v>4.8</v>
      </c>
    </row>
    <row r="600" spans="1:22" x14ac:dyDescent="0.2">
      <c r="A600" t="s">
        <v>631</v>
      </c>
      <c r="B600" s="1">
        <v>43539</v>
      </c>
      <c r="C600" s="2">
        <v>0.54513888888888884</v>
      </c>
      <c r="D600" s="2" t="str">
        <f>IF(Table1[[#This Row],[Time]]&lt;$D$1,$C$1,IF(Table1[[#This Row],[Time]]&lt;$D$2,$C$2,$C$3))</f>
        <v>Afternoon</v>
      </c>
      <c r="E600">
        <f>MONTH(Table1[[#This Row],[Date]])</f>
        <v>3</v>
      </c>
      <c r="F600" t="str">
        <f>VLOOKUP(Table1[[#This Row],[Month]],dctMonth[],2,FALSE)</f>
        <v>March</v>
      </c>
      <c r="G600" t="s">
        <v>43</v>
      </c>
      <c r="H600" t="s">
        <v>44</v>
      </c>
      <c r="I600" t="s">
        <v>21</v>
      </c>
      <c r="J600" t="s">
        <v>32</v>
      </c>
      <c r="K600">
        <v>49</v>
      </c>
      <c r="L600" t="str">
        <f>IF(Table1[[#This Row],[Age]]&lt;20,"&lt;20",IF(Table1[[#This Row],[Age]]&lt;=70,"20-70","&gt;70"))</f>
        <v>20-70</v>
      </c>
      <c r="M600" t="s">
        <v>37</v>
      </c>
      <c r="N600" t="s">
        <v>30</v>
      </c>
      <c r="O600">
        <v>96.8</v>
      </c>
      <c r="P600">
        <v>3</v>
      </c>
      <c r="Q600">
        <v>14.52</v>
      </c>
      <c r="R600">
        <v>304.92</v>
      </c>
      <c r="S600">
        <v>290.39999999999998</v>
      </c>
      <c r="T600">
        <v>4.7619047620000003</v>
      </c>
      <c r="U600">
        <v>14.52</v>
      </c>
      <c r="V600">
        <v>5.3</v>
      </c>
    </row>
    <row r="601" spans="1:22" x14ac:dyDescent="0.2">
      <c r="A601" t="s">
        <v>632</v>
      </c>
      <c r="B601" s="1">
        <v>43525</v>
      </c>
      <c r="C601" s="2">
        <v>0.47916666666666669</v>
      </c>
      <c r="D601" s="2" t="str">
        <f>IF(Table1[[#This Row],[Time]]&lt;$D$1,$C$1,IF(Table1[[#This Row],[Time]]&lt;$D$2,$C$2,$C$3))</f>
        <v>Morning</v>
      </c>
      <c r="E601">
        <f>MONTH(Table1[[#This Row],[Date]])</f>
        <v>3</v>
      </c>
      <c r="F601" t="str">
        <f>VLOOKUP(Table1[[#This Row],[Month]],dctMonth[],2,FALSE)</f>
        <v>March</v>
      </c>
      <c r="G601" t="s">
        <v>43</v>
      </c>
      <c r="H601" t="s">
        <v>44</v>
      </c>
      <c r="I601" t="s">
        <v>28</v>
      </c>
      <c r="J601" t="s">
        <v>32</v>
      </c>
      <c r="K601">
        <v>17</v>
      </c>
      <c r="L601" t="str">
        <f>IF(Table1[[#This Row],[Age]]&lt;20,"&lt;20",IF(Table1[[#This Row],[Age]]&lt;=70,"20-70","&gt;70"))</f>
        <v>&lt;20</v>
      </c>
      <c r="M601" t="s">
        <v>23</v>
      </c>
      <c r="N601" t="s">
        <v>34</v>
      </c>
      <c r="O601">
        <v>14.82</v>
      </c>
      <c r="P601">
        <v>3</v>
      </c>
      <c r="Q601">
        <v>2.2229999999999999</v>
      </c>
      <c r="R601">
        <v>46.683</v>
      </c>
      <c r="S601">
        <v>44.46</v>
      </c>
      <c r="T601">
        <v>4.7619047620000003</v>
      </c>
      <c r="U601">
        <v>2.2229999999999999</v>
      </c>
      <c r="V601">
        <v>8.6999999999999993</v>
      </c>
    </row>
    <row r="602" spans="1:22" x14ac:dyDescent="0.2">
      <c r="A602" t="s">
        <v>633</v>
      </c>
      <c r="B602" s="1">
        <v>43511</v>
      </c>
      <c r="C602" s="2">
        <v>0.5625</v>
      </c>
      <c r="D602" s="2" t="str">
        <f>IF(Table1[[#This Row],[Time]]&lt;$D$1,$C$1,IF(Table1[[#This Row],[Time]]&lt;$D$2,$C$2,$C$3))</f>
        <v>Afternoon</v>
      </c>
      <c r="E602">
        <f>MONTH(Table1[[#This Row],[Date]])</f>
        <v>2</v>
      </c>
      <c r="F602" t="str">
        <f>VLOOKUP(Table1[[#This Row],[Month]],dctMonth[],2,FALSE)</f>
        <v>February</v>
      </c>
      <c r="G602" t="s">
        <v>19</v>
      </c>
      <c r="H602" t="s">
        <v>20</v>
      </c>
      <c r="I602" t="s">
        <v>28</v>
      </c>
      <c r="J602" t="s">
        <v>32</v>
      </c>
      <c r="K602">
        <v>49</v>
      </c>
      <c r="L602" t="str">
        <f>IF(Table1[[#This Row],[Age]]&lt;20,"&lt;20",IF(Table1[[#This Row],[Age]]&lt;=70,"20-70","&gt;70"))</f>
        <v>20-70</v>
      </c>
      <c r="M602" t="s">
        <v>45</v>
      </c>
      <c r="N602" t="s">
        <v>34</v>
      </c>
      <c r="O602">
        <v>52.2</v>
      </c>
      <c r="P602">
        <v>3</v>
      </c>
      <c r="Q602">
        <v>7.83</v>
      </c>
      <c r="R602">
        <v>164.43</v>
      </c>
      <c r="S602">
        <v>156.6</v>
      </c>
      <c r="T602">
        <v>4.7619047620000003</v>
      </c>
      <c r="U602">
        <v>7.83</v>
      </c>
      <c r="V602">
        <v>9.5</v>
      </c>
    </row>
    <row r="603" spans="1:22" x14ac:dyDescent="0.2">
      <c r="A603" t="s">
        <v>634</v>
      </c>
      <c r="B603" s="1">
        <v>43513</v>
      </c>
      <c r="C603" s="2">
        <v>0.7993055555555556</v>
      </c>
      <c r="D603" s="2" t="str">
        <f>IF(Table1[[#This Row],[Time]]&lt;$D$1,$C$1,IF(Table1[[#This Row],[Time]]&lt;$D$2,$C$2,$C$3))</f>
        <v>Evening</v>
      </c>
      <c r="E603">
        <f>MONTH(Table1[[#This Row],[Date]])</f>
        <v>2</v>
      </c>
      <c r="F603" t="str">
        <f>VLOOKUP(Table1[[#This Row],[Month]],dctMonth[],2,FALSE)</f>
        <v>February</v>
      </c>
      <c r="G603" t="s">
        <v>26</v>
      </c>
      <c r="H603" t="s">
        <v>27</v>
      </c>
      <c r="I603" t="s">
        <v>28</v>
      </c>
      <c r="J603" t="s">
        <v>22</v>
      </c>
      <c r="K603">
        <v>59</v>
      </c>
      <c r="L603" t="str">
        <f>IF(Table1[[#This Row],[Age]]&lt;20,"&lt;20",IF(Table1[[#This Row],[Age]]&lt;=70,"20-70","&gt;70"))</f>
        <v>20-70</v>
      </c>
      <c r="M603" t="s">
        <v>37</v>
      </c>
      <c r="N603" t="s">
        <v>24</v>
      </c>
      <c r="O603">
        <v>46.66</v>
      </c>
      <c r="P603">
        <v>9</v>
      </c>
      <c r="Q603">
        <v>20.997</v>
      </c>
      <c r="R603">
        <v>440.93700000000001</v>
      </c>
      <c r="S603">
        <v>419.94</v>
      </c>
      <c r="T603">
        <v>4.7619047620000003</v>
      </c>
      <c r="U603">
        <v>20.997</v>
      </c>
      <c r="V603">
        <v>5.3</v>
      </c>
    </row>
    <row r="604" spans="1:22" x14ac:dyDescent="0.2">
      <c r="A604" t="s">
        <v>635</v>
      </c>
      <c r="B604" s="1">
        <v>43491</v>
      </c>
      <c r="C604" s="2">
        <v>0.78680555555555554</v>
      </c>
      <c r="D604" s="2" t="str">
        <f>IF(Table1[[#This Row],[Time]]&lt;$D$1,$C$1,IF(Table1[[#This Row],[Time]]&lt;$D$2,$C$2,$C$3))</f>
        <v>Evening</v>
      </c>
      <c r="E604">
        <f>MONTH(Table1[[#This Row],[Date]])</f>
        <v>1</v>
      </c>
      <c r="F604" t="str">
        <f>VLOOKUP(Table1[[#This Row],[Month]],dctMonth[],2,FALSE)</f>
        <v>January</v>
      </c>
      <c r="G604" t="s">
        <v>26</v>
      </c>
      <c r="H604" t="s">
        <v>27</v>
      </c>
      <c r="I604" t="s">
        <v>28</v>
      </c>
      <c r="J604" t="s">
        <v>22</v>
      </c>
      <c r="K604">
        <v>21</v>
      </c>
      <c r="L604" t="str">
        <f>IF(Table1[[#This Row],[Age]]&lt;20,"&lt;20",IF(Table1[[#This Row],[Age]]&lt;=70,"20-70","&gt;70"))</f>
        <v>20-70</v>
      </c>
      <c r="M604" t="s">
        <v>47</v>
      </c>
      <c r="N604" t="s">
        <v>30</v>
      </c>
      <c r="O604">
        <v>36.85</v>
      </c>
      <c r="P604">
        <v>5</v>
      </c>
      <c r="Q604">
        <v>9.2125000000000004</v>
      </c>
      <c r="R604">
        <v>193.46250000000001</v>
      </c>
      <c r="S604">
        <v>184.25</v>
      </c>
      <c r="T604">
        <v>4.7619047620000003</v>
      </c>
      <c r="U604">
        <v>9.2125000000000004</v>
      </c>
      <c r="V604">
        <v>9.1999999999999993</v>
      </c>
    </row>
    <row r="605" spans="1:22" x14ac:dyDescent="0.2">
      <c r="A605" t="s">
        <v>636</v>
      </c>
      <c r="B605" s="1">
        <v>43548</v>
      </c>
      <c r="C605" s="2">
        <v>0.59861111111111109</v>
      </c>
      <c r="D605" s="2" t="str">
        <f>IF(Table1[[#This Row],[Time]]&lt;$D$1,$C$1,IF(Table1[[#This Row],[Time]]&lt;$D$2,$C$2,$C$3))</f>
        <v>Afternoon</v>
      </c>
      <c r="E605">
        <f>MONTH(Table1[[#This Row],[Date]])</f>
        <v>3</v>
      </c>
      <c r="F605" t="str">
        <f>VLOOKUP(Table1[[#This Row],[Month]],dctMonth[],2,FALSE)</f>
        <v>March</v>
      </c>
      <c r="G605" t="s">
        <v>19</v>
      </c>
      <c r="H605" t="s">
        <v>20</v>
      </c>
      <c r="I605" t="s">
        <v>21</v>
      </c>
      <c r="J605" t="s">
        <v>22</v>
      </c>
      <c r="K605">
        <v>29</v>
      </c>
      <c r="L605" t="str">
        <f>IF(Table1[[#This Row],[Age]]&lt;20,"&lt;20",IF(Table1[[#This Row],[Age]]&lt;=70,"20-70","&gt;70"))</f>
        <v>20-70</v>
      </c>
      <c r="M605" t="s">
        <v>33</v>
      </c>
      <c r="N605" t="s">
        <v>24</v>
      </c>
      <c r="O605">
        <v>70.319999999999993</v>
      </c>
      <c r="P605">
        <v>2</v>
      </c>
      <c r="Q605">
        <v>7.032</v>
      </c>
      <c r="R605">
        <v>147.672</v>
      </c>
      <c r="S605">
        <v>140.63999999999999</v>
      </c>
      <c r="T605">
        <v>4.7619047620000003</v>
      </c>
      <c r="U605">
        <v>7.032</v>
      </c>
      <c r="V605">
        <v>9.6</v>
      </c>
    </row>
    <row r="606" spans="1:22" x14ac:dyDescent="0.2">
      <c r="A606" t="s">
        <v>637</v>
      </c>
      <c r="B606" s="1">
        <v>43488</v>
      </c>
      <c r="C606" s="2">
        <v>0.71944444444444444</v>
      </c>
      <c r="D606" s="2" t="str">
        <f>IF(Table1[[#This Row],[Time]]&lt;$D$1,$C$1,IF(Table1[[#This Row],[Time]]&lt;$D$2,$C$2,$C$3))</f>
        <v>Evening</v>
      </c>
      <c r="E606">
        <f>MONTH(Table1[[#This Row],[Date]])</f>
        <v>1</v>
      </c>
      <c r="F606" t="str">
        <f>VLOOKUP(Table1[[#This Row],[Month]],dctMonth[],2,FALSE)</f>
        <v>January</v>
      </c>
      <c r="G606" t="s">
        <v>26</v>
      </c>
      <c r="H606" t="s">
        <v>27</v>
      </c>
      <c r="I606" t="s">
        <v>28</v>
      </c>
      <c r="J606" t="s">
        <v>32</v>
      </c>
      <c r="K606">
        <v>89</v>
      </c>
      <c r="L606" t="str">
        <f>IF(Table1[[#This Row],[Age]]&lt;20,"&lt;20",IF(Table1[[#This Row],[Age]]&lt;=70,"20-70","&gt;70"))</f>
        <v>&gt;70</v>
      </c>
      <c r="M606" t="s">
        <v>29</v>
      </c>
      <c r="N606" t="s">
        <v>24</v>
      </c>
      <c r="O606">
        <v>83.08</v>
      </c>
      <c r="P606">
        <v>1</v>
      </c>
      <c r="Q606">
        <v>4.1539999999999999</v>
      </c>
      <c r="R606">
        <v>87.233999999999995</v>
      </c>
      <c r="S606">
        <v>83.08</v>
      </c>
      <c r="T606">
        <v>4.7619047620000003</v>
      </c>
      <c r="U606">
        <v>4.1539999999999999</v>
      </c>
      <c r="V606">
        <v>6.4</v>
      </c>
    </row>
    <row r="607" spans="1:22" x14ac:dyDescent="0.2">
      <c r="A607" t="s">
        <v>638</v>
      </c>
      <c r="B607" s="1">
        <v>43491</v>
      </c>
      <c r="C607" s="2">
        <v>0.42083333333333334</v>
      </c>
      <c r="D607" s="2" t="str">
        <f>IF(Table1[[#This Row],[Time]]&lt;$D$1,$C$1,IF(Table1[[#This Row],[Time]]&lt;$D$2,$C$2,$C$3))</f>
        <v>Morning</v>
      </c>
      <c r="E607">
        <f>MONTH(Table1[[#This Row],[Date]])</f>
        <v>1</v>
      </c>
      <c r="F607" t="str">
        <f>VLOOKUP(Table1[[#This Row],[Month]],dctMonth[],2,FALSE)</f>
        <v>January</v>
      </c>
      <c r="G607" t="s">
        <v>26</v>
      </c>
      <c r="H607" t="s">
        <v>27</v>
      </c>
      <c r="I607" t="s">
        <v>28</v>
      </c>
      <c r="J607" t="s">
        <v>22</v>
      </c>
      <c r="K607">
        <v>71</v>
      </c>
      <c r="L607" t="str">
        <f>IF(Table1[[#This Row],[Age]]&lt;20,"&lt;20",IF(Table1[[#This Row],[Age]]&lt;=70,"20-70","&gt;70"))</f>
        <v>&gt;70</v>
      </c>
      <c r="M607" t="s">
        <v>47</v>
      </c>
      <c r="N607" t="s">
        <v>34</v>
      </c>
      <c r="O607">
        <v>64.989999999999995</v>
      </c>
      <c r="P607">
        <v>1</v>
      </c>
      <c r="Q607">
        <v>3.2494999999999998</v>
      </c>
      <c r="R607">
        <v>68.239500000000007</v>
      </c>
      <c r="S607">
        <v>64.989999999999995</v>
      </c>
      <c r="T607">
        <v>4.7619047620000003</v>
      </c>
      <c r="U607">
        <v>3.2494999999999998</v>
      </c>
      <c r="V607">
        <v>4.5</v>
      </c>
    </row>
    <row r="608" spans="1:22" x14ac:dyDescent="0.2">
      <c r="A608" t="s">
        <v>639</v>
      </c>
      <c r="B608" s="1">
        <v>43538</v>
      </c>
      <c r="C608" s="2">
        <v>0.85763888888888884</v>
      </c>
      <c r="D608" s="2" t="str">
        <f>IF(Table1[[#This Row],[Time]]&lt;$D$1,$C$1,IF(Table1[[#This Row],[Time]]&lt;$D$2,$C$2,$C$3))</f>
        <v>Evening</v>
      </c>
      <c r="E608">
        <f>MONTH(Table1[[#This Row],[Date]])</f>
        <v>3</v>
      </c>
      <c r="F608" t="str">
        <f>VLOOKUP(Table1[[#This Row],[Month]],dctMonth[],2,FALSE)</f>
        <v>March</v>
      </c>
      <c r="G608" t="s">
        <v>26</v>
      </c>
      <c r="H608" t="s">
        <v>27</v>
      </c>
      <c r="I608" t="s">
        <v>28</v>
      </c>
      <c r="J608" t="s">
        <v>32</v>
      </c>
      <c r="K608">
        <v>21</v>
      </c>
      <c r="L608" t="str">
        <f>IF(Table1[[#This Row],[Age]]&lt;20,"&lt;20",IF(Table1[[#This Row],[Age]]&lt;=70,"20-70","&gt;70"))</f>
        <v>20-70</v>
      </c>
      <c r="M608" t="s">
        <v>45</v>
      </c>
      <c r="N608" t="s">
        <v>24</v>
      </c>
      <c r="O608">
        <v>77.56</v>
      </c>
      <c r="P608">
        <v>10</v>
      </c>
      <c r="Q608">
        <v>38.78</v>
      </c>
      <c r="R608">
        <v>814.38</v>
      </c>
      <c r="S608">
        <v>775.6</v>
      </c>
      <c r="T608">
        <v>4.7619047620000003</v>
      </c>
      <c r="U608">
        <v>38.78</v>
      </c>
      <c r="V608">
        <v>6.9</v>
      </c>
    </row>
    <row r="609" spans="1:22" x14ac:dyDescent="0.2">
      <c r="A609" t="s">
        <v>640</v>
      </c>
      <c r="B609" s="1">
        <v>43541</v>
      </c>
      <c r="C609" s="2">
        <v>0.57916666666666672</v>
      </c>
      <c r="D609" s="2" t="str">
        <f>IF(Table1[[#This Row],[Time]]&lt;$D$1,$C$1,IF(Table1[[#This Row],[Time]]&lt;$D$2,$C$2,$C$3))</f>
        <v>Afternoon</v>
      </c>
      <c r="E609">
        <f>MONTH(Table1[[#This Row],[Date]])</f>
        <v>3</v>
      </c>
      <c r="F609" t="str">
        <f>VLOOKUP(Table1[[#This Row],[Month]],dctMonth[],2,FALSE)</f>
        <v>March</v>
      </c>
      <c r="G609" t="s">
        <v>43</v>
      </c>
      <c r="H609" t="s">
        <v>44</v>
      </c>
      <c r="I609" t="s">
        <v>28</v>
      </c>
      <c r="J609" t="s">
        <v>22</v>
      </c>
      <c r="K609">
        <v>75</v>
      </c>
      <c r="L609" t="str">
        <f>IF(Table1[[#This Row],[Age]]&lt;20,"&lt;20",IF(Table1[[#This Row],[Age]]&lt;=70,"20-70","&gt;70"))</f>
        <v>&gt;70</v>
      </c>
      <c r="M609" t="s">
        <v>37</v>
      </c>
      <c r="N609" t="s">
        <v>24</v>
      </c>
      <c r="O609">
        <v>54.51</v>
      </c>
      <c r="P609">
        <v>6</v>
      </c>
      <c r="Q609">
        <v>16.353000000000002</v>
      </c>
      <c r="R609">
        <v>343.41300000000001</v>
      </c>
      <c r="S609">
        <v>327.06</v>
      </c>
      <c r="T609">
        <v>4.7619047620000003</v>
      </c>
      <c r="U609">
        <v>16.353000000000002</v>
      </c>
      <c r="V609">
        <v>7.8</v>
      </c>
    </row>
    <row r="610" spans="1:22" x14ac:dyDescent="0.2">
      <c r="A610" t="s">
        <v>641</v>
      </c>
      <c r="B610" s="1">
        <v>43473</v>
      </c>
      <c r="C610" s="2">
        <v>0.83888888888888891</v>
      </c>
      <c r="D610" s="2" t="str">
        <f>IF(Table1[[#This Row],[Time]]&lt;$D$1,$C$1,IF(Table1[[#This Row],[Time]]&lt;$D$2,$C$2,$C$3))</f>
        <v>Evening</v>
      </c>
      <c r="E610">
        <f>MONTH(Table1[[#This Row],[Date]])</f>
        <v>1</v>
      </c>
      <c r="F610" t="str">
        <f>VLOOKUP(Table1[[#This Row],[Month]],dctMonth[],2,FALSE)</f>
        <v>January</v>
      </c>
      <c r="G610" t="s">
        <v>26</v>
      </c>
      <c r="H610" t="s">
        <v>27</v>
      </c>
      <c r="I610" t="s">
        <v>21</v>
      </c>
      <c r="J610" t="s">
        <v>22</v>
      </c>
      <c r="K610">
        <v>57</v>
      </c>
      <c r="L610" t="str">
        <f>IF(Table1[[#This Row],[Age]]&lt;20,"&lt;20",IF(Table1[[#This Row],[Age]]&lt;=70,"20-70","&gt;70"))</f>
        <v>20-70</v>
      </c>
      <c r="M610" t="s">
        <v>47</v>
      </c>
      <c r="N610" t="s">
        <v>30</v>
      </c>
      <c r="O610">
        <v>51.89</v>
      </c>
      <c r="P610">
        <v>7</v>
      </c>
      <c r="Q610">
        <v>18.1615</v>
      </c>
      <c r="R610">
        <v>381.39150000000001</v>
      </c>
      <c r="S610">
        <v>363.23</v>
      </c>
      <c r="T610">
        <v>4.7619047620000003</v>
      </c>
      <c r="U610">
        <v>18.1615</v>
      </c>
      <c r="V610">
        <v>4.5</v>
      </c>
    </row>
    <row r="611" spans="1:22" x14ac:dyDescent="0.2">
      <c r="A611" t="s">
        <v>642</v>
      </c>
      <c r="B611" s="1">
        <v>43504</v>
      </c>
      <c r="C611" s="2">
        <v>0.6430555555555556</v>
      </c>
      <c r="D611" s="2" t="str">
        <f>IF(Table1[[#This Row],[Time]]&lt;$D$1,$C$1,IF(Table1[[#This Row],[Time]]&lt;$D$2,$C$2,$C$3))</f>
        <v>Afternoon</v>
      </c>
      <c r="E611">
        <f>MONTH(Table1[[#This Row],[Date]])</f>
        <v>2</v>
      </c>
      <c r="F611" t="str">
        <f>VLOOKUP(Table1[[#This Row],[Month]],dctMonth[],2,FALSE)</f>
        <v>February</v>
      </c>
      <c r="G611" t="s">
        <v>43</v>
      </c>
      <c r="H611" t="s">
        <v>44</v>
      </c>
      <c r="I611" t="s">
        <v>28</v>
      </c>
      <c r="J611" t="s">
        <v>32</v>
      </c>
      <c r="K611">
        <v>56</v>
      </c>
      <c r="L611" t="str">
        <f>IF(Table1[[#This Row],[Age]]&lt;20,"&lt;20",IF(Table1[[#This Row],[Age]]&lt;=70,"20-70","&gt;70"))</f>
        <v>20-70</v>
      </c>
      <c r="M611" t="s">
        <v>33</v>
      </c>
      <c r="N611" t="s">
        <v>30</v>
      </c>
      <c r="O611">
        <v>31.75</v>
      </c>
      <c r="P611">
        <v>4</v>
      </c>
      <c r="Q611">
        <v>6.35</v>
      </c>
      <c r="R611">
        <v>133.35</v>
      </c>
      <c r="S611">
        <v>127</v>
      </c>
      <c r="T611">
        <v>4.7619047620000003</v>
      </c>
      <c r="U611">
        <v>6.35</v>
      </c>
      <c r="V611">
        <v>8.6</v>
      </c>
    </row>
    <row r="612" spans="1:22" x14ac:dyDescent="0.2">
      <c r="A612" t="s">
        <v>643</v>
      </c>
      <c r="B612" s="1">
        <v>43506</v>
      </c>
      <c r="C612" s="2">
        <v>0.53888888888888886</v>
      </c>
      <c r="D612" s="2" t="str">
        <f>IF(Table1[[#This Row],[Time]]&lt;$D$1,$C$1,IF(Table1[[#This Row],[Time]]&lt;$D$2,$C$2,$C$3))</f>
        <v>Afternoon</v>
      </c>
      <c r="E612">
        <f>MONTH(Table1[[#This Row],[Date]])</f>
        <v>2</v>
      </c>
      <c r="F612" t="str">
        <f>VLOOKUP(Table1[[#This Row],[Month]],dctMonth[],2,FALSE)</f>
        <v>February</v>
      </c>
      <c r="G612" t="s">
        <v>19</v>
      </c>
      <c r="H612" t="s">
        <v>20</v>
      </c>
      <c r="I612" t="s">
        <v>21</v>
      </c>
      <c r="J612" t="s">
        <v>22</v>
      </c>
      <c r="K612">
        <v>49</v>
      </c>
      <c r="L612" t="str">
        <f>IF(Table1[[#This Row],[Age]]&lt;20,"&lt;20",IF(Table1[[#This Row],[Age]]&lt;=70,"20-70","&gt;70"))</f>
        <v>20-70</v>
      </c>
      <c r="M612" t="s">
        <v>47</v>
      </c>
      <c r="N612" t="s">
        <v>24</v>
      </c>
      <c r="O612">
        <v>53.65</v>
      </c>
      <c r="P612">
        <v>7</v>
      </c>
      <c r="Q612">
        <v>18.7775</v>
      </c>
      <c r="R612">
        <v>394.32749999999999</v>
      </c>
      <c r="S612">
        <v>375.55</v>
      </c>
      <c r="T612">
        <v>4.7619047620000003</v>
      </c>
      <c r="U612">
        <v>18.7775</v>
      </c>
      <c r="V612">
        <v>5.2</v>
      </c>
    </row>
    <row r="613" spans="1:22" x14ac:dyDescent="0.2">
      <c r="A613" t="s">
        <v>644</v>
      </c>
      <c r="B613" s="1">
        <v>43552</v>
      </c>
      <c r="C613" s="2">
        <v>0.80277777777777781</v>
      </c>
      <c r="D613" s="2" t="str">
        <f>IF(Table1[[#This Row],[Time]]&lt;$D$1,$C$1,IF(Table1[[#This Row],[Time]]&lt;$D$2,$C$2,$C$3))</f>
        <v>Evening</v>
      </c>
      <c r="E613">
        <f>MONTH(Table1[[#This Row],[Date]])</f>
        <v>3</v>
      </c>
      <c r="F613" t="str">
        <f>VLOOKUP(Table1[[#This Row],[Month]],dctMonth[],2,FALSE)</f>
        <v>March</v>
      </c>
      <c r="G613" t="s">
        <v>26</v>
      </c>
      <c r="H613" t="s">
        <v>27</v>
      </c>
      <c r="I613" t="s">
        <v>21</v>
      </c>
      <c r="J613" t="s">
        <v>22</v>
      </c>
      <c r="K613">
        <v>54</v>
      </c>
      <c r="L613" t="str">
        <f>IF(Table1[[#This Row],[Age]]&lt;20,"&lt;20",IF(Table1[[#This Row],[Age]]&lt;=70,"20-70","&gt;70"))</f>
        <v>20-70</v>
      </c>
      <c r="M613" t="s">
        <v>45</v>
      </c>
      <c r="N613" t="s">
        <v>34</v>
      </c>
      <c r="O613">
        <v>49.79</v>
      </c>
      <c r="P613">
        <v>4</v>
      </c>
      <c r="Q613">
        <v>9.9580000000000002</v>
      </c>
      <c r="R613">
        <v>209.11799999999999</v>
      </c>
      <c r="S613">
        <v>199.16</v>
      </c>
      <c r="T613">
        <v>4.7619047620000003</v>
      </c>
      <c r="U613">
        <v>9.9580000000000002</v>
      </c>
      <c r="V613">
        <v>6.4</v>
      </c>
    </row>
    <row r="614" spans="1:22" x14ac:dyDescent="0.2">
      <c r="A614" t="s">
        <v>645</v>
      </c>
      <c r="B614" s="1">
        <v>43488</v>
      </c>
      <c r="C614" s="2">
        <v>0.51388888888888884</v>
      </c>
      <c r="D614" s="2" t="str">
        <f>IF(Table1[[#This Row],[Time]]&lt;$D$1,$C$1,IF(Table1[[#This Row],[Time]]&lt;$D$2,$C$2,$C$3))</f>
        <v>Afternoon</v>
      </c>
      <c r="E614">
        <f>MONTH(Table1[[#This Row],[Date]])</f>
        <v>1</v>
      </c>
      <c r="F614" t="str">
        <f>VLOOKUP(Table1[[#This Row],[Month]],dctMonth[],2,FALSE)</f>
        <v>January</v>
      </c>
      <c r="G614" t="s">
        <v>19</v>
      </c>
      <c r="H614" t="s">
        <v>20</v>
      </c>
      <c r="I614" t="s">
        <v>28</v>
      </c>
      <c r="J614" t="s">
        <v>32</v>
      </c>
      <c r="K614">
        <v>31</v>
      </c>
      <c r="L614" t="str">
        <f>IF(Table1[[#This Row],[Age]]&lt;20,"&lt;20",IF(Table1[[#This Row],[Age]]&lt;=70,"20-70","&gt;70"))</f>
        <v>20-70</v>
      </c>
      <c r="M614" t="s">
        <v>47</v>
      </c>
      <c r="N614" t="s">
        <v>24</v>
      </c>
      <c r="O614">
        <v>30.61</v>
      </c>
      <c r="P614">
        <v>1</v>
      </c>
      <c r="Q614">
        <v>1.5305</v>
      </c>
      <c r="R614">
        <v>32.140500000000003</v>
      </c>
      <c r="S614">
        <v>30.61</v>
      </c>
      <c r="T614">
        <v>4.7619047620000003</v>
      </c>
      <c r="U614">
        <v>1.5305</v>
      </c>
      <c r="V614">
        <v>5.2</v>
      </c>
    </row>
    <row r="615" spans="1:22" x14ac:dyDescent="0.2">
      <c r="A615" t="s">
        <v>646</v>
      </c>
      <c r="B615" s="1">
        <v>43482</v>
      </c>
      <c r="C615" s="2">
        <v>0.44236111111111109</v>
      </c>
      <c r="D615" s="2" t="str">
        <f>IF(Table1[[#This Row],[Time]]&lt;$D$1,$C$1,IF(Table1[[#This Row],[Time]]&lt;$D$2,$C$2,$C$3))</f>
        <v>Morning</v>
      </c>
      <c r="E615">
        <f>MONTH(Table1[[#This Row],[Date]])</f>
        <v>1</v>
      </c>
      <c r="F615" t="str">
        <f>VLOOKUP(Table1[[#This Row],[Month]],dctMonth[],2,FALSE)</f>
        <v>January</v>
      </c>
      <c r="G615" t="s">
        <v>43</v>
      </c>
      <c r="H615" t="s">
        <v>44</v>
      </c>
      <c r="I615" t="s">
        <v>21</v>
      </c>
      <c r="J615" t="s">
        <v>32</v>
      </c>
      <c r="K615">
        <v>44</v>
      </c>
      <c r="L615" t="str">
        <f>IF(Table1[[#This Row],[Age]]&lt;20,"&lt;20",IF(Table1[[#This Row],[Age]]&lt;=70,"20-70","&gt;70"))</f>
        <v>20-70</v>
      </c>
      <c r="M615" t="s">
        <v>45</v>
      </c>
      <c r="N615" t="s">
        <v>24</v>
      </c>
      <c r="O615">
        <v>57.89</v>
      </c>
      <c r="P615">
        <v>2</v>
      </c>
      <c r="Q615">
        <v>5.7889999999999997</v>
      </c>
      <c r="R615">
        <v>121.569</v>
      </c>
      <c r="S615">
        <v>115.78</v>
      </c>
      <c r="T615">
        <v>4.7619047620000003</v>
      </c>
      <c r="U615">
        <v>5.7889999999999997</v>
      </c>
      <c r="V615">
        <v>8.9</v>
      </c>
    </row>
    <row r="616" spans="1:22" x14ac:dyDescent="0.2">
      <c r="A616" t="s">
        <v>647</v>
      </c>
      <c r="B616" s="1">
        <v>43503</v>
      </c>
      <c r="C616" s="2">
        <v>0.42916666666666664</v>
      </c>
      <c r="D616" s="2" t="str">
        <f>IF(Table1[[#This Row],[Time]]&lt;$D$1,$C$1,IF(Table1[[#This Row],[Time]]&lt;$D$2,$C$2,$C$3))</f>
        <v>Morning</v>
      </c>
      <c r="E616">
        <f>MONTH(Table1[[#This Row],[Date]])</f>
        <v>2</v>
      </c>
      <c r="F616" t="str">
        <f>VLOOKUP(Table1[[#This Row],[Month]],dctMonth[],2,FALSE)</f>
        <v>February</v>
      </c>
      <c r="G616" t="s">
        <v>19</v>
      </c>
      <c r="H616" t="s">
        <v>20</v>
      </c>
      <c r="I616" t="s">
        <v>28</v>
      </c>
      <c r="J616" t="s">
        <v>22</v>
      </c>
      <c r="K616">
        <v>29</v>
      </c>
      <c r="L616" t="str">
        <f>IF(Table1[[#This Row],[Age]]&lt;20,"&lt;20",IF(Table1[[#This Row],[Age]]&lt;=70,"20-70","&gt;70"))</f>
        <v>20-70</v>
      </c>
      <c r="M616" t="s">
        <v>29</v>
      </c>
      <c r="N616" t="s">
        <v>34</v>
      </c>
      <c r="O616">
        <v>28.96</v>
      </c>
      <c r="P616">
        <v>1</v>
      </c>
      <c r="Q616">
        <v>1.448</v>
      </c>
      <c r="R616">
        <v>30.408000000000001</v>
      </c>
      <c r="S616">
        <v>28.96</v>
      </c>
      <c r="T616">
        <v>4.7619047620000003</v>
      </c>
      <c r="U616">
        <v>1.448</v>
      </c>
      <c r="V616">
        <v>6.2</v>
      </c>
    </row>
    <row r="617" spans="1:22" x14ac:dyDescent="0.2">
      <c r="A617" t="s">
        <v>648</v>
      </c>
      <c r="B617" s="1">
        <v>43533</v>
      </c>
      <c r="C617" s="2">
        <v>0.47430555555555554</v>
      </c>
      <c r="D617" s="2" t="str">
        <f>IF(Table1[[#This Row],[Time]]&lt;$D$1,$C$1,IF(Table1[[#This Row],[Time]]&lt;$D$2,$C$2,$C$3))</f>
        <v>Morning</v>
      </c>
      <c r="E617">
        <f>MONTH(Table1[[#This Row],[Date]])</f>
        <v>3</v>
      </c>
      <c r="F617" t="str">
        <f>VLOOKUP(Table1[[#This Row],[Month]],dctMonth[],2,FALSE)</f>
        <v>March</v>
      </c>
      <c r="G617" t="s">
        <v>26</v>
      </c>
      <c r="H617" t="s">
        <v>27</v>
      </c>
      <c r="I617" t="s">
        <v>21</v>
      </c>
      <c r="J617" t="s">
        <v>22</v>
      </c>
      <c r="K617">
        <v>33</v>
      </c>
      <c r="L617" t="str">
        <f>IF(Table1[[#This Row],[Age]]&lt;20,"&lt;20",IF(Table1[[#This Row],[Age]]&lt;=70,"20-70","&gt;70"))</f>
        <v>20-70</v>
      </c>
      <c r="M617" t="s">
        <v>45</v>
      </c>
      <c r="N617" t="s">
        <v>30</v>
      </c>
      <c r="O617">
        <v>98.97</v>
      </c>
      <c r="P617">
        <v>9</v>
      </c>
      <c r="Q617">
        <v>44.536499999999997</v>
      </c>
      <c r="R617">
        <v>935.26649999999995</v>
      </c>
      <c r="S617">
        <v>890.73</v>
      </c>
      <c r="T617">
        <v>4.7619047620000003</v>
      </c>
      <c r="U617">
        <v>44.536499999999997</v>
      </c>
      <c r="V617">
        <v>6.7</v>
      </c>
    </row>
    <row r="618" spans="1:22" x14ac:dyDescent="0.2">
      <c r="A618" t="s">
        <v>649</v>
      </c>
      <c r="B618" s="1">
        <v>43489</v>
      </c>
      <c r="C618" s="2">
        <v>0.48958333333333331</v>
      </c>
      <c r="D618" s="2" t="str">
        <f>IF(Table1[[#This Row],[Time]]&lt;$D$1,$C$1,IF(Table1[[#This Row],[Time]]&lt;$D$2,$C$2,$C$3))</f>
        <v>Morning</v>
      </c>
      <c r="E618">
        <f>MONTH(Table1[[#This Row],[Date]])</f>
        <v>1</v>
      </c>
      <c r="F618" t="str">
        <f>VLOOKUP(Table1[[#This Row],[Month]],dctMonth[],2,FALSE)</f>
        <v>January</v>
      </c>
      <c r="G618" t="s">
        <v>43</v>
      </c>
      <c r="H618" t="s">
        <v>44</v>
      </c>
      <c r="I618" t="s">
        <v>21</v>
      </c>
      <c r="J618" t="s">
        <v>32</v>
      </c>
      <c r="K618">
        <v>35</v>
      </c>
      <c r="L618" t="str">
        <f>IF(Table1[[#This Row],[Age]]&lt;20,"&lt;20",IF(Table1[[#This Row],[Age]]&lt;=70,"20-70","&gt;70"))</f>
        <v>20-70</v>
      </c>
      <c r="M618" t="s">
        <v>47</v>
      </c>
      <c r="N618" t="s">
        <v>30</v>
      </c>
      <c r="O618">
        <v>93.22</v>
      </c>
      <c r="P618">
        <v>3</v>
      </c>
      <c r="Q618">
        <v>13.983000000000001</v>
      </c>
      <c r="R618">
        <v>293.64299999999997</v>
      </c>
      <c r="S618">
        <v>279.66000000000003</v>
      </c>
      <c r="T618">
        <v>4.7619047620000003</v>
      </c>
      <c r="U618">
        <v>13.983000000000001</v>
      </c>
      <c r="V618">
        <v>7.2</v>
      </c>
    </row>
    <row r="619" spans="1:22" x14ac:dyDescent="0.2">
      <c r="A619" t="s">
        <v>650</v>
      </c>
      <c r="B619" s="1">
        <v>43484</v>
      </c>
      <c r="C619" s="2">
        <v>0.67222222222222228</v>
      </c>
      <c r="D619" s="2" t="str">
        <f>IF(Table1[[#This Row],[Time]]&lt;$D$1,$C$1,IF(Table1[[#This Row],[Time]]&lt;$D$2,$C$2,$C$3))</f>
        <v>Afternoon</v>
      </c>
      <c r="E619">
        <f>MONTH(Table1[[#This Row],[Date]])</f>
        <v>1</v>
      </c>
      <c r="F619" t="str">
        <f>VLOOKUP(Table1[[#This Row],[Month]],dctMonth[],2,FALSE)</f>
        <v>January</v>
      </c>
      <c r="G619" t="s">
        <v>26</v>
      </c>
      <c r="H619" t="s">
        <v>27</v>
      </c>
      <c r="I619" t="s">
        <v>21</v>
      </c>
      <c r="J619" t="s">
        <v>32</v>
      </c>
      <c r="K619">
        <v>62</v>
      </c>
      <c r="L619" t="str">
        <f>IF(Table1[[#This Row],[Age]]&lt;20,"&lt;20",IF(Table1[[#This Row],[Age]]&lt;=70,"20-70","&gt;70"))</f>
        <v>20-70</v>
      </c>
      <c r="M619" t="s">
        <v>37</v>
      </c>
      <c r="N619" t="s">
        <v>34</v>
      </c>
      <c r="O619">
        <v>80.930000000000007</v>
      </c>
      <c r="P619">
        <v>1</v>
      </c>
      <c r="Q619">
        <v>4.0465</v>
      </c>
      <c r="R619">
        <v>84.976500000000001</v>
      </c>
      <c r="S619">
        <v>80.930000000000007</v>
      </c>
      <c r="T619">
        <v>4.7619047620000003</v>
      </c>
      <c r="U619">
        <v>4.0465</v>
      </c>
      <c r="V619">
        <v>9</v>
      </c>
    </row>
    <row r="620" spans="1:22" x14ac:dyDescent="0.2">
      <c r="A620" t="s">
        <v>651</v>
      </c>
      <c r="B620" s="1">
        <v>43499</v>
      </c>
      <c r="C620" s="2">
        <v>0.47569444444444442</v>
      </c>
      <c r="D620" s="2" t="str">
        <f>IF(Table1[[#This Row],[Time]]&lt;$D$1,$C$1,IF(Table1[[#This Row],[Time]]&lt;$D$2,$C$2,$C$3))</f>
        <v>Morning</v>
      </c>
      <c r="E620">
        <f>MONTH(Table1[[#This Row],[Date]])</f>
        <v>2</v>
      </c>
      <c r="F620" t="str">
        <f>VLOOKUP(Table1[[#This Row],[Month]],dctMonth[],2,FALSE)</f>
        <v>February</v>
      </c>
      <c r="G620" t="s">
        <v>19</v>
      </c>
      <c r="H620" t="s">
        <v>20</v>
      </c>
      <c r="I620" t="s">
        <v>21</v>
      </c>
      <c r="J620" t="s">
        <v>32</v>
      </c>
      <c r="K620">
        <v>39</v>
      </c>
      <c r="L620" t="str">
        <f>IF(Table1[[#This Row],[Age]]&lt;20,"&lt;20",IF(Table1[[#This Row],[Age]]&lt;=70,"20-70","&gt;70"))</f>
        <v>20-70</v>
      </c>
      <c r="M620" t="s">
        <v>45</v>
      </c>
      <c r="N620" t="s">
        <v>24</v>
      </c>
      <c r="O620">
        <v>67.45</v>
      </c>
      <c r="P620">
        <v>10</v>
      </c>
      <c r="Q620">
        <v>33.725000000000001</v>
      </c>
      <c r="R620">
        <v>708.22500000000002</v>
      </c>
      <c r="S620">
        <v>674.5</v>
      </c>
      <c r="T620">
        <v>4.7619047620000003</v>
      </c>
      <c r="U620">
        <v>33.725000000000001</v>
      </c>
      <c r="V620">
        <v>4.2</v>
      </c>
    </row>
    <row r="621" spans="1:22" x14ac:dyDescent="0.2">
      <c r="A621" t="s">
        <v>652</v>
      </c>
      <c r="B621" s="1">
        <v>43544</v>
      </c>
      <c r="C621" s="2">
        <v>0.51666666666666672</v>
      </c>
      <c r="D621" s="2" t="str">
        <f>IF(Table1[[#This Row],[Time]]&lt;$D$1,$C$1,IF(Table1[[#This Row],[Time]]&lt;$D$2,$C$2,$C$3))</f>
        <v>Afternoon</v>
      </c>
      <c r="E621">
        <f>MONTH(Table1[[#This Row],[Date]])</f>
        <v>3</v>
      </c>
      <c r="F621" t="str">
        <f>VLOOKUP(Table1[[#This Row],[Month]],dctMonth[],2,FALSE)</f>
        <v>March</v>
      </c>
      <c r="G621" t="s">
        <v>19</v>
      </c>
      <c r="H621" t="s">
        <v>20</v>
      </c>
      <c r="I621" t="s">
        <v>21</v>
      </c>
      <c r="J621" t="s">
        <v>22</v>
      </c>
      <c r="K621">
        <v>17</v>
      </c>
      <c r="L621" t="str">
        <f>IF(Table1[[#This Row],[Age]]&lt;20,"&lt;20",IF(Table1[[#This Row],[Age]]&lt;=70,"20-70","&gt;70"))</f>
        <v>&lt;20</v>
      </c>
      <c r="M621" t="s">
        <v>37</v>
      </c>
      <c r="N621" t="s">
        <v>24</v>
      </c>
      <c r="O621">
        <v>38.72</v>
      </c>
      <c r="P621">
        <v>9</v>
      </c>
      <c r="Q621">
        <v>17.423999999999999</v>
      </c>
      <c r="R621">
        <v>365.904</v>
      </c>
      <c r="S621">
        <v>348.48</v>
      </c>
      <c r="T621">
        <v>4.7619047620000003</v>
      </c>
      <c r="U621">
        <v>17.423999999999999</v>
      </c>
      <c r="V621">
        <v>4.2</v>
      </c>
    </row>
    <row r="622" spans="1:22" x14ac:dyDescent="0.2">
      <c r="A622" t="s">
        <v>653</v>
      </c>
      <c r="B622" s="1">
        <v>43478</v>
      </c>
      <c r="C622" s="2">
        <v>0.82708333333333328</v>
      </c>
      <c r="D622" s="2" t="str">
        <f>IF(Table1[[#This Row],[Time]]&lt;$D$1,$C$1,IF(Table1[[#This Row],[Time]]&lt;$D$2,$C$2,$C$3))</f>
        <v>Evening</v>
      </c>
      <c r="E622">
        <f>MONTH(Table1[[#This Row],[Date]])</f>
        <v>1</v>
      </c>
      <c r="F622" t="str">
        <f>VLOOKUP(Table1[[#This Row],[Month]],dctMonth[],2,FALSE)</f>
        <v>January</v>
      </c>
      <c r="G622" t="s">
        <v>43</v>
      </c>
      <c r="H622" t="s">
        <v>44</v>
      </c>
      <c r="I622" t="s">
        <v>21</v>
      </c>
      <c r="J622" t="s">
        <v>32</v>
      </c>
      <c r="K622">
        <v>71</v>
      </c>
      <c r="L622" t="str">
        <f>IF(Table1[[#This Row],[Age]]&lt;20,"&lt;20",IF(Table1[[#This Row],[Age]]&lt;=70,"20-70","&gt;70"))</f>
        <v>&gt;70</v>
      </c>
      <c r="M622" t="s">
        <v>37</v>
      </c>
      <c r="N622" t="s">
        <v>30</v>
      </c>
      <c r="O622">
        <v>72.599999999999994</v>
      </c>
      <c r="P622">
        <v>6</v>
      </c>
      <c r="Q622">
        <v>21.78</v>
      </c>
      <c r="R622">
        <v>457.38</v>
      </c>
      <c r="S622">
        <v>435.6</v>
      </c>
      <c r="T622">
        <v>4.7619047620000003</v>
      </c>
      <c r="U622">
        <v>21.78</v>
      </c>
      <c r="V622">
        <v>6.9</v>
      </c>
    </row>
    <row r="623" spans="1:22" x14ac:dyDescent="0.2">
      <c r="A623" t="s">
        <v>654</v>
      </c>
      <c r="B623" s="1">
        <v>43538</v>
      </c>
      <c r="C623" s="2">
        <v>0.75694444444444442</v>
      </c>
      <c r="D623" s="2" t="str">
        <f>IF(Table1[[#This Row],[Time]]&lt;$D$1,$C$1,IF(Table1[[#This Row],[Time]]&lt;$D$2,$C$2,$C$3))</f>
        <v>Evening</v>
      </c>
      <c r="E623">
        <f>MONTH(Table1[[#This Row],[Date]])</f>
        <v>3</v>
      </c>
      <c r="F623" t="str">
        <f>VLOOKUP(Table1[[#This Row],[Month]],dctMonth[],2,FALSE)</f>
        <v>March</v>
      </c>
      <c r="G623" t="s">
        <v>26</v>
      </c>
      <c r="H623" t="s">
        <v>27</v>
      </c>
      <c r="I623" t="s">
        <v>21</v>
      </c>
      <c r="J623" t="s">
        <v>32</v>
      </c>
      <c r="K623">
        <v>41</v>
      </c>
      <c r="L623" t="str">
        <f>IF(Table1[[#This Row],[Age]]&lt;20,"&lt;20",IF(Table1[[#This Row],[Age]]&lt;=70,"20-70","&gt;70"))</f>
        <v>20-70</v>
      </c>
      <c r="M623" t="s">
        <v>29</v>
      </c>
      <c r="N623" t="s">
        <v>24</v>
      </c>
      <c r="O623">
        <v>87.91</v>
      </c>
      <c r="P623">
        <v>5</v>
      </c>
      <c r="Q623">
        <v>21.977499999999999</v>
      </c>
      <c r="R623">
        <v>461.52749999999997</v>
      </c>
      <c r="S623">
        <v>439.55</v>
      </c>
      <c r="T623">
        <v>4.7619047620000003</v>
      </c>
      <c r="U623">
        <v>21.977499999999999</v>
      </c>
      <c r="V623">
        <v>4.4000000000000004</v>
      </c>
    </row>
    <row r="624" spans="1:22" x14ac:dyDescent="0.2">
      <c r="A624" t="s">
        <v>655</v>
      </c>
      <c r="B624" s="1">
        <v>43488</v>
      </c>
      <c r="C624" s="2">
        <v>0.47361111111111109</v>
      </c>
      <c r="D624" s="2" t="str">
        <f>IF(Table1[[#This Row],[Time]]&lt;$D$1,$C$1,IF(Table1[[#This Row],[Time]]&lt;$D$2,$C$2,$C$3))</f>
        <v>Morning</v>
      </c>
      <c r="E624">
        <f>MONTH(Table1[[#This Row],[Date]])</f>
        <v>1</v>
      </c>
      <c r="F624" t="str">
        <f>VLOOKUP(Table1[[#This Row],[Month]],dctMonth[],2,FALSE)</f>
        <v>January</v>
      </c>
      <c r="G624" t="s">
        <v>19</v>
      </c>
      <c r="H624" t="s">
        <v>20</v>
      </c>
      <c r="I624" t="s">
        <v>21</v>
      </c>
      <c r="J624" t="s">
        <v>32</v>
      </c>
      <c r="K624">
        <v>27</v>
      </c>
      <c r="L624" t="str">
        <f>IF(Table1[[#This Row],[Age]]&lt;20,"&lt;20",IF(Table1[[#This Row],[Age]]&lt;=70,"20-70","&gt;70"))</f>
        <v>20-70</v>
      </c>
      <c r="M624" t="s">
        <v>45</v>
      </c>
      <c r="N624" t="s">
        <v>34</v>
      </c>
      <c r="O624">
        <v>98.53</v>
      </c>
      <c r="P624">
        <v>6</v>
      </c>
      <c r="Q624">
        <v>29.559000000000001</v>
      </c>
      <c r="R624">
        <v>620.73900000000003</v>
      </c>
      <c r="S624">
        <v>591.17999999999995</v>
      </c>
      <c r="T624">
        <v>4.7619047620000003</v>
      </c>
      <c r="U624">
        <v>29.559000000000001</v>
      </c>
      <c r="V624">
        <v>4</v>
      </c>
    </row>
    <row r="625" spans="1:22" x14ac:dyDescent="0.2">
      <c r="A625" t="s">
        <v>656</v>
      </c>
      <c r="B625" s="1">
        <v>43503</v>
      </c>
      <c r="C625" s="2">
        <v>0.74652777777777779</v>
      </c>
      <c r="D625" s="2" t="str">
        <f>IF(Table1[[#This Row],[Time]]&lt;$D$1,$C$1,IF(Table1[[#This Row],[Time]]&lt;$D$2,$C$2,$C$3))</f>
        <v>Evening</v>
      </c>
      <c r="E625">
        <f>MONTH(Table1[[#This Row],[Date]])</f>
        <v>2</v>
      </c>
      <c r="F625" t="str">
        <f>VLOOKUP(Table1[[#This Row],[Month]],dctMonth[],2,FALSE)</f>
        <v>February</v>
      </c>
      <c r="G625" t="s">
        <v>26</v>
      </c>
      <c r="H625" t="s">
        <v>27</v>
      </c>
      <c r="I625" t="s">
        <v>21</v>
      </c>
      <c r="J625" t="s">
        <v>22</v>
      </c>
      <c r="K625">
        <v>33</v>
      </c>
      <c r="L625" t="str">
        <f>IF(Table1[[#This Row],[Age]]&lt;20,"&lt;20",IF(Table1[[#This Row],[Age]]&lt;=70,"20-70","&gt;70"))</f>
        <v>20-70</v>
      </c>
      <c r="M625" t="s">
        <v>47</v>
      </c>
      <c r="N625" t="s">
        <v>24</v>
      </c>
      <c r="O625">
        <v>43.46</v>
      </c>
      <c r="P625">
        <v>6</v>
      </c>
      <c r="Q625">
        <v>13.038</v>
      </c>
      <c r="R625">
        <v>273.798</v>
      </c>
      <c r="S625">
        <v>260.76</v>
      </c>
      <c r="T625">
        <v>4.7619047620000003</v>
      </c>
      <c r="U625">
        <v>13.038</v>
      </c>
      <c r="V625">
        <v>8.5</v>
      </c>
    </row>
    <row r="626" spans="1:22" x14ac:dyDescent="0.2">
      <c r="A626" t="s">
        <v>657</v>
      </c>
      <c r="B626" s="1">
        <v>43552</v>
      </c>
      <c r="C626" s="2">
        <v>0.64583333333333337</v>
      </c>
      <c r="D626" s="2" t="str">
        <f>IF(Table1[[#This Row],[Time]]&lt;$D$1,$C$1,IF(Table1[[#This Row],[Time]]&lt;$D$2,$C$2,$C$3))</f>
        <v>Afternoon</v>
      </c>
      <c r="E626">
        <f>MONTH(Table1[[#This Row],[Date]])</f>
        <v>3</v>
      </c>
      <c r="F626" t="str">
        <f>VLOOKUP(Table1[[#This Row],[Month]],dctMonth[],2,FALSE)</f>
        <v>March</v>
      </c>
      <c r="G626" t="s">
        <v>19</v>
      </c>
      <c r="H626" t="s">
        <v>20</v>
      </c>
      <c r="I626" t="s">
        <v>28</v>
      </c>
      <c r="J626" t="s">
        <v>22</v>
      </c>
      <c r="K626">
        <v>62</v>
      </c>
      <c r="L626" t="str">
        <f>IF(Table1[[#This Row],[Age]]&lt;20,"&lt;20",IF(Table1[[#This Row],[Age]]&lt;=70,"20-70","&gt;70"))</f>
        <v>20-70</v>
      </c>
      <c r="M626" t="s">
        <v>45</v>
      </c>
      <c r="N626" t="s">
        <v>34</v>
      </c>
      <c r="O626">
        <v>71.680000000000007</v>
      </c>
      <c r="P626">
        <v>3</v>
      </c>
      <c r="Q626">
        <v>10.752000000000001</v>
      </c>
      <c r="R626">
        <v>225.792</v>
      </c>
      <c r="S626">
        <v>215.04</v>
      </c>
      <c r="T626">
        <v>4.7619047620000003</v>
      </c>
      <c r="U626">
        <v>10.752000000000001</v>
      </c>
      <c r="V626">
        <v>9.1999999999999993</v>
      </c>
    </row>
    <row r="627" spans="1:22" x14ac:dyDescent="0.2">
      <c r="A627" t="s">
        <v>658</v>
      </c>
      <c r="B627" s="1">
        <v>43544</v>
      </c>
      <c r="C627" s="2">
        <v>0.82222222222222219</v>
      </c>
      <c r="D627" s="2" t="str">
        <f>IF(Table1[[#This Row],[Time]]&lt;$D$1,$C$1,IF(Table1[[#This Row],[Time]]&lt;$D$2,$C$2,$C$3))</f>
        <v>Evening</v>
      </c>
      <c r="E627">
        <f>MONTH(Table1[[#This Row],[Date]])</f>
        <v>3</v>
      </c>
      <c r="F627" t="str">
        <f>VLOOKUP(Table1[[#This Row],[Month]],dctMonth[],2,FALSE)</f>
        <v>March</v>
      </c>
      <c r="G627" t="s">
        <v>19</v>
      </c>
      <c r="H627" t="s">
        <v>20</v>
      </c>
      <c r="I627" t="s">
        <v>21</v>
      </c>
      <c r="J627" t="s">
        <v>22</v>
      </c>
      <c r="K627">
        <v>71</v>
      </c>
      <c r="L627" t="str">
        <f>IF(Table1[[#This Row],[Age]]&lt;20,"&lt;20",IF(Table1[[#This Row],[Age]]&lt;=70,"20-70","&gt;70"))</f>
        <v>&gt;70</v>
      </c>
      <c r="M627" t="s">
        <v>45</v>
      </c>
      <c r="N627" t="s">
        <v>30</v>
      </c>
      <c r="O627">
        <v>91.61</v>
      </c>
      <c r="P627">
        <v>1</v>
      </c>
      <c r="Q627">
        <v>4.5804999999999998</v>
      </c>
      <c r="R627">
        <v>96.1905</v>
      </c>
      <c r="S627">
        <v>91.61</v>
      </c>
      <c r="T627">
        <v>4.7619047620000003</v>
      </c>
      <c r="U627">
        <v>4.5804999999999998</v>
      </c>
      <c r="V627">
        <v>9.8000000000000007</v>
      </c>
    </row>
    <row r="628" spans="1:22" x14ac:dyDescent="0.2">
      <c r="A628" t="s">
        <v>659</v>
      </c>
      <c r="B628" s="1">
        <v>43482</v>
      </c>
      <c r="C628" s="2">
        <v>0.64375000000000004</v>
      </c>
      <c r="D628" s="2" t="str">
        <f>IF(Table1[[#This Row],[Time]]&lt;$D$1,$C$1,IF(Table1[[#This Row],[Time]]&lt;$D$2,$C$2,$C$3))</f>
        <v>Afternoon</v>
      </c>
      <c r="E628">
        <f>MONTH(Table1[[#This Row],[Date]])</f>
        <v>1</v>
      </c>
      <c r="F628" t="str">
        <f>VLOOKUP(Table1[[#This Row],[Month]],dctMonth[],2,FALSE)</f>
        <v>January</v>
      </c>
      <c r="G628" t="s">
        <v>43</v>
      </c>
      <c r="H628" t="s">
        <v>44</v>
      </c>
      <c r="I628" t="s">
        <v>21</v>
      </c>
      <c r="J628" t="s">
        <v>22</v>
      </c>
      <c r="K628">
        <v>71</v>
      </c>
      <c r="L628" t="str">
        <f>IF(Table1[[#This Row],[Age]]&lt;20,"&lt;20",IF(Table1[[#This Row],[Age]]&lt;=70,"20-70","&gt;70"))</f>
        <v>&gt;70</v>
      </c>
      <c r="M628" t="s">
        <v>33</v>
      </c>
      <c r="N628" t="s">
        <v>34</v>
      </c>
      <c r="O628">
        <v>94.59</v>
      </c>
      <c r="P628">
        <v>7</v>
      </c>
      <c r="Q628">
        <v>33.106499999999997</v>
      </c>
      <c r="R628">
        <v>695.23649999999998</v>
      </c>
      <c r="S628">
        <v>662.13</v>
      </c>
      <c r="T628">
        <v>4.7619047620000003</v>
      </c>
      <c r="U628">
        <v>33.106499999999997</v>
      </c>
      <c r="V628">
        <v>4.9000000000000004</v>
      </c>
    </row>
    <row r="629" spans="1:22" x14ac:dyDescent="0.2">
      <c r="A629" t="s">
        <v>660</v>
      </c>
      <c r="B629" s="1">
        <v>43477</v>
      </c>
      <c r="C629" s="2">
        <v>0.47569444444444442</v>
      </c>
      <c r="D629" s="2" t="str">
        <f>IF(Table1[[#This Row],[Time]]&lt;$D$1,$C$1,IF(Table1[[#This Row],[Time]]&lt;$D$2,$C$2,$C$3))</f>
        <v>Morning</v>
      </c>
      <c r="E629">
        <f>MONTH(Table1[[#This Row],[Date]])</f>
        <v>1</v>
      </c>
      <c r="F629" t="str">
        <f>VLOOKUP(Table1[[#This Row],[Month]],dctMonth[],2,FALSE)</f>
        <v>January</v>
      </c>
      <c r="G629" t="s">
        <v>43</v>
      </c>
      <c r="H629" t="s">
        <v>44</v>
      </c>
      <c r="I629" t="s">
        <v>28</v>
      </c>
      <c r="J629" t="s">
        <v>22</v>
      </c>
      <c r="K629">
        <v>88</v>
      </c>
      <c r="L629" t="str">
        <f>IF(Table1[[#This Row],[Age]]&lt;20,"&lt;20",IF(Table1[[#This Row],[Age]]&lt;=70,"20-70","&gt;70"))</f>
        <v>&gt;70</v>
      </c>
      <c r="M629" t="s">
        <v>47</v>
      </c>
      <c r="N629" t="s">
        <v>34</v>
      </c>
      <c r="O629">
        <v>83.25</v>
      </c>
      <c r="P629">
        <v>10</v>
      </c>
      <c r="Q629">
        <v>41.625</v>
      </c>
      <c r="R629">
        <v>874.125</v>
      </c>
      <c r="S629">
        <v>832.5</v>
      </c>
      <c r="T629">
        <v>4.7619047620000003</v>
      </c>
      <c r="U629">
        <v>41.625</v>
      </c>
      <c r="V629">
        <v>4.4000000000000004</v>
      </c>
    </row>
    <row r="630" spans="1:22" x14ac:dyDescent="0.2">
      <c r="A630" t="s">
        <v>661</v>
      </c>
      <c r="B630" s="1">
        <v>43512</v>
      </c>
      <c r="C630" s="2">
        <v>0.65416666666666667</v>
      </c>
      <c r="D630" s="2" t="str">
        <f>IF(Table1[[#This Row],[Time]]&lt;$D$1,$C$1,IF(Table1[[#This Row],[Time]]&lt;$D$2,$C$2,$C$3))</f>
        <v>Afternoon</v>
      </c>
      <c r="E630">
        <f>MONTH(Table1[[#This Row],[Date]])</f>
        <v>2</v>
      </c>
      <c r="F630" t="str">
        <f>VLOOKUP(Table1[[#This Row],[Month]],dctMonth[],2,FALSE)</f>
        <v>February</v>
      </c>
      <c r="G630" t="s">
        <v>43</v>
      </c>
      <c r="H630" t="s">
        <v>44</v>
      </c>
      <c r="I630" t="s">
        <v>21</v>
      </c>
      <c r="J630" t="s">
        <v>32</v>
      </c>
      <c r="K630">
        <v>59</v>
      </c>
      <c r="L630" t="str">
        <f>IF(Table1[[#This Row],[Age]]&lt;20,"&lt;20",IF(Table1[[#This Row],[Age]]&lt;=70,"20-70","&gt;70"))</f>
        <v>20-70</v>
      </c>
      <c r="M630" t="s">
        <v>47</v>
      </c>
      <c r="N630" t="s">
        <v>30</v>
      </c>
      <c r="O630">
        <v>91.35</v>
      </c>
      <c r="P630">
        <v>1</v>
      </c>
      <c r="Q630">
        <v>4.5674999999999999</v>
      </c>
      <c r="R630">
        <v>95.917500000000004</v>
      </c>
      <c r="S630">
        <v>91.35</v>
      </c>
      <c r="T630">
        <v>4.7619047620000003</v>
      </c>
      <c r="U630">
        <v>4.5674999999999999</v>
      </c>
      <c r="V630">
        <v>6.8</v>
      </c>
    </row>
    <row r="631" spans="1:22" x14ac:dyDescent="0.2">
      <c r="A631" t="s">
        <v>662</v>
      </c>
      <c r="B631" s="1">
        <v>43491</v>
      </c>
      <c r="C631" s="2">
        <v>0.6694444444444444</v>
      </c>
      <c r="D631" s="2" t="str">
        <f>IF(Table1[[#This Row],[Time]]&lt;$D$1,$C$1,IF(Table1[[#This Row],[Time]]&lt;$D$2,$C$2,$C$3))</f>
        <v>Afternoon</v>
      </c>
      <c r="E631">
        <f>MONTH(Table1[[#This Row],[Date]])</f>
        <v>1</v>
      </c>
      <c r="F631" t="str">
        <f>VLOOKUP(Table1[[#This Row],[Month]],dctMonth[],2,FALSE)</f>
        <v>January</v>
      </c>
      <c r="G631" t="s">
        <v>43</v>
      </c>
      <c r="H631" t="s">
        <v>44</v>
      </c>
      <c r="I631" t="s">
        <v>21</v>
      </c>
      <c r="J631" t="s">
        <v>22</v>
      </c>
      <c r="K631">
        <v>69</v>
      </c>
      <c r="L631" t="str">
        <f>IF(Table1[[#This Row],[Age]]&lt;20,"&lt;20",IF(Table1[[#This Row],[Age]]&lt;=70,"20-70","&gt;70"))</f>
        <v>20-70</v>
      </c>
      <c r="M631" t="s">
        <v>45</v>
      </c>
      <c r="N631" t="s">
        <v>30</v>
      </c>
      <c r="O631">
        <v>78.88</v>
      </c>
      <c r="P631">
        <v>2</v>
      </c>
      <c r="Q631">
        <v>7.8879999999999999</v>
      </c>
      <c r="R631">
        <v>165.648</v>
      </c>
      <c r="S631">
        <v>157.76</v>
      </c>
      <c r="T631">
        <v>4.7619047620000003</v>
      </c>
      <c r="U631">
        <v>7.8879999999999999</v>
      </c>
      <c r="V631">
        <v>9.1</v>
      </c>
    </row>
    <row r="632" spans="1:22" x14ac:dyDescent="0.2">
      <c r="A632" t="s">
        <v>663</v>
      </c>
      <c r="B632" s="1">
        <v>43533</v>
      </c>
      <c r="C632" s="2">
        <v>0.52569444444444446</v>
      </c>
      <c r="D632" s="2" t="str">
        <f>IF(Table1[[#This Row],[Time]]&lt;$D$1,$C$1,IF(Table1[[#This Row],[Time]]&lt;$D$2,$C$2,$C$3))</f>
        <v>Afternoon</v>
      </c>
      <c r="E632">
        <f>MONTH(Table1[[#This Row],[Date]])</f>
        <v>3</v>
      </c>
      <c r="F632" t="str">
        <f>VLOOKUP(Table1[[#This Row],[Month]],dctMonth[],2,FALSE)</f>
        <v>March</v>
      </c>
      <c r="G632" t="s">
        <v>19</v>
      </c>
      <c r="H632" t="s">
        <v>20</v>
      </c>
      <c r="I632" t="s">
        <v>28</v>
      </c>
      <c r="J632" t="s">
        <v>32</v>
      </c>
      <c r="K632">
        <v>63</v>
      </c>
      <c r="L632" t="str">
        <f>IF(Table1[[#This Row],[Age]]&lt;20,"&lt;20",IF(Table1[[#This Row],[Age]]&lt;=70,"20-70","&gt;70"))</f>
        <v>20-70</v>
      </c>
      <c r="M632" t="s">
        <v>37</v>
      </c>
      <c r="N632" t="s">
        <v>24</v>
      </c>
      <c r="O632">
        <v>60.87</v>
      </c>
      <c r="P632">
        <v>2</v>
      </c>
      <c r="Q632">
        <v>6.0869999999999997</v>
      </c>
      <c r="R632">
        <v>127.827</v>
      </c>
      <c r="S632">
        <v>121.74</v>
      </c>
      <c r="T632">
        <v>4.7619047620000003</v>
      </c>
      <c r="U632">
        <v>6.0869999999999997</v>
      </c>
      <c r="V632">
        <v>8.6999999999999993</v>
      </c>
    </row>
    <row r="633" spans="1:22" x14ac:dyDescent="0.2">
      <c r="A633" t="s">
        <v>664</v>
      </c>
      <c r="B633" s="1">
        <v>43538</v>
      </c>
      <c r="C633" s="2">
        <v>0.6118055555555556</v>
      </c>
      <c r="D633" s="2" t="str">
        <f>IF(Table1[[#This Row],[Time]]&lt;$D$1,$C$1,IF(Table1[[#This Row],[Time]]&lt;$D$2,$C$2,$C$3))</f>
        <v>Afternoon</v>
      </c>
      <c r="E633">
        <f>MONTH(Table1[[#This Row],[Date]])</f>
        <v>3</v>
      </c>
      <c r="F633" t="str">
        <f>VLOOKUP(Table1[[#This Row],[Month]],dctMonth[],2,FALSE)</f>
        <v>March</v>
      </c>
      <c r="G633" t="s">
        <v>43</v>
      </c>
      <c r="H633" t="s">
        <v>44</v>
      </c>
      <c r="I633" t="s">
        <v>21</v>
      </c>
      <c r="J633" t="s">
        <v>32</v>
      </c>
      <c r="K633">
        <v>81</v>
      </c>
      <c r="L633" t="str">
        <f>IF(Table1[[#This Row],[Age]]&lt;20,"&lt;20",IF(Table1[[#This Row],[Age]]&lt;=70,"20-70","&gt;70"))</f>
        <v>&gt;70</v>
      </c>
      <c r="M633" t="s">
        <v>23</v>
      </c>
      <c r="N633" t="s">
        <v>30</v>
      </c>
      <c r="O633">
        <v>82.58</v>
      </c>
      <c r="P633">
        <v>10</v>
      </c>
      <c r="Q633">
        <v>41.29</v>
      </c>
      <c r="R633">
        <v>867.09</v>
      </c>
      <c r="S633">
        <v>825.8</v>
      </c>
      <c r="T633">
        <v>4.7619047620000003</v>
      </c>
      <c r="U633">
        <v>41.29</v>
      </c>
      <c r="V633">
        <v>5</v>
      </c>
    </row>
    <row r="634" spans="1:22" x14ac:dyDescent="0.2">
      <c r="A634" t="s">
        <v>665</v>
      </c>
      <c r="B634" s="1">
        <v>43490</v>
      </c>
      <c r="C634" s="2">
        <v>0.59652777777777777</v>
      </c>
      <c r="D634" s="2" t="str">
        <f>IF(Table1[[#This Row],[Time]]&lt;$D$1,$C$1,IF(Table1[[#This Row],[Time]]&lt;$D$2,$C$2,$C$3))</f>
        <v>Afternoon</v>
      </c>
      <c r="E634">
        <f>MONTH(Table1[[#This Row],[Date]])</f>
        <v>1</v>
      </c>
      <c r="F634" t="str">
        <f>VLOOKUP(Table1[[#This Row],[Month]],dctMonth[],2,FALSE)</f>
        <v>January</v>
      </c>
      <c r="G634" t="s">
        <v>19</v>
      </c>
      <c r="H634" t="s">
        <v>20</v>
      </c>
      <c r="I634" t="s">
        <v>21</v>
      </c>
      <c r="J634" t="s">
        <v>32</v>
      </c>
      <c r="K634">
        <v>23</v>
      </c>
      <c r="L634" t="str">
        <f>IF(Table1[[#This Row],[Age]]&lt;20,"&lt;20",IF(Table1[[#This Row],[Age]]&lt;=70,"20-70","&gt;70"))</f>
        <v>20-70</v>
      </c>
      <c r="M634" t="s">
        <v>33</v>
      </c>
      <c r="N634" t="s">
        <v>24</v>
      </c>
      <c r="O634">
        <v>53.3</v>
      </c>
      <c r="P634">
        <v>3</v>
      </c>
      <c r="Q634">
        <v>7.9950000000000001</v>
      </c>
      <c r="R634">
        <v>167.89500000000001</v>
      </c>
      <c r="S634">
        <v>159.9</v>
      </c>
      <c r="T634">
        <v>4.7619047620000003</v>
      </c>
      <c r="U634">
        <v>7.9950000000000001</v>
      </c>
      <c r="V634">
        <v>7.5</v>
      </c>
    </row>
    <row r="635" spans="1:22" x14ac:dyDescent="0.2">
      <c r="A635" t="s">
        <v>666</v>
      </c>
      <c r="B635" s="1">
        <v>43491</v>
      </c>
      <c r="C635" s="2">
        <v>0.7631944444444444</v>
      </c>
      <c r="D635" s="2" t="str">
        <f>IF(Table1[[#This Row],[Time]]&lt;$D$1,$C$1,IF(Table1[[#This Row],[Time]]&lt;$D$2,$C$2,$C$3))</f>
        <v>Evening</v>
      </c>
      <c r="E635">
        <f>MONTH(Table1[[#This Row],[Date]])</f>
        <v>1</v>
      </c>
      <c r="F635" t="str">
        <f>VLOOKUP(Table1[[#This Row],[Month]],dctMonth[],2,FALSE)</f>
        <v>January</v>
      </c>
      <c r="G635" t="s">
        <v>19</v>
      </c>
      <c r="H635" t="s">
        <v>20</v>
      </c>
      <c r="I635" t="s">
        <v>28</v>
      </c>
      <c r="J635" t="s">
        <v>22</v>
      </c>
      <c r="K635">
        <v>75</v>
      </c>
      <c r="L635" t="str">
        <f>IF(Table1[[#This Row],[Age]]&lt;20,"&lt;20",IF(Table1[[#This Row],[Age]]&lt;=70,"20-70","&gt;70"))</f>
        <v>&gt;70</v>
      </c>
      <c r="M635" t="s">
        <v>47</v>
      </c>
      <c r="N635" t="s">
        <v>34</v>
      </c>
      <c r="O635">
        <v>12.09</v>
      </c>
      <c r="P635">
        <v>1</v>
      </c>
      <c r="Q635">
        <v>0.60450000000000004</v>
      </c>
      <c r="R635">
        <v>12.6945</v>
      </c>
      <c r="S635">
        <v>12.09</v>
      </c>
      <c r="T635">
        <v>4.7619047620000003</v>
      </c>
      <c r="U635">
        <v>0.60450000000000004</v>
      </c>
      <c r="V635">
        <v>8.1999999999999993</v>
      </c>
    </row>
    <row r="636" spans="1:22" x14ac:dyDescent="0.2">
      <c r="A636" t="s">
        <v>667</v>
      </c>
      <c r="B636" s="1">
        <v>43484</v>
      </c>
      <c r="C636" s="2">
        <v>0.58888888888888891</v>
      </c>
      <c r="D636" s="2" t="str">
        <f>IF(Table1[[#This Row],[Time]]&lt;$D$1,$C$1,IF(Table1[[#This Row],[Time]]&lt;$D$2,$C$2,$C$3))</f>
        <v>Afternoon</v>
      </c>
      <c r="E636">
        <f>MONTH(Table1[[#This Row],[Date]])</f>
        <v>1</v>
      </c>
      <c r="F636" t="str">
        <f>VLOOKUP(Table1[[#This Row],[Month]],dctMonth[],2,FALSE)</f>
        <v>January</v>
      </c>
      <c r="G636" t="s">
        <v>19</v>
      </c>
      <c r="H636" t="s">
        <v>20</v>
      </c>
      <c r="I636" t="s">
        <v>28</v>
      </c>
      <c r="J636" t="s">
        <v>32</v>
      </c>
      <c r="K636">
        <v>54</v>
      </c>
      <c r="L636" t="str">
        <f>IF(Table1[[#This Row],[Age]]&lt;20,"&lt;20",IF(Table1[[#This Row],[Age]]&lt;=70,"20-70","&gt;70"))</f>
        <v>20-70</v>
      </c>
      <c r="M636" t="s">
        <v>37</v>
      </c>
      <c r="N636" t="s">
        <v>34</v>
      </c>
      <c r="O636">
        <v>64.19</v>
      </c>
      <c r="P636">
        <v>10</v>
      </c>
      <c r="Q636">
        <v>32.094999999999999</v>
      </c>
      <c r="R636">
        <v>673.995</v>
      </c>
      <c r="S636">
        <v>641.9</v>
      </c>
      <c r="T636">
        <v>4.7619047620000003</v>
      </c>
      <c r="U636">
        <v>32.094999999999999</v>
      </c>
      <c r="V636">
        <v>6.7</v>
      </c>
    </row>
    <row r="637" spans="1:22" x14ac:dyDescent="0.2">
      <c r="A637" t="s">
        <v>668</v>
      </c>
      <c r="B637" s="1">
        <v>43529</v>
      </c>
      <c r="C637" s="2">
        <v>0.69305555555555554</v>
      </c>
      <c r="D637" s="2" t="str">
        <f>IF(Table1[[#This Row],[Time]]&lt;$D$1,$C$1,IF(Table1[[#This Row],[Time]]&lt;$D$2,$C$2,$C$3))</f>
        <v>Afternoon</v>
      </c>
      <c r="E637">
        <f>MONTH(Table1[[#This Row],[Date]])</f>
        <v>3</v>
      </c>
      <c r="F637" t="str">
        <f>VLOOKUP(Table1[[#This Row],[Month]],dctMonth[],2,FALSE)</f>
        <v>March</v>
      </c>
      <c r="G637" t="s">
        <v>19</v>
      </c>
      <c r="H637" t="s">
        <v>20</v>
      </c>
      <c r="I637" t="s">
        <v>28</v>
      </c>
      <c r="J637" t="s">
        <v>32</v>
      </c>
      <c r="K637">
        <v>81</v>
      </c>
      <c r="L637" t="str">
        <f>IF(Table1[[#This Row],[Age]]&lt;20,"&lt;20",IF(Table1[[#This Row],[Age]]&lt;=70,"20-70","&gt;70"))</f>
        <v>&gt;70</v>
      </c>
      <c r="M637" t="s">
        <v>29</v>
      </c>
      <c r="N637" t="s">
        <v>24</v>
      </c>
      <c r="O637">
        <v>78.31</v>
      </c>
      <c r="P637">
        <v>3</v>
      </c>
      <c r="Q637">
        <v>11.746499999999999</v>
      </c>
      <c r="R637">
        <v>246.6765</v>
      </c>
      <c r="S637">
        <v>234.93</v>
      </c>
      <c r="T637">
        <v>4.7619047620000003</v>
      </c>
      <c r="U637">
        <v>11.746499999999999</v>
      </c>
      <c r="V637">
        <v>5.4</v>
      </c>
    </row>
    <row r="638" spans="1:22" x14ac:dyDescent="0.2">
      <c r="A638" t="s">
        <v>669</v>
      </c>
      <c r="B638" s="1">
        <v>43480</v>
      </c>
      <c r="C638" s="2">
        <v>0.45416666666666666</v>
      </c>
      <c r="D638" s="2" t="str">
        <f>IF(Table1[[#This Row],[Time]]&lt;$D$1,$C$1,IF(Table1[[#This Row],[Time]]&lt;$D$2,$C$2,$C$3))</f>
        <v>Morning</v>
      </c>
      <c r="E638">
        <f>MONTH(Table1[[#This Row],[Date]])</f>
        <v>1</v>
      </c>
      <c r="F638" t="str">
        <f>VLOOKUP(Table1[[#This Row],[Month]],dctMonth[],2,FALSE)</f>
        <v>January</v>
      </c>
      <c r="G638" t="s">
        <v>19</v>
      </c>
      <c r="H638" t="s">
        <v>20</v>
      </c>
      <c r="I638" t="s">
        <v>21</v>
      </c>
      <c r="J638" t="s">
        <v>32</v>
      </c>
      <c r="K638">
        <v>74</v>
      </c>
      <c r="L638" t="str">
        <f>IF(Table1[[#This Row],[Age]]&lt;20,"&lt;20",IF(Table1[[#This Row],[Age]]&lt;=70,"20-70","&gt;70"))</f>
        <v>&gt;70</v>
      </c>
      <c r="M638" t="s">
        <v>45</v>
      </c>
      <c r="N638" t="s">
        <v>34</v>
      </c>
      <c r="O638">
        <v>83.77</v>
      </c>
      <c r="P638">
        <v>2</v>
      </c>
      <c r="Q638">
        <v>8.3770000000000007</v>
      </c>
      <c r="R638">
        <v>175.917</v>
      </c>
      <c r="S638">
        <v>167.54</v>
      </c>
      <c r="T638">
        <v>4.7619047620000003</v>
      </c>
      <c r="U638">
        <v>8.3770000000000007</v>
      </c>
      <c r="V638">
        <v>7</v>
      </c>
    </row>
    <row r="639" spans="1:22" x14ac:dyDescent="0.2">
      <c r="A639" t="s">
        <v>670</v>
      </c>
      <c r="B639" s="1">
        <v>43542</v>
      </c>
      <c r="C639" s="2">
        <v>0.47847222222222224</v>
      </c>
      <c r="D639" s="2" t="str">
        <f>IF(Table1[[#This Row],[Time]]&lt;$D$1,$C$1,IF(Table1[[#This Row],[Time]]&lt;$D$2,$C$2,$C$3))</f>
        <v>Morning</v>
      </c>
      <c r="E639">
        <f>MONTH(Table1[[#This Row],[Date]])</f>
        <v>3</v>
      </c>
      <c r="F639" t="str">
        <f>VLOOKUP(Table1[[#This Row],[Month]],dctMonth[],2,FALSE)</f>
        <v>March</v>
      </c>
      <c r="G639" t="s">
        <v>43</v>
      </c>
      <c r="H639" t="s">
        <v>44</v>
      </c>
      <c r="I639" t="s">
        <v>28</v>
      </c>
      <c r="J639" t="s">
        <v>32</v>
      </c>
      <c r="K639">
        <v>67</v>
      </c>
      <c r="L639" t="str">
        <f>IF(Table1[[#This Row],[Age]]&lt;20,"&lt;20",IF(Table1[[#This Row],[Age]]&lt;=70,"20-70","&gt;70"))</f>
        <v>20-70</v>
      </c>
      <c r="M639" t="s">
        <v>33</v>
      </c>
      <c r="N639" t="s">
        <v>24</v>
      </c>
      <c r="O639">
        <v>99.7</v>
      </c>
      <c r="P639">
        <v>3</v>
      </c>
      <c r="Q639">
        <v>14.955</v>
      </c>
      <c r="R639">
        <v>314.05500000000001</v>
      </c>
      <c r="S639">
        <v>299.10000000000002</v>
      </c>
      <c r="T639">
        <v>4.7619047620000003</v>
      </c>
      <c r="U639">
        <v>14.955</v>
      </c>
      <c r="V639">
        <v>4.7</v>
      </c>
    </row>
    <row r="640" spans="1:22" x14ac:dyDescent="0.2">
      <c r="A640" t="s">
        <v>671</v>
      </c>
      <c r="B640" s="1">
        <v>43544</v>
      </c>
      <c r="C640" s="2">
        <v>0.81111111111111112</v>
      </c>
      <c r="D640" s="2" t="str">
        <f>IF(Table1[[#This Row],[Time]]&lt;$D$1,$C$1,IF(Table1[[#This Row],[Time]]&lt;$D$2,$C$2,$C$3))</f>
        <v>Evening</v>
      </c>
      <c r="E640">
        <f>MONTH(Table1[[#This Row],[Date]])</f>
        <v>3</v>
      </c>
      <c r="F640" t="str">
        <f>VLOOKUP(Table1[[#This Row],[Month]],dctMonth[],2,FALSE)</f>
        <v>March</v>
      </c>
      <c r="G640" t="s">
        <v>43</v>
      </c>
      <c r="H640" t="s">
        <v>44</v>
      </c>
      <c r="I640" t="s">
        <v>21</v>
      </c>
      <c r="J640" t="s">
        <v>32</v>
      </c>
      <c r="K640">
        <v>26</v>
      </c>
      <c r="L640" t="str">
        <f>IF(Table1[[#This Row],[Age]]&lt;20,"&lt;20",IF(Table1[[#This Row],[Age]]&lt;=70,"20-70","&gt;70"))</f>
        <v>20-70</v>
      </c>
      <c r="M640" t="s">
        <v>45</v>
      </c>
      <c r="N640" t="s">
        <v>34</v>
      </c>
      <c r="O640">
        <v>79.91</v>
      </c>
      <c r="P640">
        <v>3</v>
      </c>
      <c r="Q640">
        <v>11.986499999999999</v>
      </c>
      <c r="R640">
        <v>251.7165</v>
      </c>
      <c r="S640">
        <v>239.73</v>
      </c>
      <c r="T640">
        <v>4.7619047620000003</v>
      </c>
      <c r="U640">
        <v>11.986499999999999</v>
      </c>
      <c r="V640">
        <v>5</v>
      </c>
    </row>
    <row r="641" spans="1:22" x14ac:dyDescent="0.2">
      <c r="A641" t="s">
        <v>672</v>
      </c>
      <c r="B641" s="1">
        <v>43480</v>
      </c>
      <c r="C641" s="2">
        <v>0.62569444444444444</v>
      </c>
      <c r="D641" s="2" t="str">
        <f>IF(Table1[[#This Row],[Time]]&lt;$D$1,$C$1,IF(Table1[[#This Row],[Time]]&lt;$D$2,$C$2,$C$3))</f>
        <v>Afternoon</v>
      </c>
      <c r="E641">
        <f>MONTH(Table1[[#This Row],[Date]])</f>
        <v>1</v>
      </c>
      <c r="F641" t="str">
        <f>VLOOKUP(Table1[[#This Row],[Month]],dctMonth[],2,FALSE)</f>
        <v>January</v>
      </c>
      <c r="G641" t="s">
        <v>43</v>
      </c>
      <c r="H641" t="s">
        <v>44</v>
      </c>
      <c r="I641" t="s">
        <v>21</v>
      </c>
      <c r="J641" t="s">
        <v>32</v>
      </c>
      <c r="K641">
        <v>19</v>
      </c>
      <c r="L641" t="str">
        <f>IF(Table1[[#This Row],[Age]]&lt;20,"&lt;20",IF(Table1[[#This Row],[Age]]&lt;=70,"20-70","&gt;70"))</f>
        <v>&lt;20</v>
      </c>
      <c r="M641" t="s">
        <v>23</v>
      </c>
      <c r="N641" t="s">
        <v>34</v>
      </c>
      <c r="O641">
        <v>66.47</v>
      </c>
      <c r="P641">
        <v>10</v>
      </c>
      <c r="Q641">
        <v>33.234999999999999</v>
      </c>
      <c r="R641">
        <v>697.93499999999995</v>
      </c>
      <c r="S641">
        <v>664.7</v>
      </c>
      <c r="T641">
        <v>4.7619047620000003</v>
      </c>
      <c r="U641">
        <v>33.234999999999999</v>
      </c>
      <c r="V641">
        <v>5</v>
      </c>
    </row>
    <row r="642" spans="1:22" x14ac:dyDescent="0.2">
      <c r="A642" t="s">
        <v>673</v>
      </c>
      <c r="B642" s="1">
        <v>43527</v>
      </c>
      <c r="C642" s="2">
        <v>0.85486111111111107</v>
      </c>
      <c r="D642" s="2" t="str">
        <f>IF(Table1[[#This Row],[Time]]&lt;$D$1,$C$1,IF(Table1[[#This Row],[Time]]&lt;$D$2,$C$2,$C$3))</f>
        <v>Evening</v>
      </c>
      <c r="E642">
        <f>MONTH(Table1[[#This Row],[Date]])</f>
        <v>3</v>
      </c>
      <c r="F642" t="str">
        <f>VLOOKUP(Table1[[#This Row],[Month]],dctMonth[],2,FALSE)</f>
        <v>March</v>
      </c>
      <c r="G642" t="s">
        <v>19</v>
      </c>
      <c r="H642" t="s">
        <v>20</v>
      </c>
      <c r="I642" t="s">
        <v>28</v>
      </c>
      <c r="J642" t="s">
        <v>32</v>
      </c>
      <c r="K642">
        <v>16</v>
      </c>
      <c r="L642" t="str">
        <f>IF(Table1[[#This Row],[Age]]&lt;20,"&lt;20",IF(Table1[[#This Row],[Age]]&lt;=70,"20-70","&gt;70"))</f>
        <v>&lt;20</v>
      </c>
      <c r="M642" t="s">
        <v>23</v>
      </c>
      <c r="N642" t="s">
        <v>34</v>
      </c>
      <c r="O642">
        <v>28.95</v>
      </c>
      <c r="P642">
        <v>7</v>
      </c>
      <c r="Q642">
        <v>10.1325</v>
      </c>
      <c r="R642">
        <v>212.7825</v>
      </c>
      <c r="S642">
        <v>202.65</v>
      </c>
      <c r="T642">
        <v>4.7619047620000003</v>
      </c>
      <c r="U642">
        <v>10.1325</v>
      </c>
      <c r="V642">
        <v>6</v>
      </c>
    </row>
    <row r="643" spans="1:22" x14ac:dyDescent="0.2">
      <c r="A643" t="s">
        <v>674</v>
      </c>
      <c r="B643" s="1">
        <v>43543</v>
      </c>
      <c r="C643" s="2">
        <v>0.51111111111111107</v>
      </c>
      <c r="D643" s="2" t="str">
        <f>IF(Table1[[#This Row],[Time]]&lt;$D$1,$C$1,IF(Table1[[#This Row],[Time]]&lt;$D$2,$C$2,$C$3))</f>
        <v>Afternoon</v>
      </c>
      <c r="E643">
        <f>MONTH(Table1[[#This Row],[Date]])</f>
        <v>3</v>
      </c>
      <c r="F643" t="str">
        <f>VLOOKUP(Table1[[#This Row],[Month]],dctMonth[],2,FALSE)</f>
        <v>March</v>
      </c>
      <c r="G643" t="s">
        <v>26</v>
      </c>
      <c r="H643" t="s">
        <v>27</v>
      </c>
      <c r="I643" t="s">
        <v>28</v>
      </c>
      <c r="J643" t="s">
        <v>22</v>
      </c>
      <c r="K643">
        <v>43</v>
      </c>
      <c r="L643" t="str">
        <f>IF(Table1[[#This Row],[Age]]&lt;20,"&lt;20",IF(Table1[[#This Row],[Age]]&lt;=70,"20-70","&gt;70"))</f>
        <v>20-70</v>
      </c>
      <c r="M643" t="s">
        <v>29</v>
      </c>
      <c r="N643" t="s">
        <v>30</v>
      </c>
      <c r="O643">
        <v>46.2</v>
      </c>
      <c r="P643">
        <v>1</v>
      </c>
      <c r="Q643">
        <v>2.31</v>
      </c>
      <c r="R643">
        <v>48.51</v>
      </c>
      <c r="S643">
        <v>46.2</v>
      </c>
      <c r="T643">
        <v>4.7619047620000003</v>
      </c>
      <c r="U643">
        <v>2.31</v>
      </c>
      <c r="V643">
        <v>6.3</v>
      </c>
    </row>
    <row r="644" spans="1:22" x14ac:dyDescent="0.2">
      <c r="A644" t="s">
        <v>675</v>
      </c>
      <c r="B644" s="1">
        <v>43532</v>
      </c>
      <c r="C644" s="2">
        <v>0.64375000000000004</v>
      </c>
      <c r="D644" s="2" t="str">
        <f>IF(Table1[[#This Row],[Time]]&lt;$D$1,$C$1,IF(Table1[[#This Row],[Time]]&lt;$D$2,$C$2,$C$3))</f>
        <v>Afternoon</v>
      </c>
      <c r="E644">
        <f>MONTH(Table1[[#This Row],[Date]])</f>
        <v>3</v>
      </c>
      <c r="F644" t="str">
        <f>VLOOKUP(Table1[[#This Row],[Month]],dctMonth[],2,FALSE)</f>
        <v>March</v>
      </c>
      <c r="G644" t="s">
        <v>43</v>
      </c>
      <c r="H644" t="s">
        <v>44</v>
      </c>
      <c r="I644" t="s">
        <v>21</v>
      </c>
      <c r="J644" t="s">
        <v>22</v>
      </c>
      <c r="K644">
        <v>75</v>
      </c>
      <c r="L644" t="str">
        <f>IF(Table1[[#This Row],[Age]]&lt;20,"&lt;20",IF(Table1[[#This Row],[Age]]&lt;=70,"20-70","&gt;70"))</f>
        <v>&gt;70</v>
      </c>
      <c r="M644" t="s">
        <v>45</v>
      </c>
      <c r="N644" t="s">
        <v>30</v>
      </c>
      <c r="O644">
        <v>17.63</v>
      </c>
      <c r="P644">
        <v>5</v>
      </c>
      <c r="Q644">
        <v>4.4074999999999998</v>
      </c>
      <c r="R644">
        <v>92.557500000000005</v>
      </c>
      <c r="S644">
        <v>88.15</v>
      </c>
      <c r="T644">
        <v>4.7619047620000003</v>
      </c>
      <c r="U644">
        <v>4.4074999999999998</v>
      </c>
      <c r="V644">
        <v>8.5</v>
      </c>
    </row>
    <row r="645" spans="1:22" x14ac:dyDescent="0.2">
      <c r="A645" t="s">
        <v>676</v>
      </c>
      <c r="B645" s="1">
        <v>43523</v>
      </c>
      <c r="C645" s="2">
        <v>0.73333333333333328</v>
      </c>
      <c r="D645" s="2" t="str">
        <f>IF(Table1[[#This Row],[Time]]&lt;$D$1,$C$1,IF(Table1[[#This Row],[Time]]&lt;$D$2,$C$2,$C$3))</f>
        <v>Evening</v>
      </c>
      <c r="E645">
        <f>MONTH(Table1[[#This Row],[Date]])</f>
        <v>2</v>
      </c>
      <c r="F645" t="str">
        <f>VLOOKUP(Table1[[#This Row],[Month]],dctMonth[],2,FALSE)</f>
        <v>February</v>
      </c>
      <c r="G645" t="s">
        <v>43</v>
      </c>
      <c r="H645" t="s">
        <v>44</v>
      </c>
      <c r="I645" t="s">
        <v>28</v>
      </c>
      <c r="J645" t="s">
        <v>32</v>
      </c>
      <c r="K645">
        <v>35</v>
      </c>
      <c r="L645" t="str">
        <f>IF(Table1[[#This Row],[Age]]&lt;20,"&lt;20",IF(Table1[[#This Row],[Age]]&lt;=70,"20-70","&gt;70"))</f>
        <v>20-70</v>
      </c>
      <c r="M645" t="s">
        <v>47</v>
      </c>
      <c r="N645" t="s">
        <v>24</v>
      </c>
      <c r="O645">
        <v>52.42</v>
      </c>
      <c r="P645">
        <v>3</v>
      </c>
      <c r="Q645">
        <v>7.8630000000000004</v>
      </c>
      <c r="R645">
        <v>165.12299999999999</v>
      </c>
      <c r="S645">
        <v>157.26</v>
      </c>
      <c r="T645">
        <v>4.7619047620000003</v>
      </c>
      <c r="U645">
        <v>7.8630000000000004</v>
      </c>
      <c r="V645">
        <v>7.5</v>
      </c>
    </row>
    <row r="646" spans="1:22" x14ac:dyDescent="0.2">
      <c r="A646" t="s">
        <v>677</v>
      </c>
      <c r="B646" s="1">
        <v>43519</v>
      </c>
      <c r="C646" s="2">
        <v>0.83333333333333337</v>
      </c>
      <c r="D646" s="2" t="str">
        <f>IF(Table1[[#This Row],[Time]]&lt;$D$1,$C$1,IF(Table1[[#This Row],[Time]]&lt;$D$2,$C$2,$C$3))</f>
        <v>Evening</v>
      </c>
      <c r="E646">
        <f>MONTH(Table1[[#This Row],[Date]])</f>
        <v>2</v>
      </c>
      <c r="F646" t="str">
        <f>VLOOKUP(Table1[[#This Row],[Month]],dctMonth[],2,FALSE)</f>
        <v>February</v>
      </c>
      <c r="G646" t="s">
        <v>43</v>
      </c>
      <c r="H646" t="s">
        <v>44</v>
      </c>
      <c r="I646" t="s">
        <v>21</v>
      </c>
      <c r="J646" t="s">
        <v>22</v>
      </c>
      <c r="K646">
        <v>33</v>
      </c>
      <c r="L646" t="str">
        <f>IF(Table1[[#This Row],[Age]]&lt;20,"&lt;20",IF(Table1[[#This Row],[Age]]&lt;=70,"20-70","&gt;70"))</f>
        <v>20-70</v>
      </c>
      <c r="M646" t="s">
        <v>45</v>
      </c>
      <c r="N646" t="s">
        <v>24</v>
      </c>
      <c r="O646">
        <v>98.79</v>
      </c>
      <c r="P646">
        <v>3</v>
      </c>
      <c r="Q646">
        <v>14.8185</v>
      </c>
      <c r="R646">
        <v>311.18849999999998</v>
      </c>
      <c r="S646">
        <v>296.37</v>
      </c>
      <c r="T646">
        <v>4.7619047620000003</v>
      </c>
      <c r="U646">
        <v>14.8185</v>
      </c>
      <c r="V646">
        <v>6.4</v>
      </c>
    </row>
    <row r="647" spans="1:22" x14ac:dyDescent="0.2">
      <c r="A647" t="s">
        <v>678</v>
      </c>
      <c r="B647" s="1">
        <v>43543</v>
      </c>
      <c r="C647" s="2">
        <v>0.64513888888888893</v>
      </c>
      <c r="D647" s="2" t="str">
        <f>IF(Table1[[#This Row],[Time]]&lt;$D$1,$C$1,IF(Table1[[#This Row],[Time]]&lt;$D$2,$C$2,$C$3))</f>
        <v>Afternoon</v>
      </c>
      <c r="E647">
        <f>MONTH(Table1[[#This Row],[Date]])</f>
        <v>3</v>
      </c>
      <c r="F647" t="str">
        <f>VLOOKUP(Table1[[#This Row],[Month]],dctMonth[],2,FALSE)</f>
        <v>March</v>
      </c>
      <c r="G647" t="s">
        <v>26</v>
      </c>
      <c r="H647" t="s">
        <v>27</v>
      </c>
      <c r="I647" t="s">
        <v>21</v>
      </c>
      <c r="J647" t="s">
        <v>22</v>
      </c>
      <c r="K647">
        <v>57</v>
      </c>
      <c r="L647" t="str">
        <f>IF(Table1[[#This Row],[Age]]&lt;20,"&lt;20",IF(Table1[[#This Row],[Age]]&lt;=70,"20-70","&gt;70"))</f>
        <v>20-70</v>
      </c>
      <c r="M647" t="s">
        <v>29</v>
      </c>
      <c r="N647" t="s">
        <v>24</v>
      </c>
      <c r="O647">
        <v>88.55</v>
      </c>
      <c r="P647">
        <v>8</v>
      </c>
      <c r="Q647">
        <v>35.42</v>
      </c>
      <c r="R647">
        <v>743.82</v>
      </c>
      <c r="S647">
        <v>708.4</v>
      </c>
      <c r="T647">
        <v>4.7619047620000003</v>
      </c>
      <c r="U647">
        <v>35.42</v>
      </c>
      <c r="V647">
        <v>4.7</v>
      </c>
    </row>
    <row r="648" spans="1:22" x14ac:dyDescent="0.2">
      <c r="A648" t="s">
        <v>679</v>
      </c>
      <c r="B648" s="1">
        <v>43551</v>
      </c>
      <c r="C648" s="2">
        <v>0.63055555555555554</v>
      </c>
      <c r="D648" s="2" t="str">
        <f>IF(Table1[[#This Row],[Time]]&lt;$D$1,$C$1,IF(Table1[[#This Row],[Time]]&lt;$D$2,$C$2,$C$3))</f>
        <v>Afternoon</v>
      </c>
      <c r="E648">
        <f>MONTH(Table1[[#This Row],[Date]])</f>
        <v>3</v>
      </c>
      <c r="F648" t="str">
        <f>VLOOKUP(Table1[[#This Row],[Month]],dctMonth[],2,FALSE)</f>
        <v>March</v>
      </c>
      <c r="G648" t="s">
        <v>43</v>
      </c>
      <c r="H648" t="s">
        <v>44</v>
      </c>
      <c r="I648" t="s">
        <v>21</v>
      </c>
      <c r="J648" t="s">
        <v>32</v>
      </c>
      <c r="K648">
        <v>60</v>
      </c>
      <c r="L648" t="str">
        <f>IF(Table1[[#This Row],[Age]]&lt;20,"&lt;20",IF(Table1[[#This Row],[Age]]&lt;=70,"20-70","&gt;70"))</f>
        <v>20-70</v>
      </c>
      <c r="M648" t="s">
        <v>29</v>
      </c>
      <c r="N648" t="s">
        <v>24</v>
      </c>
      <c r="O648">
        <v>55.67</v>
      </c>
      <c r="P648">
        <v>2</v>
      </c>
      <c r="Q648">
        <v>5.5670000000000002</v>
      </c>
      <c r="R648">
        <v>116.907</v>
      </c>
      <c r="S648">
        <v>111.34</v>
      </c>
      <c r="T648">
        <v>4.7619047620000003</v>
      </c>
      <c r="U648">
        <v>5.5670000000000002</v>
      </c>
      <c r="V648">
        <v>6</v>
      </c>
    </row>
    <row r="649" spans="1:22" x14ac:dyDescent="0.2">
      <c r="A649" t="s">
        <v>680</v>
      </c>
      <c r="B649" s="1">
        <v>43554</v>
      </c>
      <c r="C649" s="2">
        <v>0.80972222222222223</v>
      </c>
      <c r="D649" s="2" t="str">
        <f>IF(Table1[[#This Row],[Time]]&lt;$D$1,$C$1,IF(Table1[[#This Row],[Time]]&lt;$D$2,$C$2,$C$3))</f>
        <v>Evening</v>
      </c>
      <c r="E649">
        <f>MONTH(Table1[[#This Row],[Date]])</f>
        <v>3</v>
      </c>
      <c r="F649" t="str">
        <f>VLOOKUP(Table1[[#This Row],[Month]],dctMonth[],2,FALSE)</f>
        <v>March</v>
      </c>
      <c r="G649" t="s">
        <v>26</v>
      </c>
      <c r="H649" t="s">
        <v>27</v>
      </c>
      <c r="I649" t="s">
        <v>21</v>
      </c>
      <c r="J649" t="s">
        <v>22</v>
      </c>
      <c r="K649">
        <v>72</v>
      </c>
      <c r="L649" t="str">
        <f>IF(Table1[[#This Row],[Age]]&lt;20,"&lt;20",IF(Table1[[#This Row],[Age]]&lt;=70,"20-70","&gt;70"))</f>
        <v>&gt;70</v>
      </c>
      <c r="M649" t="s">
        <v>45</v>
      </c>
      <c r="N649" t="s">
        <v>34</v>
      </c>
      <c r="O649">
        <v>72.52</v>
      </c>
      <c r="P649">
        <v>8</v>
      </c>
      <c r="Q649">
        <v>29.007999999999999</v>
      </c>
      <c r="R649">
        <v>609.16800000000001</v>
      </c>
      <c r="S649">
        <v>580.16</v>
      </c>
      <c r="T649">
        <v>4.7619047620000003</v>
      </c>
      <c r="U649">
        <v>29.007999999999999</v>
      </c>
      <c r="V649">
        <v>4</v>
      </c>
    </row>
    <row r="650" spans="1:22" x14ac:dyDescent="0.2">
      <c r="A650" t="s">
        <v>681</v>
      </c>
      <c r="B650" s="1">
        <v>43512</v>
      </c>
      <c r="C650" s="2">
        <v>0.66180555555555554</v>
      </c>
      <c r="D650" s="2" t="str">
        <f>IF(Table1[[#This Row],[Time]]&lt;$D$1,$C$1,IF(Table1[[#This Row],[Time]]&lt;$D$2,$C$2,$C$3))</f>
        <v>Afternoon</v>
      </c>
      <c r="E650">
        <f>MONTH(Table1[[#This Row],[Date]])</f>
        <v>2</v>
      </c>
      <c r="F650" t="str">
        <f>VLOOKUP(Table1[[#This Row],[Month]],dctMonth[],2,FALSE)</f>
        <v>February</v>
      </c>
      <c r="G650" t="s">
        <v>26</v>
      </c>
      <c r="H650" t="s">
        <v>27</v>
      </c>
      <c r="I650" t="s">
        <v>21</v>
      </c>
      <c r="J650" t="s">
        <v>32</v>
      </c>
      <c r="K650">
        <v>50</v>
      </c>
      <c r="L650" t="str">
        <f>IF(Table1[[#This Row],[Age]]&lt;20,"&lt;20",IF(Table1[[#This Row],[Age]]&lt;=70,"20-70","&gt;70"))</f>
        <v>20-70</v>
      </c>
      <c r="M650" t="s">
        <v>29</v>
      </c>
      <c r="N650" t="s">
        <v>24</v>
      </c>
      <c r="O650">
        <v>12.05</v>
      </c>
      <c r="P650">
        <v>5</v>
      </c>
      <c r="Q650">
        <v>3.0125000000000002</v>
      </c>
      <c r="R650">
        <v>63.262500000000003</v>
      </c>
      <c r="S650">
        <v>60.25</v>
      </c>
      <c r="T650">
        <v>4.7619047620000003</v>
      </c>
      <c r="U650">
        <v>3.0125000000000002</v>
      </c>
      <c r="V650">
        <v>5.5</v>
      </c>
    </row>
    <row r="651" spans="1:22" x14ac:dyDescent="0.2">
      <c r="A651" t="s">
        <v>682</v>
      </c>
      <c r="B651" s="1">
        <v>43483</v>
      </c>
      <c r="C651" s="2">
        <v>0.77986111111111112</v>
      </c>
      <c r="D651" s="2" t="str">
        <f>IF(Table1[[#This Row],[Time]]&lt;$D$1,$C$1,IF(Table1[[#This Row],[Time]]&lt;$D$2,$C$2,$C$3))</f>
        <v>Evening</v>
      </c>
      <c r="E651">
        <f>MONTH(Table1[[#This Row],[Date]])</f>
        <v>1</v>
      </c>
      <c r="F651" t="str">
        <f>VLOOKUP(Table1[[#This Row],[Month]],dctMonth[],2,FALSE)</f>
        <v>January</v>
      </c>
      <c r="G651" t="s">
        <v>19</v>
      </c>
      <c r="H651" t="s">
        <v>20</v>
      </c>
      <c r="I651" t="s">
        <v>21</v>
      </c>
      <c r="J651" t="s">
        <v>32</v>
      </c>
      <c r="K651">
        <v>33</v>
      </c>
      <c r="L651" t="str">
        <f>IF(Table1[[#This Row],[Age]]&lt;20,"&lt;20",IF(Table1[[#This Row],[Age]]&lt;=70,"20-70","&gt;70"))</f>
        <v>20-70</v>
      </c>
      <c r="M651" t="s">
        <v>33</v>
      </c>
      <c r="N651" t="s">
        <v>24</v>
      </c>
      <c r="O651">
        <v>19.36</v>
      </c>
      <c r="P651">
        <v>9</v>
      </c>
      <c r="Q651">
        <v>8.7119999999999997</v>
      </c>
      <c r="R651">
        <v>182.952</v>
      </c>
      <c r="S651">
        <v>174.24</v>
      </c>
      <c r="T651">
        <v>4.7619047620000003</v>
      </c>
      <c r="U651">
        <v>8.7119999999999997</v>
      </c>
      <c r="V651">
        <v>8.6999999999999993</v>
      </c>
    </row>
    <row r="652" spans="1:22" x14ac:dyDescent="0.2">
      <c r="A652" t="s">
        <v>683</v>
      </c>
      <c r="B652" s="1">
        <v>43554</v>
      </c>
      <c r="C652" s="2">
        <v>0.62361111111111112</v>
      </c>
      <c r="D652" s="2" t="str">
        <f>IF(Table1[[#This Row],[Time]]&lt;$D$1,$C$1,IF(Table1[[#This Row],[Time]]&lt;$D$2,$C$2,$C$3))</f>
        <v>Afternoon</v>
      </c>
      <c r="E652">
        <f>MONTH(Table1[[#This Row],[Date]])</f>
        <v>3</v>
      </c>
      <c r="F652" t="str">
        <f>VLOOKUP(Table1[[#This Row],[Month]],dctMonth[],2,FALSE)</f>
        <v>March</v>
      </c>
      <c r="G652" t="s">
        <v>26</v>
      </c>
      <c r="H652" t="s">
        <v>27</v>
      </c>
      <c r="I652" t="s">
        <v>28</v>
      </c>
      <c r="J652" t="s">
        <v>32</v>
      </c>
      <c r="K652">
        <v>83</v>
      </c>
      <c r="L652" t="str">
        <f>IF(Table1[[#This Row],[Age]]&lt;20,"&lt;20",IF(Table1[[#This Row],[Age]]&lt;=70,"20-70","&gt;70"))</f>
        <v>&gt;70</v>
      </c>
      <c r="M652" t="s">
        <v>23</v>
      </c>
      <c r="N652" t="s">
        <v>30</v>
      </c>
      <c r="O652">
        <v>70.209999999999994</v>
      </c>
      <c r="P652">
        <v>6</v>
      </c>
      <c r="Q652">
        <v>21.062999999999999</v>
      </c>
      <c r="R652">
        <v>442.32299999999998</v>
      </c>
      <c r="S652">
        <v>421.26</v>
      </c>
      <c r="T652">
        <v>4.7619047620000003</v>
      </c>
      <c r="U652">
        <v>21.062999999999999</v>
      </c>
      <c r="V652">
        <v>7.4</v>
      </c>
    </row>
    <row r="653" spans="1:22" x14ac:dyDescent="0.2">
      <c r="A653" t="s">
        <v>684</v>
      </c>
      <c r="B653" s="1">
        <v>43544</v>
      </c>
      <c r="C653" s="2">
        <v>0.82986111111111116</v>
      </c>
      <c r="D653" s="2" t="str">
        <f>IF(Table1[[#This Row],[Time]]&lt;$D$1,$C$1,IF(Table1[[#This Row],[Time]]&lt;$D$2,$C$2,$C$3))</f>
        <v>Evening</v>
      </c>
      <c r="E653">
        <f>MONTH(Table1[[#This Row],[Date]])</f>
        <v>3</v>
      </c>
      <c r="F653" t="str">
        <f>VLOOKUP(Table1[[#This Row],[Month]],dctMonth[],2,FALSE)</f>
        <v>March</v>
      </c>
      <c r="G653" t="s">
        <v>43</v>
      </c>
      <c r="H653" t="s">
        <v>44</v>
      </c>
      <c r="I653" t="s">
        <v>21</v>
      </c>
      <c r="J653" t="s">
        <v>32</v>
      </c>
      <c r="K653">
        <v>78</v>
      </c>
      <c r="L653" t="str">
        <f>IF(Table1[[#This Row],[Age]]&lt;20,"&lt;20",IF(Table1[[#This Row],[Age]]&lt;=70,"20-70","&gt;70"))</f>
        <v>&gt;70</v>
      </c>
      <c r="M653" t="s">
        <v>47</v>
      </c>
      <c r="N653" t="s">
        <v>30</v>
      </c>
      <c r="O653">
        <v>33.630000000000003</v>
      </c>
      <c r="P653">
        <v>1</v>
      </c>
      <c r="Q653">
        <v>1.6815</v>
      </c>
      <c r="R653">
        <v>35.311500000000002</v>
      </c>
      <c r="S653">
        <v>33.630000000000003</v>
      </c>
      <c r="T653">
        <v>4.7619047620000003</v>
      </c>
      <c r="U653">
        <v>1.6815</v>
      </c>
      <c r="V653">
        <v>5.6</v>
      </c>
    </row>
    <row r="654" spans="1:22" x14ac:dyDescent="0.2">
      <c r="A654" t="s">
        <v>685</v>
      </c>
      <c r="B654" s="1">
        <v>43481</v>
      </c>
      <c r="C654" s="2">
        <v>0.63194444444444442</v>
      </c>
      <c r="D654" s="2" t="str">
        <f>IF(Table1[[#This Row],[Time]]&lt;$D$1,$C$1,IF(Table1[[#This Row],[Time]]&lt;$D$2,$C$2,$C$3))</f>
        <v>Afternoon</v>
      </c>
      <c r="E654">
        <f>MONTH(Table1[[#This Row],[Date]])</f>
        <v>1</v>
      </c>
      <c r="F654" t="str">
        <f>VLOOKUP(Table1[[#This Row],[Month]],dctMonth[],2,FALSE)</f>
        <v>January</v>
      </c>
      <c r="G654" t="s">
        <v>26</v>
      </c>
      <c r="H654" t="s">
        <v>27</v>
      </c>
      <c r="I654" t="s">
        <v>21</v>
      </c>
      <c r="J654" t="s">
        <v>22</v>
      </c>
      <c r="K654">
        <v>56</v>
      </c>
      <c r="L654" t="str">
        <f>IF(Table1[[#This Row],[Age]]&lt;20,"&lt;20",IF(Table1[[#This Row],[Age]]&lt;=70,"20-70","&gt;70"))</f>
        <v>20-70</v>
      </c>
      <c r="M654" t="s">
        <v>37</v>
      </c>
      <c r="N654" t="s">
        <v>30</v>
      </c>
      <c r="O654">
        <v>15.49</v>
      </c>
      <c r="P654">
        <v>2</v>
      </c>
      <c r="Q654">
        <v>1.5489999999999999</v>
      </c>
      <c r="R654">
        <v>32.529000000000003</v>
      </c>
      <c r="S654">
        <v>30.98</v>
      </c>
      <c r="T654">
        <v>4.7619047620000003</v>
      </c>
      <c r="U654">
        <v>1.5489999999999999</v>
      </c>
      <c r="V654">
        <v>6.3</v>
      </c>
    </row>
    <row r="655" spans="1:22" x14ac:dyDescent="0.2">
      <c r="A655" t="s">
        <v>686</v>
      </c>
      <c r="B655" s="1">
        <v>43520</v>
      </c>
      <c r="C655" s="2">
        <v>0.69722222222222219</v>
      </c>
      <c r="D655" s="2" t="str">
        <f>IF(Table1[[#This Row],[Time]]&lt;$D$1,$C$1,IF(Table1[[#This Row],[Time]]&lt;$D$2,$C$2,$C$3))</f>
        <v>Afternoon</v>
      </c>
      <c r="E655">
        <f>MONTH(Table1[[#This Row],[Date]])</f>
        <v>2</v>
      </c>
      <c r="F655" t="str">
        <f>VLOOKUP(Table1[[#This Row],[Month]],dctMonth[],2,FALSE)</f>
        <v>February</v>
      </c>
      <c r="G655" t="s">
        <v>26</v>
      </c>
      <c r="H655" t="s">
        <v>27</v>
      </c>
      <c r="I655" t="s">
        <v>28</v>
      </c>
      <c r="J655" t="s">
        <v>32</v>
      </c>
      <c r="K655">
        <v>47</v>
      </c>
      <c r="L655" t="str">
        <f>IF(Table1[[#This Row],[Age]]&lt;20,"&lt;20",IF(Table1[[#This Row],[Age]]&lt;=70,"20-70","&gt;70"))</f>
        <v>20-70</v>
      </c>
      <c r="M655" t="s">
        <v>29</v>
      </c>
      <c r="N655" t="s">
        <v>30</v>
      </c>
      <c r="O655">
        <v>24.74</v>
      </c>
      <c r="P655">
        <v>10</v>
      </c>
      <c r="Q655">
        <v>12.37</v>
      </c>
      <c r="R655">
        <v>259.77</v>
      </c>
      <c r="S655">
        <v>247.4</v>
      </c>
      <c r="T655">
        <v>4.7619047620000003</v>
      </c>
      <c r="U655">
        <v>12.37</v>
      </c>
      <c r="V655">
        <v>7.1</v>
      </c>
    </row>
    <row r="656" spans="1:22" x14ac:dyDescent="0.2">
      <c r="A656" t="s">
        <v>687</v>
      </c>
      <c r="B656" s="1">
        <v>43480</v>
      </c>
      <c r="C656" s="2">
        <v>0.76527777777777772</v>
      </c>
      <c r="D656" s="2" t="str">
        <f>IF(Table1[[#This Row],[Time]]&lt;$D$1,$C$1,IF(Table1[[#This Row],[Time]]&lt;$D$2,$C$2,$C$3))</f>
        <v>Evening</v>
      </c>
      <c r="E656">
        <f>MONTH(Table1[[#This Row],[Date]])</f>
        <v>1</v>
      </c>
      <c r="F656" t="str">
        <f>VLOOKUP(Table1[[#This Row],[Month]],dctMonth[],2,FALSE)</f>
        <v>January</v>
      </c>
      <c r="G656" t="s">
        <v>43</v>
      </c>
      <c r="H656" t="s">
        <v>44</v>
      </c>
      <c r="I656" t="s">
        <v>28</v>
      </c>
      <c r="J656" t="s">
        <v>32</v>
      </c>
      <c r="K656">
        <v>82</v>
      </c>
      <c r="L656" t="str">
        <f>IF(Table1[[#This Row],[Age]]&lt;20,"&lt;20",IF(Table1[[#This Row],[Age]]&lt;=70,"20-70","&gt;70"))</f>
        <v>&gt;70</v>
      </c>
      <c r="M656" t="s">
        <v>29</v>
      </c>
      <c r="N656" t="s">
        <v>24</v>
      </c>
      <c r="O656">
        <v>75.66</v>
      </c>
      <c r="P656">
        <v>5</v>
      </c>
      <c r="Q656">
        <v>18.914999999999999</v>
      </c>
      <c r="R656">
        <v>397.21499999999997</v>
      </c>
      <c r="S656">
        <v>378.3</v>
      </c>
      <c r="T656">
        <v>4.7619047620000003</v>
      </c>
      <c r="U656">
        <v>18.914999999999999</v>
      </c>
      <c r="V656">
        <v>7.8</v>
      </c>
    </row>
    <row r="657" spans="1:22" x14ac:dyDescent="0.2">
      <c r="A657" t="s">
        <v>688</v>
      </c>
      <c r="B657" s="1">
        <v>43487</v>
      </c>
      <c r="C657" s="2">
        <v>0.49444444444444446</v>
      </c>
      <c r="D657" s="2" t="str">
        <f>IF(Table1[[#This Row],[Time]]&lt;$D$1,$C$1,IF(Table1[[#This Row],[Time]]&lt;$D$2,$C$2,$C$3))</f>
        <v>Morning</v>
      </c>
      <c r="E657">
        <f>MONTH(Table1[[#This Row],[Date]])</f>
        <v>1</v>
      </c>
      <c r="F657" t="str">
        <f>VLOOKUP(Table1[[#This Row],[Month]],dctMonth[],2,FALSE)</f>
        <v>January</v>
      </c>
      <c r="G657" t="s">
        <v>43</v>
      </c>
      <c r="H657" t="s">
        <v>44</v>
      </c>
      <c r="I657" t="s">
        <v>28</v>
      </c>
      <c r="J657" t="s">
        <v>22</v>
      </c>
      <c r="K657">
        <v>25</v>
      </c>
      <c r="L657" t="str">
        <f>IF(Table1[[#This Row],[Age]]&lt;20,"&lt;20",IF(Table1[[#This Row],[Age]]&lt;=70,"20-70","&gt;70"))</f>
        <v>20-70</v>
      </c>
      <c r="M657" t="s">
        <v>23</v>
      </c>
      <c r="N657" t="s">
        <v>30</v>
      </c>
      <c r="O657">
        <v>55.81</v>
      </c>
      <c r="P657">
        <v>6</v>
      </c>
      <c r="Q657">
        <v>16.742999999999999</v>
      </c>
      <c r="R657">
        <v>351.60300000000001</v>
      </c>
      <c r="S657">
        <v>334.86</v>
      </c>
      <c r="T657">
        <v>4.7619047620000003</v>
      </c>
      <c r="U657">
        <v>16.742999999999999</v>
      </c>
      <c r="V657">
        <v>9.9</v>
      </c>
    </row>
    <row r="658" spans="1:22" x14ac:dyDescent="0.2">
      <c r="A658" t="s">
        <v>689</v>
      </c>
      <c r="B658" s="1">
        <v>43499</v>
      </c>
      <c r="C658" s="2">
        <v>0.72499999999999998</v>
      </c>
      <c r="D658" s="2" t="str">
        <f>IF(Table1[[#This Row],[Time]]&lt;$D$1,$C$1,IF(Table1[[#This Row],[Time]]&lt;$D$2,$C$2,$C$3))</f>
        <v>Evening</v>
      </c>
      <c r="E658">
        <f>MONTH(Table1[[#This Row],[Date]])</f>
        <v>2</v>
      </c>
      <c r="F658" t="str">
        <f>VLOOKUP(Table1[[#This Row],[Month]],dctMonth[],2,FALSE)</f>
        <v>February</v>
      </c>
      <c r="G658" t="s">
        <v>19</v>
      </c>
      <c r="H658" t="s">
        <v>20</v>
      </c>
      <c r="I658" t="s">
        <v>21</v>
      </c>
      <c r="J658" t="s">
        <v>32</v>
      </c>
      <c r="K658">
        <v>85</v>
      </c>
      <c r="L658" t="str">
        <f>IF(Table1[[#This Row],[Age]]&lt;20,"&lt;20",IF(Table1[[#This Row],[Age]]&lt;=70,"20-70","&gt;70"))</f>
        <v>&gt;70</v>
      </c>
      <c r="M658" t="s">
        <v>33</v>
      </c>
      <c r="N658" t="s">
        <v>30</v>
      </c>
      <c r="O658">
        <v>72.78</v>
      </c>
      <c r="P658">
        <v>10</v>
      </c>
      <c r="Q658">
        <v>36.39</v>
      </c>
      <c r="R658">
        <v>764.19</v>
      </c>
      <c r="S658">
        <v>727.8</v>
      </c>
      <c r="T658">
        <v>4.7619047620000003</v>
      </c>
      <c r="U658">
        <v>36.39</v>
      </c>
      <c r="V658">
        <v>7.3</v>
      </c>
    </row>
    <row r="659" spans="1:22" x14ac:dyDescent="0.2">
      <c r="A659" t="s">
        <v>690</v>
      </c>
      <c r="B659" s="1">
        <v>43530</v>
      </c>
      <c r="C659" s="2">
        <v>0.64652777777777781</v>
      </c>
      <c r="D659" s="2" t="str">
        <f>IF(Table1[[#This Row],[Time]]&lt;$D$1,$C$1,IF(Table1[[#This Row],[Time]]&lt;$D$2,$C$2,$C$3))</f>
        <v>Afternoon</v>
      </c>
      <c r="E659">
        <f>MONTH(Table1[[#This Row],[Date]])</f>
        <v>3</v>
      </c>
      <c r="F659" t="str">
        <f>VLOOKUP(Table1[[#This Row],[Month]],dctMonth[],2,FALSE)</f>
        <v>March</v>
      </c>
      <c r="G659" t="s">
        <v>43</v>
      </c>
      <c r="H659" t="s">
        <v>44</v>
      </c>
      <c r="I659" t="s">
        <v>21</v>
      </c>
      <c r="J659" t="s">
        <v>32</v>
      </c>
      <c r="K659">
        <v>67</v>
      </c>
      <c r="L659" t="str">
        <f>IF(Table1[[#This Row],[Age]]&lt;20,"&lt;20",IF(Table1[[#This Row],[Age]]&lt;=70,"20-70","&gt;70"))</f>
        <v>20-70</v>
      </c>
      <c r="M659" t="s">
        <v>37</v>
      </c>
      <c r="N659" t="s">
        <v>24</v>
      </c>
      <c r="O659">
        <v>37.32</v>
      </c>
      <c r="P659">
        <v>9</v>
      </c>
      <c r="Q659">
        <v>16.794</v>
      </c>
      <c r="R659">
        <v>352.67399999999998</v>
      </c>
      <c r="S659">
        <v>335.88</v>
      </c>
      <c r="T659">
        <v>4.7619047620000003</v>
      </c>
      <c r="U659">
        <v>16.794</v>
      </c>
      <c r="V659">
        <v>5.0999999999999996</v>
      </c>
    </row>
    <row r="660" spans="1:22" x14ac:dyDescent="0.2">
      <c r="A660" t="s">
        <v>691</v>
      </c>
      <c r="B660" s="1">
        <v>43512</v>
      </c>
      <c r="C660" s="2">
        <v>0.75277777777777777</v>
      </c>
      <c r="D660" s="2" t="str">
        <f>IF(Table1[[#This Row],[Time]]&lt;$D$1,$C$1,IF(Table1[[#This Row],[Time]]&lt;$D$2,$C$2,$C$3))</f>
        <v>Evening</v>
      </c>
      <c r="E660">
        <f>MONTH(Table1[[#This Row],[Date]])</f>
        <v>2</v>
      </c>
      <c r="F660" t="str">
        <f>VLOOKUP(Table1[[#This Row],[Month]],dctMonth[],2,FALSE)</f>
        <v>February</v>
      </c>
      <c r="G660" t="s">
        <v>43</v>
      </c>
      <c r="H660" t="s">
        <v>44</v>
      </c>
      <c r="I660" t="s">
        <v>21</v>
      </c>
      <c r="J660" t="s">
        <v>32</v>
      </c>
      <c r="K660">
        <v>85</v>
      </c>
      <c r="L660" t="str">
        <f>IF(Table1[[#This Row],[Age]]&lt;20,"&lt;20",IF(Table1[[#This Row],[Age]]&lt;=70,"20-70","&gt;70"))</f>
        <v>&gt;70</v>
      </c>
      <c r="M660" t="s">
        <v>47</v>
      </c>
      <c r="N660" t="s">
        <v>34</v>
      </c>
      <c r="O660">
        <v>60.18</v>
      </c>
      <c r="P660">
        <v>4</v>
      </c>
      <c r="Q660">
        <v>12.036</v>
      </c>
      <c r="R660">
        <v>252.756</v>
      </c>
      <c r="S660">
        <v>240.72</v>
      </c>
      <c r="T660">
        <v>4.7619047620000003</v>
      </c>
      <c r="U660">
        <v>12.036</v>
      </c>
      <c r="V660">
        <v>9.4</v>
      </c>
    </row>
    <row r="661" spans="1:22" x14ac:dyDescent="0.2">
      <c r="A661" t="s">
        <v>692</v>
      </c>
      <c r="B661" s="1">
        <v>43538</v>
      </c>
      <c r="C661" s="2">
        <v>0.59236111111111112</v>
      </c>
      <c r="D661" s="2" t="str">
        <f>IF(Table1[[#This Row],[Time]]&lt;$D$1,$C$1,IF(Table1[[#This Row],[Time]]&lt;$D$2,$C$2,$C$3))</f>
        <v>Afternoon</v>
      </c>
      <c r="E661">
        <f>MONTH(Table1[[#This Row],[Date]])</f>
        <v>3</v>
      </c>
      <c r="F661" t="str">
        <f>VLOOKUP(Table1[[#This Row],[Month]],dctMonth[],2,FALSE)</f>
        <v>March</v>
      </c>
      <c r="G661" t="s">
        <v>19</v>
      </c>
      <c r="H661" t="s">
        <v>20</v>
      </c>
      <c r="I661" t="s">
        <v>28</v>
      </c>
      <c r="J661" t="s">
        <v>22</v>
      </c>
      <c r="K661">
        <v>21</v>
      </c>
      <c r="L661" t="str">
        <f>IF(Table1[[#This Row],[Age]]&lt;20,"&lt;20",IF(Table1[[#This Row],[Age]]&lt;=70,"20-70","&gt;70"))</f>
        <v>20-70</v>
      </c>
      <c r="M661" t="s">
        <v>29</v>
      </c>
      <c r="N661" t="s">
        <v>34</v>
      </c>
      <c r="O661">
        <v>15.69</v>
      </c>
      <c r="P661">
        <v>3</v>
      </c>
      <c r="Q661">
        <v>2.3534999999999999</v>
      </c>
      <c r="R661">
        <v>49.423499999999997</v>
      </c>
      <c r="S661">
        <v>47.07</v>
      </c>
      <c r="T661">
        <v>4.7619047620000003</v>
      </c>
      <c r="U661">
        <v>2.3534999999999999</v>
      </c>
      <c r="V661">
        <v>5.8</v>
      </c>
    </row>
    <row r="662" spans="1:22" x14ac:dyDescent="0.2">
      <c r="A662" t="s">
        <v>693</v>
      </c>
      <c r="B662" s="1">
        <v>43523</v>
      </c>
      <c r="C662" s="2">
        <v>0.43263888888888891</v>
      </c>
      <c r="D662" s="2" t="str">
        <f>IF(Table1[[#This Row],[Time]]&lt;$D$1,$C$1,IF(Table1[[#This Row],[Time]]&lt;$D$2,$C$2,$C$3))</f>
        <v>Morning</v>
      </c>
      <c r="E662">
        <f>MONTH(Table1[[#This Row],[Date]])</f>
        <v>2</v>
      </c>
      <c r="F662" t="str">
        <f>VLOOKUP(Table1[[#This Row],[Month]],dctMonth[],2,FALSE)</f>
        <v>February</v>
      </c>
      <c r="G662" t="s">
        <v>26</v>
      </c>
      <c r="H662" t="s">
        <v>27</v>
      </c>
      <c r="I662" t="s">
        <v>28</v>
      </c>
      <c r="J662" t="s">
        <v>22</v>
      </c>
      <c r="K662">
        <v>79</v>
      </c>
      <c r="L662" t="str">
        <f>IF(Table1[[#This Row],[Age]]&lt;20,"&lt;20",IF(Table1[[#This Row],[Age]]&lt;=70,"20-70","&gt;70"))</f>
        <v>&gt;70</v>
      </c>
      <c r="M662" t="s">
        <v>29</v>
      </c>
      <c r="N662" t="s">
        <v>34</v>
      </c>
      <c r="O662">
        <v>99.69</v>
      </c>
      <c r="P662">
        <v>1</v>
      </c>
      <c r="Q662">
        <v>4.9844999999999997</v>
      </c>
      <c r="R662">
        <v>104.67449999999999</v>
      </c>
      <c r="S662">
        <v>99.69</v>
      </c>
      <c r="T662">
        <v>4.7619047620000003</v>
      </c>
      <c r="U662">
        <v>4.9844999999999997</v>
      </c>
      <c r="V662">
        <v>8</v>
      </c>
    </row>
    <row r="663" spans="1:22" x14ac:dyDescent="0.2">
      <c r="A663" t="s">
        <v>694</v>
      </c>
      <c r="B663" s="1">
        <v>43483</v>
      </c>
      <c r="C663" s="2">
        <v>0.42430555555555555</v>
      </c>
      <c r="D663" s="2" t="str">
        <f>IF(Table1[[#This Row],[Time]]&lt;$D$1,$C$1,IF(Table1[[#This Row],[Time]]&lt;$D$2,$C$2,$C$3))</f>
        <v>Morning</v>
      </c>
      <c r="E663">
        <f>MONTH(Table1[[#This Row],[Date]])</f>
        <v>1</v>
      </c>
      <c r="F663" t="str">
        <f>VLOOKUP(Table1[[#This Row],[Month]],dctMonth[],2,FALSE)</f>
        <v>January</v>
      </c>
      <c r="G663" t="s">
        <v>19</v>
      </c>
      <c r="H663" t="s">
        <v>20</v>
      </c>
      <c r="I663" t="s">
        <v>21</v>
      </c>
      <c r="J663" t="s">
        <v>22</v>
      </c>
      <c r="K663">
        <v>87</v>
      </c>
      <c r="L663" t="str">
        <f>IF(Table1[[#This Row],[Age]]&lt;20,"&lt;20",IF(Table1[[#This Row],[Age]]&lt;=70,"20-70","&gt;70"))</f>
        <v>&gt;70</v>
      </c>
      <c r="M663" t="s">
        <v>47</v>
      </c>
      <c r="N663" t="s">
        <v>24</v>
      </c>
      <c r="O663">
        <v>88.15</v>
      </c>
      <c r="P663">
        <v>3</v>
      </c>
      <c r="Q663">
        <v>13.2225</v>
      </c>
      <c r="R663">
        <v>277.67250000000001</v>
      </c>
      <c r="S663">
        <v>264.45</v>
      </c>
      <c r="T663">
        <v>4.7619047620000003</v>
      </c>
      <c r="U663">
        <v>13.2225</v>
      </c>
      <c r="V663">
        <v>7.9</v>
      </c>
    </row>
    <row r="664" spans="1:22" x14ac:dyDescent="0.2">
      <c r="A664" t="s">
        <v>695</v>
      </c>
      <c r="B664" s="1">
        <v>43494</v>
      </c>
      <c r="C664" s="2">
        <v>0.65833333333333333</v>
      </c>
      <c r="D664" s="2" t="str">
        <f>IF(Table1[[#This Row],[Time]]&lt;$D$1,$C$1,IF(Table1[[#This Row],[Time]]&lt;$D$2,$C$2,$C$3))</f>
        <v>Afternoon</v>
      </c>
      <c r="E664">
        <f>MONTH(Table1[[#This Row],[Date]])</f>
        <v>1</v>
      </c>
      <c r="F664" t="str">
        <f>VLOOKUP(Table1[[#This Row],[Month]],dctMonth[],2,FALSE)</f>
        <v>January</v>
      </c>
      <c r="G664" t="s">
        <v>19</v>
      </c>
      <c r="H664" t="s">
        <v>20</v>
      </c>
      <c r="I664" t="s">
        <v>21</v>
      </c>
      <c r="J664" t="s">
        <v>22</v>
      </c>
      <c r="K664">
        <v>75</v>
      </c>
      <c r="L664" t="str">
        <f>IF(Table1[[#This Row],[Age]]&lt;20,"&lt;20",IF(Table1[[#This Row],[Age]]&lt;=70,"20-70","&gt;70"))</f>
        <v>&gt;70</v>
      </c>
      <c r="M664" t="s">
        <v>37</v>
      </c>
      <c r="N664" t="s">
        <v>30</v>
      </c>
      <c r="O664">
        <v>27.93</v>
      </c>
      <c r="P664">
        <v>5</v>
      </c>
      <c r="Q664">
        <v>6.9824999999999999</v>
      </c>
      <c r="R664">
        <v>146.63249999999999</v>
      </c>
      <c r="S664">
        <v>139.65</v>
      </c>
      <c r="T664">
        <v>4.7619047620000003</v>
      </c>
      <c r="U664">
        <v>6.9824999999999999</v>
      </c>
      <c r="V664">
        <v>5.9</v>
      </c>
    </row>
    <row r="665" spans="1:22" x14ac:dyDescent="0.2">
      <c r="A665" t="s">
        <v>696</v>
      </c>
      <c r="B665" s="1">
        <v>43522</v>
      </c>
      <c r="C665" s="2">
        <v>0.74027777777777781</v>
      </c>
      <c r="D665" s="2" t="str">
        <f>IF(Table1[[#This Row],[Time]]&lt;$D$1,$C$1,IF(Table1[[#This Row],[Time]]&lt;$D$2,$C$2,$C$3))</f>
        <v>Evening</v>
      </c>
      <c r="E665">
        <f>MONTH(Table1[[#This Row],[Date]])</f>
        <v>2</v>
      </c>
      <c r="F665" t="str">
        <f>VLOOKUP(Table1[[#This Row],[Month]],dctMonth[],2,FALSE)</f>
        <v>February</v>
      </c>
      <c r="G665" t="s">
        <v>19</v>
      </c>
      <c r="H665" t="s">
        <v>20</v>
      </c>
      <c r="I665" t="s">
        <v>21</v>
      </c>
      <c r="J665" t="s">
        <v>32</v>
      </c>
      <c r="K665">
        <v>22</v>
      </c>
      <c r="L665" t="str">
        <f>IF(Table1[[#This Row],[Age]]&lt;20,"&lt;20",IF(Table1[[#This Row],[Age]]&lt;=70,"20-70","&gt;70"))</f>
        <v>20-70</v>
      </c>
      <c r="M665" t="s">
        <v>47</v>
      </c>
      <c r="N665" t="s">
        <v>34</v>
      </c>
      <c r="O665">
        <v>55.45</v>
      </c>
      <c r="P665">
        <v>1</v>
      </c>
      <c r="Q665">
        <v>2.7725</v>
      </c>
      <c r="R665">
        <v>58.222499999999997</v>
      </c>
      <c r="S665">
        <v>55.45</v>
      </c>
      <c r="T665">
        <v>4.7619047620000003</v>
      </c>
      <c r="U665">
        <v>2.7725</v>
      </c>
      <c r="V665">
        <v>4.9000000000000004</v>
      </c>
    </row>
    <row r="666" spans="1:22" x14ac:dyDescent="0.2">
      <c r="A666" t="s">
        <v>697</v>
      </c>
      <c r="B666" s="1">
        <v>43499</v>
      </c>
      <c r="C666" s="2">
        <v>0.49027777777777776</v>
      </c>
      <c r="D666" s="2" t="str">
        <f>IF(Table1[[#This Row],[Time]]&lt;$D$1,$C$1,IF(Table1[[#This Row],[Time]]&lt;$D$2,$C$2,$C$3))</f>
        <v>Morning</v>
      </c>
      <c r="E666">
        <f>MONTH(Table1[[#This Row],[Date]])</f>
        <v>2</v>
      </c>
      <c r="F666" t="str">
        <f>VLOOKUP(Table1[[#This Row],[Month]],dctMonth[],2,FALSE)</f>
        <v>February</v>
      </c>
      <c r="G666" t="s">
        <v>43</v>
      </c>
      <c r="H666" t="s">
        <v>44</v>
      </c>
      <c r="I666" t="s">
        <v>28</v>
      </c>
      <c r="J666" t="s">
        <v>22</v>
      </c>
      <c r="K666">
        <v>88</v>
      </c>
      <c r="L666" t="str">
        <f>IF(Table1[[#This Row],[Age]]&lt;20,"&lt;20",IF(Table1[[#This Row],[Age]]&lt;=70,"20-70","&gt;70"))</f>
        <v>&gt;70</v>
      </c>
      <c r="M666" t="s">
        <v>37</v>
      </c>
      <c r="N666" t="s">
        <v>30</v>
      </c>
      <c r="O666">
        <v>42.97</v>
      </c>
      <c r="P666">
        <v>3</v>
      </c>
      <c r="Q666">
        <v>6.4455</v>
      </c>
      <c r="R666">
        <v>135.35550000000001</v>
      </c>
      <c r="S666">
        <v>128.91</v>
      </c>
      <c r="T666">
        <v>4.7619047620000003</v>
      </c>
      <c r="U666">
        <v>6.4455</v>
      </c>
      <c r="V666">
        <v>9.3000000000000007</v>
      </c>
    </row>
    <row r="667" spans="1:22" x14ac:dyDescent="0.2">
      <c r="A667" t="s">
        <v>698</v>
      </c>
      <c r="B667" s="1">
        <v>43481</v>
      </c>
      <c r="C667" s="2">
        <v>0.50486111111111109</v>
      </c>
      <c r="D667" s="2" t="str">
        <f>IF(Table1[[#This Row],[Time]]&lt;$D$1,$C$1,IF(Table1[[#This Row],[Time]]&lt;$D$2,$C$2,$C$3))</f>
        <v>Afternoon</v>
      </c>
      <c r="E667">
        <f>MONTH(Table1[[#This Row],[Date]])</f>
        <v>1</v>
      </c>
      <c r="F667" t="str">
        <f>VLOOKUP(Table1[[#This Row],[Month]],dctMonth[],2,FALSE)</f>
        <v>January</v>
      </c>
      <c r="G667" t="s">
        <v>26</v>
      </c>
      <c r="H667" t="s">
        <v>27</v>
      </c>
      <c r="I667" t="s">
        <v>21</v>
      </c>
      <c r="J667" t="s">
        <v>32</v>
      </c>
      <c r="K667">
        <v>28</v>
      </c>
      <c r="L667" t="str">
        <f>IF(Table1[[#This Row],[Age]]&lt;20,"&lt;20",IF(Table1[[#This Row],[Age]]&lt;=70,"20-70","&gt;70"))</f>
        <v>20-70</v>
      </c>
      <c r="M667" t="s">
        <v>37</v>
      </c>
      <c r="N667" t="s">
        <v>34</v>
      </c>
      <c r="O667">
        <v>17.14</v>
      </c>
      <c r="P667">
        <v>7</v>
      </c>
      <c r="Q667">
        <v>5.9989999999999997</v>
      </c>
      <c r="R667">
        <v>125.979</v>
      </c>
      <c r="S667">
        <v>119.98</v>
      </c>
      <c r="T667">
        <v>4.7619047620000003</v>
      </c>
      <c r="U667">
        <v>5.9989999999999997</v>
      </c>
      <c r="V667">
        <v>7.9</v>
      </c>
    </row>
    <row r="668" spans="1:22" x14ac:dyDescent="0.2">
      <c r="A668" t="s">
        <v>699</v>
      </c>
      <c r="B668" s="1">
        <v>43548</v>
      </c>
      <c r="C668" s="2">
        <v>0.75972222222222219</v>
      </c>
      <c r="D668" s="2" t="str">
        <f>IF(Table1[[#This Row],[Time]]&lt;$D$1,$C$1,IF(Table1[[#This Row],[Time]]&lt;$D$2,$C$2,$C$3))</f>
        <v>Evening</v>
      </c>
      <c r="E668">
        <f>MONTH(Table1[[#This Row],[Date]])</f>
        <v>3</v>
      </c>
      <c r="F668" t="str">
        <f>VLOOKUP(Table1[[#This Row],[Month]],dctMonth[],2,FALSE)</f>
        <v>March</v>
      </c>
      <c r="G668" t="s">
        <v>43</v>
      </c>
      <c r="H668" t="s">
        <v>44</v>
      </c>
      <c r="I668" t="s">
        <v>21</v>
      </c>
      <c r="J668" t="s">
        <v>22</v>
      </c>
      <c r="K668">
        <v>23</v>
      </c>
      <c r="L668" t="str">
        <f>IF(Table1[[#This Row],[Age]]&lt;20,"&lt;20",IF(Table1[[#This Row],[Age]]&lt;=70,"20-70","&gt;70"))</f>
        <v>20-70</v>
      </c>
      <c r="M668" t="s">
        <v>47</v>
      </c>
      <c r="N668" t="s">
        <v>34</v>
      </c>
      <c r="O668">
        <v>58.75</v>
      </c>
      <c r="P668">
        <v>6</v>
      </c>
      <c r="Q668">
        <v>17.625</v>
      </c>
      <c r="R668">
        <v>370.125</v>
      </c>
      <c r="S668">
        <v>352.5</v>
      </c>
      <c r="T668">
        <v>4.7619047620000003</v>
      </c>
      <c r="U668">
        <v>17.625</v>
      </c>
      <c r="V668">
        <v>5.9</v>
      </c>
    </row>
    <row r="669" spans="1:22" x14ac:dyDescent="0.2">
      <c r="A669" t="s">
        <v>700</v>
      </c>
      <c r="B669" s="1">
        <v>43508</v>
      </c>
      <c r="C669" s="2">
        <v>0.61458333333333337</v>
      </c>
      <c r="D669" s="2" t="str">
        <f>IF(Table1[[#This Row],[Time]]&lt;$D$1,$C$1,IF(Table1[[#This Row],[Time]]&lt;$D$2,$C$2,$C$3))</f>
        <v>Afternoon</v>
      </c>
      <c r="E669">
        <f>MONTH(Table1[[#This Row],[Date]])</f>
        <v>2</v>
      </c>
      <c r="F669" t="str">
        <f>VLOOKUP(Table1[[#This Row],[Month]],dctMonth[],2,FALSE)</f>
        <v>February</v>
      </c>
      <c r="G669" t="s">
        <v>26</v>
      </c>
      <c r="H669" t="s">
        <v>27</v>
      </c>
      <c r="I669" t="s">
        <v>21</v>
      </c>
      <c r="J669" t="s">
        <v>22</v>
      </c>
      <c r="K669">
        <v>26</v>
      </c>
      <c r="L669" t="str">
        <f>IF(Table1[[#This Row],[Age]]&lt;20,"&lt;20",IF(Table1[[#This Row],[Age]]&lt;=70,"20-70","&gt;70"))</f>
        <v>20-70</v>
      </c>
      <c r="M669" t="s">
        <v>45</v>
      </c>
      <c r="N669" t="s">
        <v>34</v>
      </c>
      <c r="O669">
        <v>87.1</v>
      </c>
      <c r="P669">
        <v>10</v>
      </c>
      <c r="Q669">
        <v>43.55</v>
      </c>
      <c r="R669">
        <v>914.55</v>
      </c>
      <c r="S669">
        <v>871</v>
      </c>
      <c r="T669">
        <v>4.7619047620000003</v>
      </c>
      <c r="U669">
        <v>43.55</v>
      </c>
      <c r="V669">
        <v>9.9</v>
      </c>
    </row>
    <row r="670" spans="1:22" x14ac:dyDescent="0.2">
      <c r="A670" t="s">
        <v>701</v>
      </c>
      <c r="B670" s="1">
        <v>43517</v>
      </c>
      <c r="C670" s="2">
        <v>0.48541666666666666</v>
      </c>
      <c r="D670" s="2" t="str">
        <f>IF(Table1[[#This Row],[Time]]&lt;$D$1,$C$1,IF(Table1[[#This Row],[Time]]&lt;$D$2,$C$2,$C$3))</f>
        <v>Morning</v>
      </c>
      <c r="E670">
        <f>MONTH(Table1[[#This Row],[Date]])</f>
        <v>2</v>
      </c>
      <c r="F670" t="str">
        <f>VLOOKUP(Table1[[#This Row],[Month]],dctMonth[],2,FALSE)</f>
        <v>February</v>
      </c>
      <c r="G670" t="s">
        <v>26</v>
      </c>
      <c r="H670" t="s">
        <v>27</v>
      </c>
      <c r="I670" t="s">
        <v>28</v>
      </c>
      <c r="J670" t="s">
        <v>22</v>
      </c>
      <c r="K670">
        <v>58</v>
      </c>
      <c r="L670" t="str">
        <f>IF(Table1[[#This Row],[Age]]&lt;20,"&lt;20",IF(Table1[[#This Row],[Age]]&lt;=70,"20-70","&gt;70"))</f>
        <v>20-70</v>
      </c>
      <c r="M670" t="s">
        <v>37</v>
      </c>
      <c r="N670" t="s">
        <v>30</v>
      </c>
      <c r="O670">
        <v>98.8</v>
      </c>
      <c r="P670">
        <v>2</v>
      </c>
      <c r="Q670">
        <v>9.8800000000000008</v>
      </c>
      <c r="R670">
        <v>207.48</v>
      </c>
      <c r="S670">
        <v>197.6</v>
      </c>
      <c r="T670">
        <v>4.7619047620000003</v>
      </c>
      <c r="U670">
        <v>9.8800000000000008</v>
      </c>
      <c r="V670">
        <v>7.7</v>
      </c>
    </row>
    <row r="671" spans="1:22" x14ac:dyDescent="0.2">
      <c r="A671" t="s">
        <v>702</v>
      </c>
      <c r="B671" s="1">
        <v>43500</v>
      </c>
      <c r="C671" s="2">
        <v>0.65555555555555556</v>
      </c>
      <c r="D671" s="2" t="str">
        <f>IF(Table1[[#This Row],[Time]]&lt;$D$1,$C$1,IF(Table1[[#This Row],[Time]]&lt;$D$2,$C$2,$C$3))</f>
        <v>Afternoon</v>
      </c>
      <c r="E671">
        <f>MONTH(Table1[[#This Row],[Date]])</f>
        <v>2</v>
      </c>
      <c r="F671" t="str">
        <f>VLOOKUP(Table1[[#This Row],[Month]],dctMonth[],2,FALSE)</f>
        <v>February</v>
      </c>
      <c r="G671" t="s">
        <v>19</v>
      </c>
      <c r="H671" t="s">
        <v>20</v>
      </c>
      <c r="I671" t="s">
        <v>28</v>
      </c>
      <c r="J671" t="s">
        <v>22</v>
      </c>
      <c r="K671">
        <v>75</v>
      </c>
      <c r="L671" t="str">
        <f>IF(Table1[[#This Row],[Age]]&lt;20,"&lt;20",IF(Table1[[#This Row],[Age]]&lt;=70,"20-70","&gt;70"))</f>
        <v>&gt;70</v>
      </c>
      <c r="M671" t="s">
        <v>47</v>
      </c>
      <c r="N671" t="s">
        <v>24</v>
      </c>
      <c r="O671">
        <v>48.63</v>
      </c>
      <c r="P671">
        <v>4</v>
      </c>
      <c r="Q671">
        <v>9.7260000000000009</v>
      </c>
      <c r="R671">
        <v>204.24600000000001</v>
      </c>
      <c r="S671">
        <v>194.52</v>
      </c>
      <c r="T671">
        <v>4.7619047620000003</v>
      </c>
      <c r="U671">
        <v>9.7260000000000009</v>
      </c>
      <c r="V671">
        <v>7.6</v>
      </c>
    </row>
    <row r="672" spans="1:22" x14ac:dyDescent="0.2">
      <c r="A672" t="s">
        <v>703</v>
      </c>
      <c r="B672" s="1">
        <v>43516</v>
      </c>
      <c r="C672" s="2">
        <v>0.54583333333333328</v>
      </c>
      <c r="D672" s="2" t="str">
        <f>IF(Table1[[#This Row],[Time]]&lt;$D$1,$C$1,IF(Table1[[#This Row],[Time]]&lt;$D$2,$C$2,$C$3))</f>
        <v>Afternoon</v>
      </c>
      <c r="E672">
        <f>MONTH(Table1[[#This Row],[Date]])</f>
        <v>2</v>
      </c>
      <c r="F672" t="str">
        <f>VLOOKUP(Table1[[#This Row],[Month]],dctMonth[],2,FALSE)</f>
        <v>February</v>
      </c>
      <c r="G672" t="s">
        <v>43</v>
      </c>
      <c r="H672" t="s">
        <v>44</v>
      </c>
      <c r="I672" t="s">
        <v>21</v>
      </c>
      <c r="J672" t="s">
        <v>32</v>
      </c>
      <c r="K672">
        <v>26</v>
      </c>
      <c r="L672" t="str">
        <f>IF(Table1[[#This Row],[Age]]&lt;20,"&lt;20",IF(Table1[[#This Row],[Age]]&lt;=70,"20-70","&gt;70"))</f>
        <v>20-70</v>
      </c>
      <c r="M672" t="s">
        <v>45</v>
      </c>
      <c r="N672" t="s">
        <v>24</v>
      </c>
      <c r="O672">
        <v>57.74</v>
      </c>
      <c r="P672">
        <v>3</v>
      </c>
      <c r="Q672">
        <v>8.6609999999999996</v>
      </c>
      <c r="R672">
        <v>181.881</v>
      </c>
      <c r="S672">
        <v>173.22</v>
      </c>
      <c r="T672">
        <v>4.7619047620000003</v>
      </c>
      <c r="U672">
        <v>8.6609999999999996</v>
      </c>
      <c r="V672">
        <v>7.7</v>
      </c>
    </row>
    <row r="673" spans="1:22" x14ac:dyDescent="0.2">
      <c r="A673" t="s">
        <v>704</v>
      </c>
      <c r="B673" s="1">
        <v>43519</v>
      </c>
      <c r="C673" s="2">
        <v>0.86319444444444449</v>
      </c>
      <c r="D673" s="2" t="str">
        <f>IF(Table1[[#This Row],[Time]]&lt;$D$1,$C$1,IF(Table1[[#This Row],[Time]]&lt;$D$2,$C$2,$C$3))</f>
        <v>Evening</v>
      </c>
      <c r="E673">
        <f>MONTH(Table1[[#This Row],[Date]])</f>
        <v>2</v>
      </c>
      <c r="F673" t="str">
        <f>VLOOKUP(Table1[[#This Row],[Month]],dctMonth[],2,FALSE)</f>
        <v>February</v>
      </c>
      <c r="G673" t="s">
        <v>43</v>
      </c>
      <c r="H673" t="s">
        <v>44</v>
      </c>
      <c r="I673" t="s">
        <v>28</v>
      </c>
      <c r="J673" t="s">
        <v>22</v>
      </c>
      <c r="K673">
        <v>71</v>
      </c>
      <c r="L673" t="str">
        <f>IF(Table1[[#This Row],[Age]]&lt;20,"&lt;20",IF(Table1[[#This Row],[Age]]&lt;=70,"20-70","&gt;70"))</f>
        <v>&gt;70</v>
      </c>
      <c r="M673" t="s">
        <v>23</v>
      </c>
      <c r="N673" t="s">
        <v>24</v>
      </c>
      <c r="O673">
        <v>17.97</v>
      </c>
      <c r="P673">
        <v>4</v>
      </c>
      <c r="Q673">
        <v>3.5939999999999999</v>
      </c>
      <c r="R673">
        <v>75.474000000000004</v>
      </c>
      <c r="S673">
        <v>71.88</v>
      </c>
      <c r="T673">
        <v>4.7619047620000003</v>
      </c>
      <c r="U673">
        <v>3.5939999999999999</v>
      </c>
      <c r="V673">
        <v>6.4</v>
      </c>
    </row>
    <row r="674" spans="1:22" x14ac:dyDescent="0.2">
      <c r="A674" t="s">
        <v>705</v>
      </c>
      <c r="B674" s="1">
        <v>43512</v>
      </c>
      <c r="C674" s="2">
        <v>0.59652777777777777</v>
      </c>
      <c r="D674" s="2" t="str">
        <f>IF(Table1[[#This Row],[Time]]&lt;$D$1,$C$1,IF(Table1[[#This Row],[Time]]&lt;$D$2,$C$2,$C$3))</f>
        <v>Afternoon</v>
      </c>
      <c r="E674">
        <f>MONTH(Table1[[#This Row],[Date]])</f>
        <v>2</v>
      </c>
      <c r="F674" t="str">
        <f>VLOOKUP(Table1[[#This Row],[Month]],dctMonth[],2,FALSE)</f>
        <v>February</v>
      </c>
      <c r="G674" t="s">
        <v>26</v>
      </c>
      <c r="H674" t="s">
        <v>27</v>
      </c>
      <c r="I674" t="s">
        <v>21</v>
      </c>
      <c r="J674" t="s">
        <v>22</v>
      </c>
      <c r="K674">
        <v>66</v>
      </c>
      <c r="L674" t="str">
        <f>IF(Table1[[#This Row],[Age]]&lt;20,"&lt;20",IF(Table1[[#This Row],[Age]]&lt;=70,"20-70","&gt;70"))</f>
        <v>20-70</v>
      </c>
      <c r="M674" t="s">
        <v>23</v>
      </c>
      <c r="N674" t="s">
        <v>24</v>
      </c>
      <c r="O674">
        <v>47.71</v>
      </c>
      <c r="P674">
        <v>6</v>
      </c>
      <c r="Q674">
        <v>14.313000000000001</v>
      </c>
      <c r="R674">
        <v>300.57299999999998</v>
      </c>
      <c r="S674">
        <v>286.26</v>
      </c>
      <c r="T674">
        <v>4.7619047620000003</v>
      </c>
      <c r="U674">
        <v>14.313000000000001</v>
      </c>
      <c r="V674">
        <v>4.4000000000000004</v>
      </c>
    </row>
    <row r="675" spans="1:22" x14ac:dyDescent="0.2">
      <c r="A675" t="s">
        <v>706</v>
      </c>
      <c r="B675" s="1">
        <v>43482</v>
      </c>
      <c r="C675" s="2">
        <v>0.41736111111111113</v>
      </c>
      <c r="D675" s="2" t="str">
        <f>IF(Table1[[#This Row],[Time]]&lt;$D$1,$C$1,IF(Table1[[#This Row],[Time]]&lt;$D$2,$C$2,$C$3))</f>
        <v>Morning</v>
      </c>
      <c r="E675">
        <f>MONTH(Table1[[#This Row],[Date]])</f>
        <v>1</v>
      </c>
      <c r="F675" t="str">
        <f>VLOOKUP(Table1[[#This Row],[Month]],dctMonth[],2,FALSE)</f>
        <v>January</v>
      </c>
      <c r="G675" t="s">
        <v>43</v>
      </c>
      <c r="H675" t="s">
        <v>44</v>
      </c>
      <c r="I675" t="s">
        <v>28</v>
      </c>
      <c r="J675" t="s">
        <v>22</v>
      </c>
      <c r="K675">
        <v>71</v>
      </c>
      <c r="L675" t="str">
        <f>IF(Table1[[#This Row],[Age]]&lt;20,"&lt;20",IF(Table1[[#This Row],[Age]]&lt;=70,"20-70","&gt;70"))</f>
        <v>&gt;70</v>
      </c>
      <c r="M675" t="s">
        <v>37</v>
      </c>
      <c r="N675" t="s">
        <v>34</v>
      </c>
      <c r="O675">
        <v>40.619999999999997</v>
      </c>
      <c r="P675">
        <v>2</v>
      </c>
      <c r="Q675">
        <v>4.0620000000000003</v>
      </c>
      <c r="R675">
        <v>85.302000000000007</v>
      </c>
      <c r="S675">
        <v>81.239999999999995</v>
      </c>
      <c r="T675">
        <v>4.7619047620000003</v>
      </c>
      <c r="U675">
        <v>4.0620000000000003</v>
      </c>
      <c r="V675">
        <v>4.0999999999999996</v>
      </c>
    </row>
    <row r="676" spans="1:22" x14ac:dyDescent="0.2">
      <c r="A676" t="s">
        <v>707</v>
      </c>
      <c r="B676" s="1">
        <v>43479</v>
      </c>
      <c r="C676" s="2">
        <v>0.8125</v>
      </c>
      <c r="D676" s="2" t="str">
        <f>IF(Table1[[#This Row],[Time]]&lt;$D$1,$C$1,IF(Table1[[#This Row],[Time]]&lt;$D$2,$C$2,$C$3))</f>
        <v>Evening</v>
      </c>
      <c r="E676">
        <f>MONTH(Table1[[#This Row],[Date]])</f>
        <v>1</v>
      </c>
      <c r="F676" t="str">
        <f>VLOOKUP(Table1[[#This Row],[Month]],dctMonth[],2,FALSE)</f>
        <v>January</v>
      </c>
      <c r="G676" t="s">
        <v>19</v>
      </c>
      <c r="H676" t="s">
        <v>20</v>
      </c>
      <c r="I676" t="s">
        <v>21</v>
      </c>
      <c r="J676" t="s">
        <v>32</v>
      </c>
      <c r="K676">
        <v>25</v>
      </c>
      <c r="L676" t="str">
        <f>IF(Table1[[#This Row],[Age]]&lt;20,"&lt;20",IF(Table1[[#This Row],[Age]]&lt;=70,"20-70","&gt;70"))</f>
        <v>20-70</v>
      </c>
      <c r="M676" t="s">
        <v>47</v>
      </c>
      <c r="N676" t="s">
        <v>24</v>
      </c>
      <c r="O676">
        <v>56.04</v>
      </c>
      <c r="P676">
        <v>10</v>
      </c>
      <c r="Q676">
        <v>28.02</v>
      </c>
      <c r="R676">
        <v>588.41999999999996</v>
      </c>
      <c r="S676">
        <v>560.4</v>
      </c>
      <c r="T676">
        <v>4.7619047620000003</v>
      </c>
      <c r="U676">
        <v>28.02</v>
      </c>
      <c r="V676">
        <v>4.4000000000000004</v>
      </c>
    </row>
    <row r="677" spans="1:22" x14ac:dyDescent="0.2">
      <c r="A677" t="s">
        <v>708</v>
      </c>
      <c r="B677" s="1">
        <v>43554</v>
      </c>
      <c r="C677" s="2">
        <v>0.69027777777777777</v>
      </c>
      <c r="D677" s="2" t="str">
        <f>IF(Table1[[#This Row],[Time]]&lt;$D$1,$C$1,IF(Table1[[#This Row],[Time]]&lt;$D$2,$C$2,$C$3))</f>
        <v>Afternoon</v>
      </c>
      <c r="E677">
        <f>MONTH(Table1[[#This Row],[Date]])</f>
        <v>3</v>
      </c>
      <c r="F677" t="str">
        <f>VLOOKUP(Table1[[#This Row],[Month]],dctMonth[],2,FALSE)</f>
        <v>March</v>
      </c>
      <c r="G677" t="s">
        <v>43</v>
      </c>
      <c r="H677" t="s">
        <v>44</v>
      </c>
      <c r="I677" t="s">
        <v>21</v>
      </c>
      <c r="J677" t="s">
        <v>32</v>
      </c>
      <c r="K677">
        <v>19</v>
      </c>
      <c r="L677" t="str">
        <f>IF(Table1[[#This Row],[Age]]&lt;20,"&lt;20",IF(Table1[[#This Row],[Age]]&lt;=70,"20-70","&gt;70"))</f>
        <v>&lt;20</v>
      </c>
      <c r="M677" t="s">
        <v>45</v>
      </c>
      <c r="N677" t="s">
        <v>30</v>
      </c>
      <c r="O677">
        <v>93.4</v>
      </c>
      <c r="P677">
        <v>2</v>
      </c>
      <c r="Q677">
        <v>9.34</v>
      </c>
      <c r="R677">
        <v>196.14</v>
      </c>
      <c r="S677">
        <v>186.8</v>
      </c>
      <c r="T677">
        <v>4.7619047620000003</v>
      </c>
      <c r="U677">
        <v>9.34</v>
      </c>
      <c r="V677">
        <v>5.5</v>
      </c>
    </row>
    <row r="678" spans="1:22" x14ac:dyDescent="0.2">
      <c r="A678" t="s">
        <v>709</v>
      </c>
      <c r="B678" s="1">
        <v>43526</v>
      </c>
      <c r="C678" s="2">
        <v>0.54861111111111116</v>
      </c>
      <c r="D678" s="2" t="str">
        <f>IF(Table1[[#This Row],[Time]]&lt;$D$1,$C$1,IF(Table1[[#This Row],[Time]]&lt;$D$2,$C$2,$C$3))</f>
        <v>Afternoon</v>
      </c>
      <c r="E678">
        <f>MONTH(Table1[[#This Row],[Date]])</f>
        <v>3</v>
      </c>
      <c r="F678" t="str">
        <f>VLOOKUP(Table1[[#This Row],[Month]],dctMonth[],2,FALSE)</f>
        <v>March</v>
      </c>
      <c r="G678" t="s">
        <v>43</v>
      </c>
      <c r="H678" t="s">
        <v>44</v>
      </c>
      <c r="I678" t="s">
        <v>28</v>
      </c>
      <c r="J678" t="s">
        <v>22</v>
      </c>
      <c r="K678">
        <v>86</v>
      </c>
      <c r="L678" t="str">
        <f>IF(Table1[[#This Row],[Age]]&lt;20,"&lt;20",IF(Table1[[#This Row],[Age]]&lt;=70,"20-70","&gt;70"))</f>
        <v>&gt;70</v>
      </c>
      <c r="M678" t="s">
        <v>23</v>
      </c>
      <c r="N678" t="s">
        <v>24</v>
      </c>
      <c r="O678">
        <v>73.41</v>
      </c>
      <c r="P678">
        <v>3</v>
      </c>
      <c r="Q678">
        <v>11.0115</v>
      </c>
      <c r="R678">
        <v>231.2415</v>
      </c>
      <c r="S678">
        <v>220.23</v>
      </c>
      <c r="T678">
        <v>4.7619047620000003</v>
      </c>
      <c r="U678">
        <v>11.0115</v>
      </c>
      <c r="V678">
        <v>4</v>
      </c>
    </row>
    <row r="679" spans="1:22" x14ac:dyDescent="0.2">
      <c r="A679" t="s">
        <v>710</v>
      </c>
      <c r="B679" s="1">
        <v>43511</v>
      </c>
      <c r="C679" s="2">
        <v>0.71527777777777779</v>
      </c>
      <c r="D679" s="2" t="str">
        <f>IF(Table1[[#This Row],[Time]]&lt;$D$1,$C$1,IF(Table1[[#This Row],[Time]]&lt;$D$2,$C$2,$C$3))</f>
        <v>Evening</v>
      </c>
      <c r="E679">
        <f>MONTH(Table1[[#This Row],[Date]])</f>
        <v>2</v>
      </c>
      <c r="F679" t="str">
        <f>VLOOKUP(Table1[[#This Row],[Month]],dctMonth[],2,FALSE)</f>
        <v>February</v>
      </c>
      <c r="G679" t="s">
        <v>26</v>
      </c>
      <c r="H679" t="s">
        <v>27</v>
      </c>
      <c r="I679" t="s">
        <v>28</v>
      </c>
      <c r="J679" t="s">
        <v>32</v>
      </c>
      <c r="K679">
        <v>81</v>
      </c>
      <c r="L679" t="str">
        <f>IF(Table1[[#This Row],[Age]]&lt;20,"&lt;20",IF(Table1[[#This Row],[Age]]&lt;=70,"20-70","&gt;70"))</f>
        <v>&gt;70</v>
      </c>
      <c r="M679" t="s">
        <v>23</v>
      </c>
      <c r="N679" t="s">
        <v>34</v>
      </c>
      <c r="O679">
        <v>33.64</v>
      </c>
      <c r="P679">
        <v>8</v>
      </c>
      <c r="Q679">
        <v>13.456</v>
      </c>
      <c r="R679">
        <v>282.57600000000002</v>
      </c>
      <c r="S679">
        <v>269.12</v>
      </c>
      <c r="T679">
        <v>4.7619047620000003</v>
      </c>
      <c r="U679">
        <v>13.456</v>
      </c>
      <c r="V679">
        <v>9.3000000000000007</v>
      </c>
    </row>
    <row r="680" spans="1:22" x14ac:dyDescent="0.2">
      <c r="A680" t="s">
        <v>711</v>
      </c>
      <c r="B680" s="1">
        <v>43525</v>
      </c>
      <c r="C680" s="2">
        <v>0.43194444444444446</v>
      </c>
      <c r="D680" s="2" t="str">
        <f>IF(Table1[[#This Row],[Time]]&lt;$D$1,$C$1,IF(Table1[[#This Row],[Time]]&lt;$D$2,$C$2,$C$3))</f>
        <v>Morning</v>
      </c>
      <c r="E680">
        <f>MONTH(Table1[[#This Row],[Date]])</f>
        <v>3</v>
      </c>
      <c r="F680" t="str">
        <f>VLOOKUP(Table1[[#This Row],[Month]],dctMonth[],2,FALSE)</f>
        <v>March</v>
      </c>
      <c r="G680" t="s">
        <v>19</v>
      </c>
      <c r="H680" t="s">
        <v>20</v>
      </c>
      <c r="I680" t="s">
        <v>28</v>
      </c>
      <c r="J680" t="s">
        <v>22</v>
      </c>
      <c r="K680">
        <v>88</v>
      </c>
      <c r="L680" t="str">
        <f>IF(Table1[[#This Row],[Age]]&lt;20,"&lt;20",IF(Table1[[#This Row],[Age]]&lt;=70,"20-70","&gt;70"))</f>
        <v>&gt;70</v>
      </c>
      <c r="M680" t="s">
        <v>29</v>
      </c>
      <c r="N680" t="s">
        <v>34</v>
      </c>
      <c r="O680">
        <v>45.48</v>
      </c>
      <c r="P680">
        <v>10</v>
      </c>
      <c r="Q680">
        <v>22.74</v>
      </c>
      <c r="R680">
        <v>477.54</v>
      </c>
      <c r="S680">
        <v>454.8</v>
      </c>
      <c r="T680">
        <v>4.7619047620000003</v>
      </c>
      <c r="U680">
        <v>22.74</v>
      </c>
      <c r="V680">
        <v>4.8</v>
      </c>
    </row>
    <row r="681" spans="1:22" x14ac:dyDescent="0.2">
      <c r="A681" t="s">
        <v>712</v>
      </c>
      <c r="B681" s="1">
        <v>43520</v>
      </c>
      <c r="C681" s="2">
        <v>0.83125000000000004</v>
      </c>
      <c r="D681" s="2" t="str">
        <f>IF(Table1[[#This Row],[Time]]&lt;$D$1,$C$1,IF(Table1[[#This Row],[Time]]&lt;$D$2,$C$2,$C$3))</f>
        <v>Evening</v>
      </c>
      <c r="E681">
        <f>MONTH(Table1[[#This Row],[Date]])</f>
        <v>2</v>
      </c>
      <c r="F681" t="str">
        <f>VLOOKUP(Table1[[#This Row],[Month]],dctMonth[],2,FALSE)</f>
        <v>February</v>
      </c>
      <c r="G681" t="s">
        <v>43</v>
      </c>
      <c r="H681" t="s">
        <v>44</v>
      </c>
      <c r="I681" t="s">
        <v>21</v>
      </c>
      <c r="J681" t="s">
        <v>32</v>
      </c>
      <c r="K681">
        <v>35</v>
      </c>
      <c r="L681" t="str">
        <f>IF(Table1[[#This Row],[Age]]&lt;20,"&lt;20",IF(Table1[[#This Row],[Age]]&lt;=70,"20-70","&gt;70"))</f>
        <v>20-70</v>
      </c>
      <c r="M681" t="s">
        <v>47</v>
      </c>
      <c r="N681" t="s">
        <v>30</v>
      </c>
      <c r="O681">
        <v>83.77</v>
      </c>
      <c r="P681">
        <v>2</v>
      </c>
      <c r="Q681">
        <v>8.3770000000000007</v>
      </c>
      <c r="R681">
        <v>175.917</v>
      </c>
      <c r="S681">
        <v>167.54</v>
      </c>
      <c r="T681">
        <v>4.7619047620000003</v>
      </c>
      <c r="U681">
        <v>8.3770000000000007</v>
      </c>
      <c r="V681">
        <v>4.5999999999999996</v>
      </c>
    </row>
    <row r="682" spans="1:22" x14ac:dyDescent="0.2">
      <c r="A682" t="s">
        <v>713</v>
      </c>
      <c r="B682" s="1">
        <v>43515</v>
      </c>
      <c r="C682" s="2">
        <v>0.81180555555555556</v>
      </c>
      <c r="D682" s="2" t="str">
        <f>IF(Table1[[#This Row],[Time]]&lt;$D$1,$C$1,IF(Table1[[#This Row],[Time]]&lt;$D$2,$C$2,$C$3))</f>
        <v>Evening</v>
      </c>
      <c r="E682">
        <f>MONTH(Table1[[#This Row],[Date]])</f>
        <v>2</v>
      </c>
      <c r="F682" t="str">
        <f>VLOOKUP(Table1[[#This Row],[Month]],dctMonth[],2,FALSE)</f>
        <v>February</v>
      </c>
      <c r="G682" t="s">
        <v>43</v>
      </c>
      <c r="H682" t="s">
        <v>44</v>
      </c>
      <c r="I682" t="s">
        <v>21</v>
      </c>
      <c r="J682" t="s">
        <v>22</v>
      </c>
      <c r="K682">
        <v>87</v>
      </c>
      <c r="L682" t="str">
        <f>IF(Table1[[#This Row],[Age]]&lt;20,"&lt;20",IF(Table1[[#This Row],[Age]]&lt;=70,"20-70","&gt;70"))</f>
        <v>&gt;70</v>
      </c>
      <c r="M682" t="s">
        <v>37</v>
      </c>
      <c r="N682" t="s">
        <v>34</v>
      </c>
      <c r="O682">
        <v>64.08</v>
      </c>
      <c r="P682">
        <v>7</v>
      </c>
      <c r="Q682">
        <v>22.428000000000001</v>
      </c>
      <c r="R682">
        <v>470.988</v>
      </c>
      <c r="S682">
        <v>448.56</v>
      </c>
      <c r="T682">
        <v>4.7619047620000003</v>
      </c>
      <c r="U682">
        <v>22.428000000000001</v>
      </c>
      <c r="V682">
        <v>7.3</v>
      </c>
    </row>
    <row r="683" spans="1:22" x14ac:dyDescent="0.2">
      <c r="A683" t="s">
        <v>714</v>
      </c>
      <c r="B683" s="1">
        <v>43519</v>
      </c>
      <c r="C683" s="2">
        <v>0.77083333333333337</v>
      </c>
      <c r="D683" s="2" t="str">
        <f>IF(Table1[[#This Row],[Time]]&lt;$D$1,$C$1,IF(Table1[[#This Row],[Time]]&lt;$D$2,$C$2,$C$3))</f>
        <v>Evening</v>
      </c>
      <c r="E683">
        <f>MONTH(Table1[[#This Row],[Date]])</f>
        <v>2</v>
      </c>
      <c r="F683" t="str">
        <f>VLOOKUP(Table1[[#This Row],[Month]],dctMonth[],2,FALSE)</f>
        <v>February</v>
      </c>
      <c r="G683" t="s">
        <v>19</v>
      </c>
      <c r="H683" t="s">
        <v>20</v>
      </c>
      <c r="I683" t="s">
        <v>21</v>
      </c>
      <c r="J683" t="s">
        <v>22</v>
      </c>
      <c r="K683">
        <v>25</v>
      </c>
      <c r="L683" t="str">
        <f>IF(Table1[[#This Row],[Age]]&lt;20,"&lt;20",IF(Table1[[#This Row],[Age]]&lt;=70,"20-70","&gt;70"))</f>
        <v>20-70</v>
      </c>
      <c r="M683" t="s">
        <v>45</v>
      </c>
      <c r="N683" t="s">
        <v>30</v>
      </c>
      <c r="O683">
        <v>73.47</v>
      </c>
      <c r="P683">
        <v>4</v>
      </c>
      <c r="Q683">
        <v>14.694000000000001</v>
      </c>
      <c r="R683">
        <v>308.57400000000001</v>
      </c>
      <c r="S683">
        <v>293.88</v>
      </c>
      <c r="T683">
        <v>4.7619047620000003</v>
      </c>
      <c r="U683">
        <v>14.694000000000001</v>
      </c>
      <c r="V683">
        <v>6</v>
      </c>
    </row>
    <row r="684" spans="1:22" x14ac:dyDescent="0.2">
      <c r="A684" t="s">
        <v>715</v>
      </c>
      <c r="B684" s="1">
        <v>43503</v>
      </c>
      <c r="C684" s="2">
        <v>0.6020833333333333</v>
      </c>
      <c r="D684" s="2" t="str">
        <f>IF(Table1[[#This Row],[Time]]&lt;$D$1,$C$1,IF(Table1[[#This Row],[Time]]&lt;$D$2,$C$2,$C$3))</f>
        <v>Afternoon</v>
      </c>
      <c r="E684">
        <f>MONTH(Table1[[#This Row],[Date]])</f>
        <v>2</v>
      </c>
      <c r="F684" t="str">
        <f>VLOOKUP(Table1[[#This Row],[Month]],dctMonth[],2,FALSE)</f>
        <v>February</v>
      </c>
      <c r="G684" t="s">
        <v>26</v>
      </c>
      <c r="H684" t="s">
        <v>27</v>
      </c>
      <c r="I684" t="s">
        <v>28</v>
      </c>
      <c r="J684" t="s">
        <v>32</v>
      </c>
      <c r="K684">
        <v>54</v>
      </c>
      <c r="L684" t="str">
        <f>IF(Table1[[#This Row],[Age]]&lt;20,"&lt;20",IF(Table1[[#This Row],[Age]]&lt;=70,"20-70","&gt;70"))</f>
        <v>20-70</v>
      </c>
      <c r="M684" t="s">
        <v>23</v>
      </c>
      <c r="N684" t="s">
        <v>24</v>
      </c>
      <c r="O684">
        <v>58.95</v>
      </c>
      <c r="P684">
        <v>10</v>
      </c>
      <c r="Q684">
        <v>29.475000000000001</v>
      </c>
      <c r="R684">
        <v>618.97500000000002</v>
      </c>
      <c r="S684">
        <v>589.5</v>
      </c>
      <c r="T684">
        <v>4.7619047620000003</v>
      </c>
      <c r="U684">
        <v>29.475000000000001</v>
      </c>
      <c r="V684">
        <v>8.1</v>
      </c>
    </row>
    <row r="685" spans="1:22" x14ac:dyDescent="0.2">
      <c r="A685" t="s">
        <v>716</v>
      </c>
      <c r="B685" s="1">
        <v>43476</v>
      </c>
      <c r="C685" s="2">
        <v>0.58125000000000004</v>
      </c>
      <c r="D685" s="2" t="str">
        <f>IF(Table1[[#This Row],[Time]]&lt;$D$1,$C$1,IF(Table1[[#This Row],[Time]]&lt;$D$2,$C$2,$C$3))</f>
        <v>Afternoon</v>
      </c>
      <c r="E685">
        <f>MONTH(Table1[[#This Row],[Date]])</f>
        <v>1</v>
      </c>
      <c r="F685" t="str">
        <f>VLOOKUP(Table1[[#This Row],[Month]],dctMonth[],2,FALSE)</f>
        <v>January</v>
      </c>
      <c r="G685" t="s">
        <v>19</v>
      </c>
      <c r="H685" t="s">
        <v>20</v>
      </c>
      <c r="I685" t="s">
        <v>21</v>
      </c>
      <c r="J685" t="s">
        <v>32</v>
      </c>
      <c r="K685">
        <v>29</v>
      </c>
      <c r="L685" t="str">
        <f>IF(Table1[[#This Row],[Age]]&lt;20,"&lt;20",IF(Table1[[#This Row],[Age]]&lt;=70,"20-70","&gt;70"))</f>
        <v>20-70</v>
      </c>
      <c r="M685" t="s">
        <v>45</v>
      </c>
      <c r="N685" t="s">
        <v>24</v>
      </c>
      <c r="O685">
        <v>48.5</v>
      </c>
      <c r="P685">
        <v>6</v>
      </c>
      <c r="Q685">
        <v>14.55</v>
      </c>
      <c r="R685">
        <v>305.55</v>
      </c>
      <c r="S685">
        <v>291</v>
      </c>
      <c r="T685">
        <v>4.7619047620000003</v>
      </c>
      <c r="U685">
        <v>14.55</v>
      </c>
      <c r="V685">
        <v>9.4</v>
      </c>
    </row>
    <row r="686" spans="1:22" x14ac:dyDescent="0.2">
      <c r="A686" t="s">
        <v>717</v>
      </c>
      <c r="B686" s="1">
        <v>43508</v>
      </c>
      <c r="C686" s="2">
        <v>0.82152777777777775</v>
      </c>
      <c r="D686" s="2" t="str">
        <f>IF(Table1[[#This Row],[Time]]&lt;$D$1,$C$1,IF(Table1[[#This Row],[Time]]&lt;$D$2,$C$2,$C$3))</f>
        <v>Evening</v>
      </c>
      <c r="E686">
        <f>MONTH(Table1[[#This Row],[Date]])</f>
        <v>2</v>
      </c>
      <c r="F686" t="str">
        <f>VLOOKUP(Table1[[#This Row],[Month]],dctMonth[],2,FALSE)</f>
        <v>February</v>
      </c>
      <c r="G686" t="s">
        <v>43</v>
      </c>
      <c r="H686" t="s">
        <v>44</v>
      </c>
      <c r="I686" t="s">
        <v>21</v>
      </c>
      <c r="J686" t="s">
        <v>22</v>
      </c>
      <c r="K686">
        <v>44</v>
      </c>
      <c r="L686" t="str">
        <f>IF(Table1[[#This Row],[Age]]&lt;20,"&lt;20",IF(Table1[[#This Row],[Age]]&lt;=70,"20-70","&gt;70"))</f>
        <v>20-70</v>
      </c>
      <c r="M686" t="s">
        <v>29</v>
      </c>
      <c r="N686" t="s">
        <v>30</v>
      </c>
      <c r="O686">
        <v>39.479999999999997</v>
      </c>
      <c r="P686">
        <v>1</v>
      </c>
      <c r="Q686">
        <v>1.974</v>
      </c>
      <c r="R686">
        <v>41.454000000000001</v>
      </c>
      <c r="S686">
        <v>39.479999999999997</v>
      </c>
      <c r="T686">
        <v>4.7619047620000003</v>
      </c>
      <c r="U686">
        <v>1.974</v>
      </c>
      <c r="V686">
        <v>6.5</v>
      </c>
    </row>
    <row r="687" spans="1:22" x14ac:dyDescent="0.2">
      <c r="A687" t="s">
        <v>718</v>
      </c>
      <c r="B687" s="1">
        <v>43479</v>
      </c>
      <c r="C687" s="2">
        <v>0.42430555555555555</v>
      </c>
      <c r="D687" s="2" t="str">
        <f>IF(Table1[[#This Row],[Time]]&lt;$D$1,$C$1,IF(Table1[[#This Row],[Time]]&lt;$D$2,$C$2,$C$3))</f>
        <v>Morning</v>
      </c>
      <c r="E687">
        <f>MONTH(Table1[[#This Row],[Date]])</f>
        <v>1</v>
      </c>
      <c r="F687" t="str">
        <f>VLOOKUP(Table1[[#This Row],[Month]],dctMonth[],2,FALSE)</f>
        <v>January</v>
      </c>
      <c r="G687" t="s">
        <v>43</v>
      </c>
      <c r="H687" t="s">
        <v>44</v>
      </c>
      <c r="I687" t="s">
        <v>28</v>
      </c>
      <c r="J687" t="s">
        <v>22</v>
      </c>
      <c r="K687">
        <v>60</v>
      </c>
      <c r="L687" t="str">
        <f>IF(Table1[[#This Row],[Age]]&lt;20,"&lt;20",IF(Table1[[#This Row],[Age]]&lt;=70,"20-70","&gt;70"))</f>
        <v>20-70</v>
      </c>
      <c r="M687" t="s">
        <v>37</v>
      </c>
      <c r="N687" t="s">
        <v>34</v>
      </c>
      <c r="O687">
        <v>34.81</v>
      </c>
      <c r="P687">
        <v>1</v>
      </c>
      <c r="Q687">
        <v>1.7404999999999999</v>
      </c>
      <c r="R687">
        <v>36.5505</v>
      </c>
      <c r="S687">
        <v>34.81</v>
      </c>
      <c r="T687">
        <v>4.7619047620000003</v>
      </c>
      <c r="U687">
        <v>1.7404999999999999</v>
      </c>
      <c r="V687">
        <v>7</v>
      </c>
    </row>
    <row r="688" spans="1:22" x14ac:dyDescent="0.2">
      <c r="A688" t="s">
        <v>719</v>
      </c>
      <c r="B688" s="1">
        <v>43474</v>
      </c>
      <c r="C688" s="2">
        <v>0.57361111111111107</v>
      </c>
      <c r="D688" s="2" t="str">
        <f>IF(Table1[[#This Row],[Time]]&lt;$D$1,$C$1,IF(Table1[[#This Row],[Time]]&lt;$D$2,$C$2,$C$3))</f>
        <v>Afternoon</v>
      </c>
      <c r="E688">
        <f>MONTH(Table1[[#This Row],[Date]])</f>
        <v>1</v>
      </c>
      <c r="F688" t="str">
        <f>VLOOKUP(Table1[[#This Row],[Month]],dctMonth[],2,FALSE)</f>
        <v>January</v>
      </c>
      <c r="G688" t="s">
        <v>26</v>
      </c>
      <c r="H688" t="s">
        <v>27</v>
      </c>
      <c r="I688" t="s">
        <v>28</v>
      </c>
      <c r="J688" t="s">
        <v>22</v>
      </c>
      <c r="K688">
        <v>55</v>
      </c>
      <c r="L688" t="str">
        <f>IF(Table1[[#This Row],[Age]]&lt;20,"&lt;20",IF(Table1[[#This Row],[Age]]&lt;=70,"20-70","&gt;70"))</f>
        <v>20-70</v>
      </c>
      <c r="M688" t="s">
        <v>47</v>
      </c>
      <c r="N688" t="s">
        <v>24</v>
      </c>
      <c r="O688">
        <v>49.32</v>
      </c>
      <c r="P688">
        <v>6</v>
      </c>
      <c r="Q688">
        <v>14.795999999999999</v>
      </c>
      <c r="R688">
        <v>310.71600000000001</v>
      </c>
      <c r="S688">
        <v>295.92</v>
      </c>
      <c r="T688">
        <v>4.7619047620000003</v>
      </c>
      <c r="U688">
        <v>14.795999999999999</v>
      </c>
      <c r="V688">
        <v>7.1</v>
      </c>
    </row>
    <row r="689" spans="1:22" x14ac:dyDescent="0.2">
      <c r="A689" t="s">
        <v>720</v>
      </c>
      <c r="B689" s="1">
        <v>43523</v>
      </c>
      <c r="C689" s="2">
        <v>0.51527777777777772</v>
      </c>
      <c r="D689" s="2" t="str">
        <f>IF(Table1[[#This Row],[Time]]&lt;$D$1,$C$1,IF(Table1[[#This Row],[Time]]&lt;$D$2,$C$2,$C$3))</f>
        <v>Afternoon</v>
      </c>
      <c r="E689">
        <f>MONTH(Table1[[#This Row],[Date]])</f>
        <v>2</v>
      </c>
      <c r="F689" t="str">
        <f>VLOOKUP(Table1[[#This Row],[Month]],dctMonth[],2,FALSE)</f>
        <v>February</v>
      </c>
      <c r="G689" t="s">
        <v>19</v>
      </c>
      <c r="H689" t="s">
        <v>20</v>
      </c>
      <c r="I689" t="s">
        <v>21</v>
      </c>
      <c r="J689" t="s">
        <v>32</v>
      </c>
      <c r="K689">
        <v>71</v>
      </c>
      <c r="L689" t="str">
        <f>IF(Table1[[#This Row],[Age]]&lt;20,"&lt;20",IF(Table1[[#This Row],[Age]]&lt;=70,"20-70","&gt;70"))</f>
        <v>&gt;70</v>
      </c>
      <c r="M689" t="s">
        <v>47</v>
      </c>
      <c r="N689" t="s">
        <v>24</v>
      </c>
      <c r="O689">
        <v>21.48</v>
      </c>
      <c r="P689">
        <v>2</v>
      </c>
      <c r="Q689">
        <v>2.1480000000000001</v>
      </c>
      <c r="R689">
        <v>45.107999999999997</v>
      </c>
      <c r="S689">
        <v>42.96</v>
      </c>
      <c r="T689">
        <v>4.7619047620000003</v>
      </c>
      <c r="U689">
        <v>2.1480000000000001</v>
      </c>
      <c r="V689">
        <v>6.6</v>
      </c>
    </row>
    <row r="690" spans="1:22" x14ac:dyDescent="0.2">
      <c r="A690" t="s">
        <v>721</v>
      </c>
      <c r="B690" s="1">
        <v>43489</v>
      </c>
      <c r="C690" s="2">
        <v>0.80555555555555558</v>
      </c>
      <c r="D690" s="2" t="str">
        <f>IF(Table1[[#This Row],[Time]]&lt;$D$1,$C$1,IF(Table1[[#This Row],[Time]]&lt;$D$2,$C$2,$C$3))</f>
        <v>Evening</v>
      </c>
      <c r="E690">
        <f>MONTH(Table1[[#This Row],[Date]])</f>
        <v>1</v>
      </c>
      <c r="F690" t="str">
        <f>VLOOKUP(Table1[[#This Row],[Month]],dctMonth[],2,FALSE)</f>
        <v>January</v>
      </c>
      <c r="G690" t="s">
        <v>43</v>
      </c>
      <c r="H690" t="s">
        <v>44</v>
      </c>
      <c r="I690" t="s">
        <v>21</v>
      </c>
      <c r="J690" t="s">
        <v>22</v>
      </c>
      <c r="K690">
        <v>73</v>
      </c>
      <c r="L690" t="str">
        <f>IF(Table1[[#This Row],[Age]]&lt;20,"&lt;20",IF(Table1[[#This Row],[Age]]&lt;=70,"20-70","&gt;70"))</f>
        <v>&gt;70</v>
      </c>
      <c r="M690" t="s">
        <v>37</v>
      </c>
      <c r="N690" t="s">
        <v>24</v>
      </c>
      <c r="O690">
        <v>23.08</v>
      </c>
      <c r="P690">
        <v>6</v>
      </c>
      <c r="Q690">
        <v>6.9240000000000004</v>
      </c>
      <c r="R690">
        <v>145.404</v>
      </c>
      <c r="S690">
        <v>138.47999999999999</v>
      </c>
      <c r="T690">
        <v>4.7619047620000003</v>
      </c>
      <c r="U690">
        <v>6.9240000000000004</v>
      </c>
      <c r="V690">
        <v>4.9000000000000004</v>
      </c>
    </row>
    <row r="691" spans="1:22" x14ac:dyDescent="0.2">
      <c r="A691" t="s">
        <v>722</v>
      </c>
      <c r="B691" s="1">
        <v>43473</v>
      </c>
      <c r="C691" s="2">
        <v>0.54027777777777775</v>
      </c>
      <c r="D691" s="2" t="str">
        <f>IF(Table1[[#This Row],[Time]]&lt;$D$1,$C$1,IF(Table1[[#This Row],[Time]]&lt;$D$2,$C$2,$C$3))</f>
        <v>Afternoon</v>
      </c>
      <c r="E691">
        <f>MONTH(Table1[[#This Row],[Date]])</f>
        <v>1</v>
      </c>
      <c r="F691" t="str">
        <f>VLOOKUP(Table1[[#This Row],[Month]],dctMonth[],2,FALSE)</f>
        <v>January</v>
      </c>
      <c r="G691" t="s">
        <v>43</v>
      </c>
      <c r="H691" t="s">
        <v>44</v>
      </c>
      <c r="I691" t="s">
        <v>21</v>
      </c>
      <c r="J691" t="s">
        <v>22</v>
      </c>
      <c r="K691">
        <v>31</v>
      </c>
      <c r="L691" t="str">
        <f>IF(Table1[[#This Row],[Age]]&lt;20,"&lt;20",IF(Table1[[#This Row],[Age]]&lt;=70,"20-70","&gt;70"))</f>
        <v>20-70</v>
      </c>
      <c r="M691" t="s">
        <v>33</v>
      </c>
      <c r="N691" t="s">
        <v>34</v>
      </c>
      <c r="O691">
        <v>49.1</v>
      </c>
      <c r="P691">
        <v>2</v>
      </c>
      <c r="Q691">
        <v>4.91</v>
      </c>
      <c r="R691">
        <v>103.11</v>
      </c>
      <c r="S691">
        <v>98.2</v>
      </c>
      <c r="T691">
        <v>4.7619047620000003</v>
      </c>
      <c r="U691">
        <v>4.91</v>
      </c>
      <c r="V691">
        <v>6.4</v>
      </c>
    </row>
    <row r="692" spans="1:22" x14ac:dyDescent="0.2">
      <c r="A692" t="s">
        <v>723</v>
      </c>
      <c r="B692" s="1">
        <v>43473</v>
      </c>
      <c r="C692" s="2">
        <v>0.49930555555555556</v>
      </c>
      <c r="D692" s="2" t="str">
        <f>IF(Table1[[#This Row],[Time]]&lt;$D$1,$C$1,IF(Table1[[#This Row],[Time]]&lt;$D$2,$C$2,$C$3))</f>
        <v>Morning</v>
      </c>
      <c r="E692">
        <f>MONTH(Table1[[#This Row],[Date]])</f>
        <v>1</v>
      </c>
      <c r="F692" t="str">
        <f>VLOOKUP(Table1[[#This Row],[Month]],dctMonth[],2,FALSE)</f>
        <v>January</v>
      </c>
      <c r="G692" t="s">
        <v>43</v>
      </c>
      <c r="H692" t="s">
        <v>44</v>
      </c>
      <c r="I692" t="s">
        <v>21</v>
      </c>
      <c r="J692" t="s">
        <v>22</v>
      </c>
      <c r="K692">
        <v>44</v>
      </c>
      <c r="L692" t="str">
        <f>IF(Table1[[#This Row],[Age]]&lt;20,"&lt;20",IF(Table1[[#This Row],[Age]]&lt;=70,"20-70","&gt;70"))</f>
        <v>20-70</v>
      </c>
      <c r="M692" t="s">
        <v>37</v>
      </c>
      <c r="N692" t="s">
        <v>34</v>
      </c>
      <c r="O692">
        <v>64.83</v>
      </c>
      <c r="P692">
        <v>2</v>
      </c>
      <c r="Q692">
        <v>6.4829999999999997</v>
      </c>
      <c r="R692">
        <v>136.143</v>
      </c>
      <c r="S692">
        <v>129.66</v>
      </c>
      <c r="T692">
        <v>4.7619047620000003</v>
      </c>
      <c r="U692">
        <v>6.4829999999999997</v>
      </c>
      <c r="V692">
        <v>8</v>
      </c>
    </row>
    <row r="693" spans="1:22" x14ac:dyDescent="0.2">
      <c r="A693" t="s">
        <v>724</v>
      </c>
      <c r="B693" s="1">
        <v>43481</v>
      </c>
      <c r="C693" s="2">
        <v>0.74930555555555556</v>
      </c>
      <c r="D693" s="2" t="str">
        <f>IF(Table1[[#This Row],[Time]]&lt;$D$1,$C$1,IF(Table1[[#This Row],[Time]]&lt;$D$2,$C$2,$C$3))</f>
        <v>Evening</v>
      </c>
      <c r="E693">
        <f>MONTH(Table1[[#This Row],[Date]])</f>
        <v>1</v>
      </c>
      <c r="F693" t="str">
        <f>VLOOKUP(Table1[[#This Row],[Month]],dctMonth[],2,FALSE)</f>
        <v>January</v>
      </c>
      <c r="G693" t="s">
        <v>19</v>
      </c>
      <c r="H693" t="s">
        <v>20</v>
      </c>
      <c r="I693" t="s">
        <v>21</v>
      </c>
      <c r="J693" t="s">
        <v>32</v>
      </c>
      <c r="K693">
        <v>49</v>
      </c>
      <c r="L693" t="str">
        <f>IF(Table1[[#This Row],[Age]]&lt;20,"&lt;20",IF(Table1[[#This Row],[Age]]&lt;=70,"20-70","&gt;70"))</f>
        <v>20-70</v>
      </c>
      <c r="M693" t="s">
        <v>33</v>
      </c>
      <c r="N693" t="s">
        <v>30</v>
      </c>
      <c r="O693">
        <v>63.56</v>
      </c>
      <c r="P693">
        <v>10</v>
      </c>
      <c r="Q693">
        <v>31.78</v>
      </c>
      <c r="R693">
        <v>667.38</v>
      </c>
      <c r="S693">
        <v>635.6</v>
      </c>
      <c r="T693">
        <v>4.7619047620000003</v>
      </c>
      <c r="U693">
        <v>31.78</v>
      </c>
      <c r="V693">
        <v>4.3</v>
      </c>
    </row>
    <row r="694" spans="1:22" x14ac:dyDescent="0.2">
      <c r="A694" t="s">
        <v>725</v>
      </c>
      <c r="B694" s="1">
        <v>43537</v>
      </c>
      <c r="C694" s="2">
        <v>0.53541666666666665</v>
      </c>
      <c r="D694" s="2" t="str">
        <f>IF(Table1[[#This Row],[Time]]&lt;$D$1,$C$1,IF(Table1[[#This Row],[Time]]&lt;$D$2,$C$2,$C$3))</f>
        <v>Afternoon</v>
      </c>
      <c r="E694">
        <f>MONTH(Table1[[#This Row],[Date]])</f>
        <v>3</v>
      </c>
      <c r="F694" t="str">
        <f>VLOOKUP(Table1[[#This Row],[Month]],dctMonth[],2,FALSE)</f>
        <v>March</v>
      </c>
      <c r="G694" t="s">
        <v>26</v>
      </c>
      <c r="H694" t="s">
        <v>27</v>
      </c>
      <c r="I694" t="s">
        <v>21</v>
      </c>
      <c r="J694" t="s">
        <v>32</v>
      </c>
      <c r="K694">
        <v>75</v>
      </c>
      <c r="L694" t="str">
        <f>IF(Table1[[#This Row],[Age]]&lt;20,"&lt;20",IF(Table1[[#This Row],[Age]]&lt;=70,"20-70","&gt;70"))</f>
        <v>&gt;70</v>
      </c>
      <c r="M694" t="s">
        <v>37</v>
      </c>
      <c r="N694" t="s">
        <v>30</v>
      </c>
      <c r="O694">
        <v>72.88</v>
      </c>
      <c r="P694">
        <v>2</v>
      </c>
      <c r="Q694">
        <v>7.2880000000000003</v>
      </c>
      <c r="R694">
        <v>153.048</v>
      </c>
      <c r="S694">
        <v>145.76</v>
      </c>
      <c r="T694">
        <v>4.7619047620000003</v>
      </c>
      <c r="U694">
        <v>7.2880000000000003</v>
      </c>
      <c r="V694">
        <v>6.1</v>
      </c>
    </row>
    <row r="695" spans="1:22" x14ac:dyDescent="0.2">
      <c r="A695" t="s">
        <v>726</v>
      </c>
      <c r="B695" s="1">
        <v>43511</v>
      </c>
      <c r="C695" s="2">
        <v>0.44166666666666665</v>
      </c>
      <c r="D695" s="2" t="str">
        <f>IF(Table1[[#This Row],[Time]]&lt;$D$1,$C$1,IF(Table1[[#This Row],[Time]]&lt;$D$2,$C$2,$C$3))</f>
        <v>Morning</v>
      </c>
      <c r="E695">
        <f>MONTH(Table1[[#This Row],[Date]])</f>
        <v>2</v>
      </c>
      <c r="F695" t="str">
        <f>VLOOKUP(Table1[[#This Row],[Month]],dctMonth[],2,FALSE)</f>
        <v>February</v>
      </c>
      <c r="G695" t="s">
        <v>19</v>
      </c>
      <c r="H695" t="s">
        <v>20</v>
      </c>
      <c r="I695" t="s">
        <v>28</v>
      </c>
      <c r="J695" t="s">
        <v>22</v>
      </c>
      <c r="K695">
        <v>19</v>
      </c>
      <c r="L695" t="str">
        <f>IF(Table1[[#This Row],[Age]]&lt;20,"&lt;20",IF(Table1[[#This Row],[Age]]&lt;=70,"20-70","&gt;70"))</f>
        <v>&lt;20</v>
      </c>
      <c r="M695" t="s">
        <v>45</v>
      </c>
      <c r="N695" t="s">
        <v>30</v>
      </c>
      <c r="O695">
        <v>67.099999999999994</v>
      </c>
      <c r="P695">
        <v>3</v>
      </c>
      <c r="Q695">
        <v>10.065</v>
      </c>
      <c r="R695">
        <v>211.36500000000001</v>
      </c>
      <c r="S695">
        <v>201.3</v>
      </c>
      <c r="T695">
        <v>4.7619047620000003</v>
      </c>
      <c r="U695">
        <v>10.065</v>
      </c>
      <c r="V695">
        <v>7.5</v>
      </c>
    </row>
    <row r="696" spans="1:22" x14ac:dyDescent="0.2">
      <c r="A696" t="s">
        <v>727</v>
      </c>
      <c r="B696" s="1">
        <v>43490</v>
      </c>
      <c r="C696" s="2">
        <v>0.56805555555555554</v>
      </c>
      <c r="D696" s="2" t="str">
        <f>IF(Table1[[#This Row],[Time]]&lt;$D$1,$C$1,IF(Table1[[#This Row],[Time]]&lt;$D$2,$C$2,$C$3))</f>
        <v>Afternoon</v>
      </c>
      <c r="E696">
        <f>MONTH(Table1[[#This Row],[Date]])</f>
        <v>1</v>
      </c>
      <c r="F696" t="str">
        <f>VLOOKUP(Table1[[#This Row],[Month]],dctMonth[],2,FALSE)</f>
        <v>January</v>
      </c>
      <c r="G696" t="s">
        <v>26</v>
      </c>
      <c r="H696" t="s">
        <v>27</v>
      </c>
      <c r="I696" t="s">
        <v>21</v>
      </c>
      <c r="J696" t="s">
        <v>22</v>
      </c>
      <c r="K696">
        <v>70</v>
      </c>
      <c r="L696" t="str">
        <f>IF(Table1[[#This Row],[Age]]&lt;20,"&lt;20",IF(Table1[[#This Row],[Age]]&lt;=70,"20-70","&gt;70"))</f>
        <v>20-70</v>
      </c>
      <c r="M696" t="s">
        <v>37</v>
      </c>
      <c r="N696" t="s">
        <v>30</v>
      </c>
      <c r="O696">
        <v>70.19</v>
      </c>
      <c r="P696">
        <v>9</v>
      </c>
      <c r="Q696">
        <v>31.5855</v>
      </c>
      <c r="R696">
        <v>663.29549999999995</v>
      </c>
      <c r="S696">
        <v>631.71</v>
      </c>
      <c r="T696">
        <v>4.7619047620000003</v>
      </c>
      <c r="U696">
        <v>31.5855</v>
      </c>
      <c r="V696">
        <v>6.7</v>
      </c>
    </row>
    <row r="697" spans="1:22" x14ac:dyDescent="0.2">
      <c r="A697" t="s">
        <v>728</v>
      </c>
      <c r="B697" s="1">
        <v>43536</v>
      </c>
      <c r="C697" s="2">
        <v>0.81874999999999998</v>
      </c>
      <c r="D697" s="2" t="str">
        <f>IF(Table1[[#This Row],[Time]]&lt;$D$1,$C$1,IF(Table1[[#This Row],[Time]]&lt;$D$2,$C$2,$C$3))</f>
        <v>Evening</v>
      </c>
      <c r="E697">
        <f>MONTH(Table1[[#This Row],[Date]])</f>
        <v>3</v>
      </c>
      <c r="F697" t="str">
        <f>VLOOKUP(Table1[[#This Row],[Month]],dctMonth[],2,FALSE)</f>
        <v>March</v>
      </c>
      <c r="G697" t="s">
        <v>26</v>
      </c>
      <c r="H697" t="s">
        <v>27</v>
      </c>
      <c r="I697" t="s">
        <v>21</v>
      </c>
      <c r="J697" t="s">
        <v>32</v>
      </c>
      <c r="K697">
        <v>37</v>
      </c>
      <c r="L697" t="str">
        <f>IF(Table1[[#This Row],[Age]]&lt;20,"&lt;20",IF(Table1[[#This Row],[Age]]&lt;=70,"20-70","&gt;70"))</f>
        <v>20-70</v>
      </c>
      <c r="M697" t="s">
        <v>45</v>
      </c>
      <c r="N697" t="s">
        <v>24</v>
      </c>
      <c r="O697">
        <v>55.04</v>
      </c>
      <c r="P697">
        <v>7</v>
      </c>
      <c r="Q697">
        <v>19.263999999999999</v>
      </c>
      <c r="R697">
        <v>404.54399999999998</v>
      </c>
      <c r="S697">
        <v>385.28</v>
      </c>
      <c r="T697">
        <v>4.7619047620000003</v>
      </c>
      <c r="U697">
        <v>19.263999999999999</v>
      </c>
      <c r="V697">
        <v>5.2</v>
      </c>
    </row>
    <row r="698" spans="1:22" x14ac:dyDescent="0.2">
      <c r="A698" t="s">
        <v>729</v>
      </c>
      <c r="B698" s="1">
        <v>43528</v>
      </c>
      <c r="C698" s="2">
        <v>0.53055555555555556</v>
      </c>
      <c r="D698" s="2" t="str">
        <f>IF(Table1[[#This Row],[Time]]&lt;$D$1,$C$1,IF(Table1[[#This Row],[Time]]&lt;$D$2,$C$2,$C$3))</f>
        <v>Afternoon</v>
      </c>
      <c r="E698">
        <f>MONTH(Table1[[#This Row],[Date]])</f>
        <v>3</v>
      </c>
      <c r="F698" t="str">
        <f>VLOOKUP(Table1[[#This Row],[Month]],dctMonth[],2,FALSE)</f>
        <v>March</v>
      </c>
      <c r="G698" t="s">
        <v>19</v>
      </c>
      <c r="H698" t="s">
        <v>20</v>
      </c>
      <c r="I698" t="s">
        <v>21</v>
      </c>
      <c r="J698" t="s">
        <v>32</v>
      </c>
      <c r="K698">
        <v>67</v>
      </c>
      <c r="L698" t="str">
        <f>IF(Table1[[#This Row],[Age]]&lt;20,"&lt;20",IF(Table1[[#This Row],[Age]]&lt;=70,"20-70","&gt;70"))</f>
        <v>20-70</v>
      </c>
      <c r="M698" t="s">
        <v>23</v>
      </c>
      <c r="N698" t="s">
        <v>30</v>
      </c>
      <c r="O698">
        <v>48.63</v>
      </c>
      <c r="P698">
        <v>10</v>
      </c>
      <c r="Q698">
        <v>24.315000000000001</v>
      </c>
      <c r="R698">
        <v>510.61500000000001</v>
      </c>
      <c r="S698">
        <v>486.3</v>
      </c>
      <c r="T698">
        <v>4.7619047620000003</v>
      </c>
      <c r="U698">
        <v>24.315000000000001</v>
      </c>
      <c r="V698">
        <v>8.8000000000000007</v>
      </c>
    </row>
    <row r="699" spans="1:22" x14ac:dyDescent="0.2">
      <c r="A699" t="s">
        <v>730</v>
      </c>
      <c r="B699" s="1">
        <v>43506</v>
      </c>
      <c r="C699" s="2">
        <v>0.5805555555555556</v>
      </c>
      <c r="D699" s="2" t="str">
        <f>IF(Table1[[#This Row],[Time]]&lt;$D$1,$C$1,IF(Table1[[#This Row],[Time]]&lt;$D$2,$C$2,$C$3))</f>
        <v>Afternoon</v>
      </c>
      <c r="E699">
        <f>MONTH(Table1[[#This Row],[Date]])</f>
        <v>2</v>
      </c>
      <c r="F699" t="str">
        <f>VLOOKUP(Table1[[#This Row],[Month]],dctMonth[],2,FALSE)</f>
        <v>February</v>
      </c>
      <c r="G699" t="s">
        <v>26</v>
      </c>
      <c r="H699" t="s">
        <v>27</v>
      </c>
      <c r="I699" t="s">
        <v>21</v>
      </c>
      <c r="J699" t="s">
        <v>22</v>
      </c>
      <c r="K699">
        <v>73</v>
      </c>
      <c r="L699" t="str">
        <f>IF(Table1[[#This Row],[Age]]&lt;20,"&lt;20",IF(Table1[[#This Row],[Age]]&lt;=70,"20-70","&gt;70"))</f>
        <v>&gt;70</v>
      </c>
      <c r="M699" t="s">
        <v>47</v>
      </c>
      <c r="N699" t="s">
        <v>30</v>
      </c>
      <c r="O699">
        <v>73.38</v>
      </c>
      <c r="P699">
        <v>7</v>
      </c>
      <c r="Q699">
        <v>25.683</v>
      </c>
      <c r="R699">
        <v>539.34299999999996</v>
      </c>
      <c r="S699">
        <v>513.66</v>
      </c>
      <c r="T699">
        <v>4.7619047620000003</v>
      </c>
      <c r="U699">
        <v>25.683</v>
      </c>
      <c r="V699">
        <v>9.5</v>
      </c>
    </row>
    <row r="700" spans="1:22" x14ac:dyDescent="0.2">
      <c r="A700" t="s">
        <v>731</v>
      </c>
      <c r="B700" s="1">
        <v>43481</v>
      </c>
      <c r="C700" s="2">
        <v>0.61250000000000004</v>
      </c>
      <c r="D700" s="2" t="str">
        <f>IF(Table1[[#This Row],[Time]]&lt;$D$1,$C$1,IF(Table1[[#This Row],[Time]]&lt;$D$2,$C$2,$C$3))</f>
        <v>Afternoon</v>
      </c>
      <c r="E700">
        <f>MONTH(Table1[[#This Row],[Date]])</f>
        <v>1</v>
      </c>
      <c r="F700" t="str">
        <f>VLOOKUP(Table1[[#This Row],[Month]],dctMonth[],2,FALSE)</f>
        <v>January</v>
      </c>
      <c r="G700" t="s">
        <v>26</v>
      </c>
      <c r="H700" t="s">
        <v>27</v>
      </c>
      <c r="I700" t="s">
        <v>28</v>
      </c>
      <c r="J700" t="s">
        <v>22</v>
      </c>
      <c r="K700">
        <v>50</v>
      </c>
      <c r="L700" t="str">
        <f>IF(Table1[[#This Row],[Age]]&lt;20,"&lt;20",IF(Table1[[#This Row],[Age]]&lt;=70,"20-70","&gt;70"))</f>
        <v>20-70</v>
      </c>
      <c r="M700" t="s">
        <v>45</v>
      </c>
      <c r="N700" t="s">
        <v>30</v>
      </c>
      <c r="O700">
        <v>52.6</v>
      </c>
      <c r="P700">
        <v>9</v>
      </c>
      <c r="Q700">
        <v>23.67</v>
      </c>
      <c r="R700">
        <v>497.07</v>
      </c>
      <c r="S700">
        <v>473.4</v>
      </c>
      <c r="T700">
        <v>4.7619047620000003</v>
      </c>
      <c r="U700">
        <v>23.67</v>
      </c>
      <c r="V700">
        <v>7.6</v>
      </c>
    </row>
    <row r="701" spans="1:22" x14ac:dyDescent="0.2">
      <c r="A701" t="s">
        <v>732</v>
      </c>
      <c r="B701" s="1">
        <v>43494</v>
      </c>
      <c r="C701" s="2">
        <v>0.82291666666666663</v>
      </c>
      <c r="D701" s="2" t="str">
        <f>IF(Table1[[#This Row],[Time]]&lt;$D$1,$C$1,IF(Table1[[#This Row],[Time]]&lt;$D$2,$C$2,$C$3))</f>
        <v>Evening</v>
      </c>
      <c r="E701">
        <f>MONTH(Table1[[#This Row],[Date]])</f>
        <v>1</v>
      </c>
      <c r="F701" t="str">
        <f>VLOOKUP(Table1[[#This Row],[Month]],dctMonth[],2,FALSE)</f>
        <v>January</v>
      </c>
      <c r="G701" t="s">
        <v>19</v>
      </c>
      <c r="H701" t="s">
        <v>20</v>
      </c>
      <c r="I701" t="s">
        <v>21</v>
      </c>
      <c r="J701" t="s">
        <v>22</v>
      </c>
      <c r="K701">
        <v>36</v>
      </c>
      <c r="L701" t="str">
        <f>IF(Table1[[#This Row],[Age]]&lt;20,"&lt;20",IF(Table1[[#This Row],[Age]]&lt;=70,"20-70","&gt;70"))</f>
        <v>20-70</v>
      </c>
      <c r="M701" t="s">
        <v>33</v>
      </c>
      <c r="N701" t="s">
        <v>30</v>
      </c>
      <c r="O701">
        <v>87.37</v>
      </c>
      <c r="P701">
        <v>5</v>
      </c>
      <c r="Q701">
        <v>21.842500000000001</v>
      </c>
      <c r="R701">
        <v>458.6925</v>
      </c>
      <c r="S701">
        <v>436.85</v>
      </c>
      <c r="T701">
        <v>4.7619047620000003</v>
      </c>
      <c r="U701">
        <v>21.842500000000001</v>
      </c>
      <c r="V701">
        <v>6.6</v>
      </c>
    </row>
    <row r="702" spans="1:22" x14ac:dyDescent="0.2">
      <c r="A702" t="s">
        <v>733</v>
      </c>
      <c r="B702" s="1">
        <v>43466</v>
      </c>
      <c r="C702" s="2">
        <v>0.85138888888888886</v>
      </c>
      <c r="D702" s="2" t="str">
        <f>IF(Table1[[#This Row],[Time]]&lt;$D$1,$C$1,IF(Table1[[#This Row],[Time]]&lt;$D$2,$C$2,$C$3))</f>
        <v>Evening</v>
      </c>
      <c r="E702">
        <f>MONTH(Table1[[#This Row],[Date]])</f>
        <v>1</v>
      </c>
      <c r="F702" t="str">
        <f>VLOOKUP(Table1[[#This Row],[Month]],dctMonth[],2,FALSE)</f>
        <v>January</v>
      </c>
      <c r="G702" t="s">
        <v>19</v>
      </c>
      <c r="H702" t="s">
        <v>20</v>
      </c>
      <c r="I702" t="s">
        <v>21</v>
      </c>
      <c r="J702" t="s">
        <v>22</v>
      </c>
      <c r="K702">
        <v>49</v>
      </c>
      <c r="L702" t="str">
        <f>IF(Table1[[#This Row],[Age]]&lt;20,"&lt;20",IF(Table1[[#This Row],[Age]]&lt;=70,"20-70","&gt;70"))</f>
        <v>20-70</v>
      </c>
      <c r="M702" t="s">
        <v>37</v>
      </c>
      <c r="N702" t="s">
        <v>24</v>
      </c>
      <c r="O702">
        <v>27.04</v>
      </c>
      <c r="P702">
        <v>4</v>
      </c>
      <c r="Q702">
        <v>5.4080000000000004</v>
      </c>
      <c r="R702">
        <v>113.568</v>
      </c>
      <c r="S702">
        <v>108.16</v>
      </c>
      <c r="T702">
        <v>4.7619047620000003</v>
      </c>
      <c r="U702">
        <v>5.4080000000000004</v>
      </c>
      <c r="V702">
        <v>6.9</v>
      </c>
    </row>
    <row r="703" spans="1:22" x14ac:dyDescent="0.2">
      <c r="A703" t="s">
        <v>734</v>
      </c>
      <c r="B703" s="1">
        <v>43471</v>
      </c>
      <c r="C703" s="2">
        <v>0.82361111111111107</v>
      </c>
      <c r="D703" s="2" t="str">
        <f>IF(Table1[[#This Row],[Time]]&lt;$D$1,$C$1,IF(Table1[[#This Row],[Time]]&lt;$D$2,$C$2,$C$3))</f>
        <v>Evening</v>
      </c>
      <c r="E703">
        <f>MONTH(Table1[[#This Row],[Date]])</f>
        <v>1</v>
      </c>
      <c r="F703" t="str">
        <f>VLOOKUP(Table1[[#This Row],[Month]],dctMonth[],2,FALSE)</f>
        <v>January</v>
      </c>
      <c r="G703" t="s">
        <v>43</v>
      </c>
      <c r="H703" t="s">
        <v>44</v>
      </c>
      <c r="I703" t="s">
        <v>28</v>
      </c>
      <c r="J703" t="s">
        <v>32</v>
      </c>
      <c r="K703">
        <v>87</v>
      </c>
      <c r="L703" t="str">
        <f>IF(Table1[[#This Row],[Age]]&lt;20,"&lt;20",IF(Table1[[#This Row],[Age]]&lt;=70,"20-70","&gt;70"))</f>
        <v>&gt;70</v>
      </c>
      <c r="M703" t="s">
        <v>33</v>
      </c>
      <c r="N703" t="s">
        <v>24</v>
      </c>
      <c r="O703">
        <v>62.19</v>
      </c>
      <c r="P703">
        <v>4</v>
      </c>
      <c r="Q703">
        <v>12.438000000000001</v>
      </c>
      <c r="R703">
        <v>261.19799999999998</v>
      </c>
      <c r="S703">
        <v>248.76</v>
      </c>
      <c r="T703">
        <v>4.7619047620000003</v>
      </c>
      <c r="U703">
        <v>12.438000000000001</v>
      </c>
      <c r="V703">
        <v>4.3</v>
      </c>
    </row>
    <row r="704" spans="1:22" x14ac:dyDescent="0.2">
      <c r="A704" t="s">
        <v>735</v>
      </c>
      <c r="B704" s="1">
        <v>43515</v>
      </c>
      <c r="C704" s="2">
        <v>0.81805555555555554</v>
      </c>
      <c r="D704" s="2" t="str">
        <f>IF(Table1[[#This Row],[Time]]&lt;$D$1,$C$1,IF(Table1[[#This Row],[Time]]&lt;$D$2,$C$2,$C$3))</f>
        <v>Evening</v>
      </c>
      <c r="E704">
        <f>MONTH(Table1[[#This Row],[Date]])</f>
        <v>2</v>
      </c>
      <c r="F704" t="str">
        <f>VLOOKUP(Table1[[#This Row],[Month]],dctMonth[],2,FALSE)</f>
        <v>February</v>
      </c>
      <c r="G704" t="s">
        <v>19</v>
      </c>
      <c r="H704" t="s">
        <v>20</v>
      </c>
      <c r="I704" t="s">
        <v>21</v>
      </c>
      <c r="J704" t="s">
        <v>32</v>
      </c>
      <c r="K704">
        <v>74</v>
      </c>
      <c r="L704" t="str">
        <f>IF(Table1[[#This Row],[Age]]&lt;20,"&lt;20",IF(Table1[[#This Row],[Age]]&lt;=70,"20-70","&gt;70"))</f>
        <v>&gt;70</v>
      </c>
      <c r="M704" t="s">
        <v>29</v>
      </c>
      <c r="N704" t="s">
        <v>34</v>
      </c>
      <c r="O704">
        <v>69.58</v>
      </c>
      <c r="P704">
        <v>9</v>
      </c>
      <c r="Q704">
        <v>31.311</v>
      </c>
      <c r="R704">
        <v>657.53099999999995</v>
      </c>
      <c r="S704">
        <v>626.22</v>
      </c>
      <c r="T704">
        <v>4.7619047620000003</v>
      </c>
      <c r="U704">
        <v>31.311</v>
      </c>
      <c r="V704">
        <v>7.8</v>
      </c>
    </row>
    <row r="705" spans="1:22" x14ac:dyDescent="0.2">
      <c r="A705" t="s">
        <v>736</v>
      </c>
      <c r="B705" s="1">
        <v>43477</v>
      </c>
      <c r="C705" s="2">
        <v>0.6791666666666667</v>
      </c>
      <c r="D705" s="2" t="str">
        <f>IF(Table1[[#This Row],[Time]]&lt;$D$1,$C$1,IF(Table1[[#This Row],[Time]]&lt;$D$2,$C$2,$C$3))</f>
        <v>Afternoon</v>
      </c>
      <c r="E705">
        <f>MONTH(Table1[[#This Row],[Date]])</f>
        <v>1</v>
      </c>
      <c r="F705" t="str">
        <f>VLOOKUP(Table1[[#This Row],[Month]],dctMonth[],2,FALSE)</f>
        <v>January</v>
      </c>
      <c r="G705" t="s">
        <v>26</v>
      </c>
      <c r="H705" t="s">
        <v>27</v>
      </c>
      <c r="I705" t="s">
        <v>28</v>
      </c>
      <c r="J705" t="s">
        <v>32</v>
      </c>
      <c r="K705">
        <v>87</v>
      </c>
      <c r="L705" t="str">
        <f>IF(Table1[[#This Row],[Age]]&lt;20,"&lt;20",IF(Table1[[#This Row],[Age]]&lt;=70,"20-70","&gt;70"))</f>
        <v>&gt;70</v>
      </c>
      <c r="M705" t="s">
        <v>33</v>
      </c>
      <c r="N705" t="s">
        <v>24</v>
      </c>
      <c r="O705">
        <v>97.5</v>
      </c>
      <c r="P705">
        <v>10</v>
      </c>
      <c r="Q705">
        <v>48.75</v>
      </c>
      <c r="R705">
        <v>1023.75</v>
      </c>
      <c r="S705">
        <v>975</v>
      </c>
      <c r="T705">
        <v>4.7619047620000003</v>
      </c>
      <c r="U705">
        <v>48.75</v>
      </c>
      <c r="V705">
        <v>8</v>
      </c>
    </row>
    <row r="706" spans="1:22" x14ac:dyDescent="0.2">
      <c r="A706" t="s">
        <v>737</v>
      </c>
      <c r="B706" s="1">
        <v>43503</v>
      </c>
      <c r="C706" s="2">
        <v>0.51597222222222228</v>
      </c>
      <c r="D706" s="2" t="str">
        <f>IF(Table1[[#This Row],[Time]]&lt;$D$1,$C$1,IF(Table1[[#This Row],[Time]]&lt;$D$2,$C$2,$C$3))</f>
        <v>Afternoon</v>
      </c>
      <c r="E706">
        <f>MONTH(Table1[[#This Row],[Date]])</f>
        <v>2</v>
      </c>
      <c r="F706" t="str">
        <f>VLOOKUP(Table1[[#This Row],[Month]],dctMonth[],2,FALSE)</f>
        <v>February</v>
      </c>
      <c r="G706" t="s">
        <v>26</v>
      </c>
      <c r="H706" t="s">
        <v>27</v>
      </c>
      <c r="I706" t="s">
        <v>28</v>
      </c>
      <c r="J706" t="s">
        <v>22</v>
      </c>
      <c r="K706">
        <v>50</v>
      </c>
      <c r="L706" t="str">
        <f>IF(Table1[[#This Row],[Age]]&lt;20,"&lt;20",IF(Table1[[#This Row],[Age]]&lt;=70,"20-70","&gt;70"))</f>
        <v>20-70</v>
      </c>
      <c r="M706" t="s">
        <v>47</v>
      </c>
      <c r="N706" t="s">
        <v>24</v>
      </c>
      <c r="O706">
        <v>60.41</v>
      </c>
      <c r="P706">
        <v>8</v>
      </c>
      <c r="Q706">
        <v>24.164000000000001</v>
      </c>
      <c r="R706">
        <v>507.44400000000002</v>
      </c>
      <c r="S706">
        <v>483.28</v>
      </c>
      <c r="T706">
        <v>4.7619047620000003</v>
      </c>
      <c r="U706">
        <v>24.164000000000001</v>
      </c>
      <c r="V706">
        <v>9.6</v>
      </c>
    </row>
    <row r="707" spans="1:22" x14ac:dyDescent="0.2">
      <c r="A707" t="s">
        <v>738</v>
      </c>
      <c r="B707" s="1">
        <v>43551</v>
      </c>
      <c r="C707" s="2">
        <v>0.7993055555555556</v>
      </c>
      <c r="D707" s="2" t="str">
        <f>IF(Table1[[#This Row],[Time]]&lt;$D$1,$C$1,IF(Table1[[#This Row],[Time]]&lt;$D$2,$C$2,$C$3))</f>
        <v>Evening</v>
      </c>
      <c r="E707">
        <f>MONTH(Table1[[#This Row],[Date]])</f>
        <v>3</v>
      </c>
      <c r="F707" t="str">
        <f>VLOOKUP(Table1[[#This Row],[Month]],dctMonth[],2,FALSE)</f>
        <v>March</v>
      </c>
      <c r="G707" t="s">
        <v>43</v>
      </c>
      <c r="H707" t="s">
        <v>44</v>
      </c>
      <c r="I707" t="s">
        <v>28</v>
      </c>
      <c r="J707" t="s">
        <v>32</v>
      </c>
      <c r="K707">
        <v>31</v>
      </c>
      <c r="L707" t="str">
        <f>IF(Table1[[#This Row],[Age]]&lt;20,"&lt;20",IF(Table1[[#This Row],[Age]]&lt;=70,"20-70","&gt;70"))</f>
        <v>20-70</v>
      </c>
      <c r="M707" t="s">
        <v>45</v>
      </c>
      <c r="N707" t="s">
        <v>34</v>
      </c>
      <c r="O707">
        <v>32.32</v>
      </c>
      <c r="P707">
        <v>3</v>
      </c>
      <c r="Q707">
        <v>4.8479999999999999</v>
      </c>
      <c r="R707">
        <v>101.80800000000001</v>
      </c>
      <c r="S707">
        <v>96.96</v>
      </c>
      <c r="T707">
        <v>4.7619047620000003</v>
      </c>
      <c r="U707">
        <v>4.8479999999999999</v>
      </c>
      <c r="V707">
        <v>4.3</v>
      </c>
    </row>
    <row r="708" spans="1:22" x14ac:dyDescent="0.2">
      <c r="A708" t="s">
        <v>739</v>
      </c>
      <c r="B708" s="1">
        <v>43523</v>
      </c>
      <c r="C708" s="2">
        <v>0.7895833333333333</v>
      </c>
      <c r="D708" s="2" t="str">
        <f>IF(Table1[[#This Row],[Time]]&lt;$D$1,$C$1,IF(Table1[[#This Row],[Time]]&lt;$D$2,$C$2,$C$3))</f>
        <v>Evening</v>
      </c>
      <c r="E708">
        <f>MONTH(Table1[[#This Row],[Date]])</f>
        <v>2</v>
      </c>
      <c r="F708" t="str">
        <f>VLOOKUP(Table1[[#This Row],[Month]],dctMonth[],2,FALSE)</f>
        <v>February</v>
      </c>
      <c r="G708" t="s">
        <v>43</v>
      </c>
      <c r="H708" t="s">
        <v>44</v>
      </c>
      <c r="I708" t="s">
        <v>21</v>
      </c>
      <c r="J708" t="s">
        <v>22</v>
      </c>
      <c r="K708">
        <v>47</v>
      </c>
      <c r="L708" t="str">
        <f>IF(Table1[[#This Row],[Age]]&lt;20,"&lt;20",IF(Table1[[#This Row],[Age]]&lt;=70,"20-70","&gt;70"))</f>
        <v>20-70</v>
      </c>
      <c r="M708" t="s">
        <v>47</v>
      </c>
      <c r="N708" t="s">
        <v>34</v>
      </c>
      <c r="O708">
        <v>19.77</v>
      </c>
      <c r="P708">
        <v>10</v>
      </c>
      <c r="Q708">
        <v>9.8849999999999998</v>
      </c>
      <c r="R708">
        <v>207.58500000000001</v>
      </c>
      <c r="S708">
        <v>197.7</v>
      </c>
      <c r="T708">
        <v>4.7619047620000003</v>
      </c>
      <c r="U708">
        <v>9.8849999999999998</v>
      </c>
      <c r="V708">
        <v>5</v>
      </c>
    </row>
    <row r="709" spans="1:22" x14ac:dyDescent="0.2">
      <c r="A709" t="s">
        <v>740</v>
      </c>
      <c r="B709" s="1">
        <v>43471</v>
      </c>
      <c r="C709" s="2">
        <v>0.47083333333333333</v>
      </c>
      <c r="D709" s="2" t="str">
        <f>IF(Table1[[#This Row],[Time]]&lt;$D$1,$C$1,IF(Table1[[#This Row],[Time]]&lt;$D$2,$C$2,$C$3))</f>
        <v>Morning</v>
      </c>
      <c r="E709">
        <f>MONTH(Table1[[#This Row],[Date]])</f>
        <v>1</v>
      </c>
      <c r="F709" t="str">
        <f>VLOOKUP(Table1[[#This Row],[Month]],dctMonth[],2,FALSE)</f>
        <v>January</v>
      </c>
      <c r="G709" t="s">
        <v>43</v>
      </c>
      <c r="H709" t="s">
        <v>44</v>
      </c>
      <c r="I709" t="s">
        <v>21</v>
      </c>
      <c r="J709" t="s">
        <v>32</v>
      </c>
      <c r="K709">
        <v>30</v>
      </c>
      <c r="L709" t="str">
        <f>IF(Table1[[#This Row],[Age]]&lt;20,"&lt;20",IF(Table1[[#This Row],[Age]]&lt;=70,"20-70","&gt;70"))</f>
        <v>20-70</v>
      </c>
      <c r="M709" t="s">
        <v>23</v>
      </c>
      <c r="N709" t="s">
        <v>30</v>
      </c>
      <c r="O709">
        <v>80.47</v>
      </c>
      <c r="P709">
        <v>9</v>
      </c>
      <c r="Q709">
        <v>36.211500000000001</v>
      </c>
      <c r="R709">
        <v>760.44150000000002</v>
      </c>
      <c r="S709">
        <v>724.23</v>
      </c>
      <c r="T709">
        <v>4.7619047620000003</v>
      </c>
      <c r="U709">
        <v>36.211500000000001</v>
      </c>
      <c r="V709">
        <v>9.1999999999999993</v>
      </c>
    </row>
    <row r="710" spans="1:22" x14ac:dyDescent="0.2">
      <c r="A710" t="s">
        <v>741</v>
      </c>
      <c r="B710" s="1">
        <v>43526</v>
      </c>
      <c r="C710" s="2">
        <v>0.52777777777777779</v>
      </c>
      <c r="D710" s="2" t="str">
        <f>IF(Table1[[#This Row],[Time]]&lt;$D$1,$C$1,IF(Table1[[#This Row],[Time]]&lt;$D$2,$C$2,$C$3))</f>
        <v>Afternoon</v>
      </c>
      <c r="E710">
        <f>MONTH(Table1[[#This Row],[Date]])</f>
        <v>3</v>
      </c>
      <c r="F710" t="str">
        <f>VLOOKUP(Table1[[#This Row],[Month]],dctMonth[],2,FALSE)</f>
        <v>March</v>
      </c>
      <c r="G710" t="s">
        <v>43</v>
      </c>
      <c r="H710" t="s">
        <v>44</v>
      </c>
      <c r="I710" t="s">
        <v>21</v>
      </c>
      <c r="J710" t="s">
        <v>22</v>
      </c>
      <c r="K710">
        <v>80</v>
      </c>
      <c r="L710" t="str">
        <f>IF(Table1[[#This Row],[Age]]&lt;20,"&lt;20",IF(Table1[[#This Row],[Age]]&lt;=70,"20-70","&gt;70"))</f>
        <v>&gt;70</v>
      </c>
      <c r="M710" t="s">
        <v>33</v>
      </c>
      <c r="N710" t="s">
        <v>30</v>
      </c>
      <c r="O710">
        <v>88.39</v>
      </c>
      <c r="P710">
        <v>9</v>
      </c>
      <c r="Q710">
        <v>39.775500000000001</v>
      </c>
      <c r="R710">
        <v>835.28549999999996</v>
      </c>
      <c r="S710">
        <v>795.51</v>
      </c>
      <c r="T710">
        <v>4.7619047620000003</v>
      </c>
      <c r="U710">
        <v>39.775500000000001</v>
      </c>
      <c r="V710">
        <v>6.3</v>
      </c>
    </row>
    <row r="711" spans="1:22" x14ac:dyDescent="0.2">
      <c r="A711" t="s">
        <v>742</v>
      </c>
      <c r="B711" s="1">
        <v>43553</v>
      </c>
      <c r="C711" s="2">
        <v>0.58750000000000002</v>
      </c>
      <c r="D711" s="2" t="str">
        <f>IF(Table1[[#This Row],[Time]]&lt;$D$1,$C$1,IF(Table1[[#This Row],[Time]]&lt;$D$2,$C$2,$C$3))</f>
        <v>Afternoon</v>
      </c>
      <c r="E711">
        <f>MONTH(Table1[[#This Row],[Date]])</f>
        <v>3</v>
      </c>
      <c r="F711" t="str">
        <f>VLOOKUP(Table1[[#This Row],[Month]],dctMonth[],2,FALSE)</f>
        <v>March</v>
      </c>
      <c r="G711" t="s">
        <v>43</v>
      </c>
      <c r="H711" t="s">
        <v>44</v>
      </c>
      <c r="I711" t="s">
        <v>28</v>
      </c>
      <c r="J711" t="s">
        <v>32</v>
      </c>
      <c r="K711">
        <v>26</v>
      </c>
      <c r="L711" t="str">
        <f>IF(Table1[[#This Row],[Age]]&lt;20,"&lt;20",IF(Table1[[#This Row],[Age]]&lt;=70,"20-70","&gt;70"))</f>
        <v>20-70</v>
      </c>
      <c r="M711" t="s">
        <v>23</v>
      </c>
      <c r="N711" t="s">
        <v>30</v>
      </c>
      <c r="O711">
        <v>71.77</v>
      </c>
      <c r="P711">
        <v>7</v>
      </c>
      <c r="Q711">
        <v>25.119499999999999</v>
      </c>
      <c r="R711">
        <v>527.5095</v>
      </c>
      <c r="S711">
        <v>502.39</v>
      </c>
      <c r="T711">
        <v>4.7619047620000003</v>
      </c>
      <c r="U711">
        <v>25.119499999999999</v>
      </c>
      <c r="V711">
        <v>8.9</v>
      </c>
    </row>
    <row r="712" spans="1:22" x14ac:dyDescent="0.2">
      <c r="A712" t="s">
        <v>743</v>
      </c>
      <c r="B712" s="1">
        <v>43496</v>
      </c>
      <c r="C712" s="2">
        <v>0.8666666666666667</v>
      </c>
      <c r="D712" s="2" t="str">
        <f>IF(Table1[[#This Row],[Time]]&lt;$D$1,$C$1,IF(Table1[[#This Row],[Time]]&lt;$D$2,$C$2,$C$3))</f>
        <v>Evening</v>
      </c>
      <c r="E712">
        <f>MONTH(Table1[[#This Row],[Date]])</f>
        <v>1</v>
      </c>
      <c r="F712" t="str">
        <f>VLOOKUP(Table1[[#This Row],[Month]],dctMonth[],2,FALSE)</f>
        <v>January</v>
      </c>
      <c r="G712" t="s">
        <v>43</v>
      </c>
      <c r="H712" t="s">
        <v>44</v>
      </c>
      <c r="I712" t="s">
        <v>28</v>
      </c>
      <c r="J712" t="s">
        <v>22</v>
      </c>
      <c r="K712">
        <v>48</v>
      </c>
      <c r="L712" t="str">
        <f>IF(Table1[[#This Row],[Age]]&lt;20,"&lt;20",IF(Table1[[#This Row],[Age]]&lt;=70,"20-70","&gt;70"))</f>
        <v>20-70</v>
      </c>
      <c r="M712" t="s">
        <v>29</v>
      </c>
      <c r="N712" t="s">
        <v>24</v>
      </c>
      <c r="O712">
        <v>43</v>
      </c>
      <c r="P712">
        <v>4</v>
      </c>
      <c r="Q712">
        <v>8.6</v>
      </c>
      <c r="R712">
        <v>180.6</v>
      </c>
      <c r="S712">
        <v>172</v>
      </c>
      <c r="T712">
        <v>4.7619047620000003</v>
      </c>
      <c r="U712">
        <v>8.6</v>
      </c>
      <c r="V712">
        <v>7.6</v>
      </c>
    </row>
    <row r="713" spans="1:22" x14ac:dyDescent="0.2">
      <c r="A713" t="s">
        <v>744</v>
      </c>
      <c r="B713" s="1">
        <v>43486</v>
      </c>
      <c r="C713" s="2">
        <v>0.84236111111111112</v>
      </c>
      <c r="D713" s="2" t="str">
        <f>IF(Table1[[#This Row],[Time]]&lt;$D$1,$C$1,IF(Table1[[#This Row],[Time]]&lt;$D$2,$C$2,$C$3))</f>
        <v>Evening</v>
      </c>
      <c r="E713">
        <f>MONTH(Table1[[#This Row],[Date]])</f>
        <v>1</v>
      </c>
      <c r="F713" t="str">
        <f>VLOOKUP(Table1[[#This Row],[Month]],dctMonth[],2,FALSE)</f>
        <v>January</v>
      </c>
      <c r="G713" t="s">
        <v>26</v>
      </c>
      <c r="H713" t="s">
        <v>27</v>
      </c>
      <c r="I713" t="s">
        <v>21</v>
      </c>
      <c r="J713" t="s">
        <v>32</v>
      </c>
      <c r="K713">
        <v>63</v>
      </c>
      <c r="L713" t="str">
        <f>IF(Table1[[#This Row],[Age]]&lt;20,"&lt;20",IF(Table1[[#This Row],[Age]]&lt;=70,"20-70","&gt;70"))</f>
        <v>20-70</v>
      </c>
      <c r="M713" t="s">
        <v>45</v>
      </c>
      <c r="N713" t="s">
        <v>30</v>
      </c>
      <c r="O713">
        <v>68.98</v>
      </c>
      <c r="P713">
        <v>1</v>
      </c>
      <c r="Q713">
        <v>3.4489999999999998</v>
      </c>
      <c r="R713">
        <v>72.429000000000002</v>
      </c>
      <c r="S713">
        <v>68.98</v>
      </c>
      <c r="T713">
        <v>4.7619047620000003</v>
      </c>
      <c r="U713">
        <v>3.4489999999999998</v>
      </c>
      <c r="V713">
        <v>4.8</v>
      </c>
    </row>
    <row r="714" spans="1:22" x14ac:dyDescent="0.2">
      <c r="A714" t="s">
        <v>745</v>
      </c>
      <c r="B714" s="1">
        <v>43485</v>
      </c>
      <c r="C714" s="2">
        <v>0.85902777777777772</v>
      </c>
      <c r="D714" s="2" t="str">
        <f>IF(Table1[[#This Row],[Time]]&lt;$D$1,$C$1,IF(Table1[[#This Row],[Time]]&lt;$D$2,$C$2,$C$3))</f>
        <v>Evening</v>
      </c>
      <c r="E714">
        <f>MONTH(Table1[[#This Row],[Date]])</f>
        <v>1</v>
      </c>
      <c r="F714" t="str">
        <f>VLOOKUP(Table1[[#This Row],[Month]],dctMonth[],2,FALSE)</f>
        <v>January</v>
      </c>
      <c r="G714" t="s">
        <v>26</v>
      </c>
      <c r="H714" t="s">
        <v>27</v>
      </c>
      <c r="I714" t="s">
        <v>28</v>
      </c>
      <c r="J714" t="s">
        <v>32</v>
      </c>
      <c r="K714">
        <v>63</v>
      </c>
      <c r="L714" t="str">
        <f>IF(Table1[[#This Row],[Age]]&lt;20,"&lt;20",IF(Table1[[#This Row],[Age]]&lt;=70,"20-70","&gt;70"))</f>
        <v>20-70</v>
      </c>
      <c r="M714" t="s">
        <v>47</v>
      </c>
      <c r="N714" t="s">
        <v>24</v>
      </c>
      <c r="O714">
        <v>15.62</v>
      </c>
      <c r="P714">
        <v>8</v>
      </c>
      <c r="Q714">
        <v>6.2480000000000002</v>
      </c>
      <c r="R714">
        <v>131.208</v>
      </c>
      <c r="S714">
        <v>124.96</v>
      </c>
      <c r="T714">
        <v>4.7619047620000003</v>
      </c>
      <c r="U714">
        <v>6.2480000000000002</v>
      </c>
      <c r="V714">
        <v>9.1</v>
      </c>
    </row>
    <row r="715" spans="1:22" x14ac:dyDescent="0.2">
      <c r="A715" t="s">
        <v>746</v>
      </c>
      <c r="B715" s="1">
        <v>43482</v>
      </c>
      <c r="C715" s="2">
        <v>0.74930555555555556</v>
      </c>
      <c r="D715" s="2" t="str">
        <f>IF(Table1[[#This Row],[Time]]&lt;$D$1,$C$1,IF(Table1[[#This Row],[Time]]&lt;$D$2,$C$2,$C$3))</f>
        <v>Evening</v>
      </c>
      <c r="E715">
        <f>MONTH(Table1[[#This Row],[Date]])</f>
        <v>1</v>
      </c>
      <c r="F715" t="str">
        <f>VLOOKUP(Table1[[#This Row],[Month]],dctMonth[],2,FALSE)</f>
        <v>January</v>
      </c>
      <c r="G715" t="s">
        <v>19</v>
      </c>
      <c r="H715" t="s">
        <v>20</v>
      </c>
      <c r="I715" t="s">
        <v>28</v>
      </c>
      <c r="J715" t="s">
        <v>32</v>
      </c>
      <c r="K715">
        <v>69</v>
      </c>
      <c r="L715" t="str">
        <f>IF(Table1[[#This Row],[Age]]&lt;20,"&lt;20",IF(Table1[[#This Row],[Age]]&lt;=70,"20-70","&gt;70"))</f>
        <v>20-70</v>
      </c>
      <c r="M715" t="s">
        <v>37</v>
      </c>
      <c r="N715" t="s">
        <v>24</v>
      </c>
      <c r="O715">
        <v>25.7</v>
      </c>
      <c r="P715">
        <v>3</v>
      </c>
      <c r="Q715">
        <v>3.855</v>
      </c>
      <c r="R715">
        <v>80.954999999999998</v>
      </c>
      <c r="S715">
        <v>77.099999999999994</v>
      </c>
      <c r="T715">
        <v>4.7619047620000003</v>
      </c>
      <c r="U715">
        <v>3.855</v>
      </c>
      <c r="V715">
        <v>6.1</v>
      </c>
    </row>
    <row r="716" spans="1:22" x14ac:dyDescent="0.2">
      <c r="A716" t="s">
        <v>747</v>
      </c>
      <c r="B716" s="1">
        <v>43524</v>
      </c>
      <c r="C716" s="2">
        <v>0.84583333333333333</v>
      </c>
      <c r="D716" s="2" t="str">
        <f>IF(Table1[[#This Row],[Time]]&lt;$D$1,$C$1,IF(Table1[[#This Row],[Time]]&lt;$D$2,$C$2,$C$3))</f>
        <v>Evening</v>
      </c>
      <c r="E716">
        <f>MONTH(Table1[[#This Row],[Date]])</f>
        <v>2</v>
      </c>
      <c r="F716" t="str">
        <f>VLOOKUP(Table1[[#This Row],[Month]],dctMonth[],2,FALSE)</f>
        <v>February</v>
      </c>
      <c r="G716" t="s">
        <v>19</v>
      </c>
      <c r="H716" t="s">
        <v>20</v>
      </c>
      <c r="I716" t="s">
        <v>21</v>
      </c>
      <c r="J716" t="s">
        <v>32</v>
      </c>
      <c r="K716">
        <v>65</v>
      </c>
      <c r="L716" t="str">
        <f>IF(Table1[[#This Row],[Age]]&lt;20,"&lt;20",IF(Table1[[#This Row],[Age]]&lt;=70,"20-70","&gt;70"))</f>
        <v>20-70</v>
      </c>
      <c r="M716" t="s">
        <v>45</v>
      </c>
      <c r="N716" t="s">
        <v>30</v>
      </c>
      <c r="O716">
        <v>80.62</v>
      </c>
      <c r="P716">
        <v>6</v>
      </c>
      <c r="Q716">
        <v>24.186</v>
      </c>
      <c r="R716">
        <v>507.90600000000001</v>
      </c>
      <c r="S716">
        <v>483.72</v>
      </c>
      <c r="T716">
        <v>4.7619047620000003</v>
      </c>
      <c r="U716">
        <v>24.186</v>
      </c>
      <c r="V716">
        <v>9.1</v>
      </c>
    </row>
    <row r="717" spans="1:22" x14ac:dyDescent="0.2">
      <c r="A717" t="s">
        <v>748</v>
      </c>
      <c r="B717" s="1">
        <v>43543</v>
      </c>
      <c r="C717" s="2">
        <v>0.66111111111111109</v>
      </c>
      <c r="D717" s="2" t="str">
        <f>IF(Table1[[#This Row],[Time]]&lt;$D$1,$C$1,IF(Table1[[#This Row],[Time]]&lt;$D$2,$C$2,$C$3))</f>
        <v>Afternoon</v>
      </c>
      <c r="E717">
        <f>MONTH(Table1[[#This Row],[Date]])</f>
        <v>3</v>
      </c>
      <c r="F717" t="str">
        <f>VLOOKUP(Table1[[#This Row],[Month]],dctMonth[],2,FALSE)</f>
        <v>March</v>
      </c>
      <c r="G717" t="s">
        <v>26</v>
      </c>
      <c r="H717" t="s">
        <v>27</v>
      </c>
      <c r="I717" t="s">
        <v>21</v>
      </c>
      <c r="J717" t="s">
        <v>22</v>
      </c>
      <c r="K717">
        <v>56</v>
      </c>
      <c r="L717" t="str">
        <f>IF(Table1[[#This Row],[Age]]&lt;20,"&lt;20",IF(Table1[[#This Row],[Age]]&lt;=70,"20-70","&gt;70"))</f>
        <v>20-70</v>
      </c>
      <c r="M717" t="s">
        <v>33</v>
      </c>
      <c r="N717" t="s">
        <v>24</v>
      </c>
      <c r="O717">
        <v>75.53</v>
      </c>
      <c r="P717">
        <v>4</v>
      </c>
      <c r="Q717">
        <v>15.106</v>
      </c>
      <c r="R717">
        <v>317.226</v>
      </c>
      <c r="S717">
        <v>302.12</v>
      </c>
      <c r="T717">
        <v>4.7619047620000003</v>
      </c>
      <c r="U717">
        <v>15.106</v>
      </c>
      <c r="V717">
        <v>8.3000000000000007</v>
      </c>
    </row>
    <row r="718" spans="1:22" x14ac:dyDescent="0.2">
      <c r="A718" t="s">
        <v>749</v>
      </c>
      <c r="B718" s="1">
        <v>43515</v>
      </c>
      <c r="C718" s="2">
        <v>0.63472222222222219</v>
      </c>
      <c r="D718" s="2" t="str">
        <f>IF(Table1[[#This Row],[Time]]&lt;$D$1,$C$1,IF(Table1[[#This Row],[Time]]&lt;$D$2,$C$2,$C$3))</f>
        <v>Afternoon</v>
      </c>
      <c r="E718">
        <f>MONTH(Table1[[#This Row],[Date]])</f>
        <v>2</v>
      </c>
      <c r="F718" t="str">
        <f>VLOOKUP(Table1[[#This Row],[Month]],dctMonth[],2,FALSE)</f>
        <v>February</v>
      </c>
      <c r="G718" t="s">
        <v>26</v>
      </c>
      <c r="H718" t="s">
        <v>27</v>
      </c>
      <c r="I718" t="s">
        <v>28</v>
      </c>
      <c r="J718" t="s">
        <v>22</v>
      </c>
      <c r="K718">
        <v>19</v>
      </c>
      <c r="L718" t="str">
        <f>IF(Table1[[#This Row],[Age]]&lt;20,"&lt;20",IF(Table1[[#This Row],[Age]]&lt;=70,"20-70","&gt;70"))</f>
        <v>&lt;20</v>
      </c>
      <c r="M718" t="s">
        <v>29</v>
      </c>
      <c r="N718" t="s">
        <v>24</v>
      </c>
      <c r="O718">
        <v>77.63</v>
      </c>
      <c r="P718">
        <v>9</v>
      </c>
      <c r="Q718">
        <v>34.933500000000002</v>
      </c>
      <c r="R718">
        <v>733.60350000000005</v>
      </c>
      <c r="S718">
        <v>698.67</v>
      </c>
      <c r="T718">
        <v>4.7619047620000003</v>
      </c>
      <c r="U718">
        <v>34.933500000000002</v>
      </c>
      <c r="V718">
        <v>7.2</v>
      </c>
    </row>
    <row r="719" spans="1:22" x14ac:dyDescent="0.2">
      <c r="A719" t="s">
        <v>750</v>
      </c>
      <c r="B719" s="1">
        <v>43500</v>
      </c>
      <c r="C719" s="2">
        <v>0.53472222222222221</v>
      </c>
      <c r="D719" s="2" t="str">
        <f>IF(Table1[[#This Row],[Time]]&lt;$D$1,$C$1,IF(Table1[[#This Row],[Time]]&lt;$D$2,$C$2,$C$3))</f>
        <v>Afternoon</v>
      </c>
      <c r="E719">
        <f>MONTH(Table1[[#This Row],[Date]])</f>
        <v>2</v>
      </c>
      <c r="F719" t="str">
        <f>VLOOKUP(Table1[[#This Row],[Month]],dctMonth[],2,FALSE)</f>
        <v>February</v>
      </c>
      <c r="G719" t="s">
        <v>26</v>
      </c>
      <c r="H719" t="s">
        <v>27</v>
      </c>
      <c r="I719" t="s">
        <v>28</v>
      </c>
      <c r="J719" t="s">
        <v>22</v>
      </c>
      <c r="K719">
        <v>20</v>
      </c>
      <c r="L719" t="str">
        <f>IF(Table1[[#This Row],[Age]]&lt;20,"&lt;20",IF(Table1[[#This Row],[Age]]&lt;=70,"20-70","&gt;70"))</f>
        <v>20-70</v>
      </c>
      <c r="M719" t="s">
        <v>23</v>
      </c>
      <c r="N719" t="s">
        <v>24</v>
      </c>
      <c r="O719">
        <v>13.85</v>
      </c>
      <c r="P719">
        <v>9</v>
      </c>
      <c r="Q719">
        <v>6.2324999999999999</v>
      </c>
      <c r="R719">
        <v>130.88249999999999</v>
      </c>
      <c r="S719">
        <v>124.65</v>
      </c>
      <c r="T719">
        <v>4.7619047620000003</v>
      </c>
      <c r="U719">
        <v>6.2324999999999999</v>
      </c>
      <c r="V719">
        <v>6</v>
      </c>
    </row>
    <row r="720" spans="1:22" x14ac:dyDescent="0.2">
      <c r="A720" t="s">
        <v>751</v>
      </c>
      <c r="B720" s="1">
        <v>43496</v>
      </c>
      <c r="C720" s="2">
        <v>0.44166666666666665</v>
      </c>
      <c r="D720" s="2" t="str">
        <f>IF(Table1[[#This Row],[Time]]&lt;$D$1,$C$1,IF(Table1[[#This Row],[Time]]&lt;$D$2,$C$2,$C$3))</f>
        <v>Morning</v>
      </c>
      <c r="E720">
        <f>MONTH(Table1[[#This Row],[Date]])</f>
        <v>1</v>
      </c>
      <c r="F720" t="str">
        <f>VLOOKUP(Table1[[#This Row],[Month]],dctMonth[],2,FALSE)</f>
        <v>January</v>
      </c>
      <c r="G720" t="s">
        <v>26</v>
      </c>
      <c r="H720" t="s">
        <v>27</v>
      </c>
      <c r="I720" t="s">
        <v>21</v>
      </c>
      <c r="J720" t="s">
        <v>32</v>
      </c>
      <c r="K720">
        <v>85</v>
      </c>
      <c r="L720" t="str">
        <f>IF(Table1[[#This Row],[Age]]&lt;20,"&lt;20",IF(Table1[[#This Row],[Age]]&lt;=70,"20-70","&gt;70"))</f>
        <v>&gt;70</v>
      </c>
      <c r="M720" t="s">
        <v>47</v>
      </c>
      <c r="N720" t="s">
        <v>24</v>
      </c>
      <c r="O720">
        <v>98.7</v>
      </c>
      <c r="P720">
        <v>8</v>
      </c>
      <c r="Q720">
        <v>39.479999999999997</v>
      </c>
      <c r="R720">
        <v>829.08</v>
      </c>
      <c r="S720">
        <v>789.6</v>
      </c>
      <c r="T720">
        <v>4.7619047620000003</v>
      </c>
      <c r="U720">
        <v>39.479999999999997</v>
      </c>
      <c r="V720">
        <v>8.5</v>
      </c>
    </row>
    <row r="721" spans="1:22" x14ac:dyDescent="0.2">
      <c r="A721" t="s">
        <v>752</v>
      </c>
      <c r="B721" s="1">
        <v>43502</v>
      </c>
      <c r="C721" s="2">
        <v>0.7729166666666667</v>
      </c>
      <c r="D721" s="2" t="str">
        <f>IF(Table1[[#This Row],[Time]]&lt;$D$1,$C$1,IF(Table1[[#This Row],[Time]]&lt;$D$2,$C$2,$C$3))</f>
        <v>Evening</v>
      </c>
      <c r="E721">
        <f>MONTH(Table1[[#This Row],[Date]])</f>
        <v>2</v>
      </c>
      <c r="F721" t="str">
        <f>VLOOKUP(Table1[[#This Row],[Month]],dctMonth[],2,FALSE)</f>
        <v>February</v>
      </c>
      <c r="G721" t="s">
        <v>19</v>
      </c>
      <c r="H721" t="s">
        <v>20</v>
      </c>
      <c r="I721" t="s">
        <v>28</v>
      </c>
      <c r="J721" t="s">
        <v>22</v>
      </c>
      <c r="K721">
        <v>54</v>
      </c>
      <c r="L721" t="str">
        <f>IF(Table1[[#This Row],[Age]]&lt;20,"&lt;20",IF(Table1[[#This Row],[Age]]&lt;=70,"20-70","&gt;70"))</f>
        <v>20-70</v>
      </c>
      <c r="M721" t="s">
        <v>23</v>
      </c>
      <c r="N721" t="s">
        <v>34</v>
      </c>
      <c r="O721">
        <v>35.68</v>
      </c>
      <c r="P721">
        <v>5</v>
      </c>
      <c r="Q721">
        <v>8.92</v>
      </c>
      <c r="R721">
        <v>187.32</v>
      </c>
      <c r="S721">
        <v>178.4</v>
      </c>
      <c r="T721">
        <v>4.7619047620000003</v>
      </c>
      <c r="U721">
        <v>8.92</v>
      </c>
      <c r="V721">
        <v>6.6</v>
      </c>
    </row>
    <row r="722" spans="1:22" x14ac:dyDescent="0.2">
      <c r="A722" t="s">
        <v>753</v>
      </c>
      <c r="B722" s="1">
        <v>43552</v>
      </c>
      <c r="C722" s="2">
        <v>0.67083333333333328</v>
      </c>
      <c r="D722" s="2" t="str">
        <f>IF(Table1[[#This Row],[Time]]&lt;$D$1,$C$1,IF(Table1[[#This Row],[Time]]&lt;$D$2,$C$2,$C$3))</f>
        <v>Afternoon</v>
      </c>
      <c r="E722">
        <f>MONTH(Table1[[#This Row],[Date]])</f>
        <v>3</v>
      </c>
      <c r="F722" t="str">
        <f>VLOOKUP(Table1[[#This Row],[Month]],dctMonth[],2,FALSE)</f>
        <v>March</v>
      </c>
      <c r="G722" t="s">
        <v>19</v>
      </c>
      <c r="H722" t="s">
        <v>20</v>
      </c>
      <c r="I722" t="s">
        <v>21</v>
      </c>
      <c r="J722" t="s">
        <v>22</v>
      </c>
      <c r="K722">
        <v>75</v>
      </c>
      <c r="L722" t="str">
        <f>IF(Table1[[#This Row],[Age]]&lt;20,"&lt;20",IF(Table1[[#This Row],[Age]]&lt;=70,"20-70","&gt;70"))</f>
        <v>&gt;70</v>
      </c>
      <c r="M722" t="s">
        <v>47</v>
      </c>
      <c r="N722" t="s">
        <v>24</v>
      </c>
      <c r="O722">
        <v>71.459999999999994</v>
      </c>
      <c r="P722">
        <v>7</v>
      </c>
      <c r="Q722">
        <v>25.010999999999999</v>
      </c>
      <c r="R722">
        <v>525.23099999999999</v>
      </c>
      <c r="S722">
        <v>500.22</v>
      </c>
      <c r="T722">
        <v>4.7619047620000003</v>
      </c>
      <c r="U722">
        <v>25.010999999999999</v>
      </c>
      <c r="V722">
        <v>4.5</v>
      </c>
    </row>
    <row r="723" spans="1:22" x14ac:dyDescent="0.2">
      <c r="A723" t="s">
        <v>754</v>
      </c>
      <c r="B723" s="1">
        <v>43484</v>
      </c>
      <c r="C723" s="2">
        <v>0.53263888888888888</v>
      </c>
      <c r="D723" s="2" t="str">
        <f>IF(Table1[[#This Row],[Time]]&lt;$D$1,$C$1,IF(Table1[[#This Row],[Time]]&lt;$D$2,$C$2,$C$3))</f>
        <v>Afternoon</v>
      </c>
      <c r="E723">
        <f>MONTH(Table1[[#This Row],[Date]])</f>
        <v>1</v>
      </c>
      <c r="F723" t="str">
        <f>VLOOKUP(Table1[[#This Row],[Month]],dctMonth[],2,FALSE)</f>
        <v>January</v>
      </c>
      <c r="G723" t="s">
        <v>19</v>
      </c>
      <c r="H723" t="s">
        <v>20</v>
      </c>
      <c r="I723" t="s">
        <v>21</v>
      </c>
      <c r="J723" t="s">
        <v>32</v>
      </c>
      <c r="K723">
        <v>81</v>
      </c>
      <c r="L723" t="str">
        <f>IF(Table1[[#This Row],[Age]]&lt;20,"&lt;20",IF(Table1[[#This Row],[Age]]&lt;=70,"20-70","&gt;70"))</f>
        <v>&gt;70</v>
      </c>
      <c r="M723" t="s">
        <v>29</v>
      </c>
      <c r="N723" t="s">
        <v>34</v>
      </c>
      <c r="O723">
        <v>11.94</v>
      </c>
      <c r="P723">
        <v>3</v>
      </c>
      <c r="Q723">
        <v>1.7909999999999999</v>
      </c>
      <c r="R723">
        <v>37.610999999999997</v>
      </c>
      <c r="S723">
        <v>35.82</v>
      </c>
      <c r="T723">
        <v>4.7619047620000003</v>
      </c>
      <c r="U723">
        <v>1.7909999999999999</v>
      </c>
      <c r="V723">
        <v>8.1</v>
      </c>
    </row>
    <row r="724" spans="1:22" x14ac:dyDescent="0.2">
      <c r="A724" t="s">
        <v>755</v>
      </c>
      <c r="B724" s="1">
        <v>43513</v>
      </c>
      <c r="C724" s="2">
        <v>0.56527777777777777</v>
      </c>
      <c r="D724" s="2" t="str">
        <f>IF(Table1[[#This Row],[Time]]&lt;$D$1,$C$1,IF(Table1[[#This Row],[Time]]&lt;$D$2,$C$2,$C$3))</f>
        <v>Afternoon</v>
      </c>
      <c r="E724">
        <f>MONTH(Table1[[#This Row],[Date]])</f>
        <v>2</v>
      </c>
      <c r="F724" t="str">
        <f>VLOOKUP(Table1[[#This Row],[Month]],dctMonth[],2,FALSE)</f>
        <v>February</v>
      </c>
      <c r="G724" t="s">
        <v>19</v>
      </c>
      <c r="H724" t="s">
        <v>20</v>
      </c>
      <c r="I724" t="s">
        <v>28</v>
      </c>
      <c r="J724" t="s">
        <v>32</v>
      </c>
      <c r="K724">
        <v>61</v>
      </c>
      <c r="L724" t="str">
        <f>IF(Table1[[#This Row],[Age]]&lt;20,"&lt;20",IF(Table1[[#This Row],[Age]]&lt;=70,"20-70","&gt;70"))</f>
        <v>20-70</v>
      </c>
      <c r="M724" t="s">
        <v>47</v>
      </c>
      <c r="N724" t="s">
        <v>34</v>
      </c>
      <c r="O724">
        <v>45.38</v>
      </c>
      <c r="P724">
        <v>3</v>
      </c>
      <c r="Q724">
        <v>6.8070000000000004</v>
      </c>
      <c r="R724">
        <v>142.947</v>
      </c>
      <c r="S724">
        <v>136.13999999999999</v>
      </c>
      <c r="T724">
        <v>4.7619047620000003</v>
      </c>
      <c r="U724">
        <v>6.8070000000000004</v>
      </c>
      <c r="V724">
        <v>7.2</v>
      </c>
    </row>
    <row r="725" spans="1:22" x14ac:dyDescent="0.2">
      <c r="A725" t="s">
        <v>756</v>
      </c>
      <c r="B725" s="1">
        <v>43483</v>
      </c>
      <c r="C725" s="2">
        <v>0.62777777777777777</v>
      </c>
      <c r="D725" s="2" t="str">
        <f>IF(Table1[[#This Row],[Time]]&lt;$D$1,$C$1,IF(Table1[[#This Row],[Time]]&lt;$D$2,$C$2,$C$3))</f>
        <v>Afternoon</v>
      </c>
      <c r="E725">
        <f>MONTH(Table1[[#This Row],[Date]])</f>
        <v>1</v>
      </c>
      <c r="F725" t="str">
        <f>VLOOKUP(Table1[[#This Row],[Month]],dctMonth[],2,FALSE)</f>
        <v>January</v>
      </c>
      <c r="G725" t="s">
        <v>43</v>
      </c>
      <c r="H725" t="s">
        <v>44</v>
      </c>
      <c r="I725" t="s">
        <v>21</v>
      </c>
      <c r="J725" t="s">
        <v>22</v>
      </c>
      <c r="K725">
        <v>53</v>
      </c>
      <c r="L725" t="str">
        <f>IF(Table1[[#This Row],[Age]]&lt;20,"&lt;20",IF(Table1[[#This Row],[Age]]&lt;=70,"20-70","&gt;70"))</f>
        <v>20-70</v>
      </c>
      <c r="M725" t="s">
        <v>47</v>
      </c>
      <c r="N725" t="s">
        <v>34</v>
      </c>
      <c r="O725">
        <v>17.48</v>
      </c>
      <c r="P725">
        <v>6</v>
      </c>
      <c r="Q725">
        <v>5.2439999999999998</v>
      </c>
      <c r="R725">
        <v>110.124</v>
      </c>
      <c r="S725">
        <v>104.88</v>
      </c>
      <c r="T725">
        <v>4.7619047620000003</v>
      </c>
      <c r="U725">
        <v>5.2439999999999998</v>
      </c>
      <c r="V725">
        <v>6.1</v>
      </c>
    </row>
    <row r="726" spans="1:22" x14ac:dyDescent="0.2">
      <c r="A726" t="s">
        <v>757</v>
      </c>
      <c r="B726" s="1">
        <v>43498</v>
      </c>
      <c r="C726" s="2">
        <v>0.86250000000000004</v>
      </c>
      <c r="D726" s="2" t="str">
        <f>IF(Table1[[#This Row],[Time]]&lt;$D$1,$C$1,IF(Table1[[#This Row],[Time]]&lt;$D$2,$C$2,$C$3))</f>
        <v>Evening</v>
      </c>
      <c r="E726">
        <f>MONTH(Table1[[#This Row],[Date]])</f>
        <v>2</v>
      </c>
      <c r="F726" t="str">
        <f>VLOOKUP(Table1[[#This Row],[Month]],dctMonth[],2,FALSE)</f>
        <v>February</v>
      </c>
      <c r="G726" t="s">
        <v>43</v>
      </c>
      <c r="H726" t="s">
        <v>44</v>
      </c>
      <c r="I726" t="s">
        <v>28</v>
      </c>
      <c r="J726" t="s">
        <v>22</v>
      </c>
      <c r="K726">
        <v>73</v>
      </c>
      <c r="L726" t="str">
        <f>IF(Table1[[#This Row],[Age]]&lt;20,"&lt;20",IF(Table1[[#This Row],[Age]]&lt;=70,"20-70","&gt;70"))</f>
        <v>&gt;70</v>
      </c>
      <c r="M726" t="s">
        <v>47</v>
      </c>
      <c r="N726" t="s">
        <v>30</v>
      </c>
      <c r="O726">
        <v>25.56</v>
      </c>
      <c r="P726">
        <v>7</v>
      </c>
      <c r="Q726">
        <v>8.9459999999999997</v>
      </c>
      <c r="R726">
        <v>187.86600000000001</v>
      </c>
      <c r="S726">
        <v>178.92</v>
      </c>
      <c r="T726">
        <v>4.7619047620000003</v>
      </c>
      <c r="U726">
        <v>8.9459999999999997</v>
      </c>
      <c r="V726">
        <v>7.1</v>
      </c>
    </row>
    <row r="727" spans="1:22" x14ac:dyDescent="0.2">
      <c r="A727" t="s">
        <v>758</v>
      </c>
      <c r="B727" s="1">
        <v>43483</v>
      </c>
      <c r="C727" s="2">
        <v>0.64444444444444449</v>
      </c>
      <c r="D727" s="2" t="str">
        <f>IF(Table1[[#This Row],[Time]]&lt;$D$1,$C$1,IF(Table1[[#This Row],[Time]]&lt;$D$2,$C$2,$C$3))</f>
        <v>Afternoon</v>
      </c>
      <c r="E727">
        <f>MONTH(Table1[[#This Row],[Date]])</f>
        <v>1</v>
      </c>
      <c r="F727" t="str">
        <f>VLOOKUP(Table1[[#This Row],[Month]],dctMonth[],2,FALSE)</f>
        <v>January</v>
      </c>
      <c r="G727" t="s">
        <v>26</v>
      </c>
      <c r="H727" t="s">
        <v>27</v>
      </c>
      <c r="I727" t="s">
        <v>21</v>
      </c>
      <c r="J727" t="s">
        <v>22</v>
      </c>
      <c r="K727">
        <v>22</v>
      </c>
      <c r="L727" t="str">
        <f>IF(Table1[[#This Row],[Age]]&lt;20,"&lt;20",IF(Table1[[#This Row],[Age]]&lt;=70,"20-70","&gt;70"))</f>
        <v>20-70</v>
      </c>
      <c r="M727" t="s">
        <v>37</v>
      </c>
      <c r="N727" t="s">
        <v>30</v>
      </c>
      <c r="O727">
        <v>90.63</v>
      </c>
      <c r="P727">
        <v>9</v>
      </c>
      <c r="Q727">
        <v>40.783499999999997</v>
      </c>
      <c r="R727">
        <v>856.45349999999996</v>
      </c>
      <c r="S727">
        <v>815.67</v>
      </c>
      <c r="T727">
        <v>4.7619047620000003</v>
      </c>
      <c r="U727">
        <v>40.783499999999997</v>
      </c>
      <c r="V727">
        <v>5.0999999999999996</v>
      </c>
    </row>
    <row r="728" spans="1:22" x14ac:dyDescent="0.2">
      <c r="A728" t="s">
        <v>759</v>
      </c>
      <c r="B728" s="1">
        <v>43542</v>
      </c>
      <c r="C728" s="2">
        <v>0.57291666666666663</v>
      </c>
      <c r="D728" s="2" t="str">
        <f>IF(Table1[[#This Row],[Time]]&lt;$D$1,$C$1,IF(Table1[[#This Row],[Time]]&lt;$D$2,$C$2,$C$3))</f>
        <v>Afternoon</v>
      </c>
      <c r="E728">
        <f>MONTH(Table1[[#This Row],[Date]])</f>
        <v>3</v>
      </c>
      <c r="F728" t="str">
        <f>VLOOKUP(Table1[[#This Row],[Month]],dctMonth[],2,FALSE)</f>
        <v>March</v>
      </c>
      <c r="G728" t="s">
        <v>43</v>
      </c>
      <c r="H728" t="s">
        <v>44</v>
      </c>
      <c r="I728" t="s">
        <v>28</v>
      </c>
      <c r="J728" t="s">
        <v>32</v>
      </c>
      <c r="K728">
        <v>41</v>
      </c>
      <c r="L728" t="str">
        <f>IF(Table1[[#This Row],[Age]]&lt;20,"&lt;20",IF(Table1[[#This Row],[Age]]&lt;=70,"20-70","&gt;70"))</f>
        <v>20-70</v>
      </c>
      <c r="M728" t="s">
        <v>33</v>
      </c>
      <c r="N728" t="s">
        <v>34</v>
      </c>
      <c r="O728">
        <v>44.12</v>
      </c>
      <c r="P728">
        <v>3</v>
      </c>
      <c r="Q728">
        <v>6.6180000000000003</v>
      </c>
      <c r="R728">
        <v>138.97800000000001</v>
      </c>
      <c r="S728">
        <v>132.36000000000001</v>
      </c>
      <c r="T728">
        <v>4.7619047620000003</v>
      </c>
      <c r="U728">
        <v>6.6180000000000003</v>
      </c>
      <c r="V728">
        <v>7.9</v>
      </c>
    </row>
    <row r="729" spans="1:22" x14ac:dyDescent="0.2">
      <c r="A729" t="s">
        <v>760</v>
      </c>
      <c r="B729" s="1">
        <v>43476</v>
      </c>
      <c r="C729" s="2">
        <v>0.84027777777777779</v>
      </c>
      <c r="D729" s="2" t="str">
        <f>IF(Table1[[#This Row],[Time]]&lt;$D$1,$C$1,IF(Table1[[#This Row],[Time]]&lt;$D$2,$C$2,$C$3))</f>
        <v>Evening</v>
      </c>
      <c r="E729">
        <f>MONTH(Table1[[#This Row],[Date]])</f>
        <v>1</v>
      </c>
      <c r="F729" t="str">
        <f>VLOOKUP(Table1[[#This Row],[Month]],dctMonth[],2,FALSE)</f>
        <v>January</v>
      </c>
      <c r="G729" t="s">
        <v>26</v>
      </c>
      <c r="H729" t="s">
        <v>27</v>
      </c>
      <c r="I729" t="s">
        <v>21</v>
      </c>
      <c r="J729" t="s">
        <v>22</v>
      </c>
      <c r="K729">
        <v>75</v>
      </c>
      <c r="L729" t="str">
        <f>IF(Table1[[#This Row],[Age]]&lt;20,"&lt;20",IF(Table1[[#This Row],[Age]]&lt;=70,"20-70","&gt;70"))</f>
        <v>&gt;70</v>
      </c>
      <c r="M729" t="s">
        <v>45</v>
      </c>
      <c r="N729" t="s">
        <v>30</v>
      </c>
      <c r="O729">
        <v>36.770000000000003</v>
      </c>
      <c r="P729">
        <v>7</v>
      </c>
      <c r="Q729">
        <v>12.8695</v>
      </c>
      <c r="R729">
        <v>270.2595</v>
      </c>
      <c r="S729">
        <v>257.39</v>
      </c>
      <c r="T729">
        <v>4.7619047620000003</v>
      </c>
      <c r="U729">
        <v>12.8695</v>
      </c>
      <c r="V729">
        <v>7.4</v>
      </c>
    </row>
    <row r="730" spans="1:22" x14ac:dyDescent="0.2">
      <c r="A730" t="s">
        <v>761</v>
      </c>
      <c r="B730" s="1">
        <v>43500</v>
      </c>
      <c r="C730" s="2">
        <v>0.78680555555555554</v>
      </c>
      <c r="D730" s="2" t="str">
        <f>IF(Table1[[#This Row],[Time]]&lt;$D$1,$C$1,IF(Table1[[#This Row],[Time]]&lt;$D$2,$C$2,$C$3))</f>
        <v>Evening</v>
      </c>
      <c r="E730">
        <f>MONTH(Table1[[#This Row],[Date]])</f>
        <v>2</v>
      </c>
      <c r="F730" t="str">
        <f>VLOOKUP(Table1[[#This Row],[Month]],dctMonth[],2,FALSE)</f>
        <v>February</v>
      </c>
      <c r="G730" t="s">
        <v>43</v>
      </c>
      <c r="H730" t="s">
        <v>44</v>
      </c>
      <c r="I730" t="s">
        <v>21</v>
      </c>
      <c r="J730" t="s">
        <v>32</v>
      </c>
      <c r="K730">
        <v>45</v>
      </c>
      <c r="L730" t="str">
        <f>IF(Table1[[#This Row],[Age]]&lt;20,"&lt;20",IF(Table1[[#This Row],[Age]]&lt;=70,"20-70","&gt;70"))</f>
        <v>20-70</v>
      </c>
      <c r="M730" t="s">
        <v>45</v>
      </c>
      <c r="N730" t="s">
        <v>24</v>
      </c>
      <c r="O730">
        <v>23.34</v>
      </c>
      <c r="P730">
        <v>4</v>
      </c>
      <c r="Q730">
        <v>4.6680000000000001</v>
      </c>
      <c r="R730">
        <v>98.028000000000006</v>
      </c>
      <c r="S730">
        <v>93.36</v>
      </c>
      <c r="T730">
        <v>4.7619047620000003</v>
      </c>
      <c r="U730">
        <v>4.6680000000000001</v>
      </c>
      <c r="V730">
        <v>7.4</v>
      </c>
    </row>
    <row r="731" spans="1:22" x14ac:dyDescent="0.2">
      <c r="A731" t="s">
        <v>762</v>
      </c>
      <c r="B731" s="1">
        <v>43502</v>
      </c>
      <c r="C731" s="2">
        <v>0.6</v>
      </c>
      <c r="D731" s="2" t="str">
        <f>IF(Table1[[#This Row],[Time]]&lt;$D$1,$C$1,IF(Table1[[#This Row],[Time]]&lt;$D$2,$C$2,$C$3))</f>
        <v>Afternoon</v>
      </c>
      <c r="E731">
        <f>MONTH(Table1[[#This Row],[Date]])</f>
        <v>2</v>
      </c>
      <c r="F731" t="str">
        <f>VLOOKUP(Table1[[#This Row],[Month]],dctMonth[],2,FALSE)</f>
        <v>February</v>
      </c>
      <c r="G731" t="s">
        <v>26</v>
      </c>
      <c r="H731" t="s">
        <v>27</v>
      </c>
      <c r="I731" t="s">
        <v>21</v>
      </c>
      <c r="J731" t="s">
        <v>22</v>
      </c>
      <c r="K731">
        <v>19</v>
      </c>
      <c r="L731" t="str">
        <f>IF(Table1[[#This Row],[Age]]&lt;20,"&lt;20",IF(Table1[[#This Row],[Age]]&lt;=70,"20-70","&gt;70"))</f>
        <v>&lt;20</v>
      </c>
      <c r="M731" t="s">
        <v>23</v>
      </c>
      <c r="N731" t="s">
        <v>30</v>
      </c>
      <c r="O731">
        <v>28.5</v>
      </c>
      <c r="P731">
        <v>8</v>
      </c>
      <c r="Q731">
        <v>11.4</v>
      </c>
      <c r="R731">
        <v>239.4</v>
      </c>
      <c r="S731">
        <v>228</v>
      </c>
      <c r="T731">
        <v>4.7619047620000003</v>
      </c>
      <c r="U731">
        <v>11.4</v>
      </c>
      <c r="V731">
        <v>6.6</v>
      </c>
    </row>
    <row r="732" spans="1:22" x14ac:dyDescent="0.2">
      <c r="A732" t="s">
        <v>763</v>
      </c>
      <c r="B732" s="1">
        <v>43473</v>
      </c>
      <c r="C732" s="2">
        <v>0.48749999999999999</v>
      </c>
      <c r="D732" s="2" t="str">
        <f>IF(Table1[[#This Row],[Time]]&lt;$D$1,$C$1,IF(Table1[[#This Row],[Time]]&lt;$D$2,$C$2,$C$3))</f>
        <v>Morning</v>
      </c>
      <c r="E732">
        <f>MONTH(Table1[[#This Row],[Date]])</f>
        <v>1</v>
      </c>
      <c r="F732" t="str">
        <f>VLOOKUP(Table1[[#This Row],[Month]],dctMonth[],2,FALSE)</f>
        <v>January</v>
      </c>
      <c r="G732" t="s">
        <v>26</v>
      </c>
      <c r="H732" t="s">
        <v>27</v>
      </c>
      <c r="I732" t="s">
        <v>21</v>
      </c>
      <c r="J732" t="s">
        <v>32</v>
      </c>
      <c r="K732">
        <v>72</v>
      </c>
      <c r="L732" t="str">
        <f>IF(Table1[[#This Row],[Age]]&lt;20,"&lt;20",IF(Table1[[#This Row],[Age]]&lt;=70,"20-70","&gt;70"))</f>
        <v>&gt;70</v>
      </c>
      <c r="M732" t="s">
        <v>33</v>
      </c>
      <c r="N732" t="s">
        <v>34</v>
      </c>
      <c r="O732">
        <v>55.57</v>
      </c>
      <c r="P732">
        <v>3</v>
      </c>
      <c r="Q732">
        <v>8.3354999999999997</v>
      </c>
      <c r="R732">
        <v>175.0455</v>
      </c>
      <c r="S732">
        <v>166.71</v>
      </c>
      <c r="T732">
        <v>4.7619047620000003</v>
      </c>
      <c r="U732">
        <v>8.3354999999999997</v>
      </c>
      <c r="V732">
        <v>5.9</v>
      </c>
    </row>
    <row r="733" spans="1:22" x14ac:dyDescent="0.2">
      <c r="A733" t="s">
        <v>764</v>
      </c>
      <c r="B733" s="1">
        <v>43529</v>
      </c>
      <c r="C733" s="2">
        <v>0.74236111111111114</v>
      </c>
      <c r="D733" s="2" t="str">
        <f>IF(Table1[[#This Row],[Time]]&lt;$D$1,$C$1,IF(Table1[[#This Row],[Time]]&lt;$D$2,$C$2,$C$3))</f>
        <v>Evening</v>
      </c>
      <c r="E733">
        <f>MONTH(Table1[[#This Row],[Date]])</f>
        <v>3</v>
      </c>
      <c r="F733" t="str">
        <f>VLOOKUP(Table1[[#This Row],[Month]],dctMonth[],2,FALSE)</f>
        <v>March</v>
      </c>
      <c r="G733" t="s">
        <v>43</v>
      </c>
      <c r="H733" t="s">
        <v>44</v>
      </c>
      <c r="I733" t="s">
        <v>28</v>
      </c>
      <c r="J733" t="s">
        <v>32</v>
      </c>
      <c r="K733">
        <v>78</v>
      </c>
      <c r="L733" t="str">
        <f>IF(Table1[[#This Row],[Age]]&lt;20,"&lt;20",IF(Table1[[#This Row],[Age]]&lt;=70,"20-70","&gt;70"))</f>
        <v>&gt;70</v>
      </c>
      <c r="M733" t="s">
        <v>37</v>
      </c>
      <c r="N733" t="s">
        <v>34</v>
      </c>
      <c r="O733">
        <v>69.739999999999995</v>
      </c>
      <c r="P733">
        <v>10</v>
      </c>
      <c r="Q733">
        <v>34.869999999999997</v>
      </c>
      <c r="R733">
        <v>732.27</v>
      </c>
      <c r="S733">
        <v>697.4</v>
      </c>
      <c r="T733">
        <v>4.7619047620000003</v>
      </c>
      <c r="U733">
        <v>34.869999999999997</v>
      </c>
      <c r="V733">
        <v>8.9</v>
      </c>
    </row>
    <row r="734" spans="1:22" x14ac:dyDescent="0.2">
      <c r="A734" t="s">
        <v>765</v>
      </c>
      <c r="B734" s="1">
        <v>43540</v>
      </c>
      <c r="C734" s="2">
        <v>0.6479166666666667</v>
      </c>
      <c r="D734" s="2" t="str">
        <f>IF(Table1[[#This Row],[Time]]&lt;$D$1,$C$1,IF(Table1[[#This Row],[Time]]&lt;$D$2,$C$2,$C$3))</f>
        <v>Afternoon</v>
      </c>
      <c r="E734">
        <f>MONTH(Table1[[#This Row],[Date]])</f>
        <v>3</v>
      </c>
      <c r="F734" t="str">
        <f>VLOOKUP(Table1[[#This Row],[Month]],dctMonth[],2,FALSE)</f>
        <v>March</v>
      </c>
      <c r="G734" t="s">
        <v>26</v>
      </c>
      <c r="H734" t="s">
        <v>27</v>
      </c>
      <c r="I734" t="s">
        <v>28</v>
      </c>
      <c r="J734" t="s">
        <v>32</v>
      </c>
      <c r="K734">
        <v>47</v>
      </c>
      <c r="L734" t="str">
        <f>IF(Table1[[#This Row],[Age]]&lt;20,"&lt;20",IF(Table1[[#This Row],[Age]]&lt;=70,"20-70","&gt;70"))</f>
        <v>20-70</v>
      </c>
      <c r="M734" t="s">
        <v>47</v>
      </c>
      <c r="N734" t="s">
        <v>24</v>
      </c>
      <c r="O734">
        <v>97.26</v>
      </c>
      <c r="P734">
        <v>4</v>
      </c>
      <c r="Q734">
        <v>19.452000000000002</v>
      </c>
      <c r="R734">
        <v>408.49200000000002</v>
      </c>
      <c r="S734">
        <v>389.04</v>
      </c>
      <c r="T734">
        <v>4.7619047620000003</v>
      </c>
      <c r="U734">
        <v>19.452000000000002</v>
      </c>
      <c r="V734">
        <v>6.8</v>
      </c>
    </row>
    <row r="735" spans="1:22" x14ac:dyDescent="0.2">
      <c r="A735" t="s">
        <v>766</v>
      </c>
      <c r="B735" s="1">
        <v>43533</v>
      </c>
      <c r="C735" s="2">
        <v>0.45416666666666666</v>
      </c>
      <c r="D735" s="2" t="str">
        <f>IF(Table1[[#This Row],[Time]]&lt;$D$1,$C$1,IF(Table1[[#This Row],[Time]]&lt;$D$2,$C$2,$C$3))</f>
        <v>Morning</v>
      </c>
      <c r="E735">
        <f>MONTH(Table1[[#This Row],[Date]])</f>
        <v>3</v>
      </c>
      <c r="F735" t="str">
        <f>VLOOKUP(Table1[[#This Row],[Month]],dctMonth[],2,FALSE)</f>
        <v>March</v>
      </c>
      <c r="G735" t="s">
        <v>43</v>
      </c>
      <c r="H735" t="s">
        <v>44</v>
      </c>
      <c r="I735" t="s">
        <v>21</v>
      </c>
      <c r="J735" t="s">
        <v>22</v>
      </c>
      <c r="K735">
        <v>50</v>
      </c>
      <c r="L735" t="str">
        <f>IF(Table1[[#This Row],[Age]]&lt;20,"&lt;20",IF(Table1[[#This Row],[Age]]&lt;=70,"20-70","&gt;70"))</f>
        <v>20-70</v>
      </c>
      <c r="M735" t="s">
        <v>33</v>
      </c>
      <c r="N735" t="s">
        <v>30</v>
      </c>
      <c r="O735">
        <v>52.18</v>
      </c>
      <c r="P735">
        <v>7</v>
      </c>
      <c r="Q735">
        <v>18.263000000000002</v>
      </c>
      <c r="R735">
        <v>383.52300000000002</v>
      </c>
      <c r="S735">
        <v>365.26</v>
      </c>
      <c r="T735">
        <v>4.7619047620000003</v>
      </c>
      <c r="U735">
        <v>18.263000000000002</v>
      </c>
      <c r="V735">
        <v>9.3000000000000007</v>
      </c>
    </row>
    <row r="736" spans="1:22" x14ac:dyDescent="0.2">
      <c r="A736" t="s">
        <v>767</v>
      </c>
      <c r="B736" s="1">
        <v>43525</v>
      </c>
      <c r="C736" s="2">
        <v>0.68263888888888891</v>
      </c>
      <c r="D736" s="2" t="str">
        <f>IF(Table1[[#This Row],[Time]]&lt;$D$1,$C$1,IF(Table1[[#This Row],[Time]]&lt;$D$2,$C$2,$C$3))</f>
        <v>Afternoon</v>
      </c>
      <c r="E736">
        <f>MONTH(Table1[[#This Row],[Date]])</f>
        <v>3</v>
      </c>
      <c r="F736" t="str">
        <f>VLOOKUP(Table1[[#This Row],[Month]],dctMonth[],2,FALSE)</f>
        <v>March</v>
      </c>
      <c r="G736" t="s">
        <v>19</v>
      </c>
      <c r="H736" t="s">
        <v>20</v>
      </c>
      <c r="I736" t="s">
        <v>21</v>
      </c>
      <c r="J736" t="s">
        <v>22</v>
      </c>
      <c r="K736">
        <v>23</v>
      </c>
      <c r="L736" t="str">
        <f>IF(Table1[[#This Row],[Age]]&lt;20,"&lt;20",IF(Table1[[#This Row],[Age]]&lt;=70,"20-70","&gt;70"))</f>
        <v>20-70</v>
      </c>
      <c r="M736" t="s">
        <v>47</v>
      </c>
      <c r="N736" t="s">
        <v>34</v>
      </c>
      <c r="O736">
        <v>22.32</v>
      </c>
      <c r="P736">
        <v>4</v>
      </c>
      <c r="Q736">
        <v>4.4640000000000004</v>
      </c>
      <c r="R736">
        <v>93.744</v>
      </c>
      <c r="S736">
        <v>89.28</v>
      </c>
      <c r="T736">
        <v>4.7619047620000003</v>
      </c>
      <c r="U736">
        <v>4.4640000000000004</v>
      </c>
      <c r="V736">
        <v>4.4000000000000004</v>
      </c>
    </row>
    <row r="737" spans="1:22" x14ac:dyDescent="0.2">
      <c r="A737" t="s">
        <v>768</v>
      </c>
      <c r="B737" s="1">
        <v>43524</v>
      </c>
      <c r="C737" s="2">
        <v>0.81458333333333333</v>
      </c>
      <c r="D737" s="2" t="str">
        <f>IF(Table1[[#This Row],[Time]]&lt;$D$1,$C$1,IF(Table1[[#This Row],[Time]]&lt;$D$2,$C$2,$C$3))</f>
        <v>Evening</v>
      </c>
      <c r="E737">
        <f>MONTH(Table1[[#This Row],[Date]])</f>
        <v>2</v>
      </c>
      <c r="F737" t="str">
        <f>VLOOKUP(Table1[[#This Row],[Month]],dctMonth[],2,FALSE)</f>
        <v>February</v>
      </c>
      <c r="G737" t="s">
        <v>19</v>
      </c>
      <c r="H737" t="s">
        <v>20</v>
      </c>
      <c r="I737" t="s">
        <v>28</v>
      </c>
      <c r="J737" t="s">
        <v>32</v>
      </c>
      <c r="K737">
        <v>41</v>
      </c>
      <c r="L737" t="str">
        <f>IF(Table1[[#This Row],[Age]]&lt;20,"&lt;20",IF(Table1[[#This Row],[Age]]&lt;=70,"20-70","&gt;70"))</f>
        <v>20-70</v>
      </c>
      <c r="M737" t="s">
        <v>23</v>
      </c>
      <c r="N737" t="s">
        <v>24</v>
      </c>
      <c r="O737">
        <v>56</v>
      </c>
      <c r="P737">
        <v>3</v>
      </c>
      <c r="Q737">
        <v>8.4</v>
      </c>
      <c r="R737">
        <v>176.4</v>
      </c>
      <c r="S737">
        <v>168</v>
      </c>
      <c r="T737">
        <v>4.7619047620000003</v>
      </c>
      <c r="U737">
        <v>8.4</v>
      </c>
      <c r="V737">
        <v>4.8</v>
      </c>
    </row>
    <row r="738" spans="1:22" x14ac:dyDescent="0.2">
      <c r="A738" t="s">
        <v>769</v>
      </c>
      <c r="B738" s="1">
        <v>43504</v>
      </c>
      <c r="C738" s="2">
        <v>0.48541666666666666</v>
      </c>
      <c r="D738" s="2" t="str">
        <f>IF(Table1[[#This Row],[Time]]&lt;$D$1,$C$1,IF(Table1[[#This Row],[Time]]&lt;$D$2,$C$2,$C$3))</f>
        <v>Morning</v>
      </c>
      <c r="E738">
        <f>MONTH(Table1[[#This Row],[Date]])</f>
        <v>2</v>
      </c>
      <c r="F738" t="str">
        <f>VLOOKUP(Table1[[#This Row],[Month]],dctMonth[],2,FALSE)</f>
        <v>February</v>
      </c>
      <c r="G738" t="s">
        <v>19</v>
      </c>
      <c r="H738" t="s">
        <v>20</v>
      </c>
      <c r="I738" t="s">
        <v>21</v>
      </c>
      <c r="J738" t="s">
        <v>32</v>
      </c>
      <c r="K738">
        <v>63</v>
      </c>
      <c r="L738" t="str">
        <f>IF(Table1[[#This Row],[Age]]&lt;20,"&lt;20",IF(Table1[[#This Row],[Age]]&lt;=70,"20-70","&gt;70"))</f>
        <v>20-70</v>
      </c>
      <c r="M738" t="s">
        <v>47</v>
      </c>
      <c r="N738" t="s">
        <v>24</v>
      </c>
      <c r="O738">
        <v>19.7</v>
      </c>
      <c r="P738">
        <v>1</v>
      </c>
      <c r="Q738">
        <v>0.98499999999999999</v>
      </c>
      <c r="R738">
        <v>20.684999999999999</v>
      </c>
      <c r="S738">
        <v>19.7</v>
      </c>
      <c r="T738">
        <v>4.7619047620000003</v>
      </c>
      <c r="U738">
        <v>0.98499999999999999</v>
      </c>
      <c r="V738">
        <v>9.5</v>
      </c>
    </row>
    <row r="739" spans="1:22" x14ac:dyDescent="0.2">
      <c r="A739" t="s">
        <v>770</v>
      </c>
      <c r="B739" s="1">
        <v>43489</v>
      </c>
      <c r="C739" s="2">
        <v>0.44305555555555554</v>
      </c>
      <c r="D739" s="2" t="str">
        <f>IF(Table1[[#This Row],[Time]]&lt;$D$1,$C$1,IF(Table1[[#This Row],[Time]]&lt;$D$2,$C$2,$C$3))</f>
        <v>Morning</v>
      </c>
      <c r="E739">
        <f>MONTH(Table1[[#This Row],[Date]])</f>
        <v>1</v>
      </c>
      <c r="F739" t="str">
        <f>VLOOKUP(Table1[[#This Row],[Month]],dctMonth[],2,FALSE)</f>
        <v>January</v>
      </c>
      <c r="G739" t="s">
        <v>43</v>
      </c>
      <c r="H739" t="s">
        <v>44</v>
      </c>
      <c r="I739" t="s">
        <v>28</v>
      </c>
      <c r="J739" t="s">
        <v>32</v>
      </c>
      <c r="K739">
        <v>23</v>
      </c>
      <c r="L739" t="str">
        <f>IF(Table1[[#This Row],[Age]]&lt;20,"&lt;20",IF(Table1[[#This Row],[Age]]&lt;=70,"20-70","&gt;70"))</f>
        <v>20-70</v>
      </c>
      <c r="M739" t="s">
        <v>29</v>
      </c>
      <c r="N739" t="s">
        <v>24</v>
      </c>
      <c r="O739">
        <v>75.88</v>
      </c>
      <c r="P739">
        <v>7</v>
      </c>
      <c r="Q739">
        <v>26.558</v>
      </c>
      <c r="R739">
        <v>557.71799999999996</v>
      </c>
      <c r="S739">
        <v>531.16</v>
      </c>
      <c r="T739">
        <v>4.7619047620000003</v>
      </c>
      <c r="U739">
        <v>26.558</v>
      </c>
      <c r="V739">
        <v>8.9</v>
      </c>
    </row>
    <row r="740" spans="1:22" x14ac:dyDescent="0.2">
      <c r="A740" t="s">
        <v>771</v>
      </c>
      <c r="B740" s="1">
        <v>43525</v>
      </c>
      <c r="C740" s="2">
        <v>0.8354166666666667</v>
      </c>
      <c r="D740" s="2" t="str">
        <f>IF(Table1[[#This Row],[Time]]&lt;$D$1,$C$1,IF(Table1[[#This Row],[Time]]&lt;$D$2,$C$2,$C$3))</f>
        <v>Evening</v>
      </c>
      <c r="E740">
        <f>MONTH(Table1[[#This Row],[Date]])</f>
        <v>3</v>
      </c>
      <c r="F740" t="str">
        <f>VLOOKUP(Table1[[#This Row],[Month]],dctMonth[],2,FALSE)</f>
        <v>March</v>
      </c>
      <c r="G740" t="s">
        <v>43</v>
      </c>
      <c r="H740" t="s">
        <v>44</v>
      </c>
      <c r="I740" t="s">
        <v>21</v>
      </c>
      <c r="J740" t="s">
        <v>32</v>
      </c>
      <c r="K740">
        <v>17</v>
      </c>
      <c r="L740" t="str">
        <f>IF(Table1[[#This Row],[Age]]&lt;20,"&lt;20",IF(Table1[[#This Row],[Age]]&lt;=70,"20-70","&gt;70"))</f>
        <v>&lt;20</v>
      </c>
      <c r="M740" t="s">
        <v>45</v>
      </c>
      <c r="N740" t="s">
        <v>24</v>
      </c>
      <c r="O740">
        <v>53.72</v>
      </c>
      <c r="P740">
        <v>1</v>
      </c>
      <c r="Q740">
        <v>2.6859999999999999</v>
      </c>
      <c r="R740">
        <v>56.405999999999999</v>
      </c>
      <c r="S740">
        <v>53.72</v>
      </c>
      <c r="T740">
        <v>4.7619047620000003</v>
      </c>
      <c r="U740">
        <v>2.6859999999999999</v>
      </c>
      <c r="V740">
        <v>6.4</v>
      </c>
    </row>
    <row r="741" spans="1:22" x14ac:dyDescent="0.2">
      <c r="A741" t="s">
        <v>772</v>
      </c>
      <c r="B741" s="1">
        <v>43534</v>
      </c>
      <c r="C741" s="2">
        <v>0.52708333333333335</v>
      </c>
      <c r="D741" s="2" t="str">
        <f>IF(Table1[[#This Row],[Time]]&lt;$D$1,$C$1,IF(Table1[[#This Row],[Time]]&lt;$D$2,$C$2,$C$3))</f>
        <v>Afternoon</v>
      </c>
      <c r="E741">
        <f>MONTH(Table1[[#This Row],[Date]])</f>
        <v>3</v>
      </c>
      <c r="F741" t="str">
        <f>VLOOKUP(Table1[[#This Row],[Month]],dctMonth[],2,FALSE)</f>
        <v>March</v>
      </c>
      <c r="G741" t="s">
        <v>26</v>
      </c>
      <c r="H741" t="s">
        <v>27</v>
      </c>
      <c r="I741" t="s">
        <v>21</v>
      </c>
      <c r="J741" t="s">
        <v>32</v>
      </c>
      <c r="K741">
        <v>22</v>
      </c>
      <c r="L741" t="str">
        <f>IF(Table1[[#This Row],[Age]]&lt;20,"&lt;20",IF(Table1[[#This Row],[Age]]&lt;=70,"20-70","&gt;70"))</f>
        <v>20-70</v>
      </c>
      <c r="M741" t="s">
        <v>23</v>
      </c>
      <c r="N741" t="s">
        <v>34</v>
      </c>
      <c r="O741">
        <v>81.95</v>
      </c>
      <c r="P741">
        <v>10</v>
      </c>
      <c r="Q741">
        <v>40.975000000000001</v>
      </c>
      <c r="R741">
        <v>860.47500000000002</v>
      </c>
      <c r="S741">
        <v>819.5</v>
      </c>
      <c r="T741">
        <v>4.7619047620000003</v>
      </c>
      <c r="U741">
        <v>40.975000000000001</v>
      </c>
      <c r="V741">
        <v>6</v>
      </c>
    </row>
    <row r="742" spans="1:22" x14ac:dyDescent="0.2">
      <c r="A742" t="s">
        <v>773</v>
      </c>
      <c r="B742" s="1">
        <v>43547</v>
      </c>
      <c r="C742" s="2">
        <v>0.66597222222222219</v>
      </c>
      <c r="D742" s="2" t="str">
        <f>IF(Table1[[#This Row],[Time]]&lt;$D$1,$C$1,IF(Table1[[#This Row],[Time]]&lt;$D$2,$C$2,$C$3))</f>
        <v>Afternoon</v>
      </c>
      <c r="E742">
        <f>MONTH(Table1[[#This Row],[Date]])</f>
        <v>3</v>
      </c>
      <c r="F742" t="str">
        <f>VLOOKUP(Table1[[#This Row],[Month]],dctMonth[],2,FALSE)</f>
        <v>March</v>
      </c>
      <c r="G742" t="s">
        <v>26</v>
      </c>
      <c r="H742" t="s">
        <v>27</v>
      </c>
      <c r="I742" t="s">
        <v>21</v>
      </c>
      <c r="J742" t="s">
        <v>22</v>
      </c>
      <c r="K742">
        <v>74</v>
      </c>
      <c r="L742" t="str">
        <f>IF(Table1[[#This Row],[Age]]&lt;20,"&lt;20",IF(Table1[[#This Row],[Age]]&lt;=70,"20-70","&gt;70"))</f>
        <v>&gt;70</v>
      </c>
      <c r="M742" t="s">
        <v>33</v>
      </c>
      <c r="N742" t="s">
        <v>34</v>
      </c>
      <c r="O742">
        <v>81.2</v>
      </c>
      <c r="P742">
        <v>7</v>
      </c>
      <c r="Q742">
        <v>28.42</v>
      </c>
      <c r="R742">
        <v>596.82000000000005</v>
      </c>
      <c r="S742">
        <v>568.4</v>
      </c>
      <c r="T742">
        <v>4.7619047620000003</v>
      </c>
      <c r="U742">
        <v>28.42</v>
      </c>
      <c r="V742">
        <v>8.1</v>
      </c>
    </row>
    <row r="743" spans="1:22" x14ac:dyDescent="0.2">
      <c r="A743" t="s">
        <v>774</v>
      </c>
      <c r="B743" s="1">
        <v>43494</v>
      </c>
      <c r="C743" s="2">
        <v>0.60138888888888886</v>
      </c>
      <c r="D743" s="2" t="str">
        <f>IF(Table1[[#This Row],[Time]]&lt;$D$1,$C$1,IF(Table1[[#This Row],[Time]]&lt;$D$2,$C$2,$C$3))</f>
        <v>Afternoon</v>
      </c>
      <c r="E743">
        <f>MONTH(Table1[[#This Row],[Date]])</f>
        <v>1</v>
      </c>
      <c r="F743" t="str">
        <f>VLOOKUP(Table1[[#This Row],[Month]],dctMonth[],2,FALSE)</f>
        <v>January</v>
      </c>
      <c r="G743" t="s">
        <v>26</v>
      </c>
      <c r="H743" t="s">
        <v>27</v>
      </c>
      <c r="I743" t="s">
        <v>28</v>
      </c>
      <c r="J743" t="s">
        <v>32</v>
      </c>
      <c r="K743">
        <v>76</v>
      </c>
      <c r="L743" t="str">
        <f>IF(Table1[[#This Row],[Age]]&lt;20,"&lt;20",IF(Table1[[#This Row],[Age]]&lt;=70,"20-70","&gt;70"))</f>
        <v>&gt;70</v>
      </c>
      <c r="M743" t="s">
        <v>29</v>
      </c>
      <c r="N743" t="s">
        <v>24</v>
      </c>
      <c r="O743">
        <v>58.76</v>
      </c>
      <c r="P743">
        <v>10</v>
      </c>
      <c r="Q743">
        <v>29.38</v>
      </c>
      <c r="R743">
        <v>616.98</v>
      </c>
      <c r="S743">
        <v>587.6</v>
      </c>
      <c r="T743">
        <v>4.7619047620000003</v>
      </c>
      <c r="U743">
        <v>29.38</v>
      </c>
      <c r="V743">
        <v>9</v>
      </c>
    </row>
    <row r="744" spans="1:22" x14ac:dyDescent="0.2">
      <c r="A744" t="s">
        <v>775</v>
      </c>
      <c r="B744" s="1">
        <v>43477</v>
      </c>
      <c r="C744" s="2">
        <v>0.76527777777777772</v>
      </c>
      <c r="D744" s="2" t="str">
        <f>IF(Table1[[#This Row],[Time]]&lt;$D$1,$C$1,IF(Table1[[#This Row],[Time]]&lt;$D$2,$C$2,$C$3))</f>
        <v>Evening</v>
      </c>
      <c r="E744">
        <f>MONTH(Table1[[#This Row],[Date]])</f>
        <v>1</v>
      </c>
      <c r="F744" t="str">
        <f>VLOOKUP(Table1[[#This Row],[Month]],dctMonth[],2,FALSE)</f>
        <v>January</v>
      </c>
      <c r="G744" t="s">
        <v>43</v>
      </c>
      <c r="H744" t="s">
        <v>44</v>
      </c>
      <c r="I744" t="s">
        <v>21</v>
      </c>
      <c r="J744" t="s">
        <v>32</v>
      </c>
      <c r="K744">
        <v>18</v>
      </c>
      <c r="L744" t="str">
        <f>IF(Table1[[#This Row],[Age]]&lt;20,"&lt;20",IF(Table1[[#This Row],[Age]]&lt;=70,"20-70","&gt;70"))</f>
        <v>&lt;20</v>
      </c>
      <c r="M744" t="s">
        <v>29</v>
      </c>
      <c r="N744" t="s">
        <v>24</v>
      </c>
      <c r="O744">
        <v>91.56</v>
      </c>
      <c r="P744">
        <v>8</v>
      </c>
      <c r="Q744">
        <v>36.624000000000002</v>
      </c>
      <c r="R744">
        <v>769.10400000000004</v>
      </c>
      <c r="S744">
        <v>732.48</v>
      </c>
      <c r="T744">
        <v>4.7619047620000003</v>
      </c>
      <c r="U744">
        <v>36.624000000000002</v>
      </c>
      <c r="V744">
        <v>6</v>
      </c>
    </row>
    <row r="745" spans="1:22" x14ac:dyDescent="0.2">
      <c r="A745" t="s">
        <v>776</v>
      </c>
      <c r="B745" s="1">
        <v>43544</v>
      </c>
      <c r="C745" s="2">
        <v>0.48055555555555557</v>
      </c>
      <c r="D745" s="2" t="str">
        <f>IF(Table1[[#This Row],[Time]]&lt;$D$1,$C$1,IF(Table1[[#This Row],[Time]]&lt;$D$2,$C$2,$C$3))</f>
        <v>Morning</v>
      </c>
      <c r="E745">
        <f>MONTH(Table1[[#This Row],[Date]])</f>
        <v>3</v>
      </c>
      <c r="F745" t="str">
        <f>VLOOKUP(Table1[[#This Row],[Month]],dctMonth[],2,FALSE)</f>
        <v>March</v>
      </c>
      <c r="G745" t="s">
        <v>19</v>
      </c>
      <c r="H745" t="s">
        <v>20</v>
      </c>
      <c r="I745" t="s">
        <v>28</v>
      </c>
      <c r="J745" t="s">
        <v>32</v>
      </c>
      <c r="K745">
        <v>88</v>
      </c>
      <c r="L745" t="str">
        <f>IF(Table1[[#This Row],[Age]]&lt;20,"&lt;20",IF(Table1[[#This Row],[Age]]&lt;=70,"20-70","&gt;70"))</f>
        <v>&gt;70</v>
      </c>
      <c r="M745" t="s">
        <v>33</v>
      </c>
      <c r="N745" t="s">
        <v>30</v>
      </c>
      <c r="O745">
        <v>93.96</v>
      </c>
      <c r="P745">
        <v>9</v>
      </c>
      <c r="Q745">
        <v>42.281999999999996</v>
      </c>
      <c r="R745">
        <v>887.92200000000003</v>
      </c>
      <c r="S745">
        <v>845.64</v>
      </c>
      <c r="T745">
        <v>4.7619047620000003</v>
      </c>
      <c r="U745">
        <v>42.281999999999996</v>
      </c>
      <c r="V745">
        <v>9.8000000000000007</v>
      </c>
    </row>
    <row r="746" spans="1:22" x14ac:dyDescent="0.2">
      <c r="A746" t="s">
        <v>777</v>
      </c>
      <c r="B746" s="1">
        <v>43547</v>
      </c>
      <c r="C746" s="2">
        <v>0.52847222222222223</v>
      </c>
      <c r="D746" s="2" t="str">
        <f>IF(Table1[[#This Row],[Time]]&lt;$D$1,$C$1,IF(Table1[[#This Row],[Time]]&lt;$D$2,$C$2,$C$3))</f>
        <v>Afternoon</v>
      </c>
      <c r="E746">
        <f>MONTH(Table1[[#This Row],[Date]])</f>
        <v>3</v>
      </c>
      <c r="F746" t="str">
        <f>VLOOKUP(Table1[[#This Row],[Month]],dctMonth[],2,FALSE)</f>
        <v>March</v>
      </c>
      <c r="G746" t="s">
        <v>26</v>
      </c>
      <c r="H746" t="s">
        <v>27</v>
      </c>
      <c r="I746" t="s">
        <v>28</v>
      </c>
      <c r="J746" t="s">
        <v>32</v>
      </c>
      <c r="K746">
        <v>84</v>
      </c>
      <c r="L746" t="str">
        <f>IF(Table1[[#This Row],[Age]]&lt;20,"&lt;20",IF(Table1[[#This Row],[Age]]&lt;=70,"20-70","&gt;70"))</f>
        <v>&gt;70</v>
      </c>
      <c r="M746" t="s">
        <v>33</v>
      </c>
      <c r="N746" t="s">
        <v>30</v>
      </c>
      <c r="O746">
        <v>55.61</v>
      </c>
      <c r="P746">
        <v>7</v>
      </c>
      <c r="Q746">
        <v>19.4635</v>
      </c>
      <c r="R746">
        <v>408.73349999999999</v>
      </c>
      <c r="S746">
        <v>389.27</v>
      </c>
      <c r="T746">
        <v>4.7619047620000003</v>
      </c>
      <c r="U746">
        <v>19.4635</v>
      </c>
      <c r="V746">
        <v>8.5</v>
      </c>
    </row>
    <row r="747" spans="1:22" x14ac:dyDescent="0.2">
      <c r="A747" t="s">
        <v>778</v>
      </c>
      <c r="B747" s="1">
        <v>43479</v>
      </c>
      <c r="C747" s="2">
        <v>0.63888888888888884</v>
      </c>
      <c r="D747" s="2" t="str">
        <f>IF(Table1[[#This Row],[Time]]&lt;$D$1,$C$1,IF(Table1[[#This Row],[Time]]&lt;$D$2,$C$2,$C$3))</f>
        <v>Afternoon</v>
      </c>
      <c r="E747">
        <f>MONTH(Table1[[#This Row],[Date]])</f>
        <v>1</v>
      </c>
      <c r="F747" t="str">
        <f>VLOOKUP(Table1[[#This Row],[Month]],dctMonth[],2,FALSE)</f>
        <v>January</v>
      </c>
      <c r="G747" t="s">
        <v>26</v>
      </c>
      <c r="H747" t="s">
        <v>27</v>
      </c>
      <c r="I747" t="s">
        <v>28</v>
      </c>
      <c r="J747" t="s">
        <v>32</v>
      </c>
      <c r="K747">
        <v>19</v>
      </c>
      <c r="L747" t="str">
        <f>IF(Table1[[#This Row],[Age]]&lt;20,"&lt;20",IF(Table1[[#This Row],[Age]]&lt;=70,"20-70","&gt;70"))</f>
        <v>&lt;20</v>
      </c>
      <c r="M747" t="s">
        <v>45</v>
      </c>
      <c r="N747" t="s">
        <v>24</v>
      </c>
      <c r="O747">
        <v>84.83</v>
      </c>
      <c r="P747">
        <v>1</v>
      </c>
      <c r="Q747">
        <v>4.2415000000000003</v>
      </c>
      <c r="R747">
        <v>89.0715</v>
      </c>
      <c r="S747">
        <v>84.83</v>
      </c>
      <c r="T747">
        <v>4.7619047620000003</v>
      </c>
      <c r="U747">
        <v>4.2415000000000003</v>
      </c>
      <c r="V747">
        <v>8.8000000000000007</v>
      </c>
    </row>
    <row r="748" spans="1:22" x14ac:dyDescent="0.2">
      <c r="A748" t="s">
        <v>779</v>
      </c>
      <c r="B748" s="1">
        <v>43508</v>
      </c>
      <c r="C748" s="2">
        <v>0.60624999999999996</v>
      </c>
      <c r="D748" s="2" t="str">
        <f>IF(Table1[[#This Row],[Time]]&lt;$D$1,$C$1,IF(Table1[[#This Row],[Time]]&lt;$D$2,$C$2,$C$3))</f>
        <v>Afternoon</v>
      </c>
      <c r="E748">
        <f>MONTH(Table1[[#This Row],[Date]])</f>
        <v>2</v>
      </c>
      <c r="F748" t="str">
        <f>VLOOKUP(Table1[[#This Row],[Month]],dctMonth[],2,FALSE)</f>
        <v>February</v>
      </c>
      <c r="G748" t="s">
        <v>19</v>
      </c>
      <c r="H748" t="s">
        <v>20</v>
      </c>
      <c r="I748" t="s">
        <v>21</v>
      </c>
      <c r="J748" t="s">
        <v>22</v>
      </c>
      <c r="K748">
        <v>42</v>
      </c>
      <c r="L748" t="str">
        <f>IF(Table1[[#This Row],[Age]]&lt;20,"&lt;20",IF(Table1[[#This Row],[Age]]&lt;=70,"20-70","&gt;70"))</f>
        <v>20-70</v>
      </c>
      <c r="M748" t="s">
        <v>37</v>
      </c>
      <c r="N748" t="s">
        <v>24</v>
      </c>
      <c r="O748">
        <v>71.63</v>
      </c>
      <c r="P748">
        <v>2</v>
      </c>
      <c r="Q748">
        <v>7.1630000000000003</v>
      </c>
      <c r="R748">
        <v>150.423</v>
      </c>
      <c r="S748">
        <v>143.26</v>
      </c>
      <c r="T748">
        <v>4.7619047620000003</v>
      </c>
      <c r="U748">
        <v>7.1630000000000003</v>
      </c>
      <c r="V748">
        <v>8.8000000000000007</v>
      </c>
    </row>
    <row r="749" spans="1:22" x14ac:dyDescent="0.2">
      <c r="A749" t="s">
        <v>780</v>
      </c>
      <c r="B749" s="1">
        <v>43516</v>
      </c>
      <c r="C749" s="2">
        <v>0.64513888888888893</v>
      </c>
      <c r="D749" s="2" t="str">
        <f>IF(Table1[[#This Row],[Time]]&lt;$D$1,$C$1,IF(Table1[[#This Row],[Time]]&lt;$D$2,$C$2,$C$3))</f>
        <v>Afternoon</v>
      </c>
      <c r="E749">
        <f>MONTH(Table1[[#This Row],[Date]])</f>
        <v>2</v>
      </c>
      <c r="F749" t="str">
        <f>VLOOKUP(Table1[[#This Row],[Month]],dctMonth[],2,FALSE)</f>
        <v>February</v>
      </c>
      <c r="G749" t="s">
        <v>19</v>
      </c>
      <c r="H749" t="s">
        <v>20</v>
      </c>
      <c r="I749" t="s">
        <v>21</v>
      </c>
      <c r="J749" t="s">
        <v>32</v>
      </c>
      <c r="K749">
        <v>46</v>
      </c>
      <c r="L749" t="str">
        <f>IF(Table1[[#This Row],[Age]]&lt;20,"&lt;20",IF(Table1[[#This Row],[Age]]&lt;=70,"20-70","&gt;70"))</f>
        <v>20-70</v>
      </c>
      <c r="M749" t="s">
        <v>33</v>
      </c>
      <c r="N749" t="s">
        <v>24</v>
      </c>
      <c r="O749">
        <v>37.69</v>
      </c>
      <c r="P749">
        <v>2</v>
      </c>
      <c r="Q749">
        <v>3.7690000000000001</v>
      </c>
      <c r="R749">
        <v>79.149000000000001</v>
      </c>
      <c r="S749">
        <v>75.38</v>
      </c>
      <c r="T749">
        <v>4.7619047620000003</v>
      </c>
      <c r="U749">
        <v>3.7690000000000001</v>
      </c>
      <c r="V749">
        <v>9.5</v>
      </c>
    </row>
    <row r="750" spans="1:22" x14ac:dyDescent="0.2">
      <c r="A750" t="s">
        <v>781</v>
      </c>
      <c r="B750" s="1">
        <v>43467</v>
      </c>
      <c r="C750" s="2">
        <v>0.67986111111111114</v>
      </c>
      <c r="D750" s="2" t="str">
        <f>IF(Table1[[#This Row],[Time]]&lt;$D$1,$C$1,IF(Table1[[#This Row],[Time]]&lt;$D$2,$C$2,$C$3))</f>
        <v>Afternoon</v>
      </c>
      <c r="E750">
        <f>MONTH(Table1[[#This Row],[Date]])</f>
        <v>1</v>
      </c>
      <c r="F750" t="str">
        <f>VLOOKUP(Table1[[#This Row],[Month]],dctMonth[],2,FALSE)</f>
        <v>January</v>
      </c>
      <c r="G750" t="s">
        <v>26</v>
      </c>
      <c r="H750" t="s">
        <v>27</v>
      </c>
      <c r="I750" t="s">
        <v>21</v>
      </c>
      <c r="J750" t="s">
        <v>22</v>
      </c>
      <c r="K750">
        <v>16</v>
      </c>
      <c r="L750" t="str">
        <f>IF(Table1[[#This Row],[Age]]&lt;20,"&lt;20",IF(Table1[[#This Row],[Age]]&lt;=70,"20-70","&gt;70"))</f>
        <v>&lt;20</v>
      </c>
      <c r="M750" t="s">
        <v>37</v>
      </c>
      <c r="N750" t="s">
        <v>34</v>
      </c>
      <c r="O750">
        <v>31.67</v>
      </c>
      <c r="P750">
        <v>8</v>
      </c>
      <c r="Q750">
        <v>12.667999999999999</v>
      </c>
      <c r="R750">
        <v>266.02800000000002</v>
      </c>
      <c r="S750">
        <v>253.36</v>
      </c>
      <c r="T750">
        <v>4.7619047620000003</v>
      </c>
      <c r="U750">
        <v>12.667999999999999</v>
      </c>
      <c r="V750">
        <v>5.6</v>
      </c>
    </row>
    <row r="751" spans="1:22" x14ac:dyDescent="0.2">
      <c r="A751" t="s">
        <v>782</v>
      </c>
      <c r="B751" s="1">
        <v>43498</v>
      </c>
      <c r="C751" s="2">
        <v>0.68958333333333333</v>
      </c>
      <c r="D751" s="2" t="str">
        <f>IF(Table1[[#This Row],[Time]]&lt;$D$1,$C$1,IF(Table1[[#This Row],[Time]]&lt;$D$2,$C$2,$C$3))</f>
        <v>Afternoon</v>
      </c>
      <c r="E751">
        <f>MONTH(Table1[[#This Row],[Date]])</f>
        <v>2</v>
      </c>
      <c r="F751" t="str">
        <f>VLOOKUP(Table1[[#This Row],[Month]],dctMonth[],2,FALSE)</f>
        <v>February</v>
      </c>
      <c r="G751" t="s">
        <v>26</v>
      </c>
      <c r="H751" t="s">
        <v>27</v>
      </c>
      <c r="I751" t="s">
        <v>21</v>
      </c>
      <c r="J751" t="s">
        <v>22</v>
      </c>
      <c r="K751">
        <v>43</v>
      </c>
      <c r="L751" t="str">
        <f>IF(Table1[[#This Row],[Age]]&lt;20,"&lt;20",IF(Table1[[#This Row],[Age]]&lt;=70,"20-70","&gt;70"))</f>
        <v>20-70</v>
      </c>
      <c r="M751" t="s">
        <v>45</v>
      </c>
      <c r="N751" t="s">
        <v>30</v>
      </c>
      <c r="O751">
        <v>38.42</v>
      </c>
      <c r="P751">
        <v>1</v>
      </c>
      <c r="Q751">
        <v>1.921</v>
      </c>
      <c r="R751">
        <v>40.341000000000001</v>
      </c>
      <c r="S751">
        <v>38.42</v>
      </c>
      <c r="T751">
        <v>4.7619047620000003</v>
      </c>
      <c r="U751">
        <v>1.921</v>
      </c>
      <c r="V751">
        <v>8.6</v>
      </c>
    </row>
    <row r="752" spans="1:22" x14ac:dyDescent="0.2">
      <c r="A752" t="s">
        <v>783</v>
      </c>
      <c r="B752" s="1">
        <v>43473</v>
      </c>
      <c r="C752" s="2">
        <v>0.79652777777777772</v>
      </c>
      <c r="D752" s="2" t="str">
        <f>IF(Table1[[#This Row],[Time]]&lt;$D$1,$C$1,IF(Table1[[#This Row],[Time]]&lt;$D$2,$C$2,$C$3))</f>
        <v>Evening</v>
      </c>
      <c r="E752">
        <f>MONTH(Table1[[#This Row],[Date]])</f>
        <v>1</v>
      </c>
      <c r="F752" t="str">
        <f>VLOOKUP(Table1[[#This Row],[Month]],dctMonth[],2,FALSE)</f>
        <v>January</v>
      </c>
      <c r="G752" t="s">
        <v>43</v>
      </c>
      <c r="H752" t="s">
        <v>44</v>
      </c>
      <c r="I752" t="s">
        <v>21</v>
      </c>
      <c r="J752" t="s">
        <v>32</v>
      </c>
      <c r="K752">
        <v>74</v>
      </c>
      <c r="L752" t="str">
        <f>IF(Table1[[#This Row],[Age]]&lt;20,"&lt;20",IF(Table1[[#This Row],[Age]]&lt;=70,"20-70","&gt;70"))</f>
        <v>&gt;70</v>
      </c>
      <c r="M752" t="s">
        <v>47</v>
      </c>
      <c r="N752" t="s">
        <v>34</v>
      </c>
      <c r="O752">
        <v>65.23</v>
      </c>
      <c r="P752">
        <v>10</v>
      </c>
      <c r="Q752">
        <v>32.615000000000002</v>
      </c>
      <c r="R752">
        <v>684.91499999999996</v>
      </c>
      <c r="S752">
        <v>652.29999999999995</v>
      </c>
      <c r="T752">
        <v>4.7619047620000003</v>
      </c>
      <c r="U752">
        <v>32.615000000000002</v>
      </c>
      <c r="V752">
        <v>5.2</v>
      </c>
    </row>
    <row r="753" spans="1:22" x14ac:dyDescent="0.2">
      <c r="A753" t="s">
        <v>784</v>
      </c>
      <c r="B753" s="1">
        <v>43495</v>
      </c>
      <c r="C753" s="2">
        <v>0.61319444444444449</v>
      </c>
      <c r="D753" s="2" t="str">
        <f>IF(Table1[[#This Row],[Time]]&lt;$D$1,$C$1,IF(Table1[[#This Row],[Time]]&lt;$D$2,$C$2,$C$3))</f>
        <v>Afternoon</v>
      </c>
      <c r="E753">
        <f>MONTH(Table1[[#This Row],[Date]])</f>
        <v>1</v>
      </c>
      <c r="F753" t="str">
        <f>VLOOKUP(Table1[[#This Row],[Month]],dctMonth[],2,FALSE)</f>
        <v>January</v>
      </c>
      <c r="G753" t="s">
        <v>26</v>
      </c>
      <c r="H753" t="s">
        <v>27</v>
      </c>
      <c r="I753" t="s">
        <v>21</v>
      </c>
      <c r="J753" t="s">
        <v>22</v>
      </c>
      <c r="K753">
        <v>34</v>
      </c>
      <c r="L753" t="str">
        <f>IF(Table1[[#This Row],[Age]]&lt;20,"&lt;20",IF(Table1[[#This Row],[Age]]&lt;=70,"20-70","&gt;70"))</f>
        <v>20-70</v>
      </c>
      <c r="M753" t="s">
        <v>33</v>
      </c>
      <c r="N753" t="s">
        <v>34</v>
      </c>
      <c r="O753">
        <v>10.53</v>
      </c>
      <c r="P753">
        <v>5</v>
      </c>
      <c r="Q753">
        <v>2.6324999999999998</v>
      </c>
      <c r="R753">
        <v>55.282499999999999</v>
      </c>
      <c r="S753">
        <v>52.65</v>
      </c>
      <c r="T753">
        <v>4.7619047620000003</v>
      </c>
      <c r="U753">
        <v>2.6324999999999998</v>
      </c>
      <c r="V753">
        <v>5.8</v>
      </c>
    </row>
    <row r="754" spans="1:22" x14ac:dyDescent="0.2">
      <c r="A754" t="s">
        <v>785</v>
      </c>
      <c r="B754" s="1">
        <v>43550</v>
      </c>
      <c r="C754" s="2">
        <v>0.81111111111111112</v>
      </c>
      <c r="D754" s="2" t="str">
        <f>IF(Table1[[#This Row],[Time]]&lt;$D$1,$C$1,IF(Table1[[#This Row],[Time]]&lt;$D$2,$C$2,$C$3))</f>
        <v>Evening</v>
      </c>
      <c r="E754">
        <f>MONTH(Table1[[#This Row],[Date]])</f>
        <v>3</v>
      </c>
      <c r="F754" t="str">
        <f>VLOOKUP(Table1[[#This Row],[Month]],dctMonth[],2,FALSE)</f>
        <v>March</v>
      </c>
      <c r="G754" t="s">
        <v>43</v>
      </c>
      <c r="H754" t="s">
        <v>44</v>
      </c>
      <c r="I754" t="s">
        <v>21</v>
      </c>
      <c r="J754" t="s">
        <v>22</v>
      </c>
      <c r="K754">
        <v>44</v>
      </c>
      <c r="L754" t="str">
        <f>IF(Table1[[#This Row],[Age]]&lt;20,"&lt;20",IF(Table1[[#This Row],[Age]]&lt;=70,"20-70","&gt;70"))</f>
        <v>20-70</v>
      </c>
      <c r="M754" t="s">
        <v>33</v>
      </c>
      <c r="N754" t="s">
        <v>34</v>
      </c>
      <c r="O754">
        <v>12.29</v>
      </c>
      <c r="P754">
        <v>9</v>
      </c>
      <c r="Q754">
        <v>5.5305</v>
      </c>
      <c r="R754">
        <v>116.1405</v>
      </c>
      <c r="S754">
        <v>110.61</v>
      </c>
      <c r="T754">
        <v>4.7619047620000003</v>
      </c>
      <c r="U754">
        <v>5.5305</v>
      </c>
      <c r="V754">
        <v>8</v>
      </c>
    </row>
    <row r="755" spans="1:22" x14ac:dyDescent="0.2">
      <c r="A755" t="s">
        <v>786</v>
      </c>
      <c r="B755" s="1">
        <v>43480</v>
      </c>
      <c r="C755" s="2">
        <v>0.86388888888888893</v>
      </c>
      <c r="D755" s="2" t="str">
        <f>IF(Table1[[#This Row],[Time]]&lt;$D$1,$C$1,IF(Table1[[#This Row],[Time]]&lt;$D$2,$C$2,$C$3))</f>
        <v>Evening</v>
      </c>
      <c r="E755">
        <f>MONTH(Table1[[#This Row],[Date]])</f>
        <v>1</v>
      </c>
      <c r="F755" t="str">
        <f>VLOOKUP(Table1[[#This Row],[Month]],dctMonth[],2,FALSE)</f>
        <v>January</v>
      </c>
      <c r="G755" t="s">
        <v>26</v>
      </c>
      <c r="H755" t="s">
        <v>27</v>
      </c>
      <c r="I755" t="s">
        <v>21</v>
      </c>
      <c r="J755" t="s">
        <v>32</v>
      </c>
      <c r="K755">
        <v>36</v>
      </c>
      <c r="L755" t="str">
        <f>IF(Table1[[#This Row],[Age]]&lt;20,"&lt;20",IF(Table1[[#This Row],[Age]]&lt;=70,"20-70","&gt;70"))</f>
        <v>20-70</v>
      </c>
      <c r="M755" t="s">
        <v>23</v>
      </c>
      <c r="N755" t="s">
        <v>30</v>
      </c>
      <c r="O755">
        <v>81.23</v>
      </c>
      <c r="P755">
        <v>7</v>
      </c>
      <c r="Q755">
        <v>28.430499999999999</v>
      </c>
      <c r="R755">
        <v>597.04049999999995</v>
      </c>
      <c r="S755">
        <v>568.61</v>
      </c>
      <c r="T755">
        <v>4.7619047620000003</v>
      </c>
      <c r="U755">
        <v>28.430499999999999</v>
      </c>
      <c r="V755">
        <v>9</v>
      </c>
    </row>
    <row r="756" spans="1:22" x14ac:dyDescent="0.2">
      <c r="A756" t="s">
        <v>787</v>
      </c>
      <c r="B756" s="1">
        <v>43538</v>
      </c>
      <c r="C756" s="2">
        <v>0.46944444444444444</v>
      </c>
      <c r="D756" s="2" t="str">
        <f>IF(Table1[[#This Row],[Time]]&lt;$D$1,$C$1,IF(Table1[[#This Row],[Time]]&lt;$D$2,$C$2,$C$3))</f>
        <v>Morning</v>
      </c>
      <c r="E756">
        <f>MONTH(Table1[[#This Row],[Date]])</f>
        <v>3</v>
      </c>
      <c r="F756" t="str">
        <f>VLOOKUP(Table1[[#This Row],[Month]],dctMonth[],2,FALSE)</f>
        <v>March</v>
      </c>
      <c r="G756" t="s">
        <v>43</v>
      </c>
      <c r="H756" t="s">
        <v>44</v>
      </c>
      <c r="I756" t="s">
        <v>21</v>
      </c>
      <c r="J756" t="s">
        <v>22</v>
      </c>
      <c r="K756">
        <v>57</v>
      </c>
      <c r="L756" t="str">
        <f>IF(Table1[[#This Row],[Age]]&lt;20,"&lt;20",IF(Table1[[#This Row],[Age]]&lt;=70,"20-70","&gt;70"))</f>
        <v>20-70</v>
      </c>
      <c r="M756" t="s">
        <v>47</v>
      </c>
      <c r="N756" t="s">
        <v>24</v>
      </c>
      <c r="O756">
        <v>22.32</v>
      </c>
      <c r="P756">
        <v>4</v>
      </c>
      <c r="Q756">
        <v>4.4640000000000004</v>
      </c>
      <c r="R756">
        <v>93.744</v>
      </c>
      <c r="S756">
        <v>89.28</v>
      </c>
      <c r="T756">
        <v>4.7619047620000003</v>
      </c>
      <c r="U756">
        <v>4.4640000000000004</v>
      </c>
      <c r="V756">
        <v>4.0999999999999996</v>
      </c>
    </row>
    <row r="757" spans="1:22" x14ac:dyDescent="0.2">
      <c r="A757" t="s">
        <v>788</v>
      </c>
      <c r="B757" s="1">
        <v>43499</v>
      </c>
      <c r="C757" s="2">
        <v>0.43819444444444444</v>
      </c>
      <c r="D757" s="2" t="str">
        <f>IF(Table1[[#This Row],[Time]]&lt;$D$1,$C$1,IF(Table1[[#This Row],[Time]]&lt;$D$2,$C$2,$C$3))</f>
        <v>Morning</v>
      </c>
      <c r="E757">
        <f>MONTH(Table1[[#This Row],[Date]])</f>
        <v>2</v>
      </c>
      <c r="F757" t="str">
        <f>VLOOKUP(Table1[[#This Row],[Month]],dctMonth[],2,FALSE)</f>
        <v>February</v>
      </c>
      <c r="G757" t="s">
        <v>19</v>
      </c>
      <c r="H757" t="s">
        <v>20</v>
      </c>
      <c r="I757" t="s">
        <v>28</v>
      </c>
      <c r="J757" t="s">
        <v>22</v>
      </c>
      <c r="K757">
        <v>30</v>
      </c>
      <c r="L757" t="str">
        <f>IF(Table1[[#This Row],[Age]]&lt;20,"&lt;20",IF(Table1[[#This Row],[Age]]&lt;=70,"20-70","&gt;70"))</f>
        <v>20-70</v>
      </c>
      <c r="M757" t="s">
        <v>45</v>
      </c>
      <c r="N757" t="s">
        <v>34</v>
      </c>
      <c r="O757">
        <v>27.28</v>
      </c>
      <c r="P757">
        <v>5</v>
      </c>
      <c r="Q757">
        <v>6.82</v>
      </c>
      <c r="R757">
        <v>143.22</v>
      </c>
      <c r="S757">
        <v>136.4</v>
      </c>
      <c r="T757">
        <v>4.7619047620000003</v>
      </c>
      <c r="U757">
        <v>6.82</v>
      </c>
      <c r="V757">
        <v>8.6</v>
      </c>
    </row>
    <row r="758" spans="1:22" x14ac:dyDescent="0.2">
      <c r="A758" t="s">
        <v>789</v>
      </c>
      <c r="B758" s="1">
        <v>43518</v>
      </c>
      <c r="C758" s="2">
        <v>0.52083333333333337</v>
      </c>
      <c r="D758" s="2" t="str">
        <f>IF(Table1[[#This Row],[Time]]&lt;$D$1,$C$1,IF(Table1[[#This Row],[Time]]&lt;$D$2,$C$2,$C$3))</f>
        <v>Afternoon</v>
      </c>
      <c r="E758">
        <f>MONTH(Table1[[#This Row],[Date]])</f>
        <v>2</v>
      </c>
      <c r="F758" t="str">
        <f>VLOOKUP(Table1[[#This Row],[Month]],dctMonth[],2,FALSE)</f>
        <v>February</v>
      </c>
      <c r="G758" t="s">
        <v>19</v>
      </c>
      <c r="H758" t="s">
        <v>20</v>
      </c>
      <c r="I758" t="s">
        <v>21</v>
      </c>
      <c r="J758" t="s">
        <v>22</v>
      </c>
      <c r="K758">
        <v>87</v>
      </c>
      <c r="L758" t="str">
        <f>IF(Table1[[#This Row],[Age]]&lt;20,"&lt;20",IF(Table1[[#This Row],[Age]]&lt;=70,"20-70","&gt;70"))</f>
        <v>&gt;70</v>
      </c>
      <c r="M758" t="s">
        <v>29</v>
      </c>
      <c r="N758" t="s">
        <v>24</v>
      </c>
      <c r="O758">
        <v>17.420000000000002</v>
      </c>
      <c r="P758">
        <v>10</v>
      </c>
      <c r="Q758">
        <v>8.7100000000000009</v>
      </c>
      <c r="R758">
        <v>182.91</v>
      </c>
      <c r="S758">
        <v>174.2</v>
      </c>
      <c r="T758">
        <v>4.7619047620000003</v>
      </c>
      <c r="U758">
        <v>8.7100000000000009</v>
      </c>
      <c r="V758">
        <v>7</v>
      </c>
    </row>
    <row r="759" spans="1:22" x14ac:dyDescent="0.2">
      <c r="A759" t="s">
        <v>790</v>
      </c>
      <c r="B759" s="1">
        <v>43489</v>
      </c>
      <c r="C759" s="2">
        <v>0.62847222222222221</v>
      </c>
      <c r="D759" s="2" t="str">
        <f>IF(Table1[[#This Row],[Time]]&lt;$D$1,$C$1,IF(Table1[[#This Row],[Time]]&lt;$D$2,$C$2,$C$3))</f>
        <v>Afternoon</v>
      </c>
      <c r="E759">
        <f>MONTH(Table1[[#This Row],[Date]])</f>
        <v>1</v>
      </c>
      <c r="F759" t="str">
        <f>VLOOKUP(Table1[[#This Row],[Month]],dctMonth[],2,FALSE)</f>
        <v>January</v>
      </c>
      <c r="G759" t="s">
        <v>43</v>
      </c>
      <c r="H759" t="s">
        <v>44</v>
      </c>
      <c r="I759" t="s">
        <v>28</v>
      </c>
      <c r="J759" t="s">
        <v>32</v>
      </c>
      <c r="K759">
        <v>59</v>
      </c>
      <c r="L759" t="str">
        <f>IF(Table1[[#This Row],[Age]]&lt;20,"&lt;20",IF(Table1[[#This Row],[Age]]&lt;=70,"20-70","&gt;70"))</f>
        <v>20-70</v>
      </c>
      <c r="M759" t="s">
        <v>33</v>
      </c>
      <c r="N759" t="s">
        <v>24</v>
      </c>
      <c r="O759">
        <v>73.28</v>
      </c>
      <c r="P759">
        <v>5</v>
      </c>
      <c r="Q759">
        <v>18.32</v>
      </c>
      <c r="R759">
        <v>384.72</v>
      </c>
      <c r="S759">
        <v>366.4</v>
      </c>
      <c r="T759">
        <v>4.7619047620000003</v>
      </c>
      <c r="U759">
        <v>18.32</v>
      </c>
      <c r="V759">
        <v>8.4</v>
      </c>
    </row>
    <row r="760" spans="1:22" x14ac:dyDescent="0.2">
      <c r="A760" t="s">
        <v>791</v>
      </c>
      <c r="B760" s="1">
        <v>43490</v>
      </c>
      <c r="C760" s="2">
        <v>0.77083333333333337</v>
      </c>
      <c r="D760" s="2" t="str">
        <f>IF(Table1[[#This Row],[Time]]&lt;$D$1,$C$1,IF(Table1[[#This Row],[Time]]&lt;$D$2,$C$2,$C$3))</f>
        <v>Evening</v>
      </c>
      <c r="E760">
        <f>MONTH(Table1[[#This Row],[Date]])</f>
        <v>1</v>
      </c>
      <c r="F760" t="str">
        <f>VLOOKUP(Table1[[#This Row],[Month]],dctMonth[],2,FALSE)</f>
        <v>January</v>
      </c>
      <c r="G760" t="s">
        <v>26</v>
      </c>
      <c r="H760" t="s">
        <v>27</v>
      </c>
      <c r="I760" t="s">
        <v>21</v>
      </c>
      <c r="J760" t="s">
        <v>22</v>
      </c>
      <c r="K760">
        <v>85</v>
      </c>
      <c r="L760" t="str">
        <f>IF(Table1[[#This Row],[Age]]&lt;20,"&lt;20",IF(Table1[[#This Row],[Age]]&lt;=70,"20-70","&gt;70"))</f>
        <v>&gt;70</v>
      </c>
      <c r="M760" t="s">
        <v>47</v>
      </c>
      <c r="N760" t="s">
        <v>24</v>
      </c>
      <c r="O760">
        <v>84.87</v>
      </c>
      <c r="P760">
        <v>3</v>
      </c>
      <c r="Q760">
        <v>12.730499999999999</v>
      </c>
      <c r="R760">
        <v>267.34050000000002</v>
      </c>
      <c r="S760">
        <v>254.61</v>
      </c>
      <c r="T760">
        <v>4.7619047620000003</v>
      </c>
      <c r="U760">
        <v>12.730499999999999</v>
      </c>
      <c r="V760">
        <v>7.4</v>
      </c>
    </row>
    <row r="761" spans="1:22" x14ac:dyDescent="0.2">
      <c r="A761" t="s">
        <v>792</v>
      </c>
      <c r="B761" s="1">
        <v>43533</v>
      </c>
      <c r="C761" s="2">
        <v>0.5541666666666667</v>
      </c>
      <c r="D761" s="2" t="str">
        <f>IF(Table1[[#This Row],[Time]]&lt;$D$1,$C$1,IF(Table1[[#This Row],[Time]]&lt;$D$2,$C$2,$C$3))</f>
        <v>Afternoon</v>
      </c>
      <c r="E761">
        <f>MONTH(Table1[[#This Row],[Date]])</f>
        <v>3</v>
      </c>
      <c r="F761" t="str">
        <f>VLOOKUP(Table1[[#This Row],[Month]],dctMonth[],2,FALSE)</f>
        <v>March</v>
      </c>
      <c r="G761" t="s">
        <v>19</v>
      </c>
      <c r="H761" t="s">
        <v>20</v>
      </c>
      <c r="I761" t="s">
        <v>28</v>
      </c>
      <c r="J761" t="s">
        <v>22</v>
      </c>
      <c r="K761">
        <v>67</v>
      </c>
      <c r="L761" t="str">
        <f>IF(Table1[[#This Row],[Age]]&lt;20,"&lt;20",IF(Table1[[#This Row],[Age]]&lt;=70,"20-70","&gt;70"))</f>
        <v>20-70</v>
      </c>
      <c r="M761" t="s">
        <v>47</v>
      </c>
      <c r="N761" t="s">
        <v>34</v>
      </c>
      <c r="O761">
        <v>97.29</v>
      </c>
      <c r="P761">
        <v>8</v>
      </c>
      <c r="Q761">
        <v>38.915999999999997</v>
      </c>
      <c r="R761">
        <v>817.23599999999999</v>
      </c>
      <c r="S761">
        <v>778.32</v>
      </c>
      <c r="T761">
        <v>4.7619047620000003</v>
      </c>
      <c r="U761">
        <v>38.915999999999997</v>
      </c>
      <c r="V761">
        <v>6.2</v>
      </c>
    </row>
    <row r="762" spans="1:22" x14ac:dyDescent="0.2">
      <c r="A762" t="s">
        <v>793</v>
      </c>
      <c r="B762" s="1">
        <v>43513</v>
      </c>
      <c r="C762" s="2">
        <v>0.64444444444444449</v>
      </c>
      <c r="D762" s="2" t="str">
        <f>IF(Table1[[#This Row],[Time]]&lt;$D$1,$C$1,IF(Table1[[#This Row],[Time]]&lt;$D$2,$C$2,$C$3))</f>
        <v>Afternoon</v>
      </c>
      <c r="E762">
        <f>MONTH(Table1[[#This Row],[Date]])</f>
        <v>2</v>
      </c>
      <c r="F762" t="str">
        <f>VLOOKUP(Table1[[#This Row],[Month]],dctMonth[],2,FALSE)</f>
        <v>February</v>
      </c>
      <c r="G762" t="s">
        <v>43</v>
      </c>
      <c r="H762" t="s">
        <v>44</v>
      </c>
      <c r="I762" t="s">
        <v>21</v>
      </c>
      <c r="J762" t="s">
        <v>22</v>
      </c>
      <c r="K762">
        <v>27</v>
      </c>
      <c r="L762" t="str">
        <f>IF(Table1[[#This Row],[Age]]&lt;20,"&lt;20",IF(Table1[[#This Row],[Age]]&lt;=70,"20-70","&gt;70"))</f>
        <v>20-70</v>
      </c>
      <c r="M762" t="s">
        <v>29</v>
      </c>
      <c r="N762" t="s">
        <v>24</v>
      </c>
      <c r="O762">
        <v>35.74</v>
      </c>
      <c r="P762">
        <v>8</v>
      </c>
      <c r="Q762">
        <v>14.295999999999999</v>
      </c>
      <c r="R762">
        <v>300.21600000000001</v>
      </c>
      <c r="S762">
        <v>285.92</v>
      </c>
      <c r="T762">
        <v>4.7619047620000003</v>
      </c>
      <c r="U762">
        <v>14.295999999999999</v>
      </c>
      <c r="V762">
        <v>4.9000000000000004</v>
      </c>
    </row>
    <row r="763" spans="1:22" x14ac:dyDescent="0.2">
      <c r="A763" t="s">
        <v>794</v>
      </c>
      <c r="B763" s="1">
        <v>43476</v>
      </c>
      <c r="C763" s="2">
        <v>0.49444444444444446</v>
      </c>
      <c r="D763" s="2" t="str">
        <f>IF(Table1[[#This Row],[Time]]&lt;$D$1,$C$1,IF(Table1[[#This Row],[Time]]&lt;$D$2,$C$2,$C$3))</f>
        <v>Morning</v>
      </c>
      <c r="E763">
        <f>MONTH(Table1[[#This Row],[Date]])</f>
        <v>1</v>
      </c>
      <c r="F763" t="str">
        <f>VLOOKUP(Table1[[#This Row],[Month]],dctMonth[],2,FALSE)</f>
        <v>January</v>
      </c>
      <c r="G763" t="s">
        <v>19</v>
      </c>
      <c r="H763" t="s">
        <v>20</v>
      </c>
      <c r="I763" t="s">
        <v>28</v>
      </c>
      <c r="J763" t="s">
        <v>22</v>
      </c>
      <c r="K763">
        <v>23</v>
      </c>
      <c r="L763" t="str">
        <f>IF(Table1[[#This Row],[Age]]&lt;20,"&lt;20",IF(Table1[[#This Row],[Age]]&lt;=70,"20-70","&gt;70"))</f>
        <v>20-70</v>
      </c>
      <c r="M763" t="s">
        <v>33</v>
      </c>
      <c r="N763" t="s">
        <v>30</v>
      </c>
      <c r="O763">
        <v>96.52</v>
      </c>
      <c r="P763">
        <v>6</v>
      </c>
      <c r="Q763">
        <v>28.956</v>
      </c>
      <c r="R763">
        <v>608.07600000000002</v>
      </c>
      <c r="S763">
        <v>579.12</v>
      </c>
      <c r="T763">
        <v>4.7619047620000003</v>
      </c>
      <c r="U763">
        <v>28.956</v>
      </c>
      <c r="V763">
        <v>4.5</v>
      </c>
    </row>
    <row r="764" spans="1:22" x14ac:dyDescent="0.2">
      <c r="A764" t="s">
        <v>795</v>
      </c>
      <c r="B764" s="1">
        <v>43523</v>
      </c>
      <c r="C764" s="2">
        <v>0.76666666666666672</v>
      </c>
      <c r="D764" s="2" t="str">
        <f>IF(Table1[[#This Row],[Time]]&lt;$D$1,$C$1,IF(Table1[[#This Row],[Time]]&lt;$D$2,$C$2,$C$3))</f>
        <v>Evening</v>
      </c>
      <c r="E764">
        <f>MONTH(Table1[[#This Row],[Date]])</f>
        <v>2</v>
      </c>
      <c r="F764" t="str">
        <f>VLOOKUP(Table1[[#This Row],[Month]],dctMonth[],2,FALSE)</f>
        <v>February</v>
      </c>
      <c r="G764" t="s">
        <v>19</v>
      </c>
      <c r="H764" t="s">
        <v>20</v>
      </c>
      <c r="I764" t="s">
        <v>21</v>
      </c>
      <c r="J764" t="s">
        <v>32</v>
      </c>
      <c r="K764">
        <v>37</v>
      </c>
      <c r="L764" t="str">
        <f>IF(Table1[[#This Row],[Age]]&lt;20,"&lt;20",IF(Table1[[#This Row],[Age]]&lt;=70,"20-70","&gt;70"))</f>
        <v>20-70</v>
      </c>
      <c r="M764" t="s">
        <v>45</v>
      </c>
      <c r="N764" t="s">
        <v>24</v>
      </c>
      <c r="O764">
        <v>18.850000000000001</v>
      </c>
      <c r="P764">
        <v>10</v>
      </c>
      <c r="Q764">
        <v>9.4250000000000007</v>
      </c>
      <c r="R764">
        <v>197.92500000000001</v>
      </c>
      <c r="S764">
        <v>188.5</v>
      </c>
      <c r="T764">
        <v>4.7619047620000003</v>
      </c>
      <c r="U764">
        <v>9.4250000000000007</v>
      </c>
      <c r="V764">
        <v>5.6</v>
      </c>
    </row>
    <row r="765" spans="1:22" x14ac:dyDescent="0.2">
      <c r="A765" t="s">
        <v>796</v>
      </c>
      <c r="B765" s="1">
        <v>43549</v>
      </c>
      <c r="C765" s="2">
        <v>0.6381944444444444</v>
      </c>
      <c r="D765" s="2" t="str">
        <f>IF(Table1[[#This Row],[Time]]&lt;$D$1,$C$1,IF(Table1[[#This Row],[Time]]&lt;$D$2,$C$2,$C$3))</f>
        <v>Afternoon</v>
      </c>
      <c r="E765">
        <f>MONTH(Table1[[#This Row],[Date]])</f>
        <v>3</v>
      </c>
      <c r="F765" t="str">
        <f>VLOOKUP(Table1[[#This Row],[Month]],dctMonth[],2,FALSE)</f>
        <v>March</v>
      </c>
      <c r="G765" t="s">
        <v>19</v>
      </c>
      <c r="H765" t="s">
        <v>20</v>
      </c>
      <c r="I765" t="s">
        <v>28</v>
      </c>
      <c r="J765" t="s">
        <v>22</v>
      </c>
      <c r="K765">
        <v>53</v>
      </c>
      <c r="L765" t="str">
        <f>IF(Table1[[#This Row],[Age]]&lt;20,"&lt;20",IF(Table1[[#This Row],[Age]]&lt;=70,"20-70","&gt;70"))</f>
        <v>20-70</v>
      </c>
      <c r="M765" t="s">
        <v>45</v>
      </c>
      <c r="N765" t="s">
        <v>24</v>
      </c>
      <c r="O765">
        <v>55.39</v>
      </c>
      <c r="P765">
        <v>4</v>
      </c>
      <c r="Q765">
        <v>11.077999999999999</v>
      </c>
      <c r="R765">
        <v>232.63800000000001</v>
      </c>
      <c r="S765">
        <v>221.56</v>
      </c>
      <c r="T765">
        <v>4.7619047620000003</v>
      </c>
      <c r="U765">
        <v>11.077999999999999</v>
      </c>
      <c r="V765">
        <v>8</v>
      </c>
    </row>
    <row r="766" spans="1:22" x14ac:dyDescent="0.2">
      <c r="A766" t="s">
        <v>797</v>
      </c>
      <c r="B766" s="1">
        <v>43507</v>
      </c>
      <c r="C766" s="2">
        <v>0.44305555555555554</v>
      </c>
      <c r="D766" s="2" t="str">
        <f>IF(Table1[[#This Row],[Time]]&lt;$D$1,$C$1,IF(Table1[[#This Row],[Time]]&lt;$D$2,$C$2,$C$3))</f>
        <v>Morning</v>
      </c>
      <c r="E766">
        <f>MONTH(Table1[[#This Row],[Date]])</f>
        <v>2</v>
      </c>
      <c r="F766" t="str">
        <f>VLOOKUP(Table1[[#This Row],[Month]],dctMonth[],2,FALSE)</f>
        <v>February</v>
      </c>
      <c r="G766" t="s">
        <v>43</v>
      </c>
      <c r="H766" t="s">
        <v>44</v>
      </c>
      <c r="I766" t="s">
        <v>21</v>
      </c>
      <c r="J766" t="s">
        <v>22</v>
      </c>
      <c r="K766">
        <v>47</v>
      </c>
      <c r="L766" t="str">
        <f>IF(Table1[[#This Row],[Age]]&lt;20,"&lt;20",IF(Table1[[#This Row],[Age]]&lt;=70,"20-70","&gt;70"))</f>
        <v>20-70</v>
      </c>
      <c r="M766" t="s">
        <v>45</v>
      </c>
      <c r="N766" t="s">
        <v>34</v>
      </c>
      <c r="O766">
        <v>77.2</v>
      </c>
      <c r="P766">
        <v>10</v>
      </c>
      <c r="Q766">
        <v>38.6</v>
      </c>
      <c r="R766">
        <v>810.6</v>
      </c>
      <c r="S766">
        <v>772</v>
      </c>
      <c r="T766">
        <v>4.7619047620000003</v>
      </c>
      <c r="U766">
        <v>38.6</v>
      </c>
      <c r="V766">
        <v>5.6</v>
      </c>
    </row>
    <row r="767" spans="1:22" x14ac:dyDescent="0.2">
      <c r="A767" t="s">
        <v>798</v>
      </c>
      <c r="B767" s="1">
        <v>43496</v>
      </c>
      <c r="C767" s="2">
        <v>0.6333333333333333</v>
      </c>
      <c r="D767" s="2" t="str">
        <f>IF(Table1[[#This Row],[Time]]&lt;$D$1,$C$1,IF(Table1[[#This Row],[Time]]&lt;$D$2,$C$2,$C$3))</f>
        <v>Afternoon</v>
      </c>
      <c r="E767">
        <f>MONTH(Table1[[#This Row],[Date]])</f>
        <v>1</v>
      </c>
      <c r="F767" t="str">
        <f>VLOOKUP(Table1[[#This Row],[Month]],dctMonth[],2,FALSE)</f>
        <v>January</v>
      </c>
      <c r="G767" t="s">
        <v>43</v>
      </c>
      <c r="H767" t="s">
        <v>44</v>
      </c>
      <c r="I767" t="s">
        <v>28</v>
      </c>
      <c r="J767" t="s">
        <v>32</v>
      </c>
      <c r="K767">
        <v>57</v>
      </c>
      <c r="L767" t="str">
        <f>IF(Table1[[#This Row],[Age]]&lt;20,"&lt;20",IF(Table1[[#This Row],[Age]]&lt;=70,"20-70","&gt;70"))</f>
        <v>20-70</v>
      </c>
      <c r="M767" t="s">
        <v>29</v>
      </c>
      <c r="N767" t="s">
        <v>34</v>
      </c>
      <c r="O767">
        <v>72.13</v>
      </c>
      <c r="P767">
        <v>10</v>
      </c>
      <c r="Q767">
        <v>36.064999999999998</v>
      </c>
      <c r="R767">
        <v>757.36500000000001</v>
      </c>
      <c r="S767">
        <v>721.3</v>
      </c>
      <c r="T767">
        <v>4.7619047620000003</v>
      </c>
      <c r="U767">
        <v>36.064999999999998</v>
      </c>
      <c r="V767">
        <v>4.2</v>
      </c>
    </row>
    <row r="768" spans="1:22" x14ac:dyDescent="0.2">
      <c r="A768" t="s">
        <v>799</v>
      </c>
      <c r="B768" s="1">
        <v>43485</v>
      </c>
      <c r="C768" s="2">
        <v>0.7416666666666667</v>
      </c>
      <c r="D768" s="2" t="str">
        <f>IF(Table1[[#This Row],[Time]]&lt;$D$1,$C$1,IF(Table1[[#This Row],[Time]]&lt;$D$2,$C$2,$C$3))</f>
        <v>Evening</v>
      </c>
      <c r="E768">
        <f>MONTH(Table1[[#This Row],[Date]])</f>
        <v>1</v>
      </c>
      <c r="F768" t="str">
        <f>VLOOKUP(Table1[[#This Row],[Month]],dctMonth[],2,FALSE)</f>
        <v>January</v>
      </c>
      <c r="G768" t="s">
        <v>19</v>
      </c>
      <c r="H768" t="s">
        <v>20</v>
      </c>
      <c r="I768" t="s">
        <v>21</v>
      </c>
      <c r="J768" t="s">
        <v>22</v>
      </c>
      <c r="K768">
        <v>86</v>
      </c>
      <c r="L768" t="str">
        <f>IF(Table1[[#This Row],[Age]]&lt;20,"&lt;20",IF(Table1[[#This Row],[Age]]&lt;=70,"20-70","&gt;70"))</f>
        <v>&gt;70</v>
      </c>
      <c r="M768" t="s">
        <v>47</v>
      </c>
      <c r="N768" t="s">
        <v>24</v>
      </c>
      <c r="O768">
        <v>63.88</v>
      </c>
      <c r="P768">
        <v>8</v>
      </c>
      <c r="Q768">
        <v>25.552</v>
      </c>
      <c r="R768">
        <v>536.59199999999998</v>
      </c>
      <c r="S768">
        <v>511.04</v>
      </c>
      <c r="T768">
        <v>4.7619047620000003</v>
      </c>
      <c r="U768">
        <v>25.552</v>
      </c>
      <c r="V768">
        <v>9.9</v>
      </c>
    </row>
    <row r="769" spans="1:22" x14ac:dyDescent="0.2">
      <c r="A769" t="s">
        <v>800</v>
      </c>
      <c r="B769" s="1">
        <v>43550</v>
      </c>
      <c r="C769" s="2">
        <v>0.46319444444444446</v>
      </c>
      <c r="D769" s="2" t="str">
        <f>IF(Table1[[#This Row],[Time]]&lt;$D$1,$C$1,IF(Table1[[#This Row],[Time]]&lt;$D$2,$C$2,$C$3))</f>
        <v>Morning</v>
      </c>
      <c r="E769">
        <f>MONTH(Table1[[#This Row],[Date]])</f>
        <v>3</v>
      </c>
      <c r="F769" t="str">
        <f>VLOOKUP(Table1[[#This Row],[Month]],dctMonth[],2,FALSE)</f>
        <v>March</v>
      </c>
      <c r="G769" t="s">
        <v>19</v>
      </c>
      <c r="H769" t="s">
        <v>20</v>
      </c>
      <c r="I769" t="s">
        <v>21</v>
      </c>
      <c r="J769" t="s">
        <v>22</v>
      </c>
      <c r="K769">
        <v>81</v>
      </c>
      <c r="L769" t="str">
        <f>IF(Table1[[#This Row],[Age]]&lt;20,"&lt;20",IF(Table1[[#This Row],[Age]]&lt;=70,"20-70","&gt;70"))</f>
        <v>&gt;70</v>
      </c>
      <c r="M769" t="s">
        <v>23</v>
      </c>
      <c r="N769" t="s">
        <v>24</v>
      </c>
      <c r="O769">
        <v>10.69</v>
      </c>
      <c r="P769">
        <v>5</v>
      </c>
      <c r="Q769">
        <v>2.6724999999999999</v>
      </c>
      <c r="R769">
        <v>56.122500000000002</v>
      </c>
      <c r="S769">
        <v>53.45</v>
      </c>
      <c r="T769">
        <v>4.7619047620000003</v>
      </c>
      <c r="U769">
        <v>2.6724999999999999</v>
      </c>
      <c r="V769">
        <v>7.6</v>
      </c>
    </row>
    <row r="770" spans="1:22" x14ac:dyDescent="0.2">
      <c r="A770" t="s">
        <v>801</v>
      </c>
      <c r="B770" s="1">
        <v>43485</v>
      </c>
      <c r="C770" s="2">
        <v>0.65833333333333333</v>
      </c>
      <c r="D770" s="2" t="str">
        <f>IF(Table1[[#This Row],[Time]]&lt;$D$1,$C$1,IF(Table1[[#This Row],[Time]]&lt;$D$2,$C$2,$C$3))</f>
        <v>Afternoon</v>
      </c>
      <c r="E770">
        <f>MONTH(Table1[[#This Row],[Date]])</f>
        <v>1</v>
      </c>
      <c r="F770" t="str">
        <f>VLOOKUP(Table1[[#This Row],[Month]],dctMonth[],2,FALSE)</f>
        <v>January</v>
      </c>
      <c r="G770" t="s">
        <v>19</v>
      </c>
      <c r="H770" t="s">
        <v>20</v>
      </c>
      <c r="I770" t="s">
        <v>21</v>
      </c>
      <c r="J770" t="s">
        <v>32</v>
      </c>
      <c r="K770">
        <v>55</v>
      </c>
      <c r="L770" t="str">
        <f>IF(Table1[[#This Row],[Age]]&lt;20,"&lt;20",IF(Table1[[#This Row],[Age]]&lt;=70,"20-70","&gt;70"))</f>
        <v>20-70</v>
      </c>
      <c r="M770" t="s">
        <v>23</v>
      </c>
      <c r="N770" t="s">
        <v>34</v>
      </c>
      <c r="O770">
        <v>55.5</v>
      </c>
      <c r="P770">
        <v>4</v>
      </c>
      <c r="Q770">
        <v>11.1</v>
      </c>
      <c r="R770">
        <v>233.1</v>
      </c>
      <c r="S770">
        <v>222</v>
      </c>
      <c r="T770">
        <v>4.7619047620000003</v>
      </c>
      <c r="U770">
        <v>11.1</v>
      </c>
      <c r="V770">
        <v>6.6</v>
      </c>
    </row>
    <row r="771" spans="1:22" x14ac:dyDescent="0.2">
      <c r="A771" t="s">
        <v>802</v>
      </c>
      <c r="B771" s="1">
        <v>43529</v>
      </c>
      <c r="C771" s="2">
        <v>0.81944444444444442</v>
      </c>
      <c r="D771" s="2" t="str">
        <f>IF(Table1[[#This Row],[Time]]&lt;$D$1,$C$1,IF(Table1[[#This Row],[Time]]&lt;$D$2,$C$2,$C$3))</f>
        <v>Evening</v>
      </c>
      <c r="E771">
        <f>MONTH(Table1[[#This Row],[Date]])</f>
        <v>3</v>
      </c>
      <c r="F771" t="str">
        <f>VLOOKUP(Table1[[#This Row],[Month]],dctMonth[],2,FALSE)</f>
        <v>March</v>
      </c>
      <c r="G771" t="s">
        <v>43</v>
      </c>
      <c r="H771" t="s">
        <v>44</v>
      </c>
      <c r="I771" t="s">
        <v>28</v>
      </c>
      <c r="J771" t="s">
        <v>22</v>
      </c>
      <c r="K771">
        <v>40</v>
      </c>
      <c r="L771" t="str">
        <f>IF(Table1[[#This Row],[Age]]&lt;20,"&lt;20",IF(Table1[[#This Row],[Age]]&lt;=70,"20-70","&gt;70"))</f>
        <v>20-70</v>
      </c>
      <c r="M771" t="s">
        <v>33</v>
      </c>
      <c r="N771" t="s">
        <v>24</v>
      </c>
      <c r="O771">
        <v>95.46</v>
      </c>
      <c r="P771">
        <v>8</v>
      </c>
      <c r="Q771">
        <v>38.183999999999997</v>
      </c>
      <c r="R771">
        <v>801.86400000000003</v>
      </c>
      <c r="S771">
        <v>763.68</v>
      </c>
      <c r="T771">
        <v>4.7619047620000003</v>
      </c>
      <c r="U771">
        <v>38.183999999999997</v>
      </c>
      <c r="V771">
        <v>4.7</v>
      </c>
    </row>
    <row r="772" spans="1:22" x14ac:dyDescent="0.2">
      <c r="A772" t="s">
        <v>803</v>
      </c>
      <c r="B772" s="1">
        <v>43470</v>
      </c>
      <c r="C772" s="2">
        <v>0.85416666666666663</v>
      </c>
      <c r="D772" s="2" t="str">
        <f>IF(Table1[[#This Row],[Time]]&lt;$D$1,$C$1,IF(Table1[[#This Row],[Time]]&lt;$D$2,$C$2,$C$3))</f>
        <v>Evening</v>
      </c>
      <c r="E772">
        <f>MONTH(Table1[[#This Row],[Date]])</f>
        <v>1</v>
      </c>
      <c r="F772" t="str">
        <f>VLOOKUP(Table1[[#This Row],[Month]],dctMonth[],2,FALSE)</f>
        <v>January</v>
      </c>
      <c r="G772" t="s">
        <v>26</v>
      </c>
      <c r="H772" t="s">
        <v>27</v>
      </c>
      <c r="I772" t="s">
        <v>28</v>
      </c>
      <c r="J772" t="s">
        <v>22</v>
      </c>
      <c r="K772">
        <v>21</v>
      </c>
      <c r="L772" t="str">
        <f>IF(Table1[[#This Row],[Age]]&lt;20,"&lt;20",IF(Table1[[#This Row],[Age]]&lt;=70,"20-70","&gt;70"))</f>
        <v>20-70</v>
      </c>
      <c r="M772" t="s">
        <v>47</v>
      </c>
      <c r="N772" t="s">
        <v>34</v>
      </c>
      <c r="O772">
        <v>76.06</v>
      </c>
      <c r="P772">
        <v>3</v>
      </c>
      <c r="Q772">
        <v>11.409000000000001</v>
      </c>
      <c r="R772">
        <v>239.589</v>
      </c>
      <c r="S772">
        <v>228.18</v>
      </c>
      <c r="T772">
        <v>4.7619047620000003</v>
      </c>
      <c r="U772">
        <v>11.409000000000001</v>
      </c>
      <c r="V772">
        <v>9.8000000000000007</v>
      </c>
    </row>
    <row r="773" spans="1:22" x14ac:dyDescent="0.2">
      <c r="A773" t="s">
        <v>804</v>
      </c>
      <c r="B773" s="1">
        <v>43509</v>
      </c>
      <c r="C773" s="2">
        <v>0.58263888888888893</v>
      </c>
      <c r="D773" s="2" t="str">
        <f>IF(Table1[[#This Row],[Time]]&lt;$D$1,$C$1,IF(Table1[[#This Row],[Time]]&lt;$D$2,$C$2,$C$3))</f>
        <v>Afternoon</v>
      </c>
      <c r="E773">
        <f>MONTH(Table1[[#This Row],[Date]])</f>
        <v>2</v>
      </c>
      <c r="F773" t="str">
        <f>VLOOKUP(Table1[[#This Row],[Month]],dctMonth[],2,FALSE)</f>
        <v>February</v>
      </c>
      <c r="G773" t="s">
        <v>43</v>
      </c>
      <c r="H773" t="s">
        <v>44</v>
      </c>
      <c r="I773" t="s">
        <v>28</v>
      </c>
      <c r="J773" t="s">
        <v>32</v>
      </c>
      <c r="K773">
        <v>58</v>
      </c>
      <c r="L773" t="str">
        <f>IF(Table1[[#This Row],[Age]]&lt;20,"&lt;20",IF(Table1[[#This Row],[Age]]&lt;=70,"20-70","&gt;70"))</f>
        <v>20-70</v>
      </c>
      <c r="M773" t="s">
        <v>37</v>
      </c>
      <c r="N773" t="s">
        <v>30</v>
      </c>
      <c r="O773">
        <v>13.69</v>
      </c>
      <c r="P773">
        <v>6</v>
      </c>
      <c r="Q773">
        <v>4.1070000000000002</v>
      </c>
      <c r="R773">
        <v>86.247</v>
      </c>
      <c r="S773">
        <v>82.14</v>
      </c>
      <c r="T773">
        <v>4.7619047620000003</v>
      </c>
      <c r="U773">
        <v>4.1070000000000002</v>
      </c>
      <c r="V773">
        <v>6.3</v>
      </c>
    </row>
    <row r="774" spans="1:22" x14ac:dyDescent="0.2">
      <c r="A774" t="s">
        <v>805</v>
      </c>
      <c r="B774" s="1">
        <v>43540</v>
      </c>
      <c r="C774" s="2">
        <v>0.78541666666666665</v>
      </c>
      <c r="D774" s="2" t="str">
        <f>IF(Table1[[#This Row],[Time]]&lt;$D$1,$C$1,IF(Table1[[#This Row],[Time]]&lt;$D$2,$C$2,$C$3))</f>
        <v>Evening</v>
      </c>
      <c r="E774">
        <f>MONTH(Table1[[#This Row],[Date]])</f>
        <v>3</v>
      </c>
      <c r="F774" t="str">
        <f>VLOOKUP(Table1[[#This Row],[Month]],dctMonth[],2,FALSE)</f>
        <v>March</v>
      </c>
      <c r="G774" t="s">
        <v>43</v>
      </c>
      <c r="H774" t="s">
        <v>44</v>
      </c>
      <c r="I774" t="s">
        <v>28</v>
      </c>
      <c r="J774" t="s">
        <v>22</v>
      </c>
      <c r="K774">
        <v>72</v>
      </c>
      <c r="L774" t="str">
        <f>IF(Table1[[#This Row],[Age]]&lt;20,"&lt;20",IF(Table1[[#This Row],[Age]]&lt;=70,"20-70","&gt;70"))</f>
        <v>&gt;70</v>
      </c>
      <c r="M774" t="s">
        <v>29</v>
      </c>
      <c r="N774" t="s">
        <v>30</v>
      </c>
      <c r="O774">
        <v>95.64</v>
      </c>
      <c r="P774">
        <v>4</v>
      </c>
      <c r="Q774">
        <v>19.128</v>
      </c>
      <c r="R774">
        <v>401.68799999999999</v>
      </c>
      <c r="S774">
        <v>382.56</v>
      </c>
      <c r="T774">
        <v>4.7619047620000003</v>
      </c>
      <c r="U774">
        <v>19.128</v>
      </c>
      <c r="V774">
        <v>7.9</v>
      </c>
    </row>
    <row r="775" spans="1:22" x14ac:dyDescent="0.2">
      <c r="A775" t="s">
        <v>806</v>
      </c>
      <c r="B775" s="1">
        <v>43480</v>
      </c>
      <c r="C775" s="2">
        <v>0.72499999999999998</v>
      </c>
      <c r="D775" s="2" t="str">
        <f>IF(Table1[[#This Row],[Time]]&lt;$D$1,$C$1,IF(Table1[[#This Row],[Time]]&lt;$D$2,$C$2,$C$3))</f>
        <v>Evening</v>
      </c>
      <c r="E775">
        <f>MONTH(Table1[[#This Row],[Date]])</f>
        <v>1</v>
      </c>
      <c r="F775" t="str">
        <f>VLOOKUP(Table1[[#This Row],[Month]],dctMonth[],2,FALSE)</f>
        <v>January</v>
      </c>
      <c r="G775" t="s">
        <v>19</v>
      </c>
      <c r="H775" t="s">
        <v>20</v>
      </c>
      <c r="I775" t="s">
        <v>28</v>
      </c>
      <c r="J775" t="s">
        <v>22</v>
      </c>
      <c r="K775">
        <v>59</v>
      </c>
      <c r="L775" t="str">
        <f>IF(Table1[[#This Row],[Age]]&lt;20,"&lt;20",IF(Table1[[#This Row],[Age]]&lt;=70,"20-70","&gt;70"))</f>
        <v>20-70</v>
      </c>
      <c r="M775" t="s">
        <v>33</v>
      </c>
      <c r="N775" t="s">
        <v>30</v>
      </c>
      <c r="O775">
        <v>11.43</v>
      </c>
      <c r="P775">
        <v>6</v>
      </c>
      <c r="Q775">
        <v>3.4289999999999998</v>
      </c>
      <c r="R775">
        <v>72.009</v>
      </c>
      <c r="S775">
        <v>68.58</v>
      </c>
      <c r="T775">
        <v>4.7619047620000003</v>
      </c>
      <c r="U775">
        <v>3.4289999999999998</v>
      </c>
      <c r="V775">
        <v>7.7</v>
      </c>
    </row>
    <row r="776" spans="1:22" x14ac:dyDescent="0.2">
      <c r="A776" t="s">
        <v>807</v>
      </c>
      <c r="B776" s="1">
        <v>43522</v>
      </c>
      <c r="C776" s="2">
        <v>0.49861111111111112</v>
      </c>
      <c r="D776" s="2" t="str">
        <f>IF(Table1[[#This Row],[Time]]&lt;$D$1,$C$1,IF(Table1[[#This Row],[Time]]&lt;$D$2,$C$2,$C$3))</f>
        <v>Morning</v>
      </c>
      <c r="E776">
        <f>MONTH(Table1[[#This Row],[Date]])</f>
        <v>2</v>
      </c>
      <c r="F776" t="str">
        <f>VLOOKUP(Table1[[#This Row],[Month]],dctMonth[],2,FALSE)</f>
        <v>February</v>
      </c>
      <c r="G776" t="s">
        <v>43</v>
      </c>
      <c r="H776" t="s">
        <v>44</v>
      </c>
      <c r="I776" t="s">
        <v>21</v>
      </c>
      <c r="J776" t="s">
        <v>22</v>
      </c>
      <c r="K776">
        <v>49</v>
      </c>
      <c r="L776" t="str">
        <f>IF(Table1[[#This Row],[Age]]&lt;20,"&lt;20",IF(Table1[[#This Row],[Age]]&lt;=70,"20-70","&gt;70"))</f>
        <v>20-70</v>
      </c>
      <c r="M776" t="s">
        <v>37</v>
      </c>
      <c r="N776" t="s">
        <v>24</v>
      </c>
      <c r="O776">
        <v>95.54</v>
      </c>
      <c r="P776">
        <v>4</v>
      </c>
      <c r="Q776">
        <v>19.108000000000001</v>
      </c>
      <c r="R776">
        <v>401.26799999999997</v>
      </c>
      <c r="S776">
        <v>382.16</v>
      </c>
      <c r="T776">
        <v>4.7619047620000003</v>
      </c>
      <c r="U776">
        <v>19.108000000000001</v>
      </c>
      <c r="V776">
        <v>4.5</v>
      </c>
    </row>
    <row r="777" spans="1:22" x14ac:dyDescent="0.2">
      <c r="A777" t="s">
        <v>808</v>
      </c>
      <c r="B777" s="1">
        <v>43523</v>
      </c>
      <c r="C777" s="2">
        <v>0.79236111111111107</v>
      </c>
      <c r="D777" s="2" t="str">
        <f>IF(Table1[[#This Row],[Time]]&lt;$D$1,$C$1,IF(Table1[[#This Row],[Time]]&lt;$D$2,$C$2,$C$3))</f>
        <v>Evening</v>
      </c>
      <c r="E777">
        <f>MONTH(Table1[[#This Row],[Date]])</f>
        <v>2</v>
      </c>
      <c r="F777" t="str">
        <f>VLOOKUP(Table1[[#This Row],[Month]],dctMonth[],2,FALSE)</f>
        <v>February</v>
      </c>
      <c r="G777" t="s">
        <v>26</v>
      </c>
      <c r="H777" t="s">
        <v>27</v>
      </c>
      <c r="I777" t="s">
        <v>21</v>
      </c>
      <c r="J777" t="s">
        <v>22</v>
      </c>
      <c r="K777">
        <v>81</v>
      </c>
      <c r="L777" t="str">
        <f>IF(Table1[[#This Row],[Age]]&lt;20,"&lt;20",IF(Table1[[#This Row],[Age]]&lt;=70,"20-70","&gt;70"))</f>
        <v>&gt;70</v>
      </c>
      <c r="M777" t="s">
        <v>23</v>
      </c>
      <c r="N777" t="s">
        <v>34</v>
      </c>
      <c r="O777">
        <v>85.87</v>
      </c>
      <c r="P777">
        <v>7</v>
      </c>
      <c r="Q777">
        <v>30.054500000000001</v>
      </c>
      <c r="R777">
        <v>631.14449999999999</v>
      </c>
      <c r="S777">
        <v>601.09</v>
      </c>
      <c r="T777">
        <v>4.7619047620000003</v>
      </c>
      <c r="U777">
        <v>30.054500000000001</v>
      </c>
      <c r="V777">
        <v>8</v>
      </c>
    </row>
    <row r="778" spans="1:22" x14ac:dyDescent="0.2">
      <c r="A778" t="s">
        <v>809</v>
      </c>
      <c r="B778" s="1">
        <v>43513</v>
      </c>
      <c r="C778" s="2">
        <v>0.70138888888888884</v>
      </c>
      <c r="D778" s="2" t="str">
        <f>IF(Table1[[#This Row],[Time]]&lt;$D$1,$C$1,IF(Table1[[#This Row],[Time]]&lt;$D$2,$C$2,$C$3))</f>
        <v>Afternoon</v>
      </c>
      <c r="E778">
        <f>MONTH(Table1[[#This Row],[Date]])</f>
        <v>2</v>
      </c>
      <c r="F778" t="str">
        <f>VLOOKUP(Table1[[#This Row],[Month]],dctMonth[],2,FALSE)</f>
        <v>February</v>
      </c>
      <c r="G778" t="s">
        <v>26</v>
      </c>
      <c r="H778" t="s">
        <v>27</v>
      </c>
      <c r="I778" t="s">
        <v>21</v>
      </c>
      <c r="J778" t="s">
        <v>22</v>
      </c>
      <c r="K778">
        <v>35</v>
      </c>
      <c r="L778" t="str">
        <f>IF(Table1[[#This Row],[Age]]&lt;20,"&lt;20",IF(Table1[[#This Row],[Age]]&lt;=70,"20-70","&gt;70"))</f>
        <v>20-70</v>
      </c>
      <c r="M778" t="s">
        <v>37</v>
      </c>
      <c r="N778" t="s">
        <v>24</v>
      </c>
      <c r="O778">
        <v>67.989999999999995</v>
      </c>
      <c r="P778">
        <v>7</v>
      </c>
      <c r="Q778">
        <v>23.796500000000002</v>
      </c>
      <c r="R778">
        <v>499.72649999999999</v>
      </c>
      <c r="S778">
        <v>475.93</v>
      </c>
      <c r="T778">
        <v>4.7619047620000003</v>
      </c>
      <c r="U778">
        <v>23.796500000000002</v>
      </c>
      <c r="V778">
        <v>5.7</v>
      </c>
    </row>
    <row r="779" spans="1:22" x14ac:dyDescent="0.2">
      <c r="A779" t="s">
        <v>810</v>
      </c>
      <c r="B779" s="1">
        <v>43502</v>
      </c>
      <c r="C779" s="2">
        <v>0.43194444444444446</v>
      </c>
      <c r="D779" s="2" t="str">
        <f>IF(Table1[[#This Row],[Time]]&lt;$D$1,$C$1,IF(Table1[[#This Row],[Time]]&lt;$D$2,$C$2,$C$3))</f>
        <v>Morning</v>
      </c>
      <c r="E779">
        <f>MONTH(Table1[[#This Row],[Date]])</f>
        <v>2</v>
      </c>
      <c r="F779" t="str">
        <f>VLOOKUP(Table1[[#This Row],[Month]],dctMonth[],2,FALSE)</f>
        <v>February</v>
      </c>
      <c r="G779" t="s">
        <v>26</v>
      </c>
      <c r="H779" t="s">
        <v>27</v>
      </c>
      <c r="I779" t="s">
        <v>28</v>
      </c>
      <c r="J779" t="s">
        <v>22</v>
      </c>
      <c r="K779">
        <v>45</v>
      </c>
      <c r="L779" t="str">
        <f>IF(Table1[[#This Row],[Age]]&lt;20,"&lt;20",IF(Table1[[#This Row],[Age]]&lt;=70,"20-70","&gt;70"))</f>
        <v>20-70</v>
      </c>
      <c r="M779" t="s">
        <v>45</v>
      </c>
      <c r="N779" t="s">
        <v>34</v>
      </c>
      <c r="O779">
        <v>52.42</v>
      </c>
      <c r="P779">
        <v>1</v>
      </c>
      <c r="Q779">
        <v>2.621</v>
      </c>
      <c r="R779">
        <v>55.040999999999997</v>
      </c>
      <c r="S779">
        <v>52.42</v>
      </c>
      <c r="T779">
        <v>4.7619047620000003</v>
      </c>
      <c r="U779">
        <v>2.621</v>
      </c>
      <c r="V779">
        <v>6.3</v>
      </c>
    </row>
    <row r="780" spans="1:22" x14ac:dyDescent="0.2">
      <c r="A780" t="s">
        <v>811</v>
      </c>
      <c r="B780" s="1">
        <v>43482</v>
      </c>
      <c r="C780" s="2">
        <v>0.69861111111111107</v>
      </c>
      <c r="D780" s="2" t="str">
        <f>IF(Table1[[#This Row],[Time]]&lt;$D$1,$C$1,IF(Table1[[#This Row],[Time]]&lt;$D$2,$C$2,$C$3))</f>
        <v>Afternoon</v>
      </c>
      <c r="E780">
        <f>MONTH(Table1[[#This Row],[Date]])</f>
        <v>1</v>
      </c>
      <c r="F780" t="str">
        <f>VLOOKUP(Table1[[#This Row],[Month]],dctMonth[],2,FALSE)</f>
        <v>January</v>
      </c>
      <c r="G780" t="s">
        <v>26</v>
      </c>
      <c r="H780" t="s">
        <v>27</v>
      </c>
      <c r="I780" t="s">
        <v>21</v>
      </c>
      <c r="J780" t="s">
        <v>32</v>
      </c>
      <c r="K780">
        <v>26</v>
      </c>
      <c r="L780" t="str">
        <f>IF(Table1[[#This Row],[Age]]&lt;20,"&lt;20",IF(Table1[[#This Row],[Age]]&lt;=70,"20-70","&gt;70"))</f>
        <v>20-70</v>
      </c>
      <c r="M780" t="s">
        <v>45</v>
      </c>
      <c r="N780" t="s">
        <v>30</v>
      </c>
      <c r="O780">
        <v>65.650000000000006</v>
      </c>
      <c r="P780">
        <v>2</v>
      </c>
      <c r="Q780">
        <v>6.5650000000000004</v>
      </c>
      <c r="R780">
        <v>137.86500000000001</v>
      </c>
      <c r="S780">
        <v>131.30000000000001</v>
      </c>
      <c r="T780">
        <v>4.7619047620000003</v>
      </c>
      <c r="U780">
        <v>6.5650000000000004</v>
      </c>
      <c r="V780">
        <v>6</v>
      </c>
    </row>
    <row r="781" spans="1:22" x14ac:dyDescent="0.2">
      <c r="A781" t="s">
        <v>812</v>
      </c>
      <c r="B781" s="1">
        <v>43487</v>
      </c>
      <c r="C781" s="2">
        <v>0.75555555555555554</v>
      </c>
      <c r="D781" s="2" t="str">
        <f>IF(Table1[[#This Row],[Time]]&lt;$D$1,$C$1,IF(Table1[[#This Row],[Time]]&lt;$D$2,$C$2,$C$3))</f>
        <v>Evening</v>
      </c>
      <c r="E781">
        <f>MONTH(Table1[[#This Row],[Date]])</f>
        <v>1</v>
      </c>
      <c r="F781" t="str">
        <f>VLOOKUP(Table1[[#This Row],[Month]],dctMonth[],2,FALSE)</f>
        <v>January</v>
      </c>
      <c r="G781" t="s">
        <v>43</v>
      </c>
      <c r="H781" t="s">
        <v>44</v>
      </c>
      <c r="I781" t="s">
        <v>28</v>
      </c>
      <c r="J781" t="s">
        <v>22</v>
      </c>
      <c r="K781">
        <v>21</v>
      </c>
      <c r="L781" t="str">
        <f>IF(Table1[[#This Row],[Age]]&lt;20,"&lt;20",IF(Table1[[#This Row],[Age]]&lt;=70,"20-70","&gt;70"))</f>
        <v>20-70</v>
      </c>
      <c r="M781" t="s">
        <v>45</v>
      </c>
      <c r="N781" t="s">
        <v>34</v>
      </c>
      <c r="O781">
        <v>28.86</v>
      </c>
      <c r="P781">
        <v>5</v>
      </c>
      <c r="Q781">
        <v>7.2149999999999999</v>
      </c>
      <c r="R781">
        <v>151.51499999999999</v>
      </c>
      <c r="S781">
        <v>144.30000000000001</v>
      </c>
      <c r="T781">
        <v>4.7619047620000003</v>
      </c>
      <c r="U781">
        <v>7.2149999999999999</v>
      </c>
      <c r="V781">
        <v>8</v>
      </c>
    </row>
    <row r="782" spans="1:22" x14ac:dyDescent="0.2">
      <c r="A782" t="s">
        <v>813</v>
      </c>
      <c r="B782" s="1">
        <v>43529</v>
      </c>
      <c r="C782" s="2">
        <v>0.75138888888888888</v>
      </c>
      <c r="D782" s="2" t="str">
        <f>IF(Table1[[#This Row],[Time]]&lt;$D$1,$C$1,IF(Table1[[#This Row],[Time]]&lt;$D$2,$C$2,$C$3))</f>
        <v>Evening</v>
      </c>
      <c r="E782">
        <f>MONTH(Table1[[#This Row],[Date]])</f>
        <v>3</v>
      </c>
      <c r="F782" t="str">
        <f>VLOOKUP(Table1[[#This Row],[Month]],dctMonth[],2,FALSE)</f>
        <v>March</v>
      </c>
      <c r="G782" t="s">
        <v>26</v>
      </c>
      <c r="H782" t="s">
        <v>27</v>
      </c>
      <c r="I782" t="s">
        <v>21</v>
      </c>
      <c r="J782" t="s">
        <v>32</v>
      </c>
      <c r="K782">
        <v>70</v>
      </c>
      <c r="L782" t="str">
        <f>IF(Table1[[#This Row],[Age]]&lt;20,"&lt;20",IF(Table1[[#This Row],[Age]]&lt;=70,"20-70","&gt;70"))</f>
        <v>20-70</v>
      </c>
      <c r="M782" t="s">
        <v>23</v>
      </c>
      <c r="N782" t="s">
        <v>34</v>
      </c>
      <c r="O782">
        <v>65.31</v>
      </c>
      <c r="P782">
        <v>7</v>
      </c>
      <c r="Q782">
        <v>22.858499999999999</v>
      </c>
      <c r="R782">
        <v>480.02850000000001</v>
      </c>
      <c r="S782">
        <v>457.17</v>
      </c>
      <c r="T782">
        <v>4.7619047620000003</v>
      </c>
      <c r="U782">
        <v>22.858499999999999</v>
      </c>
      <c r="V782">
        <v>4.2</v>
      </c>
    </row>
    <row r="783" spans="1:22" x14ac:dyDescent="0.2">
      <c r="A783" t="s">
        <v>814</v>
      </c>
      <c r="B783" s="1">
        <v>43468</v>
      </c>
      <c r="C783" s="2">
        <v>0.54652777777777772</v>
      </c>
      <c r="D783" s="2" t="str">
        <f>IF(Table1[[#This Row],[Time]]&lt;$D$1,$C$1,IF(Table1[[#This Row],[Time]]&lt;$D$2,$C$2,$C$3))</f>
        <v>Afternoon</v>
      </c>
      <c r="E783">
        <f>MONTH(Table1[[#This Row],[Date]])</f>
        <v>1</v>
      </c>
      <c r="F783" t="str">
        <f>VLOOKUP(Table1[[#This Row],[Month]],dctMonth[],2,FALSE)</f>
        <v>January</v>
      </c>
      <c r="G783" t="s">
        <v>43</v>
      </c>
      <c r="H783" t="s">
        <v>44</v>
      </c>
      <c r="I783" t="s">
        <v>28</v>
      </c>
      <c r="J783" t="s">
        <v>32</v>
      </c>
      <c r="K783">
        <v>36</v>
      </c>
      <c r="L783" t="str">
        <f>IF(Table1[[#This Row],[Age]]&lt;20,"&lt;20",IF(Table1[[#This Row],[Age]]&lt;=70,"20-70","&gt;70"))</f>
        <v>20-70</v>
      </c>
      <c r="M783" t="s">
        <v>37</v>
      </c>
      <c r="N783" t="s">
        <v>30</v>
      </c>
      <c r="O783">
        <v>93.38</v>
      </c>
      <c r="P783">
        <v>1</v>
      </c>
      <c r="Q783">
        <v>4.6689999999999996</v>
      </c>
      <c r="R783">
        <v>98.049000000000007</v>
      </c>
      <c r="S783">
        <v>93.38</v>
      </c>
      <c r="T783">
        <v>4.7619047620000003</v>
      </c>
      <c r="U783">
        <v>4.6689999999999996</v>
      </c>
      <c r="V783">
        <v>9.6</v>
      </c>
    </row>
    <row r="784" spans="1:22" x14ac:dyDescent="0.2">
      <c r="A784" t="s">
        <v>815</v>
      </c>
      <c r="B784" s="1">
        <v>43544</v>
      </c>
      <c r="C784" s="2">
        <v>0.74444444444444446</v>
      </c>
      <c r="D784" s="2" t="str">
        <f>IF(Table1[[#This Row],[Time]]&lt;$D$1,$C$1,IF(Table1[[#This Row],[Time]]&lt;$D$2,$C$2,$C$3))</f>
        <v>Evening</v>
      </c>
      <c r="E784">
        <f>MONTH(Table1[[#This Row],[Date]])</f>
        <v>3</v>
      </c>
      <c r="F784" t="str">
        <f>VLOOKUP(Table1[[#This Row],[Month]],dctMonth[],2,FALSE)</f>
        <v>March</v>
      </c>
      <c r="G784" t="s">
        <v>26</v>
      </c>
      <c r="H784" t="s">
        <v>27</v>
      </c>
      <c r="I784" t="s">
        <v>21</v>
      </c>
      <c r="J784" t="s">
        <v>32</v>
      </c>
      <c r="K784">
        <v>50</v>
      </c>
      <c r="L784" t="str">
        <f>IF(Table1[[#This Row],[Age]]&lt;20,"&lt;20",IF(Table1[[#This Row],[Age]]&lt;=70,"20-70","&gt;70"))</f>
        <v>20-70</v>
      </c>
      <c r="M784" t="s">
        <v>37</v>
      </c>
      <c r="N784" t="s">
        <v>30</v>
      </c>
      <c r="O784">
        <v>25.25</v>
      </c>
      <c r="P784">
        <v>5</v>
      </c>
      <c r="Q784">
        <v>6.3125</v>
      </c>
      <c r="R784">
        <v>132.5625</v>
      </c>
      <c r="S784">
        <v>126.25</v>
      </c>
      <c r="T784">
        <v>4.7619047620000003</v>
      </c>
      <c r="U784">
        <v>6.3125</v>
      </c>
      <c r="V784">
        <v>6.1</v>
      </c>
    </row>
    <row r="785" spans="1:22" x14ac:dyDescent="0.2">
      <c r="A785" t="s">
        <v>816</v>
      </c>
      <c r="B785" s="1">
        <v>43496</v>
      </c>
      <c r="C785" s="2">
        <v>0.85555555555555551</v>
      </c>
      <c r="D785" s="2" t="str">
        <f>IF(Table1[[#This Row],[Time]]&lt;$D$1,$C$1,IF(Table1[[#This Row],[Time]]&lt;$D$2,$C$2,$C$3))</f>
        <v>Evening</v>
      </c>
      <c r="E785">
        <f>MONTH(Table1[[#This Row],[Date]])</f>
        <v>1</v>
      </c>
      <c r="F785" t="str">
        <f>VLOOKUP(Table1[[#This Row],[Month]],dctMonth[],2,FALSE)</f>
        <v>January</v>
      </c>
      <c r="G785" t="s">
        <v>43</v>
      </c>
      <c r="H785" t="s">
        <v>44</v>
      </c>
      <c r="I785" t="s">
        <v>21</v>
      </c>
      <c r="J785" t="s">
        <v>32</v>
      </c>
      <c r="K785">
        <v>26</v>
      </c>
      <c r="L785" t="str">
        <f>IF(Table1[[#This Row],[Age]]&lt;20,"&lt;20",IF(Table1[[#This Row],[Age]]&lt;=70,"20-70","&gt;70"))</f>
        <v>20-70</v>
      </c>
      <c r="M785" t="s">
        <v>29</v>
      </c>
      <c r="N785" t="s">
        <v>24</v>
      </c>
      <c r="O785">
        <v>87.87</v>
      </c>
      <c r="P785">
        <v>9</v>
      </c>
      <c r="Q785">
        <v>39.541499999999999</v>
      </c>
      <c r="R785">
        <v>830.37149999999997</v>
      </c>
      <c r="S785">
        <v>790.83</v>
      </c>
      <c r="T785">
        <v>4.7619047620000003</v>
      </c>
      <c r="U785">
        <v>39.541499999999999</v>
      </c>
      <c r="V785">
        <v>5.6</v>
      </c>
    </row>
    <row r="786" spans="1:22" x14ac:dyDescent="0.2">
      <c r="A786" t="s">
        <v>817</v>
      </c>
      <c r="B786" s="1">
        <v>43515</v>
      </c>
      <c r="C786" s="2">
        <v>0.80833333333333335</v>
      </c>
      <c r="D786" s="2" t="str">
        <f>IF(Table1[[#This Row],[Time]]&lt;$D$1,$C$1,IF(Table1[[#This Row],[Time]]&lt;$D$2,$C$2,$C$3))</f>
        <v>Evening</v>
      </c>
      <c r="E786">
        <f>MONTH(Table1[[#This Row],[Date]])</f>
        <v>2</v>
      </c>
      <c r="F786" t="str">
        <f>VLOOKUP(Table1[[#This Row],[Month]],dctMonth[],2,FALSE)</f>
        <v>February</v>
      </c>
      <c r="G786" t="s">
        <v>26</v>
      </c>
      <c r="H786" t="s">
        <v>27</v>
      </c>
      <c r="I786" t="s">
        <v>28</v>
      </c>
      <c r="J786" t="s">
        <v>32</v>
      </c>
      <c r="K786">
        <v>25</v>
      </c>
      <c r="L786" t="str">
        <f>IF(Table1[[#This Row],[Age]]&lt;20,"&lt;20",IF(Table1[[#This Row],[Age]]&lt;=70,"20-70","&gt;70"))</f>
        <v>20-70</v>
      </c>
      <c r="M786" t="s">
        <v>23</v>
      </c>
      <c r="N786" t="s">
        <v>30</v>
      </c>
      <c r="O786">
        <v>21.8</v>
      </c>
      <c r="P786">
        <v>8</v>
      </c>
      <c r="Q786">
        <v>8.7200000000000006</v>
      </c>
      <c r="R786">
        <v>183.12</v>
      </c>
      <c r="S786">
        <v>174.4</v>
      </c>
      <c r="T786">
        <v>4.7619047620000003</v>
      </c>
      <c r="U786">
        <v>8.7200000000000006</v>
      </c>
      <c r="V786">
        <v>8.3000000000000007</v>
      </c>
    </row>
    <row r="787" spans="1:22" x14ac:dyDescent="0.2">
      <c r="A787" t="s">
        <v>818</v>
      </c>
      <c r="B787" s="1">
        <v>43507</v>
      </c>
      <c r="C787" s="2">
        <v>0.67083333333333328</v>
      </c>
      <c r="D787" s="2" t="str">
        <f>IF(Table1[[#This Row],[Time]]&lt;$D$1,$C$1,IF(Table1[[#This Row],[Time]]&lt;$D$2,$C$2,$C$3))</f>
        <v>Afternoon</v>
      </c>
      <c r="E787">
        <f>MONTH(Table1[[#This Row],[Date]])</f>
        <v>2</v>
      </c>
      <c r="F787" t="str">
        <f>VLOOKUP(Table1[[#This Row],[Month]],dctMonth[],2,FALSE)</f>
        <v>February</v>
      </c>
      <c r="G787" t="s">
        <v>19</v>
      </c>
      <c r="H787" t="s">
        <v>20</v>
      </c>
      <c r="I787" t="s">
        <v>28</v>
      </c>
      <c r="J787" t="s">
        <v>22</v>
      </c>
      <c r="K787">
        <v>30</v>
      </c>
      <c r="L787" t="str">
        <f>IF(Table1[[#This Row],[Age]]&lt;20,"&lt;20",IF(Table1[[#This Row],[Age]]&lt;=70,"20-70","&gt;70"))</f>
        <v>20-70</v>
      </c>
      <c r="M787" t="s">
        <v>37</v>
      </c>
      <c r="N787" t="s">
        <v>24</v>
      </c>
      <c r="O787">
        <v>94.76</v>
      </c>
      <c r="P787">
        <v>4</v>
      </c>
      <c r="Q787">
        <v>18.952000000000002</v>
      </c>
      <c r="R787">
        <v>397.99200000000002</v>
      </c>
      <c r="S787">
        <v>379.04</v>
      </c>
      <c r="T787">
        <v>4.7619047620000003</v>
      </c>
      <c r="U787">
        <v>18.952000000000002</v>
      </c>
      <c r="V787">
        <v>7.8</v>
      </c>
    </row>
    <row r="788" spans="1:22" x14ac:dyDescent="0.2">
      <c r="A788" t="s">
        <v>819</v>
      </c>
      <c r="B788" s="1">
        <v>43501</v>
      </c>
      <c r="C788" s="2">
        <v>0.59305555555555556</v>
      </c>
      <c r="D788" s="2" t="str">
        <f>IF(Table1[[#This Row],[Time]]&lt;$D$1,$C$1,IF(Table1[[#This Row],[Time]]&lt;$D$2,$C$2,$C$3))</f>
        <v>Afternoon</v>
      </c>
      <c r="E788">
        <f>MONTH(Table1[[#This Row],[Date]])</f>
        <v>2</v>
      </c>
      <c r="F788" t="str">
        <f>VLOOKUP(Table1[[#This Row],[Month]],dctMonth[],2,FALSE)</f>
        <v>February</v>
      </c>
      <c r="G788" t="s">
        <v>19</v>
      </c>
      <c r="H788" t="s">
        <v>20</v>
      </c>
      <c r="I788" t="s">
        <v>21</v>
      </c>
      <c r="J788" t="s">
        <v>22</v>
      </c>
      <c r="K788">
        <v>74</v>
      </c>
      <c r="L788" t="str">
        <f>IF(Table1[[#This Row],[Age]]&lt;20,"&lt;20",IF(Table1[[#This Row],[Age]]&lt;=70,"20-70","&gt;70"))</f>
        <v>&gt;70</v>
      </c>
      <c r="M788" t="s">
        <v>47</v>
      </c>
      <c r="N788" t="s">
        <v>34</v>
      </c>
      <c r="O788">
        <v>30.62</v>
      </c>
      <c r="P788">
        <v>1</v>
      </c>
      <c r="Q788">
        <v>1.5309999999999999</v>
      </c>
      <c r="R788">
        <v>32.151000000000003</v>
      </c>
      <c r="S788">
        <v>30.62</v>
      </c>
      <c r="T788">
        <v>4.7619047620000003</v>
      </c>
      <c r="U788">
        <v>1.5309999999999999</v>
      </c>
      <c r="V788">
        <v>4.0999999999999996</v>
      </c>
    </row>
    <row r="789" spans="1:22" x14ac:dyDescent="0.2">
      <c r="A789" t="s">
        <v>820</v>
      </c>
      <c r="B789" s="1">
        <v>43527</v>
      </c>
      <c r="C789" s="2">
        <v>0.73333333333333328</v>
      </c>
      <c r="D789" s="2" t="str">
        <f>IF(Table1[[#This Row],[Time]]&lt;$D$1,$C$1,IF(Table1[[#This Row],[Time]]&lt;$D$2,$C$2,$C$3))</f>
        <v>Evening</v>
      </c>
      <c r="E789">
        <f>MONTH(Table1[[#This Row],[Date]])</f>
        <v>3</v>
      </c>
      <c r="F789" t="str">
        <f>VLOOKUP(Table1[[#This Row],[Month]],dctMonth[],2,FALSE)</f>
        <v>March</v>
      </c>
      <c r="G789" t="s">
        <v>26</v>
      </c>
      <c r="H789" t="s">
        <v>27</v>
      </c>
      <c r="I789" t="s">
        <v>28</v>
      </c>
      <c r="J789" t="s">
        <v>22</v>
      </c>
      <c r="K789">
        <v>83</v>
      </c>
      <c r="L789" t="str">
        <f>IF(Table1[[#This Row],[Age]]&lt;20,"&lt;20",IF(Table1[[#This Row],[Age]]&lt;=70,"20-70","&gt;70"))</f>
        <v>&gt;70</v>
      </c>
      <c r="M789" t="s">
        <v>33</v>
      </c>
      <c r="N789" t="s">
        <v>30</v>
      </c>
      <c r="O789">
        <v>44.01</v>
      </c>
      <c r="P789">
        <v>8</v>
      </c>
      <c r="Q789">
        <v>17.603999999999999</v>
      </c>
      <c r="R789">
        <v>369.68400000000003</v>
      </c>
      <c r="S789">
        <v>352.08</v>
      </c>
      <c r="T789">
        <v>4.7619047620000003</v>
      </c>
      <c r="U789">
        <v>17.603999999999999</v>
      </c>
      <c r="V789">
        <v>8.8000000000000007</v>
      </c>
    </row>
    <row r="790" spans="1:22" x14ac:dyDescent="0.2">
      <c r="A790" t="s">
        <v>821</v>
      </c>
      <c r="B790" s="1">
        <v>43520</v>
      </c>
      <c r="C790" s="2">
        <v>0.54722222222222228</v>
      </c>
      <c r="D790" s="2" t="str">
        <f>IF(Table1[[#This Row],[Time]]&lt;$D$1,$C$1,IF(Table1[[#This Row],[Time]]&lt;$D$2,$C$2,$C$3))</f>
        <v>Afternoon</v>
      </c>
      <c r="E790">
        <f>MONTH(Table1[[#This Row],[Date]])</f>
        <v>2</v>
      </c>
      <c r="F790" t="str">
        <f>VLOOKUP(Table1[[#This Row],[Month]],dctMonth[],2,FALSE)</f>
        <v>February</v>
      </c>
      <c r="G790" t="s">
        <v>26</v>
      </c>
      <c r="H790" t="s">
        <v>27</v>
      </c>
      <c r="I790" t="s">
        <v>21</v>
      </c>
      <c r="J790" t="s">
        <v>22</v>
      </c>
      <c r="K790">
        <v>55</v>
      </c>
      <c r="L790" t="str">
        <f>IF(Table1[[#This Row],[Age]]&lt;20,"&lt;20",IF(Table1[[#This Row],[Age]]&lt;=70,"20-70","&gt;70"))</f>
        <v>20-70</v>
      </c>
      <c r="M790" t="s">
        <v>23</v>
      </c>
      <c r="N790" t="s">
        <v>24</v>
      </c>
      <c r="O790">
        <v>10.16</v>
      </c>
      <c r="P790">
        <v>5</v>
      </c>
      <c r="Q790">
        <v>2.54</v>
      </c>
      <c r="R790">
        <v>53.34</v>
      </c>
      <c r="S790">
        <v>50.8</v>
      </c>
      <c r="T790">
        <v>4.7619047620000003</v>
      </c>
      <c r="U790">
        <v>2.54</v>
      </c>
      <c r="V790">
        <v>4.0999999999999996</v>
      </c>
    </row>
    <row r="791" spans="1:22" x14ac:dyDescent="0.2">
      <c r="A791" t="s">
        <v>822</v>
      </c>
      <c r="B791" s="1">
        <v>43500</v>
      </c>
      <c r="C791" s="2">
        <v>0.67291666666666672</v>
      </c>
      <c r="D791" s="2" t="str">
        <f>IF(Table1[[#This Row],[Time]]&lt;$D$1,$C$1,IF(Table1[[#This Row],[Time]]&lt;$D$2,$C$2,$C$3))</f>
        <v>Afternoon</v>
      </c>
      <c r="E791">
        <f>MONTH(Table1[[#This Row],[Date]])</f>
        <v>2</v>
      </c>
      <c r="F791" t="str">
        <f>VLOOKUP(Table1[[#This Row],[Month]],dctMonth[],2,FALSE)</f>
        <v>February</v>
      </c>
      <c r="G791" t="s">
        <v>19</v>
      </c>
      <c r="H791" t="s">
        <v>20</v>
      </c>
      <c r="I791" t="s">
        <v>28</v>
      </c>
      <c r="J791" t="s">
        <v>32</v>
      </c>
      <c r="K791">
        <v>21</v>
      </c>
      <c r="L791" t="str">
        <f>IF(Table1[[#This Row],[Age]]&lt;20,"&lt;20",IF(Table1[[#This Row],[Age]]&lt;=70,"20-70","&gt;70"))</f>
        <v>20-70</v>
      </c>
      <c r="M791" t="s">
        <v>29</v>
      </c>
      <c r="N791" t="s">
        <v>34</v>
      </c>
      <c r="O791">
        <v>74.58</v>
      </c>
      <c r="P791">
        <v>7</v>
      </c>
      <c r="Q791">
        <v>26.103000000000002</v>
      </c>
      <c r="R791">
        <v>548.16300000000001</v>
      </c>
      <c r="S791">
        <v>522.05999999999995</v>
      </c>
      <c r="T791">
        <v>4.7619047620000003</v>
      </c>
      <c r="U791">
        <v>26.103000000000002</v>
      </c>
      <c r="V791">
        <v>9</v>
      </c>
    </row>
    <row r="792" spans="1:22" x14ac:dyDescent="0.2">
      <c r="A792" t="s">
        <v>823</v>
      </c>
      <c r="B792" s="1">
        <v>43515</v>
      </c>
      <c r="C792" s="2">
        <v>0.48125000000000001</v>
      </c>
      <c r="D792" s="2" t="str">
        <f>IF(Table1[[#This Row],[Time]]&lt;$D$1,$C$1,IF(Table1[[#This Row],[Time]]&lt;$D$2,$C$2,$C$3))</f>
        <v>Morning</v>
      </c>
      <c r="E792">
        <f>MONTH(Table1[[#This Row],[Date]])</f>
        <v>2</v>
      </c>
      <c r="F792" t="str">
        <f>VLOOKUP(Table1[[#This Row],[Month]],dctMonth[],2,FALSE)</f>
        <v>February</v>
      </c>
      <c r="G792" t="s">
        <v>26</v>
      </c>
      <c r="H792" t="s">
        <v>27</v>
      </c>
      <c r="I792" t="s">
        <v>28</v>
      </c>
      <c r="J792" t="s">
        <v>32</v>
      </c>
      <c r="K792">
        <v>81</v>
      </c>
      <c r="L792" t="str">
        <f>IF(Table1[[#This Row],[Age]]&lt;20,"&lt;20",IF(Table1[[#This Row],[Age]]&lt;=70,"20-70","&gt;70"))</f>
        <v>&gt;70</v>
      </c>
      <c r="M792" t="s">
        <v>29</v>
      </c>
      <c r="N792" t="s">
        <v>24</v>
      </c>
      <c r="O792">
        <v>71.89</v>
      </c>
      <c r="P792">
        <v>8</v>
      </c>
      <c r="Q792">
        <v>28.756</v>
      </c>
      <c r="R792">
        <v>603.87599999999998</v>
      </c>
      <c r="S792">
        <v>575.12</v>
      </c>
      <c r="T792">
        <v>4.7619047620000003</v>
      </c>
      <c r="U792">
        <v>28.756</v>
      </c>
      <c r="V792">
        <v>5.5</v>
      </c>
    </row>
    <row r="793" spans="1:22" x14ac:dyDescent="0.2">
      <c r="A793" t="s">
        <v>824</v>
      </c>
      <c r="B793" s="1">
        <v>43488</v>
      </c>
      <c r="C793" s="2">
        <v>0.42916666666666664</v>
      </c>
      <c r="D793" s="2" t="str">
        <f>IF(Table1[[#This Row],[Time]]&lt;$D$1,$C$1,IF(Table1[[#This Row],[Time]]&lt;$D$2,$C$2,$C$3))</f>
        <v>Morning</v>
      </c>
      <c r="E793">
        <f>MONTH(Table1[[#This Row],[Date]])</f>
        <v>1</v>
      </c>
      <c r="F793" t="str">
        <f>VLOOKUP(Table1[[#This Row],[Month]],dctMonth[],2,FALSE)</f>
        <v>January</v>
      </c>
      <c r="G793" t="s">
        <v>26</v>
      </c>
      <c r="H793" t="s">
        <v>27</v>
      </c>
      <c r="I793" t="s">
        <v>28</v>
      </c>
      <c r="J793" t="s">
        <v>22</v>
      </c>
      <c r="K793">
        <v>72</v>
      </c>
      <c r="L793" t="str">
        <f>IF(Table1[[#This Row],[Age]]&lt;20,"&lt;20",IF(Table1[[#This Row],[Age]]&lt;=70,"20-70","&gt;70"))</f>
        <v>&gt;70</v>
      </c>
      <c r="M793" t="s">
        <v>23</v>
      </c>
      <c r="N793" t="s">
        <v>34</v>
      </c>
      <c r="O793">
        <v>10.99</v>
      </c>
      <c r="P793">
        <v>5</v>
      </c>
      <c r="Q793">
        <v>2.7475000000000001</v>
      </c>
      <c r="R793">
        <v>57.697499999999998</v>
      </c>
      <c r="S793">
        <v>54.95</v>
      </c>
      <c r="T793">
        <v>4.7619047620000003</v>
      </c>
      <c r="U793">
        <v>2.7475000000000001</v>
      </c>
      <c r="V793">
        <v>9.3000000000000007</v>
      </c>
    </row>
    <row r="794" spans="1:22" x14ac:dyDescent="0.2">
      <c r="A794" t="s">
        <v>825</v>
      </c>
      <c r="B794" s="1">
        <v>43479</v>
      </c>
      <c r="C794" s="2">
        <v>0.4548611111111111</v>
      </c>
      <c r="D794" s="2" t="str">
        <f>IF(Table1[[#This Row],[Time]]&lt;$D$1,$C$1,IF(Table1[[#This Row],[Time]]&lt;$D$2,$C$2,$C$3))</f>
        <v>Morning</v>
      </c>
      <c r="E794">
        <f>MONTH(Table1[[#This Row],[Date]])</f>
        <v>1</v>
      </c>
      <c r="F794" t="str">
        <f>VLOOKUP(Table1[[#This Row],[Month]],dctMonth[],2,FALSE)</f>
        <v>January</v>
      </c>
      <c r="G794" t="s">
        <v>26</v>
      </c>
      <c r="H794" t="s">
        <v>27</v>
      </c>
      <c r="I794" t="s">
        <v>21</v>
      </c>
      <c r="J794" t="s">
        <v>32</v>
      </c>
      <c r="K794">
        <v>36</v>
      </c>
      <c r="L794" t="str">
        <f>IF(Table1[[#This Row],[Age]]&lt;20,"&lt;20",IF(Table1[[#This Row],[Age]]&lt;=70,"20-70","&gt;70"))</f>
        <v>20-70</v>
      </c>
      <c r="M794" t="s">
        <v>23</v>
      </c>
      <c r="N794" t="s">
        <v>34</v>
      </c>
      <c r="O794">
        <v>60.47</v>
      </c>
      <c r="P794">
        <v>3</v>
      </c>
      <c r="Q794">
        <v>9.0704999999999991</v>
      </c>
      <c r="R794">
        <v>190.48050000000001</v>
      </c>
      <c r="S794">
        <v>181.41</v>
      </c>
      <c r="T794">
        <v>4.7619047620000003</v>
      </c>
      <c r="U794">
        <v>9.0704999999999991</v>
      </c>
      <c r="V794">
        <v>5.6</v>
      </c>
    </row>
    <row r="795" spans="1:22" x14ac:dyDescent="0.2">
      <c r="A795" t="s">
        <v>826</v>
      </c>
      <c r="B795" s="1">
        <v>43482</v>
      </c>
      <c r="C795" s="2">
        <v>0.63541666666666663</v>
      </c>
      <c r="D795" s="2" t="str">
        <f>IF(Table1[[#This Row],[Time]]&lt;$D$1,$C$1,IF(Table1[[#This Row],[Time]]&lt;$D$2,$C$2,$C$3))</f>
        <v>Afternoon</v>
      </c>
      <c r="E795">
        <f>MONTH(Table1[[#This Row],[Date]])</f>
        <v>1</v>
      </c>
      <c r="F795" t="str">
        <f>VLOOKUP(Table1[[#This Row],[Month]],dctMonth[],2,FALSE)</f>
        <v>January</v>
      </c>
      <c r="G795" t="s">
        <v>19</v>
      </c>
      <c r="H795" t="s">
        <v>20</v>
      </c>
      <c r="I795" t="s">
        <v>28</v>
      </c>
      <c r="J795" t="s">
        <v>32</v>
      </c>
      <c r="K795">
        <v>38</v>
      </c>
      <c r="L795" t="str">
        <f>IF(Table1[[#This Row],[Age]]&lt;20,"&lt;20",IF(Table1[[#This Row],[Age]]&lt;=70,"20-70","&gt;70"))</f>
        <v>20-70</v>
      </c>
      <c r="M795" t="s">
        <v>37</v>
      </c>
      <c r="N795" t="s">
        <v>24</v>
      </c>
      <c r="O795">
        <v>58.91</v>
      </c>
      <c r="P795">
        <v>7</v>
      </c>
      <c r="Q795">
        <v>20.618500000000001</v>
      </c>
      <c r="R795">
        <v>432.98849999999999</v>
      </c>
      <c r="S795">
        <v>412.37</v>
      </c>
      <c r="T795">
        <v>4.7619047620000003</v>
      </c>
      <c r="U795">
        <v>20.618500000000001</v>
      </c>
      <c r="V795">
        <v>9.6999999999999993</v>
      </c>
    </row>
    <row r="796" spans="1:22" x14ac:dyDescent="0.2">
      <c r="A796" t="s">
        <v>827</v>
      </c>
      <c r="B796" s="1">
        <v>43527</v>
      </c>
      <c r="C796" s="2">
        <v>0.83750000000000002</v>
      </c>
      <c r="D796" s="2" t="str">
        <f>IF(Table1[[#This Row],[Time]]&lt;$D$1,$C$1,IF(Table1[[#This Row],[Time]]&lt;$D$2,$C$2,$C$3))</f>
        <v>Evening</v>
      </c>
      <c r="E796">
        <f>MONTH(Table1[[#This Row],[Date]])</f>
        <v>3</v>
      </c>
      <c r="F796" t="str">
        <f>VLOOKUP(Table1[[#This Row],[Month]],dctMonth[],2,FALSE)</f>
        <v>March</v>
      </c>
      <c r="G796" t="s">
        <v>19</v>
      </c>
      <c r="H796" t="s">
        <v>20</v>
      </c>
      <c r="I796" t="s">
        <v>28</v>
      </c>
      <c r="J796" t="s">
        <v>32</v>
      </c>
      <c r="K796">
        <v>41</v>
      </c>
      <c r="L796" t="str">
        <f>IF(Table1[[#This Row],[Age]]&lt;20,"&lt;20",IF(Table1[[#This Row],[Age]]&lt;=70,"20-70","&gt;70"))</f>
        <v>20-70</v>
      </c>
      <c r="M796" t="s">
        <v>47</v>
      </c>
      <c r="N796" t="s">
        <v>34</v>
      </c>
      <c r="O796">
        <v>46.41</v>
      </c>
      <c r="P796">
        <v>1</v>
      </c>
      <c r="Q796">
        <v>2.3205</v>
      </c>
      <c r="R796">
        <v>48.730499999999999</v>
      </c>
      <c r="S796">
        <v>46.41</v>
      </c>
      <c r="T796">
        <v>4.7619047620000003</v>
      </c>
      <c r="U796">
        <v>2.3205</v>
      </c>
      <c r="V796">
        <v>4</v>
      </c>
    </row>
    <row r="797" spans="1:22" x14ac:dyDescent="0.2">
      <c r="A797" t="s">
        <v>828</v>
      </c>
      <c r="B797" s="1">
        <v>43511</v>
      </c>
      <c r="C797" s="2">
        <v>0.84791666666666665</v>
      </c>
      <c r="D797" s="2" t="str">
        <f>IF(Table1[[#This Row],[Time]]&lt;$D$1,$C$1,IF(Table1[[#This Row],[Time]]&lt;$D$2,$C$2,$C$3))</f>
        <v>Evening</v>
      </c>
      <c r="E797">
        <f>MONTH(Table1[[#This Row],[Date]])</f>
        <v>2</v>
      </c>
      <c r="F797" t="str">
        <f>VLOOKUP(Table1[[#This Row],[Month]],dctMonth[],2,FALSE)</f>
        <v>February</v>
      </c>
      <c r="G797" t="s">
        <v>26</v>
      </c>
      <c r="H797" t="s">
        <v>27</v>
      </c>
      <c r="I797" t="s">
        <v>21</v>
      </c>
      <c r="J797" t="s">
        <v>32</v>
      </c>
      <c r="K797">
        <v>17</v>
      </c>
      <c r="L797" t="str">
        <f>IF(Table1[[#This Row],[Age]]&lt;20,"&lt;20",IF(Table1[[#This Row],[Age]]&lt;=70,"20-70","&gt;70"))</f>
        <v>&lt;20</v>
      </c>
      <c r="M797" t="s">
        <v>23</v>
      </c>
      <c r="N797" t="s">
        <v>34</v>
      </c>
      <c r="O797">
        <v>68.55</v>
      </c>
      <c r="P797">
        <v>4</v>
      </c>
      <c r="Q797">
        <v>13.71</v>
      </c>
      <c r="R797">
        <v>287.91000000000003</v>
      </c>
      <c r="S797">
        <v>274.2</v>
      </c>
      <c r="T797">
        <v>4.7619047620000003</v>
      </c>
      <c r="U797">
        <v>13.71</v>
      </c>
      <c r="V797">
        <v>9.1999999999999993</v>
      </c>
    </row>
    <row r="798" spans="1:22" x14ac:dyDescent="0.2">
      <c r="A798" t="s">
        <v>829</v>
      </c>
      <c r="B798" s="1">
        <v>43480</v>
      </c>
      <c r="C798" s="2">
        <v>0.57499999999999996</v>
      </c>
      <c r="D798" s="2" t="str">
        <f>IF(Table1[[#This Row],[Time]]&lt;$D$1,$C$1,IF(Table1[[#This Row],[Time]]&lt;$D$2,$C$2,$C$3))</f>
        <v>Afternoon</v>
      </c>
      <c r="E798">
        <f>MONTH(Table1[[#This Row],[Date]])</f>
        <v>1</v>
      </c>
      <c r="F798" t="str">
        <f>VLOOKUP(Table1[[#This Row],[Month]],dctMonth[],2,FALSE)</f>
        <v>January</v>
      </c>
      <c r="G798" t="s">
        <v>43</v>
      </c>
      <c r="H798" t="s">
        <v>44</v>
      </c>
      <c r="I798" t="s">
        <v>28</v>
      </c>
      <c r="J798" t="s">
        <v>22</v>
      </c>
      <c r="K798">
        <v>21</v>
      </c>
      <c r="L798" t="str">
        <f>IF(Table1[[#This Row],[Age]]&lt;20,"&lt;20",IF(Table1[[#This Row],[Age]]&lt;=70,"20-70","&gt;70"))</f>
        <v>20-70</v>
      </c>
      <c r="M798" t="s">
        <v>33</v>
      </c>
      <c r="N798" t="s">
        <v>34</v>
      </c>
      <c r="O798">
        <v>97.37</v>
      </c>
      <c r="P798">
        <v>10</v>
      </c>
      <c r="Q798">
        <v>48.685000000000002</v>
      </c>
      <c r="R798">
        <v>1022.385</v>
      </c>
      <c r="S798">
        <v>973.7</v>
      </c>
      <c r="T798">
        <v>4.7619047620000003</v>
      </c>
      <c r="U798">
        <v>48.685000000000002</v>
      </c>
      <c r="V798">
        <v>4.9000000000000004</v>
      </c>
    </row>
    <row r="799" spans="1:22" x14ac:dyDescent="0.2">
      <c r="A799" t="s">
        <v>830</v>
      </c>
      <c r="B799" s="1">
        <v>43523</v>
      </c>
      <c r="C799" s="2">
        <v>0.53611111111111109</v>
      </c>
      <c r="D799" s="2" t="str">
        <f>IF(Table1[[#This Row],[Time]]&lt;$D$1,$C$1,IF(Table1[[#This Row],[Time]]&lt;$D$2,$C$2,$C$3))</f>
        <v>Afternoon</v>
      </c>
      <c r="E799">
        <f>MONTH(Table1[[#This Row],[Date]])</f>
        <v>2</v>
      </c>
      <c r="F799" t="str">
        <f>VLOOKUP(Table1[[#This Row],[Month]],dctMonth[],2,FALSE)</f>
        <v>February</v>
      </c>
      <c r="G799" t="s">
        <v>19</v>
      </c>
      <c r="H799" t="s">
        <v>20</v>
      </c>
      <c r="I799" t="s">
        <v>21</v>
      </c>
      <c r="J799" t="s">
        <v>32</v>
      </c>
      <c r="K799">
        <v>55</v>
      </c>
      <c r="L799" t="str">
        <f>IF(Table1[[#This Row],[Age]]&lt;20,"&lt;20",IF(Table1[[#This Row],[Age]]&lt;=70,"20-70","&gt;70"))</f>
        <v>20-70</v>
      </c>
      <c r="M799" t="s">
        <v>29</v>
      </c>
      <c r="N799" t="s">
        <v>34</v>
      </c>
      <c r="O799">
        <v>92.6</v>
      </c>
      <c r="P799">
        <v>7</v>
      </c>
      <c r="Q799">
        <v>32.409999999999997</v>
      </c>
      <c r="R799">
        <v>680.61</v>
      </c>
      <c r="S799">
        <v>648.20000000000005</v>
      </c>
      <c r="T799">
        <v>4.7619047620000003</v>
      </c>
      <c r="U799">
        <v>32.409999999999997</v>
      </c>
      <c r="V799">
        <v>9.3000000000000007</v>
      </c>
    </row>
    <row r="800" spans="1:22" x14ac:dyDescent="0.2">
      <c r="A800" t="s">
        <v>831</v>
      </c>
      <c r="B800" s="1">
        <v>43522</v>
      </c>
      <c r="C800" s="2">
        <v>0.51944444444444449</v>
      </c>
      <c r="D800" s="2" t="str">
        <f>IF(Table1[[#This Row],[Time]]&lt;$D$1,$C$1,IF(Table1[[#This Row],[Time]]&lt;$D$2,$C$2,$C$3))</f>
        <v>Afternoon</v>
      </c>
      <c r="E800">
        <f>MONTH(Table1[[#This Row],[Date]])</f>
        <v>2</v>
      </c>
      <c r="F800" t="str">
        <f>VLOOKUP(Table1[[#This Row],[Month]],dctMonth[],2,FALSE)</f>
        <v>February</v>
      </c>
      <c r="G800" t="s">
        <v>19</v>
      </c>
      <c r="H800" t="s">
        <v>20</v>
      </c>
      <c r="I800" t="s">
        <v>28</v>
      </c>
      <c r="J800" t="s">
        <v>22</v>
      </c>
      <c r="K800">
        <v>42</v>
      </c>
      <c r="L800" t="str">
        <f>IF(Table1[[#This Row],[Age]]&lt;20,"&lt;20",IF(Table1[[#This Row],[Age]]&lt;=70,"20-70","&gt;70"))</f>
        <v>20-70</v>
      </c>
      <c r="M800" t="s">
        <v>29</v>
      </c>
      <c r="N800" t="s">
        <v>34</v>
      </c>
      <c r="O800">
        <v>46.61</v>
      </c>
      <c r="P800">
        <v>2</v>
      </c>
      <c r="Q800">
        <v>4.6609999999999996</v>
      </c>
      <c r="R800">
        <v>97.881</v>
      </c>
      <c r="S800">
        <v>93.22</v>
      </c>
      <c r="T800">
        <v>4.7619047620000003</v>
      </c>
      <c r="U800">
        <v>4.6609999999999996</v>
      </c>
      <c r="V800">
        <v>6.6</v>
      </c>
    </row>
    <row r="801" spans="1:22" x14ac:dyDescent="0.2">
      <c r="A801" t="s">
        <v>832</v>
      </c>
      <c r="B801" s="1">
        <v>43539</v>
      </c>
      <c r="C801" s="2">
        <v>0.68472222222222223</v>
      </c>
      <c r="D801" s="2" t="str">
        <f>IF(Table1[[#This Row],[Time]]&lt;$D$1,$C$1,IF(Table1[[#This Row],[Time]]&lt;$D$2,$C$2,$C$3))</f>
        <v>Afternoon</v>
      </c>
      <c r="E801">
        <f>MONTH(Table1[[#This Row],[Date]])</f>
        <v>3</v>
      </c>
      <c r="F801" t="str">
        <f>VLOOKUP(Table1[[#This Row],[Month]],dctMonth[],2,FALSE)</f>
        <v>March</v>
      </c>
      <c r="G801" t="s">
        <v>43</v>
      </c>
      <c r="H801" t="s">
        <v>44</v>
      </c>
      <c r="I801" t="s">
        <v>28</v>
      </c>
      <c r="J801" t="s">
        <v>32</v>
      </c>
      <c r="K801">
        <v>71</v>
      </c>
      <c r="L801" t="str">
        <f>IF(Table1[[#This Row],[Age]]&lt;20,"&lt;20",IF(Table1[[#This Row],[Age]]&lt;=70,"20-70","&gt;70"))</f>
        <v>&gt;70</v>
      </c>
      <c r="M801" t="s">
        <v>47</v>
      </c>
      <c r="N801" t="s">
        <v>24</v>
      </c>
      <c r="O801">
        <v>27.18</v>
      </c>
      <c r="P801">
        <v>2</v>
      </c>
      <c r="Q801">
        <v>2.718</v>
      </c>
      <c r="R801">
        <v>57.078000000000003</v>
      </c>
      <c r="S801">
        <v>54.36</v>
      </c>
      <c r="T801">
        <v>4.7619047620000003</v>
      </c>
      <c r="U801">
        <v>2.718</v>
      </c>
      <c r="V801">
        <v>4.3</v>
      </c>
    </row>
    <row r="802" spans="1:22" x14ac:dyDescent="0.2">
      <c r="A802" t="s">
        <v>833</v>
      </c>
      <c r="B802" s="1">
        <v>43489</v>
      </c>
      <c r="C802" s="2">
        <v>0.55833333333333335</v>
      </c>
      <c r="D802" s="2" t="str">
        <f>IF(Table1[[#This Row],[Time]]&lt;$D$1,$C$1,IF(Table1[[#This Row],[Time]]&lt;$D$2,$C$2,$C$3))</f>
        <v>Afternoon</v>
      </c>
      <c r="E802">
        <f>MONTH(Table1[[#This Row],[Date]])</f>
        <v>1</v>
      </c>
      <c r="F802" t="str">
        <f>VLOOKUP(Table1[[#This Row],[Month]],dctMonth[],2,FALSE)</f>
        <v>January</v>
      </c>
      <c r="G802" t="s">
        <v>26</v>
      </c>
      <c r="H802" t="s">
        <v>27</v>
      </c>
      <c r="I802" t="s">
        <v>21</v>
      </c>
      <c r="J802" t="s">
        <v>22</v>
      </c>
      <c r="K802">
        <v>27</v>
      </c>
      <c r="L802" t="str">
        <f>IF(Table1[[#This Row],[Age]]&lt;20,"&lt;20",IF(Table1[[#This Row],[Age]]&lt;=70,"20-70","&gt;70"))</f>
        <v>20-70</v>
      </c>
      <c r="M802" t="s">
        <v>33</v>
      </c>
      <c r="N802" t="s">
        <v>30</v>
      </c>
      <c r="O802">
        <v>60.87</v>
      </c>
      <c r="P802">
        <v>1</v>
      </c>
      <c r="Q802">
        <v>3.0434999999999999</v>
      </c>
      <c r="R802">
        <v>63.913499999999999</v>
      </c>
      <c r="S802">
        <v>60.87</v>
      </c>
      <c r="T802">
        <v>4.7619047620000003</v>
      </c>
      <c r="U802">
        <v>3.0434999999999999</v>
      </c>
      <c r="V802">
        <v>5.5</v>
      </c>
    </row>
    <row r="803" spans="1:22" x14ac:dyDescent="0.2">
      <c r="A803" t="s">
        <v>834</v>
      </c>
      <c r="B803" s="1">
        <v>43518</v>
      </c>
      <c r="C803" s="2">
        <v>0.63541666666666663</v>
      </c>
      <c r="D803" s="2" t="str">
        <f>IF(Table1[[#This Row],[Time]]&lt;$D$1,$C$1,IF(Table1[[#This Row],[Time]]&lt;$D$2,$C$2,$C$3))</f>
        <v>Afternoon</v>
      </c>
      <c r="E803">
        <f>MONTH(Table1[[#This Row],[Date]])</f>
        <v>2</v>
      </c>
      <c r="F803" t="str">
        <f>VLOOKUP(Table1[[#This Row],[Month]],dctMonth[],2,FALSE)</f>
        <v>February</v>
      </c>
      <c r="G803" t="s">
        <v>19</v>
      </c>
      <c r="H803" t="s">
        <v>20</v>
      </c>
      <c r="I803" t="s">
        <v>21</v>
      </c>
      <c r="J803" t="s">
        <v>22</v>
      </c>
      <c r="K803">
        <v>66</v>
      </c>
      <c r="L803" t="str">
        <f>IF(Table1[[#This Row],[Age]]&lt;20,"&lt;20",IF(Table1[[#This Row],[Age]]&lt;=70,"20-70","&gt;70"))</f>
        <v>20-70</v>
      </c>
      <c r="M803" t="s">
        <v>37</v>
      </c>
      <c r="N803" t="s">
        <v>30</v>
      </c>
      <c r="O803">
        <v>24.49</v>
      </c>
      <c r="P803">
        <v>10</v>
      </c>
      <c r="Q803">
        <v>12.244999999999999</v>
      </c>
      <c r="R803">
        <v>257.14499999999998</v>
      </c>
      <c r="S803">
        <v>244.9</v>
      </c>
      <c r="T803">
        <v>4.7619047620000003</v>
      </c>
      <c r="U803">
        <v>12.244999999999999</v>
      </c>
      <c r="V803">
        <v>8.1</v>
      </c>
    </row>
    <row r="804" spans="1:22" x14ac:dyDescent="0.2">
      <c r="A804" t="s">
        <v>835</v>
      </c>
      <c r="B804" s="1">
        <v>43539</v>
      </c>
      <c r="C804" s="2">
        <v>0.4513888888888889</v>
      </c>
      <c r="D804" s="2" t="str">
        <f>IF(Table1[[#This Row],[Time]]&lt;$D$1,$C$1,IF(Table1[[#This Row],[Time]]&lt;$D$2,$C$2,$C$3))</f>
        <v>Morning</v>
      </c>
      <c r="E804">
        <f>MONTH(Table1[[#This Row],[Date]])</f>
        <v>3</v>
      </c>
      <c r="F804" t="str">
        <f>VLOOKUP(Table1[[#This Row],[Month]],dctMonth[],2,FALSE)</f>
        <v>March</v>
      </c>
      <c r="G804" t="s">
        <v>43</v>
      </c>
      <c r="H804" t="s">
        <v>44</v>
      </c>
      <c r="I804" t="s">
        <v>28</v>
      </c>
      <c r="J804" t="s">
        <v>32</v>
      </c>
      <c r="K804">
        <v>62</v>
      </c>
      <c r="L804" t="str">
        <f>IF(Table1[[#This Row],[Age]]&lt;20,"&lt;20",IF(Table1[[#This Row],[Age]]&lt;=70,"20-70","&gt;70"))</f>
        <v>20-70</v>
      </c>
      <c r="M804" t="s">
        <v>23</v>
      </c>
      <c r="N804" t="s">
        <v>34</v>
      </c>
      <c r="O804">
        <v>92.78</v>
      </c>
      <c r="P804">
        <v>1</v>
      </c>
      <c r="Q804">
        <v>4.6390000000000002</v>
      </c>
      <c r="R804">
        <v>97.418999999999997</v>
      </c>
      <c r="S804">
        <v>92.78</v>
      </c>
      <c r="T804">
        <v>4.7619047620000003</v>
      </c>
      <c r="U804">
        <v>4.6390000000000002</v>
      </c>
      <c r="V804">
        <v>9.8000000000000007</v>
      </c>
    </row>
    <row r="805" spans="1:22" x14ac:dyDescent="0.2">
      <c r="A805" t="s">
        <v>836</v>
      </c>
      <c r="B805" s="1">
        <v>43507</v>
      </c>
      <c r="C805" s="2">
        <v>0.77638888888888891</v>
      </c>
      <c r="D805" s="2" t="str">
        <f>IF(Table1[[#This Row],[Time]]&lt;$D$1,$C$1,IF(Table1[[#This Row],[Time]]&lt;$D$2,$C$2,$C$3))</f>
        <v>Evening</v>
      </c>
      <c r="E805">
        <f>MONTH(Table1[[#This Row],[Date]])</f>
        <v>2</v>
      </c>
      <c r="F805" t="str">
        <f>VLOOKUP(Table1[[#This Row],[Month]],dctMonth[],2,FALSE)</f>
        <v>February</v>
      </c>
      <c r="G805" t="s">
        <v>26</v>
      </c>
      <c r="H805" t="s">
        <v>27</v>
      </c>
      <c r="I805" t="s">
        <v>21</v>
      </c>
      <c r="J805" t="s">
        <v>32</v>
      </c>
      <c r="K805">
        <v>49</v>
      </c>
      <c r="L805" t="str">
        <f>IF(Table1[[#This Row],[Age]]&lt;20,"&lt;20",IF(Table1[[#This Row],[Age]]&lt;=70,"20-70","&gt;70"))</f>
        <v>20-70</v>
      </c>
      <c r="M805" t="s">
        <v>33</v>
      </c>
      <c r="N805" t="s">
        <v>24</v>
      </c>
      <c r="O805">
        <v>86.69</v>
      </c>
      <c r="P805">
        <v>5</v>
      </c>
      <c r="Q805">
        <v>21.672499999999999</v>
      </c>
      <c r="R805">
        <v>455.1225</v>
      </c>
      <c r="S805">
        <v>433.45</v>
      </c>
      <c r="T805">
        <v>4.7619047620000003</v>
      </c>
      <c r="U805">
        <v>21.672499999999999</v>
      </c>
      <c r="V805">
        <v>9.4</v>
      </c>
    </row>
    <row r="806" spans="1:22" x14ac:dyDescent="0.2">
      <c r="A806" t="s">
        <v>837</v>
      </c>
      <c r="B806" s="1">
        <v>43477</v>
      </c>
      <c r="C806" s="2">
        <v>0.69791666666666663</v>
      </c>
      <c r="D806" s="2" t="str">
        <f>IF(Table1[[#This Row],[Time]]&lt;$D$1,$C$1,IF(Table1[[#This Row],[Time]]&lt;$D$2,$C$2,$C$3))</f>
        <v>Afternoon</v>
      </c>
      <c r="E806">
        <f>MONTH(Table1[[#This Row],[Date]])</f>
        <v>1</v>
      </c>
      <c r="F806" t="str">
        <f>VLOOKUP(Table1[[#This Row],[Month]],dctMonth[],2,FALSE)</f>
        <v>January</v>
      </c>
      <c r="G806" t="s">
        <v>43</v>
      </c>
      <c r="H806" t="s">
        <v>44</v>
      </c>
      <c r="I806" t="s">
        <v>28</v>
      </c>
      <c r="J806" t="s">
        <v>32</v>
      </c>
      <c r="K806">
        <v>44</v>
      </c>
      <c r="L806" t="str">
        <f>IF(Table1[[#This Row],[Age]]&lt;20,"&lt;20",IF(Table1[[#This Row],[Age]]&lt;=70,"20-70","&gt;70"))</f>
        <v>20-70</v>
      </c>
      <c r="M806" t="s">
        <v>37</v>
      </c>
      <c r="N806" t="s">
        <v>24</v>
      </c>
      <c r="O806">
        <v>23.01</v>
      </c>
      <c r="P806">
        <v>6</v>
      </c>
      <c r="Q806">
        <v>6.9029999999999996</v>
      </c>
      <c r="R806">
        <v>144.96299999999999</v>
      </c>
      <c r="S806">
        <v>138.06</v>
      </c>
      <c r="T806">
        <v>4.7619047620000003</v>
      </c>
      <c r="U806">
        <v>6.9029999999999996</v>
      </c>
      <c r="V806">
        <v>7.9</v>
      </c>
    </row>
    <row r="807" spans="1:22" x14ac:dyDescent="0.2">
      <c r="A807" t="s">
        <v>838</v>
      </c>
      <c r="B807" s="1">
        <v>43527</v>
      </c>
      <c r="C807" s="2">
        <v>0.8125</v>
      </c>
      <c r="D807" s="2" t="str">
        <f>IF(Table1[[#This Row],[Time]]&lt;$D$1,$C$1,IF(Table1[[#This Row],[Time]]&lt;$D$2,$C$2,$C$3))</f>
        <v>Evening</v>
      </c>
      <c r="E807">
        <f>MONTH(Table1[[#This Row],[Date]])</f>
        <v>3</v>
      </c>
      <c r="F807" t="str">
        <f>VLOOKUP(Table1[[#This Row],[Month]],dctMonth[],2,FALSE)</f>
        <v>March</v>
      </c>
      <c r="G807" t="s">
        <v>26</v>
      </c>
      <c r="H807" t="s">
        <v>27</v>
      </c>
      <c r="I807" t="s">
        <v>21</v>
      </c>
      <c r="J807" t="s">
        <v>22</v>
      </c>
      <c r="K807">
        <v>69</v>
      </c>
      <c r="L807" t="str">
        <f>IF(Table1[[#This Row],[Age]]&lt;20,"&lt;20",IF(Table1[[#This Row],[Age]]&lt;=70,"20-70","&gt;70"))</f>
        <v>20-70</v>
      </c>
      <c r="M807" t="s">
        <v>29</v>
      </c>
      <c r="N807" t="s">
        <v>24</v>
      </c>
      <c r="O807">
        <v>30.2</v>
      </c>
      <c r="P807">
        <v>8</v>
      </c>
      <c r="Q807">
        <v>12.08</v>
      </c>
      <c r="R807">
        <v>253.68</v>
      </c>
      <c r="S807">
        <v>241.6</v>
      </c>
      <c r="T807">
        <v>4.7619047620000003</v>
      </c>
      <c r="U807">
        <v>12.08</v>
      </c>
      <c r="V807">
        <v>5.0999999999999996</v>
      </c>
    </row>
    <row r="808" spans="1:22" x14ac:dyDescent="0.2">
      <c r="A808" t="s">
        <v>839</v>
      </c>
      <c r="B808" s="1">
        <v>43547</v>
      </c>
      <c r="C808" s="2">
        <v>0.55763888888888891</v>
      </c>
      <c r="D808" s="2" t="str">
        <f>IF(Table1[[#This Row],[Time]]&lt;$D$1,$C$1,IF(Table1[[#This Row],[Time]]&lt;$D$2,$C$2,$C$3))</f>
        <v>Afternoon</v>
      </c>
      <c r="E808">
        <f>MONTH(Table1[[#This Row],[Date]])</f>
        <v>3</v>
      </c>
      <c r="F808" t="str">
        <f>VLOOKUP(Table1[[#This Row],[Month]],dctMonth[],2,FALSE)</f>
        <v>March</v>
      </c>
      <c r="G808" t="s">
        <v>26</v>
      </c>
      <c r="H808" t="s">
        <v>27</v>
      </c>
      <c r="I808" t="s">
        <v>21</v>
      </c>
      <c r="J808" t="s">
        <v>32</v>
      </c>
      <c r="K808">
        <v>38</v>
      </c>
      <c r="L808" t="str">
        <f>IF(Table1[[#This Row],[Age]]&lt;20,"&lt;20",IF(Table1[[#This Row],[Age]]&lt;=70,"20-70","&gt;70"))</f>
        <v>20-70</v>
      </c>
      <c r="M808" t="s">
        <v>47</v>
      </c>
      <c r="N808" t="s">
        <v>24</v>
      </c>
      <c r="O808">
        <v>67.39</v>
      </c>
      <c r="P808">
        <v>7</v>
      </c>
      <c r="Q808">
        <v>23.586500000000001</v>
      </c>
      <c r="R808">
        <v>495.31650000000002</v>
      </c>
      <c r="S808">
        <v>471.73</v>
      </c>
      <c r="T808">
        <v>4.7619047620000003</v>
      </c>
      <c r="U808">
        <v>23.586500000000001</v>
      </c>
      <c r="V808">
        <v>6.9</v>
      </c>
    </row>
    <row r="809" spans="1:22" x14ac:dyDescent="0.2">
      <c r="A809" t="s">
        <v>840</v>
      </c>
      <c r="B809" s="1">
        <v>43528</v>
      </c>
      <c r="C809" s="2">
        <v>0.47708333333333336</v>
      </c>
      <c r="D809" s="2" t="str">
        <f>IF(Table1[[#This Row],[Time]]&lt;$D$1,$C$1,IF(Table1[[#This Row],[Time]]&lt;$D$2,$C$2,$C$3))</f>
        <v>Morning</v>
      </c>
      <c r="E809">
        <f>MONTH(Table1[[#This Row],[Date]])</f>
        <v>3</v>
      </c>
      <c r="F809" t="str">
        <f>VLOOKUP(Table1[[#This Row],[Month]],dctMonth[],2,FALSE)</f>
        <v>March</v>
      </c>
      <c r="G809" t="s">
        <v>19</v>
      </c>
      <c r="H809" t="s">
        <v>20</v>
      </c>
      <c r="I809" t="s">
        <v>21</v>
      </c>
      <c r="J809" t="s">
        <v>22</v>
      </c>
      <c r="K809">
        <v>84</v>
      </c>
      <c r="L809" t="str">
        <f>IF(Table1[[#This Row],[Age]]&lt;20,"&lt;20",IF(Table1[[#This Row],[Age]]&lt;=70,"20-70","&gt;70"))</f>
        <v>&gt;70</v>
      </c>
      <c r="M809" t="s">
        <v>47</v>
      </c>
      <c r="N809" t="s">
        <v>30</v>
      </c>
      <c r="O809">
        <v>48.96</v>
      </c>
      <c r="P809">
        <v>9</v>
      </c>
      <c r="Q809">
        <v>22.032</v>
      </c>
      <c r="R809">
        <v>462.67200000000003</v>
      </c>
      <c r="S809">
        <v>440.64</v>
      </c>
      <c r="T809">
        <v>4.7619047620000003</v>
      </c>
      <c r="U809">
        <v>22.032</v>
      </c>
      <c r="V809">
        <v>8</v>
      </c>
    </row>
    <row r="810" spans="1:22" x14ac:dyDescent="0.2">
      <c r="A810" t="s">
        <v>841</v>
      </c>
      <c r="B810" s="1">
        <v>43519</v>
      </c>
      <c r="C810" s="2">
        <v>0.46666666666666667</v>
      </c>
      <c r="D810" s="2" t="str">
        <f>IF(Table1[[#This Row],[Time]]&lt;$D$1,$C$1,IF(Table1[[#This Row],[Time]]&lt;$D$2,$C$2,$C$3))</f>
        <v>Morning</v>
      </c>
      <c r="E810">
        <f>MONTH(Table1[[#This Row],[Date]])</f>
        <v>2</v>
      </c>
      <c r="F810" t="str">
        <f>VLOOKUP(Table1[[#This Row],[Month]],dctMonth[],2,FALSE)</f>
        <v>February</v>
      </c>
      <c r="G810" t="s">
        <v>43</v>
      </c>
      <c r="H810" t="s">
        <v>44</v>
      </c>
      <c r="I810" t="s">
        <v>21</v>
      </c>
      <c r="J810" t="s">
        <v>22</v>
      </c>
      <c r="K810">
        <v>82</v>
      </c>
      <c r="L810" t="str">
        <f>IF(Table1[[#This Row],[Age]]&lt;20,"&lt;20",IF(Table1[[#This Row],[Age]]&lt;=70,"20-70","&gt;70"))</f>
        <v>&gt;70</v>
      </c>
      <c r="M810" t="s">
        <v>29</v>
      </c>
      <c r="N810" t="s">
        <v>30</v>
      </c>
      <c r="O810">
        <v>75.59</v>
      </c>
      <c r="P810">
        <v>9</v>
      </c>
      <c r="Q810">
        <v>34.015500000000003</v>
      </c>
      <c r="R810">
        <v>714.32550000000003</v>
      </c>
      <c r="S810">
        <v>680.31</v>
      </c>
      <c r="T810">
        <v>4.7619047620000003</v>
      </c>
      <c r="U810">
        <v>34.015500000000003</v>
      </c>
      <c r="V810">
        <v>8</v>
      </c>
    </row>
    <row r="811" spans="1:22" x14ac:dyDescent="0.2">
      <c r="A811" t="s">
        <v>842</v>
      </c>
      <c r="B811" s="1">
        <v>43541</v>
      </c>
      <c r="C811" s="2">
        <v>0.69166666666666665</v>
      </c>
      <c r="D811" s="2" t="str">
        <f>IF(Table1[[#This Row],[Time]]&lt;$D$1,$C$1,IF(Table1[[#This Row],[Time]]&lt;$D$2,$C$2,$C$3))</f>
        <v>Afternoon</v>
      </c>
      <c r="E811">
        <f>MONTH(Table1[[#This Row],[Date]])</f>
        <v>3</v>
      </c>
      <c r="F811" t="str">
        <f>VLOOKUP(Table1[[#This Row],[Month]],dctMonth[],2,FALSE)</f>
        <v>March</v>
      </c>
      <c r="G811" t="s">
        <v>19</v>
      </c>
      <c r="H811" t="s">
        <v>20</v>
      </c>
      <c r="I811" t="s">
        <v>28</v>
      </c>
      <c r="J811" t="s">
        <v>22</v>
      </c>
      <c r="K811">
        <v>16</v>
      </c>
      <c r="L811" t="str">
        <f>IF(Table1[[#This Row],[Age]]&lt;20,"&lt;20",IF(Table1[[#This Row],[Age]]&lt;=70,"20-70","&gt;70"))</f>
        <v>&lt;20</v>
      </c>
      <c r="M811" t="s">
        <v>33</v>
      </c>
      <c r="N811" t="s">
        <v>30</v>
      </c>
      <c r="O811">
        <v>77.47</v>
      </c>
      <c r="P811">
        <v>4</v>
      </c>
      <c r="Q811">
        <v>15.494</v>
      </c>
      <c r="R811">
        <v>325.37400000000002</v>
      </c>
      <c r="S811">
        <v>309.88</v>
      </c>
      <c r="T811">
        <v>4.7619047620000003</v>
      </c>
      <c r="U811">
        <v>15.494</v>
      </c>
      <c r="V811">
        <v>4.2</v>
      </c>
    </row>
    <row r="812" spans="1:22" x14ac:dyDescent="0.2">
      <c r="A812" t="s">
        <v>843</v>
      </c>
      <c r="B812" s="1">
        <v>43481</v>
      </c>
      <c r="C812" s="2">
        <v>0.77847222222222223</v>
      </c>
      <c r="D812" s="2" t="str">
        <f>IF(Table1[[#This Row],[Time]]&lt;$D$1,$C$1,IF(Table1[[#This Row],[Time]]&lt;$D$2,$C$2,$C$3))</f>
        <v>Evening</v>
      </c>
      <c r="E812">
        <f>MONTH(Table1[[#This Row],[Date]])</f>
        <v>1</v>
      </c>
      <c r="F812" t="str">
        <f>VLOOKUP(Table1[[#This Row],[Month]],dctMonth[],2,FALSE)</f>
        <v>January</v>
      </c>
      <c r="G812" t="s">
        <v>19</v>
      </c>
      <c r="H812" t="s">
        <v>20</v>
      </c>
      <c r="I812" t="s">
        <v>28</v>
      </c>
      <c r="J812" t="s">
        <v>22</v>
      </c>
      <c r="K812">
        <v>64</v>
      </c>
      <c r="L812" t="str">
        <f>IF(Table1[[#This Row],[Age]]&lt;20,"&lt;20",IF(Table1[[#This Row],[Age]]&lt;=70,"20-70","&gt;70"))</f>
        <v>20-70</v>
      </c>
      <c r="M812" t="s">
        <v>37</v>
      </c>
      <c r="N812" t="s">
        <v>34</v>
      </c>
      <c r="O812">
        <v>93.18</v>
      </c>
      <c r="P812">
        <v>2</v>
      </c>
      <c r="Q812">
        <v>9.3179999999999996</v>
      </c>
      <c r="R812">
        <v>195.678</v>
      </c>
      <c r="S812">
        <v>186.36</v>
      </c>
      <c r="T812">
        <v>4.7619047620000003</v>
      </c>
      <c r="U812">
        <v>9.3179999999999996</v>
      </c>
      <c r="V812">
        <v>8.5</v>
      </c>
    </row>
    <row r="813" spans="1:22" x14ac:dyDescent="0.2">
      <c r="A813" t="s">
        <v>844</v>
      </c>
      <c r="B813" s="1">
        <v>43473</v>
      </c>
      <c r="C813" s="2">
        <v>0.71666666666666667</v>
      </c>
      <c r="D813" s="2" t="str">
        <f>IF(Table1[[#This Row],[Time]]&lt;$D$1,$C$1,IF(Table1[[#This Row],[Time]]&lt;$D$2,$C$2,$C$3))</f>
        <v>Evening</v>
      </c>
      <c r="E813">
        <f>MONTH(Table1[[#This Row],[Date]])</f>
        <v>1</v>
      </c>
      <c r="F813" t="str">
        <f>VLOOKUP(Table1[[#This Row],[Month]],dctMonth[],2,FALSE)</f>
        <v>January</v>
      </c>
      <c r="G813" t="s">
        <v>19</v>
      </c>
      <c r="H813" t="s">
        <v>20</v>
      </c>
      <c r="I813" t="s">
        <v>28</v>
      </c>
      <c r="J813" t="s">
        <v>22</v>
      </c>
      <c r="K813">
        <v>85</v>
      </c>
      <c r="L813" t="str">
        <f>IF(Table1[[#This Row],[Age]]&lt;20,"&lt;20",IF(Table1[[#This Row],[Age]]&lt;=70,"20-70","&gt;70"))</f>
        <v>&gt;70</v>
      </c>
      <c r="M813" t="s">
        <v>29</v>
      </c>
      <c r="N813" t="s">
        <v>30</v>
      </c>
      <c r="O813">
        <v>50.23</v>
      </c>
      <c r="P813">
        <v>4</v>
      </c>
      <c r="Q813">
        <v>10.045999999999999</v>
      </c>
      <c r="R813">
        <v>210.96600000000001</v>
      </c>
      <c r="S813">
        <v>200.92</v>
      </c>
      <c r="T813">
        <v>4.7619047620000003</v>
      </c>
      <c r="U813">
        <v>10.045999999999999</v>
      </c>
      <c r="V813">
        <v>9</v>
      </c>
    </row>
    <row r="814" spans="1:22" x14ac:dyDescent="0.2">
      <c r="A814" t="s">
        <v>845</v>
      </c>
      <c r="B814" s="1">
        <v>43479</v>
      </c>
      <c r="C814" s="2">
        <v>0.44305555555555554</v>
      </c>
      <c r="D814" s="2" t="str">
        <f>IF(Table1[[#This Row],[Time]]&lt;$D$1,$C$1,IF(Table1[[#This Row],[Time]]&lt;$D$2,$C$2,$C$3))</f>
        <v>Morning</v>
      </c>
      <c r="E814">
        <f>MONTH(Table1[[#This Row],[Date]])</f>
        <v>1</v>
      </c>
      <c r="F814" t="str">
        <f>VLOOKUP(Table1[[#This Row],[Month]],dctMonth[],2,FALSE)</f>
        <v>January</v>
      </c>
      <c r="G814" t="s">
        <v>43</v>
      </c>
      <c r="H814" t="s">
        <v>44</v>
      </c>
      <c r="I814" t="s">
        <v>28</v>
      </c>
      <c r="J814" t="s">
        <v>22</v>
      </c>
      <c r="K814">
        <v>55</v>
      </c>
      <c r="L814" t="str">
        <f>IF(Table1[[#This Row],[Age]]&lt;20,"&lt;20",IF(Table1[[#This Row],[Age]]&lt;=70,"20-70","&gt;70"))</f>
        <v>20-70</v>
      </c>
      <c r="M814" t="s">
        <v>23</v>
      </c>
      <c r="N814" t="s">
        <v>30</v>
      </c>
      <c r="O814">
        <v>17.75</v>
      </c>
      <c r="P814">
        <v>1</v>
      </c>
      <c r="Q814">
        <v>0.88749999999999996</v>
      </c>
      <c r="R814">
        <v>18.637499999999999</v>
      </c>
      <c r="S814">
        <v>17.75</v>
      </c>
      <c r="T814">
        <v>4.7619047620000003</v>
      </c>
      <c r="U814">
        <v>0.88749999999999996</v>
      </c>
      <c r="V814">
        <v>8.6</v>
      </c>
    </row>
    <row r="815" spans="1:22" x14ac:dyDescent="0.2">
      <c r="A815" t="s">
        <v>846</v>
      </c>
      <c r="B815" s="1">
        <v>43496</v>
      </c>
      <c r="C815" s="2">
        <v>0.43958333333333333</v>
      </c>
      <c r="D815" s="2" t="str">
        <f>IF(Table1[[#This Row],[Time]]&lt;$D$1,$C$1,IF(Table1[[#This Row],[Time]]&lt;$D$2,$C$2,$C$3))</f>
        <v>Morning</v>
      </c>
      <c r="E815">
        <f>MONTH(Table1[[#This Row],[Date]])</f>
        <v>1</v>
      </c>
      <c r="F815" t="str">
        <f>VLOOKUP(Table1[[#This Row],[Month]],dctMonth[],2,FALSE)</f>
        <v>January</v>
      </c>
      <c r="G815" t="s">
        <v>26</v>
      </c>
      <c r="H815" t="s">
        <v>27</v>
      </c>
      <c r="I815" t="s">
        <v>28</v>
      </c>
      <c r="J815" t="s">
        <v>22</v>
      </c>
      <c r="K815">
        <v>52</v>
      </c>
      <c r="L815" t="str">
        <f>IF(Table1[[#This Row],[Age]]&lt;20,"&lt;20",IF(Table1[[#This Row],[Age]]&lt;=70,"20-70","&gt;70"))</f>
        <v>20-70</v>
      </c>
      <c r="M815" t="s">
        <v>47</v>
      </c>
      <c r="N815" t="s">
        <v>24</v>
      </c>
      <c r="O815">
        <v>62.18</v>
      </c>
      <c r="P815">
        <v>10</v>
      </c>
      <c r="Q815">
        <v>31.09</v>
      </c>
      <c r="R815">
        <v>652.89</v>
      </c>
      <c r="S815">
        <v>621.79999999999995</v>
      </c>
      <c r="T815">
        <v>4.7619047620000003</v>
      </c>
      <c r="U815">
        <v>31.09</v>
      </c>
      <c r="V815">
        <v>6</v>
      </c>
    </row>
    <row r="816" spans="1:22" x14ac:dyDescent="0.2">
      <c r="A816" t="s">
        <v>847</v>
      </c>
      <c r="B816" s="1">
        <v>43539</v>
      </c>
      <c r="C816" s="2">
        <v>0.60972222222222228</v>
      </c>
      <c r="D816" s="2" t="str">
        <f>IF(Table1[[#This Row],[Time]]&lt;$D$1,$C$1,IF(Table1[[#This Row],[Time]]&lt;$D$2,$C$2,$C$3))</f>
        <v>Afternoon</v>
      </c>
      <c r="E816">
        <f>MONTH(Table1[[#This Row],[Date]])</f>
        <v>3</v>
      </c>
      <c r="F816" t="str">
        <f>VLOOKUP(Table1[[#This Row],[Month]],dctMonth[],2,FALSE)</f>
        <v>March</v>
      </c>
      <c r="G816" t="s">
        <v>43</v>
      </c>
      <c r="H816" t="s">
        <v>44</v>
      </c>
      <c r="I816" t="s">
        <v>28</v>
      </c>
      <c r="J816" t="s">
        <v>32</v>
      </c>
      <c r="K816">
        <v>59</v>
      </c>
      <c r="L816" t="str">
        <f>IF(Table1[[#This Row],[Age]]&lt;20,"&lt;20",IF(Table1[[#This Row],[Age]]&lt;=70,"20-70","&gt;70"))</f>
        <v>20-70</v>
      </c>
      <c r="M816" t="s">
        <v>23</v>
      </c>
      <c r="N816" t="s">
        <v>24</v>
      </c>
      <c r="O816">
        <v>10.75</v>
      </c>
      <c r="P816">
        <v>8</v>
      </c>
      <c r="Q816">
        <v>4.3</v>
      </c>
      <c r="R816">
        <v>90.3</v>
      </c>
      <c r="S816">
        <v>86</v>
      </c>
      <c r="T816">
        <v>4.7619047620000003</v>
      </c>
      <c r="U816">
        <v>4.3</v>
      </c>
      <c r="V816">
        <v>6.2</v>
      </c>
    </row>
    <row r="817" spans="1:22" x14ac:dyDescent="0.2">
      <c r="A817" t="s">
        <v>848</v>
      </c>
      <c r="B817" s="1">
        <v>43520</v>
      </c>
      <c r="C817" s="2">
        <v>0.75416666666666665</v>
      </c>
      <c r="D817" s="2" t="str">
        <f>IF(Table1[[#This Row],[Time]]&lt;$D$1,$C$1,IF(Table1[[#This Row],[Time]]&lt;$D$2,$C$2,$C$3))</f>
        <v>Evening</v>
      </c>
      <c r="E817">
        <f>MONTH(Table1[[#This Row],[Date]])</f>
        <v>2</v>
      </c>
      <c r="F817" t="str">
        <f>VLOOKUP(Table1[[#This Row],[Month]],dctMonth[],2,FALSE)</f>
        <v>February</v>
      </c>
      <c r="G817" t="s">
        <v>19</v>
      </c>
      <c r="H817" t="s">
        <v>20</v>
      </c>
      <c r="I817" t="s">
        <v>28</v>
      </c>
      <c r="J817" t="s">
        <v>22</v>
      </c>
      <c r="K817">
        <v>34</v>
      </c>
      <c r="L817" t="str">
        <f>IF(Table1[[#This Row],[Age]]&lt;20,"&lt;20",IF(Table1[[#This Row],[Age]]&lt;=70,"20-70","&gt;70"))</f>
        <v>20-70</v>
      </c>
      <c r="M817" t="s">
        <v>29</v>
      </c>
      <c r="N817" t="s">
        <v>34</v>
      </c>
      <c r="O817">
        <v>40.26</v>
      </c>
      <c r="P817">
        <v>10</v>
      </c>
      <c r="Q817">
        <v>20.13</v>
      </c>
      <c r="R817">
        <v>422.73</v>
      </c>
      <c r="S817">
        <v>402.6</v>
      </c>
      <c r="T817">
        <v>4.7619047620000003</v>
      </c>
      <c r="U817">
        <v>20.13</v>
      </c>
      <c r="V817">
        <v>5</v>
      </c>
    </row>
    <row r="818" spans="1:22" x14ac:dyDescent="0.2">
      <c r="A818" t="s">
        <v>849</v>
      </c>
      <c r="B818" s="1">
        <v>43504</v>
      </c>
      <c r="C818" s="2">
        <v>0.53611111111111109</v>
      </c>
      <c r="D818" s="2" t="str">
        <f>IF(Table1[[#This Row],[Time]]&lt;$D$1,$C$1,IF(Table1[[#This Row],[Time]]&lt;$D$2,$C$2,$C$3))</f>
        <v>Afternoon</v>
      </c>
      <c r="E818">
        <f>MONTH(Table1[[#This Row],[Date]])</f>
        <v>2</v>
      </c>
      <c r="F818" t="str">
        <f>VLOOKUP(Table1[[#This Row],[Month]],dctMonth[],2,FALSE)</f>
        <v>February</v>
      </c>
      <c r="G818" t="s">
        <v>26</v>
      </c>
      <c r="H818" t="s">
        <v>27</v>
      </c>
      <c r="I818" t="s">
        <v>21</v>
      </c>
      <c r="J818" t="s">
        <v>22</v>
      </c>
      <c r="K818">
        <v>50</v>
      </c>
      <c r="L818" t="str">
        <f>IF(Table1[[#This Row],[Age]]&lt;20,"&lt;20",IF(Table1[[#This Row],[Age]]&lt;=70,"20-70","&gt;70"))</f>
        <v>20-70</v>
      </c>
      <c r="M818" t="s">
        <v>37</v>
      </c>
      <c r="N818" t="s">
        <v>34</v>
      </c>
      <c r="O818">
        <v>64.97</v>
      </c>
      <c r="P818">
        <v>5</v>
      </c>
      <c r="Q818">
        <v>16.2425</v>
      </c>
      <c r="R818">
        <v>341.09249999999997</v>
      </c>
      <c r="S818">
        <v>324.85000000000002</v>
      </c>
      <c r="T818">
        <v>4.7619047620000003</v>
      </c>
      <c r="U818">
        <v>16.2425</v>
      </c>
      <c r="V818">
        <v>6.5</v>
      </c>
    </row>
    <row r="819" spans="1:22" x14ac:dyDescent="0.2">
      <c r="A819" t="s">
        <v>850</v>
      </c>
      <c r="B819" s="1">
        <v>43546</v>
      </c>
      <c r="C819" s="2">
        <v>0.58333333333333337</v>
      </c>
      <c r="D819" s="2" t="str">
        <f>IF(Table1[[#This Row],[Time]]&lt;$D$1,$C$1,IF(Table1[[#This Row],[Time]]&lt;$D$2,$C$2,$C$3))</f>
        <v>Afternoon</v>
      </c>
      <c r="E819">
        <f>MONTH(Table1[[#This Row],[Date]])</f>
        <v>3</v>
      </c>
      <c r="F819" t="str">
        <f>VLOOKUP(Table1[[#This Row],[Month]],dctMonth[],2,FALSE)</f>
        <v>March</v>
      </c>
      <c r="G819" t="s">
        <v>19</v>
      </c>
      <c r="H819" t="s">
        <v>20</v>
      </c>
      <c r="I819" t="s">
        <v>28</v>
      </c>
      <c r="J819" t="s">
        <v>32</v>
      </c>
      <c r="K819">
        <v>43</v>
      </c>
      <c r="L819" t="str">
        <f>IF(Table1[[#This Row],[Age]]&lt;20,"&lt;20",IF(Table1[[#This Row],[Age]]&lt;=70,"20-70","&gt;70"))</f>
        <v>20-70</v>
      </c>
      <c r="M819" t="s">
        <v>29</v>
      </c>
      <c r="N819" t="s">
        <v>30</v>
      </c>
      <c r="O819">
        <v>95.15</v>
      </c>
      <c r="P819">
        <v>1</v>
      </c>
      <c r="Q819">
        <v>4.7575000000000003</v>
      </c>
      <c r="R819">
        <v>99.907499999999999</v>
      </c>
      <c r="S819">
        <v>95.15</v>
      </c>
      <c r="T819">
        <v>4.7619047620000003</v>
      </c>
      <c r="U819">
        <v>4.7575000000000003</v>
      </c>
      <c r="V819">
        <v>6</v>
      </c>
    </row>
    <row r="820" spans="1:22" x14ac:dyDescent="0.2">
      <c r="A820" t="s">
        <v>851</v>
      </c>
      <c r="B820" s="1">
        <v>43489</v>
      </c>
      <c r="C820" s="2">
        <v>0.45624999999999999</v>
      </c>
      <c r="D820" s="2" t="str">
        <f>IF(Table1[[#This Row],[Time]]&lt;$D$1,$C$1,IF(Table1[[#This Row],[Time]]&lt;$D$2,$C$2,$C$3))</f>
        <v>Morning</v>
      </c>
      <c r="E820">
        <f>MONTH(Table1[[#This Row],[Date]])</f>
        <v>1</v>
      </c>
      <c r="F820" t="str">
        <f>VLOOKUP(Table1[[#This Row],[Month]],dctMonth[],2,FALSE)</f>
        <v>January</v>
      </c>
      <c r="G820" t="s">
        <v>19</v>
      </c>
      <c r="H820" t="s">
        <v>20</v>
      </c>
      <c r="I820" t="s">
        <v>21</v>
      </c>
      <c r="J820" t="s">
        <v>22</v>
      </c>
      <c r="K820">
        <v>22</v>
      </c>
      <c r="L820" t="str">
        <f>IF(Table1[[#This Row],[Age]]&lt;20,"&lt;20",IF(Table1[[#This Row],[Age]]&lt;=70,"20-70","&gt;70"))</f>
        <v>20-70</v>
      </c>
      <c r="M820" t="s">
        <v>29</v>
      </c>
      <c r="N820" t="s">
        <v>30</v>
      </c>
      <c r="O820">
        <v>48.62</v>
      </c>
      <c r="P820">
        <v>8</v>
      </c>
      <c r="Q820">
        <v>19.448</v>
      </c>
      <c r="R820">
        <v>408.40800000000002</v>
      </c>
      <c r="S820">
        <v>388.96</v>
      </c>
      <c r="T820">
        <v>4.7619047620000003</v>
      </c>
      <c r="U820">
        <v>19.448</v>
      </c>
      <c r="V820">
        <v>5</v>
      </c>
    </row>
    <row r="821" spans="1:22" x14ac:dyDescent="0.2">
      <c r="A821" t="s">
        <v>852</v>
      </c>
      <c r="B821" s="1">
        <v>43538</v>
      </c>
      <c r="C821" s="2">
        <v>0.69791666666666663</v>
      </c>
      <c r="D821" s="2" t="str">
        <f>IF(Table1[[#This Row],[Time]]&lt;$D$1,$C$1,IF(Table1[[#This Row],[Time]]&lt;$D$2,$C$2,$C$3))</f>
        <v>Afternoon</v>
      </c>
      <c r="E821">
        <f>MONTH(Table1[[#This Row],[Date]])</f>
        <v>3</v>
      </c>
      <c r="F821" t="str">
        <f>VLOOKUP(Table1[[#This Row],[Month]],dctMonth[],2,FALSE)</f>
        <v>March</v>
      </c>
      <c r="G821" t="s">
        <v>43</v>
      </c>
      <c r="H821" t="s">
        <v>44</v>
      </c>
      <c r="I821" t="s">
        <v>28</v>
      </c>
      <c r="J821" t="s">
        <v>22</v>
      </c>
      <c r="K821">
        <v>75</v>
      </c>
      <c r="L821" t="str">
        <f>IF(Table1[[#This Row],[Age]]&lt;20,"&lt;20",IF(Table1[[#This Row],[Age]]&lt;=70,"20-70","&gt;70"))</f>
        <v>&gt;70</v>
      </c>
      <c r="M821" t="s">
        <v>45</v>
      </c>
      <c r="N821" t="s">
        <v>24</v>
      </c>
      <c r="O821">
        <v>53.21</v>
      </c>
      <c r="P821">
        <v>8</v>
      </c>
      <c r="Q821">
        <v>21.283999999999999</v>
      </c>
      <c r="R821">
        <v>446.964</v>
      </c>
      <c r="S821">
        <v>425.68</v>
      </c>
      <c r="T821">
        <v>4.7619047620000003</v>
      </c>
      <c r="U821">
        <v>21.283999999999999</v>
      </c>
      <c r="V821">
        <v>5</v>
      </c>
    </row>
    <row r="822" spans="1:22" x14ac:dyDescent="0.2">
      <c r="A822" t="s">
        <v>853</v>
      </c>
      <c r="B822" s="1">
        <v>43488</v>
      </c>
      <c r="C822" s="2">
        <v>0.46875</v>
      </c>
      <c r="D822" s="2" t="str">
        <f>IF(Table1[[#This Row],[Time]]&lt;$D$1,$C$1,IF(Table1[[#This Row],[Time]]&lt;$D$2,$C$2,$C$3))</f>
        <v>Morning</v>
      </c>
      <c r="E822">
        <f>MONTH(Table1[[#This Row],[Date]])</f>
        <v>1</v>
      </c>
      <c r="F822" t="str">
        <f>VLOOKUP(Table1[[#This Row],[Month]],dctMonth[],2,FALSE)</f>
        <v>January</v>
      </c>
      <c r="G822" t="s">
        <v>26</v>
      </c>
      <c r="H822" t="s">
        <v>27</v>
      </c>
      <c r="I822" t="s">
        <v>28</v>
      </c>
      <c r="J822" t="s">
        <v>22</v>
      </c>
      <c r="K822">
        <v>86</v>
      </c>
      <c r="L822" t="str">
        <f>IF(Table1[[#This Row],[Age]]&lt;20,"&lt;20",IF(Table1[[#This Row],[Age]]&lt;=70,"20-70","&gt;70"))</f>
        <v>&gt;70</v>
      </c>
      <c r="M822" t="s">
        <v>47</v>
      </c>
      <c r="N822" t="s">
        <v>30</v>
      </c>
      <c r="O822">
        <v>45.44</v>
      </c>
      <c r="P822">
        <v>7</v>
      </c>
      <c r="Q822">
        <v>15.904</v>
      </c>
      <c r="R822">
        <v>333.98399999999998</v>
      </c>
      <c r="S822">
        <v>318.08</v>
      </c>
      <c r="T822">
        <v>4.7619047620000003</v>
      </c>
      <c r="U822">
        <v>15.904</v>
      </c>
      <c r="V822">
        <v>9.1999999999999993</v>
      </c>
    </row>
    <row r="823" spans="1:22" x14ac:dyDescent="0.2">
      <c r="A823" t="s">
        <v>854</v>
      </c>
      <c r="B823" s="1">
        <v>43484</v>
      </c>
      <c r="C823" s="2">
        <v>0.85347222222222219</v>
      </c>
      <c r="D823" s="2" t="str">
        <f>IF(Table1[[#This Row],[Time]]&lt;$D$1,$C$1,IF(Table1[[#This Row],[Time]]&lt;$D$2,$C$2,$C$3))</f>
        <v>Evening</v>
      </c>
      <c r="E823">
        <f>MONTH(Table1[[#This Row],[Date]])</f>
        <v>1</v>
      </c>
      <c r="F823" t="str">
        <f>VLOOKUP(Table1[[#This Row],[Month]],dctMonth[],2,FALSE)</f>
        <v>January</v>
      </c>
      <c r="G823" t="s">
        <v>19</v>
      </c>
      <c r="H823" t="s">
        <v>20</v>
      </c>
      <c r="I823" t="s">
        <v>28</v>
      </c>
      <c r="J823" t="s">
        <v>32</v>
      </c>
      <c r="K823">
        <v>55</v>
      </c>
      <c r="L823" t="str">
        <f>IF(Table1[[#This Row],[Age]]&lt;20,"&lt;20",IF(Table1[[#This Row],[Age]]&lt;=70,"20-70","&gt;70"))</f>
        <v>20-70</v>
      </c>
      <c r="M823" t="s">
        <v>45</v>
      </c>
      <c r="N823" t="s">
        <v>24</v>
      </c>
      <c r="O823">
        <v>33.880000000000003</v>
      </c>
      <c r="P823">
        <v>8</v>
      </c>
      <c r="Q823">
        <v>13.552</v>
      </c>
      <c r="R823">
        <v>284.59199999999998</v>
      </c>
      <c r="S823">
        <v>271.04000000000002</v>
      </c>
      <c r="T823">
        <v>4.7619047620000003</v>
      </c>
      <c r="U823">
        <v>13.552</v>
      </c>
      <c r="V823">
        <v>9.6</v>
      </c>
    </row>
    <row r="824" spans="1:22" x14ac:dyDescent="0.2">
      <c r="A824" t="s">
        <v>855</v>
      </c>
      <c r="B824" s="1">
        <v>43492</v>
      </c>
      <c r="C824" s="2">
        <v>0.8354166666666667</v>
      </c>
      <c r="D824" s="2" t="str">
        <f>IF(Table1[[#This Row],[Time]]&lt;$D$1,$C$1,IF(Table1[[#This Row],[Time]]&lt;$D$2,$C$2,$C$3))</f>
        <v>Evening</v>
      </c>
      <c r="E824">
        <f>MONTH(Table1[[#This Row],[Date]])</f>
        <v>1</v>
      </c>
      <c r="F824" t="str">
        <f>VLOOKUP(Table1[[#This Row],[Month]],dctMonth[],2,FALSE)</f>
        <v>January</v>
      </c>
      <c r="G824" t="s">
        <v>43</v>
      </c>
      <c r="H824" t="s">
        <v>44</v>
      </c>
      <c r="I824" t="s">
        <v>21</v>
      </c>
      <c r="J824" t="s">
        <v>32</v>
      </c>
      <c r="K824">
        <v>55</v>
      </c>
      <c r="L824" t="str">
        <f>IF(Table1[[#This Row],[Age]]&lt;20,"&lt;20",IF(Table1[[#This Row],[Age]]&lt;=70,"20-70","&gt;70"))</f>
        <v>20-70</v>
      </c>
      <c r="M824" t="s">
        <v>23</v>
      </c>
      <c r="N824" t="s">
        <v>34</v>
      </c>
      <c r="O824">
        <v>96.16</v>
      </c>
      <c r="P824">
        <v>4</v>
      </c>
      <c r="Q824">
        <v>19.231999999999999</v>
      </c>
      <c r="R824">
        <v>403.87200000000001</v>
      </c>
      <c r="S824">
        <v>384.64</v>
      </c>
      <c r="T824">
        <v>4.7619047620000003</v>
      </c>
      <c r="U824">
        <v>19.231999999999999</v>
      </c>
      <c r="V824">
        <v>8.4</v>
      </c>
    </row>
    <row r="825" spans="1:22" x14ac:dyDescent="0.2">
      <c r="A825" t="s">
        <v>856</v>
      </c>
      <c r="B825" s="1">
        <v>43499</v>
      </c>
      <c r="C825" s="2">
        <v>0.60763888888888884</v>
      </c>
      <c r="D825" s="2" t="str">
        <f>IF(Table1[[#This Row],[Time]]&lt;$D$1,$C$1,IF(Table1[[#This Row],[Time]]&lt;$D$2,$C$2,$C$3))</f>
        <v>Afternoon</v>
      </c>
      <c r="E825">
        <f>MONTH(Table1[[#This Row],[Date]])</f>
        <v>2</v>
      </c>
      <c r="F825" t="str">
        <f>VLOOKUP(Table1[[#This Row],[Month]],dctMonth[],2,FALSE)</f>
        <v>February</v>
      </c>
      <c r="G825" t="s">
        <v>43</v>
      </c>
      <c r="H825" t="s">
        <v>44</v>
      </c>
      <c r="I825" t="s">
        <v>21</v>
      </c>
      <c r="J825" t="s">
        <v>32</v>
      </c>
      <c r="K825">
        <v>53</v>
      </c>
      <c r="L825" t="str">
        <f>IF(Table1[[#This Row],[Age]]&lt;20,"&lt;20",IF(Table1[[#This Row],[Age]]&lt;=70,"20-70","&gt;70"))</f>
        <v>20-70</v>
      </c>
      <c r="M825" t="s">
        <v>45</v>
      </c>
      <c r="N825" t="s">
        <v>34</v>
      </c>
      <c r="O825">
        <v>47.16</v>
      </c>
      <c r="P825">
        <v>5</v>
      </c>
      <c r="Q825">
        <v>11.79</v>
      </c>
      <c r="R825">
        <v>247.59</v>
      </c>
      <c r="S825">
        <v>235.8</v>
      </c>
      <c r="T825">
        <v>4.7619047620000003</v>
      </c>
      <c r="U825">
        <v>11.79</v>
      </c>
      <c r="V825">
        <v>6</v>
      </c>
    </row>
    <row r="826" spans="1:22" x14ac:dyDescent="0.2">
      <c r="A826" t="s">
        <v>857</v>
      </c>
      <c r="B826" s="1">
        <v>43549</v>
      </c>
      <c r="C826" s="2">
        <v>0.68888888888888888</v>
      </c>
      <c r="D826" s="2" t="str">
        <f>IF(Table1[[#This Row],[Time]]&lt;$D$1,$C$1,IF(Table1[[#This Row],[Time]]&lt;$D$2,$C$2,$C$3))</f>
        <v>Afternoon</v>
      </c>
      <c r="E826">
        <f>MONTH(Table1[[#This Row],[Date]])</f>
        <v>3</v>
      </c>
      <c r="F826" t="str">
        <f>VLOOKUP(Table1[[#This Row],[Month]],dctMonth[],2,FALSE)</f>
        <v>March</v>
      </c>
      <c r="G826" t="s">
        <v>43</v>
      </c>
      <c r="H826" t="s">
        <v>44</v>
      </c>
      <c r="I826" t="s">
        <v>28</v>
      </c>
      <c r="J826" t="s">
        <v>32</v>
      </c>
      <c r="K826">
        <v>69</v>
      </c>
      <c r="L826" t="str">
        <f>IF(Table1[[#This Row],[Age]]&lt;20,"&lt;20",IF(Table1[[#This Row],[Age]]&lt;=70,"20-70","&gt;70"))</f>
        <v>20-70</v>
      </c>
      <c r="M826" t="s">
        <v>29</v>
      </c>
      <c r="N826" t="s">
        <v>24</v>
      </c>
      <c r="O826">
        <v>52.89</v>
      </c>
      <c r="P826">
        <v>4</v>
      </c>
      <c r="Q826">
        <v>10.577999999999999</v>
      </c>
      <c r="R826">
        <v>222.13800000000001</v>
      </c>
      <c r="S826">
        <v>211.56</v>
      </c>
      <c r="T826">
        <v>4.7619047620000003</v>
      </c>
      <c r="U826">
        <v>10.577999999999999</v>
      </c>
      <c r="V826">
        <v>6.7</v>
      </c>
    </row>
    <row r="827" spans="1:22" x14ac:dyDescent="0.2">
      <c r="A827" t="s">
        <v>858</v>
      </c>
      <c r="B827" s="1">
        <v>43520</v>
      </c>
      <c r="C827" s="2">
        <v>0.4236111111111111</v>
      </c>
      <c r="D827" s="2" t="str">
        <f>IF(Table1[[#This Row],[Time]]&lt;$D$1,$C$1,IF(Table1[[#This Row],[Time]]&lt;$D$2,$C$2,$C$3))</f>
        <v>Morning</v>
      </c>
      <c r="E827">
        <f>MONTH(Table1[[#This Row],[Date]])</f>
        <v>2</v>
      </c>
      <c r="F827" t="str">
        <f>VLOOKUP(Table1[[#This Row],[Month]],dctMonth[],2,FALSE)</f>
        <v>February</v>
      </c>
      <c r="G827" t="s">
        <v>19</v>
      </c>
      <c r="H827" t="s">
        <v>20</v>
      </c>
      <c r="I827" t="s">
        <v>21</v>
      </c>
      <c r="J827" t="s">
        <v>22</v>
      </c>
      <c r="K827">
        <v>54</v>
      </c>
      <c r="L827" t="str">
        <f>IF(Table1[[#This Row],[Age]]&lt;20,"&lt;20",IF(Table1[[#This Row],[Age]]&lt;=70,"20-70","&gt;70"))</f>
        <v>20-70</v>
      </c>
      <c r="M827" t="s">
        <v>33</v>
      </c>
      <c r="N827" t="s">
        <v>34</v>
      </c>
      <c r="O827">
        <v>47.68</v>
      </c>
      <c r="P827">
        <v>2</v>
      </c>
      <c r="Q827">
        <v>4.7679999999999998</v>
      </c>
      <c r="R827">
        <v>100.128</v>
      </c>
      <c r="S827">
        <v>95.36</v>
      </c>
      <c r="T827">
        <v>4.7619047620000003</v>
      </c>
      <c r="U827">
        <v>4.7679999999999998</v>
      </c>
      <c r="V827">
        <v>4.0999999999999996</v>
      </c>
    </row>
    <row r="828" spans="1:22" x14ac:dyDescent="0.2">
      <c r="A828" t="s">
        <v>859</v>
      </c>
      <c r="B828" s="1">
        <v>43503</v>
      </c>
      <c r="C828" s="2">
        <v>0.59375</v>
      </c>
      <c r="D828" s="2" t="str">
        <f>IF(Table1[[#This Row],[Time]]&lt;$D$1,$C$1,IF(Table1[[#This Row],[Time]]&lt;$D$2,$C$2,$C$3))</f>
        <v>Afternoon</v>
      </c>
      <c r="E828">
        <f>MONTH(Table1[[#This Row],[Date]])</f>
        <v>2</v>
      </c>
      <c r="F828" t="str">
        <f>VLOOKUP(Table1[[#This Row],[Month]],dctMonth[],2,FALSE)</f>
        <v>February</v>
      </c>
      <c r="G828" t="s">
        <v>26</v>
      </c>
      <c r="H828" t="s">
        <v>27</v>
      </c>
      <c r="I828" t="s">
        <v>21</v>
      </c>
      <c r="J828" t="s">
        <v>32</v>
      </c>
      <c r="K828">
        <v>55</v>
      </c>
      <c r="L828" t="str">
        <f>IF(Table1[[#This Row],[Age]]&lt;20,"&lt;20",IF(Table1[[#This Row],[Age]]&lt;=70,"20-70","&gt;70"))</f>
        <v>20-70</v>
      </c>
      <c r="M828" t="s">
        <v>37</v>
      </c>
      <c r="N828" t="s">
        <v>30</v>
      </c>
      <c r="O828">
        <v>10.17</v>
      </c>
      <c r="P828">
        <v>1</v>
      </c>
      <c r="Q828">
        <v>0.50849999999999995</v>
      </c>
      <c r="R828">
        <v>10.6785</v>
      </c>
      <c r="S828">
        <v>10.17</v>
      </c>
      <c r="T828">
        <v>4.7619047620000003</v>
      </c>
      <c r="U828">
        <v>0.50849999999999995</v>
      </c>
      <c r="V828">
        <v>5.9</v>
      </c>
    </row>
    <row r="829" spans="1:22" x14ac:dyDescent="0.2">
      <c r="A829" t="s">
        <v>860</v>
      </c>
      <c r="B829" s="1">
        <v>43528</v>
      </c>
      <c r="C829" s="2">
        <v>0.4201388888888889</v>
      </c>
      <c r="D829" s="2" t="str">
        <f>IF(Table1[[#This Row],[Time]]&lt;$D$1,$C$1,IF(Table1[[#This Row],[Time]]&lt;$D$2,$C$2,$C$3))</f>
        <v>Morning</v>
      </c>
      <c r="E829">
        <f>MONTH(Table1[[#This Row],[Date]])</f>
        <v>3</v>
      </c>
      <c r="F829" t="str">
        <f>VLOOKUP(Table1[[#This Row],[Month]],dctMonth[],2,FALSE)</f>
        <v>March</v>
      </c>
      <c r="G829" t="s">
        <v>19</v>
      </c>
      <c r="H829" t="s">
        <v>20</v>
      </c>
      <c r="I829" t="s">
        <v>28</v>
      </c>
      <c r="J829" t="s">
        <v>22</v>
      </c>
      <c r="K829">
        <v>36</v>
      </c>
      <c r="L829" t="str">
        <f>IF(Table1[[#This Row],[Age]]&lt;20,"&lt;20",IF(Table1[[#This Row],[Age]]&lt;=70,"20-70","&gt;70"))</f>
        <v>20-70</v>
      </c>
      <c r="M829" t="s">
        <v>23</v>
      </c>
      <c r="N829" t="s">
        <v>30</v>
      </c>
      <c r="O829">
        <v>68.709999999999994</v>
      </c>
      <c r="P829">
        <v>3</v>
      </c>
      <c r="Q829">
        <v>10.3065</v>
      </c>
      <c r="R829">
        <v>216.4365</v>
      </c>
      <c r="S829">
        <v>206.13</v>
      </c>
      <c r="T829">
        <v>4.7619047620000003</v>
      </c>
      <c r="U829">
        <v>10.3065</v>
      </c>
      <c r="V829">
        <v>8.6999999999999993</v>
      </c>
    </row>
    <row r="830" spans="1:22" x14ac:dyDescent="0.2">
      <c r="A830" t="s">
        <v>861</v>
      </c>
      <c r="B830" s="1">
        <v>43510</v>
      </c>
      <c r="C830" s="2">
        <v>0.48333333333333334</v>
      </c>
      <c r="D830" s="2" t="str">
        <f>IF(Table1[[#This Row],[Time]]&lt;$D$1,$C$1,IF(Table1[[#This Row],[Time]]&lt;$D$2,$C$2,$C$3))</f>
        <v>Morning</v>
      </c>
      <c r="E830">
        <f>MONTH(Table1[[#This Row],[Date]])</f>
        <v>2</v>
      </c>
      <c r="F830" t="str">
        <f>VLOOKUP(Table1[[#This Row],[Month]],dctMonth[],2,FALSE)</f>
        <v>February</v>
      </c>
      <c r="G830" t="s">
        <v>43</v>
      </c>
      <c r="H830" t="s">
        <v>44</v>
      </c>
      <c r="I830" t="s">
        <v>21</v>
      </c>
      <c r="J830" t="s">
        <v>22</v>
      </c>
      <c r="K830">
        <v>85</v>
      </c>
      <c r="L830" t="str">
        <f>IF(Table1[[#This Row],[Age]]&lt;20,"&lt;20",IF(Table1[[#This Row],[Age]]&lt;=70,"20-70","&gt;70"))</f>
        <v>&gt;70</v>
      </c>
      <c r="M830" t="s">
        <v>37</v>
      </c>
      <c r="N830" t="s">
        <v>34</v>
      </c>
      <c r="O830">
        <v>60.08</v>
      </c>
      <c r="P830">
        <v>7</v>
      </c>
      <c r="Q830">
        <v>21.027999999999999</v>
      </c>
      <c r="R830">
        <v>441.58800000000002</v>
      </c>
      <c r="S830">
        <v>420.56</v>
      </c>
      <c r="T830">
        <v>4.7619047620000003</v>
      </c>
      <c r="U830">
        <v>21.027999999999999</v>
      </c>
      <c r="V830">
        <v>4.5</v>
      </c>
    </row>
    <row r="831" spans="1:22" x14ac:dyDescent="0.2">
      <c r="A831" t="s">
        <v>862</v>
      </c>
      <c r="B831" s="1">
        <v>43494</v>
      </c>
      <c r="C831" s="2">
        <v>0.76041666666666663</v>
      </c>
      <c r="D831" s="2" t="str">
        <f>IF(Table1[[#This Row],[Time]]&lt;$D$1,$C$1,IF(Table1[[#This Row],[Time]]&lt;$D$2,$C$2,$C$3))</f>
        <v>Evening</v>
      </c>
      <c r="E831">
        <f>MONTH(Table1[[#This Row],[Date]])</f>
        <v>1</v>
      </c>
      <c r="F831" t="str">
        <f>VLOOKUP(Table1[[#This Row],[Month]],dctMonth[],2,FALSE)</f>
        <v>January</v>
      </c>
      <c r="G831" t="s">
        <v>19</v>
      </c>
      <c r="H831" t="s">
        <v>20</v>
      </c>
      <c r="I831" t="s">
        <v>21</v>
      </c>
      <c r="J831" t="s">
        <v>22</v>
      </c>
      <c r="K831">
        <v>44</v>
      </c>
      <c r="L831" t="str">
        <f>IF(Table1[[#This Row],[Age]]&lt;20,"&lt;20",IF(Table1[[#This Row],[Age]]&lt;=70,"20-70","&gt;70"))</f>
        <v>20-70</v>
      </c>
      <c r="M831" t="s">
        <v>37</v>
      </c>
      <c r="N831" t="s">
        <v>34</v>
      </c>
      <c r="O831">
        <v>22.01</v>
      </c>
      <c r="P831">
        <v>4</v>
      </c>
      <c r="Q831">
        <v>4.4020000000000001</v>
      </c>
      <c r="R831">
        <v>92.441999999999993</v>
      </c>
      <c r="S831">
        <v>88.04</v>
      </c>
      <c r="T831">
        <v>4.7619047620000003</v>
      </c>
      <c r="U831">
        <v>4.4020000000000001</v>
      </c>
      <c r="V831">
        <v>6.6</v>
      </c>
    </row>
    <row r="832" spans="1:22" x14ac:dyDescent="0.2">
      <c r="A832" t="s">
        <v>863</v>
      </c>
      <c r="B832" s="1">
        <v>43493</v>
      </c>
      <c r="C832" s="2">
        <v>0.57847222222222228</v>
      </c>
      <c r="D832" s="2" t="str">
        <f>IF(Table1[[#This Row],[Time]]&lt;$D$1,$C$1,IF(Table1[[#This Row],[Time]]&lt;$D$2,$C$2,$C$3))</f>
        <v>Afternoon</v>
      </c>
      <c r="E832">
        <f>MONTH(Table1[[#This Row],[Date]])</f>
        <v>1</v>
      </c>
      <c r="F832" t="str">
        <f>VLOOKUP(Table1[[#This Row],[Month]],dctMonth[],2,FALSE)</f>
        <v>January</v>
      </c>
      <c r="G832" t="s">
        <v>43</v>
      </c>
      <c r="H832" t="s">
        <v>44</v>
      </c>
      <c r="I832" t="s">
        <v>21</v>
      </c>
      <c r="J832" t="s">
        <v>22</v>
      </c>
      <c r="K832">
        <v>81</v>
      </c>
      <c r="L832" t="str">
        <f>IF(Table1[[#This Row],[Age]]&lt;20,"&lt;20",IF(Table1[[#This Row],[Age]]&lt;=70,"20-70","&gt;70"))</f>
        <v>&gt;70</v>
      </c>
      <c r="M832" t="s">
        <v>23</v>
      </c>
      <c r="N832" t="s">
        <v>34</v>
      </c>
      <c r="O832">
        <v>72.11</v>
      </c>
      <c r="P832">
        <v>9</v>
      </c>
      <c r="Q832">
        <v>32.4495</v>
      </c>
      <c r="R832">
        <v>681.43949999999995</v>
      </c>
      <c r="S832">
        <v>648.99</v>
      </c>
      <c r="T832">
        <v>4.7619047620000003</v>
      </c>
      <c r="U832">
        <v>32.4495</v>
      </c>
      <c r="V832">
        <v>7.7</v>
      </c>
    </row>
    <row r="833" spans="1:22" x14ac:dyDescent="0.2">
      <c r="A833" t="s">
        <v>864</v>
      </c>
      <c r="B833" s="1">
        <v>43550</v>
      </c>
      <c r="C833" s="2">
        <v>0.77569444444444446</v>
      </c>
      <c r="D833" s="2" t="str">
        <f>IF(Table1[[#This Row],[Time]]&lt;$D$1,$C$1,IF(Table1[[#This Row],[Time]]&lt;$D$2,$C$2,$C$3))</f>
        <v>Evening</v>
      </c>
      <c r="E833">
        <f>MONTH(Table1[[#This Row],[Date]])</f>
        <v>3</v>
      </c>
      <c r="F833" t="str">
        <f>VLOOKUP(Table1[[#This Row],[Month]],dctMonth[],2,FALSE)</f>
        <v>March</v>
      </c>
      <c r="G833" t="s">
        <v>19</v>
      </c>
      <c r="H833" t="s">
        <v>20</v>
      </c>
      <c r="I833" t="s">
        <v>21</v>
      </c>
      <c r="J833" t="s">
        <v>32</v>
      </c>
      <c r="K833">
        <v>79</v>
      </c>
      <c r="L833" t="str">
        <f>IF(Table1[[#This Row],[Age]]&lt;20,"&lt;20",IF(Table1[[#This Row],[Age]]&lt;=70,"20-70","&gt;70"))</f>
        <v>&gt;70</v>
      </c>
      <c r="M833" t="s">
        <v>47</v>
      </c>
      <c r="N833" t="s">
        <v>34</v>
      </c>
      <c r="O833">
        <v>41.28</v>
      </c>
      <c r="P833">
        <v>3</v>
      </c>
      <c r="Q833">
        <v>6.1920000000000002</v>
      </c>
      <c r="R833">
        <v>130.03200000000001</v>
      </c>
      <c r="S833">
        <v>123.84</v>
      </c>
      <c r="T833">
        <v>4.7619047620000003</v>
      </c>
      <c r="U833">
        <v>6.1920000000000002</v>
      </c>
      <c r="V833">
        <v>8.5</v>
      </c>
    </row>
    <row r="834" spans="1:22" x14ac:dyDescent="0.2">
      <c r="A834" t="s">
        <v>865</v>
      </c>
      <c r="B834" s="1">
        <v>43548</v>
      </c>
      <c r="C834" s="2">
        <v>0.76875000000000004</v>
      </c>
      <c r="D834" s="2" t="str">
        <f>IF(Table1[[#This Row],[Time]]&lt;$D$1,$C$1,IF(Table1[[#This Row],[Time]]&lt;$D$2,$C$2,$C$3))</f>
        <v>Evening</v>
      </c>
      <c r="E834">
        <f>MONTH(Table1[[#This Row],[Date]])</f>
        <v>3</v>
      </c>
      <c r="F834" t="str">
        <f>VLOOKUP(Table1[[#This Row],[Month]],dctMonth[],2,FALSE)</f>
        <v>March</v>
      </c>
      <c r="G834" t="s">
        <v>26</v>
      </c>
      <c r="H834" t="s">
        <v>27</v>
      </c>
      <c r="I834" t="s">
        <v>28</v>
      </c>
      <c r="J834" t="s">
        <v>32</v>
      </c>
      <c r="K834">
        <v>63</v>
      </c>
      <c r="L834" t="str">
        <f>IF(Table1[[#This Row],[Age]]&lt;20,"&lt;20",IF(Table1[[#This Row],[Age]]&lt;=70,"20-70","&gt;70"))</f>
        <v>20-70</v>
      </c>
      <c r="M834" t="s">
        <v>29</v>
      </c>
      <c r="N834" t="s">
        <v>30</v>
      </c>
      <c r="O834">
        <v>64.95</v>
      </c>
      <c r="P834">
        <v>10</v>
      </c>
      <c r="Q834">
        <v>32.475000000000001</v>
      </c>
      <c r="R834">
        <v>681.97500000000002</v>
      </c>
      <c r="S834">
        <v>649.5</v>
      </c>
      <c r="T834">
        <v>4.7619047620000003</v>
      </c>
      <c r="U834">
        <v>32.475000000000001</v>
      </c>
      <c r="V834">
        <v>5.2</v>
      </c>
    </row>
    <row r="835" spans="1:22" x14ac:dyDescent="0.2">
      <c r="A835" t="s">
        <v>866</v>
      </c>
      <c r="B835" s="1">
        <v>43466</v>
      </c>
      <c r="C835" s="2">
        <v>0.61250000000000004</v>
      </c>
      <c r="D835" s="2" t="str">
        <f>IF(Table1[[#This Row],[Time]]&lt;$D$1,$C$1,IF(Table1[[#This Row],[Time]]&lt;$D$2,$C$2,$C$3))</f>
        <v>Afternoon</v>
      </c>
      <c r="E835">
        <f>MONTH(Table1[[#This Row],[Date]])</f>
        <v>1</v>
      </c>
      <c r="F835" t="str">
        <f>VLOOKUP(Table1[[#This Row],[Month]],dctMonth[],2,FALSE)</f>
        <v>January</v>
      </c>
      <c r="G835" t="s">
        <v>19</v>
      </c>
      <c r="H835" t="s">
        <v>20</v>
      </c>
      <c r="I835" t="s">
        <v>21</v>
      </c>
      <c r="J835" t="s">
        <v>22</v>
      </c>
      <c r="K835">
        <v>40</v>
      </c>
      <c r="L835" t="str">
        <f>IF(Table1[[#This Row],[Age]]&lt;20,"&lt;20",IF(Table1[[#This Row],[Age]]&lt;=70,"20-70","&gt;70"))</f>
        <v>20-70</v>
      </c>
      <c r="M835" t="s">
        <v>29</v>
      </c>
      <c r="N835" t="s">
        <v>34</v>
      </c>
      <c r="O835">
        <v>74.22</v>
      </c>
      <c r="P835">
        <v>10</v>
      </c>
      <c r="Q835">
        <v>37.11</v>
      </c>
      <c r="R835">
        <v>779.31</v>
      </c>
      <c r="S835">
        <v>742.2</v>
      </c>
      <c r="T835">
        <v>4.7619047620000003</v>
      </c>
      <c r="U835">
        <v>37.11</v>
      </c>
      <c r="V835">
        <v>4.3</v>
      </c>
    </row>
    <row r="836" spans="1:22" x14ac:dyDescent="0.2">
      <c r="A836" t="s">
        <v>867</v>
      </c>
      <c r="B836" s="1">
        <v>43489</v>
      </c>
      <c r="C836" s="2">
        <v>0.73819444444444449</v>
      </c>
      <c r="D836" s="2" t="str">
        <f>IF(Table1[[#This Row],[Time]]&lt;$D$1,$C$1,IF(Table1[[#This Row],[Time]]&lt;$D$2,$C$2,$C$3))</f>
        <v>Evening</v>
      </c>
      <c r="E836">
        <f>MONTH(Table1[[#This Row],[Date]])</f>
        <v>1</v>
      </c>
      <c r="F836" t="str">
        <f>VLOOKUP(Table1[[#This Row],[Month]],dctMonth[],2,FALSE)</f>
        <v>January</v>
      </c>
      <c r="G836" t="s">
        <v>19</v>
      </c>
      <c r="H836" t="s">
        <v>20</v>
      </c>
      <c r="I836" t="s">
        <v>28</v>
      </c>
      <c r="J836" t="s">
        <v>32</v>
      </c>
      <c r="K836">
        <v>18</v>
      </c>
      <c r="L836" t="str">
        <f>IF(Table1[[#This Row],[Age]]&lt;20,"&lt;20",IF(Table1[[#This Row],[Age]]&lt;=70,"20-70","&gt;70"))</f>
        <v>&lt;20</v>
      </c>
      <c r="M836" t="s">
        <v>29</v>
      </c>
      <c r="N836" t="s">
        <v>30</v>
      </c>
      <c r="O836">
        <v>10.56</v>
      </c>
      <c r="P836">
        <v>8</v>
      </c>
      <c r="Q836">
        <v>4.2240000000000002</v>
      </c>
      <c r="R836">
        <v>88.703999999999994</v>
      </c>
      <c r="S836">
        <v>84.48</v>
      </c>
      <c r="T836">
        <v>4.7619047620000003</v>
      </c>
      <c r="U836">
        <v>4.2240000000000002</v>
      </c>
      <c r="V836">
        <v>7.6</v>
      </c>
    </row>
    <row r="837" spans="1:22" x14ac:dyDescent="0.2">
      <c r="A837" t="s">
        <v>868</v>
      </c>
      <c r="B837" s="1">
        <v>43521</v>
      </c>
      <c r="C837" s="2">
        <v>0.77569444444444446</v>
      </c>
      <c r="D837" s="2" t="str">
        <f>IF(Table1[[#This Row],[Time]]&lt;$D$1,$C$1,IF(Table1[[#This Row],[Time]]&lt;$D$2,$C$2,$C$3))</f>
        <v>Evening</v>
      </c>
      <c r="E837">
        <f>MONTH(Table1[[#This Row],[Date]])</f>
        <v>2</v>
      </c>
      <c r="F837" t="str">
        <f>VLOOKUP(Table1[[#This Row],[Month]],dctMonth[],2,FALSE)</f>
        <v>February</v>
      </c>
      <c r="G837" t="s">
        <v>43</v>
      </c>
      <c r="H837" t="s">
        <v>44</v>
      </c>
      <c r="I837" t="s">
        <v>28</v>
      </c>
      <c r="J837" t="s">
        <v>32</v>
      </c>
      <c r="K837">
        <v>50</v>
      </c>
      <c r="L837" t="str">
        <f>IF(Table1[[#This Row],[Age]]&lt;20,"&lt;20",IF(Table1[[#This Row],[Age]]&lt;=70,"20-70","&gt;70"))</f>
        <v>20-70</v>
      </c>
      <c r="M837" t="s">
        <v>23</v>
      </c>
      <c r="N837" t="s">
        <v>30</v>
      </c>
      <c r="O837">
        <v>62.57</v>
      </c>
      <c r="P837">
        <v>4</v>
      </c>
      <c r="Q837">
        <v>12.513999999999999</v>
      </c>
      <c r="R837">
        <v>262.79399999999998</v>
      </c>
      <c r="S837">
        <v>250.28</v>
      </c>
      <c r="T837">
        <v>4.7619047620000003</v>
      </c>
      <c r="U837">
        <v>12.513999999999999</v>
      </c>
      <c r="V837">
        <v>9.5</v>
      </c>
    </row>
    <row r="838" spans="1:22" x14ac:dyDescent="0.2">
      <c r="A838" t="s">
        <v>869</v>
      </c>
      <c r="B838" s="1">
        <v>43474</v>
      </c>
      <c r="C838" s="2">
        <v>0.69027777777777777</v>
      </c>
      <c r="D838" s="2" t="str">
        <f>IF(Table1[[#This Row],[Time]]&lt;$D$1,$C$1,IF(Table1[[#This Row],[Time]]&lt;$D$2,$C$2,$C$3))</f>
        <v>Afternoon</v>
      </c>
      <c r="E838">
        <f>MONTH(Table1[[#This Row],[Date]])</f>
        <v>1</v>
      </c>
      <c r="F838" t="str">
        <f>VLOOKUP(Table1[[#This Row],[Month]],dctMonth[],2,FALSE)</f>
        <v>January</v>
      </c>
      <c r="G838" t="s">
        <v>43</v>
      </c>
      <c r="H838" t="s">
        <v>44</v>
      </c>
      <c r="I838" t="s">
        <v>21</v>
      </c>
      <c r="J838" t="s">
        <v>22</v>
      </c>
      <c r="K838">
        <v>72</v>
      </c>
      <c r="L838" t="str">
        <f>IF(Table1[[#This Row],[Age]]&lt;20,"&lt;20",IF(Table1[[#This Row],[Age]]&lt;=70,"20-70","&gt;70"))</f>
        <v>&gt;70</v>
      </c>
      <c r="M838" t="s">
        <v>37</v>
      </c>
      <c r="N838" t="s">
        <v>30</v>
      </c>
      <c r="O838">
        <v>11.85</v>
      </c>
      <c r="P838">
        <v>8</v>
      </c>
      <c r="Q838">
        <v>4.74</v>
      </c>
      <c r="R838">
        <v>99.54</v>
      </c>
      <c r="S838">
        <v>94.8</v>
      </c>
      <c r="T838">
        <v>4.7619047620000003</v>
      </c>
      <c r="U838">
        <v>4.74</v>
      </c>
      <c r="V838">
        <v>4.0999999999999996</v>
      </c>
    </row>
    <row r="839" spans="1:22" x14ac:dyDescent="0.2">
      <c r="A839" t="s">
        <v>870</v>
      </c>
      <c r="B839" s="1">
        <v>43510</v>
      </c>
      <c r="C839" s="2">
        <v>0.61250000000000004</v>
      </c>
      <c r="D839" s="2" t="str">
        <f>IF(Table1[[#This Row],[Time]]&lt;$D$1,$C$1,IF(Table1[[#This Row],[Time]]&lt;$D$2,$C$2,$C$3))</f>
        <v>Afternoon</v>
      </c>
      <c r="E839">
        <f>MONTH(Table1[[#This Row],[Date]])</f>
        <v>2</v>
      </c>
      <c r="F839" t="str">
        <f>VLOOKUP(Table1[[#This Row],[Month]],dctMonth[],2,FALSE)</f>
        <v>February</v>
      </c>
      <c r="G839" t="s">
        <v>19</v>
      </c>
      <c r="H839" t="s">
        <v>20</v>
      </c>
      <c r="I839" t="s">
        <v>21</v>
      </c>
      <c r="J839" t="s">
        <v>32</v>
      </c>
      <c r="K839">
        <v>72</v>
      </c>
      <c r="L839" t="str">
        <f>IF(Table1[[#This Row],[Age]]&lt;20,"&lt;20",IF(Table1[[#This Row],[Age]]&lt;=70,"20-70","&gt;70"))</f>
        <v>&gt;70</v>
      </c>
      <c r="M839" t="s">
        <v>23</v>
      </c>
      <c r="N839" t="s">
        <v>24</v>
      </c>
      <c r="O839">
        <v>91.3</v>
      </c>
      <c r="P839">
        <v>1</v>
      </c>
      <c r="Q839">
        <v>4.5650000000000004</v>
      </c>
      <c r="R839">
        <v>95.864999999999995</v>
      </c>
      <c r="S839">
        <v>91.3</v>
      </c>
      <c r="T839">
        <v>4.7619047620000003</v>
      </c>
      <c r="U839">
        <v>4.5650000000000004</v>
      </c>
      <c r="V839">
        <v>9.1999999999999993</v>
      </c>
    </row>
    <row r="840" spans="1:22" x14ac:dyDescent="0.2">
      <c r="A840" t="s">
        <v>871</v>
      </c>
      <c r="B840" s="1">
        <v>43536</v>
      </c>
      <c r="C840" s="2">
        <v>0.45902777777777776</v>
      </c>
      <c r="D840" s="2" t="str">
        <f>IF(Table1[[#This Row],[Time]]&lt;$D$1,$C$1,IF(Table1[[#This Row],[Time]]&lt;$D$2,$C$2,$C$3))</f>
        <v>Morning</v>
      </c>
      <c r="E840">
        <f>MONTH(Table1[[#This Row],[Date]])</f>
        <v>3</v>
      </c>
      <c r="F840" t="str">
        <f>VLOOKUP(Table1[[#This Row],[Month]],dctMonth[],2,FALSE)</f>
        <v>March</v>
      </c>
      <c r="G840" t="s">
        <v>43</v>
      </c>
      <c r="H840" t="s">
        <v>44</v>
      </c>
      <c r="I840" t="s">
        <v>21</v>
      </c>
      <c r="J840" t="s">
        <v>22</v>
      </c>
      <c r="K840">
        <v>42</v>
      </c>
      <c r="L840" t="str">
        <f>IF(Table1[[#This Row],[Age]]&lt;20,"&lt;20",IF(Table1[[#This Row],[Age]]&lt;=70,"20-70","&gt;70"))</f>
        <v>20-70</v>
      </c>
      <c r="M840" t="s">
        <v>33</v>
      </c>
      <c r="N840" t="s">
        <v>24</v>
      </c>
      <c r="O840">
        <v>40.729999999999997</v>
      </c>
      <c r="P840">
        <v>7</v>
      </c>
      <c r="Q840">
        <v>14.2555</v>
      </c>
      <c r="R840">
        <v>299.3655</v>
      </c>
      <c r="S840">
        <v>285.11</v>
      </c>
      <c r="T840">
        <v>4.7619047620000003</v>
      </c>
      <c r="U840">
        <v>14.2555</v>
      </c>
      <c r="V840">
        <v>5.4</v>
      </c>
    </row>
    <row r="841" spans="1:22" x14ac:dyDescent="0.2">
      <c r="A841" t="s">
        <v>872</v>
      </c>
      <c r="B841" s="1">
        <v>43550</v>
      </c>
      <c r="C841" s="2">
        <v>0.82222222222222219</v>
      </c>
      <c r="D841" s="2" t="str">
        <f>IF(Table1[[#This Row],[Time]]&lt;$D$1,$C$1,IF(Table1[[#This Row],[Time]]&lt;$D$2,$C$2,$C$3))</f>
        <v>Evening</v>
      </c>
      <c r="E841">
        <f>MONTH(Table1[[#This Row],[Date]])</f>
        <v>3</v>
      </c>
      <c r="F841" t="str">
        <f>VLOOKUP(Table1[[#This Row],[Month]],dctMonth[],2,FALSE)</f>
        <v>March</v>
      </c>
      <c r="G841" t="s">
        <v>19</v>
      </c>
      <c r="H841" t="s">
        <v>20</v>
      </c>
      <c r="I841" t="s">
        <v>28</v>
      </c>
      <c r="J841" t="s">
        <v>32</v>
      </c>
      <c r="K841">
        <v>73</v>
      </c>
      <c r="L841" t="str">
        <f>IF(Table1[[#This Row],[Age]]&lt;20,"&lt;20",IF(Table1[[#This Row],[Age]]&lt;=70,"20-70","&gt;70"))</f>
        <v>&gt;70</v>
      </c>
      <c r="M841" t="s">
        <v>47</v>
      </c>
      <c r="N841" t="s">
        <v>30</v>
      </c>
      <c r="O841">
        <v>52.38</v>
      </c>
      <c r="P841">
        <v>1</v>
      </c>
      <c r="Q841">
        <v>2.6190000000000002</v>
      </c>
      <c r="R841">
        <v>54.999000000000002</v>
      </c>
      <c r="S841">
        <v>52.38</v>
      </c>
      <c r="T841">
        <v>4.7619047620000003</v>
      </c>
      <c r="U841">
        <v>2.6190000000000002</v>
      </c>
      <c r="V841">
        <v>5.8</v>
      </c>
    </row>
    <row r="842" spans="1:22" x14ac:dyDescent="0.2">
      <c r="A842" t="s">
        <v>873</v>
      </c>
      <c r="B842" s="1">
        <v>43474</v>
      </c>
      <c r="C842" s="2">
        <v>0.56527777777777777</v>
      </c>
      <c r="D842" s="2" t="str">
        <f>IF(Table1[[#This Row],[Time]]&lt;$D$1,$C$1,IF(Table1[[#This Row],[Time]]&lt;$D$2,$C$2,$C$3))</f>
        <v>Afternoon</v>
      </c>
      <c r="E842">
        <f>MONTH(Table1[[#This Row],[Date]])</f>
        <v>1</v>
      </c>
      <c r="F842" t="str">
        <f>VLOOKUP(Table1[[#This Row],[Month]],dctMonth[],2,FALSE)</f>
        <v>January</v>
      </c>
      <c r="G842" t="s">
        <v>19</v>
      </c>
      <c r="H842" t="s">
        <v>20</v>
      </c>
      <c r="I842" t="s">
        <v>21</v>
      </c>
      <c r="J842" t="s">
        <v>32</v>
      </c>
      <c r="K842">
        <v>29</v>
      </c>
      <c r="L842" t="str">
        <f>IF(Table1[[#This Row],[Age]]&lt;20,"&lt;20",IF(Table1[[#This Row],[Age]]&lt;=70,"20-70","&gt;70"))</f>
        <v>20-70</v>
      </c>
      <c r="M842" t="s">
        <v>47</v>
      </c>
      <c r="N842" t="s">
        <v>24</v>
      </c>
      <c r="O842">
        <v>38.54</v>
      </c>
      <c r="P842">
        <v>5</v>
      </c>
      <c r="Q842">
        <v>9.6349999999999998</v>
      </c>
      <c r="R842">
        <v>202.33500000000001</v>
      </c>
      <c r="S842">
        <v>192.7</v>
      </c>
      <c r="T842">
        <v>4.7619047620000003</v>
      </c>
      <c r="U842">
        <v>9.6349999999999998</v>
      </c>
      <c r="V842">
        <v>5.6</v>
      </c>
    </row>
    <row r="843" spans="1:22" x14ac:dyDescent="0.2">
      <c r="A843" t="s">
        <v>874</v>
      </c>
      <c r="B843" s="1">
        <v>43467</v>
      </c>
      <c r="C843" s="2">
        <v>0.83888888888888891</v>
      </c>
      <c r="D843" s="2" t="str">
        <f>IF(Table1[[#This Row],[Time]]&lt;$D$1,$C$1,IF(Table1[[#This Row],[Time]]&lt;$D$2,$C$2,$C$3))</f>
        <v>Evening</v>
      </c>
      <c r="E843">
        <f>MONTH(Table1[[#This Row],[Date]])</f>
        <v>1</v>
      </c>
      <c r="F843" t="str">
        <f>VLOOKUP(Table1[[#This Row],[Month]],dctMonth[],2,FALSE)</f>
        <v>January</v>
      </c>
      <c r="G843" t="s">
        <v>43</v>
      </c>
      <c r="H843" t="s">
        <v>44</v>
      </c>
      <c r="I843" t="s">
        <v>28</v>
      </c>
      <c r="J843" t="s">
        <v>32</v>
      </c>
      <c r="K843">
        <v>75</v>
      </c>
      <c r="L843" t="str">
        <f>IF(Table1[[#This Row],[Age]]&lt;20,"&lt;20",IF(Table1[[#This Row],[Age]]&lt;=70,"20-70","&gt;70"))</f>
        <v>&gt;70</v>
      </c>
      <c r="M843" t="s">
        <v>37</v>
      </c>
      <c r="N843" t="s">
        <v>34</v>
      </c>
      <c r="O843">
        <v>44.63</v>
      </c>
      <c r="P843">
        <v>6</v>
      </c>
      <c r="Q843">
        <v>13.388999999999999</v>
      </c>
      <c r="R843">
        <v>281.16899999999998</v>
      </c>
      <c r="S843">
        <v>267.77999999999997</v>
      </c>
      <c r="T843">
        <v>4.7619047620000003</v>
      </c>
      <c r="U843">
        <v>13.388999999999999</v>
      </c>
      <c r="V843">
        <v>5.0999999999999996</v>
      </c>
    </row>
    <row r="844" spans="1:22" x14ac:dyDescent="0.2">
      <c r="A844" t="s">
        <v>875</v>
      </c>
      <c r="B844" s="1">
        <v>43480</v>
      </c>
      <c r="C844" s="2">
        <v>0.62569444444444444</v>
      </c>
      <c r="D844" s="2" t="str">
        <f>IF(Table1[[#This Row],[Time]]&lt;$D$1,$C$1,IF(Table1[[#This Row],[Time]]&lt;$D$2,$C$2,$C$3))</f>
        <v>Afternoon</v>
      </c>
      <c r="E844">
        <f>MONTH(Table1[[#This Row],[Date]])</f>
        <v>1</v>
      </c>
      <c r="F844" t="str">
        <f>VLOOKUP(Table1[[#This Row],[Month]],dctMonth[],2,FALSE)</f>
        <v>January</v>
      </c>
      <c r="G844" t="s">
        <v>26</v>
      </c>
      <c r="H844" t="s">
        <v>27</v>
      </c>
      <c r="I844" t="s">
        <v>28</v>
      </c>
      <c r="J844" t="s">
        <v>32</v>
      </c>
      <c r="K844">
        <v>21</v>
      </c>
      <c r="L844" t="str">
        <f>IF(Table1[[#This Row],[Age]]&lt;20,"&lt;20",IF(Table1[[#This Row],[Age]]&lt;=70,"20-70","&gt;70"))</f>
        <v>20-70</v>
      </c>
      <c r="M844" t="s">
        <v>29</v>
      </c>
      <c r="N844" t="s">
        <v>30</v>
      </c>
      <c r="O844">
        <v>55.87</v>
      </c>
      <c r="P844">
        <v>10</v>
      </c>
      <c r="Q844">
        <v>27.934999999999999</v>
      </c>
      <c r="R844">
        <v>586.63499999999999</v>
      </c>
      <c r="S844">
        <v>558.70000000000005</v>
      </c>
      <c r="T844">
        <v>4.7619047620000003</v>
      </c>
      <c r="U844">
        <v>27.934999999999999</v>
      </c>
      <c r="V844">
        <v>5.8</v>
      </c>
    </row>
    <row r="845" spans="1:22" x14ac:dyDescent="0.2">
      <c r="A845" t="s">
        <v>876</v>
      </c>
      <c r="B845" s="1">
        <v>43466</v>
      </c>
      <c r="C845" s="2">
        <v>0.4861111111111111</v>
      </c>
      <c r="D845" s="2" t="str">
        <f>IF(Table1[[#This Row],[Time]]&lt;$D$1,$C$1,IF(Table1[[#This Row],[Time]]&lt;$D$2,$C$2,$C$3))</f>
        <v>Morning</v>
      </c>
      <c r="E845">
        <f>MONTH(Table1[[#This Row],[Date]])</f>
        <v>1</v>
      </c>
      <c r="F845" t="str">
        <f>VLOOKUP(Table1[[#This Row],[Month]],dctMonth[],2,FALSE)</f>
        <v>January</v>
      </c>
      <c r="G845" t="s">
        <v>26</v>
      </c>
      <c r="H845" t="s">
        <v>27</v>
      </c>
      <c r="I845" t="s">
        <v>21</v>
      </c>
      <c r="J845" t="s">
        <v>22</v>
      </c>
      <c r="K845">
        <v>87</v>
      </c>
      <c r="L845" t="str">
        <f>IF(Table1[[#This Row],[Age]]&lt;20,"&lt;20",IF(Table1[[#This Row],[Age]]&lt;=70,"20-70","&gt;70"))</f>
        <v>&gt;70</v>
      </c>
      <c r="M845" t="s">
        <v>37</v>
      </c>
      <c r="N845" t="s">
        <v>24</v>
      </c>
      <c r="O845">
        <v>29.22</v>
      </c>
      <c r="P845">
        <v>6</v>
      </c>
      <c r="Q845">
        <v>8.766</v>
      </c>
      <c r="R845">
        <v>184.08600000000001</v>
      </c>
      <c r="S845">
        <v>175.32</v>
      </c>
      <c r="T845">
        <v>4.7619047620000003</v>
      </c>
      <c r="U845">
        <v>8.766</v>
      </c>
      <c r="V845">
        <v>5</v>
      </c>
    </row>
    <row r="846" spans="1:22" x14ac:dyDescent="0.2">
      <c r="A846" t="s">
        <v>877</v>
      </c>
      <c r="B846" s="1">
        <v>43511</v>
      </c>
      <c r="C846" s="2">
        <v>0.63958333333333328</v>
      </c>
      <c r="D846" s="2" t="str">
        <f>IF(Table1[[#This Row],[Time]]&lt;$D$1,$C$1,IF(Table1[[#This Row],[Time]]&lt;$D$2,$C$2,$C$3))</f>
        <v>Afternoon</v>
      </c>
      <c r="E846">
        <f>MONTH(Table1[[#This Row],[Date]])</f>
        <v>2</v>
      </c>
      <c r="F846" t="str">
        <f>VLOOKUP(Table1[[#This Row],[Month]],dctMonth[],2,FALSE)</f>
        <v>February</v>
      </c>
      <c r="G846" t="s">
        <v>19</v>
      </c>
      <c r="H846" t="s">
        <v>20</v>
      </c>
      <c r="I846" t="s">
        <v>28</v>
      </c>
      <c r="J846" t="s">
        <v>32</v>
      </c>
      <c r="K846">
        <v>80</v>
      </c>
      <c r="L846" t="str">
        <f>IF(Table1[[#This Row],[Age]]&lt;20,"&lt;20",IF(Table1[[#This Row],[Age]]&lt;=70,"20-70","&gt;70"))</f>
        <v>&gt;70</v>
      </c>
      <c r="M846" t="s">
        <v>47</v>
      </c>
      <c r="N846" t="s">
        <v>30</v>
      </c>
      <c r="O846">
        <v>51.94</v>
      </c>
      <c r="P846">
        <v>3</v>
      </c>
      <c r="Q846">
        <v>7.7910000000000004</v>
      </c>
      <c r="R846">
        <v>163.61099999999999</v>
      </c>
      <c r="S846">
        <v>155.82</v>
      </c>
      <c r="T846">
        <v>4.7619047620000003</v>
      </c>
      <c r="U846">
        <v>7.7910000000000004</v>
      </c>
      <c r="V846">
        <v>7.9</v>
      </c>
    </row>
    <row r="847" spans="1:22" x14ac:dyDescent="0.2">
      <c r="A847" t="s">
        <v>878</v>
      </c>
      <c r="B847" s="1">
        <v>43524</v>
      </c>
      <c r="C847" s="2">
        <v>0.73472222222222228</v>
      </c>
      <c r="D847" s="2" t="str">
        <f>IF(Table1[[#This Row],[Time]]&lt;$D$1,$C$1,IF(Table1[[#This Row],[Time]]&lt;$D$2,$C$2,$C$3))</f>
        <v>Evening</v>
      </c>
      <c r="E847">
        <f>MONTH(Table1[[#This Row],[Date]])</f>
        <v>2</v>
      </c>
      <c r="F847" t="str">
        <f>VLOOKUP(Table1[[#This Row],[Month]],dctMonth[],2,FALSE)</f>
        <v>February</v>
      </c>
      <c r="G847" t="s">
        <v>43</v>
      </c>
      <c r="H847" t="s">
        <v>44</v>
      </c>
      <c r="I847" t="s">
        <v>28</v>
      </c>
      <c r="J847" t="s">
        <v>32</v>
      </c>
      <c r="K847">
        <v>76</v>
      </c>
      <c r="L847" t="str">
        <f>IF(Table1[[#This Row],[Age]]&lt;20,"&lt;20",IF(Table1[[#This Row],[Age]]&lt;=70,"20-70","&gt;70"))</f>
        <v>&gt;70</v>
      </c>
      <c r="M847" t="s">
        <v>29</v>
      </c>
      <c r="N847" t="s">
        <v>30</v>
      </c>
      <c r="O847">
        <v>60.3</v>
      </c>
      <c r="P847">
        <v>1</v>
      </c>
      <c r="Q847">
        <v>3.0150000000000001</v>
      </c>
      <c r="R847">
        <v>63.314999999999998</v>
      </c>
      <c r="S847">
        <v>60.3</v>
      </c>
      <c r="T847">
        <v>4.7619047620000003</v>
      </c>
      <c r="U847">
        <v>3.0150000000000001</v>
      </c>
      <c r="V847">
        <v>6</v>
      </c>
    </row>
    <row r="848" spans="1:22" x14ac:dyDescent="0.2">
      <c r="A848" t="s">
        <v>879</v>
      </c>
      <c r="B848" s="1">
        <v>43526</v>
      </c>
      <c r="C848" s="2">
        <v>0.67777777777777781</v>
      </c>
      <c r="D848" s="2" t="str">
        <f>IF(Table1[[#This Row],[Time]]&lt;$D$1,$C$1,IF(Table1[[#This Row],[Time]]&lt;$D$2,$C$2,$C$3))</f>
        <v>Afternoon</v>
      </c>
      <c r="E848">
        <f>MONTH(Table1[[#This Row],[Date]])</f>
        <v>3</v>
      </c>
      <c r="F848" t="str">
        <f>VLOOKUP(Table1[[#This Row],[Month]],dctMonth[],2,FALSE)</f>
        <v>March</v>
      </c>
      <c r="G848" t="s">
        <v>19</v>
      </c>
      <c r="H848" t="s">
        <v>20</v>
      </c>
      <c r="I848" t="s">
        <v>21</v>
      </c>
      <c r="J848" t="s">
        <v>22</v>
      </c>
      <c r="K848">
        <v>64</v>
      </c>
      <c r="L848" t="str">
        <f>IF(Table1[[#This Row],[Age]]&lt;20,"&lt;20",IF(Table1[[#This Row],[Age]]&lt;=70,"20-70","&gt;70"))</f>
        <v>20-70</v>
      </c>
      <c r="M848" t="s">
        <v>37</v>
      </c>
      <c r="N848" t="s">
        <v>34</v>
      </c>
      <c r="O848">
        <v>39.47</v>
      </c>
      <c r="P848">
        <v>2</v>
      </c>
      <c r="Q848">
        <v>3.9470000000000001</v>
      </c>
      <c r="R848">
        <v>82.887</v>
      </c>
      <c r="S848">
        <v>78.94</v>
      </c>
      <c r="T848">
        <v>4.7619047620000003</v>
      </c>
      <c r="U848">
        <v>3.9470000000000001</v>
      </c>
      <c r="V848">
        <v>5</v>
      </c>
    </row>
    <row r="849" spans="1:22" x14ac:dyDescent="0.2">
      <c r="A849" t="s">
        <v>880</v>
      </c>
      <c r="B849" s="1">
        <v>43509</v>
      </c>
      <c r="C849" s="2">
        <v>0.76041666666666663</v>
      </c>
      <c r="D849" s="2" t="str">
        <f>IF(Table1[[#This Row],[Time]]&lt;$D$1,$C$1,IF(Table1[[#This Row],[Time]]&lt;$D$2,$C$2,$C$3))</f>
        <v>Evening</v>
      </c>
      <c r="E849">
        <f>MONTH(Table1[[#This Row],[Date]])</f>
        <v>2</v>
      </c>
      <c r="F849" t="str">
        <f>VLOOKUP(Table1[[#This Row],[Month]],dctMonth[],2,FALSE)</f>
        <v>February</v>
      </c>
      <c r="G849" t="s">
        <v>26</v>
      </c>
      <c r="H849" t="s">
        <v>27</v>
      </c>
      <c r="I849" t="s">
        <v>21</v>
      </c>
      <c r="J849" t="s">
        <v>22</v>
      </c>
      <c r="K849">
        <v>59</v>
      </c>
      <c r="L849" t="str">
        <f>IF(Table1[[#This Row],[Age]]&lt;20,"&lt;20",IF(Table1[[#This Row],[Age]]&lt;=70,"20-70","&gt;70"))</f>
        <v>20-70</v>
      </c>
      <c r="M849" t="s">
        <v>45</v>
      </c>
      <c r="N849" t="s">
        <v>34</v>
      </c>
      <c r="O849">
        <v>14.87</v>
      </c>
      <c r="P849">
        <v>2</v>
      </c>
      <c r="Q849">
        <v>1.4870000000000001</v>
      </c>
      <c r="R849">
        <v>31.227</v>
      </c>
      <c r="S849">
        <v>29.74</v>
      </c>
      <c r="T849">
        <v>4.7619047620000003</v>
      </c>
      <c r="U849">
        <v>1.4870000000000001</v>
      </c>
      <c r="V849">
        <v>8.9</v>
      </c>
    </row>
    <row r="850" spans="1:22" x14ac:dyDescent="0.2">
      <c r="A850" t="s">
        <v>881</v>
      </c>
      <c r="B850" s="1">
        <v>43491</v>
      </c>
      <c r="C850" s="2">
        <v>0.52986111111111112</v>
      </c>
      <c r="D850" s="2" t="str">
        <f>IF(Table1[[#This Row],[Time]]&lt;$D$1,$C$1,IF(Table1[[#This Row],[Time]]&lt;$D$2,$C$2,$C$3))</f>
        <v>Afternoon</v>
      </c>
      <c r="E850">
        <f>MONTH(Table1[[#This Row],[Date]])</f>
        <v>1</v>
      </c>
      <c r="F850" t="str">
        <f>VLOOKUP(Table1[[#This Row],[Month]],dctMonth[],2,FALSE)</f>
        <v>January</v>
      </c>
      <c r="G850" t="s">
        <v>19</v>
      </c>
      <c r="H850" t="s">
        <v>20</v>
      </c>
      <c r="I850" t="s">
        <v>28</v>
      </c>
      <c r="J850" t="s">
        <v>32</v>
      </c>
      <c r="K850">
        <v>54</v>
      </c>
      <c r="L850" t="str">
        <f>IF(Table1[[#This Row],[Age]]&lt;20,"&lt;20",IF(Table1[[#This Row],[Age]]&lt;=70,"20-70","&gt;70"))</f>
        <v>20-70</v>
      </c>
      <c r="M850" t="s">
        <v>47</v>
      </c>
      <c r="N850" t="s">
        <v>30</v>
      </c>
      <c r="O850">
        <v>21.32</v>
      </c>
      <c r="P850">
        <v>1</v>
      </c>
      <c r="Q850">
        <v>1.0660000000000001</v>
      </c>
      <c r="R850">
        <v>22.385999999999999</v>
      </c>
      <c r="S850">
        <v>21.32</v>
      </c>
      <c r="T850">
        <v>4.7619047620000003</v>
      </c>
      <c r="U850">
        <v>1.0660000000000001</v>
      </c>
      <c r="V850">
        <v>5.9</v>
      </c>
    </row>
    <row r="851" spans="1:22" x14ac:dyDescent="0.2">
      <c r="A851" t="s">
        <v>882</v>
      </c>
      <c r="B851" s="1">
        <v>43495</v>
      </c>
      <c r="C851" s="2">
        <v>0.48055555555555557</v>
      </c>
      <c r="D851" s="2" t="str">
        <f>IF(Table1[[#This Row],[Time]]&lt;$D$1,$C$1,IF(Table1[[#This Row],[Time]]&lt;$D$2,$C$2,$C$3))</f>
        <v>Morning</v>
      </c>
      <c r="E851">
        <f>MONTH(Table1[[#This Row],[Date]])</f>
        <v>1</v>
      </c>
      <c r="F851" t="str">
        <f>VLOOKUP(Table1[[#This Row],[Month]],dctMonth[],2,FALSE)</f>
        <v>January</v>
      </c>
      <c r="G851" t="s">
        <v>19</v>
      </c>
      <c r="H851" t="s">
        <v>20</v>
      </c>
      <c r="I851" t="s">
        <v>21</v>
      </c>
      <c r="J851" t="s">
        <v>32</v>
      </c>
      <c r="K851">
        <v>67</v>
      </c>
      <c r="L851" t="str">
        <f>IF(Table1[[#This Row],[Age]]&lt;20,"&lt;20",IF(Table1[[#This Row],[Age]]&lt;=70,"20-70","&gt;70"))</f>
        <v>20-70</v>
      </c>
      <c r="M851" t="s">
        <v>29</v>
      </c>
      <c r="N851" t="s">
        <v>34</v>
      </c>
      <c r="O851">
        <v>93.78</v>
      </c>
      <c r="P851">
        <v>3</v>
      </c>
      <c r="Q851">
        <v>14.067</v>
      </c>
      <c r="R851">
        <v>295.40699999999998</v>
      </c>
      <c r="S851">
        <v>281.33999999999997</v>
      </c>
      <c r="T851">
        <v>4.7619047620000003</v>
      </c>
      <c r="U851">
        <v>14.067</v>
      </c>
      <c r="V851">
        <v>5.9</v>
      </c>
    </row>
    <row r="852" spans="1:22" x14ac:dyDescent="0.2">
      <c r="A852" t="s">
        <v>883</v>
      </c>
      <c r="B852" s="1">
        <v>43492</v>
      </c>
      <c r="C852" s="2">
        <v>0.75555555555555554</v>
      </c>
      <c r="D852" s="2" t="str">
        <f>IF(Table1[[#This Row],[Time]]&lt;$D$1,$C$1,IF(Table1[[#This Row],[Time]]&lt;$D$2,$C$2,$C$3))</f>
        <v>Evening</v>
      </c>
      <c r="E852">
        <f>MONTH(Table1[[#This Row],[Date]])</f>
        <v>1</v>
      </c>
      <c r="F852" t="str">
        <f>VLOOKUP(Table1[[#This Row],[Month]],dctMonth[],2,FALSE)</f>
        <v>January</v>
      </c>
      <c r="G852" t="s">
        <v>19</v>
      </c>
      <c r="H852" t="s">
        <v>20</v>
      </c>
      <c r="I852" t="s">
        <v>21</v>
      </c>
      <c r="J852" t="s">
        <v>32</v>
      </c>
      <c r="K852">
        <v>47</v>
      </c>
      <c r="L852" t="str">
        <f>IF(Table1[[#This Row],[Age]]&lt;20,"&lt;20",IF(Table1[[#This Row],[Age]]&lt;=70,"20-70","&gt;70"))</f>
        <v>20-70</v>
      </c>
      <c r="M852" t="s">
        <v>29</v>
      </c>
      <c r="N852" t="s">
        <v>24</v>
      </c>
      <c r="O852">
        <v>73.260000000000005</v>
      </c>
      <c r="P852">
        <v>1</v>
      </c>
      <c r="Q852">
        <v>3.6629999999999998</v>
      </c>
      <c r="R852">
        <v>76.923000000000002</v>
      </c>
      <c r="S852">
        <v>73.260000000000005</v>
      </c>
      <c r="T852">
        <v>4.7619047620000003</v>
      </c>
      <c r="U852">
        <v>3.6629999999999998</v>
      </c>
      <c r="V852">
        <v>9.6999999999999993</v>
      </c>
    </row>
    <row r="853" spans="1:22" x14ac:dyDescent="0.2">
      <c r="A853" t="s">
        <v>884</v>
      </c>
      <c r="B853" s="1">
        <v>43495</v>
      </c>
      <c r="C853" s="2">
        <v>0.71388888888888891</v>
      </c>
      <c r="D853" s="2" t="str">
        <f>IF(Table1[[#This Row],[Time]]&lt;$D$1,$C$1,IF(Table1[[#This Row],[Time]]&lt;$D$2,$C$2,$C$3))</f>
        <v>Evening</v>
      </c>
      <c r="E853">
        <f>MONTH(Table1[[#This Row],[Date]])</f>
        <v>1</v>
      </c>
      <c r="F853" t="str">
        <f>VLOOKUP(Table1[[#This Row],[Month]],dctMonth[],2,FALSE)</f>
        <v>January</v>
      </c>
      <c r="G853" t="s">
        <v>26</v>
      </c>
      <c r="H853" t="s">
        <v>27</v>
      </c>
      <c r="I853" t="s">
        <v>28</v>
      </c>
      <c r="J853" t="s">
        <v>22</v>
      </c>
      <c r="K853">
        <v>30</v>
      </c>
      <c r="L853" t="str">
        <f>IF(Table1[[#This Row],[Age]]&lt;20,"&lt;20",IF(Table1[[#This Row],[Age]]&lt;=70,"20-70","&gt;70"))</f>
        <v>20-70</v>
      </c>
      <c r="M853" t="s">
        <v>37</v>
      </c>
      <c r="N853" t="s">
        <v>34</v>
      </c>
      <c r="O853">
        <v>22.38</v>
      </c>
      <c r="P853">
        <v>1</v>
      </c>
      <c r="Q853">
        <v>1.119</v>
      </c>
      <c r="R853">
        <v>23.498999999999999</v>
      </c>
      <c r="S853">
        <v>22.38</v>
      </c>
      <c r="T853">
        <v>4.7619047620000003</v>
      </c>
      <c r="U853">
        <v>1.119</v>
      </c>
      <c r="V853">
        <v>8.6</v>
      </c>
    </row>
    <row r="854" spans="1:22" x14ac:dyDescent="0.2">
      <c r="A854" t="s">
        <v>885</v>
      </c>
      <c r="B854" s="1">
        <v>43473</v>
      </c>
      <c r="C854" s="2">
        <v>0.81805555555555554</v>
      </c>
      <c r="D854" s="2" t="str">
        <f>IF(Table1[[#This Row],[Time]]&lt;$D$1,$C$1,IF(Table1[[#This Row],[Time]]&lt;$D$2,$C$2,$C$3))</f>
        <v>Evening</v>
      </c>
      <c r="E854">
        <f>MONTH(Table1[[#This Row],[Date]])</f>
        <v>1</v>
      </c>
      <c r="F854" t="str">
        <f>VLOOKUP(Table1[[#This Row],[Month]],dctMonth[],2,FALSE)</f>
        <v>January</v>
      </c>
      <c r="G854" t="s">
        <v>26</v>
      </c>
      <c r="H854" t="s">
        <v>27</v>
      </c>
      <c r="I854" t="s">
        <v>21</v>
      </c>
      <c r="J854" t="s">
        <v>22</v>
      </c>
      <c r="K854">
        <v>61</v>
      </c>
      <c r="L854" t="str">
        <f>IF(Table1[[#This Row],[Age]]&lt;20,"&lt;20",IF(Table1[[#This Row],[Age]]&lt;=70,"20-70","&gt;70"))</f>
        <v>20-70</v>
      </c>
      <c r="M854" t="s">
        <v>45</v>
      </c>
      <c r="N854" t="s">
        <v>30</v>
      </c>
      <c r="O854">
        <v>72.88</v>
      </c>
      <c r="P854">
        <v>9</v>
      </c>
      <c r="Q854">
        <v>32.795999999999999</v>
      </c>
      <c r="R854">
        <v>688.71600000000001</v>
      </c>
      <c r="S854">
        <v>655.92</v>
      </c>
      <c r="T854">
        <v>4.7619047620000003</v>
      </c>
      <c r="U854">
        <v>32.795999999999999</v>
      </c>
      <c r="V854">
        <v>4</v>
      </c>
    </row>
    <row r="855" spans="1:22" x14ac:dyDescent="0.2">
      <c r="A855" t="s">
        <v>886</v>
      </c>
      <c r="B855" s="1">
        <v>43484</v>
      </c>
      <c r="C855" s="2">
        <v>0.5493055555555556</v>
      </c>
      <c r="D855" s="2" t="str">
        <f>IF(Table1[[#This Row],[Time]]&lt;$D$1,$C$1,IF(Table1[[#This Row],[Time]]&lt;$D$2,$C$2,$C$3))</f>
        <v>Afternoon</v>
      </c>
      <c r="E855">
        <f>MONTH(Table1[[#This Row],[Date]])</f>
        <v>1</v>
      </c>
      <c r="F855" t="str">
        <f>VLOOKUP(Table1[[#This Row],[Month]],dctMonth[],2,FALSE)</f>
        <v>January</v>
      </c>
      <c r="G855" t="s">
        <v>19</v>
      </c>
      <c r="H855" t="s">
        <v>20</v>
      </c>
      <c r="I855" t="s">
        <v>28</v>
      </c>
      <c r="J855" t="s">
        <v>22</v>
      </c>
      <c r="K855">
        <v>60</v>
      </c>
      <c r="L855" t="str">
        <f>IF(Table1[[#This Row],[Age]]&lt;20,"&lt;20",IF(Table1[[#This Row],[Age]]&lt;=70,"20-70","&gt;70"))</f>
        <v>20-70</v>
      </c>
      <c r="M855" t="s">
        <v>47</v>
      </c>
      <c r="N855" t="s">
        <v>30</v>
      </c>
      <c r="O855">
        <v>99.1</v>
      </c>
      <c r="P855">
        <v>6</v>
      </c>
      <c r="Q855">
        <v>29.73</v>
      </c>
      <c r="R855">
        <v>624.33000000000004</v>
      </c>
      <c r="S855">
        <v>594.6</v>
      </c>
      <c r="T855">
        <v>4.7619047620000003</v>
      </c>
      <c r="U855">
        <v>29.73</v>
      </c>
      <c r="V855">
        <v>4.2</v>
      </c>
    </row>
    <row r="856" spans="1:22" x14ac:dyDescent="0.2">
      <c r="A856" t="s">
        <v>887</v>
      </c>
      <c r="B856" s="1">
        <v>43490</v>
      </c>
      <c r="C856" s="2">
        <v>0.46180555555555558</v>
      </c>
      <c r="D856" s="2" t="str">
        <f>IF(Table1[[#This Row],[Time]]&lt;$D$1,$C$1,IF(Table1[[#This Row],[Time]]&lt;$D$2,$C$2,$C$3))</f>
        <v>Morning</v>
      </c>
      <c r="E856">
        <f>MONTH(Table1[[#This Row],[Date]])</f>
        <v>1</v>
      </c>
      <c r="F856" t="str">
        <f>VLOOKUP(Table1[[#This Row],[Month]],dctMonth[],2,FALSE)</f>
        <v>January</v>
      </c>
      <c r="G856" t="s">
        <v>19</v>
      </c>
      <c r="H856" t="s">
        <v>20</v>
      </c>
      <c r="I856" t="s">
        <v>28</v>
      </c>
      <c r="J856" t="s">
        <v>32</v>
      </c>
      <c r="K856">
        <v>66</v>
      </c>
      <c r="L856" t="str">
        <f>IF(Table1[[#This Row],[Age]]&lt;20,"&lt;20",IF(Table1[[#This Row],[Age]]&lt;=70,"20-70","&gt;70"))</f>
        <v>20-70</v>
      </c>
      <c r="M856" t="s">
        <v>47</v>
      </c>
      <c r="N856" t="s">
        <v>30</v>
      </c>
      <c r="O856">
        <v>74.099999999999994</v>
      </c>
      <c r="P856">
        <v>1</v>
      </c>
      <c r="Q856">
        <v>3.7050000000000001</v>
      </c>
      <c r="R856">
        <v>77.805000000000007</v>
      </c>
      <c r="S856">
        <v>74.099999999999994</v>
      </c>
      <c r="T856">
        <v>4.7619047620000003</v>
      </c>
      <c r="U856">
        <v>3.7050000000000001</v>
      </c>
      <c r="V856">
        <v>9.1999999999999993</v>
      </c>
    </row>
    <row r="857" spans="1:22" x14ac:dyDescent="0.2">
      <c r="A857" t="s">
        <v>888</v>
      </c>
      <c r="B857" s="1">
        <v>43515</v>
      </c>
      <c r="C857" s="2">
        <v>0.42499999999999999</v>
      </c>
      <c r="D857" s="2" t="str">
        <f>IF(Table1[[#This Row],[Time]]&lt;$D$1,$C$1,IF(Table1[[#This Row],[Time]]&lt;$D$2,$C$2,$C$3))</f>
        <v>Morning</v>
      </c>
      <c r="E857">
        <f>MONTH(Table1[[#This Row],[Date]])</f>
        <v>2</v>
      </c>
      <c r="F857" t="str">
        <f>VLOOKUP(Table1[[#This Row],[Month]],dctMonth[],2,FALSE)</f>
        <v>February</v>
      </c>
      <c r="G857" t="s">
        <v>19</v>
      </c>
      <c r="H857" t="s">
        <v>20</v>
      </c>
      <c r="I857" t="s">
        <v>28</v>
      </c>
      <c r="J857" t="s">
        <v>22</v>
      </c>
      <c r="K857">
        <v>89</v>
      </c>
      <c r="L857" t="str">
        <f>IF(Table1[[#This Row],[Age]]&lt;20,"&lt;20",IF(Table1[[#This Row],[Age]]&lt;=70,"20-70","&gt;70"))</f>
        <v>&gt;70</v>
      </c>
      <c r="M857" t="s">
        <v>47</v>
      </c>
      <c r="N857" t="s">
        <v>24</v>
      </c>
      <c r="O857">
        <v>98.48</v>
      </c>
      <c r="P857">
        <v>2</v>
      </c>
      <c r="Q857">
        <v>9.8480000000000008</v>
      </c>
      <c r="R857">
        <v>206.80799999999999</v>
      </c>
      <c r="S857">
        <v>196.96</v>
      </c>
      <c r="T857">
        <v>4.7619047620000003</v>
      </c>
      <c r="U857">
        <v>9.8480000000000008</v>
      </c>
      <c r="V857">
        <v>9.1999999999999993</v>
      </c>
    </row>
    <row r="858" spans="1:22" x14ac:dyDescent="0.2">
      <c r="A858" t="s">
        <v>889</v>
      </c>
      <c r="B858" s="1">
        <v>43479</v>
      </c>
      <c r="C858" s="2">
        <v>0.65416666666666667</v>
      </c>
      <c r="D858" s="2" t="str">
        <f>IF(Table1[[#This Row],[Time]]&lt;$D$1,$C$1,IF(Table1[[#This Row],[Time]]&lt;$D$2,$C$2,$C$3))</f>
        <v>Afternoon</v>
      </c>
      <c r="E858">
        <f>MONTH(Table1[[#This Row],[Date]])</f>
        <v>1</v>
      </c>
      <c r="F858" t="str">
        <f>VLOOKUP(Table1[[#This Row],[Month]],dctMonth[],2,FALSE)</f>
        <v>January</v>
      </c>
      <c r="G858" t="s">
        <v>26</v>
      </c>
      <c r="H858" t="s">
        <v>27</v>
      </c>
      <c r="I858" t="s">
        <v>28</v>
      </c>
      <c r="J858" t="s">
        <v>32</v>
      </c>
      <c r="K858">
        <v>56</v>
      </c>
      <c r="L858" t="str">
        <f>IF(Table1[[#This Row],[Age]]&lt;20,"&lt;20",IF(Table1[[#This Row],[Age]]&lt;=70,"20-70","&gt;70"))</f>
        <v>20-70</v>
      </c>
      <c r="M858" t="s">
        <v>23</v>
      </c>
      <c r="N858" t="s">
        <v>24</v>
      </c>
      <c r="O858">
        <v>53.19</v>
      </c>
      <c r="P858">
        <v>7</v>
      </c>
      <c r="Q858">
        <v>18.616499999999998</v>
      </c>
      <c r="R858">
        <v>390.94650000000001</v>
      </c>
      <c r="S858">
        <v>372.33</v>
      </c>
      <c r="T858">
        <v>4.7619047620000003</v>
      </c>
      <c r="U858">
        <v>18.616499999999998</v>
      </c>
      <c r="V858">
        <v>5</v>
      </c>
    </row>
    <row r="859" spans="1:22" x14ac:dyDescent="0.2">
      <c r="A859" t="s">
        <v>890</v>
      </c>
      <c r="B859" s="1">
        <v>43521</v>
      </c>
      <c r="C859" s="2">
        <v>0.49861111111111112</v>
      </c>
      <c r="D859" s="2" t="str">
        <f>IF(Table1[[#This Row],[Time]]&lt;$D$1,$C$1,IF(Table1[[#This Row],[Time]]&lt;$D$2,$C$2,$C$3))</f>
        <v>Morning</v>
      </c>
      <c r="E859">
        <f>MONTH(Table1[[#This Row],[Date]])</f>
        <v>2</v>
      </c>
      <c r="F859" t="str">
        <f>VLOOKUP(Table1[[#This Row],[Month]],dctMonth[],2,FALSE)</f>
        <v>February</v>
      </c>
      <c r="G859" t="s">
        <v>43</v>
      </c>
      <c r="H859" t="s">
        <v>44</v>
      </c>
      <c r="I859" t="s">
        <v>28</v>
      </c>
      <c r="J859" t="s">
        <v>22</v>
      </c>
      <c r="K859">
        <v>40</v>
      </c>
      <c r="L859" t="str">
        <f>IF(Table1[[#This Row],[Age]]&lt;20,"&lt;20",IF(Table1[[#This Row],[Age]]&lt;=70,"20-70","&gt;70"))</f>
        <v>20-70</v>
      </c>
      <c r="M859" t="s">
        <v>29</v>
      </c>
      <c r="N859" t="s">
        <v>24</v>
      </c>
      <c r="O859">
        <v>52.79</v>
      </c>
      <c r="P859">
        <v>10</v>
      </c>
      <c r="Q859">
        <v>26.395</v>
      </c>
      <c r="R859">
        <v>554.29499999999996</v>
      </c>
      <c r="S859">
        <v>527.9</v>
      </c>
      <c r="T859">
        <v>4.7619047620000003</v>
      </c>
      <c r="U859">
        <v>26.395</v>
      </c>
      <c r="V859">
        <v>10</v>
      </c>
    </row>
    <row r="860" spans="1:22" x14ac:dyDescent="0.2">
      <c r="A860" t="s">
        <v>891</v>
      </c>
      <c r="B860" s="1">
        <v>43488</v>
      </c>
      <c r="C860" s="2">
        <v>0.59791666666666665</v>
      </c>
      <c r="D860" s="2" t="str">
        <f>IF(Table1[[#This Row],[Time]]&lt;$D$1,$C$1,IF(Table1[[#This Row],[Time]]&lt;$D$2,$C$2,$C$3))</f>
        <v>Afternoon</v>
      </c>
      <c r="E860">
        <f>MONTH(Table1[[#This Row],[Date]])</f>
        <v>1</v>
      </c>
      <c r="F860" t="str">
        <f>VLOOKUP(Table1[[#This Row],[Month]],dctMonth[],2,FALSE)</f>
        <v>January</v>
      </c>
      <c r="G860" t="s">
        <v>19</v>
      </c>
      <c r="H860" t="s">
        <v>20</v>
      </c>
      <c r="I860" t="s">
        <v>21</v>
      </c>
      <c r="J860" t="s">
        <v>22</v>
      </c>
      <c r="K860">
        <v>49</v>
      </c>
      <c r="L860" t="str">
        <f>IF(Table1[[#This Row],[Age]]&lt;20,"&lt;20",IF(Table1[[#This Row],[Age]]&lt;=70,"20-70","&gt;70"))</f>
        <v>20-70</v>
      </c>
      <c r="M860" t="s">
        <v>23</v>
      </c>
      <c r="N860" t="s">
        <v>24</v>
      </c>
      <c r="O860">
        <v>95.95</v>
      </c>
      <c r="P860">
        <v>5</v>
      </c>
      <c r="Q860">
        <v>23.987500000000001</v>
      </c>
      <c r="R860">
        <v>503.73750000000001</v>
      </c>
      <c r="S860">
        <v>479.75</v>
      </c>
      <c r="T860">
        <v>4.7619047620000003</v>
      </c>
      <c r="U860">
        <v>23.987500000000001</v>
      </c>
      <c r="V860">
        <v>8.8000000000000007</v>
      </c>
    </row>
    <row r="861" spans="1:22" x14ac:dyDescent="0.2">
      <c r="A861" t="s">
        <v>892</v>
      </c>
      <c r="B861" s="1">
        <v>43512</v>
      </c>
      <c r="C861" s="2">
        <v>0.45277777777777778</v>
      </c>
      <c r="D861" s="2" t="str">
        <f>IF(Table1[[#This Row],[Time]]&lt;$D$1,$C$1,IF(Table1[[#This Row],[Time]]&lt;$D$2,$C$2,$C$3))</f>
        <v>Morning</v>
      </c>
      <c r="E861">
        <f>MONTH(Table1[[#This Row],[Date]])</f>
        <v>2</v>
      </c>
      <c r="F861" t="str">
        <f>VLOOKUP(Table1[[#This Row],[Month]],dctMonth[],2,FALSE)</f>
        <v>February</v>
      </c>
      <c r="G861" t="s">
        <v>43</v>
      </c>
      <c r="H861" t="s">
        <v>44</v>
      </c>
      <c r="I861" t="s">
        <v>28</v>
      </c>
      <c r="J861" t="s">
        <v>22</v>
      </c>
      <c r="K861">
        <v>24</v>
      </c>
      <c r="L861" t="str">
        <f>IF(Table1[[#This Row],[Age]]&lt;20,"&lt;20",IF(Table1[[#This Row],[Age]]&lt;=70,"20-70","&gt;70"))</f>
        <v>20-70</v>
      </c>
      <c r="M861" t="s">
        <v>47</v>
      </c>
      <c r="N861" t="s">
        <v>30</v>
      </c>
      <c r="O861">
        <v>36.51</v>
      </c>
      <c r="P861">
        <v>9</v>
      </c>
      <c r="Q861">
        <v>16.429500000000001</v>
      </c>
      <c r="R861">
        <v>345.01949999999999</v>
      </c>
      <c r="S861">
        <v>328.59</v>
      </c>
      <c r="T861">
        <v>4.7619047620000003</v>
      </c>
      <c r="U861">
        <v>16.429500000000001</v>
      </c>
      <c r="V861">
        <v>4.2</v>
      </c>
    </row>
    <row r="862" spans="1:22" x14ac:dyDescent="0.2">
      <c r="A862" t="s">
        <v>893</v>
      </c>
      <c r="B862" s="1">
        <v>43466</v>
      </c>
      <c r="C862" s="2">
        <v>0.81319444444444444</v>
      </c>
      <c r="D862" s="2" t="str">
        <f>IF(Table1[[#This Row],[Time]]&lt;$D$1,$C$1,IF(Table1[[#This Row],[Time]]&lt;$D$2,$C$2,$C$3))</f>
        <v>Evening</v>
      </c>
      <c r="E862">
        <f>MONTH(Table1[[#This Row],[Date]])</f>
        <v>1</v>
      </c>
      <c r="F862" t="str">
        <f>VLOOKUP(Table1[[#This Row],[Month]],dctMonth[],2,FALSE)</f>
        <v>January</v>
      </c>
      <c r="G862" t="s">
        <v>43</v>
      </c>
      <c r="H862" t="s">
        <v>44</v>
      </c>
      <c r="I862" t="s">
        <v>28</v>
      </c>
      <c r="J862" t="s">
        <v>32</v>
      </c>
      <c r="K862">
        <v>56</v>
      </c>
      <c r="L862" t="str">
        <f>IF(Table1[[#This Row],[Age]]&lt;20,"&lt;20",IF(Table1[[#This Row],[Age]]&lt;=70,"20-70","&gt;70"))</f>
        <v>20-70</v>
      </c>
      <c r="M862" t="s">
        <v>45</v>
      </c>
      <c r="N862" t="s">
        <v>30</v>
      </c>
      <c r="O862">
        <v>21.12</v>
      </c>
      <c r="P862">
        <v>8</v>
      </c>
      <c r="Q862">
        <v>8.4480000000000004</v>
      </c>
      <c r="R862">
        <v>177.40799999999999</v>
      </c>
      <c r="S862">
        <v>168.96</v>
      </c>
      <c r="T862">
        <v>4.7619047620000003</v>
      </c>
      <c r="U862">
        <v>8.4480000000000004</v>
      </c>
      <c r="V862">
        <v>6.3</v>
      </c>
    </row>
    <row r="863" spans="1:22" x14ac:dyDescent="0.2">
      <c r="A863" t="s">
        <v>894</v>
      </c>
      <c r="B863" s="1">
        <v>43531</v>
      </c>
      <c r="C863" s="2">
        <v>0.77430555555555558</v>
      </c>
      <c r="D863" s="2" t="str">
        <f>IF(Table1[[#This Row],[Time]]&lt;$D$1,$C$1,IF(Table1[[#This Row],[Time]]&lt;$D$2,$C$2,$C$3))</f>
        <v>Evening</v>
      </c>
      <c r="E863">
        <f>MONTH(Table1[[#This Row],[Date]])</f>
        <v>3</v>
      </c>
      <c r="F863" t="str">
        <f>VLOOKUP(Table1[[#This Row],[Month]],dctMonth[],2,FALSE)</f>
        <v>March</v>
      </c>
      <c r="G863" t="s">
        <v>19</v>
      </c>
      <c r="H863" t="s">
        <v>20</v>
      </c>
      <c r="I863" t="s">
        <v>21</v>
      </c>
      <c r="J863" t="s">
        <v>22</v>
      </c>
      <c r="K863">
        <v>90</v>
      </c>
      <c r="L863" t="str">
        <f>IF(Table1[[#This Row],[Age]]&lt;20,"&lt;20",IF(Table1[[#This Row],[Age]]&lt;=70,"20-70","&gt;70"))</f>
        <v>&gt;70</v>
      </c>
      <c r="M863" t="s">
        <v>33</v>
      </c>
      <c r="N863" t="s">
        <v>30</v>
      </c>
      <c r="O863">
        <v>28.31</v>
      </c>
      <c r="P863">
        <v>4</v>
      </c>
      <c r="Q863">
        <v>5.6619999999999999</v>
      </c>
      <c r="R863">
        <v>118.902</v>
      </c>
      <c r="S863">
        <v>113.24</v>
      </c>
      <c r="T863">
        <v>4.7619047620000003</v>
      </c>
      <c r="U863">
        <v>5.6619999999999999</v>
      </c>
      <c r="V863">
        <v>8.1999999999999993</v>
      </c>
    </row>
    <row r="864" spans="1:22" x14ac:dyDescent="0.2">
      <c r="A864" t="s">
        <v>895</v>
      </c>
      <c r="B864" s="1">
        <v>43511</v>
      </c>
      <c r="C864" s="2">
        <v>0.57708333333333328</v>
      </c>
      <c r="D864" s="2" t="str">
        <f>IF(Table1[[#This Row],[Time]]&lt;$D$1,$C$1,IF(Table1[[#This Row],[Time]]&lt;$D$2,$C$2,$C$3))</f>
        <v>Afternoon</v>
      </c>
      <c r="E864">
        <f>MONTH(Table1[[#This Row],[Date]])</f>
        <v>2</v>
      </c>
      <c r="F864" t="str">
        <f>VLOOKUP(Table1[[#This Row],[Month]],dctMonth[],2,FALSE)</f>
        <v>February</v>
      </c>
      <c r="G864" t="s">
        <v>43</v>
      </c>
      <c r="H864" t="s">
        <v>44</v>
      </c>
      <c r="I864" t="s">
        <v>28</v>
      </c>
      <c r="J864" t="s">
        <v>32</v>
      </c>
      <c r="K864">
        <v>18</v>
      </c>
      <c r="L864" t="str">
        <f>IF(Table1[[#This Row],[Age]]&lt;20,"&lt;20",IF(Table1[[#This Row],[Age]]&lt;=70,"20-70","&gt;70"))</f>
        <v>&lt;20</v>
      </c>
      <c r="M864" t="s">
        <v>23</v>
      </c>
      <c r="N864" t="s">
        <v>30</v>
      </c>
      <c r="O864">
        <v>57.59</v>
      </c>
      <c r="P864">
        <v>6</v>
      </c>
      <c r="Q864">
        <v>17.277000000000001</v>
      </c>
      <c r="R864">
        <v>362.81700000000001</v>
      </c>
      <c r="S864">
        <v>345.54</v>
      </c>
      <c r="T864">
        <v>4.7619047620000003</v>
      </c>
      <c r="U864">
        <v>17.277000000000001</v>
      </c>
      <c r="V864">
        <v>5.0999999999999996</v>
      </c>
    </row>
    <row r="865" spans="1:22" x14ac:dyDescent="0.2">
      <c r="A865" t="s">
        <v>896</v>
      </c>
      <c r="B865" s="1">
        <v>43488</v>
      </c>
      <c r="C865" s="2">
        <v>0.52430555555555558</v>
      </c>
      <c r="D865" s="2" t="str">
        <f>IF(Table1[[#This Row],[Time]]&lt;$D$1,$C$1,IF(Table1[[#This Row],[Time]]&lt;$D$2,$C$2,$C$3))</f>
        <v>Afternoon</v>
      </c>
      <c r="E865">
        <f>MONTH(Table1[[#This Row],[Date]])</f>
        <v>1</v>
      </c>
      <c r="F865" t="str">
        <f>VLOOKUP(Table1[[#This Row],[Month]],dctMonth[],2,FALSE)</f>
        <v>January</v>
      </c>
      <c r="G865" t="s">
        <v>19</v>
      </c>
      <c r="H865" t="s">
        <v>20</v>
      </c>
      <c r="I865" t="s">
        <v>21</v>
      </c>
      <c r="J865" t="s">
        <v>22</v>
      </c>
      <c r="K865">
        <v>37</v>
      </c>
      <c r="L865" t="str">
        <f>IF(Table1[[#This Row],[Age]]&lt;20,"&lt;20",IF(Table1[[#This Row],[Age]]&lt;=70,"20-70","&gt;70"))</f>
        <v>20-70</v>
      </c>
      <c r="M865" t="s">
        <v>45</v>
      </c>
      <c r="N865" t="s">
        <v>30</v>
      </c>
      <c r="O865">
        <v>47.63</v>
      </c>
      <c r="P865">
        <v>9</v>
      </c>
      <c r="Q865">
        <v>21.433499999999999</v>
      </c>
      <c r="R865">
        <v>450.1035</v>
      </c>
      <c r="S865">
        <v>428.67</v>
      </c>
      <c r="T865">
        <v>4.7619047620000003</v>
      </c>
      <c r="U865">
        <v>21.433499999999999</v>
      </c>
      <c r="V865">
        <v>5</v>
      </c>
    </row>
    <row r="866" spans="1:22" x14ac:dyDescent="0.2">
      <c r="A866" t="s">
        <v>897</v>
      </c>
      <c r="B866" s="1">
        <v>43516</v>
      </c>
      <c r="C866" s="2">
        <v>0.55833333333333335</v>
      </c>
      <c r="D866" s="2" t="str">
        <f>IF(Table1[[#This Row],[Time]]&lt;$D$1,$C$1,IF(Table1[[#This Row],[Time]]&lt;$D$2,$C$2,$C$3))</f>
        <v>Afternoon</v>
      </c>
      <c r="E866">
        <f>MONTH(Table1[[#This Row],[Date]])</f>
        <v>2</v>
      </c>
      <c r="F866" t="str">
        <f>VLOOKUP(Table1[[#This Row],[Month]],dctMonth[],2,FALSE)</f>
        <v>February</v>
      </c>
      <c r="G866" t="s">
        <v>26</v>
      </c>
      <c r="H866" t="s">
        <v>27</v>
      </c>
      <c r="I866" t="s">
        <v>21</v>
      </c>
      <c r="J866" t="s">
        <v>22</v>
      </c>
      <c r="K866">
        <v>78</v>
      </c>
      <c r="L866" t="str">
        <f>IF(Table1[[#This Row],[Age]]&lt;20,"&lt;20",IF(Table1[[#This Row],[Age]]&lt;=70,"20-70","&gt;70"))</f>
        <v>&gt;70</v>
      </c>
      <c r="M866" t="s">
        <v>33</v>
      </c>
      <c r="N866" t="s">
        <v>24</v>
      </c>
      <c r="O866">
        <v>86.27</v>
      </c>
      <c r="P866">
        <v>1</v>
      </c>
      <c r="Q866">
        <v>4.3135000000000003</v>
      </c>
      <c r="R866">
        <v>90.583500000000001</v>
      </c>
      <c r="S866">
        <v>86.27</v>
      </c>
      <c r="T866">
        <v>4.7619047620000003</v>
      </c>
      <c r="U866">
        <v>4.3135000000000003</v>
      </c>
      <c r="V866">
        <v>7</v>
      </c>
    </row>
    <row r="867" spans="1:22" x14ac:dyDescent="0.2">
      <c r="A867" t="s">
        <v>898</v>
      </c>
      <c r="B867" s="1">
        <v>43473</v>
      </c>
      <c r="C867" s="2">
        <v>0.75416666666666665</v>
      </c>
      <c r="D867" s="2" t="str">
        <f>IF(Table1[[#This Row],[Time]]&lt;$D$1,$C$1,IF(Table1[[#This Row],[Time]]&lt;$D$2,$C$2,$C$3))</f>
        <v>Evening</v>
      </c>
      <c r="E867">
        <f>MONTH(Table1[[#This Row],[Date]])</f>
        <v>1</v>
      </c>
      <c r="F867" t="str">
        <f>VLOOKUP(Table1[[#This Row],[Month]],dctMonth[],2,FALSE)</f>
        <v>January</v>
      </c>
      <c r="G867" t="s">
        <v>19</v>
      </c>
      <c r="H867" t="s">
        <v>20</v>
      </c>
      <c r="I867" t="s">
        <v>21</v>
      </c>
      <c r="J867" t="s">
        <v>32</v>
      </c>
      <c r="K867">
        <v>80</v>
      </c>
      <c r="L867" t="str">
        <f>IF(Table1[[#This Row],[Age]]&lt;20,"&lt;20",IF(Table1[[#This Row],[Age]]&lt;=70,"20-70","&gt;70"))</f>
        <v>&gt;70</v>
      </c>
      <c r="M867" t="s">
        <v>37</v>
      </c>
      <c r="N867" t="s">
        <v>24</v>
      </c>
      <c r="O867">
        <v>12.76</v>
      </c>
      <c r="P867">
        <v>2</v>
      </c>
      <c r="Q867">
        <v>1.276</v>
      </c>
      <c r="R867">
        <v>26.795999999999999</v>
      </c>
      <c r="S867">
        <v>25.52</v>
      </c>
      <c r="T867">
        <v>4.7619047620000003</v>
      </c>
      <c r="U867">
        <v>1.276</v>
      </c>
      <c r="V867">
        <v>7.8</v>
      </c>
    </row>
    <row r="868" spans="1:22" x14ac:dyDescent="0.2">
      <c r="A868" t="s">
        <v>899</v>
      </c>
      <c r="B868" s="1">
        <v>43541</v>
      </c>
      <c r="C868" s="2">
        <v>0.49652777777777779</v>
      </c>
      <c r="D868" s="2" t="str">
        <f>IF(Table1[[#This Row],[Time]]&lt;$D$1,$C$1,IF(Table1[[#This Row],[Time]]&lt;$D$2,$C$2,$C$3))</f>
        <v>Morning</v>
      </c>
      <c r="E868">
        <f>MONTH(Table1[[#This Row],[Date]])</f>
        <v>3</v>
      </c>
      <c r="F868" t="str">
        <f>VLOOKUP(Table1[[#This Row],[Month]],dctMonth[],2,FALSE)</f>
        <v>March</v>
      </c>
      <c r="G868" t="s">
        <v>43</v>
      </c>
      <c r="H868" t="s">
        <v>44</v>
      </c>
      <c r="I868" t="s">
        <v>28</v>
      </c>
      <c r="J868" t="s">
        <v>22</v>
      </c>
      <c r="K868">
        <v>38</v>
      </c>
      <c r="L868" t="str">
        <f>IF(Table1[[#This Row],[Age]]&lt;20,"&lt;20",IF(Table1[[#This Row],[Age]]&lt;=70,"20-70","&gt;70"))</f>
        <v>20-70</v>
      </c>
      <c r="M868" t="s">
        <v>33</v>
      </c>
      <c r="N868" t="s">
        <v>34</v>
      </c>
      <c r="O868">
        <v>11.28</v>
      </c>
      <c r="P868">
        <v>9</v>
      </c>
      <c r="Q868">
        <v>5.0759999999999996</v>
      </c>
      <c r="R868">
        <v>106.596</v>
      </c>
      <c r="S868">
        <v>101.52</v>
      </c>
      <c r="T868">
        <v>4.7619047620000003</v>
      </c>
      <c r="U868">
        <v>5.0759999999999996</v>
      </c>
      <c r="V868">
        <v>4.3</v>
      </c>
    </row>
    <row r="869" spans="1:22" x14ac:dyDescent="0.2">
      <c r="A869" t="s">
        <v>900</v>
      </c>
      <c r="B869" s="1">
        <v>43477</v>
      </c>
      <c r="C869" s="2">
        <v>0.48749999999999999</v>
      </c>
      <c r="D869" s="2" t="str">
        <f>IF(Table1[[#This Row],[Time]]&lt;$D$1,$C$1,IF(Table1[[#This Row],[Time]]&lt;$D$2,$C$2,$C$3))</f>
        <v>Morning</v>
      </c>
      <c r="E869">
        <f>MONTH(Table1[[#This Row],[Date]])</f>
        <v>1</v>
      </c>
      <c r="F869" t="str">
        <f>VLOOKUP(Table1[[#This Row],[Month]],dctMonth[],2,FALSE)</f>
        <v>January</v>
      </c>
      <c r="G869" t="s">
        <v>43</v>
      </c>
      <c r="H869" t="s">
        <v>44</v>
      </c>
      <c r="I869" t="s">
        <v>28</v>
      </c>
      <c r="J869" t="s">
        <v>22</v>
      </c>
      <c r="K869">
        <v>79</v>
      </c>
      <c r="L869" t="str">
        <f>IF(Table1[[#This Row],[Age]]&lt;20,"&lt;20",IF(Table1[[#This Row],[Age]]&lt;=70,"20-70","&gt;70"))</f>
        <v>&gt;70</v>
      </c>
      <c r="M869" t="s">
        <v>33</v>
      </c>
      <c r="N869" t="s">
        <v>30</v>
      </c>
      <c r="O869">
        <v>51.07</v>
      </c>
      <c r="P869">
        <v>7</v>
      </c>
      <c r="Q869">
        <v>17.874500000000001</v>
      </c>
      <c r="R869">
        <v>375.36450000000002</v>
      </c>
      <c r="S869">
        <v>357.49</v>
      </c>
      <c r="T869">
        <v>4.7619047620000003</v>
      </c>
      <c r="U869">
        <v>17.874500000000001</v>
      </c>
      <c r="V869">
        <v>7</v>
      </c>
    </row>
    <row r="870" spans="1:22" x14ac:dyDescent="0.2">
      <c r="A870" t="s">
        <v>901</v>
      </c>
      <c r="B870" s="1">
        <v>43473</v>
      </c>
      <c r="C870" s="2">
        <v>0.60416666666666663</v>
      </c>
      <c r="D870" s="2" t="str">
        <f>IF(Table1[[#This Row],[Time]]&lt;$D$1,$C$1,IF(Table1[[#This Row],[Time]]&lt;$D$2,$C$2,$C$3))</f>
        <v>Afternoon</v>
      </c>
      <c r="E870">
        <f>MONTH(Table1[[#This Row],[Date]])</f>
        <v>1</v>
      </c>
      <c r="F870" t="str">
        <f>VLOOKUP(Table1[[#This Row],[Month]],dctMonth[],2,FALSE)</f>
        <v>January</v>
      </c>
      <c r="G870" t="s">
        <v>19</v>
      </c>
      <c r="H870" t="s">
        <v>20</v>
      </c>
      <c r="I870" t="s">
        <v>21</v>
      </c>
      <c r="J870" t="s">
        <v>22</v>
      </c>
      <c r="K870">
        <v>51</v>
      </c>
      <c r="L870" t="str">
        <f>IF(Table1[[#This Row],[Age]]&lt;20,"&lt;20",IF(Table1[[#This Row],[Age]]&lt;=70,"20-70","&gt;70"))</f>
        <v>20-70</v>
      </c>
      <c r="M870" t="s">
        <v>29</v>
      </c>
      <c r="N870" t="s">
        <v>30</v>
      </c>
      <c r="O870">
        <v>79.59</v>
      </c>
      <c r="P870">
        <v>3</v>
      </c>
      <c r="Q870">
        <v>11.938499999999999</v>
      </c>
      <c r="R870">
        <v>250.70849999999999</v>
      </c>
      <c r="S870">
        <v>238.77</v>
      </c>
      <c r="T870">
        <v>4.7619047620000003</v>
      </c>
      <c r="U870">
        <v>11.938499999999999</v>
      </c>
      <c r="V870">
        <v>6.6</v>
      </c>
    </row>
    <row r="871" spans="1:22" x14ac:dyDescent="0.2">
      <c r="A871" t="s">
        <v>902</v>
      </c>
      <c r="B871" s="1">
        <v>43491</v>
      </c>
      <c r="C871" s="2">
        <v>0.63263888888888886</v>
      </c>
      <c r="D871" s="2" t="str">
        <f>IF(Table1[[#This Row],[Time]]&lt;$D$1,$C$1,IF(Table1[[#This Row],[Time]]&lt;$D$2,$C$2,$C$3))</f>
        <v>Afternoon</v>
      </c>
      <c r="E871">
        <f>MONTH(Table1[[#This Row],[Date]])</f>
        <v>1</v>
      </c>
      <c r="F871" t="str">
        <f>VLOOKUP(Table1[[#This Row],[Month]],dctMonth[],2,FALSE)</f>
        <v>January</v>
      </c>
      <c r="G871" t="s">
        <v>26</v>
      </c>
      <c r="H871" t="s">
        <v>27</v>
      </c>
      <c r="I871" t="s">
        <v>21</v>
      </c>
      <c r="J871" t="s">
        <v>32</v>
      </c>
      <c r="K871">
        <v>27</v>
      </c>
      <c r="L871" t="str">
        <f>IF(Table1[[#This Row],[Age]]&lt;20,"&lt;20",IF(Table1[[#This Row],[Age]]&lt;=70,"20-70","&gt;70"))</f>
        <v>20-70</v>
      </c>
      <c r="M871" t="s">
        <v>23</v>
      </c>
      <c r="N871" t="s">
        <v>24</v>
      </c>
      <c r="O871">
        <v>33.81</v>
      </c>
      <c r="P871">
        <v>3</v>
      </c>
      <c r="Q871">
        <v>5.0715000000000003</v>
      </c>
      <c r="R871">
        <v>106.50149999999999</v>
      </c>
      <c r="S871">
        <v>101.43</v>
      </c>
      <c r="T871">
        <v>4.7619047620000003</v>
      </c>
      <c r="U871">
        <v>5.0715000000000003</v>
      </c>
      <c r="V871">
        <v>7.3</v>
      </c>
    </row>
    <row r="872" spans="1:22" x14ac:dyDescent="0.2">
      <c r="A872" t="s">
        <v>903</v>
      </c>
      <c r="B872" s="1">
        <v>43539</v>
      </c>
      <c r="C872" s="2">
        <v>0.6166666666666667</v>
      </c>
      <c r="D872" s="2" t="str">
        <f>IF(Table1[[#This Row],[Time]]&lt;$D$1,$C$1,IF(Table1[[#This Row],[Time]]&lt;$D$2,$C$2,$C$3))</f>
        <v>Afternoon</v>
      </c>
      <c r="E872">
        <f>MONTH(Table1[[#This Row],[Date]])</f>
        <v>3</v>
      </c>
      <c r="F872" t="str">
        <f>VLOOKUP(Table1[[#This Row],[Month]],dctMonth[],2,FALSE)</f>
        <v>March</v>
      </c>
      <c r="G872" t="s">
        <v>43</v>
      </c>
      <c r="H872" t="s">
        <v>44</v>
      </c>
      <c r="I872" t="s">
        <v>21</v>
      </c>
      <c r="J872" t="s">
        <v>32</v>
      </c>
      <c r="K872">
        <v>76</v>
      </c>
      <c r="L872" t="str">
        <f>IF(Table1[[#This Row],[Age]]&lt;20,"&lt;20",IF(Table1[[#This Row],[Age]]&lt;=70,"20-70","&gt;70"))</f>
        <v>&gt;70</v>
      </c>
      <c r="M872" t="s">
        <v>37</v>
      </c>
      <c r="N872" t="s">
        <v>34</v>
      </c>
      <c r="O872">
        <v>90.53</v>
      </c>
      <c r="P872">
        <v>8</v>
      </c>
      <c r="Q872">
        <v>36.212000000000003</v>
      </c>
      <c r="R872">
        <v>760.452</v>
      </c>
      <c r="S872">
        <v>724.24</v>
      </c>
      <c r="T872">
        <v>4.7619047620000003</v>
      </c>
      <c r="U872">
        <v>36.212000000000003</v>
      </c>
      <c r="V872">
        <v>6.5</v>
      </c>
    </row>
    <row r="873" spans="1:22" x14ac:dyDescent="0.2">
      <c r="A873" t="s">
        <v>904</v>
      </c>
      <c r="B873" s="1">
        <v>43482</v>
      </c>
      <c r="C873" s="2">
        <v>0.52500000000000002</v>
      </c>
      <c r="D873" s="2" t="str">
        <f>IF(Table1[[#This Row],[Time]]&lt;$D$1,$C$1,IF(Table1[[#This Row],[Time]]&lt;$D$2,$C$2,$C$3))</f>
        <v>Afternoon</v>
      </c>
      <c r="E873">
        <f>MONTH(Table1[[#This Row],[Date]])</f>
        <v>1</v>
      </c>
      <c r="F873" t="str">
        <f>VLOOKUP(Table1[[#This Row],[Month]],dctMonth[],2,FALSE)</f>
        <v>January</v>
      </c>
      <c r="G873" t="s">
        <v>26</v>
      </c>
      <c r="H873" t="s">
        <v>27</v>
      </c>
      <c r="I873" t="s">
        <v>21</v>
      </c>
      <c r="J873" t="s">
        <v>22</v>
      </c>
      <c r="K873">
        <v>68</v>
      </c>
      <c r="L873" t="str">
        <f>IF(Table1[[#This Row],[Age]]&lt;20,"&lt;20",IF(Table1[[#This Row],[Age]]&lt;=70,"20-70","&gt;70"))</f>
        <v>20-70</v>
      </c>
      <c r="M873" t="s">
        <v>23</v>
      </c>
      <c r="N873" t="s">
        <v>24</v>
      </c>
      <c r="O873">
        <v>62.82</v>
      </c>
      <c r="P873">
        <v>2</v>
      </c>
      <c r="Q873">
        <v>6.282</v>
      </c>
      <c r="R873">
        <v>131.922</v>
      </c>
      <c r="S873">
        <v>125.64</v>
      </c>
      <c r="T873">
        <v>4.7619047620000003</v>
      </c>
      <c r="U873">
        <v>6.282</v>
      </c>
      <c r="V873">
        <v>4.9000000000000004</v>
      </c>
    </row>
    <row r="874" spans="1:22" x14ac:dyDescent="0.2">
      <c r="A874" t="s">
        <v>905</v>
      </c>
      <c r="B874" s="1">
        <v>43473</v>
      </c>
      <c r="C874" s="2">
        <v>0.79791666666666672</v>
      </c>
      <c r="D874" s="2" t="str">
        <f>IF(Table1[[#This Row],[Time]]&lt;$D$1,$C$1,IF(Table1[[#This Row],[Time]]&lt;$D$2,$C$2,$C$3))</f>
        <v>Evening</v>
      </c>
      <c r="E874">
        <f>MONTH(Table1[[#This Row],[Date]])</f>
        <v>1</v>
      </c>
      <c r="F874" t="str">
        <f>VLOOKUP(Table1[[#This Row],[Month]],dctMonth[],2,FALSE)</f>
        <v>January</v>
      </c>
      <c r="G874" t="s">
        <v>26</v>
      </c>
      <c r="H874" t="s">
        <v>27</v>
      </c>
      <c r="I874" t="s">
        <v>21</v>
      </c>
      <c r="J874" t="s">
        <v>32</v>
      </c>
      <c r="K874">
        <v>57</v>
      </c>
      <c r="L874" t="str">
        <f>IF(Table1[[#This Row],[Age]]&lt;20,"&lt;20",IF(Table1[[#This Row],[Age]]&lt;=70,"20-70","&gt;70"))</f>
        <v>20-70</v>
      </c>
      <c r="M874" t="s">
        <v>45</v>
      </c>
      <c r="N874" t="s">
        <v>34</v>
      </c>
      <c r="O874">
        <v>24.31</v>
      </c>
      <c r="P874">
        <v>3</v>
      </c>
      <c r="Q874">
        <v>3.6465000000000001</v>
      </c>
      <c r="R874">
        <v>76.576499999999996</v>
      </c>
      <c r="S874">
        <v>72.930000000000007</v>
      </c>
      <c r="T874">
        <v>4.7619047620000003</v>
      </c>
      <c r="U874">
        <v>3.6465000000000001</v>
      </c>
      <c r="V874">
        <v>4.3</v>
      </c>
    </row>
    <row r="875" spans="1:22" x14ac:dyDescent="0.2">
      <c r="A875" t="s">
        <v>906</v>
      </c>
      <c r="B875" s="1">
        <v>43471</v>
      </c>
      <c r="C875" s="2">
        <v>0.56597222222222221</v>
      </c>
      <c r="D875" s="2" t="str">
        <f>IF(Table1[[#This Row],[Time]]&lt;$D$1,$C$1,IF(Table1[[#This Row],[Time]]&lt;$D$2,$C$2,$C$3))</f>
        <v>Afternoon</v>
      </c>
      <c r="E875">
        <f>MONTH(Table1[[#This Row],[Date]])</f>
        <v>1</v>
      </c>
      <c r="F875" t="str">
        <f>VLOOKUP(Table1[[#This Row],[Month]],dctMonth[],2,FALSE)</f>
        <v>January</v>
      </c>
      <c r="G875" t="s">
        <v>19</v>
      </c>
      <c r="H875" t="s">
        <v>20</v>
      </c>
      <c r="I875" t="s">
        <v>28</v>
      </c>
      <c r="J875" t="s">
        <v>32</v>
      </c>
      <c r="K875">
        <v>65</v>
      </c>
      <c r="L875" t="str">
        <f>IF(Table1[[#This Row],[Age]]&lt;20,"&lt;20",IF(Table1[[#This Row],[Age]]&lt;=70,"20-70","&gt;70"))</f>
        <v>20-70</v>
      </c>
      <c r="M875" t="s">
        <v>37</v>
      </c>
      <c r="N875" t="s">
        <v>24</v>
      </c>
      <c r="O875">
        <v>64.59</v>
      </c>
      <c r="P875">
        <v>4</v>
      </c>
      <c r="Q875">
        <v>12.917999999999999</v>
      </c>
      <c r="R875">
        <v>271.27800000000002</v>
      </c>
      <c r="S875">
        <v>258.36</v>
      </c>
      <c r="T875">
        <v>4.7619047620000003</v>
      </c>
      <c r="U875">
        <v>12.917999999999999</v>
      </c>
      <c r="V875">
        <v>9.3000000000000007</v>
      </c>
    </row>
    <row r="876" spans="1:22" x14ac:dyDescent="0.2">
      <c r="A876" t="s">
        <v>907</v>
      </c>
      <c r="B876" s="1">
        <v>43512</v>
      </c>
      <c r="C876" s="2">
        <v>0.43958333333333333</v>
      </c>
      <c r="D876" s="2" t="str">
        <f>IF(Table1[[#This Row],[Time]]&lt;$D$1,$C$1,IF(Table1[[#This Row],[Time]]&lt;$D$2,$C$2,$C$3))</f>
        <v>Morning</v>
      </c>
      <c r="E876">
        <f>MONTH(Table1[[#This Row],[Date]])</f>
        <v>2</v>
      </c>
      <c r="F876" t="str">
        <f>VLOOKUP(Table1[[#This Row],[Month]],dctMonth[],2,FALSE)</f>
        <v>February</v>
      </c>
      <c r="G876" t="s">
        <v>19</v>
      </c>
      <c r="H876" t="s">
        <v>20</v>
      </c>
      <c r="I876" t="s">
        <v>21</v>
      </c>
      <c r="J876" t="s">
        <v>32</v>
      </c>
      <c r="K876">
        <v>78</v>
      </c>
      <c r="L876" t="str">
        <f>IF(Table1[[#This Row],[Age]]&lt;20,"&lt;20",IF(Table1[[#This Row],[Age]]&lt;=70,"20-70","&gt;70"))</f>
        <v>&gt;70</v>
      </c>
      <c r="M876" t="s">
        <v>45</v>
      </c>
      <c r="N876" t="s">
        <v>34</v>
      </c>
      <c r="O876">
        <v>24.82</v>
      </c>
      <c r="P876">
        <v>7</v>
      </c>
      <c r="Q876">
        <v>8.6869999999999994</v>
      </c>
      <c r="R876">
        <v>182.42699999999999</v>
      </c>
      <c r="S876">
        <v>173.74</v>
      </c>
      <c r="T876">
        <v>4.7619047620000003</v>
      </c>
      <c r="U876">
        <v>8.6869999999999994</v>
      </c>
      <c r="V876">
        <v>7.1</v>
      </c>
    </row>
    <row r="877" spans="1:22" x14ac:dyDescent="0.2">
      <c r="A877" t="s">
        <v>908</v>
      </c>
      <c r="B877" s="1">
        <v>43537</v>
      </c>
      <c r="C877" s="2">
        <v>0.65625</v>
      </c>
      <c r="D877" s="2" t="str">
        <f>IF(Table1[[#This Row],[Time]]&lt;$D$1,$C$1,IF(Table1[[#This Row],[Time]]&lt;$D$2,$C$2,$C$3))</f>
        <v>Afternoon</v>
      </c>
      <c r="E877">
        <f>MONTH(Table1[[#This Row],[Date]])</f>
        <v>3</v>
      </c>
      <c r="F877" t="str">
        <f>VLOOKUP(Table1[[#This Row],[Month]],dctMonth[],2,FALSE)</f>
        <v>March</v>
      </c>
      <c r="G877" t="s">
        <v>26</v>
      </c>
      <c r="H877" t="s">
        <v>27</v>
      </c>
      <c r="I877" t="s">
        <v>28</v>
      </c>
      <c r="J877" t="s">
        <v>32</v>
      </c>
      <c r="K877">
        <v>76</v>
      </c>
      <c r="L877" t="str">
        <f>IF(Table1[[#This Row],[Age]]&lt;20,"&lt;20",IF(Table1[[#This Row],[Age]]&lt;=70,"20-70","&gt;70"))</f>
        <v>&gt;70</v>
      </c>
      <c r="M877" t="s">
        <v>47</v>
      </c>
      <c r="N877" t="s">
        <v>24</v>
      </c>
      <c r="O877">
        <v>56.5</v>
      </c>
      <c r="P877">
        <v>1</v>
      </c>
      <c r="Q877">
        <v>2.8250000000000002</v>
      </c>
      <c r="R877">
        <v>59.325000000000003</v>
      </c>
      <c r="S877">
        <v>56.5</v>
      </c>
      <c r="T877">
        <v>4.7619047620000003</v>
      </c>
      <c r="U877">
        <v>2.8250000000000002</v>
      </c>
      <c r="V877">
        <v>9.6</v>
      </c>
    </row>
    <row r="878" spans="1:22" x14ac:dyDescent="0.2">
      <c r="A878" t="s">
        <v>909</v>
      </c>
      <c r="B878" s="1">
        <v>43493</v>
      </c>
      <c r="C878" s="2">
        <v>0.49375000000000002</v>
      </c>
      <c r="D878" s="2" t="str">
        <f>IF(Table1[[#This Row],[Time]]&lt;$D$1,$C$1,IF(Table1[[#This Row],[Time]]&lt;$D$2,$C$2,$C$3))</f>
        <v>Morning</v>
      </c>
      <c r="E878">
        <f>MONTH(Table1[[#This Row],[Date]])</f>
        <v>1</v>
      </c>
      <c r="F878" t="str">
        <f>VLOOKUP(Table1[[#This Row],[Month]],dctMonth[],2,FALSE)</f>
        <v>January</v>
      </c>
      <c r="G878" t="s">
        <v>43</v>
      </c>
      <c r="H878" t="s">
        <v>44</v>
      </c>
      <c r="I878" t="s">
        <v>21</v>
      </c>
      <c r="J878" t="s">
        <v>22</v>
      </c>
      <c r="K878">
        <v>80</v>
      </c>
      <c r="L878" t="str">
        <f>IF(Table1[[#This Row],[Age]]&lt;20,"&lt;20",IF(Table1[[#This Row],[Age]]&lt;=70,"20-70","&gt;70"))</f>
        <v>&gt;70</v>
      </c>
      <c r="M878" t="s">
        <v>29</v>
      </c>
      <c r="N878" t="s">
        <v>30</v>
      </c>
      <c r="O878">
        <v>21.43</v>
      </c>
      <c r="P878">
        <v>10</v>
      </c>
      <c r="Q878">
        <v>10.715</v>
      </c>
      <c r="R878">
        <v>225.01499999999999</v>
      </c>
      <c r="S878">
        <v>214.3</v>
      </c>
      <c r="T878">
        <v>4.7619047620000003</v>
      </c>
      <c r="U878">
        <v>10.715</v>
      </c>
      <c r="V878">
        <v>6.2</v>
      </c>
    </row>
    <row r="879" spans="1:22" x14ac:dyDescent="0.2">
      <c r="A879" t="s">
        <v>910</v>
      </c>
      <c r="B879" s="1">
        <v>43483</v>
      </c>
      <c r="C879" s="2">
        <v>0.72638888888888886</v>
      </c>
      <c r="D879" s="2" t="str">
        <f>IF(Table1[[#This Row],[Time]]&lt;$D$1,$C$1,IF(Table1[[#This Row],[Time]]&lt;$D$2,$C$2,$C$3))</f>
        <v>Evening</v>
      </c>
      <c r="E879">
        <f>MONTH(Table1[[#This Row],[Date]])</f>
        <v>1</v>
      </c>
      <c r="F879" t="str">
        <f>VLOOKUP(Table1[[#This Row],[Month]],dctMonth[],2,FALSE)</f>
        <v>January</v>
      </c>
      <c r="G879" t="s">
        <v>19</v>
      </c>
      <c r="H879" t="s">
        <v>20</v>
      </c>
      <c r="I879" t="s">
        <v>21</v>
      </c>
      <c r="J879" t="s">
        <v>32</v>
      </c>
      <c r="K879">
        <v>17</v>
      </c>
      <c r="L879" t="str">
        <f>IF(Table1[[#This Row],[Age]]&lt;20,"&lt;20",IF(Table1[[#This Row],[Age]]&lt;=70,"20-70","&gt;70"))</f>
        <v>&lt;20</v>
      </c>
      <c r="M879" t="s">
        <v>37</v>
      </c>
      <c r="N879" t="s">
        <v>30</v>
      </c>
      <c r="O879">
        <v>89.06</v>
      </c>
      <c r="P879">
        <v>6</v>
      </c>
      <c r="Q879">
        <v>26.718</v>
      </c>
      <c r="R879">
        <v>561.07799999999997</v>
      </c>
      <c r="S879">
        <v>534.36</v>
      </c>
      <c r="T879">
        <v>4.7619047620000003</v>
      </c>
      <c r="U879">
        <v>26.718</v>
      </c>
      <c r="V879">
        <v>9.9</v>
      </c>
    </row>
    <row r="880" spans="1:22" x14ac:dyDescent="0.2">
      <c r="A880" t="s">
        <v>911</v>
      </c>
      <c r="B880" s="1">
        <v>43543</v>
      </c>
      <c r="C880" s="2">
        <v>0.49444444444444446</v>
      </c>
      <c r="D880" s="2" t="str">
        <f>IF(Table1[[#This Row],[Time]]&lt;$D$1,$C$1,IF(Table1[[#This Row],[Time]]&lt;$D$2,$C$2,$C$3))</f>
        <v>Morning</v>
      </c>
      <c r="E880">
        <f>MONTH(Table1[[#This Row],[Date]])</f>
        <v>3</v>
      </c>
      <c r="F880" t="str">
        <f>VLOOKUP(Table1[[#This Row],[Month]],dctMonth[],2,FALSE)</f>
        <v>March</v>
      </c>
      <c r="G880" t="s">
        <v>19</v>
      </c>
      <c r="H880" t="s">
        <v>20</v>
      </c>
      <c r="I880" t="s">
        <v>21</v>
      </c>
      <c r="J880" t="s">
        <v>32</v>
      </c>
      <c r="K880">
        <v>23</v>
      </c>
      <c r="L880" t="str">
        <f>IF(Table1[[#This Row],[Age]]&lt;20,"&lt;20",IF(Table1[[#This Row],[Age]]&lt;=70,"20-70","&gt;70"))</f>
        <v>20-70</v>
      </c>
      <c r="M880" t="s">
        <v>33</v>
      </c>
      <c r="N880" t="s">
        <v>34</v>
      </c>
      <c r="O880">
        <v>23.29</v>
      </c>
      <c r="P880">
        <v>4</v>
      </c>
      <c r="Q880">
        <v>4.6580000000000004</v>
      </c>
      <c r="R880">
        <v>97.817999999999998</v>
      </c>
      <c r="S880">
        <v>93.16</v>
      </c>
      <c r="T880">
        <v>4.7619047620000003</v>
      </c>
      <c r="U880">
        <v>4.6580000000000004</v>
      </c>
      <c r="V880">
        <v>5.9</v>
      </c>
    </row>
    <row r="881" spans="1:22" x14ac:dyDescent="0.2">
      <c r="A881" t="s">
        <v>912</v>
      </c>
      <c r="B881" s="1">
        <v>43539</v>
      </c>
      <c r="C881" s="2">
        <v>0.58611111111111114</v>
      </c>
      <c r="D881" s="2" t="str">
        <f>IF(Table1[[#This Row],[Time]]&lt;$D$1,$C$1,IF(Table1[[#This Row],[Time]]&lt;$D$2,$C$2,$C$3))</f>
        <v>Afternoon</v>
      </c>
      <c r="E881">
        <f>MONTH(Table1[[#This Row],[Date]])</f>
        <v>3</v>
      </c>
      <c r="F881" t="str">
        <f>VLOOKUP(Table1[[#This Row],[Month]],dctMonth[],2,FALSE)</f>
        <v>March</v>
      </c>
      <c r="G881" t="s">
        <v>26</v>
      </c>
      <c r="H881" t="s">
        <v>27</v>
      </c>
      <c r="I881" t="s">
        <v>28</v>
      </c>
      <c r="J881" t="s">
        <v>32</v>
      </c>
      <c r="K881">
        <v>40</v>
      </c>
      <c r="L881" t="str">
        <f>IF(Table1[[#This Row],[Age]]&lt;20,"&lt;20",IF(Table1[[#This Row],[Age]]&lt;=70,"20-70","&gt;70"))</f>
        <v>20-70</v>
      </c>
      <c r="M881" t="s">
        <v>33</v>
      </c>
      <c r="N881" t="s">
        <v>24</v>
      </c>
      <c r="O881">
        <v>65.260000000000005</v>
      </c>
      <c r="P881">
        <v>8</v>
      </c>
      <c r="Q881">
        <v>26.103999999999999</v>
      </c>
      <c r="R881">
        <v>548.18399999999997</v>
      </c>
      <c r="S881">
        <v>522.08000000000004</v>
      </c>
      <c r="T881">
        <v>4.7619047620000003</v>
      </c>
      <c r="U881">
        <v>26.103999999999999</v>
      </c>
      <c r="V881">
        <v>6.3</v>
      </c>
    </row>
    <row r="882" spans="1:22" x14ac:dyDescent="0.2">
      <c r="A882" t="s">
        <v>913</v>
      </c>
      <c r="B882" s="1">
        <v>43508</v>
      </c>
      <c r="C882" s="2">
        <v>0.74236111111111114</v>
      </c>
      <c r="D882" s="2" t="str">
        <f>IF(Table1[[#This Row],[Time]]&lt;$D$1,$C$1,IF(Table1[[#This Row],[Time]]&lt;$D$2,$C$2,$C$3))</f>
        <v>Evening</v>
      </c>
      <c r="E882">
        <f>MONTH(Table1[[#This Row],[Date]])</f>
        <v>2</v>
      </c>
      <c r="F882" t="str">
        <f>VLOOKUP(Table1[[#This Row],[Month]],dctMonth[],2,FALSE)</f>
        <v>February</v>
      </c>
      <c r="G882" t="s">
        <v>26</v>
      </c>
      <c r="H882" t="s">
        <v>27</v>
      </c>
      <c r="I882" t="s">
        <v>21</v>
      </c>
      <c r="J882" t="s">
        <v>32</v>
      </c>
      <c r="K882">
        <v>74</v>
      </c>
      <c r="L882" t="str">
        <f>IF(Table1[[#This Row],[Age]]&lt;20,"&lt;20",IF(Table1[[#This Row],[Age]]&lt;=70,"20-70","&gt;70"))</f>
        <v>&gt;70</v>
      </c>
      <c r="M882" t="s">
        <v>47</v>
      </c>
      <c r="N882" t="s">
        <v>30</v>
      </c>
      <c r="O882">
        <v>52.35</v>
      </c>
      <c r="P882">
        <v>1</v>
      </c>
      <c r="Q882">
        <v>2.6175000000000002</v>
      </c>
      <c r="R882">
        <v>54.967500000000001</v>
      </c>
      <c r="S882">
        <v>52.35</v>
      </c>
      <c r="T882">
        <v>4.7619047620000003</v>
      </c>
      <c r="U882">
        <v>2.6175000000000002</v>
      </c>
      <c r="V882">
        <v>4</v>
      </c>
    </row>
    <row r="883" spans="1:22" x14ac:dyDescent="0.2">
      <c r="A883" t="s">
        <v>914</v>
      </c>
      <c r="B883" s="1">
        <v>43521</v>
      </c>
      <c r="C883" s="2">
        <v>0.84652777777777777</v>
      </c>
      <c r="D883" s="2" t="str">
        <f>IF(Table1[[#This Row],[Time]]&lt;$D$1,$C$1,IF(Table1[[#This Row],[Time]]&lt;$D$2,$C$2,$C$3))</f>
        <v>Evening</v>
      </c>
      <c r="E883">
        <f>MONTH(Table1[[#This Row],[Date]])</f>
        <v>2</v>
      </c>
      <c r="F883" t="str">
        <f>VLOOKUP(Table1[[#This Row],[Month]],dctMonth[],2,FALSE)</f>
        <v>February</v>
      </c>
      <c r="G883" t="s">
        <v>43</v>
      </c>
      <c r="H883" t="s">
        <v>44</v>
      </c>
      <c r="I883" t="s">
        <v>21</v>
      </c>
      <c r="J883" t="s">
        <v>32</v>
      </c>
      <c r="K883">
        <v>80</v>
      </c>
      <c r="L883" t="str">
        <f>IF(Table1[[#This Row],[Age]]&lt;20,"&lt;20",IF(Table1[[#This Row],[Age]]&lt;=70,"20-70","&gt;70"))</f>
        <v>&gt;70</v>
      </c>
      <c r="M883" t="s">
        <v>29</v>
      </c>
      <c r="N883" t="s">
        <v>30</v>
      </c>
      <c r="O883">
        <v>39.75</v>
      </c>
      <c r="P883">
        <v>1</v>
      </c>
      <c r="Q883">
        <v>1.9875</v>
      </c>
      <c r="R883">
        <v>41.737499999999997</v>
      </c>
      <c r="S883">
        <v>39.75</v>
      </c>
      <c r="T883">
        <v>4.7619047620000003</v>
      </c>
      <c r="U883">
        <v>1.9875</v>
      </c>
      <c r="V883">
        <v>6.1</v>
      </c>
    </row>
    <row r="884" spans="1:22" x14ac:dyDescent="0.2">
      <c r="A884" t="s">
        <v>915</v>
      </c>
      <c r="B884" s="1">
        <v>43545</v>
      </c>
      <c r="C884" s="2">
        <v>0.67222222222222228</v>
      </c>
      <c r="D884" s="2" t="str">
        <f>IF(Table1[[#This Row],[Time]]&lt;$D$1,$C$1,IF(Table1[[#This Row],[Time]]&lt;$D$2,$C$2,$C$3))</f>
        <v>Afternoon</v>
      </c>
      <c r="E884">
        <f>MONTH(Table1[[#This Row],[Date]])</f>
        <v>3</v>
      </c>
      <c r="F884" t="str">
        <f>VLOOKUP(Table1[[#This Row],[Month]],dctMonth[],2,FALSE)</f>
        <v>March</v>
      </c>
      <c r="G884" t="s">
        <v>19</v>
      </c>
      <c r="H884" t="s">
        <v>20</v>
      </c>
      <c r="I884" t="s">
        <v>28</v>
      </c>
      <c r="J884" t="s">
        <v>22</v>
      </c>
      <c r="K884">
        <v>90</v>
      </c>
      <c r="L884" t="str">
        <f>IF(Table1[[#This Row],[Age]]&lt;20,"&lt;20",IF(Table1[[#This Row],[Age]]&lt;=70,"20-70","&gt;70"))</f>
        <v>&gt;70</v>
      </c>
      <c r="M884" t="s">
        <v>29</v>
      </c>
      <c r="N884" t="s">
        <v>34</v>
      </c>
      <c r="O884">
        <v>90.02</v>
      </c>
      <c r="P884">
        <v>8</v>
      </c>
      <c r="Q884">
        <v>36.008000000000003</v>
      </c>
      <c r="R884">
        <v>756.16800000000001</v>
      </c>
      <c r="S884">
        <v>720.16</v>
      </c>
      <c r="T884">
        <v>4.7619047620000003</v>
      </c>
      <c r="U884">
        <v>36.008000000000003</v>
      </c>
      <c r="V884">
        <v>4.5</v>
      </c>
    </row>
    <row r="885" spans="1:22" x14ac:dyDescent="0.2">
      <c r="A885" t="s">
        <v>916</v>
      </c>
      <c r="B885" s="1">
        <v>43484</v>
      </c>
      <c r="C885" s="2">
        <v>0.4284722222222222</v>
      </c>
      <c r="D885" s="2" t="str">
        <f>IF(Table1[[#This Row],[Time]]&lt;$D$1,$C$1,IF(Table1[[#This Row],[Time]]&lt;$D$2,$C$2,$C$3))</f>
        <v>Morning</v>
      </c>
      <c r="E885">
        <f>MONTH(Table1[[#This Row],[Date]])</f>
        <v>1</v>
      </c>
      <c r="F885" t="str">
        <f>VLOOKUP(Table1[[#This Row],[Month]],dctMonth[],2,FALSE)</f>
        <v>January</v>
      </c>
      <c r="G885" t="s">
        <v>43</v>
      </c>
      <c r="H885" t="s">
        <v>44</v>
      </c>
      <c r="I885" t="s">
        <v>21</v>
      </c>
      <c r="J885" t="s">
        <v>22</v>
      </c>
      <c r="K885">
        <v>21</v>
      </c>
      <c r="L885" t="str">
        <f>IF(Table1[[#This Row],[Age]]&lt;20,"&lt;20",IF(Table1[[#This Row],[Age]]&lt;=70,"20-70","&gt;70"))</f>
        <v>20-70</v>
      </c>
      <c r="M885" t="s">
        <v>29</v>
      </c>
      <c r="N885" t="s">
        <v>24</v>
      </c>
      <c r="O885">
        <v>12.1</v>
      </c>
      <c r="P885">
        <v>8</v>
      </c>
      <c r="Q885">
        <v>4.84</v>
      </c>
      <c r="R885">
        <v>101.64</v>
      </c>
      <c r="S885">
        <v>96.8</v>
      </c>
      <c r="T885">
        <v>4.7619047620000003</v>
      </c>
      <c r="U885">
        <v>4.84</v>
      </c>
      <c r="V885">
        <v>8.6</v>
      </c>
    </row>
    <row r="886" spans="1:22" x14ac:dyDescent="0.2">
      <c r="A886" t="s">
        <v>917</v>
      </c>
      <c r="B886" s="1">
        <v>43473</v>
      </c>
      <c r="C886" s="2">
        <v>0.60069444444444442</v>
      </c>
      <c r="D886" s="2" t="str">
        <f>IF(Table1[[#This Row],[Time]]&lt;$D$1,$C$1,IF(Table1[[#This Row],[Time]]&lt;$D$2,$C$2,$C$3))</f>
        <v>Afternoon</v>
      </c>
      <c r="E886">
        <f>MONTH(Table1[[#This Row],[Date]])</f>
        <v>1</v>
      </c>
      <c r="F886" t="str">
        <f>VLOOKUP(Table1[[#This Row],[Month]],dctMonth[],2,FALSE)</f>
        <v>January</v>
      </c>
      <c r="G886" t="s">
        <v>43</v>
      </c>
      <c r="H886" t="s">
        <v>44</v>
      </c>
      <c r="I886" t="s">
        <v>21</v>
      </c>
      <c r="J886" t="s">
        <v>22</v>
      </c>
      <c r="K886">
        <v>89</v>
      </c>
      <c r="L886" t="str">
        <f>IF(Table1[[#This Row],[Age]]&lt;20,"&lt;20",IF(Table1[[#This Row],[Age]]&lt;=70,"20-70","&gt;70"))</f>
        <v>&gt;70</v>
      </c>
      <c r="M886" t="s">
        <v>45</v>
      </c>
      <c r="N886" t="s">
        <v>24</v>
      </c>
      <c r="O886">
        <v>33.21</v>
      </c>
      <c r="P886">
        <v>10</v>
      </c>
      <c r="Q886">
        <v>16.605</v>
      </c>
      <c r="R886">
        <v>348.70499999999998</v>
      </c>
      <c r="S886">
        <v>332.1</v>
      </c>
      <c r="T886">
        <v>4.7619047620000003</v>
      </c>
      <c r="U886">
        <v>16.605</v>
      </c>
      <c r="V886">
        <v>6</v>
      </c>
    </row>
    <row r="887" spans="1:22" x14ac:dyDescent="0.2">
      <c r="A887" t="s">
        <v>918</v>
      </c>
      <c r="B887" s="1">
        <v>43554</v>
      </c>
      <c r="C887" s="2">
        <v>0.53541666666666665</v>
      </c>
      <c r="D887" s="2" t="str">
        <f>IF(Table1[[#This Row],[Time]]&lt;$D$1,$C$1,IF(Table1[[#This Row],[Time]]&lt;$D$2,$C$2,$C$3))</f>
        <v>Afternoon</v>
      </c>
      <c r="E887">
        <f>MONTH(Table1[[#This Row],[Date]])</f>
        <v>3</v>
      </c>
      <c r="F887" t="str">
        <f>VLOOKUP(Table1[[#This Row],[Month]],dctMonth[],2,FALSE)</f>
        <v>March</v>
      </c>
      <c r="G887" t="s">
        <v>26</v>
      </c>
      <c r="H887" t="s">
        <v>27</v>
      </c>
      <c r="I887" t="s">
        <v>21</v>
      </c>
      <c r="J887" t="s">
        <v>22</v>
      </c>
      <c r="K887">
        <v>79</v>
      </c>
      <c r="L887" t="str">
        <f>IF(Table1[[#This Row],[Age]]&lt;20,"&lt;20",IF(Table1[[#This Row],[Age]]&lt;=70,"20-70","&gt;70"))</f>
        <v>&gt;70</v>
      </c>
      <c r="M887" t="s">
        <v>47</v>
      </c>
      <c r="N887" t="s">
        <v>34</v>
      </c>
      <c r="O887">
        <v>10.18</v>
      </c>
      <c r="P887">
        <v>8</v>
      </c>
      <c r="Q887">
        <v>4.0720000000000001</v>
      </c>
      <c r="R887">
        <v>85.512</v>
      </c>
      <c r="S887">
        <v>81.44</v>
      </c>
      <c r="T887">
        <v>4.7619047620000003</v>
      </c>
      <c r="U887">
        <v>4.0720000000000001</v>
      </c>
      <c r="V887">
        <v>9.5</v>
      </c>
    </row>
    <row r="888" spans="1:22" x14ac:dyDescent="0.2">
      <c r="A888" t="s">
        <v>919</v>
      </c>
      <c r="B888" s="1">
        <v>43516</v>
      </c>
      <c r="C888" s="2">
        <v>0.63749999999999996</v>
      </c>
      <c r="D888" s="2" t="str">
        <f>IF(Table1[[#This Row],[Time]]&lt;$D$1,$C$1,IF(Table1[[#This Row],[Time]]&lt;$D$2,$C$2,$C$3))</f>
        <v>Afternoon</v>
      </c>
      <c r="E888">
        <f>MONTH(Table1[[#This Row],[Date]])</f>
        <v>2</v>
      </c>
      <c r="F888" t="str">
        <f>VLOOKUP(Table1[[#This Row],[Month]],dctMonth[],2,FALSE)</f>
        <v>February</v>
      </c>
      <c r="G888" t="s">
        <v>43</v>
      </c>
      <c r="H888" t="s">
        <v>44</v>
      </c>
      <c r="I888" t="s">
        <v>21</v>
      </c>
      <c r="J888" t="s">
        <v>32</v>
      </c>
      <c r="K888">
        <v>50</v>
      </c>
      <c r="L888" t="str">
        <f>IF(Table1[[#This Row],[Age]]&lt;20,"&lt;20",IF(Table1[[#This Row],[Age]]&lt;=70,"20-70","&gt;70"))</f>
        <v>20-70</v>
      </c>
      <c r="M888" t="s">
        <v>37</v>
      </c>
      <c r="N888" t="s">
        <v>34</v>
      </c>
      <c r="O888">
        <v>31.99</v>
      </c>
      <c r="P888">
        <v>10</v>
      </c>
      <c r="Q888">
        <v>15.994999999999999</v>
      </c>
      <c r="R888">
        <v>335.89499999999998</v>
      </c>
      <c r="S888">
        <v>319.89999999999998</v>
      </c>
      <c r="T888">
        <v>4.7619047620000003</v>
      </c>
      <c r="U888">
        <v>15.994999999999999</v>
      </c>
      <c r="V888">
        <v>9.9</v>
      </c>
    </row>
    <row r="889" spans="1:22" x14ac:dyDescent="0.2">
      <c r="A889" t="s">
        <v>920</v>
      </c>
      <c r="B889" s="1">
        <v>43554</v>
      </c>
      <c r="C889" s="2">
        <v>0.53125</v>
      </c>
      <c r="D889" s="2" t="str">
        <f>IF(Table1[[#This Row],[Time]]&lt;$D$1,$C$1,IF(Table1[[#This Row],[Time]]&lt;$D$2,$C$2,$C$3))</f>
        <v>Afternoon</v>
      </c>
      <c r="E889">
        <f>MONTH(Table1[[#This Row],[Date]])</f>
        <v>3</v>
      </c>
      <c r="F889" t="str">
        <f>VLOOKUP(Table1[[#This Row],[Month]],dctMonth[],2,FALSE)</f>
        <v>March</v>
      </c>
      <c r="G889" t="s">
        <v>19</v>
      </c>
      <c r="H889" t="s">
        <v>20</v>
      </c>
      <c r="I889" t="s">
        <v>21</v>
      </c>
      <c r="J889" t="s">
        <v>22</v>
      </c>
      <c r="K889">
        <v>57</v>
      </c>
      <c r="L889" t="str">
        <f>IF(Table1[[#This Row],[Age]]&lt;20,"&lt;20",IF(Table1[[#This Row],[Age]]&lt;=70,"20-70","&gt;70"))</f>
        <v>20-70</v>
      </c>
      <c r="M889" t="s">
        <v>33</v>
      </c>
      <c r="N889" t="s">
        <v>24</v>
      </c>
      <c r="O889">
        <v>34.42</v>
      </c>
      <c r="P889">
        <v>6</v>
      </c>
      <c r="Q889">
        <v>10.326000000000001</v>
      </c>
      <c r="R889">
        <v>216.846</v>
      </c>
      <c r="S889">
        <v>206.52</v>
      </c>
      <c r="T889">
        <v>4.7619047620000003</v>
      </c>
      <c r="U889">
        <v>10.326000000000001</v>
      </c>
      <c r="V889">
        <v>7.5</v>
      </c>
    </row>
    <row r="890" spans="1:22" x14ac:dyDescent="0.2">
      <c r="A890" t="s">
        <v>921</v>
      </c>
      <c r="B890" s="1">
        <v>43543</v>
      </c>
      <c r="C890" s="2">
        <v>0.56736111111111109</v>
      </c>
      <c r="D890" s="2" t="str">
        <f>IF(Table1[[#This Row],[Time]]&lt;$D$1,$C$1,IF(Table1[[#This Row],[Time]]&lt;$D$2,$C$2,$C$3))</f>
        <v>Afternoon</v>
      </c>
      <c r="E890">
        <f>MONTH(Table1[[#This Row],[Date]])</f>
        <v>3</v>
      </c>
      <c r="F890" t="str">
        <f>VLOOKUP(Table1[[#This Row],[Month]],dctMonth[],2,FALSE)</f>
        <v>March</v>
      </c>
      <c r="G890" t="s">
        <v>19</v>
      </c>
      <c r="H890" t="s">
        <v>20</v>
      </c>
      <c r="I890" t="s">
        <v>21</v>
      </c>
      <c r="J890" t="s">
        <v>22</v>
      </c>
      <c r="K890">
        <v>57</v>
      </c>
      <c r="L890" t="str">
        <f>IF(Table1[[#This Row],[Age]]&lt;20,"&lt;20",IF(Table1[[#This Row],[Age]]&lt;=70,"20-70","&gt;70"))</f>
        <v>20-70</v>
      </c>
      <c r="M890" t="s">
        <v>45</v>
      </c>
      <c r="N890" t="s">
        <v>30</v>
      </c>
      <c r="O890">
        <v>83.34</v>
      </c>
      <c r="P890">
        <v>2</v>
      </c>
      <c r="Q890">
        <v>8.3339999999999996</v>
      </c>
      <c r="R890">
        <v>175.01400000000001</v>
      </c>
      <c r="S890">
        <v>166.68</v>
      </c>
      <c r="T890">
        <v>4.7619047620000003</v>
      </c>
      <c r="U890">
        <v>8.3339999999999996</v>
      </c>
      <c r="V890">
        <v>7.6</v>
      </c>
    </row>
    <row r="891" spans="1:22" x14ac:dyDescent="0.2">
      <c r="A891" t="s">
        <v>922</v>
      </c>
      <c r="B891" s="1">
        <v>43478</v>
      </c>
      <c r="C891" s="2">
        <v>0.41875000000000001</v>
      </c>
      <c r="D891" s="2" t="str">
        <f>IF(Table1[[#This Row],[Time]]&lt;$D$1,$C$1,IF(Table1[[#This Row],[Time]]&lt;$D$2,$C$2,$C$3))</f>
        <v>Morning</v>
      </c>
      <c r="E891">
        <f>MONTH(Table1[[#This Row],[Date]])</f>
        <v>1</v>
      </c>
      <c r="F891" t="str">
        <f>VLOOKUP(Table1[[#This Row],[Month]],dctMonth[],2,FALSE)</f>
        <v>January</v>
      </c>
      <c r="G891" t="s">
        <v>19</v>
      </c>
      <c r="H891" t="s">
        <v>20</v>
      </c>
      <c r="I891" t="s">
        <v>28</v>
      </c>
      <c r="J891" t="s">
        <v>32</v>
      </c>
      <c r="K891">
        <v>29</v>
      </c>
      <c r="L891" t="str">
        <f>IF(Table1[[#This Row],[Age]]&lt;20,"&lt;20",IF(Table1[[#This Row],[Age]]&lt;=70,"20-70","&gt;70"))</f>
        <v>20-70</v>
      </c>
      <c r="M891" t="s">
        <v>37</v>
      </c>
      <c r="N891" t="s">
        <v>30</v>
      </c>
      <c r="O891">
        <v>45.58</v>
      </c>
      <c r="P891">
        <v>7</v>
      </c>
      <c r="Q891">
        <v>15.952999999999999</v>
      </c>
      <c r="R891">
        <v>335.01299999999998</v>
      </c>
      <c r="S891">
        <v>319.06</v>
      </c>
      <c r="T891">
        <v>4.7619047620000003</v>
      </c>
      <c r="U891">
        <v>15.952999999999999</v>
      </c>
      <c r="V891">
        <v>5</v>
      </c>
    </row>
    <row r="892" spans="1:22" x14ac:dyDescent="0.2">
      <c r="A892" t="s">
        <v>923</v>
      </c>
      <c r="B892" s="1">
        <v>43501</v>
      </c>
      <c r="C892" s="2">
        <v>0.8208333333333333</v>
      </c>
      <c r="D892" s="2" t="str">
        <f>IF(Table1[[#This Row],[Time]]&lt;$D$1,$C$1,IF(Table1[[#This Row],[Time]]&lt;$D$2,$C$2,$C$3))</f>
        <v>Evening</v>
      </c>
      <c r="E892">
        <f>MONTH(Table1[[#This Row],[Date]])</f>
        <v>2</v>
      </c>
      <c r="F892" t="str">
        <f>VLOOKUP(Table1[[#This Row],[Month]],dctMonth[],2,FALSE)</f>
        <v>February</v>
      </c>
      <c r="G892" t="s">
        <v>19</v>
      </c>
      <c r="H892" t="s">
        <v>20</v>
      </c>
      <c r="I892" t="s">
        <v>21</v>
      </c>
      <c r="J892" t="s">
        <v>32</v>
      </c>
      <c r="K892">
        <v>53</v>
      </c>
      <c r="L892" t="str">
        <f>IF(Table1[[#This Row],[Age]]&lt;20,"&lt;20",IF(Table1[[#This Row],[Age]]&lt;=70,"20-70","&gt;70"))</f>
        <v>20-70</v>
      </c>
      <c r="M892" t="s">
        <v>45</v>
      </c>
      <c r="N892" t="s">
        <v>24</v>
      </c>
      <c r="O892">
        <v>87.9</v>
      </c>
      <c r="P892">
        <v>1</v>
      </c>
      <c r="Q892">
        <v>4.3949999999999996</v>
      </c>
      <c r="R892">
        <v>92.295000000000002</v>
      </c>
      <c r="S892">
        <v>87.9</v>
      </c>
      <c r="T892">
        <v>4.7619047620000003</v>
      </c>
      <c r="U892">
        <v>4.3949999999999996</v>
      </c>
      <c r="V892">
        <v>6.7</v>
      </c>
    </row>
    <row r="893" spans="1:22" x14ac:dyDescent="0.2">
      <c r="A893" t="s">
        <v>924</v>
      </c>
      <c r="B893" s="1">
        <v>43547</v>
      </c>
      <c r="C893" s="2">
        <v>0.55138888888888893</v>
      </c>
      <c r="D893" s="2" t="str">
        <f>IF(Table1[[#This Row],[Time]]&lt;$D$1,$C$1,IF(Table1[[#This Row],[Time]]&lt;$D$2,$C$2,$C$3))</f>
        <v>Afternoon</v>
      </c>
      <c r="E893">
        <f>MONTH(Table1[[#This Row],[Date]])</f>
        <v>3</v>
      </c>
      <c r="F893" t="str">
        <f>VLOOKUP(Table1[[#This Row],[Month]],dctMonth[],2,FALSE)</f>
        <v>March</v>
      </c>
      <c r="G893" t="s">
        <v>19</v>
      </c>
      <c r="H893" t="s">
        <v>20</v>
      </c>
      <c r="I893" t="s">
        <v>21</v>
      </c>
      <c r="J893" t="s">
        <v>22</v>
      </c>
      <c r="K893">
        <v>79</v>
      </c>
      <c r="L893" t="str">
        <f>IF(Table1[[#This Row],[Age]]&lt;20,"&lt;20",IF(Table1[[#This Row],[Age]]&lt;=70,"20-70","&gt;70"))</f>
        <v>&gt;70</v>
      </c>
      <c r="M893" t="s">
        <v>29</v>
      </c>
      <c r="N893" t="s">
        <v>24</v>
      </c>
      <c r="O893">
        <v>73.47</v>
      </c>
      <c r="P893">
        <v>10</v>
      </c>
      <c r="Q893">
        <v>36.734999999999999</v>
      </c>
      <c r="R893">
        <v>771.43499999999995</v>
      </c>
      <c r="S893">
        <v>734.7</v>
      </c>
      <c r="T893">
        <v>4.7619047620000003</v>
      </c>
      <c r="U893">
        <v>36.734999999999999</v>
      </c>
      <c r="V893">
        <v>9.5</v>
      </c>
    </row>
    <row r="894" spans="1:22" x14ac:dyDescent="0.2">
      <c r="A894" t="s">
        <v>925</v>
      </c>
      <c r="B894" s="1">
        <v>43537</v>
      </c>
      <c r="C894" s="2">
        <v>0.53263888888888888</v>
      </c>
      <c r="D894" s="2" t="str">
        <f>IF(Table1[[#This Row],[Time]]&lt;$D$1,$C$1,IF(Table1[[#This Row],[Time]]&lt;$D$2,$C$2,$C$3))</f>
        <v>Afternoon</v>
      </c>
      <c r="E894">
        <f>MONTH(Table1[[#This Row],[Date]])</f>
        <v>3</v>
      </c>
      <c r="F894" t="str">
        <f>VLOOKUP(Table1[[#This Row],[Month]],dctMonth[],2,FALSE)</f>
        <v>March</v>
      </c>
      <c r="G894" t="s">
        <v>26</v>
      </c>
      <c r="H894" t="s">
        <v>27</v>
      </c>
      <c r="I894" t="s">
        <v>28</v>
      </c>
      <c r="J894" t="s">
        <v>22</v>
      </c>
      <c r="K894">
        <v>35</v>
      </c>
      <c r="L894" t="str">
        <f>IF(Table1[[#This Row],[Age]]&lt;20,"&lt;20",IF(Table1[[#This Row],[Age]]&lt;=70,"20-70","&gt;70"))</f>
        <v>20-70</v>
      </c>
      <c r="M894" t="s">
        <v>47</v>
      </c>
      <c r="N894" t="s">
        <v>24</v>
      </c>
      <c r="O894">
        <v>12.19</v>
      </c>
      <c r="P894">
        <v>8</v>
      </c>
      <c r="Q894">
        <v>4.8760000000000003</v>
      </c>
      <c r="R894">
        <v>102.396</v>
      </c>
      <c r="S894">
        <v>97.52</v>
      </c>
      <c r="T894">
        <v>4.7619047620000003</v>
      </c>
      <c r="U894">
        <v>4.8760000000000003</v>
      </c>
      <c r="V894">
        <v>6.8</v>
      </c>
    </row>
    <row r="895" spans="1:22" x14ac:dyDescent="0.2">
      <c r="A895" t="s">
        <v>926</v>
      </c>
      <c r="B895" s="1">
        <v>43541</v>
      </c>
      <c r="C895" s="2">
        <v>0.82847222222222228</v>
      </c>
      <c r="D895" s="2" t="str">
        <f>IF(Table1[[#This Row],[Time]]&lt;$D$1,$C$1,IF(Table1[[#This Row],[Time]]&lt;$D$2,$C$2,$C$3))</f>
        <v>Evening</v>
      </c>
      <c r="E895">
        <f>MONTH(Table1[[#This Row],[Date]])</f>
        <v>3</v>
      </c>
      <c r="F895" t="str">
        <f>VLOOKUP(Table1[[#This Row],[Month]],dctMonth[],2,FALSE)</f>
        <v>March</v>
      </c>
      <c r="G895" t="s">
        <v>19</v>
      </c>
      <c r="H895" t="s">
        <v>20</v>
      </c>
      <c r="I895" t="s">
        <v>21</v>
      </c>
      <c r="J895" t="s">
        <v>32</v>
      </c>
      <c r="K895">
        <v>19</v>
      </c>
      <c r="L895" t="str">
        <f>IF(Table1[[#This Row],[Age]]&lt;20,"&lt;20",IF(Table1[[#This Row],[Age]]&lt;=70,"20-70","&gt;70"))</f>
        <v>&lt;20</v>
      </c>
      <c r="M895" t="s">
        <v>37</v>
      </c>
      <c r="N895" t="s">
        <v>24</v>
      </c>
      <c r="O895">
        <v>76.92</v>
      </c>
      <c r="P895">
        <v>10</v>
      </c>
      <c r="Q895">
        <v>38.46</v>
      </c>
      <c r="R895">
        <v>807.66</v>
      </c>
      <c r="S895">
        <v>769.2</v>
      </c>
      <c r="T895">
        <v>4.7619047620000003</v>
      </c>
      <c r="U895">
        <v>38.46</v>
      </c>
      <c r="V895">
        <v>5.6</v>
      </c>
    </row>
    <row r="896" spans="1:22" x14ac:dyDescent="0.2">
      <c r="A896" t="s">
        <v>927</v>
      </c>
      <c r="B896" s="1">
        <v>43517</v>
      </c>
      <c r="C896" s="2">
        <v>0.43472222222222223</v>
      </c>
      <c r="D896" s="2" t="str">
        <f>IF(Table1[[#This Row],[Time]]&lt;$D$1,$C$1,IF(Table1[[#This Row],[Time]]&lt;$D$2,$C$2,$C$3))</f>
        <v>Morning</v>
      </c>
      <c r="E896">
        <f>MONTH(Table1[[#This Row],[Date]])</f>
        <v>2</v>
      </c>
      <c r="F896" t="str">
        <f>VLOOKUP(Table1[[#This Row],[Month]],dctMonth[],2,FALSE)</f>
        <v>February</v>
      </c>
      <c r="G896" t="s">
        <v>26</v>
      </c>
      <c r="H896" t="s">
        <v>27</v>
      </c>
      <c r="I896" t="s">
        <v>28</v>
      </c>
      <c r="J896" t="s">
        <v>22</v>
      </c>
      <c r="K896">
        <v>72</v>
      </c>
      <c r="L896" t="str">
        <f>IF(Table1[[#This Row],[Age]]&lt;20,"&lt;20",IF(Table1[[#This Row],[Age]]&lt;=70,"20-70","&gt;70"))</f>
        <v>&gt;70</v>
      </c>
      <c r="M896" t="s">
        <v>23</v>
      </c>
      <c r="N896" t="s">
        <v>30</v>
      </c>
      <c r="O896">
        <v>83.66</v>
      </c>
      <c r="P896">
        <v>5</v>
      </c>
      <c r="Q896">
        <v>20.914999999999999</v>
      </c>
      <c r="R896">
        <v>439.21499999999997</v>
      </c>
      <c r="S896">
        <v>418.3</v>
      </c>
      <c r="T896">
        <v>4.7619047620000003</v>
      </c>
      <c r="U896">
        <v>20.914999999999999</v>
      </c>
      <c r="V896">
        <v>7.2</v>
      </c>
    </row>
    <row r="897" spans="1:22" x14ac:dyDescent="0.2">
      <c r="A897" t="s">
        <v>928</v>
      </c>
      <c r="B897" s="1">
        <v>43503</v>
      </c>
      <c r="C897" s="2">
        <v>0.62916666666666665</v>
      </c>
      <c r="D897" s="2" t="str">
        <f>IF(Table1[[#This Row],[Time]]&lt;$D$1,$C$1,IF(Table1[[#This Row],[Time]]&lt;$D$2,$C$2,$C$3))</f>
        <v>Afternoon</v>
      </c>
      <c r="E897">
        <f>MONTH(Table1[[#This Row],[Date]])</f>
        <v>2</v>
      </c>
      <c r="F897" t="str">
        <f>VLOOKUP(Table1[[#This Row],[Month]],dctMonth[],2,FALSE)</f>
        <v>February</v>
      </c>
      <c r="G897" t="s">
        <v>43</v>
      </c>
      <c r="H897" t="s">
        <v>44</v>
      </c>
      <c r="I897" t="s">
        <v>28</v>
      </c>
      <c r="J897" t="s">
        <v>22</v>
      </c>
      <c r="K897">
        <v>30</v>
      </c>
      <c r="L897" t="str">
        <f>IF(Table1[[#This Row],[Age]]&lt;20,"&lt;20",IF(Table1[[#This Row],[Age]]&lt;=70,"20-70","&gt;70"))</f>
        <v>20-70</v>
      </c>
      <c r="M897" t="s">
        <v>29</v>
      </c>
      <c r="N897" t="s">
        <v>30</v>
      </c>
      <c r="O897">
        <v>57.91</v>
      </c>
      <c r="P897">
        <v>8</v>
      </c>
      <c r="Q897">
        <v>23.164000000000001</v>
      </c>
      <c r="R897">
        <v>486.44400000000002</v>
      </c>
      <c r="S897">
        <v>463.28</v>
      </c>
      <c r="T897">
        <v>4.7619047620000003</v>
      </c>
      <c r="U897">
        <v>23.164000000000001</v>
      </c>
      <c r="V897">
        <v>8.1</v>
      </c>
    </row>
    <row r="898" spans="1:22" x14ac:dyDescent="0.2">
      <c r="A898" t="s">
        <v>929</v>
      </c>
      <c r="B898" s="1">
        <v>43526</v>
      </c>
      <c r="C898" s="2">
        <v>0.69097222222222221</v>
      </c>
      <c r="D898" s="2" t="str">
        <f>IF(Table1[[#This Row],[Time]]&lt;$D$1,$C$1,IF(Table1[[#This Row],[Time]]&lt;$D$2,$C$2,$C$3))</f>
        <v>Afternoon</v>
      </c>
      <c r="E898">
        <f>MONTH(Table1[[#This Row],[Date]])</f>
        <v>3</v>
      </c>
      <c r="F898" t="str">
        <f>VLOOKUP(Table1[[#This Row],[Month]],dctMonth[],2,FALSE)</f>
        <v>March</v>
      </c>
      <c r="G898" t="s">
        <v>26</v>
      </c>
      <c r="H898" t="s">
        <v>27</v>
      </c>
      <c r="I898" t="s">
        <v>21</v>
      </c>
      <c r="J898" t="s">
        <v>22</v>
      </c>
      <c r="K898">
        <v>90</v>
      </c>
      <c r="L898" t="str">
        <f>IF(Table1[[#This Row],[Age]]&lt;20,"&lt;20",IF(Table1[[#This Row],[Age]]&lt;=70,"20-70","&gt;70"))</f>
        <v>&gt;70</v>
      </c>
      <c r="M898" t="s">
        <v>47</v>
      </c>
      <c r="N898" t="s">
        <v>34</v>
      </c>
      <c r="O898">
        <v>92.49</v>
      </c>
      <c r="P898">
        <v>5</v>
      </c>
      <c r="Q898">
        <v>23.122499999999999</v>
      </c>
      <c r="R898">
        <v>485.57249999999999</v>
      </c>
      <c r="S898">
        <v>462.45</v>
      </c>
      <c r="T898">
        <v>4.7619047620000003</v>
      </c>
      <c r="U898">
        <v>23.122499999999999</v>
      </c>
      <c r="V898">
        <v>8.6</v>
      </c>
    </row>
    <row r="899" spans="1:22" x14ac:dyDescent="0.2">
      <c r="A899" t="s">
        <v>930</v>
      </c>
      <c r="B899" s="1">
        <v>43530</v>
      </c>
      <c r="C899" s="2">
        <v>0.87291666666666667</v>
      </c>
      <c r="D899" s="2" t="str">
        <f>IF(Table1[[#This Row],[Time]]&lt;$D$1,$C$1,IF(Table1[[#This Row],[Time]]&lt;$D$2,$C$2,$C$3))</f>
        <v>Evening</v>
      </c>
      <c r="E899">
        <f>MONTH(Table1[[#This Row],[Date]])</f>
        <v>3</v>
      </c>
      <c r="F899" t="str">
        <f>VLOOKUP(Table1[[#This Row],[Month]],dctMonth[],2,FALSE)</f>
        <v>March</v>
      </c>
      <c r="G899" t="s">
        <v>43</v>
      </c>
      <c r="H899" t="s">
        <v>44</v>
      </c>
      <c r="I899" t="s">
        <v>28</v>
      </c>
      <c r="J899" t="s">
        <v>32</v>
      </c>
      <c r="K899">
        <v>82</v>
      </c>
      <c r="L899" t="str">
        <f>IF(Table1[[#This Row],[Age]]&lt;20,"&lt;20",IF(Table1[[#This Row],[Age]]&lt;=70,"20-70","&gt;70"))</f>
        <v>&gt;70</v>
      </c>
      <c r="M899" t="s">
        <v>29</v>
      </c>
      <c r="N899" t="s">
        <v>30</v>
      </c>
      <c r="O899">
        <v>28.38</v>
      </c>
      <c r="P899">
        <v>5</v>
      </c>
      <c r="Q899">
        <v>7.0949999999999998</v>
      </c>
      <c r="R899">
        <v>148.995</v>
      </c>
      <c r="S899">
        <v>141.9</v>
      </c>
      <c r="T899">
        <v>4.7619047620000003</v>
      </c>
      <c r="U899">
        <v>7.0949999999999998</v>
      </c>
      <c r="V899">
        <v>9.4</v>
      </c>
    </row>
    <row r="900" spans="1:22" x14ac:dyDescent="0.2">
      <c r="A900" t="s">
        <v>931</v>
      </c>
      <c r="B900" s="1">
        <v>43502</v>
      </c>
      <c r="C900" s="2">
        <v>0.63611111111111107</v>
      </c>
      <c r="D900" s="2" t="str">
        <f>IF(Table1[[#This Row],[Time]]&lt;$D$1,$C$1,IF(Table1[[#This Row],[Time]]&lt;$D$2,$C$2,$C$3))</f>
        <v>Afternoon</v>
      </c>
      <c r="E900">
        <f>MONTH(Table1[[#This Row],[Date]])</f>
        <v>2</v>
      </c>
      <c r="F900" t="str">
        <f>VLOOKUP(Table1[[#This Row],[Month]],dctMonth[],2,FALSE)</f>
        <v>February</v>
      </c>
      <c r="G900" t="s">
        <v>43</v>
      </c>
      <c r="H900" t="s">
        <v>44</v>
      </c>
      <c r="I900" t="s">
        <v>21</v>
      </c>
      <c r="J900" t="s">
        <v>32</v>
      </c>
      <c r="K900">
        <v>35</v>
      </c>
      <c r="L900" t="str">
        <f>IF(Table1[[#This Row],[Age]]&lt;20,"&lt;20",IF(Table1[[#This Row],[Age]]&lt;=70,"20-70","&gt;70"))</f>
        <v>20-70</v>
      </c>
      <c r="M900" t="s">
        <v>29</v>
      </c>
      <c r="N900" t="s">
        <v>34</v>
      </c>
      <c r="O900">
        <v>50.45</v>
      </c>
      <c r="P900">
        <v>6</v>
      </c>
      <c r="Q900">
        <v>15.135</v>
      </c>
      <c r="R900">
        <v>317.83499999999998</v>
      </c>
      <c r="S900">
        <v>302.7</v>
      </c>
      <c r="T900">
        <v>4.7619047620000003</v>
      </c>
      <c r="U900">
        <v>15.135</v>
      </c>
      <c r="V900">
        <v>8.9</v>
      </c>
    </row>
    <row r="901" spans="1:22" x14ac:dyDescent="0.2">
      <c r="A901" t="s">
        <v>932</v>
      </c>
      <c r="B901" s="1">
        <v>43493</v>
      </c>
      <c r="C901" s="2">
        <v>0.74097222222222225</v>
      </c>
      <c r="D901" s="2" t="str">
        <f>IF(Table1[[#This Row],[Time]]&lt;$D$1,$C$1,IF(Table1[[#This Row],[Time]]&lt;$D$2,$C$2,$C$3))</f>
        <v>Evening</v>
      </c>
      <c r="E901">
        <f>MONTH(Table1[[#This Row],[Date]])</f>
        <v>1</v>
      </c>
      <c r="F901" t="str">
        <f>VLOOKUP(Table1[[#This Row],[Month]],dctMonth[],2,FALSE)</f>
        <v>January</v>
      </c>
      <c r="G901" t="s">
        <v>43</v>
      </c>
      <c r="H901" t="s">
        <v>44</v>
      </c>
      <c r="I901" t="s">
        <v>28</v>
      </c>
      <c r="J901" t="s">
        <v>32</v>
      </c>
      <c r="K901">
        <v>56</v>
      </c>
      <c r="L901" t="str">
        <f>IF(Table1[[#This Row],[Age]]&lt;20,"&lt;20",IF(Table1[[#This Row],[Age]]&lt;=70,"20-70","&gt;70"))</f>
        <v>20-70</v>
      </c>
      <c r="M901" t="s">
        <v>23</v>
      </c>
      <c r="N901" t="s">
        <v>34</v>
      </c>
      <c r="O901">
        <v>99.16</v>
      </c>
      <c r="P901">
        <v>8</v>
      </c>
      <c r="Q901">
        <v>39.664000000000001</v>
      </c>
      <c r="R901">
        <v>832.94399999999996</v>
      </c>
      <c r="S901">
        <v>793.28</v>
      </c>
      <c r="T901">
        <v>4.7619047620000003</v>
      </c>
      <c r="U901">
        <v>39.664000000000001</v>
      </c>
      <c r="V901">
        <v>4.2</v>
      </c>
    </row>
    <row r="902" spans="1:22" x14ac:dyDescent="0.2">
      <c r="A902" t="s">
        <v>933</v>
      </c>
      <c r="B902" s="1">
        <v>43483</v>
      </c>
      <c r="C902" s="2">
        <v>0.68263888888888891</v>
      </c>
      <c r="D902" s="2" t="str">
        <f>IF(Table1[[#This Row],[Time]]&lt;$D$1,$C$1,IF(Table1[[#This Row],[Time]]&lt;$D$2,$C$2,$C$3))</f>
        <v>Afternoon</v>
      </c>
      <c r="E902">
        <f>MONTH(Table1[[#This Row],[Date]])</f>
        <v>1</v>
      </c>
      <c r="F902" t="str">
        <f>VLOOKUP(Table1[[#This Row],[Month]],dctMonth[],2,FALSE)</f>
        <v>January</v>
      </c>
      <c r="G902" t="s">
        <v>26</v>
      </c>
      <c r="H902" t="s">
        <v>27</v>
      </c>
      <c r="I902" t="s">
        <v>28</v>
      </c>
      <c r="J902" t="s">
        <v>32</v>
      </c>
      <c r="K902">
        <v>62</v>
      </c>
      <c r="L902" t="str">
        <f>IF(Table1[[#This Row],[Age]]&lt;20,"&lt;20",IF(Table1[[#This Row],[Age]]&lt;=70,"20-70","&gt;70"))</f>
        <v>20-70</v>
      </c>
      <c r="M902" t="s">
        <v>47</v>
      </c>
      <c r="N902" t="s">
        <v>24</v>
      </c>
      <c r="O902">
        <v>60.74</v>
      </c>
      <c r="P902">
        <v>7</v>
      </c>
      <c r="Q902">
        <v>21.259</v>
      </c>
      <c r="R902">
        <v>446.43900000000002</v>
      </c>
      <c r="S902">
        <v>425.18</v>
      </c>
      <c r="T902">
        <v>4.7619047620000003</v>
      </c>
      <c r="U902">
        <v>21.259</v>
      </c>
      <c r="V902">
        <v>5</v>
      </c>
    </row>
    <row r="903" spans="1:22" x14ac:dyDescent="0.2">
      <c r="A903" t="s">
        <v>934</v>
      </c>
      <c r="B903" s="1">
        <v>43501</v>
      </c>
      <c r="C903" s="2">
        <v>0.4284722222222222</v>
      </c>
      <c r="D903" s="2" t="str">
        <f>IF(Table1[[#This Row],[Time]]&lt;$D$1,$C$1,IF(Table1[[#This Row],[Time]]&lt;$D$2,$C$2,$C$3))</f>
        <v>Morning</v>
      </c>
      <c r="E903">
        <f>MONTH(Table1[[#This Row],[Date]])</f>
        <v>2</v>
      </c>
      <c r="F903" t="str">
        <f>VLOOKUP(Table1[[#This Row],[Month]],dctMonth[],2,FALSE)</f>
        <v>February</v>
      </c>
      <c r="G903" t="s">
        <v>26</v>
      </c>
      <c r="H903" t="s">
        <v>27</v>
      </c>
      <c r="I903" t="s">
        <v>21</v>
      </c>
      <c r="J903" t="s">
        <v>22</v>
      </c>
      <c r="K903">
        <v>41</v>
      </c>
      <c r="L903" t="str">
        <f>IF(Table1[[#This Row],[Age]]&lt;20,"&lt;20",IF(Table1[[#This Row],[Age]]&lt;=70,"20-70","&gt;70"))</f>
        <v>20-70</v>
      </c>
      <c r="M903" t="s">
        <v>45</v>
      </c>
      <c r="N903" t="s">
        <v>30</v>
      </c>
      <c r="O903">
        <v>47.27</v>
      </c>
      <c r="P903">
        <v>6</v>
      </c>
      <c r="Q903">
        <v>14.180999999999999</v>
      </c>
      <c r="R903">
        <v>297.80099999999999</v>
      </c>
      <c r="S903">
        <v>283.62</v>
      </c>
      <c r="T903">
        <v>4.7619047620000003</v>
      </c>
      <c r="U903">
        <v>14.180999999999999</v>
      </c>
      <c r="V903">
        <v>8.8000000000000007</v>
      </c>
    </row>
    <row r="904" spans="1:22" x14ac:dyDescent="0.2">
      <c r="A904" t="s">
        <v>935</v>
      </c>
      <c r="B904" s="1">
        <v>43526</v>
      </c>
      <c r="C904" s="2">
        <v>0.57638888888888884</v>
      </c>
      <c r="D904" s="2" t="str">
        <f>IF(Table1[[#This Row],[Time]]&lt;$D$1,$C$1,IF(Table1[[#This Row],[Time]]&lt;$D$2,$C$2,$C$3))</f>
        <v>Afternoon</v>
      </c>
      <c r="E904">
        <f>MONTH(Table1[[#This Row],[Date]])</f>
        <v>3</v>
      </c>
      <c r="F904" t="str">
        <f>VLOOKUP(Table1[[#This Row],[Month]],dctMonth[],2,FALSE)</f>
        <v>March</v>
      </c>
      <c r="G904" t="s">
        <v>26</v>
      </c>
      <c r="H904" t="s">
        <v>27</v>
      </c>
      <c r="I904" t="s">
        <v>21</v>
      </c>
      <c r="J904" t="s">
        <v>32</v>
      </c>
      <c r="K904">
        <v>25</v>
      </c>
      <c r="L904" t="str">
        <f>IF(Table1[[#This Row],[Age]]&lt;20,"&lt;20",IF(Table1[[#This Row],[Age]]&lt;=70,"20-70","&gt;70"))</f>
        <v>20-70</v>
      </c>
      <c r="M904" t="s">
        <v>23</v>
      </c>
      <c r="N904" t="s">
        <v>30</v>
      </c>
      <c r="O904">
        <v>85.6</v>
      </c>
      <c r="P904">
        <v>7</v>
      </c>
      <c r="Q904">
        <v>29.96</v>
      </c>
      <c r="R904">
        <v>629.16</v>
      </c>
      <c r="S904">
        <v>599.20000000000005</v>
      </c>
      <c r="T904">
        <v>4.7619047620000003</v>
      </c>
      <c r="U904">
        <v>29.96</v>
      </c>
      <c r="V904">
        <v>5.3</v>
      </c>
    </row>
    <row r="905" spans="1:22" x14ac:dyDescent="0.2">
      <c r="A905" t="s">
        <v>936</v>
      </c>
      <c r="B905" s="1">
        <v>43505</v>
      </c>
      <c r="C905" s="2">
        <v>0.80347222222222225</v>
      </c>
      <c r="D905" s="2" t="str">
        <f>IF(Table1[[#This Row],[Time]]&lt;$D$1,$C$1,IF(Table1[[#This Row],[Time]]&lt;$D$2,$C$2,$C$3))</f>
        <v>Evening</v>
      </c>
      <c r="E905">
        <f>MONTH(Table1[[#This Row],[Date]])</f>
        <v>2</v>
      </c>
      <c r="F905" t="str">
        <f>VLOOKUP(Table1[[#This Row],[Month]],dctMonth[],2,FALSE)</f>
        <v>February</v>
      </c>
      <c r="G905" t="s">
        <v>19</v>
      </c>
      <c r="H905" t="s">
        <v>20</v>
      </c>
      <c r="I905" t="s">
        <v>21</v>
      </c>
      <c r="J905" t="s">
        <v>32</v>
      </c>
      <c r="K905">
        <v>15</v>
      </c>
      <c r="L905" t="str">
        <f>IF(Table1[[#This Row],[Age]]&lt;20,"&lt;20",IF(Table1[[#This Row],[Age]]&lt;=70,"20-70","&gt;70"))</f>
        <v>&lt;20</v>
      </c>
      <c r="M905" t="s">
        <v>45</v>
      </c>
      <c r="N905" t="s">
        <v>24</v>
      </c>
      <c r="O905">
        <v>35.04</v>
      </c>
      <c r="P905">
        <v>9</v>
      </c>
      <c r="Q905">
        <v>15.768000000000001</v>
      </c>
      <c r="R905">
        <v>331.12799999999999</v>
      </c>
      <c r="S905">
        <v>315.36</v>
      </c>
      <c r="T905">
        <v>4.7619047620000003</v>
      </c>
      <c r="U905">
        <v>15.768000000000001</v>
      </c>
      <c r="V905">
        <v>4.5999999999999996</v>
      </c>
    </row>
    <row r="906" spans="1:22" x14ac:dyDescent="0.2">
      <c r="A906" t="s">
        <v>937</v>
      </c>
      <c r="B906" s="1">
        <v>43479</v>
      </c>
      <c r="C906" s="2">
        <v>0.58333333333333337</v>
      </c>
      <c r="D906" s="2" t="str">
        <f>IF(Table1[[#This Row],[Time]]&lt;$D$1,$C$1,IF(Table1[[#This Row],[Time]]&lt;$D$2,$C$2,$C$3))</f>
        <v>Afternoon</v>
      </c>
      <c r="E906">
        <f>MONTH(Table1[[#This Row],[Date]])</f>
        <v>1</v>
      </c>
      <c r="F906" t="str">
        <f>VLOOKUP(Table1[[#This Row],[Month]],dctMonth[],2,FALSE)</f>
        <v>January</v>
      </c>
      <c r="G906" t="s">
        <v>26</v>
      </c>
      <c r="H906" t="s">
        <v>27</v>
      </c>
      <c r="I906" t="s">
        <v>21</v>
      </c>
      <c r="J906" t="s">
        <v>22</v>
      </c>
      <c r="K906">
        <v>70</v>
      </c>
      <c r="L906" t="str">
        <f>IF(Table1[[#This Row],[Age]]&lt;20,"&lt;20",IF(Table1[[#This Row],[Age]]&lt;=70,"20-70","&gt;70"))</f>
        <v>20-70</v>
      </c>
      <c r="M906" t="s">
        <v>29</v>
      </c>
      <c r="N906" t="s">
        <v>34</v>
      </c>
      <c r="O906">
        <v>44.84</v>
      </c>
      <c r="P906">
        <v>9</v>
      </c>
      <c r="Q906">
        <v>20.178000000000001</v>
      </c>
      <c r="R906">
        <v>423.738</v>
      </c>
      <c r="S906">
        <v>403.56</v>
      </c>
      <c r="T906">
        <v>4.7619047620000003</v>
      </c>
      <c r="U906">
        <v>20.178000000000001</v>
      </c>
      <c r="V906">
        <v>7.5</v>
      </c>
    </row>
    <row r="907" spans="1:22" x14ac:dyDescent="0.2">
      <c r="A907" t="s">
        <v>938</v>
      </c>
      <c r="B907" s="1">
        <v>43505</v>
      </c>
      <c r="C907" s="2">
        <v>0.50138888888888888</v>
      </c>
      <c r="D907" s="2" t="str">
        <f>IF(Table1[[#This Row],[Time]]&lt;$D$1,$C$1,IF(Table1[[#This Row],[Time]]&lt;$D$2,$C$2,$C$3))</f>
        <v>Afternoon</v>
      </c>
      <c r="E907">
        <f>MONTH(Table1[[#This Row],[Date]])</f>
        <v>2</v>
      </c>
      <c r="F907" t="str">
        <f>VLOOKUP(Table1[[#This Row],[Month]],dctMonth[],2,FALSE)</f>
        <v>February</v>
      </c>
      <c r="G907" t="s">
        <v>43</v>
      </c>
      <c r="H907" t="s">
        <v>44</v>
      </c>
      <c r="I907" t="s">
        <v>28</v>
      </c>
      <c r="J907" t="s">
        <v>32</v>
      </c>
      <c r="K907">
        <v>79</v>
      </c>
      <c r="L907" t="str">
        <f>IF(Table1[[#This Row],[Age]]&lt;20,"&lt;20",IF(Table1[[#This Row],[Age]]&lt;=70,"20-70","&gt;70"))</f>
        <v>&gt;70</v>
      </c>
      <c r="M907" t="s">
        <v>33</v>
      </c>
      <c r="N907" t="s">
        <v>24</v>
      </c>
      <c r="O907">
        <v>45.97</v>
      </c>
      <c r="P907">
        <v>4</v>
      </c>
      <c r="Q907">
        <v>9.1940000000000008</v>
      </c>
      <c r="R907">
        <v>193.07400000000001</v>
      </c>
      <c r="S907">
        <v>183.88</v>
      </c>
      <c r="T907">
        <v>4.7619047620000003</v>
      </c>
      <c r="U907">
        <v>9.1940000000000008</v>
      </c>
      <c r="V907">
        <v>5.0999999999999996</v>
      </c>
    </row>
    <row r="908" spans="1:22" x14ac:dyDescent="0.2">
      <c r="A908" t="s">
        <v>939</v>
      </c>
      <c r="B908" s="1">
        <v>43550</v>
      </c>
      <c r="C908" s="2">
        <v>0.84791666666666665</v>
      </c>
      <c r="D908" s="2" t="str">
        <f>IF(Table1[[#This Row],[Time]]&lt;$D$1,$C$1,IF(Table1[[#This Row],[Time]]&lt;$D$2,$C$2,$C$3))</f>
        <v>Evening</v>
      </c>
      <c r="E908">
        <f>MONTH(Table1[[#This Row],[Date]])</f>
        <v>3</v>
      </c>
      <c r="F908" t="str">
        <f>VLOOKUP(Table1[[#This Row],[Month]],dctMonth[],2,FALSE)</f>
        <v>March</v>
      </c>
      <c r="G908" t="s">
        <v>19</v>
      </c>
      <c r="H908" t="s">
        <v>20</v>
      </c>
      <c r="I908" t="s">
        <v>21</v>
      </c>
      <c r="J908" t="s">
        <v>22</v>
      </c>
      <c r="K908">
        <v>29</v>
      </c>
      <c r="L908" t="str">
        <f>IF(Table1[[#This Row],[Age]]&lt;20,"&lt;20",IF(Table1[[#This Row],[Age]]&lt;=70,"20-70","&gt;70"))</f>
        <v>20-70</v>
      </c>
      <c r="M908" t="s">
        <v>23</v>
      </c>
      <c r="N908" t="s">
        <v>34</v>
      </c>
      <c r="O908">
        <v>27.73</v>
      </c>
      <c r="P908">
        <v>5</v>
      </c>
      <c r="Q908">
        <v>6.9325000000000001</v>
      </c>
      <c r="R908">
        <v>145.58250000000001</v>
      </c>
      <c r="S908">
        <v>138.65</v>
      </c>
      <c r="T908">
        <v>4.7619047620000003</v>
      </c>
      <c r="U908">
        <v>6.9325000000000001</v>
      </c>
      <c r="V908">
        <v>4.2</v>
      </c>
    </row>
    <row r="909" spans="1:22" x14ac:dyDescent="0.2">
      <c r="A909" t="s">
        <v>940</v>
      </c>
      <c r="B909" s="1">
        <v>43493</v>
      </c>
      <c r="C909" s="2">
        <v>0.73263888888888884</v>
      </c>
      <c r="D909" s="2" t="str">
        <f>IF(Table1[[#This Row],[Time]]&lt;$D$1,$C$1,IF(Table1[[#This Row],[Time]]&lt;$D$2,$C$2,$C$3))</f>
        <v>Evening</v>
      </c>
      <c r="E909">
        <f>MONTH(Table1[[#This Row],[Date]])</f>
        <v>1</v>
      </c>
      <c r="F909" t="str">
        <f>VLOOKUP(Table1[[#This Row],[Month]],dctMonth[],2,FALSE)</f>
        <v>January</v>
      </c>
      <c r="G909" t="s">
        <v>19</v>
      </c>
      <c r="H909" t="s">
        <v>20</v>
      </c>
      <c r="I909" t="s">
        <v>28</v>
      </c>
      <c r="J909" t="s">
        <v>32</v>
      </c>
      <c r="K909">
        <v>62</v>
      </c>
      <c r="L909" t="str">
        <f>IF(Table1[[#This Row],[Age]]&lt;20,"&lt;20",IF(Table1[[#This Row],[Age]]&lt;=70,"20-70","&gt;70"))</f>
        <v>20-70</v>
      </c>
      <c r="M909" t="s">
        <v>45</v>
      </c>
      <c r="N909" t="s">
        <v>30</v>
      </c>
      <c r="O909">
        <v>11.53</v>
      </c>
      <c r="P909">
        <v>7</v>
      </c>
      <c r="Q909">
        <v>4.0354999999999999</v>
      </c>
      <c r="R909">
        <v>84.745500000000007</v>
      </c>
      <c r="S909">
        <v>80.709999999999994</v>
      </c>
      <c r="T909">
        <v>4.7619047620000003</v>
      </c>
      <c r="U909">
        <v>4.0354999999999999</v>
      </c>
      <c r="V909">
        <v>8.1</v>
      </c>
    </row>
    <row r="910" spans="1:22" x14ac:dyDescent="0.2">
      <c r="A910" t="s">
        <v>941</v>
      </c>
      <c r="B910" s="1">
        <v>43510</v>
      </c>
      <c r="C910" s="2">
        <v>0.52916666666666667</v>
      </c>
      <c r="D910" s="2" t="str">
        <f>IF(Table1[[#This Row],[Time]]&lt;$D$1,$C$1,IF(Table1[[#This Row],[Time]]&lt;$D$2,$C$2,$C$3))</f>
        <v>Afternoon</v>
      </c>
      <c r="E910">
        <f>MONTH(Table1[[#This Row],[Date]])</f>
        <v>2</v>
      </c>
      <c r="F910" t="str">
        <f>VLOOKUP(Table1[[#This Row],[Month]],dctMonth[],2,FALSE)</f>
        <v>February</v>
      </c>
      <c r="G910" t="s">
        <v>26</v>
      </c>
      <c r="H910" t="s">
        <v>27</v>
      </c>
      <c r="I910" t="s">
        <v>28</v>
      </c>
      <c r="J910" t="s">
        <v>22</v>
      </c>
      <c r="K910">
        <v>82</v>
      </c>
      <c r="L910" t="str">
        <f>IF(Table1[[#This Row],[Age]]&lt;20,"&lt;20",IF(Table1[[#This Row],[Age]]&lt;=70,"20-70","&gt;70"))</f>
        <v>&gt;70</v>
      </c>
      <c r="M910" t="s">
        <v>23</v>
      </c>
      <c r="N910" t="s">
        <v>24</v>
      </c>
      <c r="O910">
        <v>58.32</v>
      </c>
      <c r="P910">
        <v>2</v>
      </c>
      <c r="Q910">
        <v>5.8319999999999999</v>
      </c>
      <c r="R910">
        <v>122.47199999999999</v>
      </c>
      <c r="S910">
        <v>116.64</v>
      </c>
      <c r="T910">
        <v>4.7619047620000003</v>
      </c>
      <c r="U910">
        <v>5.8319999999999999</v>
      </c>
      <c r="V910">
        <v>6</v>
      </c>
    </row>
    <row r="911" spans="1:22" x14ac:dyDescent="0.2">
      <c r="A911" t="s">
        <v>942</v>
      </c>
      <c r="B911" s="1">
        <v>43548</v>
      </c>
      <c r="C911" s="2">
        <v>0.74722222222222223</v>
      </c>
      <c r="D911" s="2" t="str">
        <f>IF(Table1[[#This Row],[Time]]&lt;$D$1,$C$1,IF(Table1[[#This Row],[Time]]&lt;$D$2,$C$2,$C$3))</f>
        <v>Evening</v>
      </c>
      <c r="E911">
        <f>MONTH(Table1[[#This Row],[Date]])</f>
        <v>3</v>
      </c>
      <c r="F911" t="str">
        <f>VLOOKUP(Table1[[#This Row],[Month]],dctMonth[],2,FALSE)</f>
        <v>March</v>
      </c>
      <c r="G911" t="s">
        <v>26</v>
      </c>
      <c r="H911" t="s">
        <v>27</v>
      </c>
      <c r="I911" t="s">
        <v>21</v>
      </c>
      <c r="J911" t="s">
        <v>22</v>
      </c>
      <c r="K911">
        <v>26</v>
      </c>
      <c r="L911" t="str">
        <f>IF(Table1[[#This Row],[Age]]&lt;20,"&lt;20",IF(Table1[[#This Row],[Age]]&lt;=70,"20-70","&gt;70"))</f>
        <v>20-70</v>
      </c>
      <c r="M911" t="s">
        <v>33</v>
      </c>
      <c r="N911" t="s">
        <v>30</v>
      </c>
      <c r="O911">
        <v>78.38</v>
      </c>
      <c r="P911">
        <v>4</v>
      </c>
      <c r="Q911">
        <v>15.676</v>
      </c>
      <c r="R911">
        <v>329.19600000000003</v>
      </c>
      <c r="S911">
        <v>313.52</v>
      </c>
      <c r="T911">
        <v>4.7619047620000003</v>
      </c>
      <c r="U911">
        <v>15.676</v>
      </c>
      <c r="V911">
        <v>7.9</v>
      </c>
    </row>
    <row r="912" spans="1:22" x14ac:dyDescent="0.2">
      <c r="A912" t="s">
        <v>943</v>
      </c>
      <c r="B912" s="1">
        <v>43505</v>
      </c>
      <c r="C912" s="2">
        <v>0.79027777777777775</v>
      </c>
      <c r="D912" s="2" t="str">
        <f>IF(Table1[[#This Row],[Time]]&lt;$D$1,$C$1,IF(Table1[[#This Row],[Time]]&lt;$D$2,$C$2,$C$3))</f>
        <v>Evening</v>
      </c>
      <c r="E912">
        <f>MONTH(Table1[[#This Row],[Date]])</f>
        <v>2</v>
      </c>
      <c r="F912" t="str">
        <f>VLOOKUP(Table1[[#This Row],[Month]],dctMonth[],2,FALSE)</f>
        <v>February</v>
      </c>
      <c r="G912" t="s">
        <v>26</v>
      </c>
      <c r="H912" t="s">
        <v>27</v>
      </c>
      <c r="I912" t="s">
        <v>28</v>
      </c>
      <c r="J912" t="s">
        <v>32</v>
      </c>
      <c r="K912">
        <v>85</v>
      </c>
      <c r="L912" t="str">
        <f>IF(Table1[[#This Row],[Age]]&lt;20,"&lt;20",IF(Table1[[#This Row],[Age]]&lt;=70,"20-70","&gt;70"))</f>
        <v>&gt;70</v>
      </c>
      <c r="M912" t="s">
        <v>23</v>
      </c>
      <c r="N912" t="s">
        <v>34</v>
      </c>
      <c r="O912">
        <v>84.61</v>
      </c>
      <c r="P912">
        <v>10</v>
      </c>
      <c r="Q912">
        <v>42.305</v>
      </c>
      <c r="R912">
        <v>888.40499999999997</v>
      </c>
      <c r="S912">
        <v>846.1</v>
      </c>
      <c r="T912">
        <v>4.7619047620000003</v>
      </c>
      <c r="U912">
        <v>42.305</v>
      </c>
      <c r="V912">
        <v>8.8000000000000007</v>
      </c>
    </row>
    <row r="913" spans="1:22" x14ac:dyDescent="0.2">
      <c r="A913" t="s">
        <v>944</v>
      </c>
      <c r="B913" s="1">
        <v>43548</v>
      </c>
      <c r="C913" s="2">
        <v>0.58888888888888891</v>
      </c>
      <c r="D913" s="2" t="str">
        <f>IF(Table1[[#This Row],[Time]]&lt;$D$1,$C$1,IF(Table1[[#This Row],[Time]]&lt;$D$2,$C$2,$C$3))</f>
        <v>Afternoon</v>
      </c>
      <c r="E913">
        <f>MONTH(Table1[[#This Row],[Date]])</f>
        <v>3</v>
      </c>
      <c r="F913" t="str">
        <f>VLOOKUP(Table1[[#This Row],[Month]],dctMonth[],2,FALSE)</f>
        <v>March</v>
      </c>
      <c r="G913" t="s">
        <v>43</v>
      </c>
      <c r="H913" t="s">
        <v>44</v>
      </c>
      <c r="I913" t="s">
        <v>28</v>
      </c>
      <c r="J913" t="s">
        <v>22</v>
      </c>
      <c r="K913">
        <v>22</v>
      </c>
      <c r="L913" t="str">
        <f>IF(Table1[[#This Row],[Age]]&lt;20,"&lt;20",IF(Table1[[#This Row],[Age]]&lt;=70,"20-70","&gt;70"))</f>
        <v>20-70</v>
      </c>
      <c r="M913" t="s">
        <v>23</v>
      </c>
      <c r="N913" t="s">
        <v>34</v>
      </c>
      <c r="O913">
        <v>82.88</v>
      </c>
      <c r="P913">
        <v>5</v>
      </c>
      <c r="Q913">
        <v>20.72</v>
      </c>
      <c r="R913">
        <v>435.12</v>
      </c>
      <c r="S913">
        <v>414.4</v>
      </c>
      <c r="T913">
        <v>4.7619047620000003</v>
      </c>
      <c r="U913">
        <v>20.72</v>
      </c>
      <c r="V913">
        <v>6.6</v>
      </c>
    </row>
    <row r="914" spans="1:22" x14ac:dyDescent="0.2">
      <c r="A914" t="s">
        <v>945</v>
      </c>
      <c r="B914" s="1">
        <v>43551</v>
      </c>
      <c r="C914" s="2">
        <v>0.6875</v>
      </c>
      <c r="D914" s="2" t="str">
        <f>IF(Table1[[#This Row],[Time]]&lt;$D$1,$C$1,IF(Table1[[#This Row],[Time]]&lt;$D$2,$C$2,$C$3))</f>
        <v>Afternoon</v>
      </c>
      <c r="E914">
        <f>MONTH(Table1[[#This Row],[Date]])</f>
        <v>3</v>
      </c>
      <c r="F914" t="str">
        <f>VLOOKUP(Table1[[#This Row],[Month]],dctMonth[],2,FALSE)</f>
        <v>March</v>
      </c>
      <c r="G914" t="s">
        <v>19</v>
      </c>
      <c r="H914" t="s">
        <v>20</v>
      </c>
      <c r="I914" t="s">
        <v>21</v>
      </c>
      <c r="J914" t="s">
        <v>22</v>
      </c>
      <c r="K914">
        <v>19</v>
      </c>
      <c r="L914" t="str">
        <f>IF(Table1[[#This Row],[Age]]&lt;20,"&lt;20",IF(Table1[[#This Row],[Age]]&lt;=70,"20-70","&gt;70"))</f>
        <v>&lt;20</v>
      </c>
      <c r="M914" t="s">
        <v>45</v>
      </c>
      <c r="N914" t="s">
        <v>24</v>
      </c>
      <c r="O914">
        <v>79.540000000000006</v>
      </c>
      <c r="P914">
        <v>2</v>
      </c>
      <c r="Q914">
        <v>7.9539999999999997</v>
      </c>
      <c r="R914">
        <v>167.03399999999999</v>
      </c>
      <c r="S914">
        <v>159.08000000000001</v>
      </c>
      <c r="T914">
        <v>4.7619047620000003</v>
      </c>
      <c r="U914">
        <v>7.9539999999999997</v>
      </c>
      <c r="V914">
        <v>6.2</v>
      </c>
    </row>
    <row r="915" spans="1:22" x14ac:dyDescent="0.2">
      <c r="A915" t="s">
        <v>946</v>
      </c>
      <c r="B915" s="1">
        <v>43492</v>
      </c>
      <c r="C915" s="2">
        <v>0.44722222222222224</v>
      </c>
      <c r="D915" s="2" t="str">
        <f>IF(Table1[[#This Row],[Time]]&lt;$D$1,$C$1,IF(Table1[[#This Row],[Time]]&lt;$D$2,$C$2,$C$3))</f>
        <v>Morning</v>
      </c>
      <c r="E915">
        <f>MONTH(Table1[[#This Row],[Date]])</f>
        <v>1</v>
      </c>
      <c r="F915" t="str">
        <f>VLOOKUP(Table1[[#This Row],[Month]],dctMonth[],2,FALSE)</f>
        <v>January</v>
      </c>
      <c r="G915" t="s">
        <v>43</v>
      </c>
      <c r="H915" t="s">
        <v>44</v>
      </c>
      <c r="I915" t="s">
        <v>28</v>
      </c>
      <c r="J915" t="s">
        <v>22</v>
      </c>
      <c r="K915">
        <v>76</v>
      </c>
      <c r="L915" t="str">
        <f>IF(Table1[[#This Row],[Age]]&lt;20,"&lt;20",IF(Table1[[#This Row],[Age]]&lt;=70,"20-70","&gt;70"))</f>
        <v>&gt;70</v>
      </c>
      <c r="M915" t="s">
        <v>33</v>
      </c>
      <c r="N915" t="s">
        <v>34</v>
      </c>
      <c r="O915">
        <v>49.01</v>
      </c>
      <c r="P915">
        <v>10</v>
      </c>
      <c r="Q915">
        <v>24.504999999999999</v>
      </c>
      <c r="R915">
        <v>514.60500000000002</v>
      </c>
      <c r="S915">
        <v>490.1</v>
      </c>
      <c r="T915">
        <v>4.7619047620000003</v>
      </c>
      <c r="U915">
        <v>24.504999999999999</v>
      </c>
      <c r="V915">
        <v>4.2</v>
      </c>
    </row>
    <row r="916" spans="1:22" x14ac:dyDescent="0.2">
      <c r="A916" t="s">
        <v>947</v>
      </c>
      <c r="B916" s="1">
        <v>43551</v>
      </c>
      <c r="C916" s="2">
        <v>0.85347222222222219</v>
      </c>
      <c r="D916" s="2" t="str">
        <f>IF(Table1[[#This Row],[Time]]&lt;$D$1,$C$1,IF(Table1[[#This Row],[Time]]&lt;$D$2,$C$2,$C$3))</f>
        <v>Evening</v>
      </c>
      <c r="E916">
        <f>MONTH(Table1[[#This Row],[Date]])</f>
        <v>3</v>
      </c>
      <c r="F916" t="str">
        <f>VLOOKUP(Table1[[#This Row],[Month]],dctMonth[],2,FALSE)</f>
        <v>March</v>
      </c>
      <c r="G916" t="s">
        <v>43</v>
      </c>
      <c r="H916" t="s">
        <v>44</v>
      </c>
      <c r="I916" t="s">
        <v>21</v>
      </c>
      <c r="J916" t="s">
        <v>22</v>
      </c>
      <c r="K916">
        <v>79</v>
      </c>
      <c r="L916" t="str">
        <f>IF(Table1[[#This Row],[Age]]&lt;20,"&lt;20",IF(Table1[[#This Row],[Age]]&lt;=70,"20-70","&gt;70"))</f>
        <v>&gt;70</v>
      </c>
      <c r="M916" t="s">
        <v>45</v>
      </c>
      <c r="N916" t="s">
        <v>34</v>
      </c>
      <c r="O916">
        <v>29.15</v>
      </c>
      <c r="P916">
        <v>3</v>
      </c>
      <c r="Q916">
        <v>4.3724999999999996</v>
      </c>
      <c r="R916">
        <v>91.822500000000005</v>
      </c>
      <c r="S916">
        <v>87.45</v>
      </c>
      <c r="T916">
        <v>4.7619047620000003</v>
      </c>
      <c r="U916">
        <v>4.3724999999999996</v>
      </c>
      <c r="V916">
        <v>7.3</v>
      </c>
    </row>
    <row r="917" spans="1:22" x14ac:dyDescent="0.2">
      <c r="A917" t="s">
        <v>948</v>
      </c>
      <c r="B917" s="1">
        <v>43484</v>
      </c>
      <c r="C917" s="2">
        <v>0.48819444444444443</v>
      </c>
      <c r="D917" s="2" t="str">
        <f>IF(Table1[[#This Row],[Time]]&lt;$D$1,$C$1,IF(Table1[[#This Row],[Time]]&lt;$D$2,$C$2,$C$3))</f>
        <v>Morning</v>
      </c>
      <c r="E917">
        <f>MONTH(Table1[[#This Row],[Date]])</f>
        <v>1</v>
      </c>
      <c r="F917" t="str">
        <f>VLOOKUP(Table1[[#This Row],[Month]],dctMonth[],2,FALSE)</f>
        <v>January</v>
      </c>
      <c r="G917" t="s">
        <v>26</v>
      </c>
      <c r="H917" t="s">
        <v>27</v>
      </c>
      <c r="I917" t="s">
        <v>28</v>
      </c>
      <c r="J917" t="s">
        <v>22</v>
      </c>
      <c r="K917">
        <v>29</v>
      </c>
      <c r="L917" t="str">
        <f>IF(Table1[[#This Row],[Age]]&lt;20,"&lt;20",IF(Table1[[#This Row],[Age]]&lt;=70,"20-70","&gt;70"))</f>
        <v>20-70</v>
      </c>
      <c r="M917" t="s">
        <v>29</v>
      </c>
      <c r="N917" t="s">
        <v>24</v>
      </c>
      <c r="O917">
        <v>56.13</v>
      </c>
      <c r="P917">
        <v>4</v>
      </c>
      <c r="Q917">
        <v>11.226000000000001</v>
      </c>
      <c r="R917">
        <v>235.74600000000001</v>
      </c>
      <c r="S917">
        <v>224.52</v>
      </c>
      <c r="T917">
        <v>4.7619047620000003</v>
      </c>
      <c r="U917">
        <v>11.226000000000001</v>
      </c>
      <c r="V917">
        <v>8.6</v>
      </c>
    </row>
    <row r="918" spans="1:22" x14ac:dyDescent="0.2">
      <c r="A918" t="s">
        <v>949</v>
      </c>
      <c r="B918" s="1">
        <v>43503</v>
      </c>
      <c r="C918" s="2">
        <v>0.42291666666666666</v>
      </c>
      <c r="D918" s="2" t="str">
        <f>IF(Table1[[#This Row],[Time]]&lt;$D$1,$C$1,IF(Table1[[#This Row],[Time]]&lt;$D$2,$C$2,$C$3))</f>
        <v>Morning</v>
      </c>
      <c r="E918">
        <f>MONTH(Table1[[#This Row],[Date]])</f>
        <v>2</v>
      </c>
      <c r="F918" t="str">
        <f>VLOOKUP(Table1[[#This Row],[Month]],dctMonth[],2,FALSE)</f>
        <v>February</v>
      </c>
      <c r="G918" t="s">
        <v>19</v>
      </c>
      <c r="H918" t="s">
        <v>20</v>
      </c>
      <c r="I918" t="s">
        <v>28</v>
      </c>
      <c r="J918" t="s">
        <v>22</v>
      </c>
      <c r="K918">
        <v>47</v>
      </c>
      <c r="L918" t="str">
        <f>IF(Table1[[#This Row],[Age]]&lt;20,"&lt;20",IF(Table1[[#This Row],[Age]]&lt;=70,"20-70","&gt;70"))</f>
        <v>20-70</v>
      </c>
      <c r="M918" t="s">
        <v>33</v>
      </c>
      <c r="N918" t="s">
        <v>30</v>
      </c>
      <c r="O918">
        <v>93.12</v>
      </c>
      <c r="P918">
        <v>8</v>
      </c>
      <c r="Q918">
        <v>37.247999999999998</v>
      </c>
      <c r="R918">
        <v>782.20799999999997</v>
      </c>
      <c r="S918">
        <v>744.96</v>
      </c>
      <c r="T918">
        <v>4.7619047620000003</v>
      </c>
      <c r="U918">
        <v>37.247999999999998</v>
      </c>
      <c r="V918">
        <v>6.8</v>
      </c>
    </row>
    <row r="919" spans="1:22" x14ac:dyDescent="0.2">
      <c r="A919" t="s">
        <v>950</v>
      </c>
      <c r="B919" s="1">
        <v>43496</v>
      </c>
      <c r="C919" s="2">
        <v>0.41666666666666669</v>
      </c>
      <c r="D919" s="2" t="str">
        <f>IF(Table1[[#This Row],[Time]]&lt;$D$1,$C$1,IF(Table1[[#This Row],[Time]]&lt;$D$2,$C$2,$C$3))</f>
        <v>Morning</v>
      </c>
      <c r="E919">
        <f>MONTH(Table1[[#This Row],[Date]])</f>
        <v>1</v>
      </c>
      <c r="F919" t="str">
        <f>VLOOKUP(Table1[[#This Row],[Month]],dctMonth[],2,FALSE)</f>
        <v>January</v>
      </c>
      <c r="G919" t="s">
        <v>19</v>
      </c>
      <c r="H919" t="s">
        <v>20</v>
      </c>
      <c r="I919" t="s">
        <v>21</v>
      </c>
      <c r="J919" t="s">
        <v>32</v>
      </c>
      <c r="K919">
        <v>24</v>
      </c>
      <c r="L919" t="str">
        <f>IF(Table1[[#This Row],[Age]]&lt;20,"&lt;20",IF(Table1[[#This Row],[Age]]&lt;=70,"20-70","&gt;70"))</f>
        <v>20-70</v>
      </c>
      <c r="M919" t="s">
        <v>47</v>
      </c>
      <c r="N919" t="s">
        <v>24</v>
      </c>
      <c r="O919">
        <v>51.34</v>
      </c>
      <c r="P919">
        <v>8</v>
      </c>
      <c r="Q919">
        <v>20.536000000000001</v>
      </c>
      <c r="R919">
        <v>431.25599999999997</v>
      </c>
      <c r="S919">
        <v>410.72</v>
      </c>
      <c r="T919">
        <v>4.7619047620000003</v>
      </c>
      <c r="U919">
        <v>20.536000000000001</v>
      </c>
      <c r="V919">
        <v>7.6</v>
      </c>
    </row>
    <row r="920" spans="1:22" x14ac:dyDescent="0.2">
      <c r="A920" t="s">
        <v>951</v>
      </c>
      <c r="B920" s="1">
        <v>43521</v>
      </c>
      <c r="C920" s="2">
        <v>0.78125</v>
      </c>
      <c r="D920" s="2" t="str">
        <f>IF(Table1[[#This Row],[Time]]&lt;$D$1,$C$1,IF(Table1[[#This Row],[Time]]&lt;$D$2,$C$2,$C$3))</f>
        <v>Evening</v>
      </c>
      <c r="E920">
        <f>MONTH(Table1[[#This Row],[Date]])</f>
        <v>2</v>
      </c>
      <c r="F920" t="str">
        <f>VLOOKUP(Table1[[#This Row],[Month]],dctMonth[],2,FALSE)</f>
        <v>February</v>
      </c>
      <c r="G920" t="s">
        <v>19</v>
      </c>
      <c r="H920" t="s">
        <v>20</v>
      </c>
      <c r="I920" t="s">
        <v>21</v>
      </c>
      <c r="J920" t="s">
        <v>22</v>
      </c>
      <c r="K920">
        <v>82</v>
      </c>
      <c r="L920" t="str">
        <f>IF(Table1[[#This Row],[Age]]&lt;20,"&lt;20",IF(Table1[[#This Row],[Age]]&lt;=70,"20-70","&gt;70"))</f>
        <v>&gt;70</v>
      </c>
      <c r="M920" t="s">
        <v>45</v>
      </c>
      <c r="N920" t="s">
        <v>30</v>
      </c>
      <c r="O920">
        <v>99.6</v>
      </c>
      <c r="P920">
        <v>3</v>
      </c>
      <c r="Q920">
        <v>14.94</v>
      </c>
      <c r="R920">
        <v>313.74</v>
      </c>
      <c r="S920">
        <v>298.8</v>
      </c>
      <c r="T920">
        <v>4.7619047620000003</v>
      </c>
      <c r="U920">
        <v>14.94</v>
      </c>
      <c r="V920">
        <v>5.8</v>
      </c>
    </row>
    <row r="921" spans="1:22" x14ac:dyDescent="0.2">
      <c r="A921" t="s">
        <v>952</v>
      </c>
      <c r="B921" s="1">
        <v>43498</v>
      </c>
      <c r="C921" s="2">
        <v>0.52777777777777779</v>
      </c>
      <c r="D921" s="2" t="str">
        <f>IF(Table1[[#This Row],[Time]]&lt;$D$1,$C$1,IF(Table1[[#This Row],[Time]]&lt;$D$2,$C$2,$C$3))</f>
        <v>Afternoon</v>
      </c>
      <c r="E921">
        <f>MONTH(Table1[[#This Row],[Date]])</f>
        <v>2</v>
      </c>
      <c r="F921" t="str">
        <f>VLOOKUP(Table1[[#This Row],[Month]],dctMonth[],2,FALSE)</f>
        <v>February</v>
      </c>
      <c r="G921" t="s">
        <v>26</v>
      </c>
      <c r="H921" t="s">
        <v>27</v>
      </c>
      <c r="I921" t="s">
        <v>28</v>
      </c>
      <c r="J921" t="s">
        <v>22</v>
      </c>
      <c r="K921">
        <v>32</v>
      </c>
      <c r="L921" t="str">
        <f>IF(Table1[[#This Row],[Age]]&lt;20,"&lt;20",IF(Table1[[#This Row],[Age]]&lt;=70,"20-70","&gt;70"))</f>
        <v>20-70</v>
      </c>
      <c r="M921" t="s">
        <v>29</v>
      </c>
      <c r="N921" t="s">
        <v>30</v>
      </c>
      <c r="O921">
        <v>35.49</v>
      </c>
      <c r="P921">
        <v>6</v>
      </c>
      <c r="Q921">
        <v>10.647</v>
      </c>
      <c r="R921">
        <v>223.58699999999999</v>
      </c>
      <c r="S921">
        <v>212.94</v>
      </c>
      <c r="T921">
        <v>4.7619047620000003</v>
      </c>
      <c r="U921">
        <v>10.647</v>
      </c>
      <c r="V921">
        <v>4.0999999999999996</v>
      </c>
    </row>
    <row r="922" spans="1:22" x14ac:dyDescent="0.2">
      <c r="A922" t="s">
        <v>953</v>
      </c>
      <c r="B922" s="1">
        <v>43538</v>
      </c>
      <c r="C922" s="2">
        <v>0.65</v>
      </c>
      <c r="D922" s="2" t="str">
        <f>IF(Table1[[#This Row],[Time]]&lt;$D$1,$C$1,IF(Table1[[#This Row],[Time]]&lt;$D$2,$C$2,$C$3))</f>
        <v>Afternoon</v>
      </c>
      <c r="E922">
        <f>MONTH(Table1[[#This Row],[Date]])</f>
        <v>3</v>
      </c>
      <c r="F922" t="str">
        <f>VLOOKUP(Table1[[#This Row],[Month]],dctMonth[],2,FALSE)</f>
        <v>March</v>
      </c>
      <c r="G922" t="s">
        <v>26</v>
      </c>
      <c r="H922" t="s">
        <v>27</v>
      </c>
      <c r="I922" t="s">
        <v>21</v>
      </c>
      <c r="J922" t="s">
        <v>32</v>
      </c>
      <c r="K922">
        <v>89</v>
      </c>
      <c r="L922" t="str">
        <f>IF(Table1[[#This Row],[Age]]&lt;20,"&lt;20",IF(Table1[[#This Row],[Age]]&lt;=70,"20-70","&gt;70"))</f>
        <v>&gt;70</v>
      </c>
      <c r="M922" t="s">
        <v>37</v>
      </c>
      <c r="N922" t="s">
        <v>34</v>
      </c>
      <c r="O922">
        <v>42.85</v>
      </c>
      <c r="P922">
        <v>1</v>
      </c>
      <c r="Q922">
        <v>2.1425000000000001</v>
      </c>
      <c r="R922">
        <v>44.9925</v>
      </c>
      <c r="S922">
        <v>42.85</v>
      </c>
      <c r="T922">
        <v>4.7619047620000003</v>
      </c>
      <c r="U922">
        <v>2.1425000000000001</v>
      </c>
      <c r="V922">
        <v>9.3000000000000007</v>
      </c>
    </row>
    <row r="923" spans="1:22" x14ac:dyDescent="0.2">
      <c r="A923" t="s">
        <v>954</v>
      </c>
      <c r="B923" s="1">
        <v>43535</v>
      </c>
      <c r="C923" s="2">
        <v>0.50277777777777777</v>
      </c>
      <c r="D923" s="2" t="str">
        <f>IF(Table1[[#This Row],[Time]]&lt;$D$1,$C$1,IF(Table1[[#This Row],[Time]]&lt;$D$2,$C$2,$C$3))</f>
        <v>Afternoon</v>
      </c>
      <c r="E923">
        <f>MONTH(Table1[[#This Row],[Date]])</f>
        <v>3</v>
      </c>
      <c r="F923" t="str">
        <f>VLOOKUP(Table1[[#This Row],[Month]],dctMonth[],2,FALSE)</f>
        <v>March</v>
      </c>
      <c r="G923" t="s">
        <v>19</v>
      </c>
      <c r="H923" t="s">
        <v>20</v>
      </c>
      <c r="I923" t="s">
        <v>28</v>
      </c>
      <c r="J923" t="s">
        <v>22</v>
      </c>
      <c r="K923">
        <v>70</v>
      </c>
      <c r="L923" t="str">
        <f>IF(Table1[[#This Row],[Age]]&lt;20,"&lt;20",IF(Table1[[#This Row],[Age]]&lt;=70,"20-70","&gt;70"))</f>
        <v>20-70</v>
      </c>
      <c r="M923" t="s">
        <v>47</v>
      </c>
      <c r="N923" t="s">
        <v>30</v>
      </c>
      <c r="O923">
        <v>94.67</v>
      </c>
      <c r="P923">
        <v>4</v>
      </c>
      <c r="Q923">
        <v>18.934000000000001</v>
      </c>
      <c r="R923">
        <v>397.61399999999998</v>
      </c>
      <c r="S923">
        <v>378.68</v>
      </c>
      <c r="T923">
        <v>4.7619047620000003</v>
      </c>
      <c r="U923">
        <v>18.934000000000001</v>
      </c>
      <c r="V923">
        <v>6.8</v>
      </c>
    </row>
    <row r="924" spans="1:22" x14ac:dyDescent="0.2">
      <c r="A924" t="s">
        <v>955</v>
      </c>
      <c r="B924" s="1">
        <v>43518</v>
      </c>
      <c r="C924" s="2">
        <v>0.47638888888888886</v>
      </c>
      <c r="D924" s="2" t="str">
        <f>IF(Table1[[#This Row],[Time]]&lt;$D$1,$C$1,IF(Table1[[#This Row],[Time]]&lt;$D$2,$C$2,$C$3))</f>
        <v>Morning</v>
      </c>
      <c r="E924">
        <f>MONTH(Table1[[#This Row],[Date]])</f>
        <v>2</v>
      </c>
      <c r="F924" t="str">
        <f>VLOOKUP(Table1[[#This Row],[Month]],dctMonth[],2,FALSE)</f>
        <v>February</v>
      </c>
      <c r="G924" t="s">
        <v>43</v>
      </c>
      <c r="H924" t="s">
        <v>44</v>
      </c>
      <c r="I924" t="s">
        <v>28</v>
      </c>
      <c r="J924" t="s">
        <v>32</v>
      </c>
      <c r="K924">
        <v>19</v>
      </c>
      <c r="L924" t="str">
        <f>IF(Table1[[#This Row],[Age]]&lt;20,"&lt;20",IF(Table1[[#This Row],[Age]]&lt;=70,"20-70","&gt;70"))</f>
        <v>&lt;20</v>
      </c>
      <c r="M924" t="s">
        <v>33</v>
      </c>
      <c r="N924" t="s">
        <v>24</v>
      </c>
      <c r="O924">
        <v>68.97</v>
      </c>
      <c r="P924">
        <v>3</v>
      </c>
      <c r="Q924">
        <v>10.345499999999999</v>
      </c>
      <c r="R924">
        <v>217.25550000000001</v>
      </c>
      <c r="S924">
        <v>206.91</v>
      </c>
      <c r="T924">
        <v>4.7619047620000003</v>
      </c>
      <c r="U924">
        <v>10.345499999999999</v>
      </c>
      <c r="V924">
        <v>8.6999999999999993</v>
      </c>
    </row>
    <row r="925" spans="1:22" x14ac:dyDescent="0.2">
      <c r="A925" t="s">
        <v>956</v>
      </c>
      <c r="B925" s="1">
        <v>43526</v>
      </c>
      <c r="C925" s="2">
        <v>0.52500000000000002</v>
      </c>
      <c r="D925" s="2" t="str">
        <f>IF(Table1[[#This Row],[Time]]&lt;$D$1,$C$1,IF(Table1[[#This Row],[Time]]&lt;$D$2,$C$2,$C$3))</f>
        <v>Afternoon</v>
      </c>
      <c r="E925">
        <f>MONTH(Table1[[#This Row],[Date]])</f>
        <v>3</v>
      </c>
      <c r="F925" t="str">
        <f>VLOOKUP(Table1[[#This Row],[Month]],dctMonth[],2,FALSE)</f>
        <v>March</v>
      </c>
      <c r="G925" t="s">
        <v>43</v>
      </c>
      <c r="H925" t="s">
        <v>44</v>
      </c>
      <c r="I925" t="s">
        <v>21</v>
      </c>
      <c r="J925" t="s">
        <v>22</v>
      </c>
      <c r="K925">
        <v>73</v>
      </c>
      <c r="L925" t="str">
        <f>IF(Table1[[#This Row],[Age]]&lt;20,"&lt;20",IF(Table1[[#This Row],[Age]]&lt;=70,"20-70","&gt;70"))</f>
        <v>&gt;70</v>
      </c>
      <c r="M925" t="s">
        <v>29</v>
      </c>
      <c r="N925" t="s">
        <v>24</v>
      </c>
      <c r="O925">
        <v>26.26</v>
      </c>
      <c r="P925">
        <v>3</v>
      </c>
      <c r="Q925">
        <v>3.9390000000000001</v>
      </c>
      <c r="R925">
        <v>82.718999999999994</v>
      </c>
      <c r="S925">
        <v>78.78</v>
      </c>
      <c r="T925">
        <v>4.7619047620000003</v>
      </c>
      <c r="U925">
        <v>3.9390000000000001</v>
      </c>
      <c r="V925">
        <v>6.3</v>
      </c>
    </row>
    <row r="926" spans="1:22" x14ac:dyDescent="0.2">
      <c r="A926" t="s">
        <v>957</v>
      </c>
      <c r="B926" s="1">
        <v>43534</v>
      </c>
      <c r="C926" s="2">
        <v>0.62916666666666665</v>
      </c>
      <c r="D926" s="2" t="str">
        <f>IF(Table1[[#This Row],[Time]]&lt;$D$1,$C$1,IF(Table1[[#This Row],[Time]]&lt;$D$2,$C$2,$C$3))</f>
        <v>Afternoon</v>
      </c>
      <c r="E926">
        <f>MONTH(Table1[[#This Row],[Date]])</f>
        <v>3</v>
      </c>
      <c r="F926" t="str">
        <f>VLOOKUP(Table1[[#This Row],[Month]],dctMonth[],2,FALSE)</f>
        <v>March</v>
      </c>
      <c r="G926" t="s">
        <v>26</v>
      </c>
      <c r="H926" t="s">
        <v>27</v>
      </c>
      <c r="I926" t="s">
        <v>21</v>
      </c>
      <c r="J926" t="s">
        <v>22</v>
      </c>
      <c r="K926">
        <v>29</v>
      </c>
      <c r="L926" t="str">
        <f>IF(Table1[[#This Row],[Age]]&lt;20,"&lt;20",IF(Table1[[#This Row],[Age]]&lt;=70,"20-70","&gt;70"))</f>
        <v>20-70</v>
      </c>
      <c r="M926" t="s">
        <v>33</v>
      </c>
      <c r="N926" t="s">
        <v>34</v>
      </c>
      <c r="O926">
        <v>35.79</v>
      </c>
      <c r="P926">
        <v>9</v>
      </c>
      <c r="Q926">
        <v>16.105499999999999</v>
      </c>
      <c r="R926">
        <v>338.21550000000002</v>
      </c>
      <c r="S926">
        <v>322.11</v>
      </c>
      <c r="T926">
        <v>4.7619047620000003</v>
      </c>
      <c r="U926">
        <v>16.105499999999999</v>
      </c>
      <c r="V926">
        <v>5.0999999999999996</v>
      </c>
    </row>
    <row r="927" spans="1:22" x14ac:dyDescent="0.2">
      <c r="A927" t="s">
        <v>958</v>
      </c>
      <c r="B927" s="1">
        <v>43504</v>
      </c>
      <c r="C927" s="2">
        <v>0.45694444444444443</v>
      </c>
      <c r="D927" s="2" t="str">
        <f>IF(Table1[[#This Row],[Time]]&lt;$D$1,$C$1,IF(Table1[[#This Row],[Time]]&lt;$D$2,$C$2,$C$3))</f>
        <v>Morning</v>
      </c>
      <c r="E927">
        <f>MONTH(Table1[[#This Row],[Date]])</f>
        <v>2</v>
      </c>
      <c r="F927" t="str">
        <f>VLOOKUP(Table1[[#This Row],[Month]],dctMonth[],2,FALSE)</f>
        <v>February</v>
      </c>
      <c r="G927" t="s">
        <v>43</v>
      </c>
      <c r="H927" t="s">
        <v>44</v>
      </c>
      <c r="I927" t="s">
        <v>28</v>
      </c>
      <c r="J927" t="s">
        <v>22</v>
      </c>
      <c r="K927">
        <v>30</v>
      </c>
      <c r="L927" t="str">
        <f>IF(Table1[[#This Row],[Age]]&lt;20,"&lt;20",IF(Table1[[#This Row],[Age]]&lt;=70,"20-70","&gt;70"))</f>
        <v>20-70</v>
      </c>
      <c r="M927" t="s">
        <v>33</v>
      </c>
      <c r="N927" t="s">
        <v>30</v>
      </c>
      <c r="O927">
        <v>16.37</v>
      </c>
      <c r="P927">
        <v>6</v>
      </c>
      <c r="Q927">
        <v>4.9109999999999996</v>
      </c>
      <c r="R927">
        <v>103.131</v>
      </c>
      <c r="S927">
        <v>98.22</v>
      </c>
      <c r="T927">
        <v>4.7619047620000003</v>
      </c>
      <c r="U927">
        <v>4.9109999999999996</v>
      </c>
      <c r="V927">
        <v>7</v>
      </c>
    </row>
    <row r="928" spans="1:22" x14ac:dyDescent="0.2">
      <c r="A928" t="s">
        <v>959</v>
      </c>
      <c r="B928" s="1">
        <v>43518</v>
      </c>
      <c r="C928" s="2">
        <v>0.50694444444444442</v>
      </c>
      <c r="D928" s="2" t="str">
        <f>IF(Table1[[#This Row],[Time]]&lt;$D$1,$C$1,IF(Table1[[#This Row],[Time]]&lt;$D$2,$C$2,$C$3))</f>
        <v>Afternoon</v>
      </c>
      <c r="E928">
        <f>MONTH(Table1[[#This Row],[Date]])</f>
        <v>2</v>
      </c>
      <c r="F928" t="str">
        <f>VLOOKUP(Table1[[#This Row],[Month]],dctMonth[],2,FALSE)</f>
        <v>February</v>
      </c>
      <c r="G928" t="s">
        <v>26</v>
      </c>
      <c r="H928" t="s">
        <v>27</v>
      </c>
      <c r="I928" t="s">
        <v>21</v>
      </c>
      <c r="J928" t="s">
        <v>22</v>
      </c>
      <c r="K928">
        <v>18</v>
      </c>
      <c r="L928" t="str">
        <f>IF(Table1[[#This Row],[Age]]&lt;20,"&lt;20",IF(Table1[[#This Row],[Age]]&lt;=70,"20-70","&gt;70"))</f>
        <v>&lt;20</v>
      </c>
      <c r="M928" t="s">
        <v>33</v>
      </c>
      <c r="N928" t="s">
        <v>34</v>
      </c>
      <c r="O928">
        <v>12.73</v>
      </c>
      <c r="P928">
        <v>2</v>
      </c>
      <c r="Q928">
        <v>1.2729999999999999</v>
      </c>
      <c r="R928">
        <v>26.733000000000001</v>
      </c>
      <c r="S928">
        <v>25.46</v>
      </c>
      <c r="T928">
        <v>4.7619047620000003</v>
      </c>
      <c r="U928">
        <v>1.2729999999999999</v>
      </c>
      <c r="V928">
        <v>5.2</v>
      </c>
    </row>
    <row r="929" spans="1:22" x14ac:dyDescent="0.2">
      <c r="A929" t="s">
        <v>960</v>
      </c>
      <c r="B929" s="1">
        <v>43475</v>
      </c>
      <c r="C929" s="2">
        <v>0.43819444444444444</v>
      </c>
      <c r="D929" s="2" t="str">
        <f>IF(Table1[[#This Row],[Time]]&lt;$D$1,$C$1,IF(Table1[[#This Row],[Time]]&lt;$D$2,$C$2,$C$3))</f>
        <v>Morning</v>
      </c>
      <c r="E929">
        <f>MONTH(Table1[[#This Row],[Date]])</f>
        <v>1</v>
      </c>
      <c r="F929" t="str">
        <f>VLOOKUP(Table1[[#This Row],[Month]],dctMonth[],2,FALSE)</f>
        <v>January</v>
      </c>
      <c r="G929" t="s">
        <v>26</v>
      </c>
      <c r="H929" t="s">
        <v>27</v>
      </c>
      <c r="I929" t="s">
        <v>28</v>
      </c>
      <c r="J929" t="s">
        <v>22</v>
      </c>
      <c r="K929">
        <v>22</v>
      </c>
      <c r="L929" t="str">
        <f>IF(Table1[[#This Row],[Age]]&lt;20,"&lt;20",IF(Table1[[#This Row],[Age]]&lt;=70,"20-70","&gt;70"))</f>
        <v>20-70</v>
      </c>
      <c r="M929" t="s">
        <v>37</v>
      </c>
      <c r="N929" t="s">
        <v>34</v>
      </c>
      <c r="O929">
        <v>83.14</v>
      </c>
      <c r="P929">
        <v>7</v>
      </c>
      <c r="Q929">
        <v>29.099</v>
      </c>
      <c r="R929">
        <v>611.07899999999995</v>
      </c>
      <c r="S929">
        <v>581.98</v>
      </c>
      <c r="T929">
        <v>4.7619047620000003</v>
      </c>
      <c r="U929">
        <v>29.099</v>
      </c>
      <c r="V929">
        <v>6.6</v>
      </c>
    </row>
    <row r="930" spans="1:22" x14ac:dyDescent="0.2">
      <c r="A930" t="s">
        <v>961</v>
      </c>
      <c r="B930" s="1">
        <v>43538</v>
      </c>
      <c r="C930" s="2">
        <v>0.5756944444444444</v>
      </c>
      <c r="D930" s="2" t="str">
        <f>IF(Table1[[#This Row],[Time]]&lt;$D$1,$C$1,IF(Table1[[#This Row],[Time]]&lt;$D$2,$C$2,$C$3))</f>
        <v>Afternoon</v>
      </c>
      <c r="E930">
        <f>MONTH(Table1[[#This Row],[Date]])</f>
        <v>3</v>
      </c>
      <c r="F930" t="str">
        <f>VLOOKUP(Table1[[#This Row],[Month]],dctMonth[],2,FALSE)</f>
        <v>March</v>
      </c>
      <c r="G930" t="s">
        <v>26</v>
      </c>
      <c r="H930" t="s">
        <v>27</v>
      </c>
      <c r="I930" t="s">
        <v>21</v>
      </c>
      <c r="J930" t="s">
        <v>22</v>
      </c>
      <c r="K930">
        <v>87</v>
      </c>
      <c r="L930" t="str">
        <f>IF(Table1[[#This Row],[Age]]&lt;20,"&lt;20",IF(Table1[[#This Row],[Age]]&lt;=70,"20-70","&gt;70"))</f>
        <v>&gt;70</v>
      </c>
      <c r="M930" t="s">
        <v>37</v>
      </c>
      <c r="N930" t="s">
        <v>24</v>
      </c>
      <c r="O930">
        <v>35.22</v>
      </c>
      <c r="P930">
        <v>6</v>
      </c>
      <c r="Q930">
        <v>10.566000000000001</v>
      </c>
      <c r="R930">
        <v>221.886</v>
      </c>
      <c r="S930">
        <v>211.32</v>
      </c>
      <c r="T930">
        <v>4.7619047620000003</v>
      </c>
      <c r="U930">
        <v>10.566000000000001</v>
      </c>
      <c r="V930">
        <v>6.5</v>
      </c>
    </row>
    <row r="931" spans="1:22" x14ac:dyDescent="0.2">
      <c r="A931" t="s">
        <v>962</v>
      </c>
      <c r="B931" s="1">
        <v>43475</v>
      </c>
      <c r="C931" s="2">
        <v>0.46527777777777779</v>
      </c>
      <c r="D931" s="2" t="str">
        <f>IF(Table1[[#This Row],[Time]]&lt;$D$1,$C$1,IF(Table1[[#This Row],[Time]]&lt;$D$2,$C$2,$C$3))</f>
        <v>Morning</v>
      </c>
      <c r="E931">
        <f>MONTH(Table1[[#This Row],[Date]])</f>
        <v>1</v>
      </c>
      <c r="F931" t="str">
        <f>VLOOKUP(Table1[[#This Row],[Month]],dctMonth[],2,FALSE)</f>
        <v>January</v>
      </c>
      <c r="G931" t="s">
        <v>43</v>
      </c>
      <c r="H931" t="s">
        <v>44</v>
      </c>
      <c r="I931" t="s">
        <v>28</v>
      </c>
      <c r="J931" t="s">
        <v>22</v>
      </c>
      <c r="K931">
        <v>81</v>
      </c>
      <c r="L931" t="str">
        <f>IF(Table1[[#This Row],[Age]]&lt;20,"&lt;20",IF(Table1[[#This Row],[Age]]&lt;=70,"20-70","&gt;70"))</f>
        <v>&gt;70</v>
      </c>
      <c r="M931" t="s">
        <v>29</v>
      </c>
      <c r="N931" t="s">
        <v>24</v>
      </c>
      <c r="O931">
        <v>13.78</v>
      </c>
      <c r="P931">
        <v>4</v>
      </c>
      <c r="Q931">
        <v>2.7559999999999998</v>
      </c>
      <c r="R931">
        <v>57.875999999999998</v>
      </c>
      <c r="S931">
        <v>55.12</v>
      </c>
      <c r="T931">
        <v>4.7619047620000003</v>
      </c>
      <c r="U931">
        <v>2.7559999999999998</v>
      </c>
      <c r="V931">
        <v>9</v>
      </c>
    </row>
    <row r="932" spans="1:22" x14ac:dyDescent="0.2">
      <c r="A932" t="s">
        <v>963</v>
      </c>
      <c r="B932" s="1">
        <v>43511</v>
      </c>
      <c r="C932" s="2">
        <v>0.73472222222222228</v>
      </c>
      <c r="D932" s="2" t="str">
        <f>IF(Table1[[#This Row],[Time]]&lt;$D$1,$C$1,IF(Table1[[#This Row],[Time]]&lt;$D$2,$C$2,$C$3))</f>
        <v>Evening</v>
      </c>
      <c r="E932">
        <f>MONTH(Table1[[#This Row],[Date]])</f>
        <v>2</v>
      </c>
      <c r="F932" t="str">
        <f>VLOOKUP(Table1[[#This Row],[Month]],dctMonth[],2,FALSE)</f>
        <v>February</v>
      </c>
      <c r="G932" t="s">
        <v>43</v>
      </c>
      <c r="H932" t="s">
        <v>44</v>
      </c>
      <c r="I932" t="s">
        <v>21</v>
      </c>
      <c r="J932" t="s">
        <v>32</v>
      </c>
      <c r="K932">
        <v>86</v>
      </c>
      <c r="L932" t="str">
        <f>IF(Table1[[#This Row],[Age]]&lt;20,"&lt;20",IF(Table1[[#This Row],[Age]]&lt;=70,"20-70","&gt;70"))</f>
        <v>&gt;70</v>
      </c>
      <c r="M932" t="s">
        <v>37</v>
      </c>
      <c r="N932" t="s">
        <v>34</v>
      </c>
      <c r="O932">
        <v>88.31</v>
      </c>
      <c r="P932">
        <v>1</v>
      </c>
      <c r="Q932">
        <v>4.4154999999999998</v>
      </c>
      <c r="R932">
        <v>92.725499999999997</v>
      </c>
      <c r="S932">
        <v>88.31</v>
      </c>
      <c r="T932">
        <v>4.7619047620000003</v>
      </c>
      <c r="U932">
        <v>4.4154999999999998</v>
      </c>
      <c r="V932">
        <v>5.2</v>
      </c>
    </row>
    <row r="933" spans="1:22" x14ac:dyDescent="0.2">
      <c r="A933" t="s">
        <v>964</v>
      </c>
      <c r="B933" s="1">
        <v>43478</v>
      </c>
      <c r="C933" s="2">
        <v>0.74583333333333335</v>
      </c>
      <c r="D933" s="2" t="str">
        <f>IF(Table1[[#This Row],[Time]]&lt;$D$1,$C$1,IF(Table1[[#This Row],[Time]]&lt;$D$2,$C$2,$C$3))</f>
        <v>Evening</v>
      </c>
      <c r="E933">
        <f>MONTH(Table1[[#This Row],[Date]])</f>
        <v>1</v>
      </c>
      <c r="F933" t="str">
        <f>VLOOKUP(Table1[[#This Row],[Month]],dctMonth[],2,FALSE)</f>
        <v>January</v>
      </c>
      <c r="G933" t="s">
        <v>19</v>
      </c>
      <c r="H933" t="s">
        <v>20</v>
      </c>
      <c r="I933" t="s">
        <v>21</v>
      </c>
      <c r="J933" t="s">
        <v>22</v>
      </c>
      <c r="K933">
        <v>35</v>
      </c>
      <c r="L933" t="str">
        <f>IF(Table1[[#This Row],[Age]]&lt;20,"&lt;20",IF(Table1[[#This Row],[Age]]&lt;=70,"20-70","&gt;70"))</f>
        <v>20-70</v>
      </c>
      <c r="M933" t="s">
        <v>23</v>
      </c>
      <c r="N933" t="s">
        <v>34</v>
      </c>
      <c r="O933">
        <v>39.619999999999997</v>
      </c>
      <c r="P933">
        <v>9</v>
      </c>
      <c r="Q933">
        <v>17.829000000000001</v>
      </c>
      <c r="R933">
        <v>374.40899999999999</v>
      </c>
      <c r="S933">
        <v>356.58</v>
      </c>
      <c r="T933">
        <v>4.7619047620000003</v>
      </c>
      <c r="U933">
        <v>17.829000000000001</v>
      </c>
      <c r="V933">
        <v>6.8</v>
      </c>
    </row>
    <row r="934" spans="1:22" x14ac:dyDescent="0.2">
      <c r="A934" t="s">
        <v>965</v>
      </c>
      <c r="B934" s="1">
        <v>43511</v>
      </c>
      <c r="C934" s="2">
        <v>0.86875000000000002</v>
      </c>
      <c r="D934" s="2" t="str">
        <f>IF(Table1[[#This Row],[Time]]&lt;$D$1,$C$1,IF(Table1[[#This Row],[Time]]&lt;$D$2,$C$2,$C$3))</f>
        <v>Evening</v>
      </c>
      <c r="E934">
        <f>MONTH(Table1[[#This Row],[Date]])</f>
        <v>2</v>
      </c>
      <c r="F934" t="str">
        <f>VLOOKUP(Table1[[#This Row],[Month]],dctMonth[],2,FALSE)</f>
        <v>February</v>
      </c>
      <c r="G934" t="s">
        <v>43</v>
      </c>
      <c r="H934" t="s">
        <v>44</v>
      </c>
      <c r="I934" t="s">
        <v>28</v>
      </c>
      <c r="J934" t="s">
        <v>22</v>
      </c>
      <c r="K934">
        <v>40</v>
      </c>
      <c r="L934" t="str">
        <f>IF(Table1[[#This Row],[Age]]&lt;20,"&lt;20",IF(Table1[[#This Row],[Age]]&lt;=70,"20-70","&gt;70"))</f>
        <v>20-70</v>
      </c>
      <c r="M934" t="s">
        <v>29</v>
      </c>
      <c r="N934" t="s">
        <v>34</v>
      </c>
      <c r="O934">
        <v>88.25</v>
      </c>
      <c r="P934">
        <v>9</v>
      </c>
      <c r="Q934">
        <v>39.712499999999999</v>
      </c>
      <c r="R934">
        <v>833.96249999999998</v>
      </c>
      <c r="S934">
        <v>794.25</v>
      </c>
      <c r="T934">
        <v>4.7619047620000003</v>
      </c>
      <c r="U934">
        <v>39.712499999999999</v>
      </c>
      <c r="V934">
        <v>7.6</v>
      </c>
    </row>
    <row r="935" spans="1:22" x14ac:dyDescent="0.2">
      <c r="A935" t="s">
        <v>966</v>
      </c>
      <c r="B935" s="1">
        <v>43526</v>
      </c>
      <c r="C935" s="2">
        <v>0.80972222222222223</v>
      </c>
      <c r="D935" s="2" t="str">
        <f>IF(Table1[[#This Row],[Time]]&lt;$D$1,$C$1,IF(Table1[[#This Row],[Time]]&lt;$D$2,$C$2,$C$3))</f>
        <v>Evening</v>
      </c>
      <c r="E935">
        <f>MONTH(Table1[[#This Row],[Date]])</f>
        <v>3</v>
      </c>
      <c r="F935" t="str">
        <f>VLOOKUP(Table1[[#This Row],[Month]],dctMonth[],2,FALSE)</f>
        <v>March</v>
      </c>
      <c r="G935" t="s">
        <v>43</v>
      </c>
      <c r="H935" t="s">
        <v>44</v>
      </c>
      <c r="I935" t="s">
        <v>28</v>
      </c>
      <c r="J935" t="s">
        <v>32</v>
      </c>
      <c r="K935">
        <v>39</v>
      </c>
      <c r="L935" t="str">
        <f>IF(Table1[[#This Row],[Age]]&lt;20,"&lt;20",IF(Table1[[#This Row],[Age]]&lt;=70,"20-70","&gt;70"))</f>
        <v>20-70</v>
      </c>
      <c r="M935" t="s">
        <v>37</v>
      </c>
      <c r="N935" t="s">
        <v>24</v>
      </c>
      <c r="O935">
        <v>25.31</v>
      </c>
      <c r="P935">
        <v>2</v>
      </c>
      <c r="Q935">
        <v>2.5310000000000001</v>
      </c>
      <c r="R935">
        <v>53.151000000000003</v>
      </c>
      <c r="S935">
        <v>50.62</v>
      </c>
      <c r="T935">
        <v>4.7619047620000003</v>
      </c>
      <c r="U935">
        <v>2.5310000000000001</v>
      </c>
      <c r="V935">
        <v>7.2</v>
      </c>
    </row>
    <row r="936" spans="1:22" x14ac:dyDescent="0.2">
      <c r="A936" t="s">
        <v>967</v>
      </c>
      <c r="B936" s="1">
        <v>43548</v>
      </c>
      <c r="C936" s="2">
        <v>0.56458333333333333</v>
      </c>
      <c r="D936" s="2" t="str">
        <f>IF(Table1[[#This Row],[Time]]&lt;$D$1,$C$1,IF(Table1[[#This Row],[Time]]&lt;$D$2,$C$2,$C$3))</f>
        <v>Afternoon</v>
      </c>
      <c r="E936">
        <f>MONTH(Table1[[#This Row],[Date]])</f>
        <v>3</v>
      </c>
      <c r="F936" t="str">
        <f>VLOOKUP(Table1[[#This Row],[Month]],dctMonth[],2,FALSE)</f>
        <v>March</v>
      </c>
      <c r="G936" t="s">
        <v>43</v>
      </c>
      <c r="H936" t="s">
        <v>44</v>
      </c>
      <c r="I936" t="s">
        <v>28</v>
      </c>
      <c r="J936" t="s">
        <v>32</v>
      </c>
      <c r="K936">
        <v>30</v>
      </c>
      <c r="L936" t="str">
        <f>IF(Table1[[#This Row],[Age]]&lt;20,"&lt;20",IF(Table1[[#This Row],[Age]]&lt;=70,"20-70","&gt;70"))</f>
        <v>20-70</v>
      </c>
      <c r="M936" t="s">
        <v>33</v>
      </c>
      <c r="N936" t="s">
        <v>24</v>
      </c>
      <c r="O936">
        <v>99.92</v>
      </c>
      <c r="P936">
        <v>6</v>
      </c>
      <c r="Q936">
        <v>29.975999999999999</v>
      </c>
      <c r="R936">
        <v>629.49599999999998</v>
      </c>
      <c r="S936">
        <v>599.52</v>
      </c>
      <c r="T936">
        <v>4.7619047620000003</v>
      </c>
      <c r="U936">
        <v>29.975999999999999</v>
      </c>
      <c r="V936">
        <v>7.1</v>
      </c>
    </row>
    <row r="937" spans="1:22" x14ac:dyDescent="0.2">
      <c r="A937" t="s">
        <v>968</v>
      </c>
      <c r="B937" s="1">
        <v>43498</v>
      </c>
      <c r="C937" s="2">
        <v>0.58680555555555558</v>
      </c>
      <c r="D937" s="2" t="str">
        <f>IF(Table1[[#This Row],[Time]]&lt;$D$1,$C$1,IF(Table1[[#This Row],[Time]]&lt;$D$2,$C$2,$C$3))</f>
        <v>Afternoon</v>
      </c>
      <c r="E937">
        <f>MONTH(Table1[[#This Row],[Date]])</f>
        <v>2</v>
      </c>
      <c r="F937" t="str">
        <f>VLOOKUP(Table1[[#This Row],[Month]],dctMonth[],2,FALSE)</f>
        <v>February</v>
      </c>
      <c r="G937" t="s">
        <v>26</v>
      </c>
      <c r="H937" t="s">
        <v>27</v>
      </c>
      <c r="I937" t="s">
        <v>21</v>
      </c>
      <c r="J937" t="s">
        <v>22</v>
      </c>
      <c r="K937">
        <v>18</v>
      </c>
      <c r="L937" t="str">
        <f>IF(Table1[[#This Row],[Age]]&lt;20,"&lt;20",IF(Table1[[#This Row],[Age]]&lt;=70,"20-70","&gt;70"))</f>
        <v>&lt;20</v>
      </c>
      <c r="M937" t="s">
        <v>47</v>
      </c>
      <c r="N937" t="s">
        <v>34</v>
      </c>
      <c r="O937">
        <v>83.35</v>
      </c>
      <c r="P937">
        <v>2</v>
      </c>
      <c r="Q937">
        <v>8.3350000000000009</v>
      </c>
      <c r="R937">
        <v>175.035</v>
      </c>
      <c r="S937">
        <v>166.7</v>
      </c>
      <c r="T937">
        <v>4.7619047620000003</v>
      </c>
      <c r="U937">
        <v>8.3350000000000009</v>
      </c>
      <c r="V937">
        <v>9.5</v>
      </c>
    </row>
    <row r="938" spans="1:22" x14ac:dyDescent="0.2">
      <c r="A938" t="s">
        <v>969</v>
      </c>
      <c r="B938" s="1">
        <v>43523</v>
      </c>
      <c r="C938" s="2">
        <v>0.4861111111111111</v>
      </c>
      <c r="D938" s="2" t="str">
        <f>IF(Table1[[#This Row],[Time]]&lt;$D$1,$C$1,IF(Table1[[#This Row],[Time]]&lt;$D$2,$C$2,$C$3))</f>
        <v>Morning</v>
      </c>
      <c r="E938">
        <f>MONTH(Table1[[#This Row],[Date]])</f>
        <v>2</v>
      </c>
      <c r="F938" t="str">
        <f>VLOOKUP(Table1[[#This Row],[Month]],dctMonth[],2,FALSE)</f>
        <v>February</v>
      </c>
      <c r="G938" t="s">
        <v>19</v>
      </c>
      <c r="H938" t="s">
        <v>20</v>
      </c>
      <c r="I938" t="s">
        <v>28</v>
      </c>
      <c r="J938" t="s">
        <v>22</v>
      </c>
      <c r="K938">
        <v>17</v>
      </c>
      <c r="L938" t="str">
        <f>IF(Table1[[#This Row],[Age]]&lt;20,"&lt;20",IF(Table1[[#This Row],[Age]]&lt;=70,"20-70","&gt;70"))</f>
        <v>&lt;20</v>
      </c>
      <c r="M938" t="s">
        <v>45</v>
      </c>
      <c r="N938" t="s">
        <v>24</v>
      </c>
      <c r="O938">
        <v>74.44</v>
      </c>
      <c r="P938">
        <v>10</v>
      </c>
      <c r="Q938">
        <v>37.22</v>
      </c>
      <c r="R938">
        <v>781.62</v>
      </c>
      <c r="S938">
        <v>744.4</v>
      </c>
      <c r="T938">
        <v>4.7619047620000003</v>
      </c>
      <c r="U938">
        <v>37.22</v>
      </c>
      <c r="V938">
        <v>5.0999999999999996</v>
      </c>
    </row>
    <row r="939" spans="1:22" x14ac:dyDescent="0.2">
      <c r="A939" t="s">
        <v>970</v>
      </c>
      <c r="B939" s="1">
        <v>43485</v>
      </c>
      <c r="C939" s="2">
        <v>0.51875000000000004</v>
      </c>
      <c r="D939" s="2" t="str">
        <f>IF(Table1[[#This Row],[Time]]&lt;$D$1,$C$1,IF(Table1[[#This Row],[Time]]&lt;$D$2,$C$2,$C$3))</f>
        <v>Afternoon</v>
      </c>
      <c r="E939">
        <f>MONTH(Table1[[#This Row],[Date]])</f>
        <v>1</v>
      </c>
      <c r="F939" t="str">
        <f>VLOOKUP(Table1[[#This Row],[Month]],dctMonth[],2,FALSE)</f>
        <v>January</v>
      </c>
      <c r="G939" t="s">
        <v>26</v>
      </c>
      <c r="H939" t="s">
        <v>27</v>
      </c>
      <c r="I939" t="s">
        <v>28</v>
      </c>
      <c r="J939" t="s">
        <v>32</v>
      </c>
      <c r="K939">
        <v>59</v>
      </c>
      <c r="L939" t="str">
        <f>IF(Table1[[#This Row],[Age]]&lt;20,"&lt;20",IF(Table1[[#This Row],[Age]]&lt;=70,"20-70","&gt;70"))</f>
        <v>20-70</v>
      </c>
      <c r="M939" t="s">
        <v>23</v>
      </c>
      <c r="N939" t="s">
        <v>24</v>
      </c>
      <c r="O939">
        <v>64.08</v>
      </c>
      <c r="P939">
        <v>7</v>
      </c>
      <c r="Q939">
        <v>22.428000000000001</v>
      </c>
      <c r="R939">
        <v>470.988</v>
      </c>
      <c r="S939">
        <v>448.56</v>
      </c>
      <c r="T939">
        <v>4.7619047620000003</v>
      </c>
      <c r="U939">
        <v>22.428000000000001</v>
      </c>
      <c r="V939">
        <v>7.6</v>
      </c>
    </row>
    <row r="940" spans="1:22" x14ac:dyDescent="0.2">
      <c r="A940" t="s">
        <v>971</v>
      </c>
      <c r="B940" s="1">
        <v>43468</v>
      </c>
      <c r="C940" s="2">
        <v>0.85</v>
      </c>
      <c r="D940" s="2" t="str">
        <f>IF(Table1[[#This Row],[Time]]&lt;$D$1,$C$1,IF(Table1[[#This Row],[Time]]&lt;$D$2,$C$2,$C$3))</f>
        <v>Evening</v>
      </c>
      <c r="E940">
        <f>MONTH(Table1[[#This Row],[Date]])</f>
        <v>1</v>
      </c>
      <c r="F940" t="str">
        <f>VLOOKUP(Table1[[#This Row],[Month]],dctMonth[],2,FALSE)</f>
        <v>January</v>
      </c>
      <c r="G940" t="s">
        <v>43</v>
      </c>
      <c r="H940" t="s">
        <v>44</v>
      </c>
      <c r="I940" t="s">
        <v>28</v>
      </c>
      <c r="J940" t="s">
        <v>22</v>
      </c>
      <c r="K940">
        <v>19</v>
      </c>
      <c r="L940" t="str">
        <f>IF(Table1[[#This Row],[Age]]&lt;20,"&lt;20",IF(Table1[[#This Row],[Age]]&lt;=70,"20-70","&gt;70"))</f>
        <v>&lt;20</v>
      </c>
      <c r="M940" t="s">
        <v>33</v>
      </c>
      <c r="N940" t="s">
        <v>24</v>
      </c>
      <c r="O940">
        <v>63.15</v>
      </c>
      <c r="P940">
        <v>6</v>
      </c>
      <c r="Q940">
        <v>18.945</v>
      </c>
      <c r="R940">
        <v>397.84500000000003</v>
      </c>
      <c r="S940">
        <v>378.9</v>
      </c>
      <c r="T940">
        <v>4.7619047620000003</v>
      </c>
      <c r="U940">
        <v>18.945</v>
      </c>
      <c r="V940">
        <v>9.8000000000000007</v>
      </c>
    </row>
    <row r="941" spans="1:22" x14ac:dyDescent="0.2">
      <c r="A941" t="s">
        <v>972</v>
      </c>
      <c r="B941" s="1">
        <v>43489</v>
      </c>
      <c r="C941" s="2">
        <v>0.87430555555555556</v>
      </c>
      <c r="D941" s="2" t="str">
        <f>IF(Table1[[#This Row],[Time]]&lt;$D$1,$C$1,IF(Table1[[#This Row],[Time]]&lt;$D$2,$C$2,$C$3))</f>
        <v>Evening</v>
      </c>
      <c r="E941">
        <f>MONTH(Table1[[#This Row],[Date]])</f>
        <v>1</v>
      </c>
      <c r="F941" t="str">
        <f>VLOOKUP(Table1[[#This Row],[Month]],dctMonth[],2,FALSE)</f>
        <v>January</v>
      </c>
      <c r="G941" t="s">
        <v>26</v>
      </c>
      <c r="H941" t="s">
        <v>27</v>
      </c>
      <c r="I941" t="s">
        <v>21</v>
      </c>
      <c r="J941" t="s">
        <v>32</v>
      </c>
      <c r="K941">
        <v>42</v>
      </c>
      <c r="L941" t="str">
        <f>IF(Table1[[#This Row],[Age]]&lt;20,"&lt;20",IF(Table1[[#This Row],[Age]]&lt;=70,"20-70","&gt;70"))</f>
        <v>20-70</v>
      </c>
      <c r="M941" t="s">
        <v>33</v>
      </c>
      <c r="N941" t="s">
        <v>24</v>
      </c>
      <c r="O941">
        <v>85.72</v>
      </c>
      <c r="P941">
        <v>3</v>
      </c>
      <c r="Q941">
        <v>12.858000000000001</v>
      </c>
      <c r="R941">
        <v>270.01799999999997</v>
      </c>
      <c r="S941">
        <v>257.16000000000003</v>
      </c>
      <c r="T941">
        <v>4.7619047620000003</v>
      </c>
      <c r="U941">
        <v>12.858000000000001</v>
      </c>
      <c r="V941">
        <v>5.0999999999999996</v>
      </c>
    </row>
    <row r="942" spans="1:22" x14ac:dyDescent="0.2">
      <c r="A942" t="s">
        <v>973</v>
      </c>
      <c r="B942" s="1">
        <v>43470</v>
      </c>
      <c r="C942" s="2">
        <v>0.82499999999999996</v>
      </c>
      <c r="D942" s="2" t="str">
        <f>IF(Table1[[#This Row],[Time]]&lt;$D$1,$C$1,IF(Table1[[#This Row],[Time]]&lt;$D$2,$C$2,$C$3))</f>
        <v>Evening</v>
      </c>
      <c r="E942">
        <f>MONTH(Table1[[#This Row],[Date]])</f>
        <v>1</v>
      </c>
      <c r="F942" t="str">
        <f>VLOOKUP(Table1[[#This Row],[Month]],dctMonth[],2,FALSE)</f>
        <v>January</v>
      </c>
      <c r="G942" t="s">
        <v>26</v>
      </c>
      <c r="H942" t="s">
        <v>27</v>
      </c>
      <c r="I942" t="s">
        <v>28</v>
      </c>
      <c r="J942" t="s">
        <v>22</v>
      </c>
      <c r="K942">
        <v>67</v>
      </c>
      <c r="L942" t="str">
        <f>IF(Table1[[#This Row],[Age]]&lt;20,"&lt;20",IF(Table1[[#This Row],[Age]]&lt;=70,"20-70","&gt;70"))</f>
        <v>20-70</v>
      </c>
      <c r="M942" t="s">
        <v>23</v>
      </c>
      <c r="N942" t="s">
        <v>24</v>
      </c>
      <c r="O942">
        <v>78.89</v>
      </c>
      <c r="P942">
        <v>7</v>
      </c>
      <c r="Q942">
        <v>27.611499999999999</v>
      </c>
      <c r="R942">
        <v>579.8415</v>
      </c>
      <c r="S942">
        <v>552.23</v>
      </c>
      <c r="T942">
        <v>4.7619047620000003</v>
      </c>
      <c r="U942">
        <v>27.611499999999999</v>
      </c>
      <c r="V942">
        <v>7.5</v>
      </c>
    </row>
    <row r="943" spans="1:22" x14ac:dyDescent="0.2">
      <c r="A943" t="s">
        <v>974</v>
      </c>
      <c r="B943" s="1">
        <v>43554</v>
      </c>
      <c r="C943" s="2">
        <v>0.42916666666666664</v>
      </c>
      <c r="D943" s="2" t="str">
        <f>IF(Table1[[#This Row],[Time]]&lt;$D$1,$C$1,IF(Table1[[#This Row],[Time]]&lt;$D$2,$C$2,$C$3))</f>
        <v>Morning</v>
      </c>
      <c r="E943">
        <f>MONTH(Table1[[#This Row],[Date]])</f>
        <v>3</v>
      </c>
      <c r="F943" t="str">
        <f>VLOOKUP(Table1[[#This Row],[Month]],dctMonth[],2,FALSE)</f>
        <v>March</v>
      </c>
      <c r="G943" t="s">
        <v>19</v>
      </c>
      <c r="H943" t="s">
        <v>20</v>
      </c>
      <c r="I943" t="s">
        <v>28</v>
      </c>
      <c r="J943" t="s">
        <v>22</v>
      </c>
      <c r="K943">
        <v>33</v>
      </c>
      <c r="L943" t="str">
        <f>IF(Table1[[#This Row],[Age]]&lt;20,"&lt;20",IF(Table1[[#This Row],[Age]]&lt;=70,"20-70","&gt;70"))</f>
        <v>20-70</v>
      </c>
      <c r="M943" t="s">
        <v>37</v>
      </c>
      <c r="N943" t="s">
        <v>30</v>
      </c>
      <c r="O943">
        <v>89.48</v>
      </c>
      <c r="P943">
        <v>5</v>
      </c>
      <c r="Q943">
        <v>22.37</v>
      </c>
      <c r="R943">
        <v>469.77</v>
      </c>
      <c r="S943">
        <v>447.4</v>
      </c>
      <c r="T943">
        <v>4.7619047620000003</v>
      </c>
      <c r="U943">
        <v>22.37</v>
      </c>
      <c r="V943">
        <v>7.4</v>
      </c>
    </row>
    <row r="944" spans="1:22" x14ac:dyDescent="0.2">
      <c r="A944" t="s">
        <v>975</v>
      </c>
      <c r="B944" s="1">
        <v>43513</v>
      </c>
      <c r="C944" s="2">
        <v>0.68541666666666667</v>
      </c>
      <c r="D944" s="2" t="str">
        <f>IF(Table1[[#This Row],[Time]]&lt;$D$1,$C$1,IF(Table1[[#This Row],[Time]]&lt;$D$2,$C$2,$C$3))</f>
        <v>Afternoon</v>
      </c>
      <c r="E944">
        <f>MONTH(Table1[[#This Row],[Date]])</f>
        <v>2</v>
      </c>
      <c r="F944" t="str">
        <f>VLOOKUP(Table1[[#This Row],[Month]],dctMonth[],2,FALSE)</f>
        <v>February</v>
      </c>
      <c r="G944" t="s">
        <v>19</v>
      </c>
      <c r="H944" t="s">
        <v>20</v>
      </c>
      <c r="I944" t="s">
        <v>21</v>
      </c>
      <c r="J944" t="s">
        <v>22</v>
      </c>
      <c r="K944">
        <v>48</v>
      </c>
      <c r="L944" t="str">
        <f>IF(Table1[[#This Row],[Age]]&lt;20,"&lt;20",IF(Table1[[#This Row],[Age]]&lt;=70,"20-70","&gt;70"))</f>
        <v>20-70</v>
      </c>
      <c r="M944" t="s">
        <v>23</v>
      </c>
      <c r="N944" t="s">
        <v>30</v>
      </c>
      <c r="O944">
        <v>92.09</v>
      </c>
      <c r="P944">
        <v>3</v>
      </c>
      <c r="Q944">
        <v>13.813499999999999</v>
      </c>
      <c r="R944">
        <v>290.08350000000002</v>
      </c>
      <c r="S944">
        <v>276.27</v>
      </c>
      <c r="T944">
        <v>4.7619047620000003</v>
      </c>
      <c r="U944">
        <v>13.813499999999999</v>
      </c>
      <c r="V944">
        <v>4.2</v>
      </c>
    </row>
    <row r="945" spans="1:22" x14ac:dyDescent="0.2">
      <c r="A945" t="s">
        <v>976</v>
      </c>
      <c r="B945" s="1">
        <v>43545</v>
      </c>
      <c r="C945" s="2">
        <v>0.71111111111111114</v>
      </c>
      <c r="D945" s="2" t="str">
        <f>IF(Table1[[#This Row],[Time]]&lt;$D$1,$C$1,IF(Table1[[#This Row],[Time]]&lt;$D$2,$C$2,$C$3))</f>
        <v>Evening</v>
      </c>
      <c r="E945">
        <f>MONTH(Table1[[#This Row],[Date]])</f>
        <v>3</v>
      </c>
      <c r="F945" t="str">
        <f>VLOOKUP(Table1[[#This Row],[Month]],dctMonth[],2,FALSE)</f>
        <v>March</v>
      </c>
      <c r="G945" t="s">
        <v>26</v>
      </c>
      <c r="H945" t="s">
        <v>27</v>
      </c>
      <c r="I945" t="s">
        <v>28</v>
      </c>
      <c r="J945" t="s">
        <v>22</v>
      </c>
      <c r="K945">
        <v>57</v>
      </c>
      <c r="L945" t="str">
        <f>IF(Table1[[#This Row],[Age]]&lt;20,"&lt;20",IF(Table1[[#This Row],[Age]]&lt;=70,"20-70","&gt;70"))</f>
        <v>20-70</v>
      </c>
      <c r="M945" t="s">
        <v>45</v>
      </c>
      <c r="N945" t="s">
        <v>24</v>
      </c>
      <c r="O945">
        <v>57.29</v>
      </c>
      <c r="P945">
        <v>6</v>
      </c>
      <c r="Q945">
        <v>17.187000000000001</v>
      </c>
      <c r="R945">
        <v>360.92700000000002</v>
      </c>
      <c r="S945">
        <v>343.74</v>
      </c>
      <c r="T945">
        <v>4.7619047620000003</v>
      </c>
      <c r="U945">
        <v>17.187000000000001</v>
      </c>
      <c r="V945">
        <v>5.9</v>
      </c>
    </row>
    <row r="946" spans="1:22" x14ac:dyDescent="0.2">
      <c r="A946" t="s">
        <v>977</v>
      </c>
      <c r="B946" s="1">
        <v>43526</v>
      </c>
      <c r="C946" s="2">
        <v>0.75972222222222219</v>
      </c>
      <c r="D946" s="2" t="str">
        <f>IF(Table1[[#This Row],[Time]]&lt;$D$1,$C$1,IF(Table1[[#This Row],[Time]]&lt;$D$2,$C$2,$C$3))</f>
        <v>Evening</v>
      </c>
      <c r="E946">
        <f>MONTH(Table1[[#This Row],[Date]])</f>
        <v>3</v>
      </c>
      <c r="F946" t="str">
        <f>VLOOKUP(Table1[[#This Row],[Month]],dctMonth[],2,FALSE)</f>
        <v>March</v>
      </c>
      <c r="G946" t="s">
        <v>19</v>
      </c>
      <c r="H946" t="s">
        <v>20</v>
      </c>
      <c r="I946" t="s">
        <v>28</v>
      </c>
      <c r="J946" t="s">
        <v>32</v>
      </c>
      <c r="K946">
        <v>29</v>
      </c>
      <c r="L946" t="str">
        <f>IF(Table1[[#This Row],[Age]]&lt;20,"&lt;20",IF(Table1[[#This Row],[Age]]&lt;=70,"20-70","&gt;70"))</f>
        <v>20-70</v>
      </c>
      <c r="M946" t="s">
        <v>45</v>
      </c>
      <c r="N946" t="s">
        <v>24</v>
      </c>
      <c r="O946">
        <v>66.52</v>
      </c>
      <c r="P946">
        <v>4</v>
      </c>
      <c r="Q946">
        <v>13.304</v>
      </c>
      <c r="R946">
        <v>279.38400000000001</v>
      </c>
      <c r="S946">
        <v>266.08</v>
      </c>
      <c r="T946">
        <v>4.7619047620000003</v>
      </c>
      <c r="U946">
        <v>13.304</v>
      </c>
      <c r="V946">
        <v>6.9</v>
      </c>
    </row>
    <row r="947" spans="1:22" x14ac:dyDescent="0.2">
      <c r="A947" t="s">
        <v>978</v>
      </c>
      <c r="B947" s="1">
        <v>43551</v>
      </c>
      <c r="C947" s="2">
        <v>0.4465277777777778</v>
      </c>
      <c r="D947" s="2" t="str">
        <f>IF(Table1[[#This Row],[Time]]&lt;$D$1,$C$1,IF(Table1[[#This Row],[Time]]&lt;$D$2,$C$2,$C$3))</f>
        <v>Morning</v>
      </c>
      <c r="E947">
        <f>MONTH(Table1[[#This Row],[Date]])</f>
        <v>3</v>
      </c>
      <c r="F947" t="str">
        <f>VLOOKUP(Table1[[#This Row],[Month]],dctMonth[],2,FALSE)</f>
        <v>March</v>
      </c>
      <c r="G947" t="s">
        <v>26</v>
      </c>
      <c r="H947" t="s">
        <v>27</v>
      </c>
      <c r="I947" t="s">
        <v>21</v>
      </c>
      <c r="J947" t="s">
        <v>32</v>
      </c>
      <c r="K947">
        <v>18</v>
      </c>
      <c r="L947" t="str">
        <f>IF(Table1[[#This Row],[Age]]&lt;20,"&lt;20",IF(Table1[[#This Row],[Age]]&lt;=70,"20-70","&gt;70"))</f>
        <v>&lt;20</v>
      </c>
      <c r="M947" t="s">
        <v>47</v>
      </c>
      <c r="N947" t="s">
        <v>30</v>
      </c>
      <c r="O947">
        <v>99.82</v>
      </c>
      <c r="P947">
        <v>9</v>
      </c>
      <c r="Q947">
        <v>44.918999999999997</v>
      </c>
      <c r="R947">
        <v>943.29899999999998</v>
      </c>
      <c r="S947">
        <v>898.38</v>
      </c>
      <c r="T947">
        <v>4.7619047620000003</v>
      </c>
      <c r="U947">
        <v>44.918999999999997</v>
      </c>
      <c r="V947">
        <v>6.6</v>
      </c>
    </row>
    <row r="948" spans="1:22" x14ac:dyDescent="0.2">
      <c r="A948" t="s">
        <v>979</v>
      </c>
      <c r="B948" s="1">
        <v>43484</v>
      </c>
      <c r="C948" s="2">
        <v>0.8125</v>
      </c>
      <c r="D948" s="2" t="str">
        <f>IF(Table1[[#This Row],[Time]]&lt;$D$1,$C$1,IF(Table1[[#This Row],[Time]]&lt;$D$2,$C$2,$C$3))</f>
        <v>Evening</v>
      </c>
      <c r="E948">
        <f>MONTH(Table1[[#This Row],[Date]])</f>
        <v>1</v>
      </c>
      <c r="F948" t="str">
        <f>VLOOKUP(Table1[[#This Row],[Month]],dctMonth[],2,FALSE)</f>
        <v>January</v>
      </c>
      <c r="G948" t="s">
        <v>19</v>
      </c>
      <c r="H948" t="s">
        <v>20</v>
      </c>
      <c r="I948" t="s">
        <v>28</v>
      </c>
      <c r="J948" t="s">
        <v>22</v>
      </c>
      <c r="K948">
        <v>43</v>
      </c>
      <c r="L948" t="str">
        <f>IF(Table1[[#This Row],[Age]]&lt;20,"&lt;20",IF(Table1[[#This Row],[Age]]&lt;=70,"20-70","&gt;70"))</f>
        <v>20-70</v>
      </c>
      <c r="M948" t="s">
        <v>33</v>
      </c>
      <c r="N948" t="s">
        <v>24</v>
      </c>
      <c r="O948">
        <v>45.68</v>
      </c>
      <c r="P948">
        <v>10</v>
      </c>
      <c r="Q948">
        <v>22.84</v>
      </c>
      <c r="R948">
        <v>479.64</v>
      </c>
      <c r="S948">
        <v>456.8</v>
      </c>
      <c r="T948">
        <v>4.7619047620000003</v>
      </c>
      <c r="U948">
        <v>22.84</v>
      </c>
      <c r="V948">
        <v>5.7</v>
      </c>
    </row>
    <row r="949" spans="1:22" x14ac:dyDescent="0.2">
      <c r="A949" t="s">
        <v>980</v>
      </c>
      <c r="B949" s="1">
        <v>43515</v>
      </c>
      <c r="C949" s="2">
        <v>0.62013888888888891</v>
      </c>
      <c r="D949" s="2" t="str">
        <f>IF(Table1[[#This Row],[Time]]&lt;$D$1,$C$1,IF(Table1[[#This Row],[Time]]&lt;$D$2,$C$2,$C$3))</f>
        <v>Afternoon</v>
      </c>
      <c r="E949">
        <f>MONTH(Table1[[#This Row],[Date]])</f>
        <v>2</v>
      </c>
      <c r="F949" t="str">
        <f>VLOOKUP(Table1[[#This Row],[Month]],dctMonth[],2,FALSE)</f>
        <v>February</v>
      </c>
      <c r="G949" t="s">
        <v>19</v>
      </c>
      <c r="H949" t="s">
        <v>20</v>
      </c>
      <c r="I949" t="s">
        <v>28</v>
      </c>
      <c r="J949" t="s">
        <v>32</v>
      </c>
      <c r="K949">
        <v>55</v>
      </c>
      <c r="L949" t="str">
        <f>IF(Table1[[#This Row],[Age]]&lt;20,"&lt;20",IF(Table1[[#This Row],[Age]]&lt;=70,"20-70","&gt;70"))</f>
        <v>20-70</v>
      </c>
      <c r="M949" t="s">
        <v>23</v>
      </c>
      <c r="N949" t="s">
        <v>34</v>
      </c>
      <c r="O949">
        <v>50.79</v>
      </c>
      <c r="P949">
        <v>5</v>
      </c>
      <c r="Q949">
        <v>12.6975</v>
      </c>
      <c r="R949">
        <v>266.64749999999998</v>
      </c>
      <c r="S949">
        <v>253.95</v>
      </c>
      <c r="T949">
        <v>4.7619047620000003</v>
      </c>
      <c r="U949">
        <v>12.6975</v>
      </c>
      <c r="V949">
        <v>5.3</v>
      </c>
    </row>
    <row r="950" spans="1:22" x14ac:dyDescent="0.2">
      <c r="A950" t="s">
        <v>981</v>
      </c>
      <c r="B950" s="1">
        <v>43552</v>
      </c>
      <c r="C950" s="2">
        <v>0.84305555555555556</v>
      </c>
      <c r="D950" s="2" t="str">
        <f>IF(Table1[[#This Row],[Time]]&lt;$D$1,$C$1,IF(Table1[[#This Row],[Time]]&lt;$D$2,$C$2,$C$3))</f>
        <v>Evening</v>
      </c>
      <c r="E950">
        <f>MONTH(Table1[[#This Row],[Date]])</f>
        <v>3</v>
      </c>
      <c r="F950" t="str">
        <f>VLOOKUP(Table1[[#This Row],[Month]],dctMonth[],2,FALSE)</f>
        <v>March</v>
      </c>
      <c r="G950" t="s">
        <v>19</v>
      </c>
      <c r="H950" t="s">
        <v>20</v>
      </c>
      <c r="I950" t="s">
        <v>21</v>
      </c>
      <c r="J950" t="s">
        <v>32</v>
      </c>
      <c r="K950">
        <v>24</v>
      </c>
      <c r="L950" t="str">
        <f>IF(Table1[[#This Row],[Age]]&lt;20,"&lt;20",IF(Table1[[#This Row],[Age]]&lt;=70,"20-70","&gt;70"))</f>
        <v>20-70</v>
      </c>
      <c r="M950" t="s">
        <v>23</v>
      </c>
      <c r="N950" t="s">
        <v>30</v>
      </c>
      <c r="O950">
        <v>10.08</v>
      </c>
      <c r="P950">
        <v>7</v>
      </c>
      <c r="Q950">
        <v>3.528</v>
      </c>
      <c r="R950">
        <v>74.087999999999994</v>
      </c>
      <c r="S950">
        <v>70.56</v>
      </c>
      <c r="T950">
        <v>4.7619047620000003</v>
      </c>
      <c r="U950">
        <v>3.528</v>
      </c>
      <c r="V950">
        <v>4.2</v>
      </c>
    </row>
    <row r="951" spans="1:22" x14ac:dyDescent="0.2">
      <c r="A951" t="s">
        <v>982</v>
      </c>
      <c r="B951" s="1">
        <v>43470</v>
      </c>
      <c r="C951" s="2">
        <v>0.49375000000000002</v>
      </c>
      <c r="D951" s="2" t="str">
        <f>IF(Table1[[#This Row],[Time]]&lt;$D$1,$C$1,IF(Table1[[#This Row],[Time]]&lt;$D$2,$C$2,$C$3))</f>
        <v>Morning</v>
      </c>
      <c r="E951">
        <f>MONTH(Table1[[#This Row],[Date]])</f>
        <v>1</v>
      </c>
      <c r="F951" t="str">
        <f>VLOOKUP(Table1[[#This Row],[Month]],dctMonth[],2,FALSE)</f>
        <v>January</v>
      </c>
      <c r="G951" t="s">
        <v>19</v>
      </c>
      <c r="H951" t="s">
        <v>20</v>
      </c>
      <c r="I951" t="s">
        <v>28</v>
      </c>
      <c r="J951" t="s">
        <v>22</v>
      </c>
      <c r="K951">
        <v>87</v>
      </c>
      <c r="L951" t="str">
        <f>IF(Table1[[#This Row],[Age]]&lt;20,"&lt;20",IF(Table1[[#This Row],[Age]]&lt;=70,"20-70","&gt;70"))</f>
        <v>&gt;70</v>
      </c>
      <c r="M951" t="s">
        <v>29</v>
      </c>
      <c r="N951" t="s">
        <v>34</v>
      </c>
      <c r="O951">
        <v>93.88</v>
      </c>
      <c r="P951">
        <v>7</v>
      </c>
      <c r="Q951">
        <v>32.857999999999997</v>
      </c>
      <c r="R951">
        <v>690.01800000000003</v>
      </c>
      <c r="S951">
        <v>657.16</v>
      </c>
      <c r="T951">
        <v>4.7619047620000003</v>
      </c>
      <c r="U951">
        <v>32.857999999999997</v>
      </c>
      <c r="V951">
        <v>7.3</v>
      </c>
    </row>
    <row r="952" spans="1:22" x14ac:dyDescent="0.2">
      <c r="A952" t="s">
        <v>983</v>
      </c>
      <c r="B952" s="1">
        <v>43550</v>
      </c>
      <c r="C952" s="2">
        <v>0.59236111111111112</v>
      </c>
      <c r="D952" s="2" t="str">
        <f>IF(Table1[[#This Row],[Time]]&lt;$D$1,$C$1,IF(Table1[[#This Row],[Time]]&lt;$D$2,$C$2,$C$3))</f>
        <v>Afternoon</v>
      </c>
      <c r="E952">
        <f>MONTH(Table1[[#This Row],[Date]])</f>
        <v>3</v>
      </c>
      <c r="F952" t="str">
        <f>VLOOKUP(Table1[[#This Row],[Month]],dctMonth[],2,FALSE)</f>
        <v>March</v>
      </c>
      <c r="G952" t="s">
        <v>26</v>
      </c>
      <c r="H952" t="s">
        <v>27</v>
      </c>
      <c r="I952" t="s">
        <v>21</v>
      </c>
      <c r="J952" t="s">
        <v>32</v>
      </c>
      <c r="K952">
        <v>23</v>
      </c>
      <c r="L952" t="str">
        <f>IF(Table1[[#This Row],[Age]]&lt;20,"&lt;20",IF(Table1[[#This Row],[Age]]&lt;=70,"20-70","&gt;70"))</f>
        <v>20-70</v>
      </c>
      <c r="M952" t="s">
        <v>29</v>
      </c>
      <c r="N952" t="s">
        <v>34</v>
      </c>
      <c r="O952">
        <v>84.25</v>
      </c>
      <c r="P952">
        <v>2</v>
      </c>
      <c r="Q952">
        <v>8.4250000000000007</v>
      </c>
      <c r="R952">
        <v>176.92500000000001</v>
      </c>
      <c r="S952">
        <v>168.5</v>
      </c>
      <c r="T952">
        <v>4.7619047620000003</v>
      </c>
      <c r="U952">
        <v>8.4250000000000007</v>
      </c>
      <c r="V952">
        <v>5.3</v>
      </c>
    </row>
    <row r="953" spans="1:22" x14ac:dyDescent="0.2">
      <c r="A953" t="s">
        <v>984</v>
      </c>
      <c r="B953" s="1">
        <v>43499</v>
      </c>
      <c r="C953" s="2">
        <v>0.84236111111111112</v>
      </c>
      <c r="D953" s="2" t="str">
        <f>IF(Table1[[#This Row],[Time]]&lt;$D$1,$C$1,IF(Table1[[#This Row],[Time]]&lt;$D$2,$C$2,$C$3))</f>
        <v>Evening</v>
      </c>
      <c r="E953">
        <f>MONTH(Table1[[#This Row],[Date]])</f>
        <v>2</v>
      </c>
      <c r="F953" t="str">
        <f>VLOOKUP(Table1[[#This Row],[Month]],dctMonth[],2,FALSE)</f>
        <v>February</v>
      </c>
      <c r="G953" t="s">
        <v>43</v>
      </c>
      <c r="H953" t="s">
        <v>44</v>
      </c>
      <c r="I953" t="s">
        <v>21</v>
      </c>
      <c r="J953" t="s">
        <v>32</v>
      </c>
      <c r="K953">
        <v>80</v>
      </c>
      <c r="L953" t="str">
        <f>IF(Table1[[#This Row],[Age]]&lt;20,"&lt;20",IF(Table1[[#This Row],[Age]]&lt;=70,"20-70","&gt;70"))</f>
        <v>&gt;70</v>
      </c>
      <c r="M953" t="s">
        <v>47</v>
      </c>
      <c r="N953" t="s">
        <v>24</v>
      </c>
      <c r="O953">
        <v>53.78</v>
      </c>
      <c r="P953">
        <v>1</v>
      </c>
      <c r="Q953">
        <v>2.6890000000000001</v>
      </c>
      <c r="R953">
        <v>56.469000000000001</v>
      </c>
      <c r="S953">
        <v>53.78</v>
      </c>
      <c r="T953">
        <v>4.7619047620000003</v>
      </c>
      <c r="U953">
        <v>2.6890000000000001</v>
      </c>
      <c r="V953">
        <v>4.7</v>
      </c>
    </row>
    <row r="954" spans="1:22" x14ac:dyDescent="0.2">
      <c r="A954" t="s">
        <v>985</v>
      </c>
      <c r="B954" s="1">
        <v>43502</v>
      </c>
      <c r="C954" s="2">
        <v>0.78055555555555556</v>
      </c>
      <c r="D954" s="2" t="str">
        <f>IF(Table1[[#This Row],[Time]]&lt;$D$1,$C$1,IF(Table1[[#This Row],[Time]]&lt;$D$2,$C$2,$C$3))</f>
        <v>Evening</v>
      </c>
      <c r="E954">
        <f>MONTH(Table1[[#This Row],[Date]])</f>
        <v>2</v>
      </c>
      <c r="F954" t="str">
        <f>VLOOKUP(Table1[[#This Row],[Month]],dctMonth[],2,FALSE)</f>
        <v>February</v>
      </c>
      <c r="G954" t="s">
        <v>26</v>
      </c>
      <c r="H954" t="s">
        <v>27</v>
      </c>
      <c r="I954" t="s">
        <v>21</v>
      </c>
      <c r="J954" t="s">
        <v>32</v>
      </c>
      <c r="K954">
        <v>63</v>
      </c>
      <c r="L954" t="str">
        <f>IF(Table1[[#This Row],[Age]]&lt;20,"&lt;20",IF(Table1[[#This Row],[Age]]&lt;=70,"20-70","&gt;70"))</f>
        <v>20-70</v>
      </c>
      <c r="M954" t="s">
        <v>33</v>
      </c>
      <c r="N954" t="s">
        <v>24</v>
      </c>
      <c r="O954">
        <v>35.81</v>
      </c>
      <c r="P954">
        <v>5</v>
      </c>
      <c r="Q954">
        <v>8.9525000000000006</v>
      </c>
      <c r="R954">
        <v>188.0025</v>
      </c>
      <c r="S954">
        <v>179.05</v>
      </c>
      <c r="T954">
        <v>4.7619047620000003</v>
      </c>
      <c r="U954">
        <v>8.9525000000000006</v>
      </c>
      <c r="V954">
        <v>7.9</v>
      </c>
    </row>
    <row r="955" spans="1:22" x14ac:dyDescent="0.2">
      <c r="A955" t="s">
        <v>986</v>
      </c>
      <c r="B955" s="1">
        <v>43520</v>
      </c>
      <c r="C955" s="2">
        <v>0.60138888888888886</v>
      </c>
      <c r="D955" s="2" t="str">
        <f>IF(Table1[[#This Row],[Time]]&lt;$D$1,$C$1,IF(Table1[[#This Row],[Time]]&lt;$D$2,$C$2,$C$3))</f>
        <v>Afternoon</v>
      </c>
      <c r="E955">
        <f>MONTH(Table1[[#This Row],[Date]])</f>
        <v>2</v>
      </c>
      <c r="F955" t="str">
        <f>VLOOKUP(Table1[[#This Row],[Month]],dctMonth[],2,FALSE)</f>
        <v>February</v>
      </c>
      <c r="G955" t="s">
        <v>43</v>
      </c>
      <c r="H955" t="s">
        <v>44</v>
      </c>
      <c r="I955" t="s">
        <v>28</v>
      </c>
      <c r="J955" t="s">
        <v>22</v>
      </c>
      <c r="K955">
        <v>65</v>
      </c>
      <c r="L955" t="str">
        <f>IF(Table1[[#This Row],[Age]]&lt;20,"&lt;20",IF(Table1[[#This Row],[Age]]&lt;=70,"20-70","&gt;70"))</f>
        <v>20-70</v>
      </c>
      <c r="M955" t="s">
        <v>45</v>
      </c>
      <c r="N955" t="s">
        <v>24</v>
      </c>
      <c r="O955">
        <v>26.43</v>
      </c>
      <c r="P955">
        <v>8</v>
      </c>
      <c r="Q955">
        <v>10.571999999999999</v>
      </c>
      <c r="R955">
        <v>222.012</v>
      </c>
      <c r="S955">
        <v>211.44</v>
      </c>
      <c r="T955">
        <v>4.7619047620000003</v>
      </c>
      <c r="U955">
        <v>10.571999999999999</v>
      </c>
      <c r="V955">
        <v>8.9</v>
      </c>
    </row>
    <row r="956" spans="1:22" x14ac:dyDescent="0.2">
      <c r="A956" t="s">
        <v>987</v>
      </c>
      <c r="B956" s="1">
        <v>43517</v>
      </c>
      <c r="C956" s="2">
        <v>0.52777777777777779</v>
      </c>
      <c r="D956" s="2" t="str">
        <f>IF(Table1[[#This Row],[Time]]&lt;$D$1,$C$1,IF(Table1[[#This Row],[Time]]&lt;$D$2,$C$2,$C$3))</f>
        <v>Afternoon</v>
      </c>
      <c r="E956">
        <f>MONTH(Table1[[#This Row],[Date]])</f>
        <v>2</v>
      </c>
      <c r="F956" t="str">
        <f>VLOOKUP(Table1[[#This Row],[Month]],dctMonth[],2,FALSE)</f>
        <v>February</v>
      </c>
      <c r="G956" t="s">
        <v>43</v>
      </c>
      <c r="H956" t="s">
        <v>44</v>
      </c>
      <c r="I956" t="s">
        <v>21</v>
      </c>
      <c r="J956" t="s">
        <v>32</v>
      </c>
      <c r="K956">
        <v>33</v>
      </c>
      <c r="L956" t="str">
        <f>IF(Table1[[#This Row],[Age]]&lt;20,"&lt;20",IF(Table1[[#This Row],[Age]]&lt;=70,"20-70","&gt;70"))</f>
        <v>20-70</v>
      </c>
      <c r="M956" t="s">
        <v>23</v>
      </c>
      <c r="N956" t="s">
        <v>24</v>
      </c>
      <c r="O956">
        <v>39.909999999999997</v>
      </c>
      <c r="P956">
        <v>3</v>
      </c>
      <c r="Q956">
        <v>5.9865000000000004</v>
      </c>
      <c r="R956">
        <v>125.7165</v>
      </c>
      <c r="S956">
        <v>119.73</v>
      </c>
      <c r="T956">
        <v>4.7619047620000003</v>
      </c>
      <c r="U956">
        <v>5.9865000000000004</v>
      </c>
      <c r="V956">
        <v>9.3000000000000007</v>
      </c>
    </row>
    <row r="957" spans="1:22" x14ac:dyDescent="0.2">
      <c r="A957" t="s">
        <v>988</v>
      </c>
      <c r="B957" s="1">
        <v>43474</v>
      </c>
      <c r="C957" s="2">
        <v>0.77986111111111112</v>
      </c>
      <c r="D957" s="2" t="str">
        <f>IF(Table1[[#This Row],[Time]]&lt;$D$1,$C$1,IF(Table1[[#This Row],[Time]]&lt;$D$2,$C$2,$C$3))</f>
        <v>Evening</v>
      </c>
      <c r="E957">
        <f>MONTH(Table1[[#This Row],[Date]])</f>
        <v>1</v>
      </c>
      <c r="F957" t="str">
        <f>VLOOKUP(Table1[[#This Row],[Month]],dctMonth[],2,FALSE)</f>
        <v>January</v>
      </c>
      <c r="G957" t="s">
        <v>43</v>
      </c>
      <c r="H957" t="s">
        <v>44</v>
      </c>
      <c r="I957" t="s">
        <v>21</v>
      </c>
      <c r="J957" t="s">
        <v>22</v>
      </c>
      <c r="K957">
        <v>26</v>
      </c>
      <c r="L957" t="str">
        <f>IF(Table1[[#This Row],[Age]]&lt;20,"&lt;20",IF(Table1[[#This Row],[Age]]&lt;=70,"20-70","&gt;70"))</f>
        <v>20-70</v>
      </c>
      <c r="M957" t="s">
        <v>33</v>
      </c>
      <c r="N957" t="s">
        <v>24</v>
      </c>
      <c r="O957">
        <v>21.9</v>
      </c>
      <c r="P957">
        <v>3</v>
      </c>
      <c r="Q957">
        <v>3.2850000000000001</v>
      </c>
      <c r="R957">
        <v>68.984999999999999</v>
      </c>
      <c r="S957">
        <v>65.7</v>
      </c>
      <c r="T957">
        <v>4.7619047620000003</v>
      </c>
      <c r="U957">
        <v>3.2850000000000001</v>
      </c>
      <c r="V957">
        <v>4.7</v>
      </c>
    </row>
    <row r="958" spans="1:22" x14ac:dyDescent="0.2">
      <c r="A958" t="s">
        <v>989</v>
      </c>
      <c r="B958" s="1">
        <v>43521</v>
      </c>
      <c r="C958" s="2">
        <v>0.55694444444444446</v>
      </c>
      <c r="D958" s="2" t="str">
        <f>IF(Table1[[#This Row],[Time]]&lt;$D$1,$C$1,IF(Table1[[#This Row],[Time]]&lt;$D$2,$C$2,$C$3))</f>
        <v>Afternoon</v>
      </c>
      <c r="E958">
        <f>MONTH(Table1[[#This Row],[Date]])</f>
        <v>2</v>
      </c>
      <c r="F958" t="str">
        <f>VLOOKUP(Table1[[#This Row],[Month]],dctMonth[],2,FALSE)</f>
        <v>February</v>
      </c>
      <c r="G958" t="s">
        <v>43</v>
      </c>
      <c r="H958" t="s">
        <v>44</v>
      </c>
      <c r="I958" t="s">
        <v>21</v>
      </c>
      <c r="J958" t="s">
        <v>22</v>
      </c>
      <c r="K958">
        <v>40</v>
      </c>
      <c r="L958" t="str">
        <f>IF(Table1[[#This Row],[Age]]&lt;20,"&lt;20",IF(Table1[[#This Row],[Age]]&lt;=70,"20-70","&gt;70"))</f>
        <v>20-70</v>
      </c>
      <c r="M958" t="s">
        <v>45</v>
      </c>
      <c r="N958" t="s">
        <v>24</v>
      </c>
      <c r="O958">
        <v>62.85</v>
      </c>
      <c r="P958">
        <v>4</v>
      </c>
      <c r="Q958">
        <v>12.57</v>
      </c>
      <c r="R958">
        <v>263.97000000000003</v>
      </c>
      <c r="S958">
        <v>251.4</v>
      </c>
      <c r="T958">
        <v>4.7619047620000003</v>
      </c>
      <c r="U958">
        <v>12.57</v>
      </c>
      <c r="V958">
        <v>8.6999999999999993</v>
      </c>
    </row>
    <row r="959" spans="1:22" x14ac:dyDescent="0.2">
      <c r="A959" t="s">
        <v>990</v>
      </c>
      <c r="B959" s="1">
        <v>43478</v>
      </c>
      <c r="C959" s="2">
        <v>0.58194444444444449</v>
      </c>
      <c r="D959" s="2" t="str">
        <f>IF(Table1[[#This Row],[Time]]&lt;$D$1,$C$1,IF(Table1[[#This Row],[Time]]&lt;$D$2,$C$2,$C$3))</f>
        <v>Afternoon</v>
      </c>
      <c r="E959">
        <f>MONTH(Table1[[#This Row],[Date]])</f>
        <v>1</v>
      </c>
      <c r="F959" t="str">
        <f>VLOOKUP(Table1[[#This Row],[Month]],dctMonth[],2,FALSE)</f>
        <v>January</v>
      </c>
      <c r="G959" t="s">
        <v>26</v>
      </c>
      <c r="H959" t="s">
        <v>27</v>
      </c>
      <c r="I959" t="s">
        <v>21</v>
      </c>
      <c r="J959" t="s">
        <v>22</v>
      </c>
      <c r="K959">
        <v>31</v>
      </c>
      <c r="L959" t="str">
        <f>IF(Table1[[#This Row],[Age]]&lt;20,"&lt;20",IF(Table1[[#This Row],[Age]]&lt;=70,"20-70","&gt;70"))</f>
        <v>20-70</v>
      </c>
      <c r="M959" t="s">
        <v>45</v>
      </c>
      <c r="N959" t="s">
        <v>30</v>
      </c>
      <c r="O959">
        <v>21.04</v>
      </c>
      <c r="P959">
        <v>4</v>
      </c>
      <c r="Q959">
        <v>4.2080000000000002</v>
      </c>
      <c r="R959">
        <v>88.367999999999995</v>
      </c>
      <c r="S959">
        <v>84.16</v>
      </c>
      <c r="T959">
        <v>4.7619047620000003</v>
      </c>
      <c r="U959">
        <v>4.2080000000000002</v>
      </c>
      <c r="V959">
        <v>7.6</v>
      </c>
    </row>
    <row r="960" spans="1:22" x14ac:dyDescent="0.2">
      <c r="A960" t="s">
        <v>991</v>
      </c>
      <c r="B960" s="1">
        <v>43505</v>
      </c>
      <c r="C960" s="2">
        <v>0.48958333333333331</v>
      </c>
      <c r="D960" s="2" t="str">
        <f>IF(Table1[[#This Row],[Time]]&lt;$D$1,$C$1,IF(Table1[[#This Row],[Time]]&lt;$D$2,$C$2,$C$3))</f>
        <v>Morning</v>
      </c>
      <c r="E960">
        <f>MONTH(Table1[[#This Row],[Date]])</f>
        <v>2</v>
      </c>
      <c r="F960" t="str">
        <f>VLOOKUP(Table1[[#This Row],[Month]],dctMonth[],2,FALSE)</f>
        <v>February</v>
      </c>
      <c r="G960" t="s">
        <v>43</v>
      </c>
      <c r="H960" t="s">
        <v>44</v>
      </c>
      <c r="I960" t="s">
        <v>21</v>
      </c>
      <c r="J960" t="s">
        <v>32</v>
      </c>
      <c r="K960">
        <v>69</v>
      </c>
      <c r="L960" t="str">
        <f>IF(Table1[[#This Row],[Age]]&lt;20,"&lt;20",IF(Table1[[#This Row],[Age]]&lt;=70,"20-70","&gt;70"))</f>
        <v>20-70</v>
      </c>
      <c r="M960" t="s">
        <v>33</v>
      </c>
      <c r="N960" t="s">
        <v>30</v>
      </c>
      <c r="O960">
        <v>65.91</v>
      </c>
      <c r="P960">
        <v>6</v>
      </c>
      <c r="Q960">
        <v>19.773</v>
      </c>
      <c r="R960">
        <v>415.233</v>
      </c>
      <c r="S960">
        <v>395.46</v>
      </c>
      <c r="T960">
        <v>4.7619047620000003</v>
      </c>
      <c r="U960">
        <v>19.773</v>
      </c>
      <c r="V960">
        <v>5.7</v>
      </c>
    </row>
    <row r="961" spans="1:22" x14ac:dyDescent="0.2">
      <c r="A961" t="s">
        <v>992</v>
      </c>
      <c r="B961" s="1">
        <v>43471</v>
      </c>
      <c r="C961" s="2">
        <v>0.49375000000000002</v>
      </c>
      <c r="D961" s="2" t="str">
        <f>IF(Table1[[#This Row],[Time]]&lt;$D$1,$C$1,IF(Table1[[#This Row],[Time]]&lt;$D$2,$C$2,$C$3))</f>
        <v>Morning</v>
      </c>
      <c r="E961">
        <f>MONTH(Table1[[#This Row],[Date]])</f>
        <v>1</v>
      </c>
      <c r="F961" t="str">
        <f>VLOOKUP(Table1[[#This Row],[Month]],dctMonth[],2,FALSE)</f>
        <v>January</v>
      </c>
      <c r="G961" t="s">
        <v>19</v>
      </c>
      <c r="H961" t="s">
        <v>20</v>
      </c>
      <c r="I961" t="s">
        <v>28</v>
      </c>
      <c r="J961" t="s">
        <v>22</v>
      </c>
      <c r="K961">
        <v>89</v>
      </c>
      <c r="L961" t="str">
        <f>IF(Table1[[#This Row],[Age]]&lt;20,"&lt;20",IF(Table1[[#This Row],[Age]]&lt;=70,"20-70","&gt;70"))</f>
        <v>&gt;70</v>
      </c>
      <c r="M961" t="s">
        <v>47</v>
      </c>
      <c r="N961" t="s">
        <v>30</v>
      </c>
      <c r="O961">
        <v>42.57</v>
      </c>
      <c r="P961">
        <v>7</v>
      </c>
      <c r="Q961">
        <v>14.8995</v>
      </c>
      <c r="R961">
        <v>312.8895</v>
      </c>
      <c r="S961">
        <v>297.99</v>
      </c>
      <c r="T961">
        <v>4.7619047620000003</v>
      </c>
      <c r="U961">
        <v>14.8995</v>
      </c>
      <c r="V961">
        <v>6.8</v>
      </c>
    </row>
    <row r="962" spans="1:22" x14ac:dyDescent="0.2">
      <c r="A962" t="s">
        <v>993</v>
      </c>
      <c r="B962" s="1">
        <v>43475</v>
      </c>
      <c r="C962" s="2">
        <v>0.71944444444444444</v>
      </c>
      <c r="D962" s="2" t="str">
        <f>IF(Table1[[#This Row],[Time]]&lt;$D$1,$C$1,IF(Table1[[#This Row],[Time]]&lt;$D$2,$C$2,$C$3))</f>
        <v>Evening</v>
      </c>
      <c r="E962">
        <f>MONTH(Table1[[#This Row],[Date]])</f>
        <v>1</v>
      </c>
      <c r="F962" t="str">
        <f>VLOOKUP(Table1[[#This Row],[Month]],dctMonth[],2,FALSE)</f>
        <v>January</v>
      </c>
      <c r="G962" t="s">
        <v>26</v>
      </c>
      <c r="H962" t="s">
        <v>27</v>
      </c>
      <c r="I962" t="s">
        <v>21</v>
      </c>
      <c r="J962" t="s">
        <v>32</v>
      </c>
      <c r="K962">
        <v>51</v>
      </c>
      <c r="L962" t="str">
        <f>IF(Table1[[#This Row],[Age]]&lt;20,"&lt;20",IF(Table1[[#This Row],[Age]]&lt;=70,"20-70","&gt;70"))</f>
        <v>20-70</v>
      </c>
      <c r="M962" t="s">
        <v>45</v>
      </c>
      <c r="N962" t="s">
        <v>30</v>
      </c>
      <c r="O962">
        <v>50.49</v>
      </c>
      <c r="P962">
        <v>9</v>
      </c>
      <c r="Q962">
        <v>22.720500000000001</v>
      </c>
      <c r="R962">
        <v>477.13049999999998</v>
      </c>
      <c r="S962">
        <v>454.41</v>
      </c>
      <c r="T962">
        <v>4.7619047620000003</v>
      </c>
      <c r="U962">
        <v>22.720500000000001</v>
      </c>
      <c r="V962">
        <v>5.4</v>
      </c>
    </row>
    <row r="963" spans="1:22" x14ac:dyDescent="0.2">
      <c r="A963" t="s">
        <v>994</v>
      </c>
      <c r="B963" s="1">
        <v>43503</v>
      </c>
      <c r="C963" s="2">
        <v>0.66319444444444442</v>
      </c>
      <c r="D963" s="2" t="str">
        <f>IF(Table1[[#This Row],[Time]]&lt;$D$1,$C$1,IF(Table1[[#This Row],[Time]]&lt;$D$2,$C$2,$C$3))</f>
        <v>Afternoon</v>
      </c>
      <c r="E963">
        <f>MONTH(Table1[[#This Row],[Date]])</f>
        <v>2</v>
      </c>
      <c r="F963" t="str">
        <f>VLOOKUP(Table1[[#This Row],[Month]],dctMonth[],2,FALSE)</f>
        <v>February</v>
      </c>
      <c r="G963" t="s">
        <v>43</v>
      </c>
      <c r="H963" t="s">
        <v>44</v>
      </c>
      <c r="I963" t="s">
        <v>28</v>
      </c>
      <c r="J963" t="s">
        <v>32</v>
      </c>
      <c r="K963">
        <v>77</v>
      </c>
      <c r="L963" t="str">
        <f>IF(Table1[[#This Row],[Age]]&lt;20,"&lt;20",IF(Table1[[#This Row],[Age]]&lt;=70,"20-70","&gt;70"))</f>
        <v>&gt;70</v>
      </c>
      <c r="M963" t="s">
        <v>29</v>
      </c>
      <c r="N963" t="s">
        <v>30</v>
      </c>
      <c r="O963">
        <v>46.02</v>
      </c>
      <c r="P963">
        <v>6</v>
      </c>
      <c r="Q963">
        <v>13.805999999999999</v>
      </c>
      <c r="R963">
        <v>289.92599999999999</v>
      </c>
      <c r="S963">
        <v>276.12</v>
      </c>
      <c r="T963">
        <v>4.7619047620000003</v>
      </c>
      <c r="U963">
        <v>13.805999999999999</v>
      </c>
      <c r="V963">
        <v>7.1</v>
      </c>
    </row>
    <row r="964" spans="1:22" x14ac:dyDescent="0.2">
      <c r="A964" t="s">
        <v>995</v>
      </c>
      <c r="B964" s="1">
        <v>43474</v>
      </c>
      <c r="C964" s="2">
        <v>0.50486111111111109</v>
      </c>
      <c r="D964" s="2" t="str">
        <f>IF(Table1[[#This Row],[Time]]&lt;$D$1,$C$1,IF(Table1[[#This Row],[Time]]&lt;$D$2,$C$2,$C$3))</f>
        <v>Afternoon</v>
      </c>
      <c r="E964">
        <f>MONTH(Table1[[#This Row],[Date]])</f>
        <v>1</v>
      </c>
      <c r="F964" t="str">
        <f>VLOOKUP(Table1[[#This Row],[Month]],dctMonth[],2,FALSE)</f>
        <v>January</v>
      </c>
      <c r="G964" t="s">
        <v>26</v>
      </c>
      <c r="H964" t="s">
        <v>27</v>
      </c>
      <c r="I964" t="s">
        <v>28</v>
      </c>
      <c r="J964" t="s">
        <v>22</v>
      </c>
      <c r="K964">
        <v>90</v>
      </c>
      <c r="L964" t="str">
        <f>IF(Table1[[#This Row],[Age]]&lt;20,"&lt;20",IF(Table1[[#This Row],[Age]]&lt;=70,"20-70","&gt;70"))</f>
        <v>&gt;70</v>
      </c>
      <c r="M964" t="s">
        <v>33</v>
      </c>
      <c r="N964" t="s">
        <v>30</v>
      </c>
      <c r="O964">
        <v>15.8</v>
      </c>
      <c r="P964">
        <v>10</v>
      </c>
      <c r="Q964">
        <v>7.9</v>
      </c>
      <c r="R964">
        <v>165.9</v>
      </c>
      <c r="S964">
        <v>158</v>
      </c>
      <c r="T964">
        <v>4.7619047620000003</v>
      </c>
      <c r="U964">
        <v>7.9</v>
      </c>
      <c r="V964">
        <v>7.8</v>
      </c>
    </row>
    <row r="965" spans="1:22" x14ac:dyDescent="0.2">
      <c r="A965" t="s">
        <v>996</v>
      </c>
      <c r="B965" s="1">
        <v>43515</v>
      </c>
      <c r="C965" s="2">
        <v>0.62986111111111109</v>
      </c>
      <c r="D965" s="2" t="str">
        <f>IF(Table1[[#This Row],[Time]]&lt;$D$1,$C$1,IF(Table1[[#This Row],[Time]]&lt;$D$2,$C$2,$C$3))</f>
        <v>Afternoon</v>
      </c>
      <c r="E965">
        <f>MONTH(Table1[[#This Row],[Date]])</f>
        <v>2</v>
      </c>
      <c r="F965" t="str">
        <f>VLOOKUP(Table1[[#This Row],[Month]],dctMonth[],2,FALSE)</f>
        <v>February</v>
      </c>
      <c r="G965" t="s">
        <v>19</v>
      </c>
      <c r="H965" t="s">
        <v>20</v>
      </c>
      <c r="I965" t="s">
        <v>21</v>
      </c>
      <c r="J965" t="s">
        <v>22</v>
      </c>
      <c r="K965">
        <v>77</v>
      </c>
      <c r="L965" t="str">
        <f>IF(Table1[[#This Row],[Age]]&lt;20,"&lt;20",IF(Table1[[#This Row],[Age]]&lt;=70,"20-70","&gt;70"))</f>
        <v>&gt;70</v>
      </c>
      <c r="M965" t="s">
        <v>45</v>
      </c>
      <c r="N965" t="s">
        <v>30</v>
      </c>
      <c r="O965">
        <v>98.66</v>
      </c>
      <c r="P965">
        <v>9</v>
      </c>
      <c r="Q965">
        <v>44.396999999999998</v>
      </c>
      <c r="R965">
        <v>932.33699999999999</v>
      </c>
      <c r="S965">
        <v>887.94</v>
      </c>
      <c r="T965">
        <v>4.7619047620000003</v>
      </c>
      <c r="U965">
        <v>44.396999999999998</v>
      </c>
      <c r="V965">
        <v>8.4</v>
      </c>
    </row>
    <row r="966" spans="1:22" x14ac:dyDescent="0.2">
      <c r="A966" t="s">
        <v>997</v>
      </c>
      <c r="B966" s="1">
        <v>43542</v>
      </c>
      <c r="C966" s="2">
        <v>0.64513888888888893</v>
      </c>
      <c r="D966" s="2" t="str">
        <f>IF(Table1[[#This Row],[Time]]&lt;$D$1,$C$1,IF(Table1[[#This Row],[Time]]&lt;$D$2,$C$2,$C$3))</f>
        <v>Afternoon</v>
      </c>
      <c r="E966">
        <f>MONTH(Table1[[#This Row],[Date]])</f>
        <v>3</v>
      </c>
      <c r="F966" t="str">
        <f>VLOOKUP(Table1[[#This Row],[Month]],dctMonth[],2,FALSE)</f>
        <v>March</v>
      </c>
      <c r="G966" t="s">
        <v>26</v>
      </c>
      <c r="H966" t="s">
        <v>27</v>
      </c>
      <c r="I966" t="s">
        <v>21</v>
      </c>
      <c r="J966" t="s">
        <v>32</v>
      </c>
      <c r="K966">
        <v>47</v>
      </c>
      <c r="L966" t="str">
        <f>IF(Table1[[#This Row],[Age]]&lt;20,"&lt;20",IF(Table1[[#This Row],[Age]]&lt;=70,"20-70","&gt;70"))</f>
        <v>20-70</v>
      </c>
      <c r="M966" t="s">
        <v>47</v>
      </c>
      <c r="N966" t="s">
        <v>30</v>
      </c>
      <c r="O966">
        <v>91.98</v>
      </c>
      <c r="P966">
        <v>1</v>
      </c>
      <c r="Q966">
        <v>4.5990000000000002</v>
      </c>
      <c r="R966">
        <v>96.578999999999994</v>
      </c>
      <c r="S966">
        <v>91.98</v>
      </c>
      <c r="T966">
        <v>4.7619047620000003</v>
      </c>
      <c r="U966">
        <v>4.5990000000000002</v>
      </c>
      <c r="V966">
        <v>9.8000000000000007</v>
      </c>
    </row>
    <row r="967" spans="1:22" x14ac:dyDescent="0.2">
      <c r="A967" t="s">
        <v>998</v>
      </c>
      <c r="B967" s="1">
        <v>43501</v>
      </c>
      <c r="C967" s="2">
        <v>0.78125</v>
      </c>
      <c r="D967" s="2" t="str">
        <f>IF(Table1[[#This Row],[Time]]&lt;$D$1,$C$1,IF(Table1[[#This Row],[Time]]&lt;$D$2,$C$2,$C$3))</f>
        <v>Evening</v>
      </c>
      <c r="E967">
        <f>MONTH(Table1[[#This Row],[Date]])</f>
        <v>2</v>
      </c>
      <c r="F967" t="str">
        <f>VLOOKUP(Table1[[#This Row],[Month]],dctMonth[],2,FALSE)</f>
        <v>February</v>
      </c>
      <c r="G967" t="s">
        <v>19</v>
      </c>
      <c r="H967" t="s">
        <v>20</v>
      </c>
      <c r="I967" t="s">
        <v>21</v>
      </c>
      <c r="J967" t="s">
        <v>32</v>
      </c>
      <c r="K967">
        <v>67</v>
      </c>
      <c r="L967" t="str">
        <f>IF(Table1[[#This Row],[Age]]&lt;20,"&lt;20",IF(Table1[[#This Row],[Age]]&lt;=70,"20-70","&gt;70"))</f>
        <v>20-70</v>
      </c>
      <c r="M967" t="s">
        <v>29</v>
      </c>
      <c r="N967" t="s">
        <v>30</v>
      </c>
      <c r="O967">
        <v>20.89</v>
      </c>
      <c r="P967">
        <v>2</v>
      </c>
      <c r="Q967">
        <v>2.089</v>
      </c>
      <c r="R967">
        <v>43.869</v>
      </c>
      <c r="S967">
        <v>41.78</v>
      </c>
      <c r="T967">
        <v>4.7619047620000003</v>
      </c>
      <c r="U967">
        <v>2.089</v>
      </c>
      <c r="V967">
        <v>9.8000000000000007</v>
      </c>
    </row>
    <row r="968" spans="1:22" x14ac:dyDescent="0.2">
      <c r="A968" t="s">
        <v>999</v>
      </c>
      <c r="B968" s="1">
        <v>43543</v>
      </c>
      <c r="C968" s="2">
        <v>0.64097222222222228</v>
      </c>
      <c r="D968" s="2" t="str">
        <f>IF(Table1[[#This Row],[Time]]&lt;$D$1,$C$1,IF(Table1[[#This Row],[Time]]&lt;$D$2,$C$2,$C$3))</f>
        <v>Afternoon</v>
      </c>
      <c r="E968">
        <f>MONTH(Table1[[#This Row],[Date]])</f>
        <v>3</v>
      </c>
      <c r="F968" t="str">
        <f>VLOOKUP(Table1[[#This Row],[Month]],dctMonth[],2,FALSE)</f>
        <v>March</v>
      </c>
      <c r="G968" t="s">
        <v>19</v>
      </c>
      <c r="H968" t="s">
        <v>20</v>
      </c>
      <c r="I968" t="s">
        <v>28</v>
      </c>
      <c r="J968" t="s">
        <v>22</v>
      </c>
      <c r="K968">
        <v>47</v>
      </c>
      <c r="L968" t="str">
        <f>IF(Table1[[#This Row],[Age]]&lt;20,"&lt;20",IF(Table1[[#This Row],[Age]]&lt;=70,"20-70","&gt;70"))</f>
        <v>20-70</v>
      </c>
      <c r="M968" t="s">
        <v>47</v>
      </c>
      <c r="N968" t="s">
        <v>34</v>
      </c>
      <c r="O968">
        <v>15.5</v>
      </c>
      <c r="P968">
        <v>1</v>
      </c>
      <c r="Q968">
        <v>0.77500000000000002</v>
      </c>
      <c r="R968">
        <v>16.274999999999999</v>
      </c>
      <c r="S968">
        <v>15.5</v>
      </c>
      <c r="T968">
        <v>4.7619047620000003</v>
      </c>
      <c r="U968">
        <v>0.77500000000000002</v>
      </c>
      <c r="V968">
        <v>7.4</v>
      </c>
    </row>
    <row r="969" spans="1:22" x14ac:dyDescent="0.2">
      <c r="A969" t="s">
        <v>1000</v>
      </c>
      <c r="B969" s="1">
        <v>43554</v>
      </c>
      <c r="C969" s="2">
        <v>0.85902777777777772</v>
      </c>
      <c r="D969" s="2" t="str">
        <f>IF(Table1[[#This Row],[Time]]&lt;$D$1,$C$1,IF(Table1[[#This Row],[Time]]&lt;$D$2,$C$2,$C$3))</f>
        <v>Evening</v>
      </c>
      <c r="E969">
        <f>MONTH(Table1[[#This Row],[Date]])</f>
        <v>3</v>
      </c>
      <c r="F969" t="str">
        <f>VLOOKUP(Table1[[#This Row],[Month]],dctMonth[],2,FALSE)</f>
        <v>March</v>
      </c>
      <c r="G969" t="s">
        <v>26</v>
      </c>
      <c r="H969" t="s">
        <v>27</v>
      </c>
      <c r="I969" t="s">
        <v>21</v>
      </c>
      <c r="J969" t="s">
        <v>32</v>
      </c>
      <c r="K969">
        <v>31</v>
      </c>
      <c r="L969" t="str">
        <f>IF(Table1[[#This Row],[Age]]&lt;20,"&lt;20",IF(Table1[[#This Row],[Age]]&lt;=70,"20-70","&gt;70"))</f>
        <v>20-70</v>
      </c>
      <c r="M969" t="s">
        <v>29</v>
      </c>
      <c r="N969" t="s">
        <v>30</v>
      </c>
      <c r="O969">
        <v>96.82</v>
      </c>
      <c r="P969">
        <v>3</v>
      </c>
      <c r="Q969">
        <v>14.523</v>
      </c>
      <c r="R969">
        <v>304.983</v>
      </c>
      <c r="S969">
        <v>290.45999999999998</v>
      </c>
      <c r="T969">
        <v>4.7619047620000003</v>
      </c>
      <c r="U969">
        <v>14.523</v>
      </c>
      <c r="V969">
        <v>6.7</v>
      </c>
    </row>
    <row r="970" spans="1:22" x14ac:dyDescent="0.2">
      <c r="A970" t="s">
        <v>1001</v>
      </c>
      <c r="B970" s="1">
        <v>43491</v>
      </c>
      <c r="C970" s="2">
        <v>0.6118055555555556</v>
      </c>
      <c r="D970" s="2" t="str">
        <f>IF(Table1[[#This Row],[Time]]&lt;$D$1,$C$1,IF(Table1[[#This Row],[Time]]&lt;$D$2,$C$2,$C$3))</f>
        <v>Afternoon</v>
      </c>
      <c r="E970">
        <f>MONTH(Table1[[#This Row],[Date]])</f>
        <v>1</v>
      </c>
      <c r="F970" t="str">
        <f>VLOOKUP(Table1[[#This Row],[Month]],dctMonth[],2,FALSE)</f>
        <v>January</v>
      </c>
      <c r="G970" t="s">
        <v>43</v>
      </c>
      <c r="H970" t="s">
        <v>44</v>
      </c>
      <c r="I970" t="s">
        <v>28</v>
      </c>
      <c r="J970" t="s">
        <v>32</v>
      </c>
      <c r="K970">
        <v>60</v>
      </c>
      <c r="L970" t="str">
        <f>IF(Table1[[#This Row],[Age]]&lt;20,"&lt;20",IF(Table1[[#This Row],[Age]]&lt;=70,"20-70","&gt;70"))</f>
        <v>20-70</v>
      </c>
      <c r="M970" t="s">
        <v>45</v>
      </c>
      <c r="N970" t="s">
        <v>34</v>
      </c>
      <c r="O970">
        <v>33.33</v>
      </c>
      <c r="P970">
        <v>2</v>
      </c>
      <c r="Q970">
        <v>3.3330000000000002</v>
      </c>
      <c r="R970">
        <v>69.992999999999995</v>
      </c>
      <c r="S970">
        <v>66.66</v>
      </c>
      <c r="T970">
        <v>4.7619047620000003</v>
      </c>
      <c r="U970">
        <v>3.3330000000000002</v>
      </c>
      <c r="V970">
        <v>6.4</v>
      </c>
    </row>
    <row r="971" spans="1:22" x14ac:dyDescent="0.2">
      <c r="A971" t="s">
        <v>1002</v>
      </c>
      <c r="B971" s="1">
        <v>43526</v>
      </c>
      <c r="C971" s="2">
        <v>0.76249999999999996</v>
      </c>
      <c r="D971" s="2" t="str">
        <f>IF(Table1[[#This Row],[Time]]&lt;$D$1,$C$1,IF(Table1[[#This Row],[Time]]&lt;$D$2,$C$2,$C$3))</f>
        <v>Evening</v>
      </c>
      <c r="E971">
        <f>MONTH(Table1[[#This Row],[Date]])</f>
        <v>3</v>
      </c>
      <c r="F971" t="str">
        <f>VLOOKUP(Table1[[#This Row],[Month]],dctMonth[],2,FALSE)</f>
        <v>March</v>
      </c>
      <c r="G971" t="s">
        <v>43</v>
      </c>
      <c r="H971" t="s">
        <v>44</v>
      </c>
      <c r="I971" t="s">
        <v>28</v>
      </c>
      <c r="J971" t="s">
        <v>22</v>
      </c>
      <c r="K971">
        <v>59</v>
      </c>
      <c r="L971" t="str">
        <f>IF(Table1[[#This Row],[Age]]&lt;20,"&lt;20",IF(Table1[[#This Row],[Age]]&lt;=70,"20-70","&gt;70"))</f>
        <v>20-70</v>
      </c>
      <c r="M971" t="s">
        <v>29</v>
      </c>
      <c r="N971" t="s">
        <v>34</v>
      </c>
      <c r="O971">
        <v>38.270000000000003</v>
      </c>
      <c r="P971">
        <v>2</v>
      </c>
      <c r="Q971">
        <v>3.827</v>
      </c>
      <c r="R971">
        <v>80.367000000000004</v>
      </c>
      <c r="S971">
        <v>76.540000000000006</v>
      </c>
      <c r="T971">
        <v>4.7619047620000003</v>
      </c>
      <c r="U971">
        <v>3.827</v>
      </c>
      <c r="V971">
        <v>5.8</v>
      </c>
    </row>
    <row r="972" spans="1:22" x14ac:dyDescent="0.2">
      <c r="A972" t="s">
        <v>1003</v>
      </c>
      <c r="B972" s="1">
        <v>43528</v>
      </c>
      <c r="C972" s="2">
        <v>0.64375000000000004</v>
      </c>
      <c r="D972" s="2" t="str">
        <f>IF(Table1[[#This Row],[Time]]&lt;$D$1,$C$1,IF(Table1[[#This Row],[Time]]&lt;$D$2,$C$2,$C$3))</f>
        <v>Afternoon</v>
      </c>
      <c r="E972">
        <f>MONTH(Table1[[#This Row],[Date]])</f>
        <v>3</v>
      </c>
      <c r="F972" t="str">
        <f>VLOOKUP(Table1[[#This Row],[Month]],dctMonth[],2,FALSE)</f>
        <v>March</v>
      </c>
      <c r="G972" t="s">
        <v>19</v>
      </c>
      <c r="H972" t="s">
        <v>20</v>
      </c>
      <c r="I972" t="s">
        <v>28</v>
      </c>
      <c r="J972" t="s">
        <v>22</v>
      </c>
      <c r="K972">
        <v>42</v>
      </c>
      <c r="L972" t="str">
        <f>IF(Table1[[#This Row],[Age]]&lt;20,"&lt;20",IF(Table1[[#This Row],[Age]]&lt;=70,"20-70","&gt;70"))</f>
        <v>20-70</v>
      </c>
      <c r="M972" t="s">
        <v>33</v>
      </c>
      <c r="N972" t="s">
        <v>24</v>
      </c>
      <c r="O972">
        <v>33.299999999999997</v>
      </c>
      <c r="P972">
        <v>9</v>
      </c>
      <c r="Q972">
        <v>14.984999999999999</v>
      </c>
      <c r="R972">
        <v>314.685</v>
      </c>
      <c r="S972">
        <v>299.7</v>
      </c>
      <c r="T972">
        <v>4.7619047620000003</v>
      </c>
      <c r="U972">
        <v>14.984999999999999</v>
      </c>
      <c r="V972">
        <v>7.2</v>
      </c>
    </row>
    <row r="973" spans="1:22" x14ac:dyDescent="0.2">
      <c r="A973" t="s">
        <v>1004</v>
      </c>
      <c r="B973" s="1">
        <v>43478</v>
      </c>
      <c r="C973" s="2">
        <v>0.53819444444444442</v>
      </c>
      <c r="D973" s="2" t="str">
        <f>IF(Table1[[#This Row],[Time]]&lt;$D$1,$C$1,IF(Table1[[#This Row],[Time]]&lt;$D$2,$C$2,$C$3))</f>
        <v>Afternoon</v>
      </c>
      <c r="E973">
        <f>MONTH(Table1[[#This Row],[Date]])</f>
        <v>1</v>
      </c>
      <c r="F973" t="str">
        <f>VLOOKUP(Table1[[#This Row],[Month]],dctMonth[],2,FALSE)</f>
        <v>January</v>
      </c>
      <c r="G973" t="s">
        <v>19</v>
      </c>
      <c r="H973" t="s">
        <v>20</v>
      </c>
      <c r="I973" t="s">
        <v>21</v>
      </c>
      <c r="J973" t="s">
        <v>32</v>
      </c>
      <c r="K973">
        <v>68</v>
      </c>
      <c r="L973" t="str">
        <f>IF(Table1[[#This Row],[Age]]&lt;20,"&lt;20",IF(Table1[[#This Row],[Age]]&lt;=70,"20-70","&gt;70"))</f>
        <v>20-70</v>
      </c>
      <c r="M973" t="s">
        <v>33</v>
      </c>
      <c r="N973" t="s">
        <v>34</v>
      </c>
      <c r="O973">
        <v>81.010000000000005</v>
      </c>
      <c r="P973">
        <v>3</v>
      </c>
      <c r="Q973">
        <v>12.1515</v>
      </c>
      <c r="R973">
        <v>255.1815</v>
      </c>
      <c r="S973">
        <v>243.03</v>
      </c>
      <c r="T973">
        <v>4.7619047620000003</v>
      </c>
      <c r="U973">
        <v>12.1515</v>
      </c>
      <c r="V973">
        <v>9.3000000000000007</v>
      </c>
    </row>
    <row r="974" spans="1:22" x14ac:dyDescent="0.2">
      <c r="A974" t="s">
        <v>1005</v>
      </c>
      <c r="B974" s="1">
        <v>43549</v>
      </c>
      <c r="C974" s="2">
        <v>0.75138888888888888</v>
      </c>
      <c r="D974" s="2" t="str">
        <f>IF(Table1[[#This Row],[Time]]&lt;$D$1,$C$1,IF(Table1[[#This Row],[Time]]&lt;$D$2,$C$2,$C$3))</f>
        <v>Evening</v>
      </c>
      <c r="E974">
        <f>MONTH(Table1[[#This Row],[Date]])</f>
        <v>3</v>
      </c>
      <c r="F974" t="str">
        <f>VLOOKUP(Table1[[#This Row],[Month]],dctMonth[],2,FALSE)</f>
        <v>March</v>
      </c>
      <c r="G974" t="s">
        <v>19</v>
      </c>
      <c r="H974" t="s">
        <v>20</v>
      </c>
      <c r="I974" t="s">
        <v>28</v>
      </c>
      <c r="J974" t="s">
        <v>22</v>
      </c>
      <c r="K974">
        <v>82</v>
      </c>
      <c r="L974" t="str">
        <f>IF(Table1[[#This Row],[Age]]&lt;20,"&lt;20",IF(Table1[[#This Row],[Age]]&lt;=70,"20-70","&gt;70"))</f>
        <v>&gt;70</v>
      </c>
      <c r="M974" t="s">
        <v>23</v>
      </c>
      <c r="N974" t="s">
        <v>30</v>
      </c>
      <c r="O974">
        <v>15.8</v>
      </c>
      <c r="P974">
        <v>3</v>
      </c>
      <c r="Q974">
        <v>2.37</v>
      </c>
      <c r="R974">
        <v>49.77</v>
      </c>
      <c r="S974">
        <v>47.4</v>
      </c>
      <c r="T974">
        <v>4.7619047620000003</v>
      </c>
      <c r="U974">
        <v>2.37</v>
      </c>
      <c r="V974">
        <v>9.5</v>
      </c>
    </row>
    <row r="975" spans="1:22" x14ac:dyDescent="0.2">
      <c r="A975" t="s">
        <v>1006</v>
      </c>
      <c r="B975" s="1">
        <v>43535</v>
      </c>
      <c r="C975" s="2">
        <v>0.82222222222222219</v>
      </c>
      <c r="D975" s="2" t="str">
        <f>IF(Table1[[#This Row],[Time]]&lt;$D$1,$C$1,IF(Table1[[#This Row],[Time]]&lt;$D$2,$C$2,$C$3))</f>
        <v>Evening</v>
      </c>
      <c r="E975">
        <f>MONTH(Table1[[#This Row],[Date]])</f>
        <v>3</v>
      </c>
      <c r="F975" t="str">
        <f>VLOOKUP(Table1[[#This Row],[Month]],dctMonth[],2,FALSE)</f>
        <v>March</v>
      </c>
      <c r="G975" t="s">
        <v>43</v>
      </c>
      <c r="H975" t="s">
        <v>44</v>
      </c>
      <c r="I975" t="s">
        <v>21</v>
      </c>
      <c r="J975" t="s">
        <v>22</v>
      </c>
      <c r="K975">
        <v>78</v>
      </c>
      <c r="L975" t="str">
        <f>IF(Table1[[#This Row],[Age]]&lt;20,"&lt;20",IF(Table1[[#This Row],[Age]]&lt;=70,"20-70","&gt;70"))</f>
        <v>&gt;70</v>
      </c>
      <c r="M975" t="s">
        <v>29</v>
      </c>
      <c r="N975" t="s">
        <v>34</v>
      </c>
      <c r="O975">
        <v>34.49</v>
      </c>
      <c r="P975">
        <v>5</v>
      </c>
      <c r="Q975">
        <v>8.6225000000000005</v>
      </c>
      <c r="R975">
        <v>181.07249999999999</v>
      </c>
      <c r="S975">
        <v>172.45</v>
      </c>
      <c r="T975">
        <v>4.7619047620000003</v>
      </c>
      <c r="U975">
        <v>8.6225000000000005</v>
      </c>
      <c r="V975">
        <v>9</v>
      </c>
    </row>
    <row r="976" spans="1:22" x14ac:dyDescent="0.2">
      <c r="A976" t="s">
        <v>1007</v>
      </c>
      <c r="B976" s="1">
        <v>43466</v>
      </c>
      <c r="C976" s="2">
        <v>0.48333333333333334</v>
      </c>
      <c r="D976" s="2" t="str">
        <f>IF(Table1[[#This Row],[Time]]&lt;$D$1,$C$1,IF(Table1[[#This Row],[Time]]&lt;$D$2,$C$2,$C$3))</f>
        <v>Morning</v>
      </c>
      <c r="E976">
        <f>MONTH(Table1[[#This Row],[Date]])</f>
        <v>1</v>
      </c>
      <c r="F976" t="str">
        <f>VLOOKUP(Table1[[#This Row],[Month]],dctMonth[],2,FALSE)</f>
        <v>January</v>
      </c>
      <c r="G976" t="s">
        <v>43</v>
      </c>
      <c r="H976" t="s">
        <v>44</v>
      </c>
      <c r="I976" t="s">
        <v>21</v>
      </c>
      <c r="J976" t="s">
        <v>22</v>
      </c>
      <c r="K976">
        <v>83</v>
      </c>
      <c r="L976" t="str">
        <f>IF(Table1[[#This Row],[Age]]&lt;20,"&lt;20",IF(Table1[[#This Row],[Age]]&lt;=70,"20-70","&gt;70"))</f>
        <v>&gt;70</v>
      </c>
      <c r="M976" t="s">
        <v>45</v>
      </c>
      <c r="N976" t="s">
        <v>34</v>
      </c>
      <c r="O976">
        <v>84.63</v>
      </c>
      <c r="P976">
        <v>10</v>
      </c>
      <c r="Q976">
        <v>42.314999999999998</v>
      </c>
      <c r="R976">
        <v>888.61500000000001</v>
      </c>
      <c r="S976">
        <v>846.3</v>
      </c>
      <c r="T976">
        <v>4.7619047620000003</v>
      </c>
      <c r="U976">
        <v>42.314999999999998</v>
      </c>
      <c r="V976">
        <v>9</v>
      </c>
    </row>
    <row r="977" spans="1:22" x14ac:dyDescent="0.2">
      <c r="A977" t="s">
        <v>1008</v>
      </c>
      <c r="B977" s="1">
        <v>43506</v>
      </c>
      <c r="C977" s="2">
        <v>0.57708333333333328</v>
      </c>
      <c r="D977" s="2" t="str">
        <f>IF(Table1[[#This Row],[Time]]&lt;$D$1,$C$1,IF(Table1[[#This Row],[Time]]&lt;$D$2,$C$2,$C$3))</f>
        <v>Afternoon</v>
      </c>
      <c r="E977">
        <f>MONTH(Table1[[#This Row],[Date]])</f>
        <v>2</v>
      </c>
      <c r="F977" t="str">
        <f>VLOOKUP(Table1[[#This Row],[Month]],dctMonth[],2,FALSE)</f>
        <v>February</v>
      </c>
      <c r="G977" t="s">
        <v>43</v>
      </c>
      <c r="H977" t="s">
        <v>44</v>
      </c>
      <c r="I977" t="s">
        <v>21</v>
      </c>
      <c r="J977" t="s">
        <v>32</v>
      </c>
      <c r="K977">
        <v>22</v>
      </c>
      <c r="L977" t="str">
        <f>IF(Table1[[#This Row],[Age]]&lt;20,"&lt;20",IF(Table1[[#This Row],[Age]]&lt;=70,"20-70","&gt;70"))</f>
        <v>20-70</v>
      </c>
      <c r="M977" t="s">
        <v>33</v>
      </c>
      <c r="N977" t="s">
        <v>24</v>
      </c>
      <c r="O977">
        <v>36.909999999999997</v>
      </c>
      <c r="P977">
        <v>7</v>
      </c>
      <c r="Q977">
        <v>12.9185</v>
      </c>
      <c r="R977">
        <v>271.2885</v>
      </c>
      <c r="S977">
        <v>258.37</v>
      </c>
      <c r="T977">
        <v>4.7619047620000003</v>
      </c>
      <c r="U977">
        <v>12.9185</v>
      </c>
      <c r="V977">
        <v>6.7</v>
      </c>
    </row>
    <row r="978" spans="1:22" x14ac:dyDescent="0.2">
      <c r="A978" t="s">
        <v>1009</v>
      </c>
      <c r="B978" s="1">
        <v>43491</v>
      </c>
      <c r="C978" s="2">
        <v>0.63680555555555551</v>
      </c>
      <c r="D978" s="2" t="str">
        <f>IF(Table1[[#This Row],[Time]]&lt;$D$1,$C$1,IF(Table1[[#This Row],[Time]]&lt;$D$2,$C$2,$C$3))</f>
        <v>Afternoon</v>
      </c>
      <c r="E978">
        <f>MONTH(Table1[[#This Row],[Date]])</f>
        <v>1</v>
      </c>
      <c r="F978" t="str">
        <f>VLOOKUP(Table1[[#This Row],[Month]],dctMonth[],2,FALSE)</f>
        <v>January</v>
      </c>
      <c r="G978" t="s">
        <v>43</v>
      </c>
      <c r="H978" t="s">
        <v>44</v>
      </c>
      <c r="I978" t="s">
        <v>28</v>
      </c>
      <c r="J978" t="s">
        <v>32</v>
      </c>
      <c r="K978">
        <v>56</v>
      </c>
      <c r="L978" t="str">
        <f>IF(Table1[[#This Row],[Age]]&lt;20,"&lt;20",IF(Table1[[#This Row],[Age]]&lt;=70,"20-70","&gt;70"))</f>
        <v>20-70</v>
      </c>
      <c r="M978" t="s">
        <v>29</v>
      </c>
      <c r="N978" t="s">
        <v>30</v>
      </c>
      <c r="O978">
        <v>87.08</v>
      </c>
      <c r="P978">
        <v>7</v>
      </c>
      <c r="Q978">
        <v>30.478000000000002</v>
      </c>
      <c r="R978">
        <v>640.03800000000001</v>
      </c>
      <c r="S978">
        <v>609.55999999999995</v>
      </c>
      <c r="T978">
        <v>4.7619047620000003</v>
      </c>
      <c r="U978">
        <v>30.478000000000002</v>
      </c>
      <c r="V978">
        <v>5.5</v>
      </c>
    </row>
    <row r="979" spans="1:22" x14ac:dyDescent="0.2">
      <c r="A979" t="s">
        <v>1010</v>
      </c>
      <c r="B979" s="1">
        <v>43507</v>
      </c>
      <c r="C979" s="2">
        <v>0.64513888888888893</v>
      </c>
      <c r="D979" s="2" t="str">
        <f>IF(Table1[[#This Row],[Time]]&lt;$D$1,$C$1,IF(Table1[[#This Row],[Time]]&lt;$D$2,$C$2,$C$3))</f>
        <v>Afternoon</v>
      </c>
      <c r="E979">
        <f>MONTH(Table1[[#This Row],[Date]])</f>
        <v>2</v>
      </c>
      <c r="F979" t="str">
        <f>VLOOKUP(Table1[[#This Row],[Month]],dctMonth[],2,FALSE)</f>
        <v>February</v>
      </c>
      <c r="G979" t="s">
        <v>19</v>
      </c>
      <c r="H979" t="s">
        <v>20</v>
      </c>
      <c r="I979" t="s">
        <v>28</v>
      </c>
      <c r="J979" t="s">
        <v>32</v>
      </c>
      <c r="K979">
        <v>24</v>
      </c>
      <c r="L979" t="str">
        <f>IF(Table1[[#This Row],[Age]]&lt;20,"&lt;20",IF(Table1[[#This Row],[Age]]&lt;=70,"20-70","&gt;70"))</f>
        <v>20-70</v>
      </c>
      <c r="M979" t="s">
        <v>33</v>
      </c>
      <c r="N979" t="s">
        <v>30</v>
      </c>
      <c r="O979">
        <v>80.08</v>
      </c>
      <c r="P979">
        <v>3</v>
      </c>
      <c r="Q979">
        <v>12.012</v>
      </c>
      <c r="R979">
        <v>252.25200000000001</v>
      </c>
      <c r="S979">
        <v>240.24</v>
      </c>
      <c r="T979">
        <v>4.7619047620000003</v>
      </c>
      <c r="U979">
        <v>12.012</v>
      </c>
      <c r="V979">
        <v>5.4</v>
      </c>
    </row>
    <row r="980" spans="1:22" x14ac:dyDescent="0.2">
      <c r="A980" t="s">
        <v>1011</v>
      </c>
      <c r="B980" s="1">
        <v>43503</v>
      </c>
      <c r="C980" s="2">
        <v>0.74930555555555556</v>
      </c>
      <c r="D980" s="2" t="str">
        <f>IF(Table1[[#This Row],[Time]]&lt;$D$1,$C$1,IF(Table1[[#This Row],[Time]]&lt;$D$2,$C$2,$C$3))</f>
        <v>Evening</v>
      </c>
      <c r="E980">
        <f>MONTH(Table1[[#This Row],[Date]])</f>
        <v>2</v>
      </c>
      <c r="F980" t="str">
        <f>VLOOKUP(Table1[[#This Row],[Month]],dctMonth[],2,FALSE)</f>
        <v>February</v>
      </c>
      <c r="G980" t="s">
        <v>26</v>
      </c>
      <c r="H980" t="s">
        <v>27</v>
      </c>
      <c r="I980" t="s">
        <v>28</v>
      </c>
      <c r="J980" t="s">
        <v>32</v>
      </c>
      <c r="K980">
        <v>44</v>
      </c>
      <c r="L980" t="str">
        <f>IF(Table1[[#This Row],[Age]]&lt;20,"&lt;20",IF(Table1[[#This Row],[Age]]&lt;=70,"20-70","&gt;70"))</f>
        <v>20-70</v>
      </c>
      <c r="M980" t="s">
        <v>47</v>
      </c>
      <c r="N980" t="s">
        <v>30</v>
      </c>
      <c r="O980">
        <v>86.13</v>
      </c>
      <c r="P980">
        <v>2</v>
      </c>
      <c r="Q980">
        <v>8.6129999999999995</v>
      </c>
      <c r="R980">
        <v>180.87299999999999</v>
      </c>
      <c r="S980">
        <v>172.26</v>
      </c>
      <c r="T980">
        <v>4.7619047620000003</v>
      </c>
      <c r="U980">
        <v>8.6129999999999995</v>
      </c>
      <c r="V980">
        <v>8.1999999999999993</v>
      </c>
    </row>
    <row r="981" spans="1:22" x14ac:dyDescent="0.2">
      <c r="A981" t="s">
        <v>1012</v>
      </c>
      <c r="B981" s="1">
        <v>43530</v>
      </c>
      <c r="C981" s="2">
        <v>0.49652777777777779</v>
      </c>
      <c r="D981" s="2" t="str">
        <f>IF(Table1[[#This Row],[Time]]&lt;$D$1,$C$1,IF(Table1[[#This Row],[Time]]&lt;$D$2,$C$2,$C$3))</f>
        <v>Morning</v>
      </c>
      <c r="E981">
        <f>MONTH(Table1[[#This Row],[Date]])</f>
        <v>3</v>
      </c>
      <c r="F981" t="str">
        <f>VLOOKUP(Table1[[#This Row],[Month]],dctMonth[],2,FALSE)</f>
        <v>March</v>
      </c>
      <c r="G981" t="s">
        <v>43</v>
      </c>
      <c r="H981" t="s">
        <v>44</v>
      </c>
      <c r="I981" t="s">
        <v>21</v>
      </c>
      <c r="J981" t="s">
        <v>32</v>
      </c>
      <c r="K981">
        <v>22</v>
      </c>
      <c r="L981" t="str">
        <f>IF(Table1[[#This Row],[Age]]&lt;20,"&lt;20",IF(Table1[[#This Row],[Age]]&lt;=70,"20-70","&gt;70"))</f>
        <v>20-70</v>
      </c>
      <c r="M981" t="s">
        <v>47</v>
      </c>
      <c r="N981" t="s">
        <v>34</v>
      </c>
      <c r="O981">
        <v>49.92</v>
      </c>
      <c r="P981">
        <v>2</v>
      </c>
      <c r="Q981">
        <v>4.992</v>
      </c>
      <c r="R981">
        <v>104.83199999999999</v>
      </c>
      <c r="S981">
        <v>99.84</v>
      </c>
      <c r="T981">
        <v>4.7619047620000003</v>
      </c>
      <c r="U981">
        <v>4.992</v>
      </c>
      <c r="V981">
        <v>7</v>
      </c>
    </row>
    <row r="982" spans="1:22" x14ac:dyDescent="0.2">
      <c r="A982" t="s">
        <v>1013</v>
      </c>
      <c r="B982" s="1">
        <v>43528</v>
      </c>
      <c r="C982" s="2">
        <v>0.44374999999999998</v>
      </c>
      <c r="D982" s="2" t="str">
        <f>IF(Table1[[#This Row],[Time]]&lt;$D$1,$C$1,IF(Table1[[#This Row],[Time]]&lt;$D$2,$C$2,$C$3))</f>
        <v>Morning</v>
      </c>
      <c r="E982">
        <f>MONTH(Table1[[#This Row],[Date]])</f>
        <v>3</v>
      </c>
      <c r="F982" t="str">
        <f>VLOOKUP(Table1[[#This Row],[Month]],dctMonth[],2,FALSE)</f>
        <v>March</v>
      </c>
      <c r="G982" t="s">
        <v>19</v>
      </c>
      <c r="H982" t="s">
        <v>20</v>
      </c>
      <c r="I982" t="s">
        <v>28</v>
      </c>
      <c r="J982" t="s">
        <v>22</v>
      </c>
      <c r="K982">
        <v>27</v>
      </c>
      <c r="L982" t="str">
        <f>IF(Table1[[#This Row],[Age]]&lt;20,"&lt;20",IF(Table1[[#This Row],[Age]]&lt;=70,"20-70","&gt;70"))</f>
        <v>20-70</v>
      </c>
      <c r="M982" t="s">
        <v>45</v>
      </c>
      <c r="N982" t="s">
        <v>30</v>
      </c>
      <c r="O982">
        <v>74.66</v>
      </c>
      <c r="P982">
        <v>4</v>
      </c>
      <c r="Q982">
        <v>14.932</v>
      </c>
      <c r="R982">
        <v>313.572</v>
      </c>
      <c r="S982">
        <v>298.64</v>
      </c>
      <c r="T982">
        <v>4.7619047620000003</v>
      </c>
      <c r="U982">
        <v>14.932</v>
      </c>
      <c r="V982">
        <v>8.5</v>
      </c>
    </row>
    <row r="983" spans="1:22" x14ac:dyDescent="0.2">
      <c r="A983" t="s">
        <v>1014</v>
      </c>
      <c r="B983" s="1">
        <v>43522</v>
      </c>
      <c r="C983" s="2">
        <v>0.63194444444444442</v>
      </c>
      <c r="D983" s="2" t="str">
        <f>IF(Table1[[#This Row],[Time]]&lt;$D$1,$C$1,IF(Table1[[#This Row],[Time]]&lt;$D$2,$C$2,$C$3))</f>
        <v>Afternoon</v>
      </c>
      <c r="E983">
        <f>MONTH(Table1[[#This Row],[Date]])</f>
        <v>2</v>
      </c>
      <c r="F983" t="str">
        <f>VLOOKUP(Table1[[#This Row],[Month]],dctMonth[],2,FALSE)</f>
        <v>February</v>
      </c>
      <c r="G983" t="s">
        <v>43</v>
      </c>
      <c r="H983" t="s">
        <v>44</v>
      </c>
      <c r="I983" t="s">
        <v>21</v>
      </c>
      <c r="J983" t="s">
        <v>32</v>
      </c>
      <c r="K983">
        <v>87</v>
      </c>
      <c r="L983" t="str">
        <f>IF(Table1[[#This Row],[Age]]&lt;20,"&lt;20",IF(Table1[[#This Row],[Age]]&lt;=70,"20-70","&gt;70"))</f>
        <v>&gt;70</v>
      </c>
      <c r="M983" t="s">
        <v>45</v>
      </c>
      <c r="N983" t="s">
        <v>24</v>
      </c>
      <c r="O983">
        <v>26.6</v>
      </c>
      <c r="P983">
        <v>6</v>
      </c>
      <c r="Q983">
        <v>7.98</v>
      </c>
      <c r="R983">
        <v>167.58</v>
      </c>
      <c r="S983">
        <v>159.6</v>
      </c>
      <c r="T983">
        <v>4.7619047620000003</v>
      </c>
      <c r="U983">
        <v>7.98</v>
      </c>
      <c r="V983">
        <v>4.9000000000000004</v>
      </c>
    </row>
    <row r="984" spans="1:22" x14ac:dyDescent="0.2">
      <c r="A984" t="s">
        <v>1015</v>
      </c>
      <c r="B984" s="1">
        <v>43534</v>
      </c>
      <c r="C984" s="2">
        <v>0.75694444444444442</v>
      </c>
      <c r="D984" s="2" t="str">
        <f>IF(Table1[[#This Row],[Time]]&lt;$D$1,$C$1,IF(Table1[[#This Row],[Time]]&lt;$D$2,$C$2,$C$3))</f>
        <v>Evening</v>
      </c>
      <c r="E984">
        <f>MONTH(Table1[[#This Row],[Date]])</f>
        <v>3</v>
      </c>
      <c r="F984" t="str">
        <f>VLOOKUP(Table1[[#This Row],[Month]],dctMonth[],2,FALSE)</f>
        <v>March</v>
      </c>
      <c r="G984" t="s">
        <v>43</v>
      </c>
      <c r="H984" t="s">
        <v>44</v>
      </c>
      <c r="I984" t="s">
        <v>28</v>
      </c>
      <c r="J984" t="s">
        <v>22</v>
      </c>
      <c r="K984">
        <v>36</v>
      </c>
      <c r="L984" t="str">
        <f>IF(Table1[[#This Row],[Age]]&lt;20,"&lt;20",IF(Table1[[#This Row],[Age]]&lt;=70,"20-70","&gt;70"))</f>
        <v>20-70</v>
      </c>
      <c r="M984" t="s">
        <v>29</v>
      </c>
      <c r="N984" t="s">
        <v>34</v>
      </c>
      <c r="O984">
        <v>25.45</v>
      </c>
      <c r="P984">
        <v>1</v>
      </c>
      <c r="Q984">
        <v>1.2725</v>
      </c>
      <c r="R984">
        <v>26.7225</v>
      </c>
      <c r="S984">
        <v>25.45</v>
      </c>
      <c r="T984">
        <v>4.7619047620000003</v>
      </c>
      <c r="U984">
        <v>1.2725</v>
      </c>
      <c r="V984">
        <v>5.0999999999999996</v>
      </c>
    </row>
    <row r="985" spans="1:22" x14ac:dyDescent="0.2">
      <c r="A985" t="s">
        <v>1016</v>
      </c>
      <c r="B985" s="1">
        <v>43500</v>
      </c>
      <c r="C985" s="2">
        <v>0.86319444444444449</v>
      </c>
      <c r="D985" s="2" t="str">
        <f>IF(Table1[[#This Row],[Time]]&lt;$D$1,$C$1,IF(Table1[[#This Row],[Time]]&lt;$D$2,$C$2,$C$3))</f>
        <v>Evening</v>
      </c>
      <c r="E985">
        <f>MONTH(Table1[[#This Row],[Date]])</f>
        <v>2</v>
      </c>
      <c r="F985" t="str">
        <f>VLOOKUP(Table1[[#This Row],[Month]],dctMonth[],2,FALSE)</f>
        <v>February</v>
      </c>
      <c r="G985" t="s">
        <v>43</v>
      </c>
      <c r="H985" t="s">
        <v>44</v>
      </c>
      <c r="I985" t="s">
        <v>28</v>
      </c>
      <c r="J985" t="s">
        <v>22</v>
      </c>
      <c r="K985">
        <v>36</v>
      </c>
      <c r="L985" t="str">
        <f>IF(Table1[[#This Row],[Age]]&lt;20,"&lt;20",IF(Table1[[#This Row],[Age]]&lt;=70,"20-70","&gt;70"))</f>
        <v>20-70</v>
      </c>
      <c r="M985" t="s">
        <v>45</v>
      </c>
      <c r="N985" t="s">
        <v>34</v>
      </c>
      <c r="O985">
        <v>67.77</v>
      </c>
      <c r="P985">
        <v>1</v>
      </c>
      <c r="Q985">
        <v>3.3885000000000001</v>
      </c>
      <c r="R985">
        <v>71.158500000000004</v>
      </c>
      <c r="S985">
        <v>67.77</v>
      </c>
      <c r="T985">
        <v>4.7619047620000003</v>
      </c>
      <c r="U985">
        <v>3.3885000000000001</v>
      </c>
      <c r="V985">
        <v>6.5</v>
      </c>
    </row>
    <row r="986" spans="1:22" x14ac:dyDescent="0.2">
      <c r="A986" t="s">
        <v>1017</v>
      </c>
      <c r="B986" s="1">
        <v>43484</v>
      </c>
      <c r="C986" s="2">
        <v>0.53194444444444444</v>
      </c>
      <c r="D986" s="2" t="str">
        <f>IF(Table1[[#This Row],[Time]]&lt;$D$1,$C$1,IF(Table1[[#This Row],[Time]]&lt;$D$2,$C$2,$C$3))</f>
        <v>Afternoon</v>
      </c>
      <c r="E986">
        <f>MONTH(Table1[[#This Row],[Date]])</f>
        <v>1</v>
      </c>
      <c r="F986" t="str">
        <f>VLOOKUP(Table1[[#This Row],[Month]],dctMonth[],2,FALSE)</f>
        <v>January</v>
      </c>
      <c r="G986" t="s">
        <v>26</v>
      </c>
      <c r="H986" t="s">
        <v>27</v>
      </c>
      <c r="I986" t="s">
        <v>21</v>
      </c>
      <c r="J986" t="s">
        <v>32</v>
      </c>
      <c r="K986">
        <v>36</v>
      </c>
      <c r="L986" t="str">
        <f>IF(Table1[[#This Row],[Age]]&lt;20,"&lt;20",IF(Table1[[#This Row],[Age]]&lt;=70,"20-70","&gt;70"))</f>
        <v>20-70</v>
      </c>
      <c r="M986" t="s">
        <v>45</v>
      </c>
      <c r="N986" t="s">
        <v>30</v>
      </c>
      <c r="O986">
        <v>59.59</v>
      </c>
      <c r="P986">
        <v>4</v>
      </c>
      <c r="Q986">
        <v>11.917999999999999</v>
      </c>
      <c r="R986">
        <v>250.27799999999999</v>
      </c>
      <c r="S986">
        <v>238.36</v>
      </c>
      <c r="T986">
        <v>4.7619047620000003</v>
      </c>
      <c r="U986">
        <v>11.917999999999999</v>
      </c>
      <c r="V986">
        <v>9.8000000000000007</v>
      </c>
    </row>
    <row r="987" spans="1:22" x14ac:dyDescent="0.2">
      <c r="A987" t="s">
        <v>1018</v>
      </c>
      <c r="B987" s="1">
        <v>43488</v>
      </c>
      <c r="C987" s="2">
        <v>0.73888888888888893</v>
      </c>
      <c r="D987" s="2" t="str">
        <f>IF(Table1[[#This Row],[Time]]&lt;$D$1,$C$1,IF(Table1[[#This Row],[Time]]&lt;$D$2,$C$2,$C$3))</f>
        <v>Evening</v>
      </c>
      <c r="E987">
        <f>MONTH(Table1[[#This Row],[Date]])</f>
        <v>1</v>
      </c>
      <c r="F987" t="str">
        <f>VLOOKUP(Table1[[#This Row],[Month]],dctMonth[],2,FALSE)</f>
        <v>January</v>
      </c>
      <c r="G987" t="s">
        <v>19</v>
      </c>
      <c r="H987" t="s">
        <v>20</v>
      </c>
      <c r="I987" t="s">
        <v>28</v>
      </c>
      <c r="J987" t="s">
        <v>32</v>
      </c>
      <c r="K987">
        <v>31</v>
      </c>
      <c r="L987" t="str">
        <f>IF(Table1[[#This Row],[Age]]&lt;20,"&lt;20",IF(Table1[[#This Row],[Age]]&lt;=70,"20-70","&gt;70"))</f>
        <v>20-70</v>
      </c>
      <c r="M987" t="s">
        <v>23</v>
      </c>
      <c r="N987" t="s">
        <v>30</v>
      </c>
      <c r="O987">
        <v>58.15</v>
      </c>
      <c r="P987">
        <v>4</v>
      </c>
      <c r="Q987">
        <v>11.63</v>
      </c>
      <c r="R987">
        <v>244.23</v>
      </c>
      <c r="S987">
        <v>232.6</v>
      </c>
      <c r="T987">
        <v>4.7619047620000003</v>
      </c>
      <c r="U987">
        <v>11.63</v>
      </c>
      <c r="V987">
        <v>8.4</v>
      </c>
    </row>
    <row r="988" spans="1:22" x14ac:dyDescent="0.2">
      <c r="A988" t="s">
        <v>1019</v>
      </c>
      <c r="B988" s="1">
        <v>43538</v>
      </c>
      <c r="C988" s="2">
        <v>0.59652777777777777</v>
      </c>
      <c r="D988" s="2" t="str">
        <f>IF(Table1[[#This Row],[Time]]&lt;$D$1,$C$1,IF(Table1[[#This Row],[Time]]&lt;$D$2,$C$2,$C$3))</f>
        <v>Afternoon</v>
      </c>
      <c r="E988">
        <f>MONTH(Table1[[#This Row],[Date]])</f>
        <v>3</v>
      </c>
      <c r="F988" t="str">
        <f>VLOOKUP(Table1[[#This Row],[Month]],dctMonth[],2,FALSE)</f>
        <v>March</v>
      </c>
      <c r="G988" t="s">
        <v>19</v>
      </c>
      <c r="H988" t="s">
        <v>20</v>
      </c>
      <c r="I988" t="s">
        <v>21</v>
      </c>
      <c r="J988" t="s">
        <v>22</v>
      </c>
      <c r="K988">
        <v>53</v>
      </c>
      <c r="L988" t="str">
        <f>IF(Table1[[#This Row],[Age]]&lt;20,"&lt;20",IF(Table1[[#This Row],[Age]]&lt;=70,"20-70","&gt;70"))</f>
        <v>20-70</v>
      </c>
      <c r="M988" t="s">
        <v>37</v>
      </c>
      <c r="N988" t="s">
        <v>24</v>
      </c>
      <c r="O988">
        <v>97.48</v>
      </c>
      <c r="P988">
        <v>9</v>
      </c>
      <c r="Q988">
        <v>43.866</v>
      </c>
      <c r="R988">
        <v>921.18600000000004</v>
      </c>
      <c r="S988">
        <v>877.32</v>
      </c>
      <c r="T988">
        <v>4.7619047620000003</v>
      </c>
      <c r="U988">
        <v>43.866</v>
      </c>
      <c r="V988">
        <v>7.4</v>
      </c>
    </row>
    <row r="989" spans="1:22" x14ac:dyDescent="0.2">
      <c r="A989" t="s">
        <v>1020</v>
      </c>
      <c r="B989" s="1">
        <v>43488</v>
      </c>
      <c r="C989" s="2">
        <v>0.43958333333333333</v>
      </c>
      <c r="D989" s="2" t="str">
        <f>IF(Table1[[#This Row],[Time]]&lt;$D$1,$C$1,IF(Table1[[#This Row],[Time]]&lt;$D$2,$C$2,$C$3))</f>
        <v>Morning</v>
      </c>
      <c r="E989">
        <f>MONTH(Table1[[#This Row],[Date]])</f>
        <v>1</v>
      </c>
      <c r="F989" t="str">
        <f>VLOOKUP(Table1[[#This Row],[Month]],dctMonth[],2,FALSE)</f>
        <v>January</v>
      </c>
      <c r="G989" t="s">
        <v>26</v>
      </c>
      <c r="H989" t="s">
        <v>27</v>
      </c>
      <c r="I989" t="s">
        <v>28</v>
      </c>
      <c r="J989" t="s">
        <v>32</v>
      </c>
      <c r="K989">
        <v>51</v>
      </c>
      <c r="L989" t="str">
        <f>IF(Table1[[#This Row],[Age]]&lt;20,"&lt;20",IF(Table1[[#This Row],[Age]]&lt;=70,"20-70","&gt;70"))</f>
        <v>20-70</v>
      </c>
      <c r="M989" t="s">
        <v>23</v>
      </c>
      <c r="N989" t="s">
        <v>30</v>
      </c>
      <c r="O989">
        <v>99.96</v>
      </c>
      <c r="P989">
        <v>7</v>
      </c>
      <c r="Q989">
        <v>34.985999999999997</v>
      </c>
      <c r="R989">
        <v>734.70600000000002</v>
      </c>
      <c r="S989">
        <v>699.72</v>
      </c>
      <c r="T989">
        <v>4.7619047620000003</v>
      </c>
      <c r="U989">
        <v>34.985999999999997</v>
      </c>
      <c r="V989">
        <v>6.1</v>
      </c>
    </row>
    <row r="990" spans="1:22" x14ac:dyDescent="0.2">
      <c r="A990" t="s">
        <v>1021</v>
      </c>
      <c r="B990" s="1">
        <v>43474</v>
      </c>
      <c r="C990" s="2">
        <v>0.4861111111111111</v>
      </c>
      <c r="D990" s="2" t="str">
        <f>IF(Table1[[#This Row],[Time]]&lt;$D$1,$C$1,IF(Table1[[#This Row],[Time]]&lt;$D$2,$C$2,$C$3))</f>
        <v>Morning</v>
      </c>
      <c r="E990">
        <f>MONTH(Table1[[#This Row],[Date]])</f>
        <v>1</v>
      </c>
      <c r="F990" t="str">
        <f>VLOOKUP(Table1[[#This Row],[Month]],dctMonth[],2,FALSE)</f>
        <v>January</v>
      </c>
      <c r="G990" t="s">
        <v>26</v>
      </c>
      <c r="H990" t="s">
        <v>27</v>
      </c>
      <c r="I990" t="s">
        <v>28</v>
      </c>
      <c r="J990" t="s">
        <v>32</v>
      </c>
      <c r="K990">
        <v>26</v>
      </c>
      <c r="L990" t="str">
        <f>IF(Table1[[#This Row],[Age]]&lt;20,"&lt;20",IF(Table1[[#This Row],[Age]]&lt;=70,"20-70","&gt;70"))</f>
        <v>20-70</v>
      </c>
      <c r="M990" t="s">
        <v>29</v>
      </c>
      <c r="N990" t="s">
        <v>30</v>
      </c>
      <c r="O990">
        <v>96.37</v>
      </c>
      <c r="P990">
        <v>7</v>
      </c>
      <c r="Q990">
        <v>33.729500000000002</v>
      </c>
      <c r="R990">
        <v>708.31949999999995</v>
      </c>
      <c r="S990">
        <v>674.59</v>
      </c>
      <c r="T990">
        <v>4.7619047620000003</v>
      </c>
      <c r="U990">
        <v>33.729500000000002</v>
      </c>
      <c r="V990">
        <v>6</v>
      </c>
    </row>
    <row r="991" spans="1:22" x14ac:dyDescent="0.2">
      <c r="A991" t="s">
        <v>1022</v>
      </c>
      <c r="B991" s="1">
        <v>43503</v>
      </c>
      <c r="C991" s="2">
        <v>0.8125</v>
      </c>
      <c r="D991" s="2" t="str">
        <f>IF(Table1[[#This Row],[Time]]&lt;$D$1,$C$1,IF(Table1[[#This Row],[Time]]&lt;$D$2,$C$2,$C$3))</f>
        <v>Evening</v>
      </c>
      <c r="E991">
        <f>MONTH(Table1[[#This Row],[Date]])</f>
        <v>2</v>
      </c>
      <c r="F991" t="str">
        <f>VLOOKUP(Table1[[#This Row],[Month]],dctMonth[],2,FALSE)</f>
        <v>February</v>
      </c>
      <c r="G991" t="s">
        <v>43</v>
      </c>
      <c r="H991" t="s">
        <v>44</v>
      </c>
      <c r="I991" t="s">
        <v>28</v>
      </c>
      <c r="J991" t="s">
        <v>22</v>
      </c>
      <c r="K991">
        <v>70</v>
      </c>
      <c r="L991" t="str">
        <f>IF(Table1[[#This Row],[Age]]&lt;20,"&lt;20",IF(Table1[[#This Row],[Age]]&lt;=70,"20-70","&gt;70"))</f>
        <v>20-70</v>
      </c>
      <c r="M991" t="s">
        <v>47</v>
      </c>
      <c r="N991" t="s">
        <v>24</v>
      </c>
      <c r="O991">
        <v>63.71</v>
      </c>
      <c r="P991">
        <v>5</v>
      </c>
      <c r="Q991">
        <v>15.9275</v>
      </c>
      <c r="R991">
        <v>334.47750000000002</v>
      </c>
      <c r="S991">
        <v>318.55</v>
      </c>
      <c r="T991">
        <v>4.7619047620000003</v>
      </c>
      <c r="U991">
        <v>15.9275</v>
      </c>
      <c r="V991">
        <v>8.5</v>
      </c>
    </row>
    <row r="992" spans="1:22" x14ac:dyDescent="0.2">
      <c r="A992" t="s">
        <v>1023</v>
      </c>
      <c r="B992" s="1">
        <v>43514</v>
      </c>
      <c r="C992" s="2">
        <v>0.61250000000000004</v>
      </c>
      <c r="D992" s="2" t="str">
        <f>IF(Table1[[#This Row],[Time]]&lt;$D$1,$C$1,IF(Table1[[#This Row],[Time]]&lt;$D$2,$C$2,$C$3))</f>
        <v>Afternoon</v>
      </c>
      <c r="E992">
        <f>MONTH(Table1[[#This Row],[Date]])</f>
        <v>2</v>
      </c>
      <c r="F992" t="str">
        <f>VLOOKUP(Table1[[#This Row],[Month]],dctMonth[],2,FALSE)</f>
        <v>February</v>
      </c>
      <c r="G992" t="s">
        <v>43</v>
      </c>
      <c r="H992" t="s">
        <v>44</v>
      </c>
      <c r="I992" t="s">
        <v>28</v>
      </c>
      <c r="J992" t="s">
        <v>22</v>
      </c>
      <c r="K992">
        <v>71</v>
      </c>
      <c r="L992" t="str">
        <f>IF(Table1[[#This Row],[Age]]&lt;20,"&lt;20",IF(Table1[[#This Row],[Age]]&lt;=70,"20-70","&gt;70"))</f>
        <v>&gt;70</v>
      </c>
      <c r="M992" t="s">
        <v>23</v>
      </c>
      <c r="N992" t="s">
        <v>24</v>
      </c>
      <c r="O992">
        <v>14.76</v>
      </c>
      <c r="P992">
        <v>2</v>
      </c>
      <c r="Q992">
        <v>1.476</v>
      </c>
      <c r="R992">
        <v>30.995999999999999</v>
      </c>
      <c r="S992">
        <v>29.52</v>
      </c>
      <c r="T992">
        <v>4.7619047620000003</v>
      </c>
      <c r="U992">
        <v>1.476</v>
      </c>
      <c r="V992">
        <v>4.3</v>
      </c>
    </row>
    <row r="993" spans="1:22" x14ac:dyDescent="0.2">
      <c r="A993" t="s">
        <v>1024</v>
      </c>
      <c r="B993" s="1">
        <v>43468</v>
      </c>
      <c r="C993" s="2">
        <v>0.79722222222222228</v>
      </c>
      <c r="D993" s="2" t="str">
        <f>IF(Table1[[#This Row],[Time]]&lt;$D$1,$C$1,IF(Table1[[#This Row],[Time]]&lt;$D$2,$C$2,$C$3))</f>
        <v>Evening</v>
      </c>
      <c r="E993">
        <f>MONTH(Table1[[#This Row],[Date]])</f>
        <v>1</v>
      </c>
      <c r="F993" t="str">
        <f>VLOOKUP(Table1[[#This Row],[Month]],dctMonth[],2,FALSE)</f>
        <v>January</v>
      </c>
      <c r="G993" t="s">
        <v>43</v>
      </c>
      <c r="H993" t="s">
        <v>44</v>
      </c>
      <c r="I993" t="s">
        <v>21</v>
      </c>
      <c r="J993" t="s">
        <v>32</v>
      </c>
      <c r="K993">
        <v>50</v>
      </c>
      <c r="L993" t="str">
        <f>IF(Table1[[#This Row],[Age]]&lt;20,"&lt;20",IF(Table1[[#This Row],[Age]]&lt;=70,"20-70","&gt;70"))</f>
        <v>20-70</v>
      </c>
      <c r="M993" t="s">
        <v>23</v>
      </c>
      <c r="N993" t="s">
        <v>34</v>
      </c>
      <c r="O993">
        <v>62</v>
      </c>
      <c r="P993">
        <v>8</v>
      </c>
      <c r="Q993">
        <v>24.8</v>
      </c>
      <c r="R993">
        <v>520.79999999999995</v>
      </c>
      <c r="S993">
        <v>496</v>
      </c>
      <c r="T993">
        <v>4.7619047620000003</v>
      </c>
      <c r="U993">
        <v>24.8</v>
      </c>
      <c r="V993">
        <v>6.2</v>
      </c>
    </row>
    <row r="994" spans="1:22" x14ac:dyDescent="0.2">
      <c r="A994" t="s">
        <v>1025</v>
      </c>
      <c r="B994" s="1">
        <v>43553</v>
      </c>
      <c r="C994" s="2">
        <v>0.8</v>
      </c>
      <c r="D994" s="2" t="str">
        <f>IF(Table1[[#This Row],[Time]]&lt;$D$1,$C$1,IF(Table1[[#This Row],[Time]]&lt;$D$2,$C$2,$C$3))</f>
        <v>Evening</v>
      </c>
      <c r="E994">
        <f>MONTH(Table1[[#This Row],[Date]])</f>
        <v>3</v>
      </c>
      <c r="F994" t="str">
        <f>VLOOKUP(Table1[[#This Row],[Month]],dctMonth[],2,FALSE)</f>
        <v>March</v>
      </c>
      <c r="G994" t="s">
        <v>26</v>
      </c>
      <c r="H994" t="s">
        <v>27</v>
      </c>
      <c r="I994" t="s">
        <v>21</v>
      </c>
      <c r="J994" t="s">
        <v>32</v>
      </c>
      <c r="K994">
        <v>78</v>
      </c>
      <c r="L994" t="str">
        <f>IF(Table1[[#This Row],[Age]]&lt;20,"&lt;20",IF(Table1[[#This Row],[Age]]&lt;=70,"20-70","&gt;70"))</f>
        <v>&gt;70</v>
      </c>
      <c r="M994" t="s">
        <v>29</v>
      </c>
      <c r="N994" t="s">
        <v>24</v>
      </c>
      <c r="O994">
        <v>82.34</v>
      </c>
      <c r="P994">
        <v>10</v>
      </c>
      <c r="Q994">
        <v>41.17</v>
      </c>
      <c r="R994">
        <v>864.57</v>
      </c>
      <c r="S994">
        <v>823.4</v>
      </c>
      <c r="T994">
        <v>4.7619047620000003</v>
      </c>
      <c r="U994">
        <v>41.17</v>
      </c>
      <c r="V994">
        <v>4.3</v>
      </c>
    </row>
    <row r="995" spans="1:22" x14ac:dyDescent="0.2">
      <c r="A995" t="s">
        <v>1026</v>
      </c>
      <c r="B995" s="1">
        <v>43493</v>
      </c>
      <c r="C995" s="2">
        <v>0.65694444444444444</v>
      </c>
      <c r="D995" s="2" t="str">
        <f>IF(Table1[[#This Row],[Time]]&lt;$D$1,$C$1,IF(Table1[[#This Row],[Time]]&lt;$D$2,$C$2,$C$3))</f>
        <v>Afternoon</v>
      </c>
      <c r="E995">
        <f>MONTH(Table1[[#This Row],[Date]])</f>
        <v>1</v>
      </c>
      <c r="F995" t="str">
        <f>VLOOKUP(Table1[[#This Row],[Month]],dctMonth[],2,FALSE)</f>
        <v>January</v>
      </c>
      <c r="G995" t="s">
        <v>43</v>
      </c>
      <c r="H995" t="s">
        <v>44</v>
      </c>
      <c r="I995" t="s">
        <v>21</v>
      </c>
      <c r="J995" t="s">
        <v>32</v>
      </c>
      <c r="K995">
        <v>32</v>
      </c>
      <c r="L995" t="str">
        <f>IF(Table1[[#This Row],[Age]]&lt;20,"&lt;20",IF(Table1[[#This Row],[Age]]&lt;=70,"20-70","&gt;70"))</f>
        <v>20-70</v>
      </c>
      <c r="M995" t="s">
        <v>23</v>
      </c>
      <c r="N995" t="s">
        <v>34</v>
      </c>
      <c r="O995">
        <v>75.37</v>
      </c>
      <c r="P995">
        <v>8</v>
      </c>
      <c r="Q995">
        <v>30.148</v>
      </c>
      <c r="R995">
        <v>633.10799999999995</v>
      </c>
      <c r="S995">
        <v>602.96</v>
      </c>
      <c r="T995">
        <v>4.7619047620000003</v>
      </c>
      <c r="U995">
        <v>30.148</v>
      </c>
      <c r="V995">
        <v>8.4</v>
      </c>
    </row>
    <row r="996" spans="1:22" x14ac:dyDescent="0.2">
      <c r="A996" t="s">
        <v>1027</v>
      </c>
      <c r="B996" s="1">
        <v>43546</v>
      </c>
      <c r="C996" s="2">
        <v>0.79583333333333328</v>
      </c>
      <c r="D996" s="2" t="str">
        <f>IF(Table1[[#This Row],[Time]]&lt;$D$1,$C$1,IF(Table1[[#This Row],[Time]]&lt;$D$2,$C$2,$C$3))</f>
        <v>Evening</v>
      </c>
      <c r="E996">
        <f>MONTH(Table1[[#This Row],[Date]])</f>
        <v>3</v>
      </c>
      <c r="F996" t="str">
        <f>VLOOKUP(Table1[[#This Row],[Month]],dctMonth[],2,FALSE)</f>
        <v>March</v>
      </c>
      <c r="G996" t="s">
        <v>19</v>
      </c>
      <c r="H996" t="s">
        <v>20</v>
      </c>
      <c r="I996" t="s">
        <v>28</v>
      </c>
      <c r="J996" t="s">
        <v>22</v>
      </c>
      <c r="K996">
        <v>26</v>
      </c>
      <c r="L996" t="str">
        <f>IF(Table1[[#This Row],[Age]]&lt;20,"&lt;20",IF(Table1[[#This Row],[Age]]&lt;=70,"20-70","&gt;70"))</f>
        <v>20-70</v>
      </c>
      <c r="M996" t="s">
        <v>45</v>
      </c>
      <c r="N996" t="s">
        <v>34</v>
      </c>
      <c r="O996">
        <v>56.56</v>
      </c>
      <c r="P996">
        <v>5</v>
      </c>
      <c r="Q996">
        <v>14.14</v>
      </c>
      <c r="R996">
        <v>296.94</v>
      </c>
      <c r="S996">
        <v>282.8</v>
      </c>
      <c r="T996">
        <v>4.7619047620000003</v>
      </c>
      <c r="U996">
        <v>14.14</v>
      </c>
      <c r="V996">
        <v>4.5</v>
      </c>
    </row>
    <row r="997" spans="1:22" x14ac:dyDescent="0.2">
      <c r="A997" t="s">
        <v>1028</v>
      </c>
      <c r="B997" s="1">
        <v>43489</v>
      </c>
      <c r="C997" s="2">
        <v>0.75694444444444442</v>
      </c>
      <c r="D997" s="2" t="str">
        <f>IF(Table1[[#This Row],[Time]]&lt;$D$1,$C$1,IF(Table1[[#This Row],[Time]]&lt;$D$2,$C$2,$C$3))</f>
        <v>Evening</v>
      </c>
      <c r="E997">
        <f>MONTH(Table1[[#This Row],[Date]])</f>
        <v>1</v>
      </c>
      <c r="F997" t="str">
        <f>VLOOKUP(Table1[[#This Row],[Month]],dctMonth[],2,FALSE)</f>
        <v>January</v>
      </c>
      <c r="G997" t="s">
        <v>43</v>
      </c>
      <c r="H997" t="s">
        <v>44</v>
      </c>
      <c r="I997" t="s">
        <v>28</v>
      </c>
      <c r="J997" t="s">
        <v>22</v>
      </c>
      <c r="K997">
        <v>63</v>
      </c>
      <c r="L997" t="str">
        <f>IF(Table1[[#This Row],[Age]]&lt;20,"&lt;20",IF(Table1[[#This Row],[Age]]&lt;=70,"20-70","&gt;70"))</f>
        <v>20-70</v>
      </c>
      <c r="M997" t="s">
        <v>37</v>
      </c>
      <c r="N997" t="s">
        <v>24</v>
      </c>
      <c r="O997">
        <v>76.599999999999994</v>
      </c>
      <c r="P997">
        <v>10</v>
      </c>
      <c r="Q997">
        <v>38.299999999999997</v>
      </c>
      <c r="R997">
        <v>804.3</v>
      </c>
      <c r="S997">
        <v>766</v>
      </c>
      <c r="T997">
        <v>4.7619047620000003</v>
      </c>
      <c r="U997">
        <v>38.299999999999997</v>
      </c>
      <c r="V997">
        <v>6</v>
      </c>
    </row>
    <row r="998" spans="1:22" x14ac:dyDescent="0.2">
      <c r="A998" t="s">
        <v>1029</v>
      </c>
      <c r="B998" s="1">
        <v>43534</v>
      </c>
      <c r="C998" s="2">
        <v>0.86527777777777781</v>
      </c>
      <c r="D998" s="2" t="str">
        <f>IF(Table1[[#This Row],[Time]]&lt;$D$1,$C$1,IF(Table1[[#This Row],[Time]]&lt;$D$2,$C$2,$C$3))</f>
        <v>Evening</v>
      </c>
      <c r="E998">
        <f>MONTH(Table1[[#This Row],[Date]])</f>
        <v>3</v>
      </c>
      <c r="F998" t="str">
        <f>VLOOKUP(Table1[[#This Row],[Month]],dctMonth[],2,FALSE)</f>
        <v>March</v>
      </c>
      <c r="G998" t="s">
        <v>19</v>
      </c>
      <c r="H998" t="s">
        <v>20</v>
      </c>
      <c r="I998" t="s">
        <v>28</v>
      </c>
      <c r="J998" t="s">
        <v>32</v>
      </c>
      <c r="K998">
        <v>58</v>
      </c>
      <c r="L998" t="str">
        <f>IF(Table1[[#This Row],[Age]]&lt;20,"&lt;20",IF(Table1[[#This Row],[Age]]&lt;=70,"20-70","&gt;70"))</f>
        <v>20-70</v>
      </c>
      <c r="M998" t="s">
        <v>29</v>
      </c>
      <c r="N998" t="s">
        <v>24</v>
      </c>
      <c r="O998">
        <v>58.03</v>
      </c>
      <c r="P998">
        <v>2</v>
      </c>
      <c r="Q998">
        <v>5.8029999999999999</v>
      </c>
      <c r="R998">
        <v>121.863</v>
      </c>
      <c r="S998">
        <v>116.06</v>
      </c>
      <c r="T998">
        <v>4.7619047620000003</v>
      </c>
      <c r="U998">
        <v>5.8029999999999999</v>
      </c>
      <c r="V998">
        <v>8.8000000000000007</v>
      </c>
    </row>
    <row r="999" spans="1:22" x14ac:dyDescent="0.2">
      <c r="A999" t="s">
        <v>1030</v>
      </c>
      <c r="B999" s="1">
        <v>43518</v>
      </c>
      <c r="C999" s="2">
        <v>0.77430555555555558</v>
      </c>
      <c r="D999" s="2" t="str">
        <f>IF(Table1[[#This Row],[Time]]&lt;$D$1,$C$1,IF(Table1[[#This Row],[Time]]&lt;$D$2,$C$2,$C$3))</f>
        <v>Evening</v>
      </c>
      <c r="E999">
        <f>MONTH(Table1[[#This Row],[Date]])</f>
        <v>2</v>
      </c>
      <c r="F999" t="str">
        <f>VLOOKUP(Table1[[#This Row],[Month]],dctMonth[],2,FALSE)</f>
        <v>February</v>
      </c>
      <c r="G999" t="s">
        <v>43</v>
      </c>
      <c r="H999" t="s">
        <v>44</v>
      </c>
      <c r="I999" t="s">
        <v>28</v>
      </c>
      <c r="J999" t="s">
        <v>32</v>
      </c>
      <c r="K999">
        <v>50</v>
      </c>
      <c r="L999" t="str">
        <f>IF(Table1[[#This Row],[Age]]&lt;20,"&lt;20",IF(Table1[[#This Row],[Age]]&lt;=70,"20-70","&gt;70"))</f>
        <v>20-70</v>
      </c>
      <c r="M999" t="s">
        <v>47</v>
      </c>
      <c r="N999" t="s">
        <v>24</v>
      </c>
      <c r="O999">
        <v>17.489999999999998</v>
      </c>
      <c r="P999">
        <v>10</v>
      </c>
      <c r="Q999">
        <v>8.7449999999999992</v>
      </c>
      <c r="R999">
        <v>183.64500000000001</v>
      </c>
      <c r="S999">
        <v>174.9</v>
      </c>
      <c r="T999">
        <v>4.7619047620000003</v>
      </c>
      <c r="U999">
        <v>8.7449999999999992</v>
      </c>
      <c r="V999">
        <v>6.6</v>
      </c>
    </row>
    <row r="1000" spans="1:22" x14ac:dyDescent="0.2">
      <c r="A1000" t="s">
        <v>1031</v>
      </c>
      <c r="B1000" s="1">
        <v>43514</v>
      </c>
      <c r="C1000" s="2">
        <v>0.4861111111111111</v>
      </c>
      <c r="D1000" s="2" t="str">
        <f>IF(Table1[[#This Row],[Time]]&lt;$D$1,$C$1,IF(Table1[[#This Row],[Time]]&lt;$D$2,$C$2,$C$3))</f>
        <v>Morning</v>
      </c>
      <c r="E1000">
        <f>MONTH(Table1[[#This Row],[Date]])</f>
        <v>2</v>
      </c>
      <c r="F1000" t="str">
        <f>VLOOKUP(Table1[[#This Row],[Month]],dctMonth[],2,FALSE)</f>
        <v>February</v>
      </c>
      <c r="G1000" t="s">
        <v>26</v>
      </c>
      <c r="H1000" t="s">
        <v>27</v>
      </c>
      <c r="I1000" t="s">
        <v>21</v>
      </c>
      <c r="J1000" t="s">
        <v>22</v>
      </c>
      <c r="K1000">
        <v>18</v>
      </c>
      <c r="L1000" t="str">
        <f>IF(Table1[[#This Row],[Age]]&lt;20,"&lt;20",IF(Table1[[#This Row],[Age]]&lt;=70,"20-70","&gt;70"))</f>
        <v>&lt;20</v>
      </c>
      <c r="M1000" t="s">
        <v>29</v>
      </c>
      <c r="N1000" t="s">
        <v>24</v>
      </c>
      <c r="O1000">
        <v>60.95</v>
      </c>
      <c r="P1000">
        <v>1</v>
      </c>
      <c r="Q1000">
        <v>3.0474999999999999</v>
      </c>
      <c r="R1000">
        <v>63.997500000000002</v>
      </c>
      <c r="S1000">
        <v>60.95</v>
      </c>
      <c r="T1000">
        <v>4.7619047620000003</v>
      </c>
      <c r="U1000">
        <v>3.0474999999999999</v>
      </c>
      <c r="V1000">
        <v>5.9</v>
      </c>
    </row>
    <row r="1001" spans="1:22" x14ac:dyDescent="0.2">
      <c r="A1001" t="s">
        <v>1032</v>
      </c>
      <c r="B1001" s="1">
        <v>43494</v>
      </c>
      <c r="C1001" s="2">
        <v>0.57361111111111107</v>
      </c>
      <c r="D1001" s="2" t="str">
        <f>IF(Table1[[#This Row],[Time]]&lt;$D$1,$C$1,IF(Table1[[#This Row],[Time]]&lt;$D$2,$C$2,$C$3))</f>
        <v>Afternoon</v>
      </c>
      <c r="E1001">
        <f>MONTH(Table1[[#This Row],[Date]])</f>
        <v>1</v>
      </c>
      <c r="F1001" t="str">
        <f>VLOOKUP(Table1[[#This Row],[Month]],dctMonth[],2,FALSE)</f>
        <v>January</v>
      </c>
      <c r="G1001" t="s">
        <v>26</v>
      </c>
      <c r="H1001" t="s">
        <v>27</v>
      </c>
      <c r="I1001" t="s">
        <v>28</v>
      </c>
      <c r="J1001" t="s">
        <v>32</v>
      </c>
      <c r="K1001">
        <v>32</v>
      </c>
      <c r="L1001" t="str">
        <f>IF(Table1[[#This Row],[Age]]&lt;20,"&lt;20",IF(Table1[[#This Row],[Age]]&lt;=70,"20-70","&gt;70"))</f>
        <v>20-70</v>
      </c>
      <c r="M1001" t="s">
        <v>23</v>
      </c>
      <c r="N1001" t="s">
        <v>24</v>
      </c>
      <c r="O1001">
        <v>40.35</v>
      </c>
      <c r="P1001">
        <v>1</v>
      </c>
      <c r="Q1001">
        <v>2.0175000000000001</v>
      </c>
      <c r="R1001">
        <v>42.3675</v>
      </c>
      <c r="S1001">
        <v>40.35</v>
      </c>
      <c r="T1001">
        <v>4.7619047620000003</v>
      </c>
      <c r="U1001">
        <v>2.0175000000000001</v>
      </c>
      <c r="V1001">
        <v>6.2</v>
      </c>
    </row>
    <row r="1002" spans="1:22" x14ac:dyDescent="0.2">
      <c r="A1002" t="s">
        <v>1033</v>
      </c>
      <c r="B1002" s="1">
        <v>43526</v>
      </c>
      <c r="C1002" s="2">
        <v>0.71944444444444444</v>
      </c>
      <c r="D1002" s="2" t="str">
        <f>IF(Table1[[#This Row],[Time]]&lt;$D$1,$C$1,IF(Table1[[#This Row],[Time]]&lt;$D$2,$C$2,$C$3))</f>
        <v>Evening</v>
      </c>
      <c r="E1002">
        <f>MONTH(Table1[[#This Row],[Date]])</f>
        <v>3</v>
      </c>
      <c r="F1002" t="str">
        <f>VLOOKUP(Table1[[#This Row],[Month]],dctMonth[],2,FALSE)</f>
        <v>March</v>
      </c>
      <c r="G1002" t="s">
        <v>43</v>
      </c>
      <c r="H1002" t="s">
        <v>44</v>
      </c>
      <c r="I1002" t="s">
        <v>28</v>
      </c>
      <c r="J1002" t="s">
        <v>22</v>
      </c>
      <c r="K1002">
        <v>18</v>
      </c>
      <c r="L1002" t="str">
        <f>IF(Table1[[#This Row],[Age]]&lt;20,"&lt;20",IF(Table1[[#This Row],[Age]]&lt;=70,"20-70","&gt;70"))</f>
        <v>&lt;20</v>
      </c>
      <c r="M1002" t="s">
        <v>33</v>
      </c>
      <c r="N1002" t="s">
        <v>24</v>
      </c>
      <c r="O1002">
        <v>97.38</v>
      </c>
      <c r="P1002">
        <v>10</v>
      </c>
      <c r="Q1002">
        <v>48.69</v>
      </c>
      <c r="R1002">
        <v>1022.49</v>
      </c>
      <c r="S1002">
        <v>973.8</v>
      </c>
      <c r="T1002">
        <v>4.7619047620000003</v>
      </c>
      <c r="U1002">
        <v>48.69</v>
      </c>
      <c r="V1002">
        <v>4.4000000000000004</v>
      </c>
    </row>
    <row r="1003" spans="1:22" x14ac:dyDescent="0.2">
      <c r="A1003" t="s">
        <v>1034</v>
      </c>
      <c r="B1003" s="1">
        <v>43505</v>
      </c>
      <c r="C1003" s="2">
        <v>0.55694444444444446</v>
      </c>
      <c r="D1003" s="2" t="str">
        <f>IF(Table1[[#This Row],[Time]]&lt;$D$1,$C$1,IF(Table1[[#This Row],[Time]]&lt;$D$2,$C$2,$C$3))</f>
        <v>Afternoon</v>
      </c>
      <c r="E1003">
        <f>MONTH(Table1[[#This Row],[Date]])</f>
        <v>2</v>
      </c>
      <c r="F1003" t="str">
        <f>VLOOKUP(Table1[[#This Row],[Month]],dctMonth[],2,FALSE)</f>
        <v>February</v>
      </c>
      <c r="G1003" t="s">
        <v>19</v>
      </c>
      <c r="H1003" t="s">
        <v>20</v>
      </c>
      <c r="I1003" t="s">
        <v>21</v>
      </c>
      <c r="J1003" t="s">
        <v>32</v>
      </c>
      <c r="K1003">
        <v>24</v>
      </c>
      <c r="L1003" t="str">
        <f>IF(Table1[[#This Row],[Age]]&lt;20,"&lt;20",IF(Table1[[#This Row],[Age]]&lt;=70,"20-70","&gt;70"))</f>
        <v>20-70</v>
      </c>
      <c r="M1003" t="s">
        <v>45</v>
      </c>
      <c r="N1003" t="s">
        <v>30</v>
      </c>
      <c r="O1003">
        <v>31.84</v>
      </c>
      <c r="P1003">
        <v>1</v>
      </c>
      <c r="Q1003">
        <v>1.5920000000000001</v>
      </c>
      <c r="R1003">
        <v>33.432000000000002</v>
      </c>
      <c r="S1003">
        <v>31.84</v>
      </c>
      <c r="T1003">
        <v>4.7619047620000003</v>
      </c>
      <c r="U1003">
        <v>1.5920000000000001</v>
      </c>
      <c r="V1003">
        <v>7.7</v>
      </c>
    </row>
    <row r="1004" spans="1:22" x14ac:dyDescent="0.2">
      <c r="A1004" t="s">
        <v>1035</v>
      </c>
      <c r="B1004" s="1">
        <v>43518</v>
      </c>
      <c r="C1004" s="2">
        <v>0.6479166666666667</v>
      </c>
      <c r="D1004" s="2" t="str">
        <f>IF(Table1[[#This Row],[Time]]&lt;$D$1,$C$1,IF(Table1[[#This Row],[Time]]&lt;$D$2,$C$2,$C$3))</f>
        <v>Afternoon</v>
      </c>
      <c r="E1004">
        <f>MONTH(Table1[[#This Row],[Date]])</f>
        <v>2</v>
      </c>
      <c r="F1004" t="str">
        <f>VLOOKUP(Table1[[#This Row],[Month]],dctMonth[],2,FALSE)</f>
        <v>February</v>
      </c>
      <c r="G1004" t="s">
        <v>19</v>
      </c>
      <c r="H1004" t="s">
        <v>20</v>
      </c>
      <c r="I1004" t="s">
        <v>28</v>
      </c>
      <c r="J1004" t="s">
        <v>32</v>
      </c>
      <c r="K1004">
        <v>88</v>
      </c>
      <c r="L1004" t="str">
        <f>IF(Table1[[#This Row],[Age]]&lt;20,"&lt;20",IF(Table1[[#This Row],[Age]]&lt;=70,"20-70","&gt;70"))</f>
        <v>&gt;70</v>
      </c>
      <c r="M1004" t="s">
        <v>33</v>
      </c>
      <c r="N1004" t="s">
        <v>30</v>
      </c>
      <c r="O1004">
        <v>65.819999999999993</v>
      </c>
      <c r="P1004">
        <v>1</v>
      </c>
      <c r="Q1004">
        <v>3.2909999999999999</v>
      </c>
      <c r="R1004">
        <v>69.111000000000004</v>
      </c>
      <c r="S1004">
        <v>65.819999999999993</v>
      </c>
      <c r="T1004">
        <v>4.7619047620000003</v>
      </c>
      <c r="U1004">
        <v>3.2909999999999999</v>
      </c>
      <c r="V1004">
        <v>4.0999999999999996</v>
      </c>
    </row>
    <row r="1005" spans="1:22" x14ac:dyDescent="0.2">
      <c r="A1005" t="s">
        <v>1036</v>
      </c>
      <c r="B1005" s="1">
        <v>43514</v>
      </c>
      <c r="C1005" s="2">
        <v>0.56111111111111112</v>
      </c>
      <c r="D1005" s="2" t="str">
        <f>IF(Table1[[#This Row],[Time]]&lt;$D$1,$C$1,IF(Table1[[#This Row],[Time]]&lt;$D$2,$C$2,$C$3))</f>
        <v>Afternoon</v>
      </c>
      <c r="E1005">
        <f>MONTH(Table1[[#This Row],[Date]])</f>
        <v>2</v>
      </c>
      <c r="F1005" t="str">
        <f>VLOOKUP(Table1[[#This Row],[Month]],dctMonth[],2,FALSE)</f>
        <v>February</v>
      </c>
      <c r="G1005" t="s">
        <v>19</v>
      </c>
      <c r="H1005" t="s">
        <v>20</v>
      </c>
      <c r="I1005" t="s">
        <v>21</v>
      </c>
      <c r="J1005" t="s">
        <v>22</v>
      </c>
      <c r="K1005">
        <v>23</v>
      </c>
      <c r="L1005" t="str">
        <f>IF(Table1[[#This Row],[Age]]&lt;20,"&lt;20",IF(Table1[[#This Row],[Age]]&lt;=70,"20-70","&gt;70"))</f>
        <v>20-70</v>
      </c>
      <c r="M1005" t="s">
        <v>47</v>
      </c>
      <c r="N1005" t="s">
        <v>30</v>
      </c>
      <c r="O1005">
        <v>88.34</v>
      </c>
      <c r="P1005">
        <v>7</v>
      </c>
      <c r="Q1005">
        <v>30.919</v>
      </c>
      <c r="R1005">
        <v>649.29899999999998</v>
      </c>
      <c r="S1005">
        <v>618.38</v>
      </c>
      <c r="T1005">
        <v>4.7619047620000003</v>
      </c>
      <c r="U1005">
        <v>30.919</v>
      </c>
      <c r="V1005">
        <v>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A6B7-C3FE-4571-80E3-732E198ED668}">
  <dimension ref="A3:E7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2.1640625" bestFit="1" customWidth="1"/>
    <col min="2" max="2" width="17.33203125" bestFit="1" customWidth="1"/>
  </cols>
  <sheetData>
    <row r="3" spans="1:5" x14ac:dyDescent="0.2">
      <c r="A3" s="3" t="s">
        <v>1052</v>
      </c>
      <c r="B3" t="s">
        <v>1057</v>
      </c>
    </row>
    <row r="4" spans="1:5" x14ac:dyDescent="0.2">
      <c r="A4" s="4" t="s">
        <v>1054</v>
      </c>
      <c r="B4" s="5">
        <v>5537.7079999999987</v>
      </c>
      <c r="D4" t="str" cm="1">
        <f t="array" ref="D4:D6">_xlfn.UNIQUE(Table1[MonthName])</f>
        <v>January</v>
      </c>
      <c r="E4">
        <f>SUMIFS(Table1[gross income], Table1[MonthName],D4)</f>
        <v>5537.7079999999987</v>
      </c>
    </row>
    <row r="5" spans="1:5" x14ac:dyDescent="0.2">
      <c r="A5" s="4" t="s">
        <v>1055</v>
      </c>
      <c r="B5" s="5">
        <v>4629.4940000000006</v>
      </c>
      <c r="D5" t="str">
        <v>March</v>
      </c>
      <c r="E5">
        <f>SUMIFS(Table1[gross income], Table1[MonthName],D5)</f>
        <v>5212.1670000000058</v>
      </c>
    </row>
    <row r="6" spans="1:5" x14ac:dyDescent="0.2">
      <c r="A6" s="4" t="s">
        <v>1056</v>
      </c>
      <c r="B6" s="5">
        <v>5212.1670000000058</v>
      </c>
      <c r="D6" t="str">
        <v>February</v>
      </c>
      <c r="E6">
        <f>SUMIFS(Table1[gross income], Table1[MonthName],D6)</f>
        <v>4629.4940000000006</v>
      </c>
    </row>
    <row r="7" spans="1:5" x14ac:dyDescent="0.2">
      <c r="A7" s="4" t="s">
        <v>1053</v>
      </c>
      <c r="B7" s="5">
        <v>15379.369000000006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F2B6-4D13-4CEB-AFFF-6BCAB427526D}">
  <dimension ref="A3:B19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12.5" bestFit="1" customWidth="1"/>
    <col min="2" max="2" width="18.1640625" bestFit="1" customWidth="1"/>
  </cols>
  <sheetData>
    <row r="3" spans="1:2" x14ac:dyDescent="0.2">
      <c r="A3" s="3" t="s">
        <v>1052</v>
      </c>
      <c r="B3" t="s">
        <v>1057</v>
      </c>
    </row>
    <row r="4" spans="1:2" x14ac:dyDescent="0.2">
      <c r="A4" s="4" t="s">
        <v>1058</v>
      </c>
      <c r="B4">
        <v>965.97350000000029</v>
      </c>
    </row>
    <row r="5" spans="1:2" x14ac:dyDescent="0.2">
      <c r="A5" s="4" t="s">
        <v>1059</v>
      </c>
      <c r="B5">
        <v>1337.047</v>
      </c>
    </row>
    <row r="6" spans="1:2" x14ac:dyDescent="0.2">
      <c r="A6" s="4" t="s">
        <v>1060</v>
      </c>
      <c r="B6">
        <v>993.61350000000004</v>
      </c>
    </row>
    <row r="7" spans="1:2" x14ac:dyDescent="0.2">
      <c r="A7" s="4" t="s">
        <v>1061</v>
      </c>
      <c r="B7">
        <v>925.11749999999995</v>
      </c>
    </row>
    <row r="8" spans="1:2" x14ac:dyDescent="0.2">
      <c r="A8" s="4" t="s">
        <v>1062</v>
      </c>
      <c r="B8">
        <v>969.19350000000009</v>
      </c>
    </row>
    <row r="9" spans="1:2" x14ac:dyDescent="0.2">
      <c r="A9" s="4" t="s">
        <v>1063</v>
      </c>
      <c r="B9">
        <v>1099.5284999999999</v>
      </c>
    </row>
    <row r="10" spans="1:2" x14ac:dyDescent="0.2">
      <c r="A10" s="4" t="s">
        <v>1064</v>
      </c>
      <c r="B10">
        <v>1048.5915</v>
      </c>
    </row>
    <row r="11" spans="1:2" x14ac:dyDescent="0.2">
      <c r="A11" s="4" t="s">
        <v>1065</v>
      </c>
      <c r="B11">
        <v>1040.9279999999997</v>
      </c>
    </row>
    <row r="12" spans="1:2" x14ac:dyDescent="0.2">
      <c r="A12" s="4" t="s">
        <v>1066</v>
      </c>
      <c r="B12">
        <v>1075.5224999999998</v>
      </c>
    </row>
    <row r="13" spans="1:2" x14ac:dyDescent="0.2">
      <c r="A13" s="4" t="s">
        <v>1067</v>
      </c>
      <c r="B13">
        <v>795.154</v>
      </c>
    </row>
    <row r="14" spans="1:2" x14ac:dyDescent="0.2">
      <c r="A14" s="4" t="s">
        <v>1068</v>
      </c>
      <c r="B14">
        <v>834.15600000000029</v>
      </c>
    </row>
    <row r="15" spans="1:2" x14ac:dyDescent="0.2">
      <c r="A15" s="4" t="s">
        <v>1069</v>
      </c>
      <c r="B15">
        <v>840.56799999999998</v>
      </c>
    </row>
    <row r="16" spans="1:2" x14ac:dyDescent="0.2">
      <c r="A16" s="4" t="s">
        <v>1070</v>
      </c>
      <c r="B16">
        <v>1113.5104999999999</v>
      </c>
    </row>
    <row r="17" spans="1:2" x14ac:dyDescent="0.2">
      <c r="A17" s="4" t="s">
        <v>1071</v>
      </c>
      <c r="B17">
        <v>827.32850000000008</v>
      </c>
    </row>
    <row r="18" spans="1:2" x14ac:dyDescent="0.2">
      <c r="A18" s="4" t="s">
        <v>1072</v>
      </c>
      <c r="B18">
        <v>1513.1364999999998</v>
      </c>
    </row>
    <row r="19" spans="1:2" x14ac:dyDescent="0.2">
      <c r="A19" s="4" t="s">
        <v>1053</v>
      </c>
      <c r="B19">
        <v>15379.369000000001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86B4-73E6-420F-8772-6ED09DDE2BFA}">
  <dimension ref="A1:B13"/>
  <sheetViews>
    <sheetView workbookViewId="0">
      <selection activeCell="A8" sqref="A8"/>
    </sheetView>
  </sheetViews>
  <sheetFormatPr baseColWidth="10" defaultColWidth="8.83203125" defaultRowHeight="15" x14ac:dyDescent="0.2"/>
  <cols>
    <col min="2" max="2" width="13" customWidth="1"/>
  </cols>
  <sheetData>
    <row r="1" spans="1:2" x14ac:dyDescent="0.2">
      <c r="A1" t="s">
        <v>1037</v>
      </c>
      <c r="B1" t="s">
        <v>1038</v>
      </c>
    </row>
    <row r="2" spans="1:2" x14ac:dyDescent="0.2">
      <c r="A2">
        <v>1</v>
      </c>
      <c r="B2" t="s">
        <v>1039</v>
      </c>
    </row>
    <row r="3" spans="1:2" x14ac:dyDescent="0.2">
      <c r="A3">
        <v>2</v>
      </c>
      <c r="B3" t="s">
        <v>1040</v>
      </c>
    </row>
    <row r="4" spans="1:2" x14ac:dyDescent="0.2">
      <c r="A4">
        <v>3</v>
      </c>
      <c r="B4" t="s">
        <v>1041</v>
      </c>
    </row>
    <row r="5" spans="1:2" x14ac:dyDescent="0.2">
      <c r="A5">
        <v>4</v>
      </c>
      <c r="B5" t="s">
        <v>1042</v>
      </c>
    </row>
    <row r="6" spans="1:2" x14ac:dyDescent="0.2">
      <c r="A6">
        <v>5</v>
      </c>
      <c r="B6" t="s">
        <v>1043</v>
      </c>
    </row>
    <row r="7" spans="1:2" x14ac:dyDescent="0.2">
      <c r="A7">
        <v>6</v>
      </c>
      <c r="B7" t="s">
        <v>1044</v>
      </c>
    </row>
    <row r="8" spans="1:2" x14ac:dyDescent="0.2">
      <c r="A8">
        <v>7</v>
      </c>
      <c r="B8" t="s">
        <v>1045</v>
      </c>
    </row>
    <row r="9" spans="1:2" x14ac:dyDescent="0.2">
      <c r="A9">
        <v>8</v>
      </c>
      <c r="B9" t="s">
        <v>1046</v>
      </c>
    </row>
    <row r="10" spans="1:2" x14ac:dyDescent="0.2">
      <c r="A10">
        <v>9</v>
      </c>
      <c r="B10" t="s">
        <v>1047</v>
      </c>
    </row>
    <row r="11" spans="1:2" x14ac:dyDescent="0.2">
      <c r="A11">
        <v>10</v>
      </c>
      <c r="B11" t="s">
        <v>1048</v>
      </c>
    </row>
    <row r="12" spans="1:2" x14ac:dyDescent="0.2">
      <c r="A12">
        <v>11</v>
      </c>
      <c r="B12" t="s">
        <v>1049</v>
      </c>
    </row>
    <row r="13" spans="1:2" x14ac:dyDescent="0.2">
      <c r="A13">
        <v>12</v>
      </c>
      <c r="B13" t="s">
        <v>1050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F24 Category example supermarke</vt:lpstr>
      <vt:lpstr>Pivot GI by Date</vt:lpstr>
      <vt:lpstr>Pivot GI by Age</vt:lpstr>
      <vt:lpstr>Dictionaries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Brody Blanchard</cp:lastModifiedBy>
  <dcterms:created xsi:type="dcterms:W3CDTF">2024-09-20T15:22:17Z</dcterms:created>
  <dcterms:modified xsi:type="dcterms:W3CDTF">2026-03-03T03:18:45Z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2024-09-20T15:25:53Z</vt:lpwstr>
  </property>
  <property fmtid="{D5CDD505-2E9C-101B-9397-08002B2CF9AE}" pid="4" name="MSIP_Label_33188ad8-4875-42e6-925c-bd11f6824504_Method">
    <vt:lpwstr>Standard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a6ba151a-0203-4789-9da3-64c4451de1ab</vt:lpwstr>
  </property>
  <property fmtid="{D5CDD505-2E9C-101B-9397-08002B2CF9AE}" pid="8" name="MSIP_Label_33188ad8-4875-42e6-925c-bd11f6824504_ContentBits">
    <vt:lpwstr>0</vt:lpwstr>
  </property>
</Properties>
</file>